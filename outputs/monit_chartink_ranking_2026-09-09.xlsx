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Universe'!$A$1:$J$398</definedName>
    <definedName name="_xlnm._FilterDatabase" localSheetId="3" hidden="1">'Confluence Overlap'!$A$1:$K$88</definedName>
    <definedName name="_xlnm._FilterDatabase" localSheetId="4" hidden="1">'Monit Non Financial'!$A$1:$CE$371</definedName>
    <definedName name="_xlnm._FilterDatabase" localSheetId="5" hidden="1">'Monit Banks NBFC'!$A$1:$CA$28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09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5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708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103</v>
      </c>
      <c r="G6" s="19" t="n">
        <v>68572.38</v>
      </c>
      <c r="H6" s="18" t="inlineStr">
        <is>
          <t>Potential Leader</t>
        </is>
      </c>
      <c r="J6" s="18" t="inlineStr">
        <is>
          <t>telecom-service</t>
        </is>
      </c>
      <c r="K6" s="16" t="n">
        <v>7</v>
      </c>
      <c r="L6" s="16" t="n">
        <v>4</v>
      </c>
      <c r="M6" s="20" t="inlineStr">
        <is>
          <t>75.0%</t>
        </is>
      </c>
    </row>
    <row r="7">
      <c r="A7" s="16" t="n">
        <v>2</v>
      </c>
      <c r="B7" s="17" t="n">
        <v>600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85</v>
      </c>
      <c r="G7" s="19" t="n">
        <v>2926.03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10</v>
      </c>
      <c r="L7" s="16" t="n">
        <v>6</v>
      </c>
      <c r="M7" s="20" t="inlineStr">
        <is>
          <t>66.7%</t>
        </is>
      </c>
    </row>
    <row r="8">
      <c r="A8" s="16" t="n">
        <v>3</v>
      </c>
      <c r="B8" s="17" t="n">
        <v>444</v>
      </c>
      <c r="C8" s="17" t="inlineStr">
        <is>
          <t>HITECHCORP</t>
        </is>
      </c>
      <c r="D8" s="18" t="inlineStr">
        <is>
          <t>Hitech Corporation</t>
        </is>
      </c>
      <c r="E8" s="18" t="inlineStr">
        <is>
          <t>industrials</t>
        </is>
      </c>
      <c r="F8" s="16" t="n">
        <v>59</v>
      </c>
      <c r="G8" s="19" t="n">
        <v>577.02</v>
      </c>
      <c r="H8" s="18" t="inlineStr">
        <is>
          <t>Potential Leader</t>
        </is>
      </c>
      <c r="J8" s="18" t="inlineStr">
        <is>
          <t>transportation</t>
        </is>
      </c>
      <c r="K8" s="16" t="n">
        <v>46</v>
      </c>
      <c r="L8" s="16" t="n">
        <v>28</v>
      </c>
      <c r="M8" s="20" t="inlineStr">
        <is>
          <t>64.3%</t>
        </is>
      </c>
    </row>
    <row r="9">
      <c r="A9" s="16" t="n">
        <v>4</v>
      </c>
      <c r="B9" s="17" t="n">
        <v>396</v>
      </c>
      <c r="C9" s="17" t="inlineStr">
        <is>
          <t>CYIENTDLM</t>
        </is>
      </c>
      <c r="D9" s="18" t="inlineStr">
        <is>
          <t>Cyient DLM Ltd</t>
        </is>
      </c>
      <c r="E9" s="18" t="inlineStr">
        <is>
          <t>aerospace &amp; defence</t>
        </is>
      </c>
      <c r="F9" s="16" t="n">
        <v>51</v>
      </c>
      <c r="G9" s="19" t="n">
        <v>7749.8</v>
      </c>
      <c r="H9" s="18" t="inlineStr">
        <is>
          <t>Potential Leader</t>
        </is>
      </c>
      <c r="J9" s="18" t="inlineStr">
        <is>
          <t>co-working</t>
        </is>
      </c>
      <c r="K9" s="16" t="n">
        <v>8</v>
      </c>
      <c r="L9" s="16" t="n">
        <v>5</v>
      </c>
      <c r="M9" s="20" t="inlineStr">
        <is>
          <t>60.0%</t>
        </is>
      </c>
    </row>
    <row r="10">
      <c r="A10" s="16" t="n">
        <v>5</v>
      </c>
      <c r="B10" s="17" t="n">
        <v>396</v>
      </c>
      <c r="C10" s="17" t="inlineStr">
        <is>
          <t>IRISDOREME</t>
        </is>
      </c>
      <c r="D10" s="18" t="inlineStr">
        <is>
          <t>Iris Clothings Ltd</t>
        </is>
      </c>
      <c r="E10" s="18" t="inlineStr">
        <is>
          <t>consumer discretionary</t>
        </is>
      </c>
      <c r="F10" s="16" t="n">
        <v>51</v>
      </c>
      <c r="G10" s="19" t="n">
        <v>1172.82</v>
      </c>
      <c r="H10" s="18" t="inlineStr">
        <is>
          <t>Potential Leader</t>
        </is>
      </c>
      <c r="J10" s="18" t="inlineStr">
        <is>
          <t>building materials</t>
        </is>
      </c>
      <c r="K10" s="16" t="n">
        <v>74</v>
      </c>
      <c r="L10" s="16" t="n">
        <v>48</v>
      </c>
      <c r="M10" s="20" t="inlineStr">
        <is>
          <t>54.2%</t>
        </is>
      </c>
    </row>
    <row r="11">
      <c r="A11" s="16" t="n">
        <v>6</v>
      </c>
      <c r="B11" s="17" t="n">
        <v>390</v>
      </c>
      <c r="C11" s="17" t="inlineStr">
        <is>
          <t>SETL</t>
        </is>
      </c>
      <c r="D11" s="18" t="inlineStr">
        <is>
          <t>Standard Enginnering Technology Ltd</t>
        </is>
      </c>
      <c r="E11" s="18" t="inlineStr">
        <is>
          <t>industrials</t>
        </is>
      </c>
      <c r="F11" s="16" t="n">
        <v>50</v>
      </c>
      <c r="G11" s="19" t="n">
        <v>8069.44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66</v>
      </c>
      <c r="L11" s="16" t="n">
        <v>49</v>
      </c>
      <c r="M11" s="20" t="inlineStr">
        <is>
          <t>34.7%</t>
        </is>
      </c>
    </row>
    <row r="12">
      <c r="A12" s="16" t="n">
        <v>7</v>
      </c>
      <c r="B12" s="17" t="n">
        <v>378</v>
      </c>
      <c r="C12" s="17" t="inlineStr">
        <is>
          <t>HAPPYFORGE</t>
        </is>
      </c>
      <c r="D12" s="18" t="inlineStr">
        <is>
          <t>Happy Forgings Ltd</t>
        </is>
      </c>
      <c r="E12" s="18" t="inlineStr">
        <is>
          <t>industrials</t>
        </is>
      </c>
      <c r="F12" s="16" t="n">
        <v>48</v>
      </c>
      <c r="G12" s="19" t="n">
        <v>21049.29</v>
      </c>
      <c r="H12" s="18" t="inlineStr">
        <is>
          <t>Potential Leader</t>
        </is>
      </c>
      <c r="J12" s="18" t="inlineStr">
        <is>
          <t>energy</t>
        </is>
      </c>
      <c r="K12" s="16" t="n">
        <v>76</v>
      </c>
      <c r="L12" s="16" t="n">
        <v>57</v>
      </c>
      <c r="M12" s="20" t="inlineStr">
        <is>
          <t>33.3%</t>
        </is>
      </c>
    </row>
    <row r="13">
      <c r="A13" s="16" t="n">
        <v>8</v>
      </c>
      <c r="B13" s="17" t="n">
        <v>348</v>
      </c>
      <c r="C13" s="17" t="inlineStr">
        <is>
          <t>SUNDRMFAST</t>
        </is>
      </c>
      <c r="D13" s="18" t="inlineStr">
        <is>
          <t>Sundram Fasteners Limited</t>
        </is>
      </c>
      <c r="E13" s="18" t="inlineStr">
        <is>
          <t>auto</t>
        </is>
      </c>
      <c r="F13" s="16" t="n">
        <v>43</v>
      </c>
      <c r="G13" s="19" t="n">
        <v>26371.11</v>
      </c>
      <c r="H13" s="18" t="inlineStr">
        <is>
          <t>Potential Leader</t>
        </is>
      </c>
      <c r="J13" s="18" t="inlineStr">
        <is>
          <t>textiles</t>
        </is>
      </c>
      <c r="K13" s="16" t="n">
        <v>86</v>
      </c>
      <c r="L13" s="16" t="n">
        <v>68</v>
      </c>
      <c r="M13" s="20" t="inlineStr">
        <is>
          <t>26.5%</t>
        </is>
      </c>
    </row>
    <row r="14">
      <c r="A14" s="16" t="n">
        <v>9</v>
      </c>
      <c r="B14" s="17" t="n">
        <v>324</v>
      </c>
      <c r="C14" s="17" t="inlineStr">
        <is>
          <t>KABRAEXTRU</t>
        </is>
      </c>
      <c r="D14" s="18" t="inlineStr">
        <is>
          <t>Kabra Extrusion Technik Limited</t>
        </is>
      </c>
      <c r="E14" s="18" t="inlineStr">
        <is>
          <t>industrials</t>
        </is>
      </c>
      <c r="F14" s="16" t="n">
        <v>39</v>
      </c>
      <c r="G14" s="19" t="n">
        <v>2295.79</v>
      </c>
      <c r="H14" s="18" t="inlineStr">
        <is>
          <t>Potential Leader</t>
        </is>
      </c>
      <c r="J14" s="18" t="inlineStr">
        <is>
          <t>financials</t>
        </is>
      </c>
      <c r="K14" s="16" t="n">
        <v>135</v>
      </c>
      <c r="L14" s="16" t="n">
        <v>113</v>
      </c>
      <c r="M14" s="20" t="inlineStr">
        <is>
          <t>19.5%</t>
        </is>
      </c>
    </row>
    <row r="15">
      <c r="A15" s="16" t="n">
        <v>10</v>
      </c>
      <c r="B15" s="17" t="n">
        <v>312</v>
      </c>
      <c r="C15" s="17" t="inlineStr">
        <is>
          <t>DIVISLAB</t>
        </is>
      </c>
      <c r="D15" s="18" t="inlineStr">
        <is>
          <t>Divi's Laboratories Limited</t>
        </is>
      </c>
      <c r="E15" s="18" t="inlineStr">
        <is>
          <t>healthcare</t>
        </is>
      </c>
      <c r="F15" s="16" t="n">
        <v>37</v>
      </c>
      <c r="G15" s="19" t="n">
        <v>254186.17</v>
      </c>
      <c r="H15" s="18" t="inlineStr">
        <is>
          <t>Potential Leader</t>
        </is>
      </c>
      <c r="J15" s="18" t="inlineStr">
        <is>
          <t>telecom</t>
        </is>
      </c>
      <c r="K15" s="16" t="n">
        <v>9</v>
      </c>
      <c r="L15" s="16" t="n">
        <v>8</v>
      </c>
      <c r="M15" s="20" t="inlineStr">
        <is>
          <t>12.5%</t>
        </is>
      </c>
    </row>
    <row r="16">
      <c r="A16" s="16" t="n">
        <v>11</v>
      </c>
      <c r="B16" s="17" t="n">
        <v>312</v>
      </c>
      <c r="C16" s="17" t="inlineStr">
        <is>
          <t>MENONBE</t>
        </is>
      </c>
      <c r="D16" s="18" t="inlineStr">
        <is>
          <t>Menon Bearings Limited</t>
        </is>
      </c>
      <c r="E16" s="18" t="inlineStr">
        <is>
          <t>auto</t>
        </is>
      </c>
      <c r="F16" s="16" t="n">
        <v>37</v>
      </c>
      <c r="G16" s="19" t="n">
        <v>1631.04</v>
      </c>
      <c r="H16" s="18" t="inlineStr">
        <is>
          <t>Potential Leader</t>
        </is>
      </c>
      <c r="J16" s="18" t="inlineStr">
        <is>
          <t>realty</t>
        </is>
      </c>
      <c r="K16" s="16" t="n">
        <v>100</v>
      </c>
      <c r="L16" s="16" t="n">
        <v>89</v>
      </c>
      <c r="M16" s="20" t="inlineStr">
        <is>
          <t>12.4%</t>
        </is>
      </c>
    </row>
    <row r="17">
      <c r="A17" s="16" t="n">
        <v>12</v>
      </c>
      <c r="B17" s="17" t="n">
        <v>312</v>
      </c>
      <c r="C17" s="17" t="inlineStr">
        <is>
          <t>TFCILTD</t>
        </is>
      </c>
      <c r="D17" s="18" t="inlineStr">
        <is>
          <t>Tourism Finance Corporation Of India Limited</t>
        </is>
      </c>
      <c r="E17" s="18" t="inlineStr">
        <is>
          <t>financials</t>
        </is>
      </c>
      <c r="F17" s="16" t="n">
        <v>37</v>
      </c>
      <c r="G17" s="19" t="n">
        <v>6522.89</v>
      </c>
      <c r="H17" s="18" t="inlineStr">
        <is>
          <t>Potential Leader</t>
        </is>
      </c>
      <c r="J17" s="18" t="inlineStr">
        <is>
          <t>healthcare</t>
        </is>
      </c>
      <c r="K17" s="16" t="n">
        <v>269</v>
      </c>
      <c r="L17" s="16" t="n">
        <v>241</v>
      </c>
      <c r="M17" s="20" t="inlineStr">
        <is>
          <t>11.6%</t>
        </is>
      </c>
    </row>
    <row r="18">
      <c r="A18" s="16" t="n">
        <v>13</v>
      </c>
      <c r="B18" s="17" t="n">
        <v>312</v>
      </c>
      <c r="C18" s="17" t="inlineStr">
        <is>
          <t>VSSL</t>
        </is>
      </c>
      <c r="D18" s="18" t="inlineStr">
        <is>
          <t>Vardhman Special Steels Limited</t>
        </is>
      </c>
      <c r="E18" s="18" t="inlineStr">
        <is>
          <t>metals &amp; mining</t>
        </is>
      </c>
      <c r="F18" s="16" t="n">
        <v>37</v>
      </c>
      <c r="G18" s="19" t="n">
        <v>3447.81</v>
      </c>
      <c r="H18" s="18" t="inlineStr">
        <is>
          <t>Potential Leader</t>
        </is>
      </c>
      <c r="J18" s="18" t="inlineStr">
        <is>
          <t>consumer discretionary</t>
        </is>
      </c>
      <c r="K18" s="16" t="n">
        <v>135</v>
      </c>
      <c r="L18" s="16" t="n">
        <v>124</v>
      </c>
      <c r="M18" s="20" t="inlineStr">
        <is>
          <t>8.9%</t>
        </is>
      </c>
    </row>
    <row r="19">
      <c r="A19" s="16" t="n">
        <v>14</v>
      </c>
      <c r="B19" s="17" t="n">
        <v>306</v>
      </c>
      <c r="C19" s="17" t="inlineStr">
        <is>
          <t>NILKAMAL</t>
        </is>
      </c>
      <c r="D19" s="18" t="inlineStr">
        <is>
          <t>Nilkamal Limited</t>
        </is>
      </c>
      <c r="E19" s="18" t="inlineStr">
        <is>
          <t>plastic products</t>
        </is>
      </c>
      <c r="F19" s="16" t="n">
        <v>36</v>
      </c>
      <c r="G19" s="19" t="n">
        <v>3151.64</v>
      </c>
      <c r="H19" s="18" t="inlineStr">
        <is>
          <t>Potential Leader</t>
        </is>
      </c>
      <c r="J19" s="18" t="inlineStr">
        <is>
          <t>metals &amp; mining</t>
        </is>
      </c>
      <c r="K19" s="16" t="n">
        <v>142</v>
      </c>
      <c r="L19" s="16" t="n">
        <v>131</v>
      </c>
      <c r="M19" s="20" t="inlineStr">
        <is>
          <t>8.4%</t>
        </is>
      </c>
    </row>
    <row r="20">
      <c r="A20" s="16" t="n">
        <v>15</v>
      </c>
      <c r="B20" s="17" t="n">
        <v>300</v>
      </c>
      <c r="C20" s="17" t="inlineStr">
        <is>
          <t>WSTCSTPAPR</t>
        </is>
      </c>
      <c r="D20" s="18" t="inlineStr">
        <is>
          <t>West Coast Paper Mills Limited</t>
        </is>
      </c>
      <c r="E20" s="18" t="inlineStr">
        <is>
          <t>building materials</t>
        </is>
      </c>
      <c r="F20" s="16" t="n">
        <v>35</v>
      </c>
      <c r="G20" s="19" t="n">
        <v>4499.25</v>
      </c>
      <c r="H20" s="18" t="inlineStr">
        <is>
          <t>Potential Leader</t>
        </is>
      </c>
      <c r="J20" s="18" t="inlineStr">
        <is>
          <t>miscellaneous</t>
        </is>
      </c>
      <c r="K20" s="16" t="n">
        <v>46</v>
      </c>
      <c r="L20" s="16" t="n">
        <v>44</v>
      </c>
      <c r="M20" s="20" t="inlineStr">
        <is>
          <t>4.5%</t>
        </is>
      </c>
    </row>
    <row r="21">
      <c r="A21" s="16" t="n">
        <v>16</v>
      </c>
      <c r="B21" s="17" t="n">
        <v>294</v>
      </c>
      <c r="C21" s="17" t="inlineStr">
        <is>
          <t>PPLPHARMA</t>
        </is>
      </c>
      <c r="D21" s="18" t="inlineStr">
        <is>
          <t>Piramal Pharma Ltd</t>
        </is>
      </c>
      <c r="E21" s="18" t="inlineStr">
        <is>
          <t>healthcare</t>
        </is>
      </c>
      <c r="F21" s="16" t="n">
        <v>34</v>
      </c>
      <c r="G21" s="19" t="n">
        <v>30171.01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UNIPARTS</t>
        </is>
      </c>
      <c r="D22" s="18" t="inlineStr">
        <is>
          <t>Uniparts India Ltd</t>
        </is>
      </c>
      <c r="E22" s="18" t="inlineStr">
        <is>
          <t>industrials</t>
        </is>
      </c>
      <c r="F22" s="16" t="n">
        <v>34</v>
      </c>
      <c r="G22" s="19" t="n">
        <v>4053.85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ARTEMISMED</t>
        </is>
      </c>
      <c r="D23" s="18" t="inlineStr">
        <is>
          <t>Artemis Medicare Services Ltd</t>
        </is>
      </c>
      <c r="E23" s="18" t="inlineStr">
        <is>
          <t>healthcare</t>
        </is>
      </c>
      <c r="F23" s="16" t="n">
        <v>33</v>
      </c>
      <c r="G23" s="19" t="n">
        <v>5414.87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KMEW</t>
        </is>
      </c>
      <c r="D24" s="18" t="inlineStr">
        <is>
          <t>Knowledge Marine &amp; Engineering Works Ltd</t>
        </is>
      </c>
      <c r="E24" s="18" t="inlineStr">
        <is>
          <t>transportation</t>
        </is>
      </c>
      <c r="F24" s="16" t="n">
        <v>33</v>
      </c>
      <c r="G24" s="19" t="n">
        <v>7298.03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PAYTM</t>
        </is>
      </c>
      <c r="D25" s="18" t="inlineStr">
        <is>
          <t>One 97 Communications Ltd</t>
        </is>
      </c>
      <c r="E25" s="18" t="inlineStr">
        <is>
          <t>i.t</t>
        </is>
      </c>
      <c r="F25" s="16" t="n">
        <v>33</v>
      </c>
      <c r="G25" s="19" t="n">
        <v>106936.28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LGBBROSLTD</t>
        </is>
      </c>
      <c r="B30" s="18" t="inlineStr">
        <is>
          <t>Lg Balakrishnan &amp; Bros Limited</t>
        </is>
      </c>
      <c r="C30" s="18" t="inlineStr">
        <is>
          <t>auto</t>
        </is>
      </c>
      <c r="D30" s="16" t="n">
        <v>10</v>
      </c>
      <c r="E30" s="16" t="n">
        <v>1</v>
      </c>
      <c r="F30" s="19" t="n">
        <v>5538.76</v>
      </c>
      <c r="J30" s="17" t="inlineStr">
        <is>
          <t>BHAGYANGR</t>
        </is>
      </c>
      <c r="K30" s="18" t="inlineStr">
        <is>
          <t>power &amp; utilities</t>
        </is>
      </c>
      <c r="L30" s="19" t="n">
        <v>300</v>
      </c>
      <c r="M30" s="19" t="n">
        <v>1313.23</v>
      </c>
      <c r="N30" s="16" t="n">
        <v>2</v>
      </c>
    </row>
    <row r="31">
      <c r="A31" s="17" t="inlineStr">
        <is>
          <t>CYIENT</t>
        </is>
      </c>
      <c r="B31" s="18" t="inlineStr">
        <is>
          <t>Cyient Limited</t>
        </is>
      </c>
      <c r="C31" s="18" t="inlineStr">
        <is>
          <t>i.t</t>
        </is>
      </c>
      <c r="D31" s="16" t="n">
        <v>10</v>
      </c>
      <c r="E31" s="16" t="n">
        <v>1</v>
      </c>
      <c r="F31" s="19" t="n">
        <v>11378.1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3310.78</v>
      </c>
      <c r="N31" s="16" t="n">
        <v>28</v>
      </c>
    </row>
    <row r="32">
      <c r="A32" s="17" t="inlineStr">
        <is>
          <t>GODREJAGRO</t>
        </is>
      </c>
      <c r="B32" s="18" t="inlineStr">
        <is>
          <t>Godrej Agrovet Ltd</t>
        </is>
      </c>
      <c r="C32" s="18" t="inlineStr">
        <is>
          <t>fmcg</t>
        </is>
      </c>
      <c r="D32" s="16" t="n">
        <v>9</v>
      </c>
      <c r="E32" s="16" t="n">
        <v>1</v>
      </c>
      <c r="F32" s="19" t="n">
        <v>12957.37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1631.04</v>
      </c>
      <c r="N32" s="16" t="n">
        <v>30</v>
      </c>
    </row>
    <row r="33">
      <c r="A33" s="17" t="inlineStr">
        <is>
          <t>SBFC</t>
        </is>
      </c>
      <c r="B33" s="18" t="inlineStr">
        <is>
          <t>SBFC Finance Ltd</t>
        </is>
      </c>
      <c r="C33" s="18" t="inlineStr">
        <is>
          <t>financials</t>
        </is>
      </c>
      <c r="D33" s="16" t="n">
        <v>9</v>
      </c>
      <c r="E33" s="16" t="n">
        <v>1</v>
      </c>
      <c r="F33" s="19" t="n">
        <v>10779.63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12641.45</v>
      </c>
      <c r="N33" s="16" t="n">
        <v>30</v>
      </c>
    </row>
    <row r="34">
      <c r="A34" s="17" t="inlineStr">
        <is>
          <t>ASIANHOTNR</t>
        </is>
      </c>
      <c r="B34" s="18" t="inlineStr">
        <is>
          <t>Asian Hotels (north) Limited</t>
        </is>
      </c>
      <c r="C34" s="18" t="inlineStr">
        <is>
          <t>services</t>
        </is>
      </c>
      <c r="D34" s="16" t="n">
        <v>8</v>
      </c>
      <c r="E34" s="16" t="n">
        <v>1</v>
      </c>
      <c r="F34" s="19" t="n">
        <v>1729.84</v>
      </c>
      <c r="J34" s="17" t="inlineStr">
        <is>
          <t>TMB</t>
        </is>
      </c>
      <c r="K34" s="18" t="inlineStr">
        <is>
          <t>bank</t>
        </is>
      </c>
      <c r="L34" s="19" t="n">
        <v>295</v>
      </c>
      <c r="M34" s="19" t="n">
        <v>14676.01</v>
      </c>
      <c r="N34" s="16" t="n">
        <v>25</v>
      </c>
    </row>
    <row r="35">
      <c r="A35" s="17" t="inlineStr">
        <is>
          <t>CPPLUS</t>
        </is>
      </c>
      <c r="B35" s="18" t="inlineStr">
        <is>
          <t>Aditya Infotech Ltd</t>
        </is>
      </c>
      <c r="C35" s="18" t="inlineStr">
        <is>
          <t>consumer discretionary</t>
        </is>
      </c>
      <c r="D35" s="16" t="n">
        <v>8</v>
      </c>
      <c r="E35" s="16" t="n">
        <v>2</v>
      </c>
      <c r="F35" s="19" t="n">
        <v>45122.59</v>
      </c>
      <c r="J35" s="17" t="inlineStr">
        <is>
          <t>CUB</t>
        </is>
      </c>
      <c r="K35" s="18" t="inlineStr">
        <is>
          <t>bank</t>
        </is>
      </c>
      <c r="L35" s="19" t="n">
        <v>295</v>
      </c>
      <c r="M35" s="19" t="n">
        <v>23082.37</v>
      </c>
      <c r="N35" s="16" t="n">
        <v>13</v>
      </c>
    </row>
    <row r="36">
      <c r="A36" s="17" t="inlineStr">
        <is>
          <t>LOTUSDEV</t>
        </is>
      </c>
      <c r="B36" s="18" t="inlineStr">
        <is>
          <t>Sri Lotus Developers &amp; Realty Ltd</t>
        </is>
      </c>
      <c r="C36" s="18" t="inlineStr">
        <is>
          <t>realty</t>
        </is>
      </c>
      <c r="D36" s="16" t="n">
        <v>8</v>
      </c>
      <c r="E36" s="16" t="n">
        <v>2</v>
      </c>
      <c r="F36" s="19" t="n">
        <v>9716.32</v>
      </c>
      <c r="J36" s="17" t="inlineStr">
        <is>
          <t>INDNIPPON</t>
        </is>
      </c>
      <c r="K36" s="18" t="inlineStr">
        <is>
          <t>auto</t>
        </is>
      </c>
      <c r="L36" s="19" t="n">
        <v>295</v>
      </c>
      <c r="M36" s="19" t="n">
        <v>2538.8</v>
      </c>
      <c r="N36" s="16" t="n">
        <v>8</v>
      </c>
    </row>
    <row r="37">
      <c r="A37" s="17" t="inlineStr">
        <is>
          <t>ANUHPHR</t>
        </is>
      </c>
      <c r="B37" s="18" t="inlineStr">
        <is>
          <t>Anuh Pharma Ltd</t>
        </is>
      </c>
      <c r="C37" s="18" t="inlineStr">
        <is>
          <t>healthcare</t>
        </is>
      </c>
      <c r="D37" s="16" t="n">
        <v>8</v>
      </c>
      <c r="E37" s="16" t="n">
        <v>0</v>
      </c>
      <c r="F37" s="19" t="n">
        <v>957.4400000000001</v>
      </c>
      <c r="J37" s="17" t="inlineStr">
        <is>
          <t>JGCHEM</t>
        </is>
      </c>
      <c r="K37" s="18" t="inlineStr">
        <is>
          <t>chemicals</t>
        </is>
      </c>
      <c r="L37" s="19" t="n">
        <v>290</v>
      </c>
      <c r="M37" s="19" t="n">
        <v>2395.05</v>
      </c>
      <c r="N37" s="16" t="n">
        <v>26</v>
      </c>
    </row>
    <row r="38">
      <c r="A38" s="17" t="inlineStr">
        <is>
          <t>GMMPFAUDLR</t>
        </is>
      </c>
      <c r="B38" s="18" t="inlineStr">
        <is>
          <t>GMM Pfaudler Ltd</t>
        </is>
      </c>
      <c r="C38" s="18" t="inlineStr">
        <is>
          <t>industrials</t>
        </is>
      </c>
      <c r="D38" s="16" t="n">
        <v>7</v>
      </c>
      <c r="E38" s="16" t="n">
        <v>0</v>
      </c>
      <c r="F38" s="19" t="n">
        <v>5777.9</v>
      </c>
      <c r="J38" s="17" t="inlineStr">
        <is>
          <t>MSTCLTD</t>
        </is>
      </c>
      <c r="K38" s="18" t="inlineStr">
        <is>
          <t>i.t</t>
        </is>
      </c>
      <c r="L38" s="19" t="n">
        <v>288</v>
      </c>
      <c r="M38" s="19" t="n">
        <v>5480.99</v>
      </c>
      <c r="N38" s="16" t="n">
        <v>18</v>
      </c>
    </row>
    <row r="39">
      <c r="A39" s="17" t="inlineStr">
        <is>
          <t>PRABHA</t>
        </is>
      </c>
      <c r="B39" s="18" t="inlineStr">
        <is>
          <t>Prabha Energy Ltd</t>
        </is>
      </c>
      <c r="C39" s="18" t="inlineStr">
        <is>
          <t>energy</t>
        </is>
      </c>
      <c r="D39" s="16" t="n">
        <v>7</v>
      </c>
      <c r="E39" s="16" t="n">
        <v>0</v>
      </c>
      <c r="F39" s="19" t="n">
        <v>3716.35</v>
      </c>
      <c r="J39" s="17" t="inlineStr">
        <is>
          <t>VISHNU</t>
        </is>
      </c>
      <c r="K39" s="18" t="inlineStr">
        <is>
          <t>chemicals</t>
        </is>
      </c>
      <c r="L39" s="19" t="n">
        <v>288</v>
      </c>
      <c r="M39" s="19" t="n">
        <v>4924.45</v>
      </c>
      <c r="N39" s="16" t="n">
        <v>18</v>
      </c>
    </row>
    <row r="40">
      <c r="A40" s="17" t="inlineStr">
        <is>
          <t>SUTLEJTEX</t>
        </is>
      </c>
      <c r="B40" s="18" t="inlineStr">
        <is>
          <t>Sutlej Textiles And Industries Limited</t>
        </is>
      </c>
      <c r="C40" s="18" t="inlineStr">
        <is>
          <t>textiles</t>
        </is>
      </c>
      <c r="D40" s="16" t="n">
        <v>7</v>
      </c>
      <c r="E40" s="16" t="n">
        <v>2</v>
      </c>
      <c r="F40" s="19" t="n">
        <v>665.14</v>
      </c>
      <c r="J40" s="17" t="inlineStr">
        <is>
          <t>ORIENTBELL</t>
        </is>
      </c>
      <c r="K40" s="18" t="inlineStr">
        <is>
          <t>building materials</t>
        </is>
      </c>
      <c r="L40" s="19" t="n">
        <v>288</v>
      </c>
      <c r="M40" s="19" t="n">
        <v>603.5700000000001</v>
      </c>
      <c r="N40" s="16" t="n">
        <v>19</v>
      </c>
    </row>
    <row r="41">
      <c r="A41" s="17" t="inlineStr">
        <is>
          <t>WONDERLA</t>
        </is>
      </c>
      <c r="B41" s="18" t="inlineStr">
        <is>
          <t>Wonderla Holidays Limited</t>
        </is>
      </c>
      <c r="C41" s="18" t="inlineStr">
        <is>
          <t>Consumer Cyclical</t>
        </is>
      </c>
      <c r="D41" s="16" t="n">
        <v>6</v>
      </c>
      <c r="E41" s="16" t="n">
        <v>0</v>
      </c>
      <c r="F41" s="19" t="n">
        <v>3279.59</v>
      </c>
      <c r="J41" s="17" t="inlineStr">
        <is>
          <t>OCCLLTD</t>
        </is>
      </c>
      <c r="K41" s="18" t="inlineStr">
        <is>
          <t>chemicals</t>
        </is>
      </c>
      <c r="L41" s="19" t="n">
        <v>288</v>
      </c>
      <c r="M41" s="19" t="n">
        <v>823.38</v>
      </c>
      <c r="N41" s="16" t="n">
        <v>25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125.48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42381.01</v>
      </c>
    </row>
    <row r="48">
      <c r="A48" s="16" t="n">
        <v>2</v>
      </c>
      <c r="B48" s="26" t="n">
        <v>99</v>
      </c>
      <c r="C48" s="27" t="n">
        <v>92.98</v>
      </c>
      <c r="D48" s="27" t="n">
        <v>257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36951.28</v>
      </c>
    </row>
    <row r="49">
      <c r="A49" s="16" t="n">
        <v>3</v>
      </c>
      <c r="B49" s="26" t="n">
        <v>99</v>
      </c>
      <c r="C49" s="27" t="n">
        <v>77.15000000000001</v>
      </c>
      <c r="D49" s="27" t="n">
        <v>285</v>
      </c>
      <c r="E49" s="17" t="inlineStr">
        <is>
          <t>TBZ</t>
        </is>
      </c>
      <c r="F49" s="18" t="inlineStr">
        <is>
          <t>Tribhovandas Bhimji Zaveri Limited</t>
        </is>
      </c>
      <c r="G49" s="18" t="inlineStr">
        <is>
          <t>consumer discretionary</t>
        </is>
      </c>
      <c r="H49" s="19" t="n">
        <v>3705.55</v>
      </c>
    </row>
    <row r="50">
      <c r="A50" s="16" t="n">
        <v>4</v>
      </c>
      <c r="B50" s="26" t="n">
        <v>98</v>
      </c>
      <c r="C50" s="27" t="n">
        <v>68.89</v>
      </c>
      <c r="D50" s="27" t="n">
        <v>273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2295.79</v>
      </c>
    </row>
    <row r="51">
      <c r="A51" s="16" t="n">
        <v>5</v>
      </c>
      <c r="B51" s="26" t="n">
        <v>98</v>
      </c>
      <c r="C51" s="27" t="n">
        <v>68.18000000000001</v>
      </c>
      <c r="D51" s="27" t="n">
        <v>268</v>
      </c>
      <c r="E51" s="17" t="inlineStr">
        <is>
          <t>SIGMAADV</t>
        </is>
      </c>
      <c r="F51" s="18" t="inlineStr">
        <is>
          <t>Sigma Advanced System Ltd</t>
        </is>
      </c>
      <c r="G51" s="18" t="inlineStr">
        <is>
          <t>aerospace &amp; defence</t>
        </is>
      </c>
      <c r="H51" s="19" t="n">
        <v>14726.7</v>
      </c>
    </row>
    <row r="52">
      <c r="A52" s="16" t="n">
        <v>6</v>
      </c>
      <c r="B52" s="26" t="n">
        <v>98</v>
      </c>
      <c r="C52" s="27" t="n">
        <v>66.98</v>
      </c>
      <c r="D52" s="27" t="n">
        <v>285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38381.39</v>
      </c>
    </row>
    <row r="53">
      <c r="A53" s="16" t="n">
        <v>7</v>
      </c>
      <c r="B53" s="26" t="n">
        <v>98</v>
      </c>
      <c r="C53" s="27" t="n">
        <v>66.41</v>
      </c>
      <c r="D53" s="27" t="n">
        <v>265</v>
      </c>
      <c r="E53" s="17" t="inlineStr">
        <is>
          <t>BODALCHEM</t>
        </is>
      </c>
      <c r="F53" s="18" t="inlineStr">
        <is>
          <t>Bodal Chemicals Limited</t>
        </is>
      </c>
      <c r="G53" s="18" t="inlineStr">
        <is>
          <t>chemicals</t>
        </is>
      </c>
      <c r="H53" s="19" t="n">
        <v>2318</v>
      </c>
    </row>
    <row r="54">
      <c r="A54" s="16" t="n">
        <v>8</v>
      </c>
      <c r="B54" s="26" t="n">
        <v>97</v>
      </c>
      <c r="C54" s="27" t="n">
        <v>66.20999999999999</v>
      </c>
      <c r="D54" s="27" t="n">
        <v>273</v>
      </c>
      <c r="E54" s="17" t="inlineStr">
        <is>
          <t>SETL</t>
        </is>
      </c>
      <c r="F54" s="18" t="inlineStr">
        <is>
          <t>Standard Enginnering Technology Ltd</t>
        </is>
      </c>
      <c r="G54" s="18" t="inlineStr">
        <is>
          <t>industrials</t>
        </is>
      </c>
      <c r="H54" s="19" t="n">
        <v>8069.44</v>
      </c>
    </row>
    <row r="55">
      <c r="A55" s="16" t="n">
        <v>9</v>
      </c>
      <c r="B55" s="26" t="n">
        <v>97</v>
      </c>
      <c r="C55" s="27" t="n">
        <v>65.66</v>
      </c>
      <c r="D55" s="27" t="n">
        <v>277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3376.72</v>
      </c>
    </row>
    <row r="56">
      <c r="A56" s="16" t="n">
        <v>10</v>
      </c>
      <c r="B56" s="26" t="n">
        <v>97</v>
      </c>
      <c r="C56" s="27" t="n">
        <v>62.34</v>
      </c>
      <c r="D56" s="27" t="n">
        <v>295</v>
      </c>
      <c r="E56" s="17" t="inlineStr">
        <is>
          <t>MENONBE</t>
        </is>
      </c>
      <c r="F56" s="18" t="inlineStr">
        <is>
          <t>Menon Bearings Limited</t>
        </is>
      </c>
      <c r="G56" s="18" t="inlineStr">
        <is>
          <t>auto</t>
        </is>
      </c>
      <c r="H56" s="19" t="n">
        <v>1631.04</v>
      </c>
    </row>
    <row r="57">
      <c r="A57" s="16" t="n">
        <v>11</v>
      </c>
      <c r="B57" s="26" t="n">
        <v>97</v>
      </c>
      <c r="C57" s="27" t="n">
        <v>60.2</v>
      </c>
      <c r="D57" s="27" t="n">
        <v>275</v>
      </c>
      <c r="E57" s="17" t="inlineStr">
        <is>
          <t>WHEELS</t>
        </is>
      </c>
      <c r="F57" s="18" t="inlineStr">
        <is>
          <t>Wheels India Limited</t>
        </is>
      </c>
      <c r="G57" s="18" t="inlineStr">
        <is>
          <t>auto</t>
        </is>
      </c>
      <c r="H57" s="19" t="n">
        <v>5146.57</v>
      </c>
    </row>
    <row r="58">
      <c r="A58" s="16" t="n">
        <v>12</v>
      </c>
      <c r="B58" s="26" t="n">
        <v>96</v>
      </c>
      <c r="C58" s="27" t="n">
        <v>59.85</v>
      </c>
      <c r="D58" s="27" t="n">
        <v>283</v>
      </c>
      <c r="E58" s="17" t="inlineStr">
        <is>
          <t>ATHERENERG</t>
        </is>
      </c>
      <c r="F58" s="18" t="inlineStr">
        <is>
          <t>Ather Energy Ltd</t>
        </is>
      </c>
      <c r="G58" s="18" t="inlineStr">
        <is>
          <t>auto</t>
        </is>
      </c>
      <c r="H58" s="19" t="n">
        <v>62192.97</v>
      </c>
    </row>
    <row r="59">
      <c r="A59" s="16" t="n">
        <v>13</v>
      </c>
      <c r="B59" s="26" t="n">
        <v>96</v>
      </c>
      <c r="C59" s="27" t="n">
        <v>59.04</v>
      </c>
      <c r="D59" s="27" t="n">
        <v>278</v>
      </c>
      <c r="E59" s="17" t="inlineStr">
        <is>
          <t>RPEL</t>
        </is>
      </c>
      <c r="F59" s="18" t="inlineStr">
        <is>
          <t>Raghav Productivity Enhancers Ltd</t>
        </is>
      </c>
      <c r="G59" s="18" t="inlineStr">
        <is>
          <t>building materials</t>
        </is>
      </c>
      <c r="H59" s="19" t="n">
        <v>7772.75</v>
      </c>
    </row>
    <row r="60">
      <c r="A60" s="16" t="n">
        <v>14</v>
      </c>
      <c r="B60" s="26" t="n">
        <v>96</v>
      </c>
      <c r="C60" s="27" t="n">
        <v>56.08</v>
      </c>
      <c r="D60" s="27" t="n">
        <v>278</v>
      </c>
      <c r="E60" s="17" t="inlineStr">
        <is>
          <t>WELCORP</t>
        </is>
      </c>
      <c r="F60" s="18" t="inlineStr">
        <is>
          <t>Welspun Corp Limited</t>
        </is>
      </c>
      <c r="G60" s="18" t="inlineStr">
        <is>
          <t>industrials</t>
        </is>
      </c>
      <c r="H60" s="19" t="n">
        <v>68572.38</v>
      </c>
    </row>
    <row r="61">
      <c r="A61" s="16" t="n">
        <v>15</v>
      </c>
      <c r="B61" s="26" t="n">
        <v>96</v>
      </c>
      <c r="C61" s="27" t="n">
        <v>54.54</v>
      </c>
      <c r="D61" s="27" t="n">
        <v>283</v>
      </c>
      <c r="E61" s="17" t="inlineStr">
        <is>
          <t>SWANDEF</t>
        </is>
      </c>
      <c r="F61" s="18" t="inlineStr">
        <is>
          <t>Swan Defence and Heavy Industries Ltd</t>
        </is>
      </c>
      <c r="G61" s="18" t="inlineStr">
        <is>
          <t>transportation</t>
        </is>
      </c>
      <c r="H61" s="19" t="n">
        <v>13086.25</v>
      </c>
    </row>
    <row r="62">
      <c r="A62" s="16" t="n">
        <v>16</v>
      </c>
      <c r="B62" s="26" t="n">
        <v>96</v>
      </c>
      <c r="C62" s="27" t="n">
        <v>53.65</v>
      </c>
      <c r="D62" s="27" t="n">
        <v>270</v>
      </c>
      <c r="E62" s="17" t="inlineStr">
        <is>
          <t>BLISSGVS</t>
        </is>
      </c>
      <c r="F62" s="18" t="inlineStr">
        <is>
          <t>Bliss Gvs Pharma Limited</t>
        </is>
      </c>
      <c r="G62" s="18" t="inlineStr">
        <is>
          <t>healthcare</t>
        </is>
      </c>
      <c r="H62" s="19" t="n">
        <v>7660.44</v>
      </c>
    </row>
    <row r="63">
      <c r="A63" s="16" t="n">
        <v>17</v>
      </c>
      <c r="B63" s="26" t="n">
        <v>95</v>
      </c>
      <c r="C63" s="27" t="n">
        <v>53.2</v>
      </c>
      <c r="D63" s="27" t="n">
        <v>265</v>
      </c>
      <c r="E63" s="17" t="inlineStr">
        <is>
          <t>SAPL</t>
        </is>
      </c>
      <c r="F63" s="18" t="inlineStr">
        <is>
          <t>Sar Auto Products Limited</t>
        </is>
      </c>
      <c r="G63" s="18" t="inlineStr">
        <is>
          <t>Consumer Cyclical</t>
        </is>
      </c>
      <c r="H63" s="19" t="n">
        <v>2353.5</v>
      </c>
    </row>
    <row r="64">
      <c r="A64" s="16" t="n">
        <v>18</v>
      </c>
      <c r="B64" s="26" t="n">
        <v>95</v>
      </c>
      <c r="C64" s="27" t="n">
        <v>53.08</v>
      </c>
      <c r="D64" s="27" t="n">
        <v>277</v>
      </c>
      <c r="E64" s="17" t="inlineStr">
        <is>
          <t>MOREPENLAB</t>
        </is>
      </c>
      <c r="F64" s="18" t="inlineStr">
        <is>
          <t>Morepen Laboratories Limited</t>
        </is>
      </c>
      <c r="G64" s="18" t="inlineStr">
        <is>
          <t>healthcare</t>
        </is>
      </c>
      <c r="H64" s="19" t="n">
        <v>6419.83</v>
      </c>
    </row>
    <row r="65">
      <c r="A65" s="16" t="n">
        <v>19</v>
      </c>
      <c r="B65" s="26" t="n">
        <v>95</v>
      </c>
      <c r="C65" s="27" t="n">
        <v>51.67</v>
      </c>
      <c r="D65" s="27" t="n">
        <v>233</v>
      </c>
      <c r="E65" s="17" t="inlineStr">
        <is>
          <t>SALSTEEL</t>
        </is>
      </c>
      <c r="F65" s="18" t="inlineStr">
        <is>
          <t>SAL Steel</t>
        </is>
      </c>
      <c r="G65" s="18" t="inlineStr">
        <is>
          <t>metals &amp; mining</t>
        </is>
      </c>
      <c r="H65" s="19" t="n">
        <v>1152.78</v>
      </c>
    </row>
    <row r="66">
      <c r="A66" s="16" t="n">
        <v>20</v>
      </c>
      <c r="B66" s="26" t="n">
        <v>95</v>
      </c>
      <c r="C66" s="27" t="n">
        <v>51.19</v>
      </c>
      <c r="D66" s="27" t="n">
        <v>280</v>
      </c>
      <c r="E66" s="17" t="inlineStr">
        <is>
          <t>MODISONLTD</t>
        </is>
      </c>
      <c r="F66" s="18" t="inlineStr">
        <is>
          <t>Modison Ltd</t>
        </is>
      </c>
      <c r="G66" s="18" t="inlineStr">
        <is>
          <t>industrials</t>
        </is>
      </c>
      <c r="H66" s="19" t="n">
        <v>1620.39</v>
      </c>
    </row>
    <row r="67">
      <c r="A67" s="16" t="n">
        <v>21</v>
      </c>
      <c r="B67" s="28" t="n">
        <v>94</v>
      </c>
      <c r="C67" s="27" t="n">
        <v>51.07</v>
      </c>
      <c r="D67" s="27" t="n">
        <v>285</v>
      </c>
      <c r="E67" s="17" t="inlineStr">
        <is>
          <t>BIRLACABLE</t>
        </is>
      </c>
      <c r="F67" s="18" t="inlineStr">
        <is>
          <t>Birla Cable Limited</t>
        </is>
      </c>
      <c r="G67" s="18" t="inlineStr">
        <is>
          <t>industrials</t>
        </is>
      </c>
      <c r="H67" s="19" t="n">
        <v>1019.7</v>
      </c>
    </row>
    <row r="68">
      <c r="A68" s="16" t="n">
        <v>22</v>
      </c>
      <c r="B68" s="28" t="n">
        <v>94</v>
      </c>
      <c r="C68" s="27" t="n">
        <v>51.04</v>
      </c>
      <c r="D68" s="27" t="n">
        <v>260</v>
      </c>
      <c r="E68" s="17" t="inlineStr">
        <is>
          <t>AEROFLEX</t>
        </is>
      </c>
      <c r="F68" s="18" t="inlineStr">
        <is>
          <t>Aeroflex Industries Ltd</t>
        </is>
      </c>
      <c r="G68" s="18" t="inlineStr">
        <is>
          <t>metals &amp; mining</t>
        </is>
      </c>
      <c r="H68" s="19" t="n">
        <v>7589.17</v>
      </c>
    </row>
    <row r="69">
      <c r="A69" s="16" t="n">
        <v>23</v>
      </c>
      <c r="B69" s="28" t="n">
        <v>94</v>
      </c>
      <c r="C69" s="27" t="n">
        <v>50.45</v>
      </c>
      <c r="D69" s="27" t="n">
        <v>273</v>
      </c>
      <c r="E69" s="17" t="inlineStr">
        <is>
          <t>UNIVASTU</t>
        </is>
      </c>
      <c r="F69" s="18" t="inlineStr">
        <is>
          <t>Univastu India Ltd</t>
        </is>
      </c>
      <c r="G69" s="18" t="inlineStr">
        <is>
          <t>realty</t>
        </is>
      </c>
      <c r="H69" s="19" t="n">
        <v>622.74</v>
      </c>
    </row>
    <row r="70">
      <c r="A70" s="16" t="n">
        <v>24</v>
      </c>
      <c r="B70" s="28" t="n">
        <v>94</v>
      </c>
      <c r="C70" s="27" t="n">
        <v>49.4</v>
      </c>
      <c r="D70" s="27" t="n">
        <v>248</v>
      </c>
      <c r="E70" s="17" t="inlineStr">
        <is>
          <t>PVP</t>
        </is>
      </c>
      <c r="F70" s="18" t="inlineStr">
        <is>
          <t>Pvp Ventures Limited</t>
        </is>
      </c>
      <c r="G70" s="18" t="inlineStr">
        <is>
          <t>realty</t>
        </is>
      </c>
      <c r="H70" s="19" t="n">
        <v>1668.41</v>
      </c>
    </row>
    <row r="71">
      <c r="A71" s="16" t="n">
        <v>25</v>
      </c>
      <c r="B71" s="28" t="n">
        <v>93</v>
      </c>
      <c r="C71" s="27" t="n">
        <v>48.92</v>
      </c>
      <c r="D71" s="27" t="n">
        <v>298</v>
      </c>
      <c r="E71" s="17" t="inlineStr">
        <is>
          <t>VINDHYATEL</t>
        </is>
      </c>
      <c r="F71" s="18" t="inlineStr">
        <is>
          <t>Vindhya Telelinks Limited</t>
        </is>
      </c>
      <c r="G71" s="18" t="inlineStr">
        <is>
          <t>realty</t>
        </is>
      </c>
      <c r="H71" s="19" t="n">
        <v>3310.78</v>
      </c>
    </row>
    <row r="72">
      <c r="A72" s="16" t="n">
        <v>26</v>
      </c>
      <c r="B72" s="28" t="n">
        <v>93</v>
      </c>
      <c r="C72" s="27" t="n">
        <v>46.61</v>
      </c>
      <c r="D72" s="27" t="n">
        <v>273</v>
      </c>
      <c r="E72" s="17" t="inlineStr">
        <is>
          <t>CYIENTDLM</t>
        </is>
      </c>
      <c r="F72" s="18" t="inlineStr">
        <is>
          <t>Cyient DLM Ltd</t>
        </is>
      </c>
      <c r="G72" s="18" t="inlineStr">
        <is>
          <t>aerospace &amp; defence</t>
        </is>
      </c>
      <c r="H72" s="19" t="n">
        <v>7749.8</v>
      </c>
    </row>
    <row r="73">
      <c r="A73" s="16" t="n">
        <v>27</v>
      </c>
      <c r="B73" s="28" t="n">
        <v>93</v>
      </c>
      <c r="C73" s="27" t="n">
        <v>46.2</v>
      </c>
      <c r="D73" s="27" t="n">
        <v>300</v>
      </c>
      <c r="E73" s="17" t="inlineStr">
        <is>
          <t>BHAGYANGR</t>
        </is>
      </c>
      <c r="F73" s="18" t="inlineStr">
        <is>
          <t>Bhagyanagar India</t>
        </is>
      </c>
      <c r="G73" s="18" t="inlineStr">
        <is>
          <t>power &amp; utilities</t>
        </is>
      </c>
      <c r="H73" s="19" t="n">
        <v>1313.23</v>
      </c>
    </row>
    <row r="74">
      <c r="A74" s="16" t="n">
        <v>28</v>
      </c>
      <c r="B74" s="28" t="n">
        <v>93</v>
      </c>
      <c r="C74" s="27" t="n">
        <v>44.77</v>
      </c>
      <c r="D74" s="27" t="n">
        <v>270</v>
      </c>
      <c r="E74" s="17" t="inlineStr">
        <is>
          <t>BAFNAPH</t>
        </is>
      </c>
      <c r="F74" s="18" t="inlineStr">
        <is>
          <t>Bafna Pharmaceuticals Ltd</t>
        </is>
      </c>
      <c r="G74" s="18" t="inlineStr">
        <is>
          <t>healthcare</t>
        </is>
      </c>
      <c r="H74" s="19" t="n">
        <v>728.02</v>
      </c>
    </row>
    <row r="75">
      <c r="A75" s="16" t="n">
        <v>29</v>
      </c>
      <c r="B75" s="28" t="n">
        <v>92</v>
      </c>
      <c r="C75" s="27" t="n">
        <v>43.75</v>
      </c>
      <c r="D75" s="27" t="n">
        <v>248</v>
      </c>
      <c r="E75" s="17" t="inlineStr">
        <is>
          <t>MAHASTEEL</t>
        </is>
      </c>
      <c r="F75" s="18" t="inlineStr">
        <is>
          <t>Mahamaya Steel Industries Limited</t>
        </is>
      </c>
      <c r="G75" s="18" t="inlineStr">
        <is>
          <t>metals &amp; mining</t>
        </is>
      </c>
      <c r="H75" s="19" t="n">
        <v>2122.34</v>
      </c>
    </row>
    <row r="76">
      <c r="A76" s="16" t="n">
        <v>30</v>
      </c>
      <c r="B76" s="28" t="n">
        <v>92</v>
      </c>
      <c r="C76" s="27" t="n">
        <v>41.89</v>
      </c>
      <c r="D76" s="27" t="n">
        <v>272</v>
      </c>
      <c r="E76" s="17" t="inlineStr">
        <is>
          <t>SHUKRAPHAR</t>
        </is>
      </c>
      <c r="F76" s="18" t="inlineStr">
        <is>
          <t>Shukra Pharmaceuticals Limited</t>
        </is>
      </c>
      <c r="G76" s="18" t="inlineStr">
        <is>
          <t>Healthcare</t>
        </is>
      </c>
      <c r="H76" s="19" t="n">
        <v>2481.63</v>
      </c>
    </row>
    <row r="77">
      <c r="A77" s="16" t="n">
        <v>31</v>
      </c>
      <c r="B77" s="28" t="n">
        <v>92</v>
      </c>
      <c r="C77" s="27" t="n">
        <v>41.56</v>
      </c>
      <c r="D77" s="27" t="n">
        <v>243</v>
      </c>
      <c r="E77" s="17" t="inlineStr">
        <is>
          <t>RATNAVEER</t>
        </is>
      </c>
      <c r="F77" s="18" t="inlineStr">
        <is>
          <t>Ratnaveer Precision Engineering Ltd</t>
        </is>
      </c>
      <c r="G77" s="18" t="inlineStr">
        <is>
          <t>metals &amp; mining</t>
        </is>
      </c>
      <c r="H77" s="19" t="n">
        <v>2127.09</v>
      </c>
    </row>
    <row r="78">
      <c r="A78" s="16" t="n">
        <v>32</v>
      </c>
      <c r="B78" s="28" t="n">
        <v>92</v>
      </c>
      <c r="C78" s="27" t="n">
        <v>41.23</v>
      </c>
      <c r="D78" s="27" t="n">
        <v>272</v>
      </c>
      <c r="E78" s="17" t="inlineStr">
        <is>
          <t>KPL</t>
        </is>
      </c>
      <c r="F78" s="18" t="inlineStr">
        <is>
          <t>Kwality Pharmaceuticals Limited</t>
        </is>
      </c>
      <c r="G78" s="18" t="inlineStr">
        <is>
          <t>Healthcare</t>
        </is>
      </c>
      <c r="H78" s="19" t="n">
        <v>3714.52</v>
      </c>
    </row>
    <row r="79">
      <c r="A79" s="16" t="n">
        <v>33</v>
      </c>
      <c r="B79" s="28" t="n">
        <v>92</v>
      </c>
      <c r="C79" s="27" t="n">
        <v>41.01</v>
      </c>
      <c r="D79" s="27" t="n">
        <v>258</v>
      </c>
      <c r="E79" s="17" t="inlineStr">
        <is>
          <t>MTARTECH</t>
        </is>
      </c>
      <c r="F79" s="18" t="inlineStr">
        <is>
          <t>MTAR Technologies Ltd</t>
        </is>
      </c>
      <c r="G79" s="18" t="inlineStr">
        <is>
          <t>aerospace &amp; defence</t>
        </is>
      </c>
      <c r="H79" s="19" t="n">
        <v>23990.94</v>
      </c>
    </row>
    <row r="80">
      <c r="A80" s="16" t="n">
        <v>34</v>
      </c>
      <c r="B80" s="28" t="n">
        <v>91</v>
      </c>
      <c r="C80" s="27" t="n">
        <v>40.53</v>
      </c>
      <c r="D80" s="27" t="n">
        <v>263</v>
      </c>
      <c r="E80" s="17" t="inlineStr">
        <is>
          <t>RISHABH</t>
        </is>
      </c>
      <c r="F80" s="18" t="inlineStr">
        <is>
          <t>Rishabh Instruments Ltd</t>
        </is>
      </c>
      <c r="G80" s="18" t="inlineStr">
        <is>
          <t>industrials</t>
        </is>
      </c>
      <c r="H80" s="19" t="n">
        <v>3115.67</v>
      </c>
    </row>
    <row r="81">
      <c r="A81" s="16" t="n">
        <v>35</v>
      </c>
      <c r="B81" s="28" t="n">
        <v>91</v>
      </c>
      <c r="C81" s="27" t="n">
        <v>40.24</v>
      </c>
      <c r="D81" s="27" t="n">
        <v>260</v>
      </c>
      <c r="E81" s="17" t="inlineStr">
        <is>
          <t>SBCL</t>
        </is>
      </c>
      <c r="F81" s="18" t="inlineStr">
        <is>
          <t>Shivalik Bimetal Controls Ltd</t>
        </is>
      </c>
      <c r="G81" s="18" t="inlineStr">
        <is>
          <t>metals &amp; mining</t>
        </is>
      </c>
      <c r="H81" s="19" t="n">
        <v>6366.42</v>
      </c>
    </row>
    <row r="82">
      <c r="A82" s="16" t="n">
        <v>36</v>
      </c>
      <c r="B82" s="28" t="n">
        <v>91</v>
      </c>
      <c r="C82" s="27" t="n">
        <v>40.2</v>
      </c>
      <c r="D82" s="27" t="n">
        <v>272</v>
      </c>
      <c r="E82" s="17" t="inlineStr">
        <is>
          <t>SHILPAMED</t>
        </is>
      </c>
      <c r="F82" s="18" t="inlineStr">
        <is>
          <t>Shilpa Medicare Limited</t>
        </is>
      </c>
      <c r="G82" s="18" t="inlineStr">
        <is>
          <t>healthcare</t>
        </is>
      </c>
      <c r="H82" s="19" t="n">
        <v>18773.9</v>
      </c>
    </row>
    <row r="83">
      <c r="A83" s="16" t="n">
        <v>37</v>
      </c>
      <c r="B83" s="28" t="n">
        <v>91</v>
      </c>
      <c r="C83" s="27" t="n">
        <v>40.18</v>
      </c>
      <c r="D83" s="27" t="n">
        <v>275</v>
      </c>
      <c r="E83" s="17" t="inlineStr">
        <is>
          <t>SANSERA</t>
        </is>
      </c>
      <c r="F83" s="18" t="inlineStr">
        <is>
          <t>Sansera Engineering Ltd</t>
        </is>
      </c>
      <c r="G83" s="18" t="inlineStr">
        <is>
          <t>auto</t>
        </is>
      </c>
      <c r="H83" s="19" t="n">
        <v>25171.1</v>
      </c>
    </row>
    <row r="84">
      <c r="A84" s="16" t="n">
        <v>38</v>
      </c>
      <c r="B84" s="28" t="n">
        <v>90</v>
      </c>
      <c r="C84" s="27" t="n">
        <v>39.94</v>
      </c>
      <c r="D84" s="27" t="n">
        <v>248</v>
      </c>
      <c r="E84" s="17" t="inlineStr">
        <is>
          <t>DEEDEV</t>
        </is>
      </c>
      <c r="F84" s="18" t="inlineStr">
        <is>
          <t>DEE Development Engineers Ltd</t>
        </is>
      </c>
      <c r="G84" s="18" t="inlineStr">
        <is>
          <t>metals &amp; mining</t>
        </is>
      </c>
      <c r="H84" s="19" t="n">
        <v>5278.8</v>
      </c>
    </row>
    <row r="85">
      <c r="A85" s="16" t="n">
        <v>39</v>
      </c>
      <c r="B85" s="28" t="n">
        <v>90</v>
      </c>
      <c r="C85" s="27" t="n">
        <v>39.44</v>
      </c>
      <c r="D85" s="27" t="n">
        <v>270</v>
      </c>
      <c r="E85" s="17" t="inlineStr">
        <is>
          <t>SKYGOLD</t>
        </is>
      </c>
      <c r="F85" s="18" t="inlineStr">
        <is>
          <t>Sky Gold Ltd</t>
        </is>
      </c>
      <c r="G85" s="18" t="inlineStr">
        <is>
          <t>consumer discretionary</t>
        </is>
      </c>
      <c r="H85" s="19" t="n">
        <v>12699.66</v>
      </c>
    </row>
    <row r="86">
      <c r="A86" s="16" t="n">
        <v>40</v>
      </c>
      <c r="B86" s="28" t="n">
        <v>90</v>
      </c>
      <c r="C86" s="27" t="n">
        <v>37.65</v>
      </c>
      <c r="D86" s="27" t="n">
        <v>273</v>
      </c>
      <c r="E86" s="17" t="inlineStr">
        <is>
          <t>UNIVPHOTO</t>
        </is>
      </c>
      <c r="F86" s="18" t="inlineStr">
        <is>
          <t>Universus Photo Imagings Ltd</t>
        </is>
      </c>
      <c r="G86" s="18" t="inlineStr">
        <is>
          <t>consumer discretionary</t>
        </is>
      </c>
      <c r="H86" s="19" t="n">
        <v>591.77</v>
      </c>
    </row>
    <row r="87">
      <c r="A87" s="16" t="n">
        <v>41</v>
      </c>
      <c r="B87" s="28" t="n">
        <v>90</v>
      </c>
      <c r="C87" s="27" t="n">
        <v>37.54</v>
      </c>
      <c r="D87" s="27" t="n">
        <v>272</v>
      </c>
      <c r="E87" s="17" t="inlineStr">
        <is>
          <t>SAKAR</t>
        </is>
      </c>
      <c r="F87" s="18" t="inlineStr">
        <is>
          <t>Sakar Healthcare Ltd</t>
        </is>
      </c>
      <c r="G87" s="18" t="inlineStr">
        <is>
          <t>healthcare</t>
        </is>
      </c>
      <c r="H87" s="19" t="n">
        <v>2576.21</v>
      </c>
    </row>
    <row r="8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SREEL</t>
        </is>
      </c>
      <c r="B2" s="30" t="inlineStr">
        <is>
          <t>Sreeleathers Limited</t>
        </is>
      </c>
      <c r="C2" s="30" t="inlineStr">
        <is>
          <t>consumer discretionary</t>
        </is>
      </c>
      <c r="D2" s="30" t="inlineStr">
        <is>
          <t>trading</t>
        </is>
      </c>
      <c r="E2" s="30" t="inlineStr">
        <is>
          <t>smallcap</t>
        </is>
      </c>
      <c r="F2" s="30" t="n">
        <v>665.73</v>
      </c>
      <c r="G2" s="30" t="n">
        <v>345.01</v>
      </c>
      <c r="H2" s="30" t="n">
        <v>20</v>
      </c>
      <c r="I2" s="30" t="n">
        <v>635232</v>
      </c>
      <c r="J2" s="30" t="inlineStr">
        <is>
          <t>535601</t>
        </is>
      </c>
    </row>
    <row r="3">
      <c r="A3" s="30" t="inlineStr">
        <is>
          <t>NOVARTIND</t>
        </is>
      </c>
      <c r="B3" s="30" t="inlineStr">
        <is>
          <t>Novartis India Ltd</t>
        </is>
      </c>
      <c r="C3" s="30" t="inlineStr">
        <is>
          <t>healthcare</t>
        </is>
      </c>
      <c r="D3" s="30" t="inlineStr">
        <is>
          <t>pharmaceuticals - multinational</t>
        </is>
      </c>
      <c r="E3" s="30" t="inlineStr">
        <is>
          <t>smallcap</t>
        </is>
      </c>
      <c r="F3" s="30" t="n">
        <v>4498.66</v>
      </c>
      <c r="G3" s="30" t="n">
        <v>2186.4</v>
      </c>
      <c r="H3" s="30" t="n">
        <v>20</v>
      </c>
      <c r="I3" s="30" t="n">
        <v>785816</v>
      </c>
      <c r="J3" s="30" t="inlineStr">
        <is>
          <t>500672</t>
        </is>
      </c>
    </row>
    <row r="4">
      <c r="A4" s="30" t="inlineStr">
        <is>
          <t>BIL</t>
        </is>
      </c>
      <c r="B4" s="30" t="inlineStr">
        <is>
          <t>Bhartiya International Limited</t>
        </is>
      </c>
      <c r="C4" s="30" t="inlineStr">
        <is>
          <t>consumer discretionary</t>
        </is>
      </c>
      <c r="D4" s="30" t="inlineStr">
        <is>
          <t>leather / leather products</t>
        </is>
      </c>
      <c r="E4" s="30" t="inlineStr">
        <is>
          <t>smallcap</t>
        </is>
      </c>
      <c r="F4" s="30" t="n">
        <v>1256.35</v>
      </c>
      <c r="G4" s="30" t="n">
        <v>1108.2</v>
      </c>
      <c r="H4" s="30" t="n">
        <v>18.29</v>
      </c>
      <c r="I4" s="30" t="n">
        <v>191572</v>
      </c>
      <c r="J4" s="30" t="inlineStr">
        <is>
          <t>526666</t>
        </is>
      </c>
    </row>
    <row r="5">
      <c r="A5" s="30" t="inlineStr">
        <is>
          <t>INDNIPPON</t>
        </is>
      </c>
      <c r="B5" s="30" t="inlineStr">
        <is>
          <t>India Nippon Electricals Limited</t>
        </is>
      </c>
      <c r="C5" s="30" t="inlineStr">
        <is>
          <t>auto</t>
        </is>
      </c>
      <c r="D5" s="30" t="inlineStr">
        <is>
          <t>auto ancillaries</t>
        </is>
      </c>
      <c r="E5" s="30" t="inlineStr">
        <is>
          <t>smallcap</t>
        </is>
      </c>
      <c r="F5" s="30" t="n">
        <v>2538.8</v>
      </c>
      <c r="G5" s="30" t="n">
        <v>1313.3</v>
      </c>
      <c r="H5" s="30" t="n">
        <v>17.02</v>
      </c>
      <c r="I5" s="30" t="n">
        <v>1613322</v>
      </c>
      <c r="J5" s="30" t="inlineStr">
        <is>
          <t>532240</t>
        </is>
      </c>
    </row>
    <row r="6">
      <c r="A6" s="30" t="inlineStr">
        <is>
          <t>GRAPHITE</t>
        </is>
      </c>
      <c r="B6" s="30" t="inlineStr">
        <is>
          <t>Graphite India Limited</t>
        </is>
      </c>
      <c r="C6" s="30" t="inlineStr">
        <is>
          <t>industrials</t>
        </is>
      </c>
      <c r="D6" s="30" t="inlineStr">
        <is>
          <t>electrodes - graphites</t>
        </is>
      </c>
      <c r="E6" s="30" t="inlineStr">
        <is>
          <t>midcap</t>
        </is>
      </c>
      <c r="F6" s="30" t="n">
        <v>14345.45</v>
      </c>
      <c r="G6" s="30" t="n">
        <v>844.65</v>
      </c>
      <c r="H6" s="30" t="n">
        <v>15.04</v>
      </c>
      <c r="I6" s="30" t="n">
        <v>36292952</v>
      </c>
      <c r="J6" s="30" t="inlineStr">
        <is>
          <t>509488</t>
        </is>
      </c>
    </row>
    <row r="7">
      <c r="A7" s="30" t="inlineStr">
        <is>
          <t>INDORAMA</t>
        </is>
      </c>
      <c r="B7" s="30" t="inlineStr">
        <is>
          <t>Indo Rama Synthetics (india) Limited</t>
        </is>
      </c>
      <c r="C7" s="30" t="inlineStr">
        <is>
          <t>textiles</t>
        </is>
      </c>
      <c r="D7" s="30" t="inlineStr">
        <is>
          <t>textiles - manmade</t>
        </is>
      </c>
      <c r="E7" s="30" t="inlineStr">
        <is>
          <t>smallcap</t>
        </is>
      </c>
      <c r="F7" s="30" t="n">
        <v>1957.83</v>
      </c>
      <c r="G7" s="30" t="n">
        <v>86.13</v>
      </c>
      <c r="H7" s="30" t="n">
        <v>14.87</v>
      </c>
      <c r="I7" s="30" t="n">
        <v>7613089</v>
      </c>
      <c r="J7" s="30" t="inlineStr">
        <is>
          <t>500207</t>
        </is>
      </c>
    </row>
    <row r="8">
      <c r="A8" s="30" t="inlineStr">
        <is>
          <t>ASTEC</t>
        </is>
      </c>
      <c r="B8" s="30" t="inlineStr">
        <is>
          <t>Astec Lifesciences Limited</t>
        </is>
      </c>
      <c r="C8" s="30" t="inlineStr">
        <is>
          <t>chemicals</t>
        </is>
      </c>
      <c r="D8" s="30" t="inlineStr">
        <is>
          <t>pesticides / agrochemicals - indian</t>
        </is>
      </c>
      <c r="E8" s="30" t="inlineStr">
        <is>
          <t>smallcap</t>
        </is>
      </c>
      <c r="F8" s="30" t="n">
        <v>1476.91</v>
      </c>
      <c r="G8" s="30" t="n">
        <v>761</v>
      </c>
      <c r="H8" s="30" t="n">
        <v>14.82</v>
      </c>
      <c r="I8" s="30" t="n">
        <v>5356635</v>
      </c>
      <c r="J8" s="30" t="inlineStr">
        <is>
          <t>533138</t>
        </is>
      </c>
    </row>
    <row r="9">
      <c r="A9" s="30" t="inlineStr">
        <is>
          <t>WHEELS</t>
        </is>
      </c>
      <c r="B9" s="30" t="inlineStr">
        <is>
          <t>Wheels India Limited</t>
        </is>
      </c>
      <c r="C9" s="30" t="inlineStr">
        <is>
          <t>auto</t>
        </is>
      </c>
      <c r="D9" s="30" t="inlineStr">
        <is>
          <t>auto ancillaries</t>
        </is>
      </c>
      <c r="E9" s="30" t="inlineStr">
        <is>
          <t>midcap</t>
        </is>
      </c>
      <c r="F9" s="30" t="n">
        <v>5146.57</v>
      </c>
      <c r="G9" s="30" t="n">
        <v>2400.6</v>
      </c>
      <c r="H9" s="30" t="n">
        <v>13.97</v>
      </c>
      <c r="I9" s="30" t="n">
        <v>6608762</v>
      </c>
      <c r="J9" s="30" t="inlineStr">
        <is>
          <t>590073</t>
        </is>
      </c>
    </row>
    <row r="10">
      <c r="A10" s="30" t="inlineStr">
        <is>
          <t>SHAREINDIA</t>
        </is>
      </c>
      <c r="B10" s="30" t="inlineStr">
        <is>
          <t>Share India Securities Ltd</t>
        </is>
      </c>
      <c r="C10" s="30" t="inlineStr">
        <is>
          <t>financials</t>
        </is>
      </c>
      <c r="D10" s="30" t="inlineStr">
        <is>
          <t>finance &amp; investments</t>
        </is>
      </c>
      <c r="E10" s="30" t="inlineStr">
        <is>
          <t>smallcap</t>
        </is>
      </c>
      <c r="F10" s="30" t="n">
        <v>3739.95</v>
      </c>
      <c r="G10" s="30" t="n">
        <v>189.46</v>
      </c>
      <c r="H10" s="30" t="n">
        <v>10.85</v>
      </c>
      <c r="I10" s="30" t="n">
        <v>28867559</v>
      </c>
      <c r="J10" s="30" t="inlineStr">
        <is>
          <t>540725</t>
        </is>
      </c>
    </row>
    <row r="11">
      <c r="A11" s="30" t="inlineStr">
        <is>
          <t>CHENNPETRO</t>
        </is>
      </c>
      <c r="B11" s="30" t="inlineStr">
        <is>
          <t>Chennai Petroleum Corporation Limited</t>
        </is>
      </c>
      <c r="C11" s="30" t="inlineStr">
        <is>
          <t>energy</t>
        </is>
      </c>
      <c r="D11" s="30" t="inlineStr">
        <is>
          <t>refineries</t>
        </is>
      </c>
      <c r="E11" s="30" t="inlineStr">
        <is>
          <t>largecap</t>
        </is>
      </c>
      <c r="F11" s="30" t="n">
        <v>21708.3</v>
      </c>
      <c r="G11" s="30" t="n">
        <v>1604.4</v>
      </c>
      <c r="H11" s="30" t="n">
        <v>10.06</v>
      </c>
      <c r="I11" s="30" t="n">
        <v>8400385</v>
      </c>
      <c r="J11" s="30" t="inlineStr">
        <is>
          <t>500110</t>
        </is>
      </c>
    </row>
    <row r="12">
      <c r="A12" s="30" t="inlineStr">
        <is>
          <t>CONFIPET</t>
        </is>
      </c>
      <c r="B12" s="30" t="inlineStr">
        <is>
          <t>Confidence Petroleum India Ltd</t>
        </is>
      </c>
      <c r="C12" s="30" t="inlineStr">
        <is>
          <t>miscellaneous</t>
        </is>
      </c>
      <c r="D12" s="30" t="inlineStr">
        <is>
          <t>miscellaneous</t>
        </is>
      </c>
      <c r="E12" s="30" t="inlineStr">
        <is>
          <t>smallcap</t>
        </is>
      </c>
      <c r="F12" s="30" t="n">
        <v>2740.66</v>
      </c>
      <c r="G12" s="30" t="n">
        <v>90.66</v>
      </c>
      <c r="H12" s="30" t="n">
        <v>9.9</v>
      </c>
      <c r="I12" s="30" t="n">
        <v>15689882</v>
      </c>
      <c r="J12" s="30" t="inlineStr">
        <is>
          <t>526829</t>
        </is>
      </c>
    </row>
    <row r="13">
      <c r="A13" s="30" t="inlineStr">
        <is>
          <t>LIKHITHA</t>
        </is>
      </c>
      <c r="B13" s="30" t="inlineStr">
        <is>
          <t>Likhitha Infrastructure Ltd</t>
        </is>
      </c>
      <c r="C13" s="30" t="inlineStr">
        <is>
          <t>realty</t>
        </is>
      </c>
      <c r="D13" s="30" t="inlineStr">
        <is>
          <t>construction</t>
        </is>
      </c>
      <c r="E13" s="30" t="inlineStr">
        <is>
          <t>smallcap</t>
        </is>
      </c>
      <c r="F13" s="30" t="n">
        <v>803.87</v>
      </c>
      <c r="G13" s="30" t="n">
        <v>221.61</v>
      </c>
      <c r="H13" s="30" t="n">
        <v>8.76</v>
      </c>
      <c r="I13" s="30" t="n">
        <v>1147269</v>
      </c>
      <c r="J13" s="30" t="inlineStr">
        <is>
          <t>543240</t>
        </is>
      </c>
    </row>
    <row r="14">
      <c r="A14" s="30" t="inlineStr">
        <is>
          <t>MRPL</t>
        </is>
      </c>
      <c r="B14" s="30" t="inlineStr">
        <is>
          <t>Mangalore Refinery And Petrochemicals Limited</t>
        </is>
      </c>
      <c r="C14" s="30" t="inlineStr">
        <is>
          <t>energy</t>
        </is>
      </c>
      <c r="D14" s="30" t="inlineStr">
        <is>
          <t>refineries</t>
        </is>
      </c>
      <c r="E14" s="30" t="inlineStr">
        <is>
          <t>largecap</t>
        </is>
      </c>
      <c r="F14" s="30" t="n">
        <v>30312.95</v>
      </c>
      <c r="G14" s="30" t="n">
        <v>184.46</v>
      </c>
      <c r="H14" s="30" t="n">
        <v>6.65</v>
      </c>
      <c r="I14" s="30" t="n">
        <v>47490869</v>
      </c>
      <c r="J14" s="30" t="inlineStr">
        <is>
          <t>500109</t>
        </is>
      </c>
    </row>
    <row r="15">
      <c r="A15" s="30" t="inlineStr">
        <is>
          <t>ANTELOPUS</t>
        </is>
      </c>
      <c r="B15" s="30" t="inlineStr">
        <is>
          <t>Antelopus Selan Energy Ltd</t>
        </is>
      </c>
      <c r="C15" s="30" t="inlineStr">
        <is>
          <t>energy</t>
        </is>
      </c>
      <c r="D15" s="30" t="inlineStr">
        <is>
          <t>oil drilling / allied services</t>
        </is>
      </c>
      <c r="E15" s="30" t="inlineStr">
        <is>
          <t>smallcap</t>
        </is>
      </c>
      <c r="F15" s="30" t="n">
        <v>3864.87</v>
      </c>
      <c r="G15" s="30" t="n">
        <v>1169.4</v>
      </c>
      <c r="H15" s="30" t="n">
        <v>6.39</v>
      </c>
      <c r="I15" s="30" t="n">
        <v>13072209</v>
      </c>
      <c r="J15" s="30" t="inlineStr">
        <is>
          <t>530075</t>
        </is>
      </c>
    </row>
    <row r="16">
      <c r="A16" s="30" t="inlineStr">
        <is>
          <t>ORCHPHARMA</t>
        </is>
      </c>
      <c r="B16" s="30" t="inlineStr">
        <is>
          <t>Orchid Pharma Ltd</t>
        </is>
      </c>
      <c r="C16" s="30" t="inlineStr">
        <is>
          <t>healthcare</t>
        </is>
      </c>
      <c r="D16" s="30" t="inlineStr">
        <is>
          <t>pharmaceuticals - indian - bulk drugs &amp; formln</t>
        </is>
      </c>
      <c r="E16" s="30" t="inlineStr">
        <is>
          <t>smallcap</t>
        </is>
      </c>
      <c r="F16" s="30" t="n">
        <v>4898.45</v>
      </c>
      <c r="G16" s="30" t="n">
        <v>1024.85</v>
      </c>
      <c r="H16" s="30" t="n">
        <v>6.11</v>
      </c>
      <c r="I16" s="30" t="n">
        <v>161851</v>
      </c>
      <c r="J16" s="30" t="inlineStr">
        <is>
          <t>524372</t>
        </is>
      </c>
    </row>
    <row r="17">
      <c r="A17" s="30" t="inlineStr">
        <is>
          <t>WABAG</t>
        </is>
      </c>
      <c r="B17" s="30" t="inlineStr">
        <is>
          <t>Va Tech Wabag Limited</t>
        </is>
      </c>
      <c r="C17" s="30" t="inlineStr">
        <is>
          <t>realty</t>
        </is>
      </c>
      <c r="D17" s="30" t="inlineStr">
        <is>
          <t>engineering - turnkey services</t>
        </is>
      </c>
      <c r="E17" s="30" t="inlineStr">
        <is>
          <t>midcap</t>
        </is>
      </c>
      <c r="F17" s="30" t="n">
        <v>12523.33</v>
      </c>
      <c r="G17" s="30" t="n">
        <v>2130.9</v>
      </c>
      <c r="H17" s="30" t="n">
        <v>6.1</v>
      </c>
      <c r="I17" s="30" t="n">
        <v>2441516</v>
      </c>
      <c r="J17" s="30" t="inlineStr">
        <is>
          <t>533269</t>
        </is>
      </c>
    </row>
    <row r="18">
      <c r="A18" s="30" t="inlineStr">
        <is>
          <t>RACLGEAR</t>
        </is>
      </c>
      <c r="B18" s="30" t="inlineStr">
        <is>
          <t>RACL Geartech Ltd</t>
        </is>
      </c>
      <c r="C18" s="30" t="inlineStr">
        <is>
          <t>auto</t>
        </is>
      </c>
      <c r="D18" s="30" t="inlineStr">
        <is>
          <t>auto ancillaries</t>
        </is>
      </c>
      <c r="E18" s="30" t="inlineStr">
        <is>
          <t>smallcap</t>
        </is>
      </c>
      <c r="F18" s="30" t="n">
        <v>1815.6</v>
      </c>
      <c r="G18" s="30" t="n">
        <v>1633.9</v>
      </c>
      <c r="H18" s="30" t="n">
        <v>6.08</v>
      </c>
      <c r="I18" s="30" t="n">
        <v>98666</v>
      </c>
      <c r="J18" s="30" t="inlineStr">
        <is>
          <t>520073</t>
        </is>
      </c>
    </row>
    <row r="19">
      <c r="A19" s="30" t="inlineStr">
        <is>
          <t>JSL</t>
        </is>
      </c>
      <c r="B19" s="30" t="inlineStr">
        <is>
          <t>Jindal Stainless Limited</t>
        </is>
      </c>
      <c r="C19" s="30" t="inlineStr">
        <is>
          <t>metals &amp; mining</t>
        </is>
      </c>
      <c r="D19" s="30" t="inlineStr">
        <is>
          <t>steel - large</t>
        </is>
      </c>
      <c r="E19" s="30" t="inlineStr">
        <is>
          <t>largecap</t>
        </is>
      </c>
      <c r="F19" s="30" t="n">
        <v>60904</v>
      </c>
      <c r="G19" s="30" t="n">
        <v>783.3</v>
      </c>
      <c r="H19" s="30" t="n">
        <v>6.03</v>
      </c>
      <c r="I19" s="30" t="n">
        <v>6366585</v>
      </c>
      <c r="J19" s="30" t="inlineStr">
        <is>
          <t>532508</t>
        </is>
      </c>
    </row>
    <row r="20">
      <c r="A20" s="30" t="inlineStr">
        <is>
          <t>AEGISLOG</t>
        </is>
      </c>
      <c r="B20" s="30" t="inlineStr">
        <is>
          <t>Aegis Logistics Ltd</t>
        </is>
      </c>
      <c r="C20" s="30" t="inlineStr">
        <is>
          <t>services</t>
        </is>
      </c>
      <c r="D20" s="30" t="inlineStr">
        <is>
          <t>trading</t>
        </is>
      </c>
      <c r="E20" s="30" t="inlineStr">
        <is>
          <t>largecap</t>
        </is>
      </c>
      <c r="F20" s="30" t="n">
        <v>44510.31</v>
      </c>
      <c r="G20" s="30" t="n">
        <v>1343.4</v>
      </c>
      <c r="H20" s="30" t="n">
        <v>5.94</v>
      </c>
      <c r="I20" s="30" t="n">
        <v>2121597</v>
      </c>
      <c r="J20" s="30" t="inlineStr">
        <is>
          <t>500003</t>
        </is>
      </c>
    </row>
    <row r="21">
      <c r="A21" s="30" t="inlineStr">
        <is>
          <t>BLUSPRING</t>
        </is>
      </c>
      <c r="B21" s="30" t="inlineStr">
        <is>
          <t>Bluspring Enterprises Ltd</t>
        </is>
      </c>
      <c r="C21" s="30" t="inlineStr">
        <is>
          <t>miscellaneous</t>
        </is>
      </c>
      <c r="D21" s="30" t="inlineStr">
        <is>
          <t>diversified - large</t>
        </is>
      </c>
      <c r="E21" s="30" t="inlineStr">
        <is>
          <t>smallcap</t>
        </is>
      </c>
      <c r="F21" s="30" t="n">
        <v>1847.24</v>
      </c>
      <c r="G21" s="30" t="n">
        <v>130.52</v>
      </c>
      <c r="H21" s="30" t="n">
        <v>5.59</v>
      </c>
      <c r="I21" s="30" t="n">
        <v>661581</v>
      </c>
      <c r="J21" s="30" t="inlineStr">
        <is>
          <t>544414</t>
        </is>
      </c>
    </row>
    <row r="22">
      <c r="A22" s="30" t="inlineStr">
        <is>
          <t>RUBYMILLS</t>
        </is>
      </c>
      <c r="B22" s="30" t="inlineStr">
        <is>
          <t>The Ruby Mills Limited</t>
        </is>
      </c>
      <c r="C22" s="30" t="inlineStr">
        <is>
          <t>textiles</t>
        </is>
      </c>
      <c r="D22" s="30" t="inlineStr">
        <is>
          <t>textiles - composite</t>
        </is>
      </c>
      <c r="E22" s="30" t="inlineStr">
        <is>
          <t>smallcap</t>
        </is>
      </c>
      <c r="F22" s="30" t="n">
        <v>1505.8</v>
      </c>
      <c r="G22" s="30" t="n">
        <v>474.85</v>
      </c>
      <c r="H22" s="30" t="n">
        <v>5.45</v>
      </c>
      <c r="I22" s="30" t="n">
        <v>50253</v>
      </c>
      <c r="J22" s="30" t="inlineStr">
        <is>
          <t>503169</t>
        </is>
      </c>
    </row>
    <row r="23">
      <c r="A23" s="30" t="inlineStr">
        <is>
          <t>QUESS</t>
        </is>
      </c>
      <c r="B23" s="30" t="inlineStr">
        <is>
          <t>Quess Corp Limited</t>
        </is>
      </c>
      <c r="C23" s="30" t="inlineStr">
        <is>
          <t>miscellaneous</t>
        </is>
      </c>
      <c r="D23" s="30" t="inlineStr">
        <is>
          <t>diversified - large</t>
        </is>
      </c>
      <c r="E23" s="30" t="inlineStr">
        <is>
          <t>midcap</t>
        </is>
      </c>
      <c r="F23" s="30" t="n">
        <v>5040.89</v>
      </c>
      <c r="G23" s="30" t="n">
        <v>355</v>
      </c>
      <c r="H23" s="30" t="n">
        <v>5.19</v>
      </c>
      <c r="I23" s="30" t="n">
        <v>821596</v>
      </c>
      <c r="J23" s="30" t="inlineStr">
        <is>
          <t>539978</t>
        </is>
      </c>
    </row>
    <row r="24">
      <c r="A24" s="30" t="inlineStr">
        <is>
          <t>RBA</t>
        </is>
      </c>
      <c r="B24" s="30" t="inlineStr">
        <is>
          <t>Restaurant Brands Asia Ltd</t>
        </is>
      </c>
      <c r="C24" s="30" t="inlineStr">
        <is>
          <t>consumer discretionary</t>
        </is>
      </c>
      <c r="D24" s="30" t="inlineStr">
        <is>
          <t>hotels</t>
        </is>
      </c>
      <c r="E24" s="30" t="inlineStr">
        <is>
          <t>midcap</t>
        </is>
      </c>
      <c r="F24" s="30" t="n">
        <v>6799.76</v>
      </c>
      <c r="G24" s="30" t="n">
        <v>100.5</v>
      </c>
      <c r="H24" s="30" t="n">
        <v>5.19</v>
      </c>
      <c r="I24" s="30" t="n">
        <v>7327768</v>
      </c>
      <c r="J24" s="30" t="inlineStr">
        <is>
          <t>543248</t>
        </is>
      </c>
    </row>
    <row r="25">
      <c r="A25" s="30" t="inlineStr">
        <is>
          <t>ADANIENT</t>
        </is>
      </c>
      <c r="B25" s="30" t="inlineStr">
        <is>
          <t>Adani Enterprises Limited</t>
        </is>
      </c>
      <c r="C25" s="30" t="inlineStr">
        <is>
          <t>services</t>
        </is>
      </c>
      <c r="D25" s="30" t="inlineStr">
        <is>
          <t>trading</t>
        </is>
      </c>
      <c r="E25" s="30" t="inlineStr">
        <is>
          <t>largecap</t>
        </is>
      </c>
      <c r="F25" s="30" t="n">
        <v>399767.82</v>
      </c>
      <c r="G25" s="30" t="n">
        <v>3104.7</v>
      </c>
      <c r="H25" s="30" t="n">
        <v>5.13</v>
      </c>
      <c r="I25" s="30" t="n">
        <v>5320594</v>
      </c>
      <c r="J25" s="30" t="inlineStr">
        <is>
          <t>512599</t>
        </is>
      </c>
    </row>
    <row r="26">
      <c r="A26" s="30" t="inlineStr">
        <is>
          <t>ORIENTCER</t>
        </is>
      </c>
      <c r="B26" s="30" t="inlineStr">
        <is>
          <t>Orient Ceratech Ltd</t>
        </is>
      </c>
      <c r="C26" s="30" t="inlineStr">
        <is>
          <t>building materials</t>
        </is>
      </c>
      <c r="D26" s="30" t="inlineStr">
        <is>
          <t>refractories / intermediates</t>
        </is>
      </c>
      <c r="E26" s="30" t="inlineStr">
        <is>
          <t>smallcap</t>
        </is>
      </c>
      <c r="F26" s="30" t="n">
        <v>538.38</v>
      </c>
      <c r="G26" s="30" t="n">
        <v>47.3</v>
      </c>
      <c r="H26" s="30" t="n">
        <v>5.11</v>
      </c>
      <c r="I26" s="30" t="n">
        <v>353849</v>
      </c>
      <c r="J26" s="30" t="inlineStr">
        <is>
          <t>504879</t>
        </is>
      </c>
    </row>
    <row r="27">
      <c r="A27" s="30" t="inlineStr">
        <is>
          <t>BECTORFOOD</t>
        </is>
      </c>
      <c r="B27" s="30" t="inlineStr">
        <is>
          <t>Mrs Bectors Food Specialities Ltd</t>
        </is>
      </c>
      <c r="C27" s="30" t="inlineStr">
        <is>
          <t>fmcg</t>
        </is>
      </c>
      <c r="D27" s="30" t="inlineStr">
        <is>
          <t>food - processing - indian</t>
        </is>
      </c>
      <c r="E27" s="30" t="inlineStr">
        <is>
          <t>midcap</t>
        </is>
      </c>
      <c r="F27" s="30" t="n">
        <v>7071.53</v>
      </c>
      <c r="G27" s="30" t="n">
        <v>242.05</v>
      </c>
      <c r="H27" s="30" t="n">
        <v>5.08</v>
      </c>
      <c r="I27" s="30" t="n">
        <v>2474475</v>
      </c>
      <c r="J27" s="30" t="inlineStr">
        <is>
          <t>543253</t>
        </is>
      </c>
    </row>
    <row r="28">
      <c r="A28" s="30" t="inlineStr">
        <is>
          <t>STLTECH</t>
        </is>
      </c>
      <c r="B28" s="30" t="inlineStr">
        <is>
          <t>Sterlite Technologies Limited</t>
        </is>
      </c>
      <c r="C28" s="30" t="inlineStr">
        <is>
          <t>industrials</t>
        </is>
      </c>
      <c r="D28" s="30" t="inlineStr">
        <is>
          <t>cables - telephone</t>
        </is>
      </c>
      <c r="E28" s="30" t="inlineStr">
        <is>
          <t>largecap</t>
        </is>
      </c>
      <c r="F28" s="30" t="n">
        <v>42381.01</v>
      </c>
      <c r="G28" s="30" t="n">
        <v>865.9</v>
      </c>
      <c r="H28" s="30" t="n">
        <v>5</v>
      </c>
      <c r="I28" s="30" t="n">
        <v>4381757</v>
      </c>
      <c r="J28" s="30" t="inlineStr">
        <is>
          <t>532374</t>
        </is>
      </c>
    </row>
    <row r="29">
      <c r="A29" s="30" t="inlineStr">
        <is>
          <t>BHAGYANGR</t>
        </is>
      </c>
      <c r="B29" s="30" t="inlineStr">
        <is>
          <t>Bhagyanagar India</t>
        </is>
      </c>
      <c r="C29" s="30" t="inlineStr">
        <is>
          <t>power &amp; utilities</t>
        </is>
      </c>
      <c r="D29" s="30" t="inlineStr">
        <is>
          <t>power generation and supply</t>
        </is>
      </c>
      <c r="E29" s="30" t="inlineStr">
        <is>
          <t>smallcap</t>
        </is>
      </c>
      <c r="F29" s="30" t="n">
        <v>1313.23</v>
      </c>
      <c r="G29" s="30" t="n">
        <v>411.65</v>
      </c>
      <c r="H29" s="30" t="n">
        <v>5</v>
      </c>
      <c r="I29" s="30" t="n">
        <v>471785</v>
      </c>
      <c r="J29" s="30" t="inlineStr">
        <is>
          <t>512296</t>
        </is>
      </c>
    </row>
    <row r="30">
      <c r="A30" s="30" t="inlineStr">
        <is>
          <t>SARDAEN</t>
        </is>
      </c>
      <c r="B30" s="30" t="inlineStr">
        <is>
          <t>Sarda Energy &amp; Minerals Limited</t>
        </is>
      </c>
      <c r="C30" s="30" t="inlineStr">
        <is>
          <t>metals &amp; mining</t>
        </is>
      </c>
      <c r="D30" s="30" t="inlineStr">
        <is>
          <t>steel - medium / small</t>
        </is>
      </c>
      <c r="E30" s="30" t="inlineStr">
        <is>
          <t>midcap</t>
        </is>
      </c>
      <c r="F30" s="30" t="n">
        <v>18318.54</v>
      </c>
      <c r="G30" s="30" t="n">
        <v>545.85</v>
      </c>
      <c r="H30" s="30" t="n">
        <v>5</v>
      </c>
      <c r="I30" s="30" t="n">
        <v>5268817</v>
      </c>
      <c r="J30" s="30" t="inlineStr">
        <is>
          <t>504614</t>
        </is>
      </c>
    </row>
    <row r="31">
      <c r="A31" s="30" t="inlineStr">
        <is>
          <t>SPECTRUM</t>
        </is>
      </c>
      <c r="B31" s="30" t="inlineStr">
        <is>
          <t>Spectrum Electrical Industries Ltd</t>
        </is>
      </c>
      <c r="C31" s="30" t="inlineStr">
        <is>
          <t>industrials</t>
        </is>
      </c>
      <c r="D31" s="30" t="inlineStr">
        <is>
          <t>electric equipment</t>
        </is>
      </c>
      <c r="E31" s="30" t="inlineStr">
        <is>
          <t>smallcap</t>
        </is>
      </c>
      <c r="F31" s="30" t="n">
        <v>4103.04</v>
      </c>
      <c r="G31" s="30" t="n">
        <v>2741.6</v>
      </c>
      <c r="H31" s="30" t="n">
        <v>5</v>
      </c>
      <c r="I31" s="30" t="n">
        <v>22007</v>
      </c>
      <c r="J31" s="30" t="inlineStr">
        <is>
          <t>535112</t>
        </is>
      </c>
    </row>
    <row r="32">
      <c r="A32" s="30" t="inlineStr">
        <is>
          <t>STLNETWORK</t>
        </is>
      </c>
      <c r="B32" s="30" t="inlineStr">
        <is>
          <t>STL Networks Ltd</t>
        </is>
      </c>
      <c r="C32" s="30" t="inlineStr">
        <is>
          <t>telecom-service</t>
        </is>
      </c>
      <c r="D32" s="30" t="inlineStr">
        <is>
          <t>telecommunications - service provider</t>
        </is>
      </c>
      <c r="E32" s="30" t="inlineStr">
        <is>
          <t>smallcap</t>
        </is>
      </c>
      <c r="F32" s="30" t="n">
        <v>1543.3</v>
      </c>
      <c r="G32" s="30" t="n">
        <v>33.2</v>
      </c>
      <c r="H32" s="30" t="n">
        <v>5</v>
      </c>
      <c r="I32" s="30" t="n">
        <v>12406425</v>
      </c>
      <c r="J32" s="30" t="inlineStr">
        <is>
          <t>544395</t>
        </is>
      </c>
    </row>
    <row r="33">
      <c r="A33" s="30" t="inlineStr">
        <is>
          <t>MANAKSTEEL</t>
        </is>
      </c>
      <c r="B33" s="30" t="inlineStr">
        <is>
          <t>Manaksia Steels Limited</t>
        </is>
      </c>
      <c r="C33" s="30" t="inlineStr">
        <is>
          <t>metals &amp; mining</t>
        </is>
      </c>
      <c r="D33" s="30" t="inlineStr">
        <is>
          <t>steel - medium / small</t>
        </is>
      </c>
      <c r="E33" s="30" t="inlineStr">
        <is>
          <t>smallcap</t>
        </is>
      </c>
      <c r="F33" s="30" t="n">
        <v>683.72</v>
      </c>
      <c r="G33" s="30" t="n">
        <v>109.54</v>
      </c>
      <c r="H33" s="30" t="n">
        <v>4.99</v>
      </c>
      <c r="I33" s="30" t="n">
        <v>59230</v>
      </c>
      <c r="J33" s="30" t="inlineStr">
        <is>
          <t>539044</t>
        </is>
      </c>
    </row>
    <row r="34">
      <c r="A34" s="30" t="inlineStr">
        <is>
          <t>SETL</t>
        </is>
      </c>
      <c r="B34" s="30" t="inlineStr">
        <is>
          <t>Standard Enginnering Technology Ltd</t>
        </is>
      </c>
      <c r="C34" s="30" t="inlineStr">
        <is>
          <t>industrials</t>
        </is>
      </c>
      <c r="D34" s="30" t="inlineStr">
        <is>
          <t>engineering</t>
        </is>
      </c>
      <c r="E34" s="30" t="inlineStr">
        <is>
          <t>midcap</t>
        </is>
      </c>
      <c r="F34" s="30" t="n">
        <v>8069.44</v>
      </c>
      <c r="G34" s="30" t="n">
        <v>424.7</v>
      </c>
      <c r="H34" s="30" t="n">
        <v>4.99</v>
      </c>
      <c r="I34" s="30" t="n">
        <v>1743094</v>
      </c>
      <c r="J34" s="30" t="inlineStr">
        <is>
          <t>544333</t>
        </is>
      </c>
    </row>
    <row r="35">
      <c r="A35" s="30" t="inlineStr">
        <is>
          <t>VALIANTLAB</t>
        </is>
      </c>
      <c r="B35" s="30" t="inlineStr">
        <is>
          <t>Valiant Laboratories Ltd</t>
        </is>
      </c>
      <c r="C35" s="30" t="inlineStr">
        <is>
          <t>healthcare</t>
        </is>
      </c>
      <c r="D35" s="30" t="inlineStr">
        <is>
          <t>pharmaceuticals - indian - bulk drugs &amp; formln</t>
        </is>
      </c>
      <c r="E35" s="30" t="inlineStr">
        <is>
          <t>smallcap</t>
        </is>
      </c>
      <c r="F35" s="30" t="n">
        <v>619.87</v>
      </c>
      <c r="G35" s="30" t="n">
        <v>119.83</v>
      </c>
      <c r="H35" s="30" t="n">
        <v>4.99</v>
      </c>
      <c r="I35" s="30" t="n">
        <v>118328</v>
      </c>
      <c r="J35" s="30" t="n"/>
    </row>
    <row r="36">
      <c r="A36" s="30" t="inlineStr">
        <is>
          <t>VALIANTORG</t>
        </is>
      </c>
      <c r="B36" s="30" t="inlineStr">
        <is>
          <t>Valiant Organics Ltd</t>
        </is>
      </c>
      <c r="C36" s="30" t="inlineStr">
        <is>
          <t>chemicals</t>
        </is>
      </c>
      <c r="D36" s="30" t="inlineStr">
        <is>
          <t>chemicals</t>
        </is>
      </c>
      <c r="E36" s="30" t="inlineStr">
        <is>
          <t>smallcap</t>
        </is>
      </c>
      <c r="F36" s="30" t="n">
        <v>959.91</v>
      </c>
      <c r="G36" s="30" t="n">
        <v>359.5</v>
      </c>
      <c r="H36" s="30" t="n">
        <v>4.99</v>
      </c>
      <c r="I36" s="30" t="n">
        <v>61630</v>
      </c>
      <c r="J36" s="30" t="inlineStr">
        <is>
          <t>540145</t>
        </is>
      </c>
    </row>
    <row r="37">
      <c r="A37" s="30" t="inlineStr">
        <is>
          <t>BIRLACABLE</t>
        </is>
      </c>
      <c r="B37" s="30" t="inlineStr">
        <is>
          <t>Birla Cable Limited</t>
        </is>
      </c>
      <c r="C37" s="30" t="inlineStr">
        <is>
          <t>industrials</t>
        </is>
      </c>
      <c r="D37" s="30" t="inlineStr">
        <is>
          <t>cables - telephone</t>
        </is>
      </c>
      <c r="E37" s="30" t="inlineStr">
        <is>
          <t>smallcap</t>
        </is>
      </c>
      <c r="F37" s="30" t="n">
        <v>1019.7</v>
      </c>
      <c r="G37" s="30" t="n">
        <v>356.85</v>
      </c>
      <c r="H37" s="30" t="n">
        <v>4.99</v>
      </c>
      <c r="I37" s="30" t="n">
        <v>1334884</v>
      </c>
      <c r="J37" s="30" t="inlineStr">
        <is>
          <t>500060</t>
        </is>
      </c>
    </row>
    <row r="38">
      <c r="A38" s="30" t="inlineStr">
        <is>
          <t>KANORICHEM</t>
        </is>
      </c>
      <c r="B38" s="30" t="inlineStr">
        <is>
          <t>Kanoria Chemicals &amp; Industries Limited</t>
        </is>
      </c>
      <c r="C38" s="30" t="inlineStr">
        <is>
          <t>chemicals</t>
        </is>
      </c>
      <c r="D38" s="30" t="inlineStr">
        <is>
          <t>chemicals</t>
        </is>
      </c>
      <c r="E38" s="30" t="inlineStr">
        <is>
          <t>smallcap</t>
        </is>
      </c>
      <c r="F38" s="30" t="n">
        <v>694.29</v>
      </c>
      <c r="G38" s="30" t="n">
        <v>166.8</v>
      </c>
      <c r="H38" s="30" t="n">
        <v>4.97</v>
      </c>
      <c r="I38" s="30" t="n">
        <v>94989</v>
      </c>
      <c r="J38" s="30" t="inlineStr">
        <is>
          <t>506525</t>
        </is>
      </c>
    </row>
    <row r="39">
      <c r="A39" s="30" t="inlineStr">
        <is>
          <t>MENONBE</t>
        </is>
      </c>
      <c r="B39" s="30" t="inlineStr">
        <is>
          <t>Menon Bearings Limited</t>
        </is>
      </c>
      <c r="C39" s="30" t="inlineStr">
        <is>
          <t>auto</t>
        </is>
      </c>
      <c r="D39" s="30" t="inlineStr">
        <is>
          <t>auto ancillaries</t>
        </is>
      </c>
      <c r="E39" s="30" t="inlineStr">
        <is>
          <t>smallcap</t>
        </is>
      </c>
      <c r="F39" s="30" t="n">
        <v>1631.04</v>
      </c>
      <c r="G39" s="30" t="n">
        <v>305.5</v>
      </c>
      <c r="H39" s="30" t="n">
        <v>4.96</v>
      </c>
      <c r="I39" s="30" t="n">
        <v>133876</v>
      </c>
      <c r="J39" s="30" t="inlineStr">
        <is>
          <t>523828</t>
        </is>
      </c>
    </row>
    <row r="40">
      <c r="A40" s="30" t="inlineStr">
        <is>
          <t>YUKEN</t>
        </is>
      </c>
      <c r="B40" s="30" t="inlineStr">
        <is>
          <t>Yuken India Ltd</t>
        </is>
      </c>
      <c r="C40" s="30" t="inlineStr">
        <is>
          <t>industrials</t>
        </is>
      </c>
      <c r="D40" s="30" t="inlineStr">
        <is>
          <t>engineering</t>
        </is>
      </c>
      <c r="E40" s="30" t="inlineStr">
        <is>
          <t>smallcap</t>
        </is>
      </c>
      <c r="F40" s="30" t="n">
        <v>1381.97</v>
      </c>
      <c r="G40" s="30" t="n">
        <v>1067.7</v>
      </c>
      <c r="H40" s="30" t="n">
        <v>4.95</v>
      </c>
      <c r="I40" s="30" t="n">
        <v>38375</v>
      </c>
      <c r="J40" s="30" t="inlineStr">
        <is>
          <t>522108</t>
        </is>
      </c>
    </row>
    <row r="41">
      <c r="A41" s="30" t="inlineStr">
        <is>
          <t>PPL</t>
        </is>
      </c>
      <c r="B41" s="30" t="inlineStr">
        <is>
          <t>Prakash Pipes Ltd</t>
        </is>
      </c>
      <c r="C41" s="30" t="inlineStr">
        <is>
          <t>plastic products</t>
        </is>
      </c>
      <c r="D41" s="30" t="inlineStr">
        <is>
          <t>plastics products</t>
        </is>
      </c>
      <c r="E41" s="30" t="inlineStr">
        <is>
          <t>smallcap</t>
        </is>
      </c>
      <c r="F41" s="30" t="n">
        <v>655.48</v>
      </c>
      <c r="G41" s="30" t="n">
        <v>287.55</v>
      </c>
      <c r="H41" s="30" t="n">
        <v>4.93</v>
      </c>
      <c r="I41" s="30" t="n">
        <v>79281</v>
      </c>
      <c r="J41" s="30" t="inlineStr">
        <is>
          <t>542684</t>
        </is>
      </c>
    </row>
    <row r="42">
      <c r="A42" s="30" t="inlineStr">
        <is>
          <t>PAYTM</t>
        </is>
      </c>
      <c r="B42" s="30" t="inlineStr">
        <is>
          <t>One 97 Communications Ltd</t>
        </is>
      </c>
      <c r="C42" s="30" t="inlineStr">
        <is>
          <t>i.t</t>
        </is>
      </c>
      <c r="D42" s="30" t="inlineStr">
        <is>
          <t>miscellaneous</t>
        </is>
      </c>
      <c r="E42" s="30" t="inlineStr">
        <is>
          <t>largecap</t>
        </is>
      </c>
      <c r="F42" s="30" t="n">
        <v>106936.28</v>
      </c>
      <c r="G42" s="30" t="n">
        <v>1751.5</v>
      </c>
      <c r="H42" s="30" t="n">
        <v>4.88</v>
      </c>
      <c r="I42" s="30" t="n">
        <v>8247684</v>
      </c>
      <c r="J42" s="30" t="inlineStr">
        <is>
          <t>543396</t>
        </is>
      </c>
    </row>
    <row r="43">
      <c r="A43" s="30" t="inlineStr">
        <is>
          <t>RAJRATAN</t>
        </is>
      </c>
      <c r="B43" s="30" t="inlineStr">
        <is>
          <t>Rajratan Global Wire Ltd</t>
        </is>
      </c>
      <c r="C43" s="30" t="inlineStr">
        <is>
          <t>metals &amp; mining</t>
        </is>
      </c>
      <c r="D43" s="30" t="inlineStr">
        <is>
          <t>steel - medium / small</t>
        </is>
      </c>
      <c r="E43" s="30" t="inlineStr">
        <is>
          <t>smallcap</t>
        </is>
      </c>
      <c r="F43" s="30" t="n">
        <v>2522.3</v>
      </c>
      <c r="G43" s="30" t="n">
        <v>520.85</v>
      </c>
      <c r="H43" s="30" t="n">
        <v>4.84</v>
      </c>
      <c r="I43" s="30" t="n">
        <v>285802</v>
      </c>
      <c r="J43" s="30" t="inlineStr">
        <is>
          <t>517522</t>
        </is>
      </c>
    </row>
    <row r="44">
      <c r="A44" s="30" t="inlineStr">
        <is>
          <t>UNIVPHOTO</t>
        </is>
      </c>
      <c r="B44" s="30" t="inlineStr">
        <is>
          <t>Universus Photo Imagings Ltd</t>
        </is>
      </c>
      <c r="C44" s="30" t="inlineStr">
        <is>
          <t>consumer discretionary</t>
        </is>
      </c>
      <c r="D44" s="30" t="inlineStr">
        <is>
          <t>photographic and allied products</t>
        </is>
      </c>
      <c r="E44" s="30" t="inlineStr">
        <is>
          <t>smallcap</t>
        </is>
      </c>
      <c r="F44" s="30" t="n">
        <v>591.77</v>
      </c>
      <c r="G44" s="30" t="n">
        <v>566.25</v>
      </c>
      <c r="H44" s="30" t="n">
        <v>4.74</v>
      </c>
      <c r="I44" s="30" t="n">
        <v>7505</v>
      </c>
      <c r="J44" s="30" t="inlineStr">
        <is>
          <t>542933</t>
        </is>
      </c>
    </row>
    <row r="45">
      <c r="A45" s="30" t="inlineStr">
        <is>
          <t>VINDHYATEL</t>
        </is>
      </c>
      <c r="B45" s="30" t="inlineStr">
        <is>
          <t>Vindhya Telelinks Limited</t>
        </is>
      </c>
      <c r="C45" s="30" t="inlineStr">
        <is>
          <t>realty</t>
        </is>
      </c>
      <c r="D45" s="30" t="inlineStr">
        <is>
          <t>construction</t>
        </is>
      </c>
      <c r="E45" s="30" t="inlineStr">
        <is>
          <t>smallcap</t>
        </is>
      </c>
      <c r="F45" s="30" t="n">
        <v>3310.78</v>
      </c>
      <c r="G45" s="30" t="n">
        <v>2916.4</v>
      </c>
      <c r="H45" s="30" t="n">
        <v>4.39</v>
      </c>
      <c r="I45" s="30" t="n">
        <v>163314</v>
      </c>
      <c r="J45" s="30" t="inlineStr">
        <is>
          <t>517015</t>
        </is>
      </c>
    </row>
    <row r="46">
      <c r="A46" s="30" t="inlineStr">
        <is>
          <t>AHCL</t>
        </is>
      </c>
      <c r="B46" s="30" t="inlineStr">
        <is>
          <t>Anlon Healthcare Ltd</t>
        </is>
      </c>
      <c r="C46" s="30" t="inlineStr">
        <is>
          <t>healthcare</t>
        </is>
      </c>
      <c r="D46" s="30" t="inlineStr">
        <is>
          <t>pharmaceuticals - indian - bulk drugs &amp; formln</t>
        </is>
      </c>
      <c r="E46" s="30" t="inlineStr">
        <is>
          <t>smallcap</t>
        </is>
      </c>
      <c r="F46" s="30" t="n">
        <v>829.6900000000001</v>
      </c>
      <c r="G46" s="30" t="n">
        <v>16.28</v>
      </c>
      <c r="H46" s="30" t="n">
        <v>4.29</v>
      </c>
      <c r="I46" s="30" t="n">
        <v>17458736</v>
      </c>
      <c r="J46" s="30" t="inlineStr">
        <is>
          <t>544497</t>
        </is>
      </c>
    </row>
    <row r="47">
      <c r="A47" s="30" t="inlineStr">
        <is>
          <t>SBC</t>
        </is>
      </c>
      <c r="B47" s="30" t="inlineStr">
        <is>
          <t>SBC Exports Ltd</t>
        </is>
      </c>
      <c r="C47" s="30" t="inlineStr">
        <is>
          <t>textiles</t>
        </is>
      </c>
      <c r="D47" s="30" t="inlineStr">
        <is>
          <t>textiles - products</t>
        </is>
      </c>
      <c r="E47" s="30" t="inlineStr">
        <is>
          <t>smallcap</t>
        </is>
      </c>
      <c r="F47" s="30" t="n">
        <v>2227.14</v>
      </c>
      <c r="G47" s="30" t="n">
        <v>48.68</v>
      </c>
      <c r="H47" s="30" t="n">
        <v>4.08</v>
      </c>
      <c r="I47" s="30" t="n">
        <v>12797508</v>
      </c>
      <c r="J47" s="30" t="inlineStr">
        <is>
          <t>542725</t>
        </is>
      </c>
    </row>
    <row r="48">
      <c r="A48" s="30" t="inlineStr">
        <is>
          <t>STEELXIND</t>
        </is>
      </c>
      <c r="B48" s="30" t="inlineStr">
        <is>
          <t>Steel Exchange India Ltd</t>
        </is>
      </c>
      <c r="C48" s="30" t="inlineStr">
        <is>
          <t>metals &amp; mining</t>
        </is>
      </c>
      <c r="D48" s="30" t="inlineStr">
        <is>
          <t>steel - medium / small</t>
        </is>
      </c>
      <c r="E48" s="30" t="inlineStr">
        <is>
          <t>smallcap</t>
        </is>
      </c>
      <c r="F48" s="30" t="n">
        <v>1470.67</v>
      </c>
      <c r="G48" s="30" t="n">
        <v>12</v>
      </c>
      <c r="H48" s="30" t="n">
        <v>4.08</v>
      </c>
      <c r="I48" s="30" t="n">
        <v>57173683</v>
      </c>
      <c r="J48" s="30" t="inlineStr">
        <is>
          <t>534748</t>
        </is>
      </c>
    </row>
    <row r="49">
      <c r="A49" s="30" t="inlineStr">
        <is>
          <t>SMLMAH</t>
        </is>
      </c>
      <c r="B49" s="30" t="inlineStr">
        <is>
          <t>SML Mahindra Ltd</t>
        </is>
      </c>
      <c r="C49" s="30" t="inlineStr">
        <is>
          <t>auto</t>
        </is>
      </c>
      <c r="D49" s="30" t="inlineStr">
        <is>
          <t>automobiles - lcvs / hcvs</t>
        </is>
      </c>
      <c r="E49" s="30" t="inlineStr">
        <is>
          <t>midcap</t>
        </is>
      </c>
      <c r="F49" s="30" t="n">
        <v>9136.67</v>
      </c>
      <c r="G49" s="30" t="n">
        <v>6570</v>
      </c>
      <c r="H49" s="30" t="n">
        <v>4.06</v>
      </c>
      <c r="I49" s="30" t="n">
        <v>134865</v>
      </c>
      <c r="J49" s="30" t="inlineStr">
        <is>
          <t>505192</t>
        </is>
      </c>
    </row>
    <row r="50">
      <c r="A50" s="30" t="inlineStr">
        <is>
          <t>SWANDEF</t>
        </is>
      </c>
      <c r="B50" s="30" t="inlineStr">
        <is>
          <t>Swan Defence and Heavy Industries Ltd</t>
        </is>
      </c>
      <c r="C50" s="30" t="inlineStr">
        <is>
          <t>transportation</t>
        </is>
      </c>
      <c r="D50" s="30" t="inlineStr">
        <is>
          <t>miscellaneous</t>
        </is>
      </c>
      <c r="E50" s="30" t="inlineStr">
        <is>
          <t>midcap</t>
        </is>
      </c>
      <c r="F50" s="30" t="n">
        <v>13086.25</v>
      </c>
      <c r="G50" s="30" t="n">
        <v>2584.5</v>
      </c>
      <c r="H50" s="30" t="n">
        <v>4.05</v>
      </c>
      <c r="I50" s="30" t="n">
        <v>24701</v>
      </c>
      <c r="J50" s="30" t="inlineStr">
        <is>
          <t>533107</t>
        </is>
      </c>
    </row>
    <row r="51">
      <c r="A51" s="30" t="inlineStr">
        <is>
          <t>KROSS</t>
        </is>
      </c>
      <c r="B51" s="30" t="inlineStr">
        <is>
          <t>Kross Ltd</t>
        </is>
      </c>
      <c r="C51" s="30" t="inlineStr">
        <is>
          <t>auto</t>
        </is>
      </c>
      <c r="D51" s="30" t="inlineStr">
        <is>
          <t>auto ancillaries</t>
        </is>
      </c>
      <c r="E51" s="30" t="inlineStr">
        <is>
          <t>smallcap</t>
        </is>
      </c>
      <c r="F51" s="30" t="n">
        <v>1362.96</v>
      </c>
      <c r="G51" s="30" t="n">
        <v>219.67</v>
      </c>
      <c r="H51" s="30" t="n">
        <v>3.97</v>
      </c>
      <c r="I51" s="30" t="n">
        <v>793389</v>
      </c>
      <c r="J51" s="30" t="inlineStr">
        <is>
          <t>544253</t>
        </is>
      </c>
    </row>
    <row r="52">
      <c r="A52" s="30" t="inlineStr">
        <is>
          <t>FINCABLES</t>
        </is>
      </c>
      <c r="B52" s="30" t="inlineStr">
        <is>
          <t>Finolex Cables Limited</t>
        </is>
      </c>
      <c r="C52" s="30" t="inlineStr">
        <is>
          <t>industrials</t>
        </is>
      </c>
      <c r="D52" s="30" t="inlineStr">
        <is>
          <t>cables - power</t>
        </is>
      </c>
      <c r="E52" s="30" t="inlineStr">
        <is>
          <t>midcap</t>
        </is>
      </c>
      <c r="F52" s="30" t="n">
        <v>19917.29</v>
      </c>
      <c r="G52" s="30" t="n">
        <v>1353.4</v>
      </c>
      <c r="H52" s="30" t="n">
        <v>3.92</v>
      </c>
      <c r="I52" s="30" t="n">
        <v>2871412</v>
      </c>
      <c r="J52" s="30" t="inlineStr">
        <is>
          <t>500144</t>
        </is>
      </c>
    </row>
    <row r="53">
      <c r="A53" s="30" t="inlineStr">
        <is>
          <t>ADANIPORTS</t>
        </is>
      </c>
      <c r="B53" s="30" t="inlineStr">
        <is>
          <t>Adani Ports And Special Economic Zone Limited</t>
        </is>
      </c>
      <c r="C53" s="30" t="inlineStr">
        <is>
          <t>transportation</t>
        </is>
      </c>
      <c r="D53" s="30" t="inlineStr">
        <is>
          <t>miscellaneous</t>
        </is>
      </c>
      <c r="E53" s="30" t="inlineStr">
        <is>
          <t>largecap</t>
        </is>
      </c>
      <c r="F53" s="30" t="n">
        <v>393977.01</v>
      </c>
      <c r="G53" s="30" t="n">
        <v>1775</v>
      </c>
      <c r="H53" s="30" t="n">
        <v>3.8</v>
      </c>
      <c r="I53" s="30" t="n">
        <v>5527528</v>
      </c>
      <c r="J53" s="30" t="inlineStr">
        <is>
          <t>532921</t>
        </is>
      </c>
    </row>
    <row r="54">
      <c r="A54" s="30" t="inlineStr">
        <is>
          <t>MEDANTA</t>
        </is>
      </c>
      <c r="B54" s="30" t="inlineStr">
        <is>
          <t>Global Health Ltd</t>
        </is>
      </c>
      <c r="C54" s="30" t="inlineStr">
        <is>
          <t>healthcare</t>
        </is>
      </c>
      <c r="D54" s="30" t="inlineStr">
        <is>
          <t>healthcare</t>
        </is>
      </c>
      <c r="E54" s="30" t="inlineStr">
        <is>
          <t>largecap</t>
        </is>
      </c>
      <c r="F54" s="30" t="n">
        <v>38411.02</v>
      </c>
      <c r="G54" s="30" t="n">
        <v>1480.4</v>
      </c>
      <c r="H54" s="30" t="n">
        <v>3.63</v>
      </c>
      <c r="I54" s="30" t="n">
        <v>565564</v>
      </c>
      <c r="J54" s="30" t="inlineStr">
        <is>
          <t>543654</t>
        </is>
      </c>
    </row>
    <row r="55">
      <c r="A55" s="30" t="inlineStr">
        <is>
          <t>ARTEMISMED</t>
        </is>
      </c>
      <c r="B55" s="30" t="inlineStr">
        <is>
          <t>Artemis Medicare Services Ltd</t>
        </is>
      </c>
      <c r="C55" s="30" t="inlineStr">
        <is>
          <t>healthcare</t>
        </is>
      </c>
      <c r="D55" s="30" t="inlineStr">
        <is>
          <t>healthcare</t>
        </is>
      </c>
      <c r="E55" s="30" t="inlineStr">
        <is>
          <t>midcap</t>
        </is>
      </c>
      <c r="F55" s="30" t="n">
        <v>5414.87</v>
      </c>
      <c r="G55" s="30" t="n">
        <v>354.3</v>
      </c>
      <c r="H55" s="30" t="n">
        <v>3.58</v>
      </c>
      <c r="I55" s="30" t="n">
        <v>813189</v>
      </c>
      <c r="J55" s="30" t="inlineStr">
        <is>
          <t>542919</t>
        </is>
      </c>
    </row>
    <row r="56">
      <c r="A56" s="30" t="inlineStr">
        <is>
          <t>CRAFTSMAN</t>
        </is>
      </c>
      <c r="B56" s="30" t="inlineStr">
        <is>
          <t>Craftsman Automation Ltd</t>
        </is>
      </c>
      <c r="C56" s="30" t="inlineStr">
        <is>
          <t>auto</t>
        </is>
      </c>
      <c r="D56" s="30" t="inlineStr">
        <is>
          <t>auto ancillaries</t>
        </is>
      </c>
      <c r="E56" s="30" t="inlineStr">
        <is>
          <t>largecap</t>
        </is>
      </c>
      <c r="F56" s="30" t="n">
        <v>29831.75</v>
      </c>
      <c r="G56" s="30" t="n">
        <v>11806</v>
      </c>
      <c r="H56" s="30" t="n">
        <v>3.51</v>
      </c>
      <c r="I56" s="30" t="n">
        <v>52885</v>
      </c>
      <c r="J56" s="30" t="inlineStr">
        <is>
          <t>543276</t>
        </is>
      </c>
    </row>
    <row r="57">
      <c r="A57" s="30" t="inlineStr">
        <is>
          <t>METROPOLIS</t>
        </is>
      </c>
      <c r="B57" s="30" t="inlineStr">
        <is>
          <t>Metropolis Healthcare Ltd</t>
        </is>
      </c>
      <c r="C57" s="30" t="inlineStr">
        <is>
          <t>healthcare</t>
        </is>
      </c>
      <c r="D57" s="30" t="inlineStr">
        <is>
          <t>healthcare</t>
        </is>
      </c>
      <c r="E57" s="30" t="inlineStr">
        <is>
          <t>midcap</t>
        </is>
      </c>
      <c r="F57" s="30" t="n">
        <v>12070.87</v>
      </c>
      <c r="G57" s="30" t="n">
        <v>602.1</v>
      </c>
      <c r="H57" s="30" t="n">
        <v>3.42</v>
      </c>
      <c r="I57" s="30" t="n">
        <v>472099</v>
      </c>
      <c r="J57" s="30" t="inlineStr">
        <is>
          <t>542650</t>
        </is>
      </c>
    </row>
    <row r="58">
      <c r="A58" s="30" t="inlineStr">
        <is>
          <t>ZIMLAB</t>
        </is>
      </c>
      <c r="B58" s="30" t="inlineStr">
        <is>
          <t>Zim Laboratories Ltd</t>
        </is>
      </c>
      <c r="C58" s="30" t="inlineStr">
        <is>
          <t>healthcare</t>
        </is>
      </c>
      <c r="D58" s="30" t="inlineStr">
        <is>
          <t>pharmaceuticals - indian - bulk drugs &amp; formln</t>
        </is>
      </c>
      <c r="E58" s="30" t="inlineStr">
        <is>
          <t>smallcap</t>
        </is>
      </c>
      <c r="F58" s="30" t="n">
        <v>691.3200000000001</v>
      </c>
      <c r="G58" s="30" t="n">
        <v>133.35</v>
      </c>
      <c r="H58" s="30" t="n">
        <v>3.29</v>
      </c>
      <c r="I58" s="30" t="n">
        <v>170175</v>
      </c>
      <c r="J58" s="30" t="inlineStr">
        <is>
          <t>541400</t>
        </is>
      </c>
    </row>
    <row r="59">
      <c r="A59" s="30" t="inlineStr">
        <is>
          <t>KOTHARIPET</t>
        </is>
      </c>
      <c r="B59" s="30" t="inlineStr">
        <is>
          <t>Kothari Petrochemicals Limited</t>
        </is>
      </c>
      <c r="C59" s="30" t="inlineStr">
        <is>
          <t>energy</t>
        </is>
      </c>
      <c r="D59" s="30" t="inlineStr">
        <is>
          <t>petrochemicals</t>
        </is>
      </c>
      <c r="E59" s="30" t="inlineStr">
        <is>
          <t>smallcap</t>
        </is>
      </c>
      <c r="F59" s="30" t="n">
        <v>849.09</v>
      </c>
      <c r="G59" s="30" t="n">
        <v>148.9</v>
      </c>
      <c r="H59" s="30" t="n">
        <v>3.2</v>
      </c>
      <c r="I59" s="30" t="n">
        <v>251482</v>
      </c>
      <c r="J59" s="30" t="inlineStr">
        <is>
          <t>532096</t>
        </is>
      </c>
    </row>
    <row r="60">
      <c r="A60" s="30" t="inlineStr">
        <is>
          <t>JAYAGROGN</t>
        </is>
      </c>
      <c r="B60" s="30" t="inlineStr">
        <is>
          <t>Jayant Agro Organics Limited</t>
        </is>
      </c>
      <c r="C60" s="30" t="inlineStr">
        <is>
          <t>chemicals</t>
        </is>
      </c>
      <c r="D60" s="30" t="inlineStr">
        <is>
          <t>chemicals</t>
        </is>
      </c>
      <c r="E60" s="30" t="inlineStr">
        <is>
          <t>smallcap</t>
        </is>
      </c>
      <c r="F60" s="30" t="n">
        <v>747.12</v>
      </c>
      <c r="G60" s="30" t="n">
        <v>256.9</v>
      </c>
      <c r="H60" s="30" t="n">
        <v>3.16</v>
      </c>
      <c r="I60" s="30" t="n">
        <v>140900</v>
      </c>
      <c r="J60" s="30" t="inlineStr">
        <is>
          <t>524330</t>
        </is>
      </c>
    </row>
    <row r="61">
      <c r="A61" s="30" t="inlineStr">
        <is>
          <t>PANAMAPET</t>
        </is>
      </c>
      <c r="B61" s="30" t="inlineStr">
        <is>
          <t>Panama Petrochem Limited</t>
        </is>
      </c>
      <c r="C61" s="30" t="inlineStr">
        <is>
          <t>energy</t>
        </is>
      </c>
      <c r="D61" s="30" t="inlineStr">
        <is>
          <t>petrochemicals</t>
        </is>
      </c>
      <c r="E61" s="30" t="inlineStr">
        <is>
          <t>smallcap</t>
        </is>
      </c>
      <c r="F61" s="30" t="n">
        <v>2922.75</v>
      </c>
      <c r="G61" s="30" t="n">
        <v>498.4</v>
      </c>
      <c r="H61" s="30" t="n">
        <v>3.16</v>
      </c>
      <c r="I61" s="30" t="n">
        <v>791161</v>
      </c>
      <c r="J61" s="30" t="inlineStr">
        <is>
          <t>524820</t>
        </is>
      </c>
    </row>
    <row r="62">
      <c r="A62" s="30" t="inlineStr">
        <is>
          <t>ADANIPOWER</t>
        </is>
      </c>
      <c r="B62" s="30" t="inlineStr">
        <is>
          <t>Adani Power Limited</t>
        </is>
      </c>
      <c r="C62" s="30" t="inlineStr">
        <is>
          <t>power &amp; utilities</t>
        </is>
      </c>
      <c r="D62" s="30" t="inlineStr">
        <is>
          <t>power generation and supply</t>
        </is>
      </c>
      <c r="E62" s="30" t="inlineStr">
        <is>
          <t>largecap</t>
        </is>
      </c>
      <c r="F62" s="30" t="n">
        <v>401893.04</v>
      </c>
      <c r="G62" s="30" t="n">
        <v>214.9</v>
      </c>
      <c r="H62" s="30" t="n">
        <v>3.12</v>
      </c>
      <c r="I62" s="30" t="n">
        <v>33227588</v>
      </c>
      <c r="J62" s="30" t="inlineStr">
        <is>
          <t>533096</t>
        </is>
      </c>
    </row>
    <row r="63">
      <c r="A63" s="30" t="inlineStr">
        <is>
          <t>ONEPOINT</t>
        </is>
      </c>
      <c r="B63" s="30" t="inlineStr">
        <is>
          <t>One Point One Solutions Ltd</t>
        </is>
      </c>
      <c r="C63" s="30" t="inlineStr">
        <is>
          <t>i.t</t>
        </is>
      </c>
      <c r="D63" s="30" t="inlineStr">
        <is>
          <t>computers - software - medium / small</t>
        </is>
      </c>
      <c r="E63" s="30" t="inlineStr">
        <is>
          <t>smallcap</t>
        </is>
      </c>
      <c r="F63" s="30" t="n">
        <v>1481.91</v>
      </c>
      <c r="G63" s="30" t="n">
        <v>58.07</v>
      </c>
      <c r="H63" s="30" t="n">
        <v>3.03</v>
      </c>
      <c r="I63" s="30" t="n">
        <v>847505</v>
      </c>
      <c r="J63" s="30" t="inlineStr">
        <is>
          <t>535039</t>
        </is>
      </c>
    </row>
    <row r="64">
      <c r="A64" s="30" t="inlineStr">
        <is>
          <t>PAISALO</t>
        </is>
      </c>
      <c r="B64" s="30" t="inlineStr">
        <is>
          <t>Paisalo Digital Ltd</t>
        </is>
      </c>
      <c r="C64" s="30" t="inlineStr">
        <is>
          <t>financials</t>
        </is>
      </c>
      <c r="D64" s="30" t="inlineStr">
        <is>
          <t>finance &amp; investments</t>
        </is>
      </c>
      <c r="E64" s="30" t="inlineStr">
        <is>
          <t>midcap</t>
        </is>
      </c>
      <c r="F64" s="30" t="n">
        <v>7068.8</v>
      </c>
      <c r="G64" s="30" t="n">
        <v>79.92</v>
      </c>
      <c r="H64" s="30" t="n">
        <v>2.83</v>
      </c>
      <c r="I64" s="30" t="n">
        <v>21010428</v>
      </c>
      <c r="J64" s="30" t="inlineStr">
        <is>
          <t>532900</t>
        </is>
      </c>
    </row>
    <row r="65">
      <c r="A65" s="30" t="inlineStr">
        <is>
          <t>JSWINFRA</t>
        </is>
      </c>
      <c r="B65" s="30" t="inlineStr">
        <is>
          <t>JSW Infrastructure Ltd</t>
        </is>
      </c>
      <c r="C65" s="30" t="inlineStr">
        <is>
          <t>transportation</t>
        </is>
      </c>
      <c r="D65" s="30" t="inlineStr">
        <is>
          <t>miscellaneous</t>
        </is>
      </c>
      <c r="E65" s="30" t="inlineStr">
        <is>
          <t>largecap</t>
        </is>
      </c>
      <c r="F65" s="30" t="n">
        <v>77356.05</v>
      </c>
      <c r="G65" s="30" t="n">
        <v>341.4</v>
      </c>
      <c r="H65" s="30" t="n">
        <v>2.83</v>
      </c>
      <c r="I65" s="30" t="n">
        <v>5359382</v>
      </c>
      <c r="J65" s="30" t="inlineStr">
        <is>
          <t>543994</t>
        </is>
      </c>
    </row>
    <row r="66">
      <c r="A66" s="30" t="inlineStr">
        <is>
          <t>SBCL</t>
        </is>
      </c>
      <c r="B66" s="30" t="inlineStr">
        <is>
          <t>Shivalik Bimetal Controls Ltd</t>
        </is>
      </c>
      <c r="C66" s="30" t="inlineStr">
        <is>
          <t>metals &amp; mining</t>
        </is>
      </c>
      <c r="D66" s="30" t="inlineStr">
        <is>
          <t>mining / minerals / metals</t>
        </is>
      </c>
      <c r="E66" s="30" t="inlineStr">
        <is>
          <t>midcap</t>
        </is>
      </c>
      <c r="F66" s="30" t="n">
        <v>6366.42</v>
      </c>
      <c r="G66" s="30" t="n">
        <v>1136.5</v>
      </c>
      <c r="H66" s="30" t="n">
        <v>2.83</v>
      </c>
      <c r="I66" s="30" t="n">
        <v>383467</v>
      </c>
      <c r="J66" s="30" t="inlineStr">
        <is>
          <t>513097</t>
        </is>
      </c>
    </row>
    <row r="67">
      <c r="A67" s="30" t="inlineStr">
        <is>
          <t>ASKAUTOLTD</t>
        </is>
      </c>
      <c r="B67" s="30" t="inlineStr">
        <is>
          <t>ASK Automotive Ltd</t>
        </is>
      </c>
      <c r="C67" s="30" t="inlineStr">
        <is>
          <t>auto</t>
        </is>
      </c>
      <c r="D67" s="30" t="inlineStr">
        <is>
          <t>auto ancillaries</t>
        </is>
      </c>
      <c r="E67" s="30" t="inlineStr">
        <is>
          <t>midcap</t>
        </is>
      </c>
      <c r="F67" s="30" t="n">
        <v>12028.66</v>
      </c>
      <c r="G67" s="30" t="n">
        <v>627.25</v>
      </c>
      <c r="H67" s="30" t="n">
        <v>2.8</v>
      </c>
      <c r="I67" s="30" t="n">
        <v>288722</v>
      </c>
      <c r="J67" s="30" t="inlineStr">
        <is>
          <t>544022</t>
        </is>
      </c>
    </row>
    <row r="68">
      <c r="A68" s="30" t="inlineStr">
        <is>
          <t>ABSLAMC</t>
        </is>
      </c>
      <c r="B68" s="30" t="inlineStr">
        <is>
          <t>Aditya Birla Sun Life AMC Ltd</t>
        </is>
      </c>
      <c r="C68" s="30" t="inlineStr">
        <is>
          <t>financials</t>
        </is>
      </c>
      <c r="D68" s="30" t="inlineStr">
        <is>
          <t>finance &amp; investments</t>
        </is>
      </c>
      <c r="E68" s="30" t="inlineStr">
        <is>
          <t>largecap</t>
        </is>
      </c>
      <c r="F68" s="30" t="n">
        <v>29972.31</v>
      </c>
      <c r="G68" s="30" t="n">
        <v>1066.5</v>
      </c>
      <c r="H68" s="30" t="n">
        <v>2.77</v>
      </c>
      <c r="I68" s="30" t="n">
        <v>233592</v>
      </c>
      <c r="J68" s="30" t="inlineStr">
        <is>
          <t>543374</t>
        </is>
      </c>
    </row>
    <row r="69">
      <c r="A69" s="30" t="inlineStr">
        <is>
          <t>BHEL</t>
        </is>
      </c>
      <c r="B69" s="30" t="inlineStr">
        <is>
          <t>Bharat Heavy Electricals Limited</t>
        </is>
      </c>
      <c r="C69" s="30" t="inlineStr">
        <is>
          <t>industrials</t>
        </is>
      </c>
      <c r="D69" s="30" t="inlineStr">
        <is>
          <t>electric equipment</t>
        </is>
      </c>
      <c r="E69" s="30" t="inlineStr">
        <is>
          <t>largecap</t>
        </is>
      </c>
      <c r="F69" s="30" t="n">
        <v>146995.3</v>
      </c>
      <c r="G69" s="30" t="n">
        <v>433.7</v>
      </c>
      <c r="H69" s="30" t="n">
        <v>2.74</v>
      </c>
      <c r="I69" s="30" t="n">
        <v>8487227</v>
      </c>
      <c r="J69" s="30" t="inlineStr">
        <is>
          <t>500103</t>
        </is>
      </c>
    </row>
    <row r="70">
      <c r="A70" s="30" t="inlineStr">
        <is>
          <t>STYLEBAAZA</t>
        </is>
      </c>
      <c r="B70" s="30" t="inlineStr">
        <is>
          <t>Baazar Style Retail Ltd</t>
        </is>
      </c>
      <c r="C70" s="30" t="inlineStr">
        <is>
          <t>consumer discretionary</t>
        </is>
      </c>
      <c r="D70" s="30" t="inlineStr">
        <is>
          <t>trading</t>
        </is>
      </c>
      <c r="E70" s="30" t="inlineStr">
        <is>
          <t>smallcap</t>
        </is>
      </c>
      <c r="F70" s="30" t="n">
        <v>2948.03</v>
      </c>
      <c r="G70" s="30" t="n">
        <v>397.7</v>
      </c>
      <c r="H70" s="30" t="n">
        <v>2.69</v>
      </c>
      <c r="I70" s="30" t="n">
        <v>821639</v>
      </c>
      <c r="J70" s="30" t="inlineStr">
        <is>
          <t>544243</t>
        </is>
      </c>
    </row>
    <row r="71">
      <c r="A71" s="30" t="inlineStr">
        <is>
          <t>MAHASTEEL</t>
        </is>
      </c>
      <c r="B71" s="30" t="inlineStr">
        <is>
          <t>Mahamaya Steel Industries Limited</t>
        </is>
      </c>
      <c r="C71" s="30" t="inlineStr">
        <is>
          <t>metals &amp; mining</t>
        </is>
      </c>
      <c r="D71" s="30" t="inlineStr">
        <is>
          <t>steel - medium / small</t>
        </is>
      </c>
      <c r="E71" s="30" t="inlineStr">
        <is>
          <t>smallcap</t>
        </is>
      </c>
      <c r="F71" s="30" t="n">
        <v>2122.34</v>
      </c>
      <c r="G71" s="30" t="n">
        <v>1325.6</v>
      </c>
      <c r="H71" s="30" t="n">
        <v>2.65</v>
      </c>
      <c r="I71" s="30" t="n">
        <v>4953</v>
      </c>
      <c r="J71" s="30" t="inlineStr">
        <is>
          <t>513554</t>
        </is>
      </c>
    </row>
    <row r="72">
      <c r="A72" s="30" t="inlineStr">
        <is>
          <t>PCJEWELLER</t>
        </is>
      </c>
      <c r="B72" s="30" t="inlineStr">
        <is>
          <t>Pc Jeweller Limited</t>
        </is>
      </c>
      <c r="C72" s="30" t="inlineStr">
        <is>
          <t>consumer discretionary</t>
        </is>
      </c>
      <c r="D72" s="30" t="inlineStr">
        <is>
          <t>diamond cutting / jewellery</t>
        </is>
      </c>
      <c r="E72" s="30" t="inlineStr">
        <is>
          <t>midcap</t>
        </is>
      </c>
      <c r="F72" s="30" t="n">
        <v>13128.64</v>
      </c>
      <c r="G72" s="30" t="n">
        <v>13.87</v>
      </c>
      <c r="H72" s="30" t="n">
        <v>2.59</v>
      </c>
      <c r="I72" s="30" t="n">
        <v>697754870</v>
      </c>
      <c r="J72" s="30" t="inlineStr">
        <is>
          <t>534809</t>
        </is>
      </c>
    </row>
    <row r="73">
      <c r="A73" s="30" t="inlineStr">
        <is>
          <t>COALINDIA</t>
        </is>
      </c>
      <c r="B73" s="30" t="inlineStr">
        <is>
          <t>Coal India Limited</t>
        </is>
      </c>
      <c r="C73" s="30" t="inlineStr">
        <is>
          <t>metals &amp; mining</t>
        </is>
      </c>
      <c r="D73" s="30" t="inlineStr">
        <is>
          <t>mining / minerals / metals</t>
        </is>
      </c>
      <c r="E73" s="30" t="inlineStr">
        <is>
          <t>largecap</t>
        </is>
      </c>
      <c r="F73" s="30" t="n">
        <v>258988.66</v>
      </c>
      <c r="G73" s="30" t="n">
        <v>431</v>
      </c>
      <c r="H73" s="30" t="n">
        <v>2.56</v>
      </c>
      <c r="I73" s="30" t="n">
        <v>22791556</v>
      </c>
      <c r="J73" s="30" t="inlineStr">
        <is>
          <t>533278</t>
        </is>
      </c>
    </row>
    <row r="74">
      <c r="A74" s="30" t="inlineStr">
        <is>
          <t>SANSERA</t>
        </is>
      </c>
      <c r="B74" s="30" t="inlineStr">
        <is>
          <t>Sansera Engineering Ltd</t>
        </is>
      </c>
      <c r="C74" s="30" t="inlineStr">
        <is>
          <t>auto</t>
        </is>
      </c>
      <c r="D74" s="30" t="inlineStr">
        <is>
          <t>auto ancillaries</t>
        </is>
      </c>
      <c r="E74" s="30" t="inlineStr">
        <is>
          <t>largecap</t>
        </is>
      </c>
      <c r="F74" s="30" t="n">
        <v>25171.1</v>
      </c>
      <c r="G74" s="30" t="n">
        <v>4135.9</v>
      </c>
      <c r="H74" s="30" t="n">
        <v>2.54</v>
      </c>
      <c r="I74" s="30" t="n">
        <v>470508</v>
      </c>
      <c r="J74" s="30" t="inlineStr">
        <is>
          <t>543358</t>
        </is>
      </c>
    </row>
    <row r="75">
      <c r="A75" s="30" t="inlineStr">
        <is>
          <t>AEGISVOPAK</t>
        </is>
      </c>
      <c r="B75" s="30" t="inlineStr">
        <is>
          <t>Aegis Vopak Terminals Ltd</t>
        </is>
      </c>
      <c r="C75" s="30" t="inlineStr">
        <is>
          <t>transportation</t>
        </is>
      </c>
      <c r="D75" s="30" t="inlineStr">
        <is>
          <t>miscellaneous</t>
        </is>
      </c>
      <c r="E75" s="30" t="inlineStr">
        <is>
          <t>largecap</t>
        </is>
      </c>
      <c r="F75" s="30" t="n">
        <v>32203.77</v>
      </c>
      <c r="G75" s="30" t="n">
        <v>297.65</v>
      </c>
      <c r="H75" s="30" t="n">
        <v>2.41</v>
      </c>
      <c r="I75" s="30" t="n">
        <v>1911786</v>
      </c>
      <c r="J75" s="30" t="inlineStr">
        <is>
          <t>544407</t>
        </is>
      </c>
    </row>
    <row r="76">
      <c r="A76" s="30" t="inlineStr">
        <is>
          <t>ORIENTBELL</t>
        </is>
      </c>
      <c r="B76" s="30" t="inlineStr">
        <is>
          <t>Orient Bell Limited</t>
        </is>
      </c>
      <c r="C76" s="30" t="inlineStr">
        <is>
          <t>building materials</t>
        </is>
      </c>
      <c r="D76" s="30" t="inlineStr">
        <is>
          <t>ceramics - tiles / sanitaryware</t>
        </is>
      </c>
      <c r="E76" s="30" t="inlineStr">
        <is>
          <t>smallcap</t>
        </is>
      </c>
      <c r="F76" s="30" t="n">
        <v>603.5700000000001</v>
      </c>
      <c r="G76" s="30" t="n">
        <v>420.1</v>
      </c>
      <c r="H76" s="30" t="n">
        <v>2.39</v>
      </c>
      <c r="I76" s="30" t="n">
        <v>41864</v>
      </c>
      <c r="J76" s="30" t="inlineStr">
        <is>
          <t>530365</t>
        </is>
      </c>
    </row>
    <row r="77">
      <c r="A77" s="30" t="inlineStr">
        <is>
          <t>SBFC</t>
        </is>
      </c>
      <c r="B77" s="30" t="inlineStr">
        <is>
          <t>SBFC Finance Ltd</t>
        </is>
      </c>
      <c r="C77" s="30" t="inlineStr">
        <is>
          <t>financials</t>
        </is>
      </c>
      <c r="D77" s="30" t="inlineStr">
        <is>
          <t>finance &amp; investments</t>
        </is>
      </c>
      <c r="E77" s="30" t="inlineStr">
        <is>
          <t>midcap</t>
        </is>
      </c>
      <c r="F77" s="30" t="n">
        <v>10779.63</v>
      </c>
      <c r="G77" s="30" t="n">
        <v>99.59</v>
      </c>
      <c r="H77" s="30" t="n">
        <v>2.3</v>
      </c>
      <c r="I77" s="30" t="n">
        <v>1121688</v>
      </c>
      <c r="J77" s="30" t="inlineStr">
        <is>
          <t>543959</t>
        </is>
      </c>
    </row>
    <row r="78">
      <c r="A78" s="30" t="inlineStr">
        <is>
          <t>AVTNPL</t>
        </is>
      </c>
      <c r="B78" s="30" t="inlineStr">
        <is>
          <t>Avt Natural Products Limited</t>
        </is>
      </c>
      <c r="C78" s="30" t="inlineStr">
        <is>
          <t>fmcg</t>
        </is>
      </c>
      <c r="D78" s="30" t="inlineStr">
        <is>
          <t>solvent extraction</t>
        </is>
      </c>
      <c r="E78" s="30" t="inlineStr">
        <is>
          <t>smallcap</t>
        </is>
      </c>
      <c r="F78" s="30" t="n">
        <v>1375.89</v>
      </c>
      <c r="G78" s="30" t="n">
        <v>92.42</v>
      </c>
      <c r="H78" s="30" t="n">
        <v>2.29</v>
      </c>
      <c r="I78" s="30" t="n">
        <v>432223</v>
      </c>
      <c r="J78" s="30" t="inlineStr">
        <is>
          <t>519105</t>
        </is>
      </c>
    </row>
    <row r="79">
      <c r="A79" s="30" t="inlineStr">
        <is>
          <t>GLAND</t>
        </is>
      </c>
      <c r="B79" s="30" t="inlineStr">
        <is>
          <t>Gland Pharma Ltd</t>
        </is>
      </c>
      <c r="C79" s="30" t="inlineStr">
        <is>
          <t>healthcare</t>
        </is>
      </c>
      <c r="D79" s="30" t="inlineStr">
        <is>
          <t>pharmaceuticals - indian - formulations</t>
        </is>
      </c>
      <c r="E79" s="30" t="inlineStr">
        <is>
          <t>largecap</t>
        </is>
      </c>
      <c r="F79" s="30" t="n">
        <v>48816.52</v>
      </c>
      <c r="G79" s="30" t="n">
        <v>3026.2</v>
      </c>
      <c r="H79" s="30" t="n">
        <v>2.26</v>
      </c>
      <c r="I79" s="30" t="n">
        <v>1560855</v>
      </c>
      <c r="J79" s="30" t="inlineStr">
        <is>
          <t>543245</t>
        </is>
      </c>
    </row>
    <row r="80">
      <c r="A80" s="30" t="inlineStr">
        <is>
          <t>MGEL</t>
        </is>
      </c>
      <c r="B80" s="30" t="inlineStr">
        <is>
          <t>Mangalam Global Enterprise Ltd</t>
        </is>
      </c>
      <c r="C80" s="30" t="inlineStr">
        <is>
          <t>services</t>
        </is>
      </c>
      <c r="D80" s="30" t="inlineStr">
        <is>
          <t>trading</t>
        </is>
      </c>
      <c r="E80" s="30" t="inlineStr">
        <is>
          <t>smallcap</t>
        </is>
      </c>
      <c r="F80" s="30" t="n">
        <v>510.81</v>
      </c>
      <c r="G80" s="30" t="n">
        <v>15.84</v>
      </c>
      <c r="H80" s="30" t="n">
        <v>2.19</v>
      </c>
      <c r="I80" s="30" t="n">
        <v>14242508</v>
      </c>
      <c r="J80" s="30" t="inlineStr">
        <is>
          <t>535349</t>
        </is>
      </c>
    </row>
    <row r="81">
      <c r="A81" s="30" t="inlineStr">
        <is>
          <t>CARYSIL</t>
        </is>
      </c>
      <c r="B81" s="30" t="inlineStr">
        <is>
          <t>Carysil Ltd</t>
        </is>
      </c>
      <c r="C81" s="30" t="inlineStr">
        <is>
          <t>consumer discretionary</t>
        </is>
      </c>
      <c r="D81" s="30" t="inlineStr">
        <is>
          <t>domestic appliances</t>
        </is>
      </c>
      <c r="E81" s="30" t="inlineStr">
        <is>
          <t>smallcap</t>
        </is>
      </c>
      <c r="F81" s="30" t="n">
        <v>3285.12</v>
      </c>
      <c r="G81" s="30" t="n">
        <v>1180.3</v>
      </c>
      <c r="H81" s="30" t="n">
        <v>2.19</v>
      </c>
      <c r="I81" s="30" t="n">
        <v>113525</v>
      </c>
      <c r="J81" s="30" t="inlineStr">
        <is>
          <t>524091</t>
        </is>
      </c>
    </row>
    <row r="82">
      <c r="A82" s="30" t="inlineStr">
        <is>
          <t>RAIN</t>
        </is>
      </c>
      <c r="B82" s="30" t="inlineStr">
        <is>
          <t>Rain Industries Limited</t>
        </is>
      </c>
      <c r="C82" s="30" t="inlineStr">
        <is>
          <t>miscellaneous</t>
        </is>
      </c>
      <c r="D82" s="30" t="inlineStr">
        <is>
          <t>miscellaneous</t>
        </is>
      </c>
      <c r="E82" s="30" t="inlineStr">
        <is>
          <t>midcap</t>
        </is>
      </c>
      <c r="F82" s="30" t="n">
        <v>7325.95</v>
      </c>
      <c r="G82" s="30" t="n">
        <v>222.5</v>
      </c>
      <c r="H82" s="30" t="n">
        <v>2.15</v>
      </c>
      <c r="I82" s="30" t="n">
        <v>11435273</v>
      </c>
      <c r="J82" s="30" t="inlineStr">
        <is>
          <t>500339</t>
        </is>
      </c>
    </row>
    <row r="83">
      <c r="A83" s="30" t="inlineStr">
        <is>
          <t>JUBLPHARMA</t>
        </is>
      </c>
      <c r="B83" s="30" t="inlineStr">
        <is>
          <t>Jubilant Pharmova Ltd</t>
        </is>
      </c>
      <c r="C83" s="30" t="inlineStr">
        <is>
          <t>healthcare</t>
        </is>
      </c>
      <c r="D83" s="30" t="inlineStr">
        <is>
          <t>pharmaceuticals - indian - bulk drugs</t>
        </is>
      </c>
      <c r="E83" s="30" t="inlineStr">
        <is>
          <t>midcap</t>
        </is>
      </c>
      <c r="F83" s="30" t="n">
        <v>15892.28</v>
      </c>
      <c r="G83" s="30" t="n">
        <v>1019</v>
      </c>
      <c r="H83" s="30" t="n">
        <v>2.13</v>
      </c>
      <c r="I83" s="30" t="n">
        <v>452808</v>
      </c>
      <c r="J83" s="30" t="inlineStr">
        <is>
          <t>530019</t>
        </is>
      </c>
    </row>
    <row r="84">
      <c r="A84" s="30" t="inlineStr">
        <is>
          <t>SHREEJISPG</t>
        </is>
      </c>
      <c r="B84" s="30" t="inlineStr">
        <is>
          <t>Shreeji Shipping Global Ltd</t>
        </is>
      </c>
      <c r="C84" s="30" t="inlineStr">
        <is>
          <t>transportation</t>
        </is>
      </c>
      <c r="D84" s="30" t="inlineStr">
        <is>
          <t>shipping</t>
        </is>
      </c>
      <c r="E84" s="30" t="inlineStr">
        <is>
          <t>midcap</t>
        </is>
      </c>
      <c r="F84" s="30" t="n">
        <v>11374.95</v>
      </c>
      <c r="G84" s="30" t="n">
        <v>713.1</v>
      </c>
      <c r="H84" s="30" t="n">
        <v>2.13</v>
      </c>
      <c r="I84" s="30" t="n">
        <v>735559</v>
      </c>
      <c r="J84" s="30" t="inlineStr">
        <is>
          <t>544490</t>
        </is>
      </c>
    </row>
    <row r="85">
      <c r="A85" s="30" t="inlineStr">
        <is>
          <t>SANATHAN</t>
        </is>
      </c>
      <c r="B85" s="30" t="inlineStr">
        <is>
          <t>Sanathan Textiles Ltd</t>
        </is>
      </c>
      <c r="C85" s="30" t="inlineStr">
        <is>
          <t>textiles</t>
        </is>
      </c>
      <c r="D85" s="30" t="inlineStr">
        <is>
          <t>textiles - cotton/blended</t>
        </is>
      </c>
      <c r="E85" s="30" t="inlineStr">
        <is>
          <t>smallcap</t>
        </is>
      </c>
      <c r="F85" s="30" t="n">
        <v>3971.21</v>
      </c>
      <c r="G85" s="30" t="n">
        <v>480.35</v>
      </c>
      <c r="H85" s="30" t="n">
        <v>2.09</v>
      </c>
      <c r="I85" s="30" t="n">
        <v>243757</v>
      </c>
      <c r="J85" s="30" t="inlineStr">
        <is>
          <t>544314</t>
        </is>
      </c>
    </row>
    <row r="86">
      <c r="A86" s="30" t="inlineStr">
        <is>
          <t>ALIVUS</t>
        </is>
      </c>
      <c r="B86" s="30" t="inlineStr">
        <is>
          <t>Alivus Life Sciences Ltd</t>
        </is>
      </c>
      <c r="C86" s="30" t="inlineStr">
        <is>
          <t>healthcare</t>
        </is>
      </c>
      <c r="D86" s="30" t="inlineStr">
        <is>
          <t>pharmaceuticals - indian - bulk drugs &amp; formln</t>
        </is>
      </c>
      <c r="E86" s="30" t="inlineStr">
        <is>
          <t>midcap</t>
        </is>
      </c>
      <c r="F86" s="30" t="n">
        <v>16839.43</v>
      </c>
      <c r="G86" s="30" t="n">
        <v>1400.1</v>
      </c>
      <c r="H86" s="30" t="n">
        <v>2.05</v>
      </c>
      <c r="I86" s="30" t="n">
        <v>193281</v>
      </c>
      <c r="J86" s="30" t="inlineStr">
        <is>
          <t>543322</t>
        </is>
      </c>
    </row>
    <row r="87">
      <c r="A87" s="30" t="inlineStr">
        <is>
          <t>SMSPHARMA</t>
        </is>
      </c>
      <c r="B87" s="30" t="inlineStr">
        <is>
          <t>Sms Pharmaceuticals Limited</t>
        </is>
      </c>
      <c r="C87" s="30" t="inlineStr">
        <is>
          <t>healthcare</t>
        </is>
      </c>
      <c r="D87" s="30" t="inlineStr">
        <is>
          <t>pharmaceuticals - indian - bulk drugs</t>
        </is>
      </c>
      <c r="E87" s="30" t="inlineStr">
        <is>
          <t>smallcap</t>
        </is>
      </c>
      <c r="F87" s="30" t="n">
        <v>3738.12</v>
      </c>
      <c r="G87" s="30" t="n">
        <v>407.3</v>
      </c>
      <c r="H87" s="30" t="n">
        <v>2.04</v>
      </c>
      <c r="I87" s="30" t="n">
        <v>523724</v>
      </c>
      <c r="J87" s="30" t="inlineStr">
        <is>
          <t>532815</t>
        </is>
      </c>
    </row>
    <row r="88">
      <c r="A88" s="30" t="inlineStr">
        <is>
          <t>YATHARTH</t>
        </is>
      </c>
      <c r="B88" s="30" t="inlineStr">
        <is>
          <t>Yatharth Hospital &amp; Trauma Care Services Ltd</t>
        </is>
      </c>
      <c r="C88" s="30" t="inlineStr">
        <is>
          <t>healthcare</t>
        </is>
      </c>
      <c r="D88" s="30" t="inlineStr">
        <is>
          <t>healthcare</t>
        </is>
      </c>
      <c r="E88" s="30" t="inlineStr">
        <is>
          <t>midcap</t>
        </is>
      </c>
      <c r="F88" s="30" t="n">
        <v>9345.41</v>
      </c>
      <c r="G88" s="30" t="n">
        <v>989.7</v>
      </c>
      <c r="H88" s="30" t="n">
        <v>2.04</v>
      </c>
      <c r="I88" s="30" t="n">
        <v>233441</v>
      </c>
      <c r="J88" s="30" t="inlineStr">
        <is>
          <t>543950</t>
        </is>
      </c>
    </row>
    <row r="89">
      <c r="A89" s="30" t="inlineStr">
        <is>
          <t>KINGFA</t>
        </is>
      </c>
      <c r="B89" s="30" t="inlineStr">
        <is>
          <t>Kingfa Science &amp; Technology (india) Limited</t>
        </is>
      </c>
      <c r="C89" s="30" t="inlineStr">
        <is>
          <t>plastic products</t>
        </is>
      </c>
      <c r="D89" s="30" t="inlineStr">
        <is>
          <t>plastics products</t>
        </is>
      </c>
      <c r="E89" s="30" t="inlineStr">
        <is>
          <t>midcap</t>
        </is>
      </c>
      <c r="F89" s="30" t="n">
        <v>8180.97</v>
      </c>
      <c r="G89" s="30" t="n">
        <v>6157.5</v>
      </c>
      <c r="H89" s="30" t="n">
        <v>2</v>
      </c>
      <c r="I89" s="30" t="n">
        <v>23001</v>
      </c>
      <c r="J89" s="30" t="inlineStr">
        <is>
          <t>524019</t>
        </is>
      </c>
    </row>
    <row r="90">
      <c r="A90" s="30" t="inlineStr">
        <is>
          <t>KENNAMET</t>
        </is>
      </c>
      <c r="B90" s="30" t="inlineStr">
        <is>
          <t>Kennametal India Ltd</t>
        </is>
      </c>
      <c r="C90" s="30" t="inlineStr">
        <is>
          <t>industrials</t>
        </is>
      </c>
      <c r="D90" s="30" t="inlineStr">
        <is>
          <t>castings &amp; forgings</t>
        </is>
      </c>
      <c r="E90" s="30" t="inlineStr">
        <is>
          <t>midcap</t>
        </is>
      </c>
      <c r="F90" s="30" t="n">
        <v>10229.55</v>
      </c>
      <c r="G90" s="30" t="n">
        <v>4746.7</v>
      </c>
      <c r="H90" s="30" t="n">
        <v>1.98</v>
      </c>
      <c r="I90" s="30" t="n">
        <v>45818</v>
      </c>
      <c r="J90" s="30" t="inlineStr">
        <is>
          <t>505890</t>
        </is>
      </c>
    </row>
    <row r="91">
      <c r="A91" s="30" t="inlineStr">
        <is>
          <t>RATNAMANI</t>
        </is>
      </c>
      <c r="B91" s="30" t="inlineStr">
        <is>
          <t>Ratnamani Metals &amp; Tubes Limited</t>
        </is>
      </c>
      <c r="C91" s="30" t="inlineStr">
        <is>
          <t>industrials</t>
        </is>
      </c>
      <c r="D91" s="30" t="inlineStr">
        <is>
          <t>steel - medium / small</t>
        </is>
      </c>
      <c r="E91" s="30" t="inlineStr">
        <is>
          <t>midcap</t>
        </is>
      </c>
      <c r="F91" s="30" t="n">
        <v>19652.4</v>
      </c>
      <c r="G91" s="30" t="n">
        <v>2859.2</v>
      </c>
      <c r="H91" s="30" t="n">
        <v>1.98</v>
      </c>
      <c r="I91" s="30" t="n">
        <v>126387</v>
      </c>
      <c r="J91" s="30" t="inlineStr">
        <is>
          <t>520111</t>
        </is>
      </c>
    </row>
    <row r="92">
      <c r="A92" s="30" t="inlineStr">
        <is>
          <t>PRIVISCL</t>
        </is>
      </c>
      <c r="B92" s="30" t="inlineStr">
        <is>
          <t>Privi Speciality Chemicals Ltd</t>
        </is>
      </c>
      <c r="C92" s="30" t="inlineStr">
        <is>
          <t>chemicals</t>
        </is>
      </c>
      <c r="D92" s="30" t="inlineStr">
        <is>
          <t>chemicals</t>
        </is>
      </c>
      <c r="E92" s="30" t="inlineStr">
        <is>
          <t>midcap</t>
        </is>
      </c>
      <c r="F92" s="30" t="n">
        <v>13553.2</v>
      </c>
      <c r="G92" s="30" t="n">
        <v>3537.9</v>
      </c>
      <c r="H92" s="30" t="n">
        <v>1.97</v>
      </c>
      <c r="I92" s="30" t="n">
        <v>130119</v>
      </c>
      <c r="J92" s="30" t="inlineStr">
        <is>
          <t>530117</t>
        </is>
      </c>
    </row>
    <row r="93">
      <c r="A93" s="30" t="inlineStr">
        <is>
          <t>NEOGEN</t>
        </is>
      </c>
      <c r="B93" s="30" t="inlineStr">
        <is>
          <t>Neogen Chemicals Ltd</t>
        </is>
      </c>
      <c r="C93" s="30" t="inlineStr">
        <is>
          <t>chemicals</t>
        </is>
      </c>
      <c r="D93" s="30" t="inlineStr">
        <is>
          <t>chemicals</t>
        </is>
      </c>
      <c r="E93" s="30" t="inlineStr">
        <is>
          <t>midcap</t>
        </is>
      </c>
      <c r="F93" s="30" t="n">
        <v>6059.56</v>
      </c>
      <c r="G93" s="30" t="n">
        <v>2255.2</v>
      </c>
      <c r="H93" s="30" t="n">
        <v>1.91</v>
      </c>
      <c r="I93" s="30" t="n">
        <v>234288</v>
      </c>
      <c r="J93" s="30" t="inlineStr">
        <is>
          <t>542665</t>
        </is>
      </c>
    </row>
    <row r="94">
      <c r="A94" s="30" t="inlineStr">
        <is>
          <t>MVGJL</t>
        </is>
      </c>
      <c r="B94" s="30" t="inlineStr">
        <is>
          <t>Manoj Vaibhav Gems N Jewellers Ltd</t>
        </is>
      </c>
      <c r="C94" s="30" t="inlineStr">
        <is>
          <t>consumer discretionary</t>
        </is>
      </c>
      <c r="D94" s="30" t="inlineStr">
        <is>
          <t>diamond cutting / jewellery</t>
        </is>
      </c>
      <c r="E94" s="30" t="inlineStr">
        <is>
          <t>smallcap</t>
        </is>
      </c>
      <c r="F94" s="30" t="n">
        <v>1029.31</v>
      </c>
      <c r="G94" s="30" t="n">
        <v>214.64</v>
      </c>
      <c r="H94" s="30" t="n">
        <v>1.86</v>
      </c>
      <c r="I94" s="30" t="n">
        <v>1334420</v>
      </c>
      <c r="J94" s="30" t="inlineStr">
        <is>
          <t>543995</t>
        </is>
      </c>
    </row>
    <row r="95">
      <c r="A95" s="30" t="inlineStr">
        <is>
          <t>PANACHE</t>
        </is>
      </c>
      <c r="B95" s="30" t="inlineStr">
        <is>
          <t>Panache Digilife Ltd</t>
        </is>
      </c>
      <c r="C95" s="30" t="inlineStr">
        <is>
          <t>i.t</t>
        </is>
      </c>
      <c r="D95" s="30" t="inlineStr">
        <is>
          <t>computers - hardware</t>
        </is>
      </c>
      <c r="E95" s="30" t="inlineStr">
        <is>
          <t>smallcap</t>
        </is>
      </c>
      <c r="F95" s="30" t="n">
        <v>825.6799999999999</v>
      </c>
      <c r="G95" s="30" t="n">
        <v>525</v>
      </c>
      <c r="H95" s="30" t="n">
        <v>1.82</v>
      </c>
      <c r="I95" s="30" t="n">
        <v>5506</v>
      </c>
      <c r="J95" s="30" t="inlineStr">
        <is>
          <t>538424</t>
        </is>
      </c>
    </row>
    <row r="96">
      <c r="A96" s="30" t="inlineStr">
        <is>
          <t>CGPOWER</t>
        </is>
      </c>
      <c r="B96" s="30" t="inlineStr">
        <is>
          <t>CG Power and Industrial Solutions Ltd</t>
        </is>
      </c>
      <c r="C96" s="30" t="inlineStr">
        <is>
          <t>industrials</t>
        </is>
      </c>
      <c r="D96" s="30" t="inlineStr">
        <is>
          <t>electric equipment</t>
        </is>
      </c>
      <c r="E96" s="30" t="inlineStr">
        <is>
          <t>largecap</t>
        </is>
      </c>
      <c r="F96" s="30" t="n">
        <v>143433.36</v>
      </c>
      <c r="G96" s="30" t="n">
        <v>926.95</v>
      </c>
      <c r="H96" s="30" t="n">
        <v>1.78</v>
      </c>
      <c r="I96" s="30" t="n">
        <v>3454657</v>
      </c>
      <c r="J96" s="30" t="inlineStr">
        <is>
          <t>500093</t>
        </is>
      </c>
    </row>
    <row r="97">
      <c r="A97" s="30" t="inlineStr">
        <is>
          <t>CUPID</t>
        </is>
      </c>
      <c r="B97" s="30" t="inlineStr">
        <is>
          <t>Cupid Limited</t>
        </is>
      </c>
      <c r="C97" s="30" t="inlineStr">
        <is>
          <t>fmcg</t>
        </is>
      </c>
      <c r="D97" s="30" t="inlineStr">
        <is>
          <t>personal care - indian</t>
        </is>
      </c>
      <c r="E97" s="30" t="inlineStr">
        <is>
          <t>largecap</t>
        </is>
      </c>
      <c r="F97" s="30" t="n">
        <v>36951.28</v>
      </c>
      <c r="G97" s="30" t="n">
        <v>279.7</v>
      </c>
      <c r="H97" s="30" t="n">
        <v>1.78</v>
      </c>
      <c r="I97" s="30" t="n">
        <v>26778485</v>
      </c>
      <c r="J97" s="30" t="inlineStr">
        <is>
          <t>530843</t>
        </is>
      </c>
    </row>
    <row r="98">
      <c r="A98" s="30" t="inlineStr">
        <is>
          <t>LUMAXTECH</t>
        </is>
      </c>
      <c r="B98" s="30" t="inlineStr">
        <is>
          <t>Lumax Auto Technologies Limited</t>
        </is>
      </c>
      <c r="C98" s="30" t="inlineStr">
        <is>
          <t>auto</t>
        </is>
      </c>
      <c r="D98" s="30" t="inlineStr">
        <is>
          <t>auto ancillaries</t>
        </is>
      </c>
      <c r="E98" s="30" t="inlineStr">
        <is>
          <t>midcap</t>
        </is>
      </c>
      <c r="F98" s="30" t="n">
        <v>13330.97</v>
      </c>
      <c r="G98" s="30" t="n">
        <v>1990.6</v>
      </c>
      <c r="H98" s="30" t="n">
        <v>1.77</v>
      </c>
      <c r="I98" s="30" t="n">
        <v>117985</v>
      </c>
      <c r="J98" s="30" t="inlineStr">
        <is>
          <t>532796</t>
        </is>
      </c>
    </row>
    <row r="99">
      <c r="A99" s="30" t="inlineStr">
        <is>
          <t>OAL</t>
        </is>
      </c>
      <c r="B99" s="30" t="inlineStr">
        <is>
          <t>Oriental Aromatics Ltd</t>
        </is>
      </c>
      <c r="C99" s="30" t="inlineStr">
        <is>
          <t>chemicals</t>
        </is>
      </c>
      <c r="D99" s="30" t="inlineStr">
        <is>
          <t>chemicals</t>
        </is>
      </c>
      <c r="E99" s="30" t="inlineStr">
        <is>
          <t>smallcap</t>
        </is>
      </c>
      <c r="F99" s="30" t="n">
        <v>1786.84</v>
      </c>
      <c r="G99" s="30" t="n">
        <v>540.3</v>
      </c>
      <c r="H99" s="30" t="n">
        <v>1.76</v>
      </c>
      <c r="I99" s="30" t="n">
        <v>79289</v>
      </c>
      <c r="J99" s="30" t="inlineStr">
        <is>
          <t>500078</t>
        </is>
      </c>
    </row>
    <row r="100">
      <c r="A100" s="30" t="inlineStr">
        <is>
          <t>NOCIL</t>
        </is>
      </c>
      <c r="B100" s="30" t="inlineStr">
        <is>
          <t>Nocil Limited</t>
        </is>
      </c>
      <c r="C100" s="30" t="inlineStr">
        <is>
          <t>chemicals</t>
        </is>
      </c>
      <c r="D100" s="30" t="inlineStr">
        <is>
          <t>chemicals</t>
        </is>
      </c>
      <c r="E100" s="30" t="inlineStr">
        <is>
          <t>smallcap</t>
        </is>
      </c>
      <c r="F100" s="30" t="n">
        <v>3091.13</v>
      </c>
      <c r="G100" s="30" t="n">
        <v>188.28</v>
      </c>
      <c r="H100" s="30" t="n">
        <v>1.73</v>
      </c>
      <c r="I100" s="30" t="n">
        <v>2843821</v>
      </c>
      <c r="J100" s="30" t="inlineStr">
        <is>
          <t>500730</t>
        </is>
      </c>
    </row>
    <row r="101">
      <c r="A101" s="30" t="inlineStr">
        <is>
          <t>VSSL</t>
        </is>
      </c>
      <c r="B101" s="30" t="inlineStr">
        <is>
          <t>Vardhman Special Steels Limited</t>
        </is>
      </c>
      <c r="C101" s="30" t="inlineStr">
        <is>
          <t>metals &amp; mining</t>
        </is>
      </c>
      <c r="D101" s="30" t="inlineStr">
        <is>
          <t>steel - medium / small</t>
        </is>
      </c>
      <c r="E101" s="30" t="inlineStr">
        <is>
          <t>smallcap</t>
        </is>
      </c>
      <c r="F101" s="30" t="n">
        <v>3447.81</v>
      </c>
      <c r="G101" s="30" t="n">
        <v>362.75</v>
      </c>
      <c r="H101" s="30" t="n">
        <v>1.72</v>
      </c>
      <c r="I101" s="30" t="n">
        <v>78919</v>
      </c>
      <c r="J101" s="30" t="inlineStr">
        <is>
          <t>534392</t>
        </is>
      </c>
    </row>
    <row r="102">
      <c r="A102" s="30" t="inlineStr">
        <is>
          <t>SAILIFE</t>
        </is>
      </c>
      <c r="B102" s="30" t="inlineStr">
        <is>
          <t>Sai Life Sciences Ltd</t>
        </is>
      </c>
      <c r="C102" s="30" t="inlineStr">
        <is>
          <t>healthcare</t>
        </is>
      </c>
      <c r="D102" s="30" t="inlineStr">
        <is>
          <t>pharmaceuticals - indian - bulk drugs &amp; formln</t>
        </is>
      </c>
      <c r="E102" s="30" t="inlineStr">
        <is>
          <t>largecap</t>
        </is>
      </c>
      <c r="F102" s="30" t="n">
        <v>34965.63</v>
      </c>
      <c r="G102" s="30" t="n">
        <v>1675.4</v>
      </c>
      <c r="H102" s="30" t="n">
        <v>1.72</v>
      </c>
      <c r="I102" s="30" t="n">
        <v>1332770</v>
      </c>
      <c r="J102" s="30" t="inlineStr">
        <is>
          <t>544306</t>
        </is>
      </c>
    </row>
    <row r="103">
      <c r="A103" s="30" t="inlineStr">
        <is>
          <t>FLUOROCHEM</t>
        </is>
      </c>
      <c r="B103" s="30" t="inlineStr">
        <is>
          <t>Gujarat Fluorochemicals Ltd</t>
        </is>
      </c>
      <c r="C103" s="30" t="inlineStr">
        <is>
          <t>chemicals</t>
        </is>
      </c>
      <c r="D103" s="30" t="inlineStr">
        <is>
          <t>chemicals</t>
        </is>
      </c>
      <c r="E103" s="30" t="inlineStr">
        <is>
          <t>largecap</t>
        </is>
      </c>
      <c r="F103" s="30" t="n">
        <v>51372.45</v>
      </c>
      <c r="G103" s="30" t="n">
        <v>4754.8</v>
      </c>
      <c r="H103" s="30" t="n">
        <v>1.67</v>
      </c>
      <c r="I103" s="30" t="n">
        <v>119098</v>
      </c>
      <c r="J103" s="30" t="inlineStr">
        <is>
          <t>542812</t>
        </is>
      </c>
    </row>
    <row r="104">
      <c r="A104" s="30" t="inlineStr">
        <is>
          <t>HINDZINC</t>
        </is>
      </c>
      <c r="B104" s="30" t="inlineStr">
        <is>
          <t>Hindustan Zinc Limited</t>
        </is>
      </c>
      <c r="C104" s="30" t="inlineStr">
        <is>
          <t>metals &amp; mining</t>
        </is>
      </c>
      <c r="D104" s="30" t="inlineStr">
        <is>
          <t>mining / minerals / metals</t>
        </is>
      </c>
      <c r="E104" s="30" t="inlineStr">
        <is>
          <t>largecap</t>
        </is>
      </c>
      <c r="F104" s="30" t="n">
        <v>251617.75</v>
      </c>
      <c r="G104" s="30" t="n">
        <v>605.4</v>
      </c>
      <c r="H104" s="30" t="n">
        <v>1.66</v>
      </c>
      <c r="I104" s="30" t="n">
        <v>6313228</v>
      </c>
      <c r="J104" s="30" t="inlineStr">
        <is>
          <t>500188</t>
        </is>
      </c>
    </row>
    <row r="105">
      <c r="A105" s="30" t="inlineStr">
        <is>
          <t>GALAXYSURF</t>
        </is>
      </c>
      <c r="B105" s="30" t="inlineStr">
        <is>
          <t>Galaxy Surfactants Ltd</t>
        </is>
      </c>
      <c r="C105" s="30" t="inlineStr">
        <is>
          <t>chemicals</t>
        </is>
      </c>
      <c r="D105" s="30" t="inlineStr">
        <is>
          <t>chemicals</t>
        </is>
      </c>
      <c r="E105" s="30" t="inlineStr">
        <is>
          <t>midcap</t>
        </is>
      </c>
      <c r="F105" s="30" t="n">
        <v>7984.06</v>
      </c>
      <c r="G105" s="30" t="n">
        <v>2288.9</v>
      </c>
      <c r="H105" s="30" t="n">
        <v>1.64</v>
      </c>
      <c r="I105" s="30" t="n">
        <v>49913</v>
      </c>
      <c r="J105" s="30" t="inlineStr">
        <is>
          <t>540935</t>
        </is>
      </c>
    </row>
    <row r="106">
      <c r="A106" s="30" t="inlineStr">
        <is>
          <t>GAYAPROJ</t>
        </is>
      </c>
      <c r="B106" s="30" t="inlineStr">
        <is>
          <t>Gayatri Projects Limited</t>
        </is>
      </c>
      <c r="C106" s="30" t="inlineStr">
        <is>
          <t>realty</t>
        </is>
      </c>
      <c r="D106" s="30" t="inlineStr">
        <is>
          <t>construction</t>
        </is>
      </c>
      <c r="E106" s="30" t="inlineStr">
        <is>
          <t>smallcap</t>
        </is>
      </c>
      <c r="F106" s="30" t="n">
        <v>1079.96</v>
      </c>
      <c r="G106" s="30" t="n">
        <v>23.64</v>
      </c>
      <c r="H106" s="30" t="n">
        <v>1.63</v>
      </c>
      <c r="I106" s="30" t="n">
        <v>3083761</v>
      </c>
      <c r="J106" s="30" t="inlineStr">
        <is>
          <t>532767</t>
        </is>
      </c>
    </row>
    <row r="107">
      <c r="A107" s="30" t="inlineStr">
        <is>
          <t>NAZARA</t>
        </is>
      </c>
      <c r="B107" s="30" t="inlineStr">
        <is>
          <t>Nazara Technologies Ltd</t>
        </is>
      </c>
      <c r="C107" s="30" t="inlineStr">
        <is>
          <t>i.t</t>
        </is>
      </c>
      <c r="D107" s="30" t="inlineStr">
        <is>
          <t>telecommunications - service provider</t>
        </is>
      </c>
      <c r="E107" s="30" t="inlineStr">
        <is>
          <t>midcap</t>
        </is>
      </c>
      <c r="F107" s="30" t="n">
        <v>14172.2</v>
      </c>
      <c r="G107" s="30" t="n">
        <v>374.4</v>
      </c>
      <c r="H107" s="30" t="n">
        <v>1.63</v>
      </c>
      <c r="I107" s="30" t="n">
        <v>1723096</v>
      </c>
      <c r="J107" s="30" t="inlineStr">
        <is>
          <t>543280</t>
        </is>
      </c>
    </row>
    <row r="108">
      <c r="A108" s="30" t="inlineStr">
        <is>
          <t>KIRLFER</t>
        </is>
      </c>
      <c r="B108" s="30" t="inlineStr">
        <is>
          <t>Kirloskar Ferrous Industries Ltd</t>
        </is>
      </c>
      <c r="C108" s="30" t="inlineStr">
        <is>
          <t>metals &amp; mining</t>
        </is>
      </c>
      <c r="D108" s="30" t="inlineStr">
        <is>
          <t>steel - large</t>
        </is>
      </c>
      <c r="E108" s="30" t="inlineStr">
        <is>
          <t>midcap</t>
        </is>
      </c>
      <c r="F108" s="30" t="n">
        <v>7588</v>
      </c>
      <c r="G108" s="30" t="n">
        <v>467.25</v>
      </c>
      <c r="H108" s="30" t="n">
        <v>1.6</v>
      </c>
      <c r="I108" s="30" t="n">
        <v>690407</v>
      </c>
      <c r="J108" s="30" t="inlineStr">
        <is>
          <t>500245</t>
        </is>
      </c>
    </row>
    <row r="109">
      <c r="A109" s="30" t="inlineStr">
        <is>
          <t>EBGNG</t>
        </is>
      </c>
      <c r="B109" s="30" t="inlineStr">
        <is>
          <t>GNG Electronics Ltd</t>
        </is>
      </c>
      <c r="C109" s="30" t="inlineStr">
        <is>
          <t>services</t>
        </is>
      </c>
      <c r="D109" s="30" t="inlineStr">
        <is>
          <t>trading</t>
        </is>
      </c>
      <c r="E109" s="30" t="inlineStr">
        <is>
          <t>midcap</t>
        </is>
      </c>
      <c r="F109" s="30" t="n">
        <v>7583.48</v>
      </c>
      <c r="G109" s="30" t="n">
        <v>675.8</v>
      </c>
      <c r="H109" s="30" t="n">
        <v>1.6</v>
      </c>
      <c r="I109" s="30" t="n">
        <v>1154375</v>
      </c>
      <c r="J109" s="30" t="inlineStr">
        <is>
          <t>544455</t>
        </is>
      </c>
    </row>
    <row r="110">
      <c r="A110" s="30" t="inlineStr">
        <is>
          <t>AGI</t>
        </is>
      </c>
      <c r="B110" s="30" t="inlineStr">
        <is>
          <t>AGI Greenpac Ltd</t>
        </is>
      </c>
      <c r="C110" s="30" t="inlineStr">
        <is>
          <t>industrials</t>
        </is>
      </c>
      <c r="D110" s="30" t="inlineStr">
        <is>
          <t>packaging</t>
        </is>
      </c>
      <c r="E110" s="30" t="inlineStr">
        <is>
          <t>midcap</t>
        </is>
      </c>
      <c r="F110" s="30" t="n">
        <v>5070.98</v>
      </c>
      <c r="G110" s="30" t="n">
        <v>796.15</v>
      </c>
      <c r="H110" s="30" t="n">
        <v>1.58</v>
      </c>
      <c r="I110" s="30" t="n">
        <v>303157</v>
      </c>
      <c r="J110" s="30" t="inlineStr">
        <is>
          <t>500187</t>
        </is>
      </c>
    </row>
    <row r="111">
      <c r="A111" s="30" t="inlineStr">
        <is>
          <t>TBOTEK</t>
        </is>
      </c>
      <c r="B111" s="30" t="inlineStr">
        <is>
          <t>TBO Tek Ltd</t>
        </is>
      </c>
      <c r="C111" s="30" t="inlineStr">
        <is>
          <t>i.t</t>
        </is>
      </c>
      <c r="D111" s="30" t="inlineStr">
        <is>
          <t>travel agencies</t>
        </is>
      </c>
      <c r="E111" s="30" t="inlineStr">
        <is>
          <t>midcap</t>
        </is>
      </c>
      <c r="F111" s="30" t="n">
        <v>18400.2</v>
      </c>
      <c r="G111" s="30" t="n">
        <v>1721.1</v>
      </c>
      <c r="H111" s="30" t="n">
        <v>1.57</v>
      </c>
      <c r="I111" s="30" t="n">
        <v>87150</v>
      </c>
      <c r="J111" s="30" t="inlineStr">
        <is>
          <t>544174</t>
        </is>
      </c>
    </row>
    <row r="112">
      <c r="A112" s="30" t="inlineStr">
        <is>
          <t>GMMPFAUDLR</t>
        </is>
      </c>
      <c r="B112" s="30" t="inlineStr">
        <is>
          <t>GMM Pfaudler Ltd</t>
        </is>
      </c>
      <c r="C112" s="30" t="inlineStr">
        <is>
          <t>industrials</t>
        </is>
      </c>
      <c r="D112" s="30" t="inlineStr">
        <is>
          <t>engineering</t>
        </is>
      </c>
      <c r="E112" s="30" t="inlineStr">
        <is>
          <t>midcap</t>
        </is>
      </c>
      <c r="F112" s="30" t="n">
        <v>5777.9</v>
      </c>
      <c r="G112" s="30" t="n">
        <v>1305.4</v>
      </c>
      <c r="H112" s="30" t="n">
        <v>1.57</v>
      </c>
      <c r="I112" s="30" t="n">
        <v>875591</v>
      </c>
      <c r="J112" s="30" t="inlineStr">
        <is>
          <t>505255</t>
        </is>
      </c>
    </row>
    <row r="113">
      <c r="A113" s="30" t="inlineStr">
        <is>
          <t>MAITHANALL</t>
        </is>
      </c>
      <c r="B113" s="30" t="inlineStr">
        <is>
          <t>Maithan Alloys Limited</t>
        </is>
      </c>
      <c r="C113" s="30" t="inlineStr">
        <is>
          <t>metals &amp; mining</t>
        </is>
      </c>
      <c r="D113" s="30" t="inlineStr">
        <is>
          <t>mining / minerals / metals</t>
        </is>
      </c>
      <c r="E113" s="30" t="inlineStr">
        <is>
          <t>smallcap</t>
        </is>
      </c>
      <c r="F113" s="30" t="n">
        <v>3089.32</v>
      </c>
      <c r="G113" s="30" t="n">
        <v>1077</v>
      </c>
      <c r="H113" s="30" t="n">
        <v>1.49</v>
      </c>
      <c r="I113" s="30" t="n">
        <v>283553</v>
      </c>
      <c r="J113" s="30" t="inlineStr">
        <is>
          <t>590078</t>
        </is>
      </c>
    </row>
    <row r="114">
      <c r="A114" s="30" t="inlineStr">
        <is>
          <t>SKYGOLD</t>
        </is>
      </c>
      <c r="B114" s="30" t="inlineStr">
        <is>
          <t>Sky Gold Ltd</t>
        </is>
      </c>
      <c r="C114" s="30" t="inlineStr">
        <is>
          <t>consumer discretionary</t>
        </is>
      </c>
      <c r="D114" s="30" t="inlineStr">
        <is>
          <t>diamond cutting / jewellery</t>
        </is>
      </c>
      <c r="E114" s="30" t="inlineStr">
        <is>
          <t>midcap</t>
        </is>
      </c>
      <c r="F114" s="30" t="n">
        <v>12699.66</v>
      </c>
      <c r="G114" s="30" t="n">
        <v>832.2</v>
      </c>
      <c r="H114" s="30" t="n">
        <v>1.49</v>
      </c>
      <c r="I114" s="30" t="n">
        <v>1092277</v>
      </c>
      <c r="J114" s="30" t="inlineStr">
        <is>
          <t>541967</t>
        </is>
      </c>
    </row>
    <row r="115">
      <c r="A115" s="30" t="inlineStr">
        <is>
          <t>MAXESTATES</t>
        </is>
      </c>
      <c r="B115" s="30" t="inlineStr">
        <is>
          <t>Max Estates Ltd</t>
        </is>
      </c>
      <c r="C115" s="30" t="inlineStr">
        <is>
          <t>realty</t>
        </is>
      </c>
      <c r="D115" s="30" t="inlineStr">
        <is>
          <t>construction</t>
        </is>
      </c>
      <c r="E115" s="30" t="inlineStr">
        <is>
          <t>midcap</t>
        </is>
      </c>
      <c r="F115" s="30" t="n">
        <v>8798.610000000001</v>
      </c>
      <c r="G115" s="30" t="n">
        <v>546.1</v>
      </c>
      <c r="H115" s="30" t="n">
        <v>1.48</v>
      </c>
      <c r="I115" s="30" t="n">
        <v>63029</v>
      </c>
      <c r="J115" s="30" t="inlineStr">
        <is>
          <t>544008</t>
        </is>
      </c>
    </row>
    <row r="116">
      <c r="A116" s="30" t="inlineStr">
        <is>
          <t>APOLLOHOSP</t>
        </is>
      </c>
      <c r="B116" s="30" t="inlineStr">
        <is>
          <t>Apollo Hospitals Enterprise Limited</t>
        </is>
      </c>
      <c r="C116" s="30" t="inlineStr">
        <is>
          <t>healthcare</t>
        </is>
      </c>
      <c r="D116" s="30" t="inlineStr">
        <is>
          <t>healthcare</t>
        </is>
      </c>
      <c r="E116" s="30" t="inlineStr">
        <is>
          <t>largecap</t>
        </is>
      </c>
      <c r="F116" s="30" t="n">
        <v>127069.69</v>
      </c>
      <c r="G116" s="30" t="n">
        <v>8967</v>
      </c>
      <c r="H116" s="30" t="n">
        <v>1.47</v>
      </c>
      <c r="I116" s="30" t="n">
        <v>375525</v>
      </c>
      <c r="J116" s="30" t="inlineStr">
        <is>
          <t>508869</t>
        </is>
      </c>
    </row>
    <row r="117">
      <c r="A117" s="30" t="inlineStr">
        <is>
          <t>MUKANDLTD</t>
        </is>
      </c>
      <c r="B117" s="30" t="inlineStr">
        <is>
          <t>Mukand Limited</t>
        </is>
      </c>
      <c r="C117" s="30" t="inlineStr">
        <is>
          <t>metals &amp; mining</t>
        </is>
      </c>
      <c r="D117" s="30" t="inlineStr">
        <is>
          <t>steel - medium / small</t>
        </is>
      </c>
      <c r="E117" s="30" t="inlineStr">
        <is>
          <t>smallcap</t>
        </is>
      </c>
      <c r="F117" s="30" t="n">
        <v>1989.13</v>
      </c>
      <c r="G117" s="30" t="n">
        <v>139.69</v>
      </c>
      <c r="H117" s="30" t="n">
        <v>1.47</v>
      </c>
      <c r="I117" s="30" t="n">
        <v>172124</v>
      </c>
      <c r="J117" s="30" t="inlineStr">
        <is>
          <t>500460</t>
        </is>
      </c>
    </row>
    <row r="118">
      <c r="A118" s="30" t="inlineStr">
        <is>
          <t>AXISCADES</t>
        </is>
      </c>
      <c r="B118" s="30" t="inlineStr">
        <is>
          <t>AXISCADES Technologies Ltd</t>
        </is>
      </c>
      <c r="C118" s="30" t="inlineStr">
        <is>
          <t>aerospace &amp; defence</t>
        </is>
      </c>
      <c r="D118" s="30" t="inlineStr">
        <is>
          <t>computers - software - medium / small</t>
        </is>
      </c>
      <c r="E118" s="30" t="inlineStr">
        <is>
          <t>midcap</t>
        </is>
      </c>
      <c r="F118" s="30" t="n">
        <v>7862.28</v>
      </c>
      <c r="G118" s="30" t="n">
        <v>1875.7</v>
      </c>
      <c r="H118" s="30" t="n">
        <v>1.47</v>
      </c>
      <c r="I118" s="30" t="n">
        <v>347063</v>
      </c>
      <c r="J118" s="30" t="inlineStr">
        <is>
          <t>532395</t>
        </is>
      </c>
    </row>
    <row r="119">
      <c r="A119" s="30" t="inlineStr">
        <is>
          <t>INNOVACAP</t>
        </is>
      </c>
      <c r="B119" s="30" t="inlineStr">
        <is>
          <t>Innova Captab Ltd</t>
        </is>
      </c>
      <c r="C119" s="30" t="inlineStr">
        <is>
          <t>healthcare</t>
        </is>
      </c>
      <c r="D119" s="30" t="inlineStr">
        <is>
          <t>pharmaceuticals - indian - bulk drugs &amp; formln</t>
        </is>
      </c>
      <c r="E119" s="30" t="inlineStr">
        <is>
          <t>midcap</t>
        </is>
      </c>
      <c r="F119" s="30" t="n">
        <v>6705.62</v>
      </c>
      <c r="G119" s="30" t="n">
        <v>1188.7</v>
      </c>
      <c r="H119" s="30" t="n">
        <v>1.44</v>
      </c>
      <c r="I119" s="30" t="n">
        <v>84136</v>
      </c>
      <c r="J119" s="30" t="inlineStr">
        <is>
          <t>544067</t>
        </is>
      </c>
    </row>
    <row r="120">
      <c r="A120" s="30" t="inlineStr">
        <is>
          <t>SHAILY</t>
        </is>
      </c>
      <c r="B120" s="30" t="inlineStr">
        <is>
          <t>Shaily Engineering Plastics Ltd</t>
        </is>
      </c>
      <c r="C120" s="30" t="inlineStr">
        <is>
          <t>plastic products</t>
        </is>
      </c>
      <c r="D120" s="30" t="inlineStr">
        <is>
          <t>plastics products</t>
        </is>
      </c>
      <c r="E120" s="30" t="inlineStr">
        <is>
          <t>midcap</t>
        </is>
      </c>
      <c r="F120" s="30" t="n">
        <v>15674.26</v>
      </c>
      <c r="G120" s="30" t="n">
        <v>3455</v>
      </c>
      <c r="H120" s="30" t="n">
        <v>1.39</v>
      </c>
      <c r="I120" s="30" t="n">
        <v>243432</v>
      </c>
      <c r="J120" s="30" t="inlineStr">
        <is>
          <t>501423</t>
        </is>
      </c>
    </row>
    <row r="121">
      <c r="A121" s="30" t="inlineStr">
        <is>
          <t>AVL</t>
        </is>
      </c>
      <c r="B121" s="30" t="inlineStr">
        <is>
          <t>Aditya Vision Ltd</t>
        </is>
      </c>
      <c r="C121" s="30" t="inlineStr">
        <is>
          <t>consumer discretionary</t>
        </is>
      </c>
      <c r="D121" s="30" t="inlineStr">
        <is>
          <t>trading</t>
        </is>
      </c>
      <c r="E121" s="30" t="inlineStr">
        <is>
          <t>midcap</t>
        </is>
      </c>
      <c r="F121" s="30" t="n">
        <v>7936.82</v>
      </c>
      <c r="G121" s="30" t="n">
        <v>623.1</v>
      </c>
      <c r="H121" s="30" t="n">
        <v>1.38</v>
      </c>
      <c r="I121" s="30" t="n">
        <v>930980</v>
      </c>
      <c r="J121" s="30" t="inlineStr">
        <is>
          <t>540205</t>
        </is>
      </c>
    </row>
    <row r="122">
      <c r="A122" s="30" t="inlineStr">
        <is>
          <t>SAMBHV</t>
        </is>
      </c>
      <c r="B122" s="30" t="inlineStr">
        <is>
          <t>Sambhv Steel Tubes Ltd</t>
        </is>
      </c>
      <c r="C122" s="30" t="inlineStr">
        <is>
          <t>metals &amp; mining</t>
        </is>
      </c>
      <c r="D122" s="30" t="inlineStr">
        <is>
          <t>steel - medium / small</t>
        </is>
      </c>
      <c r="E122" s="30" t="inlineStr">
        <is>
          <t>smallcap</t>
        </is>
      </c>
      <c r="F122" s="30" t="n">
        <v>3791.54</v>
      </c>
      <c r="G122" s="30" t="n">
        <v>130.44</v>
      </c>
      <c r="H122" s="30" t="n">
        <v>1.38</v>
      </c>
      <c r="I122" s="30" t="n">
        <v>2972046</v>
      </c>
      <c r="J122" s="30" t="inlineStr">
        <is>
          <t>544430</t>
        </is>
      </c>
    </row>
    <row r="123">
      <c r="A123" s="30" t="inlineStr">
        <is>
          <t>ASAHIINDIA</t>
        </is>
      </c>
      <c r="B123" s="30" t="inlineStr">
        <is>
          <t>Asahi India Glass Limited</t>
        </is>
      </c>
      <c r="C123" s="30" t="inlineStr">
        <is>
          <t>building materials</t>
        </is>
      </c>
      <c r="D123" s="30" t="inlineStr">
        <is>
          <t>glass &amp; glass products</t>
        </is>
      </c>
      <c r="E123" s="30" t="inlineStr">
        <is>
          <t>largecap</t>
        </is>
      </c>
      <c r="F123" s="30" t="n">
        <v>24360.84</v>
      </c>
      <c r="G123" s="30" t="n">
        <v>968.75</v>
      </c>
      <c r="H123" s="30" t="n">
        <v>1.38</v>
      </c>
      <c r="I123" s="30" t="n">
        <v>220637</v>
      </c>
      <c r="J123" s="30" t="inlineStr">
        <is>
          <t>515030</t>
        </is>
      </c>
    </row>
    <row r="124">
      <c r="A124" s="30" t="inlineStr">
        <is>
          <t>JGCHEM</t>
        </is>
      </c>
      <c r="B124" s="30" t="inlineStr">
        <is>
          <t>J.G.Chemicals Ltd</t>
        </is>
      </c>
      <c r="C124" s="30" t="inlineStr">
        <is>
          <t>chemicals</t>
        </is>
      </c>
      <c r="D124" s="30" t="inlineStr">
        <is>
          <t>chemicals</t>
        </is>
      </c>
      <c r="E124" s="30" t="inlineStr">
        <is>
          <t>smallcap</t>
        </is>
      </c>
      <c r="F124" s="30" t="n">
        <v>2395.05</v>
      </c>
      <c r="G124" s="30" t="n">
        <v>619.5</v>
      </c>
      <c r="H124" s="30" t="n">
        <v>1.36</v>
      </c>
      <c r="I124" s="30" t="n">
        <v>521969</v>
      </c>
      <c r="J124" s="30" t="n"/>
    </row>
    <row r="125">
      <c r="A125" s="30" t="inlineStr">
        <is>
          <t>JINDALSAW</t>
        </is>
      </c>
      <c r="B125" s="30" t="inlineStr">
        <is>
          <t>Jindal Saw Limited</t>
        </is>
      </c>
      <c r="C125" s="30" t="inlineStr">
        <is>
          <t>industrials</t>
        </is>
      </c>
      <c r="D125" s="30" t="inlineStr">
        <is>
          <t>steel - large</t>
        </is>
      </c>
      <c r="E125" s="30" t="inlineStr">
        <is>
          <t>midcap</t>
        </is>
      </c>
      <c r="F125" s="30" t="n">
        <v>19671.27</v>
      </c>
      <c r="G125" s="30" t="n">
        <v>311.7</v>
      </c>
      <c r="H125" s="30" t="n">
        <v>1.33</v>
      </c>
      <c r="I125" s="30" t="n">
        <v>1991399</v>
      </c>
      <c r="J125" s="30" t="inlineStr">
        <is>
          <t>500378</t>
        </is>
      </c>
    </row>
    <row r="126">
      <c r="A126" s="30" t="inlineStr">
        <is>
          <t>LUMAXIND</t>
        </is>
      </c>
      <c r="B126" s="30" t="inlineStr">
        <is>
          <t>Lumax Industries Limited</t>
        </is>
      </c>
      <c r="C126" s="30" t="inlineStr">
        <is>
          <t>auto</t>
        </is>
      </c>
      <c r="D126" s="30" t="inlineStr">
        <is>
          <t>auto ancillaries</t>
        </is>
      </c>
      <c r="E126" s="30" t="inlineStr">
        <is>
          <t>midcap</t>
        </is>
      </c>
      <c r="F126" s="30" t="n">
        <v>5732.96</v>
      </c>
      <c r="G126" s="30" t="n">
        <v>6214</v>
      </c>
      <c r="H126" s="30" t="n">
        <v>1.32</v>
      </c>
      <c r="I126" s="30" t="n">
        <v>10564</v>
      </c>
      <c r="J126" s="30" t="inlineStr">
        <is>
          <t>517206</t>
        </is>
      </c>
    </row>
    <row r="127">
      <c r="A127" s="30" t="inlineStr">
        <is>
          <t>IONEXCHANG</t>
        </is>
      </c>
      <c r="B127" s="30" t="inlineStr">
        <is>
          <t>Ion Exchange (India) Ltd</t>
        </is>
      </c>
      <c r="C127" s="30" t="inlineStr">
        <is>
          <t>realty</t>
        </is>
      </c>
      <c r="D127" s="30" t="inlineStr">
        <is>
          <t>engineering - turnkey services</t>
        </is>
      </c>
      <c r="E127" s="30" t="inlineStr">
        <is>
          <t>midcap</t>
        </is>
      </c>
      <c r="F127" s="30" t="n">
        <v>6332.33</v>
      </c>
      <c r="G127" s="30" t="n">
        <v>437.45</v>
      </c>
      <c r="H127" s="30" t="n">
        <v>1.32</v>
      </c>
      <c r="I127" s="30" t="n">
        <v>786019</v>
      </c>
      <c r="J127" s="30" t="inlineStr">
        <is>
          <t>500214</t>
        </is>
      </c>
    </row>
    <row r="128">
      <c r="A128" s="30" t="inlineStr">
        <is>
          <t>GHCLTEXTIL</t>
        </is>
      </c>
      <c r="B128" s="30" t="inlineStr">
        <is>
          <t>GHCL Textiles Ltd</t>
        </is>
      </c>
      <c r="C128" s="30" t="inlineStr">
        <is>
          <t>textiles</t>
        </is>
      </c>
      <c r="D128" s="30" t="inlineStr">
        <is>
          <t>textiles - spinning - synthetic / blended</t>
        </is>
      </c>
      <c r="E128" s="30" t="inlineStr">
        <is>
          <t>smallcap</t>
        </is>
      </c>
      <c r="F128" s="30" t="n">
        <v>1261.35</v>
      </c>
      <c r="G128" s="30" t="n">
        <v>133.67</v>
      </c>
      <c r="H128" s="30" t="n">
        <v>1.3</v>
      </c>
      <c r="I128" s="30" t="n">
        <v>580475</v>
      </c>
      <c r="J128" s="30" t="inlineStr">
        <is>
          <t>543918</t>
        </is>
      </c>
    </row>
    <row r="129">
      <c r="A129" s="30" t="inlineStr">
        <is>
          <t>ANUHPHR</t>
        </is>
      </c>
      <c r="B129" s="30" t="inlineStr">
        <is>
          <t>Anuh Pharma Ltd</t>
        </is>
      </c>
      <c r="C129" s="30" t="inlineStr">
        <is>
          <t>healthcare</t>
        </is>
      </c>
      <c r="D129" s="30" t="inlineStr">
        <is>
          <t>pharmaceuticals - indian - bulk drugs</t>
        </is>
      </c>
      <c r="E129" s="30" t="inlineStr">
        <is>
          <t>smallcap</t>
        </is>
      </c>
      <c r="F129" s="30" t="n">
        <v>957.4400000000001</v>
      </c>
      <c r="G129" s="30" t="n">
        <v>96.73999999999999</v>
      </c>
      <c r="H129" s="30" t="n">
        <v>1.27</v>
      </c>
      <c r="I129" s="30" t="n">
        <v>626549</v>
      </c>
      <c r="J129" s="30" t="inlineStr">
        <is>
          <t>506260</t>
        </is>
      </c>
    </row>
    <row r="130">
      <c r="A130" s="30" t="inlineStr">
        <is>
          <t>MPSLTD</t>
        </is>
      </c>
      <c r="B130" s="30" t="inlineStr">
        <is>
          <t>Mps Limited</t>
        </is>
      </c>
      <c r="C130" s="30" t="inlineStr">
        <is>
          <t>i.t</t>
        </is>
      </c>
      <c r="D130" s="30" t="inlineStr">
        <is>
          <t>computers - software - medium / small</t>
        </is>
      </c>
      <c r="E130" s="30" t="inlineStr">
        <is>
          <t>smallcap</t>
        </is>
      </c>
      <c r="F130" s="30" t="n">
        <v>4702.56</v>
      </c>
      <c r="G130" s="30" t="n">
        <v>2783.4</v>
      </c>
      <c r="H130" s="30" t="n">
        <v>1.25</v>
      </c>
      <c r="I130" s="30" t="n">
        <v>31308</v>
      </c>
      <c r="J130" s="30" t="inlineStr">
        <is>
          <t>532440</t>
        </is>
      </c>
    </row>
    <row r="131">
      <c r="A131" s="30" t="inlineStr">
        <is>
          <t>GPTHEALTH</t>
        </is>
      </c>
      <c r="B131" s="30" t="inlineStr">
        <is>
          <t>GPT Healthcare Ltd</t>
        </is>
      </c>
      <c r="C131" s="30" t="inlineStr">
        <is>
          <t>healthcare</t>
        </is>
      </c>
      <c r="D131" s="30" t="inlineStr">
        <is>
          <t>healthcare</t>
        </is>
      </c>
      <c r="E131" s="30" t="inlineStr">
        <is>
          <t>smallcap</t>
        </is>
      </c>
      <c r="F131" s="30" t="n">
        <v>1318.62</v>
      </c>
      <c r="G131" s="30" t="n">
        <v>162.63</v>
      </c>
      <c r="H131" s="30" t="n">
        <v>1.2</v>
      </c>
      <c r="I131" s="30" t="n">
        <v>119726</v>
      </c>
      <c r="J131" s="30" t="inlineStr">
        <is>
          <t>544131</t>
        </is>
      </c>
    </row>
    <row r="132">
      <c r="A132" s="30" t="inlineStr">
        <is>
          <t>REDINGTON</t>
        </is>
      </c>
      <c r="B132" s="30" t="inlineStr">
        <is>
          <t>Redington (india) Limited</t>
        </is>
      </c>
      <c r="C132" s="30" t="inlineStr">
        <is>
          <t>services</t>
        </is>
      </c>
      <c r="D132" s="30" t="inlineStr">
        <is>
          <t>trading</t>
        </is>
      </c>
      <c r="E132" s="30" t="inlineStr">
        <is>
          <t>largecap</t>
        </is>
      </c>
      <c r="F132" s="30" t="n">
        <v>29203.18</v>
      </c>
      <c r="G132" s="30" t="n">
        <v>378.05</v>
      </c>
      <c r="H132" s="30" t="n">
        <v>1.2</v>
      </c>
      <c r="I132" s="30" t="n">
        <v>4173283</v>
      </c>
      <c r="J132" s="30" t="inlineStr">
        <is>
          <t>532805</t>
        </is>
      </c>
    </row>
    <row r="133">
      <c r="A133" s="30" t="inlineStr">
        <is>
          <t>HAPPYFORGE</t>
        </is>
      </c>
      <c r="B133" s="30" t="inlineStr">
        <is>
          <t>Happy Forgings Ltd</t>
        </is>
      </c>
      <c r="C133" s="30" t="inlineStr">
        <is>
          <t>industrials</t>
        </is>
      </c>
      <c r="D133" s="30" t="inlineStr">
        <is>
          <t>castings &amp; forgings</t>
        </is>
      </c>
      <c r="E133" s="30" t="inlineStr">
        <is>
          <t>largecap</t>
        </is>
      </c>
      <c r="F133" s="30" t="n">
        <v>21049.29</v>
      </c>
      <c r="G133" s="30" t="n">
        <v>2256.7</v>
      </c>
      <c r="H133" s="30" t="n">
        <v>1.18</v>
      </c>
      <c r="I133" s="30" t="n">
        <v>53191</v>
      </c>
      <c r="J133" s="30" t="inlineStr">
        <is>
          <t>544057</t>
        </is>
      </c>
    </row>
    <row r="134">
      <c r="A134" s="30" t="inlineStr">
        <is>
          <t>PASUPTAC</t>
        </is>
      </c>
      <c r="B134" s="30" t="inlineStr">
        <is>
          <t>Pasupati Acrylon Ltd</t>
        </is>
      </c>
      <c r="C134" s="30" t="inlineStr">
        <is>
          <t>textiles</t>
        </is>
      </c>
      <c r="D134" s="30" t="inlineStr">
        <is>
          <t>textiles - manmade</t>
        </is>
      </c>
      <c r="E134" s="30" t="inlineStr">
        <is>
          <t>smallcap</t>
        </is>
      </c>
      <c r="F134" s="30" t="n">
        <v>598.26</v>
      </c>
      <c r="G134" s="30" t="n">
        <v>67.91</v>
      </c>
      <c r="H134" s="30" t="n">
        <v>1.18</v>
      </c>
      <c r="I134" s="30" t="n">
        <v>68933</v>
      </c>
      <c r="J134" s="30" t="inlineStr">
        <is>
          <t>500456</t>
        </is>
      </c>
    </row>
    <row r="135">
      <c r="A135" s="30" t="inlineStr">
        <is>
          <t>WELSPUNLIV</t>
        </is>
      </c>
      <c r="B135" s="30" t="inlineStr">
        <is>
          <t>Welspun Living Ltd</t>
        </is>
      </c>
      <c r="C135" s="30" t="inlineStr">
        <is>
          <t>textiles</t>
        </is>
      </c>
      <c r="D135" s="30" t="inlineStr">
        <is>
          <t>textiles - products</t>
        </is>
      </c>
      <c r="E135" s="30" t="inlineStr">
        <is>
          <t>midcap</t>
        </is>
      </c>
      <c r="F135" s="30" t="n">
        <v>19638.57</v>
      </c>
      <c r="G135" s="30" t="n">
        <v>210.28</v>
      </c>
      <c r="H135" s="30" t="n">
        <v>1.16</v>
      </c>
      <c r="I135" s="30" t="n">
        <v>8012610</v>
      </c>
      <c r="J135" s="30" t="inlineStr">
        <is>
          <t>514162</t>
        </is>
      </c>
    </row>
    <row r="136">
      <c r="A136" s="30" t="inlineStr">
        <is>
          <t>TATACOMM</t>
        </is>
      </c>
      <c r="B136" s="30" t="inlineStr">
        <is>
          <t>Tata Communications Limited</t>
        </is>
      </c>
      <c r="C136" s="30" t="inlineStr">
        <is>
          <t>telecom-service</t>
        </is>
      </c>
      <c r="D136" s="30" t="inlineStr">
        <is>
          <t>telecommunications - service provider</t>
        </is>
      </c>
      <c r="E136" s="30" t="inlineStr">
        <is>
          <t>largecap</t>
        </is>
      </c>
      <c r="F136" s="30" t="n">
        <v>49957.74</v>
      </c>
      <c r="G136" s="30" t="n">
        <v>1772.8</v>
      </c>
      <c r="H136" s="30" t="n">
        <v>1.14</v>
      </c>
      <c r="I136" s="30" t="n">
        <v>207805</v>
      </c>
      <c r="J136" s="30" t="inlineStr">
        <is>
          <t>500483</t>
        </is>
      </c>
    </row>
    <row r="137">
      <c r="A137" s="30" t="inlineStr">
        <is>
          <t>WOCKPHARMA</t>
        </is>
      </c>
      <c r="B137" s="30" t="inlineStr">
        <is>
          <t>Wockhardt Limited</t>
        </is>
      </c>
      <c r="C137" s="30" t="inlineStr">
        <is>
          <t>healthcare</t>
        </is>
      </c>
      <c r="D137" s="30" t="inlineStr">
        <is>
          <t>pharmaceuticals - indian - bulk drugs &amp; formln</t>
        </is>
      </c>
      <c r="E137" s="30" t="inlineStr">
        <is>
          <t>largecap</t>
        </is>
      </c>
      <c r="F137" s="30" t="n">
        <v>36138.26</v>
      </c>
      <c r="G137" s="30" t="n">
        <v>2248.8</v>
      </c>
      <c r="H137" s="30" t="n">
        <v>1.12</v>
      </c>
      <c r="I137" s="30" t="n">
        <v>1394874</v>
      </c>
      <c r="J137" s="30" t="inlineStr">
        <is>
          <t>532300</t>
        </is>
      </c>
    </row>
    <row r="138">
      <c r="A138" s="30" t="inlineStr">
        <is>
          <t>HINDOILEXP</t>
        </is>
      </c>
      <c r="B138" s="30" t="inlineStr">
        <is>
          <t>Hindustan Oil Exploration Company Limited</t>
        </is>
      </c>
      <c r="C138" s="30" t="inlineStr">
        <is>
          <t>energy</t>
        </is>
      </c>
      <c r="D138" s="30" t="inlineStr">
        <is>
          <t>oil drilling / allied services</t>
        </is>
      </c>
      <c r="E138" s="30" t="inlineStr">
        <is>
          <t>smallcap</t>
        </is>
      </c>
      <c r="F138" s="30" t="n">
        <v>2561.02</v>
      </c>
      <c r="G138" s="30" t="n">
        <v>195.83</v>
      </c>
      <c r="H138" s="30" t="n">
        <v>1.12</v>
      </c>
      <c r="I138" s="30" t="n">
        <v>3991694</v>
      </c>
      <c r="J138" s="30" t="inlineStr">
        <is>
          <t>500186</t>
        </is>
      </c>
    </row>
    <row r="139">
      <c r="A139" s="30" t="inlineStr">
        <is>
          <t>MARINE</t>
        </is>
      </c>
      <c r="B139" s="30" t="inlineStr">
        <is>
          <t>Marine Electricals (India) Ltd</t>
        </is>
      </c>
      <c r="C139" s="30" t="inlineStr">
        <is>
          <t>industrials</t>
        </is>
      </c>
      <c r="D139" s="30" t="inlineStr">
        <is>
          <t>electric equipment</t>
        </is>
      </c>
      <c r="E139" s="30" t="inlineStr">
        <is>
          <t>midcap</t>
        </is>
      </c>
      <c r="F139" s="30" t="n">
        <v>5827.99</v>
      </c>
      <c r="G139" s="30" t="n">
        <v>421.05</v>
      </c>
      <c r="H139" s="30" t="n">
        <v>1.1</v>
      </c>
      <c r="I139" s="30" t="n">
        <v>483131</v>
      </c>
      <c r="J139" s="30" t="inlineStr">
        <is>
          <t>535119</t>
        </is>
      </c>
    </row>
    <row r="140">
      <c r="A140" s="30" t="inlineStr">
        <is>
          <t>APOLLO</t>
        </is>
      </c>
      <c r="B140" s="30" t="inlineStr">
        <is>
          <t>Apollo Micro Systems Ltd</t>
        </is>
      </c>
      <c r="C140" s="30" t="inlineStr">
        <is>
          <t>aerospace &amp; defence</t>
        </is>
      </c>
      <c r="D140" s="30" t="inlineStr">
        <is>
          <t>electronics - components</t>
        </is>
      </c>
      <c r="E140" s="30" t="inlineStr">
        <is>
          <t>midcap</t>
        </is>
      </c>
      <c r="F140" s="30" t="n">
        <v>15529.14</v>
      </c>
      <c r="G140" s="30" t="n">
        <v>422.45</v>
      </c>
      <c r="H140" s="30" t="n">
        <v>1.09</v>
      </c>
      <c r="I140" s="30" t="n">
        <v>10424699</v>
      </c>
      <c r="J140" s="30" t="inlineStr">
        <is>
          <t>540879</t>
        </is>
      </c>
    </row>
    <row r="141">
      <c r="A141" s="30" t="inlineStr">
        <is>
          <t>PFOCUS</t>
        </is>
      </c>
      <c r="B141" s="30" t="inlineStr">
        <is>
          <t>Prime Focus Limited</t>
        </is>
      </c>
      <c r="C141" s="30" t="inlineStr">
        <is>
          <t>realty</t>
        </is>
      </c>
      <c r="D141" s="30" t="inlineStr">
        <is>
          <t>miscellaneous</t>
        </is>
      </c>
      <c r="E141" s="30" t="inlineStr">
        <is>
          <t>largecap</t>
        </is>
      </c>
      <c r="F141" s="30" t="n">
        <v>24315.8</v>
      </c>
      <c r="G141" s="30" t="n">
        <v>316.3</v>
      </c>
      <c r="H141" s="30" t="n">
        <v>1.01</v>
      </c>
      <c r="I141" s="30" t="n">
        <v>761243</v>
      </c>
      <c r="J141" s="30" t="inlineStr">
        <is>
          <t>532748</t>
        </is>
      </c>
    </row>
    <row r="142">
      <c r="A142" s="30" t="inlineStr">
        <is>
          <t>KABRAEXTRU</t>
        </is>
      </c>
      <c r="B142" s="30" t="inlineStr">
        <is>
          <t>Kabra Extrusion Technik Limited</t>
        </is>
      </c>
      <c r="C142" s="30" t="inlineStr">
        <is>
          <t>industrials</t>
        </is>
      </c>
      <c r="D142" s="30" t="inlineStr">
        <is>
          <t>engineering</t>
        </is>
      </c>
      <c r="E142" s="30" t="inlineStr">
        <is>
          <t>smallcap</t>
        </is>
      </c>
      <c r="F142" s="30" t="n">
        <v>2295.79</v>
      </c>
      <c r="G142" s="30" t="n">
        <v>662.95</v>
      </c>
      <c r="H142" s="30" t="n">
        <v>0.99</v>
      </c>
      <c r="I142" s="30" t="n">
        <v>233277</v>
      </c>
      <c r="J142" s="30" t="inlineStr">
        <is>
          <t>524109</t>
        </is>
      </c>
    </row>
    <row r="143">
      <c r="A143" s="30" t="inlineStr">
        <is>
          <t>RISHABH</t>
        </is>
      </c>
      <c r="B143" s="30" t="inlineStr">
        <is>
          <t>Rishabh Instruments Ltd</t>
        </is>
      </c>
      <c r="C143" s="30" t="inlineStr">
        <is>
          <t>industrials</t>
        </is>
      </c>
      <c r="D143" s="30" t="inlineStr">
        <is>
          <t>electric equipment</t>
        </is>
      </c>
      <c r="E143" s="30" t="inlineStr">
        <is>
          <t>smallcap</t>
        </is>
      </c>
      <c r="F143" s="30" t="n">
        <v>3115.67</v>
      </c>
      <c r="G143" s="30" t="n">
        <v>815.9</v>
      </c>
      <c r="H143" s="30" t="n">
        <v>0.9399999999999999</v>
      </c>
      <c r="I143" s="30" t="n">
        <v>379932</v>
      </c>
      <c r="J143" s="30" t="inlineStr">
        <is>
          <t>543977</t>
        </is>
      </c>
    </row>
    <row r="144">
      <c r="A144" s="30" t="inlineStr">
        <is>
          <t>TIIL</t>
        </is>
      </c>
      <c r="B144" s="30" t="inlineStr">
        <is>
          <t>Technocraft Industries (india) Limited</t>
        </is>
      </c>
      <c r="C144" s="30" t="inlineStr">
        <is>
          <t>metals &amp; mining</t>
        </is>
      </c>
      <c r="D144" s="30" t="inlineStr">
        <is>
          <t>steel - medium / small</t>
        </is>
      </c>
      <c r="E144" s="30" t="inlineStr">
        <is>
          <t>midcap</t>
        </is>
      </c>
      <c r="F144" s="30" t="n">
        <v>7121.53</v>
      </c>
      <c r="G144" s="30" t="n">
        <v>3170.2</v>
      </c>
      <c r="H144" s="30" t="n">
        <v>0.93</v>
      </c>
      <c r="I144" s="30" t="n">
        <v>63318</v>
      </c>
      <c r="J144" s="30" t="inlineStr">
        <is>
          <t>532804</t>
        </is>
      </c>
    </row>
    <row r="145">
      <c r="A145" s="30" t="inlineStr">
        <is>
          <t>SOFTTECH</t>
        </is>
      </c>
      <c r="B145" s="30" t="inlineStr">
        <is>
          <t>Softtech Engineers Ltd</t>
        </is>
      </c>
      <c r="C145" s="30" t="inlineStr">
        <is>
          <t>i.t</t>
        </is>
      </c>
      <c r="D145" s="30" t="inlineStr">
        <is>
          <t>computers - software - medium / small</t>
        </is>
      </c>
      <c r="E145" s="30" t="inlineStr">
        <is>
          <t>smallcap</t>
        </is>
      </c>
      <c r="F145" s="30" t="n">
        <v>606.29</v>
      </c>
      <c r="G145" s="30" t="n">
        <v>441.65</v>
      </c>
      <c r="H145" s="30" t="n">
        <v>0.83</v>
      </c>
      <c r="I145" s="30" t="n">
        <v>2570</v>
      </c>
      <c r="J145" s="30" t="inlineStr">
        <is>
          <t>535078</t>
        </is>
      </c>
    </row>
    <row r="146">
      <c r="A146" s="30" t="inlineStr">
        <is>
          <t>RELIGARE</t>
        </is>
      </c>
      <c r="B146" s="30" t="inlineStr">
        <is>
          <t>Religare Enterprises Limited</t>
        </is>
      </c>
      <c r="C146" s="30" t="inlineStr">
        <is>
          <t>financials</t>
        </is>
      </c>
      <c r="D146" s="30" t="inlineStr">
        <is>
          <t>finance &amp; investments</t>
        </is>
      </c>
      <c r="E146" s="30" t="inlineStr">
        <is>
          <t>midcap</t>
        </is>
      </c>
      <c r="F146" s="30" t="n">
        <v>8688.15</v>
      </c>
      <c r="G146" s="30" t="n">
        <v>256.65</v>
      </c>
      <c r="H146" s="30" t="n">
        <v>0.8</v>
      </c>
      <c r="I146" s="30" t="n">
        <v>1660145</v>
      </c>
      <c r="J146" s="30" t="inlineStr">
        <is>
          <t>532915</t>
        </is>
      </c>
    </row>
    <row r="147">
      <c r="A147" s="30" t="inlineStr">
        <is>
          <t>KRBL</t>
        </is>
      </c>
      <c r="B147" s="30" t="inlineStr">
        <is>
          <t>Krbl Limited</t>
        </is>
      </c>
      <c r="C147" s="30" t="inlineStr">
        <is>
          <t>fmcg</t>
        </is>
      </c>
      <c r="D147" s="30" t="inlineStr">
        <is>
          <t>food - processing - indian</t>
        </is>
      </c>
      <c r="E147" s="30" t="inlineStr">
        <is>
          <t>midcap</t>
        </is>
      </c>
      <c r="F147" s="30" t="n">
        <v>9866.299999999999</v>
      </c>
      <c r="G147" s="30" t="n">
        <v>434.45</v>
      </c>
      <c r="H147" s="30" t="n">
        <v>0.79</v>
      </c>
      <c r="I147" s="30" t="n">
        <v>688251</v>
      </c>
      <c r="J147" s="30" t="inlineStr">
        <is>
          <t>530813</t>
        </is>
      </c>
    </row>
    <row r="148">
      <c r="A148" s="30" t="inlineStr">
        <is>
          <t>WELINV</t>
        </is>
      </c>
      <c r="B148" s="30" t="inlineStr">
        <is>
          <t>Welspun Investments And Commercials Limited</t>
        </is>
      </c>
      <c r="C148" s="30" t="inlineStr">
        <is>
          <t>financials</t>
        </is>
      </c>
      <c r="D148" s="30" t="inlineStr">
        <is>
          <t>finance &amp; investments</t>
        </is>
      </c>
      <c r="E148" s="30" t="inlineStr">
        <is>
          <t>smallcap</t>
        </is>
      </c>
      <c r="F148" s="30" t="n">
        <v>848.09</v>
      </c>
      <c r="G148" s="30" t="n">
        <v>2339</v>
      </c>
      <c r="H148" s="30" t="n">
        <v>0.79</v>
      </c>
      <c r="I148" s="30" t="n">
        <v>129</v>
      </c>
      <c r="J148" s="30" t="inlineStr">
        <is>
          <t>533252</t>
        </is>
      </c>
    </row>
    <row r="149">
      <c r="A149" s="30" t="inlineStr">
        <is>
          <t>KPIL</t>
        </is>
      </c>
      <c r="B149" s="30" t="inlineStr">
        <is>
          <t>Kalpataru Projects International Ltd</t>
        </is>
      </c>
      <c r="C149" s="30" t="inlineStr">
        <is>
          <t>realty</t>
        </is>
      </c>
      <c r="D149" s="30" t="inlineStr">
        <is>
          <t>transmisson line towers / equipment</t>
        </is>
      </c>
      <c r="E149" s="30" t="inlineStr">
        <is>
          <t>largecap</t>
        </is>
      </c>
      <c r="F149" s="30" t="n">
        <v>23865.46</v>
      </c>
      <c r="G149" s="30" t="n">
        <v>1408.5</v>
      </c>
      <c r="H149" s="30" t="n">
        <v>0.79</v>
      </c>
      <c r="I149" s="30" t="n">
        <v>132395</v>
      </c>
      <c r="J149" s="30" t="inlineStr">
        <is>
          <t>522287</t>
        </is>
      </c>
    </row>
    <row r="150">
      <c r="A150" s="30" t="inlineStr">
        <is>
          <t>SRHHYPOLTD</t>
        </is>
      </c>
      <c r="B150" s="30" t="inlineStr">
        <is>
          <t>Sree Rayalaseema Hi-strength Hypo Limited</t>
        </is>
      </c>
      <c r="C150" s="30" t="inlineStr">
        <is>
          <t>chemicals</t>
        </is>
      </c>
      <c r="D150" s="30" t="inlineStr">
        <is>
          <t>chemicals</t>
        </is>
      </c>
      <c r="E150" s="30" t="inlineStr">
        <is>
          <t>smallcap</t>
        </is>
      </c>
      <c r="F150" s="30" t="n">
        <v>906.13</v>
      </c>
      <c r="G150" s="30" t="n">
        <v>531.9</v>
      </c>
      <c r="H150" s="30" t="n">
        <v>0.76</v>
      </c>
      <c r="I150" s="30" t="n">
        <v>14320</v>
      </c>
      <c r="J150" s="30" t="inlineStr">
        <is>
          <t>532842</t>
        </is>
      </c>
    </row>
    <row r="151">
      <c r="A151" s="30" t="inlineStr">
        <is>
          <t>THEJO</t>
        </is>
      </c>
      <c r="B151" s="30" t="inlineStr">
        <is>
          <t>Thejo Engineering Ltd</t>
        </is>
      </c>
      <c r="C151" s="30" t="inlineStr">
        <is>
          <t>industrials</t>
        </is>
      </c>
      <c r="D151" s="30" t="inlineStr">
        <is>
          <t>engineering</t>
        </is>
      </c>
      <c r="E151" s="30" t="inlineStr">
        <is>
          <t>smallcap</t>
        </is>
      </c>
      <c r="F151" s="30" t="n">
        <v>2314.96</v>
      </c>
      <c r="G151" s="30" t="n">
        <v>2150.1</v>
      </c>
      <c r="H151" s="30" t="n">
        <v>0.75</v>
      </c>
      <c r="I151" s="30" t="n">
        <v>5976</v>
      </c>
      <c r="J151" s="30" t="inlineStr">
        <is>
          <t>500492</t>
        </is>
      </c>
    </row>
    <row r="152">
      <c r="A152" s="30" t="inlineStr">
        <is>
          <t>PVP</t>
        </is>
      </c>
      <c r="B152" s="30" t="inlineStr">
        <is>
          <t>Pvp Ventures Limited</t>
        </is>
      </c>
      <c r="C152" s="30" t="inlineStr">
        <is>
          <t>realty</t>
        </is>
      </c>
      <c r="D152" s="30" t="inlineStr">
        <is>
          <t>construction</t>
        </is>
      </c>
      <c r="E152" s="30" t="inlineStr">
        <is>
          <t>smallcap</t>
        </is>
      </c>
      <c r="F152" s="30" t="n">
        <v>1668.41</v>
      </c>
      <c r="G152" s="30" t="n">
        <v>64.54000000000001</v>
      </c>
      <c r="H152" s="30" t="n">
        <v>0.73</v>
      </c>
      <c r="I152" s="30" t="n">
        <v>2883236</v>
      </c>
      <c r="J152" s="30" t="inlineStr">
        <is>
          <t>517556</t>
        </is>
      </c>
    </row>
    <row r="153">
      <c r="A153" s="30" t="inlineStr">
        <is>
          <t>OIL</t>
        </is>
      </c>
      <c r="B153" s="30" t="inlineStr">
        <is>
          <t>Oil India Limited</t>
        </is>
      </c>
      <c r="C153" s="30" t="inlineStr">
        <is>
          <t>energy</t>
        </is>
      </c>
      <c r="D153" s="30" t="inlineStr">
        <is>
          <t>oil drilling / allied services</t>
        </is>
      </c>
      <c r="E153" s="30" t="inlineStr">
        <is>
          <t>largecap</t>
        </is>
      </c>
      <c r="F153" s="30" t="n">
        <v>80582.14999999999</v>
      </c>
      <c r="G153" s="30" t="n">
        <v>498.95</v>
      </c>
      <c r="H153" s="30" t="n">
        <v>0.72</v>
      </c>
      <c r="I153" s="30" t="n">
        <v>2471923</v>
      </c>
      <c r="J153" s="30" t="inlineStr">
        <is>
          <t>533106</t>
        </is>
      </c>
    </row>
    <row r="154">
      <c r="A154" s="30" t="inlineStr">
        <is>
          <t>RATNAVEER</t>
        </is>
      </c>
      <c r="B154" s="30" t="inlineStr">
        <is>
          <t>Ratnaveer Precision Engineering Ltd</t>
        </is>
      </c>
      <c r="C154" s="30" t="inlineStr">
        <is>
          <t>metals &amp; mining</t>
        </is>
      </c>
      <c r="D154" s="30" t="inlineStr">
        <is>
          <t>steel - medium / small</t>
        </is>
      </c>
      <c r="E154" s="30" t="inlineStr">
        <is>
          <t>smallcap</t>
        </is>
      </c>
      <c r="F154" s="30" t="n">
        <v>2127.09</v>
      </c>
      <c r="G154" s="30" t="n">
        <v>299.9</v>
      </c>
      <c r="H154" s="30" t="n">
        <v>0.71</v>
      </c>
      <c r="I154" s="30" t="n">
        <v>2550769</v>
      </c>
      <c r="J154" s="30" t="inlineStr">
        <is>
          <t>543978</t>
        </is>
      </c>
    </row>
    <row r="155">
      <c r="A155" s="30" t="inlineStr">
        <is>
          <t>KOVAI</t>
        </is>
      </c>
      <c r="B155" s="30" t="inlineStr">
        <is>
          <t>Kovai Medical Center &amp; Hospital Ltd</t>
        </is>
      </c>
      <c r="C155" s="30" t="inlineStr">
        <is>
          <t>healthcare</t>
        </is>
      </c>
      <c r="D155" s="30" t="inlineStr">
        <is>
          <t>healthcare</t>
        </is>
      </c>
      <c r="E155" s="30" t="inlineStr">
        <is>
          <t>midcap</t>
        </is>
      </c>
      <c r="F155" s="30" t="n">
        <v>6682.44</v>
      </c>
      <c r="G155" s="30" t="n">
        <v>6149.5</v>
      </c>
      <c r="H155" s="30" t="n">
        <v>0.7</v>
      </c>
      <c r="I155" s="30" t="n">
        <v>6798</v>
      </c>
      <c r="J155" s="30" t="inlineStr">
        <is>
          <t>523323</t>
        </is>
      </c>
    </row>
    <row r="156">
      <c r="A156" s="30" t="inlineStr">
        <is>
          <t>STAR</t>
        </is>
      </c>
      <c r="B156" s="30" t="inlineStr">
        <is>
          <t>Strides Shasun Limited</t>
        </is>
      </c>
      <c r="C156" s="30" t="inlineStr">
        <is>
          <t>healthcare</t>
        </is>
      </c>
      <c r="D156" s="30" t="inlineStr">
        <is>
          <t>pharmaceuticals - indian - bulk drugs &amp; formln</t>
        </is>
      </c>
      <c r="E156" s="30" t="inlineStr">
        <is>
          <t>midcap</t>
        </is>
      </c>
      <c r="F156" s="30" t="n">
        <v>10944.59</v>
      </c>
      <c r="G156" s="30" t="n">
        <v>1195.7</v>
      </c>
      <c r="H156" s="30" t="n">
        <v>0.7</v>
      </c>
      <c r="I156" s="30" t="n">
        <v>376096</v>
      </c>
      <c r="J156" s="30" t="inlineStr">
        <is>
          <t>532531</t>
        </is>
      </c>
    </row>
    <row r="157">
      <c r="A157" s="30" t="inlineStr">
        <is>
          <t>GANDHAR</t>
        </is>
      </c>
      <c r="B157" s="30" t="inlineStr">
        <is>
          <t>Gandhar Oil Refinery (India) Ltd</t>
        </is>
      </c>
      <c r="C157" s="30" t="inlineStr">
        <is>
          <t>energy</t>
        </is>
      </c>
      <c r="D157" s="30" t="inlineStr">
        <is>
          <t>refineries</t>
        </is>
      </c>
      <c r="E157" s="30" t="inlineStr">
        <is>
          <t>smallcap</t>
        </is>
      </c>
      <c r="F157" s="30" t="n">
        <v>2584.51</v>
      </c>
      <c r="G157" s="30" t="n">
        <v>265.85</v>
      </c>
      <c r="H157" s="30" t="n">
        <v>0.68</v>
      </c>
      <c r="I157" s="30" t="n">
        <v>926450</v>
      </c>
      <c r="J157" s="30" t="inlineStr">
        <is>
          <t>544029</t>
        </is>
      </c>
    </row>
    <row r="158">
      <c r="A158" s="30" t="inlineStr">
        <is>
          <t>IMAGICAA</t>
        </is>
      </c>
      <c r="B158" s="30" t="inlineStr">
        <is>
          <t>Imagicaaworld Entertainment Ltd</t>
        </is>
      </c>
      <c r="C158" s="30" t="inlineStr">
        <is>
          <t>media</t>
        </is>
      </c>
      <c r="D158" s="30" t="inlineStr">
        <is>
          <t>recreation / amusement parks</t>
        </is>
      </c>
      <c r="E158" s="30" t="inlineStr">
        <is>
          <t>smallcap</t>
        </is>
      </c>
      <c r="F158" s="30" t="n">
        <v>3079.98</v>
      </c>
      <c r="G158" s="30" t="n">
        <v>54.8</v>
      </c>
      <c r="H158" s="30" t="n">
        <v>0.68</v>
      </c>
      <c r="I158" s="30" t="n">
        <v>1005224</v>
      </c>
      <c r="J158" s="30" t="inlineStr">
        <is>
          <t>539056</t>
        </is>
      </c>
    </row>
    <row r="159">
      <c r="A159" s="30" t="inlineStr">
        <is>
          <t>BLUESTONE</t>
        </is>
      </c>
      <c r="B159" s="30" t="inlineStr">
        <is>
          <t>Bluestone Jewellery and Lifestyle Ltd</t>
        </is>
      </c>
      <c r="C159" s="30" t="inlineStr">
        <is>
          <t>consumer discretionary</t>
        </is>
      </c>
      <c r="D159" s="30" t="inlineStr">
        <is>
          <t>diamond cutting / jewellery</t>
        </is>
      </c>
      <c r="E159" s="30" t="inlineStr">
        <is>
          <t>midcap</t>
        </is>
      </c>
      <c r="F159" s="30" t="n">
        <v>13239.14</v>
      </c>
      <c r="G159" s="30" t="n">
        <v>874.4</v>
      </c>
      <c r="H159" s="30" t="n">
        <v>0.66</v>
      </c>
      <c r="I159" s="30" t="n">
        <v>1010562</v>
      </c>
      <c r="J159" s="30" t="n"/>
    </row>
    <row r="160">
      <c r="A160" s="30" t="inlineStr">
        <is>
          <t>BOSCHLTD</t>
        </is>
      </c>
      <c r="B160" s="30" t="inlineStr">
        <is>
          <t>Bosch Limited</t>
        </is>
      </c>
      <c r="C160" s="30" t="inlineStr">
        <is>
          <t>auto</t>
        </is>
      </c>
      <c r="D160" s="30" t="inlineStr">
        <is>
          <t>auto ancillaries</t>
        </is>
      </c>
      <c r="E160" s="30" t="inlineStr">
        <is>
          <t>largecap</t>
        </is>
      </c>
      <c r="F160" s="30" t="n">
        <v>143896.72</v>
      </c>
      <c r="G160" s="30" t="n">
        <v>49100</v>
      </c>
      <c r="H160" s="30" t="n">
        <v>0.65</v>
      </c>
      <c r="I160" s="30" t="n">
        <v>28278</v>
      </c>
      <c r="J160" s="30" t="inlineStr">
        <is>
          <t>500530</t>
        </is>
      </c>
    </row>
    <row r="161">
      <c r="A161" s="30" t="inlineStr">
        <is>
          <t>IDEA</t>
        </is>
      </c>
      <c r="B161" s="30" t="inlineStr">
        <is>
          <t>Vodafone Idea Ltd</t>
        </is>
      </c>
      <c r="C161" s="30" t="inlineStr">
        <is>
          <t>telecom-service</t>
        </is>
      </c>
      <c r="D161" s="30" t="inlineStr">
        <is>
          <t>telecommunications - service provider</t>
        </is>
      </c>
      <c r="E161" s="30" t="inlineStr">
        <is>
          <t>largecap</t>
        </is>
      </c>
      <c r="F161" s="30" t="n">
        <v>167064.96</v>
      </c>
      <c r="G161" s="30" t="n">
        <v>15.52</v>
      </c>
      <c r="H161" s="30" t="n">
        <v>0.65</v>
      </c>
      <c r="I161" s="30" t="n">
        <v>539161681</v>
      </c>
      <c r="J161" s="30" t="inlineStr">
        <is>
          <t>532822</t>
        </is>
      </c>
    </row>
    <row r="162">
      <c r="A162" s="30" t="inlineStr">
        <is>
          <t>ARIES</t>
        </is>
      </c>
      <c r="B162" s="30" t="inlineStr">
        <is>
          <t>Aries Agro Limited</t>
        </is>
      </c>
      <c r="C162" s="30" t="inlineStr">
        <is>
          <t>chemicals</t>
        </is>
      </c>
      <c r="D162" s="30" t="inlineStr">
        <is>
          <t>fertilizers</t>
        </is>
      </c>
      <c r="E162" s="30" t="inlineStr">
        <is>
          <t>smallcap</t>
        </is>
      </c>
      <c r="F162" s="30" t="n">
        <v>628.3</v>
      </c>
      <c r="G162" s="30" t="n">
        <v>486.15</v>
      </c>
      <c r="H162" s="30" t="n">
        <v>0.62</v>
      </c>
      <c r="I162" s="30" t="n">
        <v>32661</v>
      </c>
      <c r="J162" s="30" t="inlineStr">
        <is>
          <t>532935</t>
        </is>
      </c>
    </row>
    <row r="163">
      <c r="A163" s="30" t="inlineStr">
        <is>
          <t>CGCL</t>
        </is>
      </c>
      <c r="B163" s="30" t="inlineStr">
        <is>
          <t>Capri Global Capital Limited</t>
        </is>
      </c>
      <c r="C163" s="30" t="inlineStr">
        <is>
          <t>financials</t>
        </is>
      </c>
      <c r="D163" s="30" t="inlineStr">
        <is>
          <t>finance &amp; investments</t>
        </is>
      </c>
      <c r="E163" s="30" t="inlineStr">
        <is>
          <t>largecap</t>
        </is>
      </c>
      <c r="F163" s="30" t="n">
        <v>26050.32</v>
      </c>
      <c r="G163" s="30" t="n">
        <v>272.4</v>
      </c>
      <c r="H163" s="30" t="n">
        <v>0.61</v>
      </c>
      <c r="I163" s="30" t="n">
        <v>3036249</v>
      </c>
      <c r="J163" s="30" t="inlineStr">
        <is>
          <t>531595</t>
        </is>
      </c>
    </row>
    <row r="164">
      <c r="A164" s="30" t="inlineStr">
        <is>
          <t>NYKAA</t>
        </is>
      </c>
      <c r="B164" s="30" t="inlineStr">
        <is>
          <t>FSN E-Commerce Ventures Ltd</t>
        </is>
      </c>
      <c r="C164" s="30" t="inlineStr">
        <is>
          <t>i.t</t>
        </is>
      </c>
      <c r="D164" s="30" t="inlineStr">
        <is>
          <t>trading</t>
        </is>
      </c>
      <c r="E164" s="30" t="inlineStr">
        <is>
          <t>largecap</t>
        </is>
      </c>
      <c r="F164" s="30" t="n">
        <v>97656.39999999999</v>
      </c>
      <c r="G164" s="30" t="n">
        <v>343</v>
      </c>
      <c r="H164" s="30" t="n">
        <v>0.59</v>
      </c>
      <c r="I164" s="30" t="n">
        <v>4010750</v>
      </c>
      <c r="J164" s="30" t="inlineStr">
        <is>
          <t>543384</t>
        </is>
      </c>
    </row>
    <row r="165">
      <c r="A165" s="30" t="inlineStr">
        <is>
          <t>TFCILTD</t>
        </is>
      </c>
      <c r="B165" s="30" t="inlineStr">
        <is>
          <t>Tourism Finance Corporation Of India Limited</t>
        </is>
      </c>
      <c r="C165" s="30" t="inlineStr">
        <is>
          <t>financials</t>
        </is>
      </c>
      <c r="D165" s="30" t="inlineStr">
        <is>
          <t>finance - term-lending institutions</t>
        </is>
      </c>
      <c r="E165" s="30" t="inlineStr">
        <is>
          <t>midcap</t>
        </is>
      </c>
      <c r="F165" s="30" t="n">
        <v>6522.89</v>
      </c>
      <c r="G165" s="30" t="n">
        <v>141.69</v>
      </c>
      <c r="H165" s="30" t="n">
        <v>0.57</v>
      </c>
      <c r="I165" s="30" t="n">
        <v>5715933</v>
      </c>
      <c r="J165" s="30" t="inlineStr">
        <is>
          <t>526650</t>
        </is>
      </c>
    </row>
    <row r="166">
      <c r="A166" s="30" t="inlineStr">
        <is>
          <t>SHANTIGEAR</t>
        </is>
      </c>
      <c r="B166" s="30" t="inlineStr">
        <is>
          <t>Shanthi Gears Limited</t>
        </is>
      </c>
      <c r="C166" s="30" t="inlineStr">
        <is>
          <t>industrials</t>
        </is>
      </c>
      <c r="D166" s="30" t="inlineStr">
        <is>
          <t>engineering</t>
        </is>
      </c>
      <c r="E166" s="30" t="inlineStr">
        <is>
          <t>midcap</t>
        </is>
      </c>
      <c r="F166" s="30" t="n">
        <v>5400.8</v>
      </c>
      <c r="G166" s="30" t="n">
        <v>707.75</v>
      </c>
      <c r="H166" s="30" t="n">
        <v>0.53</v>
      </c>
      <c r="I166" s="30" t="n">
        <v>936332</v>
      </c>
      <c r="J166" s="30" t="inlineStr">
        <is>
          <t>522034</t>
        </is>
      </c>
    </row>
    <row r="167">
      <c r="A167" s="30" t="inlineStr">
        <is>
          <t>NAVINFLUOR</t>
        </is>
      </c>
      <c r="B167" s="30" t="inlineStr">
        <is>
          <t>Navin Fluorine International Limited</t>
        </is>
      </c>
      <c r="C167" s="30" t="inlineStr">
        <is>
          <t>chemicals</t>
        </is>
      </c>
      <c r="D167" s="30" t="inlineStr">
        <is>
          <t>chemicals</t>
        </is>
      </c>
      <c r="E167" s="30" t="inlineStr">
        <is>
          <t>largecap</t>
        </is>
      </c>
      <c r="F167" s="30" t="n">
        <v>44782.31</v>
      </c>
      <c r="G167" s="30" t="n">
        <v>8775.5</v>
      </c>
      <c r="H167" s="30" t="n">
        <v>0.51</v>
      </c>
      <c r="I167" s="30" t="n">
        <v>294169</v>
      </c>
      <c r="J167" s="30" t="inlineStr">
        <is>
          <t>532504</t>
        </is>
      </c>
    </row>
    <row r="168">
      <c r="A168" s="30" t="inlineStr">
        <is>
          <t>TATVA</t>
        </is>
      </c>
      <c r="B168" s="30" t="inlineStr">
        <is>
          <t>Tatva Chintan Pharma Chem Ltd</t>
        </is>
      </c>
      <c r="C168" s="30" t="inlineStr">
        <is>
          <t>chemicals</t>
        </is>
      </c>
      <c r="D168" s="30" t="inlineStr">
        <is>
          <t>chemicals</t>
        </is>
      </c>
      <c r="E168" s="30" t="inlineStr">
        <is>
          <t>smallcap</t>
        </is>
      </c>
      <c r="F168" s="30" t="n">
        <v>3930.33</v>
      </c>
      <c r="G168" s="30" t="n">
        <v>1688.4</v>
      </c>
      <c r="H168" s="30" t="n">
        <v>0.49</v>
      </c>
      <c r="I168" s="30" t="n">
        <v>32908</v>
      </c>
      <c r="J168" s="30" t="inlineStr">
        <is>
          <t>543321</t>
        </is>
      </c>
    </row>
    <row r="169">
      <c r="A169" s="30" t="inlineStr">
        <is>
          <t>CEIGALL</t>
        </is>
      </c>
      <c r="B169" s="30" t="inlineStr">
        <is>
          <t>Ceigall India Ltd</t>
        </is>
      </c>
      <c r="C169" s="30" t="inlineStr">
        <is>
          <t>realty</t>
        </is>
      </c>
      <c r="D169" s="30" t="inlineStr">
        <is>
          <t>construction</t>
        </is>
      </c>
      <c r="E169" s="30" t="inlineStr">
        <is>
          <t>midcap</t>
        </is>
      </c>
      <c r="F169" s="30" t="n">
        <v>6530.07</v>
      </c>
      <c r="G169" s="30" t="n">
        <v>376.4</v>
      </c>
      <c r="H169" s="30" t="n">
        <v>0.41</v>
      </c>
      <c r="I169" s="30" t="n">
        <v>243135</v>
      </c>
      <c r="J169" s="30" t="inlineStr">
        <is>
          <t>544223</t>
        </is>
      </c>
    </row>
    <row r="170">
      <c r="A170" s="30" t="inlineStr">
        <is>
          <t>AUROPHARMA</t>
        </is>
      </c>
      <c r="B170" s="30" t="inlineStr">
        <is>
          <t>Aurobindo Pharma Limited</t>
        </is>
      </c>
      <c r="C170" s="30" t="inlineStr">
        <is>
          <t>healthcare</t>
        </is>
      </c>
      <c r="D170" s="30" t="inlineStr">
        <is>
          <t>pharmaceuticals - indian - bulk drugs &amp; formln</t>
        </is>
      </c>
      <c r="E170" s="30" t="inlineStr">
        <is>
          <t>largecap</t>
        </is>
      </c>
      <c r="F170" s="30" t="n">
        <v>97353.94</v>
      </c>
      <c r="G170" s="30" t="n">
        <v>1698.9</v>
      </c>
      <c r="H170" s="30" t="n">
        <v>0.41</v>
      </c>
      <c r="I170" s="30" t="n">
        <v>600583</v>
      </c>
      <c r="J170" s="30" t="inlineStr">
        <is>
          <t>524804</t>
        </is>
      </c>
    </row>
    <row r="171">
      <c r="A171" s="30" t="inlineStr">
        <is>
          <t>THEMISMED</t>
        </is>
      </c>
      <c r="B171" s="30" t="inlineStr">
        <is>
          <t>Themis Medicare Limited</t>
        </is>
      </c>
      <c r="C171" s="30" t="inlineStr">
        <is>
          <t>healthcare</t>
        </is>
      </c>
      <c r="D171" s="30" t="inlineStr">
        <is>
          <t>pharmaceuticals - indian - bulk drugs &amp; formln</t>
        </is>
      </c>
      <c r="E171" s="30" t="inlineStr">
        <is>
          <t>smallcap</t>
        </is>
      </c>
      <c r="F171" s="30" t="n">
        <v>1217.29</v>
      </c>
      <c r="G171" s="30" t="n">
        <v>132.71</v>
      </c>
      <c r="H171" s="30" t="n">
        <v>0.41</v>
      </c>
      <c r="I171" s="30" t="n">
        <v>305033</v>
      </c>
      <c r="J171" s="30" t="inlineStr">
        <is>
          <t>530199</t>
        </is>
      </c>
    </row>
    <row r="172">
      <c r="A172" s="30" t="inlineStr">
        <is>
          <t>LALPATHLAB</t>
        </is>
      </c>
      <c r="B172" s="30" t="inlineStr">
        <is>
          <t>Dr. Lal Path Labs Ltd.</t>
        </is>
      </c>
      <c r="C172" s="30" t="inlineStr">
        <is>
          <t>healthcare</t>
        </is>
      </c>
      <c r="D172" s="30" t="inlineStr">
        <is>
          <t>healthcare</t>
        </is>
      </c>
      <c r="E172" s="30" t="inlineStr">
        <is>
          <t>largecap</t>
        </is>
      </c>
      <c r="F172" s="30" t="n">
        <v>32060.72</v>
      </c>
      <c r="G172" s="30" t="n">
        <v>1919.7</v>
      </c>
      <c r="H172" s="30" t="n">
        <v>0.38</v>
      </c>
      <c r="I172" s="30" t="n">
        <v>205022</v>
      </c>
      <c r="J172" s="30" t="inlineStr">
        <is>
          <t>539524</t>
        </is>
      </c>
    </row>
    <row r="173">
      <c r="A173" s="30" t="inlineStr">
        <is>
          <t>UNITEDPOLY</t>
        </is>
      </c>
      <c r="B173" s="30" t="inlineStr">
        <is>
          <t>United Polyfab Gujarat Ltd</t>
        </is>
      </c>
      <c r="C173" s="30" t="inlineStr">
        <is>
          <t>textiles</t>
        </is>
      </c>
      <c r="D173" s="30" t="inlineStr">
        <is>
          <t>textiles - products</t>
        </is>
      </c>
      <c r="E173" s="30" t="inlineStr">
        <is>
          <t>smallcap</t>
        </is>
      </c>
      <c r="F173" s="30" t="n">
        <v>981.87</v>
      </c>
      <c r="G173" s="30" t="n">
        <v>42.93</v>
      </c>
      <c r="H173" s="30" t="n">
        <v>0.35</v>
      </c>
      <c r="I173" s="30" t="n">
        <v>110087</v>
      </c>
      <c r="J173" s="30" t="inlineStr">
        <is>
          <t>533024</t>
        </is>
      </c>
    </row>
    <row r="174">
      <c r="A174" s="30" t="inlineStr">
        <is>
          <t>WELCORP</t>
        </is>
      </c>
      <c r="B174" s="30" t="inlineStr">
        <is>
          <t>Welspun Corp Limited</t>
        </is>
      </c>
      <c r="C174" s="30" t="inlineStr">
        <is>
          <t>industrials</t>
        </is>
      </c>
      <c r="D174" s="30" t="inlineStr">
        <is>
          <t>steel - large</t>
        </is>
      </c>
      <c r="E174" s="30" t="inlineStr">
        <is>
          <t>largecap</t>
        </is>
      </c>
      <c r="F174" s="30" t="n">
        <v>68572.38</v>
      </c>
      <c r="G174" s="30" t="n">
        <v>2608.5</v>
      </c>
      <c r="H174" s="30" t="n">
        <v>0.35</v>
      </c>
      <c r="I174" s="30" t="n">
        <v>759849</v>
      </c>
      <c r="J174" s="30" t="inlineStr">
        <is>
          <t>532144</t>
        </is>
      </c>
    </row>
    <row r="175">
      <c r="A175" s="30" t="inlineStr">
        <is>
          <t>DYNAMATECH</t>
        </is>
      </c>
      <c r="B175" s="30" t="inlineStr">
        <is>
          <t>Dynamatic Technologies Limited</t>
        </is>
      </c>
      <c r="C175" s="30" t="inlineStr">
        <is>
          <t>aerospace &amp; defence</t>
        </is>
      </c>
      <c r="D175" s="30" t="inlineStr">
        <is>
          <t>engineering</t>
        </is>
      </c>
      <c r="E175" s="30" t="inlineStr">
        <is>
          <t>midcap</t>
        </is>
      </c>
      <c r="F175" s="30" t="n">
        <v>7867.21</v>
      </c>
      <c r="G175" s="30" t="n">
        <v>11625</v>
      </c>
      <c r="H175" s="30" t="n">
        <v>0.35</v>
      </c>
      <c r="I175" s="30" t="n">
        <v>15961</v>
      </c>
      <c r="J175" s="30" t="inlineStr">
        <is>
          <t>505242</t>
        </is>
      </c>
    </row>
    <row r="176">
      <c r="A176" s="30" t="inlineStr">
        <is>
          <t>RPGLIFE</t>
        </is>
      </c>
      <c r="B176" s="30" t="inlineStr">
        <is>
          <t>Rpg Life Sciences Limited</t>
        </is>
      </c>
      <c r="C176" s="30" t="inlineStr">
        <is>
          <t>healthcare</t>
        </is>
      </c>
      <c r="D176" s="30" t="inlineStr">
        <is>
          <t>pharmaceuticals - indian - bulk drugs &amp; formln</t>
        </is>
      </c>
      <c r="E176" s="30" t="inlineStr">
        <is>
          <t>smallcap</t>
        </is>
      </c>
      <c r="F176" s="30" t="n">
        <v>4635.22</v>
      </c>
      <c r="G176" s="30" t="n">
        <v>2812</v>
      </c>
      <c r="H176" s="30" t="n">
        <v>0.34</v>
      </c>
      <c r="I176" s="30" t="n">
        <v>51216</v>
      </c>
      <c r="J176" s="30" t="inlineStr">
        <is>
          <t>532983</t>
        </is>
      </c>
    </row>
    <row r="177">
      <c r="A177" s="30" t="inlineStr">
        <is>
          <t>SUNDARMFIN</t>
        </is>
      </c>
      <c r="B177" s="30" t="inlineStr">
        <is>
          <t>Sundaram Finance Limited</t>
        </is>
      </c>
      <c r="C177" s="30" t="inlineStr">
        <is>
          <t>financials</t>
        </is>
      </c>
      <c r="D177" s="30" t="inlineStr">
        <is>
          <t>finance &amp; investments</t>
        </is>
      </c>
      <c r="E177" s="30" t="inlineStr">
        <is>
          <t>largecap</t>
        </is>
      </c>
      <c r="F177" s="30" t="n">
        <v>52359.92</v>
      </c>
      <c r="G177" s="30" t="n">
        <v>4728</v>
      </c>
      <c r="H177" s="30" t="n">
        <v>0.32</v>
      </c>
      <c r="I177" s="30" t="n">
        <v>24537</v>
      </c>
      <c r="J177" s="30" t="inlineStr">
        <is>
          <t>590071</t>
        </is>
      </c>
    </row>
    <row r="178">
      <c r="A178" s="30" t="inlineStr">
        <is>
          <t>KILITCH</t>
        </is>
      </c>
      <c r="B178" s="30" t="inlineStr">
        <is>
          <t>Kilitch Drugs (india) Limited</t>
        </is>
      </c>
      <c r="C178" s="30" t="inlineStr">
        <is>
          <t>healthcare</t>
        </is>
      </c>
      <c r="D178" s="30" t="inlineStr">
        <is>
          <t>pharmaceuticals - indian - formulations</t>
        </is>
      </c>
      <c r="E178" s="30" t="inlineStr">
        <is>
          <t>smallcap</t>
        </is>
      </c>
      <c r="F178" s="30" t="n">
        <v>656.86</v>
      </c>
      <c r="G178" s="30" t="n">
        <v>188.45</v>
      </c>
      <c r="H178" s="30" t="n">
        <v>0.3</v>
      </c>
      <c r="I178" s="30" t="n">
        <v>16972</v>
      </c>
      <c r="J178" s="30" t="inlineStr">
        <is>
          <t>524500</t>
        </is>
      </c>
    </row>
    <row r="179">
      <c r="A179" s="30" t="inlineStr">
        <is>
          <t>ARROWGREEN</t>
        </is>
      </c>
      <c r="B179" s="30" t="inlineStr">
        <is>
          <t>Arrow Greentech Limited</t>
        </is>
      </c>
      <c r="C179" s="30" t="inlineStr">
        <is>
          <t>plastic products</t>
        </is>
      </c>
      <c r="D179" s="30" t="inlineStr">
        <is>
          <t>plastics products</t>
        </is>
      </c>
      <c r="E179" s="30" t="inlineStr">
        <is>
          <t>smallcap</t>
        </is>
      </c>
      <c r="F179" s="30" t="n">
        <v>1208.09</v>
      </c>
      <c r="G179" s="30" t="n">
        <v>803</v>
      </c>
      <c r="H179" s="30" t="n">
        <v>0.29</v>
      </c>
      <c r="I179" s="30" t="n">
        <v>9843</v>
      </c>
      <c r="J179" s="30" t="inlineStr">
        <is>
          <t>516064</t>
        </is>
      </c>
    </row>
    <row r="180">
      <c r="A180" s="30" t="inlineStr">
        <is>
          <t>MCX</t>
        </is>
      </c>
      <c r="B180" s="30" t="inlineStr">
        <is>
          <t>Multi Commodity Exchange Of India Limited</t>
        </is>
      </c>
      <c r="C180" s="30" t="inlineStr">
        <is>
          <t>financials</t>
        </is>
      </c>
      <c r="D180" s="30" t="inlineStr">
        <is>
          <t>miscellaneous</t>
        </is>
      </c>
      <c r="E180" s="30" t="inlineStr">
        <is>
          <t>largecap</t>
        </is>
      </c>
      <c r="F180" s="30" t="n">
        <v>85218.27</v>
      </c>
      <c r="G180" s="30" t="n">
        <v>3350</v>
      </c>
      <c r="H180" s="30" t="n">
        <v>0.24</v>
      </c>
      <c r="I180" s="30" t="n">
        <v>2174879</v>
      </c>
      <c r="J180" s="30" t="inlineStr">
        <is>
          <t>534091</t>
        </is>
      </c>
    </row>
    <row r="181">
      <c r="A181" s="30" t="inlineStr">
        <is>
          <t>GODREJAGRO</t>
        </is>
      </c>
      <c r="B181" s="30" t="inlineStr">
        <is>
          <t>Godrej Agrovet Ltd</t>
        </is>
      </c>
      <c r="C181" s="30" t="inlineStr">
        <is>
          <t>fmcg</t>
        </is>
      </c>
      <c r="D181" s="30" t="inlineStr">
        <is>
          <t>food - processing - indian</t>
        </is>
      </c>
      <c r="E181" s="30" t="inlineStr">
        <is>
          <t>midcap</t>
        </is>
      </c>
      <c r="F181" s="30" t="n">
        <v>12957.37</v>
      </c>
      <c r="G181" s="30" t="n">
        <v>674.65</v>
      </c>
      <c r="H181" s="30" t="n">
        <v>0.16</v>
      </c>
      <c r="I181" s="30" t="n">
        <v>322590</v>
      </c>
      <c r="J181" s="30" t="inlineStr">
        <is>
          <t>540743</t>
        </is>
      </c>
    </row>
    <row r="182">
      <c r="A182" s="30" t="inlineStr">
        <is>
          <t>JSWDULUX</t>
        </is>
      </c>
      <c r="B182" s="30" t="inlineStr">
        <is>
          <t>JSW Dulux Ltd</t>
        </is>
      </c>
      <c r="C182" s="30" t="inlineStr">
        <is>
          <t>building materials</t>
        </is>
      </c>
      <c r="D182" s="30" t="inlineStr">
        <is>
          <t>paints / varnishes</t>
        </is>
      </c>
      <c r="E182" s="30" t="inlineStr">
        <is>
          <t>midcap</t>
        </is>
      </c>
      <c r="F182" s="30" t="n">
        <v>14456.32</v>
      </c>
      <c r="G182" s="30" t="n">
        <v>3179.2</v>
      </c>
      <c r="H182" s="30" t="n">
        <v>0.15</v>
      </c>
      <c r="I182" s="30" t="n">
        <v>37589</v>
      </c>
      <c r="J182" s="30" t="inlineStr">
        <is>
          <t>500710</t>
        </is>
      </c>
    </row>
    <row r="183">
      <c r="A183" s="30" t="inlineStr">
        <is>
          <t>INDOAMIN</t>
        </is>
      </c>
      <c r="B183" s="30" t="inlineStr">
        <is>
          <t>Indo Amines Ltd</t>
        </is>
      </c>
      <c r="C183" s="30" t="inlineStr">
        <is>
          <t>chemicals</t>
        </is>
      </c>
      <c r="D183" s="30" t="inlineStr">
        <is>
          <t>chemicals</t>
        </is>
      </c>
      <c r="E183" s="30" t="inlineStr">
        <is>
          <t>smallcap</t>
        </is>
      </c>
      <c r="F183" s="30" t="n">
        <v>922.3</v>
      </c>
      <c r="G183" s="30" t="n">
        <v>127.25</v>
      </c>
      <c r="H183" s="30" t="n">
        <v>0.15</v>
      </c>
      <c r="I183" s="30" t="n">
        <v>67298</v>
      </c>
      <c r="J183" s="30" t="inlineStr">
        <is>
          <t>524648</t>
        </is>
      </c>
    </row>
    <row r="184">
      <c r="A184" s="30" t="inlineStr">
        <is>
          <t>NIACL</t>
        </is>
      </c>
      <c r="B184" s="30" t="inlineStr">
        <is>
          <t>New India Assurance Company Ltd</t>
        </is>
      </c>
      <c r="C184" s="30" t="inlineStr">
        <is>
          <t>financials</t>
        </is>
      </c>
      <c r="D184" s="30" t="inlineStr">
        <is>
          <t>finance &amp; investments</t>
        </is>
      </c>
      <c r="E184" s="30" t="inlineStr">
        <is>
          <t>largecap</t>
        </is>
      </c>
      <c r="F184" s="30" t="n">
        <v>33820.26</v>
      </c>
      <c r="G184" s="30" t="n">
        <v>205.51</v>
      </c>
      <c r="H184" s="30" t="n">
        <v>0.14</v>
      </c>
      <c r="I184" s="30" t="n">
        <v>10799389</v>
      </c>
      <c r="J184" s="30" t="inlineStr">
        <is>
          <t>540769</t>
        </is>
      </c>
    </row>
    <row r="185">
      <c r="A185" s="30" t="inlineStr">
        <is>
          <t>AVALON</t>
        </is>
      </c>
      <c r="B185" s="30" t="inlineStr">
        <is>
          <t>Avalon Technologies Ltd</t>
        </is>
      </c>
      <c r="C185" s="30" t="inlineStr">
        <is>
          <t>consumer discretionary</t>
        </is>
      </c>
      <c r="D185" s="30" t="inlineStr">
        <is>
          <t>electronics - components</t>
        </is>
      </c>
      <c r="E185" s="30" t="inlineStr">
        <is>
          <t>midcap</t>
        </is>
      </c>
      <c r="F185" s="30" t="n">
        <v>15301.9</v>
      </c>
      <c r="G185" s="30" t="n">
        <v>2293.6</v>
      </c>
      <c r="H185" s="30" t="n">
        <v>0.14</v>
      </c>
      <c r="I185" s="30" t="n">
        <v>206983</v>
      </c>
      <c r="J185" s="30" t="inlineStr">
        <is>
          <t>543896</t>
        </is>
      </c>
    </row>
    <row r="186">
      <c r="A186" s="30" t="inlineStr">
        <is>
          <t>ATHERENERG</t>
        </is>
      </c>
      <c r="B186" s="30" t="inlineStr">
        <is>
          <t>Ather Energy Ltd</t>
        </is>
      </c>
      <c r="C186" s="30" t="inlineStr">
        <is>
          <t>auto</t>
        </is>
      </c>
      <c r="D186" s="30" t="inlineStr">
        <is>
          <t>automobiles - scooters and 3 - wheelers</t>
        </is>
      </c>
      <c r="E186" s="30" t="inlineStr">
        <is>
          <t>largecap</t>
        </is>
      </c>
      <c r="F186" s="30" t="n">
        <v>62192.97</v>
      </c>
      <c r="G186" s="30" t="n">
        <v>1580</v>
      </c>
      <c r="H186" s="30" t="n">
        <v>0.13</v>
      </c>
      <c r="I186" s="30" t="n">
        <v>1669212</v>
      </c>
      <c r="J186" s="30" t="inlineStr">
        <is>
          <t>544397</t>
        </is>
      </c>
    </row>
    <row r="187">
      <c r="A187" s="30" t="inlineStr">
        <is>
          <t>IKIO</t>
        </is>
      </c>
      <c r="B187" s="30" t="inlineStr">
        <is>
          <t>IKIO Lighting Ltd</t>
        </is>
      </c>
      <c r="C187" s="30" t="inlineStr">
        <is>
          <t>consumer discretionary</t>
        </is>
      </c>
      <c r="D187" s="30" t="inlineStr">
        <is>
          <t>electric equipment</t>
        </is>
      </c>
      <c r="E187" s="30" t="inlineStr">
        <is>
          <t>smallcap</t>
        </is>
      </c>
      <c r="F187" s="30" t="n">
        <v>1698.09</v>
      </c>
      <c r="G187" s="30" t="n">
        <v>219.94</v>
      </c>
      <c r="H187" s="30" t="n">
        <v>0.1</v>
      </c>
      <c r="I187" s="30" t="n">
        <v>697005</v>
      </c>
      <c r="J187" s="30" t="inlineStr">
        <is>
          <t>543923</t>
        </is>
      </c>
    </row>
    <row r="188">
      <c r="A188" s="30" t="inlineStr">
        <is>
          <t>HATSUN</t>
        </is>
      </c>
      <c r="B188" s="30" t="inlineStr">
        <is>
          <t>Hatsun Agro Product Limited</t>
        </is>
      </c>
      <c r="C188" s="30" t="inlineStr">
        <is>
          <t>fmcg</t>
        </is>
      </c>
      <c r="D188" s="30" t="inlineStr">
        <is>
          <t>food - processing - indian</t>
        </is>
      </c>
      <c r="E188" s="30" t="inlineStr">
        <is>
          <t>largecap</t>
        </is>
      </c>
      <c r="F188" s="30" t="n">
        <v>26685.24</v>
      </c>
      <c r="G188" s="30" t="n">
        <v>1199.1</v>
      </c>
      <c r="H188" s="30" t="n">
        <v>0.09</v>
      </c>
      <c r="I188" s="30" t="n">
        <v>122744</v>
      </c>
      <c r="J188" s="30" t="inlineStr">
        <is>
          <t>531531</t>
        </is>
      </c>
    </row>
    <row r="189">
      <c r="A189" s="30" t="inlineStr">
        <is>
          <t>SHILPAMED</t>
        </is>
      </c>
      <c r="B189" s="30" t="inlineStr">
        <is>
          <t>Shilpa Medicare Limited</t>
        </is>
      </c>
      <c r="C189" s="30" t="inlineStr">
        <is>
          <t>healthcare</t>
        </is>
      </c>
      <c r="D189" s="30" t="inlineStr">
        <is>
          <t>pharmaceuticals - indian - formulations</t>
        </is>
      </c>
      <c r="E189" s="30" t="inlineStr">
        <is>
          <t>midcap</t>
        </is>
      </c>
      <c r="F189" s="30" t="n">
        <v>18773.9</v>
      </c>
      <c r="G189" s="30" t="n">
        <v>960.6</v>
      </c>
      <c r="H189" s="30" t="n">
        <v>0.07000000000000001</v>
      </c>
      <c r="I189" s="30" t="n">
        <v>694978</v>
      </c>
      <c r="J189" s="30" t="inlineStr">
        <is>
          <t>530549</t>
        </is>
      </c>
    </row>
    <row r="190">
      <c r="A190" s="30" t="inlineStr">
        <is>
          <t>INDSWFTLAB</t>
        </is>
      </c>
      <c r="B190" s="30" t="inlineStr">
        <is>
          <t>Ind-swift Laboratories Limited</t>
        </is>
      </c>
      <c r="C190" s="30" t="inlineStr">
        <is>
          <t>healthcare</t>
        </is>
      </c>
      <c r="D190" s="30" t="inlineStr">
        <is>
          <t>pharmaceuticals - indian - bulk drugs &amp; formln</t>
        </is>
      </c>
      <c r="E190" s="30" t="inlineStr">
        <is>
          <t>smallcap</t>
        </is>
      </c>
      <c r="F190" s="30" t="n">
        <v>3376.72</v>
      </c>
      <c r="G190" s="30" t="n">
        <v>388.55</v>
      </c>
      <c r="H190" s="30" t="n">
        <v>0.06</v>
      </c>
      <c r="I190" s="30" t="n">
        <v>704593</v>
      </c>
      <c r="J190" s="30" t="inlineStr">
        <is>
          <t>532305</t>
        </is>
      </c>
    </row>
    <row r="191">
      <c r="A191" s="30" t="inlineStr">
        <is>
          <t>PITTIENG</t>
        </is>
      </c>
      <c r="B191" s="30" t="inlineStr">
        <is>
          <t>Pitti Engineering Ltd</t>
        </is>
      </c>
      <c r="C191" s="30" t="inlineStr">
        <is>
          <t>industrials</t>
        </is>
      </c>
      <c r="D191" s="30" t="inlineStr">
        <is>
          <t>engineering</t>
        </is>
      </c>
      <c r="E191" s="30" t="inlineStr">
        <is>
          <t>smallcap</t>
        </is>
      </c>
      <c r="F191" s="30" t="n">
        <v>4410.36</v>
      </c>
      <c r="G191" s="30" t="n">
        <v>1171.6</v>
      </c>
      <c r="H191" s="30" t="n">
        <v>0.03</v>
      </c>
      <c r="I191" s="30" t="n">
        <v>132385</v>
      </c>
      <c r="J191" s="30" t="inlineStr">
        <is>
          <t>513519</t>
        </is>
      </c>
    </row>
    <row r="192">
      <c r="A192" s="30" t="inlineStr">
        <is>
          <t>VINCOFE</t>
        </is>
      </c>
      <c r="B192" s="30" t="inlineStr">
        <is>
          <t>Vintage Coffee &amp; Beverages Ltd</t>
        </is>
      </c>
      <c r="C192" s="30" t="inlineStr">
        <is>
          <t>consumer discretionary</t>
        </is>
      </c>
      <c r="D192" s="30" t="inlineStr">
        <is>
          <t>trading</t>
        </is>
      </c>
      <c r="E192" s="30" t="inlineStr">
        <is>
          <t>smallcap</t>
        </is>
      </c>
      <c r="F192" s="30" t="n">
        <v>2598.21</v>
      </c>
      <c r="G192" s="30" t="n">
        <v>178.4</v>
      </c>
      <c r="H192" s="30" t="n">
        <v>0.03</v>
      </c>
      <c r="I192" s="30" t="n">
        <v>2464634</v>
      </c>
      <c r="J192" s="30" t="inlineStr">
        <is>
          <t>538920</t>
        </is>
      </c>
    </row>
    <row r="193">
      <c r="A193" s="30" t="inlineStr">
        <is>
          <t>JAMNAAUTO</t>
        </is>
      </c>
      <c r="B193" s="30" t="inlineStr">
        <is>
          <t>Jamna Auto Industries Limited</t>
        </is>
      </c>
      <c r="C193" s="30" t="inlineStr">
        <is>
          <t>auto</t>
        </is>
      </c>
      <c r="D193" s="30" t="inlineStr">
        <is>
          <t>auto ancillaries</t>
        </is>
      </c>
      <c r="E193" s="30" t="inlineStr">
        <is>
          <t>midcap</t>
        </is>
      </c>
      <c r="F193" s="30" t="n">
        <v>5154.05</v>
      </c>
      <c r="G193" s="30" t="n">
        <v>128.93</v>
      </c>
      <c r="H193" s="30" t="n">
        <v>0.01</v>
      </c>
      <c r="I193" s="30" t="n">
        <v>1789554</v>
      </c>
      <c r="J193" s="30" t="inlineStr">
        <is>
          <t>520051</t>
        </is>
      </c>
    </row>
    <row r="194">
      <c r="A194" s="30" t="inlineStr">
        <is>
          <t>JASH</t>
        </is>
      </c>
      <c r="B194" s="30" t="inlineStr">
        <is>
          <t>Jash Engineering Ltd</t>
        </is>
      </c>
      <c r="C194" s="30" t="inlineStr">
        <is>
          <t>industrials</t>
        </is>
      </c>
      <c r="D194" s="30" t="inlineStr">
        <is>
          <t>engineering</t>
        </is>
      </c>
      <c r="E194" s="30" t="inlineStr">
        <is>
          <t>smallcap</t>
        </is>
      </c>
      <c r="F194" s="30" t="n">
        <v>3277.86</v>
      </c>
      <c r="G194" s="30" t="n">
        <v>518.75</v>
      </c>
      <c r="H194" s="30" t="n">
        <v>0.01</v>
      </c>
      <c r="I194" s="30" t="n">
        <v>167761</v>
      </c>
      <c r="J194" s="30" t="inlineStr">
        <is>
          <t>535019</t>
        </is>
      </c>
    </row>
    <row r="195">
      <c r="A195" s="30" t="inlineStr">
        <is>
          <t>INDOBORAX</t>
        </is>
      </c>
      <c r="B195" s="30" t="inlineStr">
        <is>
          <t>Indo Borax &amp; Chemicals Ltd</t>
        </is>
      </c>
      <c r="C195" s="30" t="inlineStr">
        <is>
          <t>chemicals</t>
        </is>
      </c>
      <c r="D195" s="30" t="inlineStr">
        <is>
          <t>chemicals</t>
        </is>
      </c>
      <c r="E195" s="30" t="inlineStr">
        <is>
          <t>smallcap</t>
        </is>
      </c>
      <c r="F195" s="30" t="n">
        <v>1639.96</v>
      </c>
      <c r="G195" s="30" t="n">
        <v>510.95</v>
      </c>
      <c r="H195" s="30" t="n">
        <v>-0.02</v>
      </c>
      <c r="I195" s="30" t="n">
        <v>92970</v>
      </c>
      <c r="J195" s="30" t="inlineStr">
        <is>
          <t>524342</t>
        </is>
      </c>
    </row>
    <row r="196">
      <c r="A196" s="30" t="inlineStr">
        <is>
          <t>ARMANFIN</t>
        </is>
      </c>
      <c r="B196" s="30" t="inlineStr">
        <is>
          <t>Arman Financial Services Limited</t>
        </is>
      </c>
      <c r="C196" s="30" t="inlineStr">
        <is>
          <t>financials</t>
        </is>
      </c>
      <c r="D196" s="30" t="inlineStr">
        <is>
          <t>finance &amp; investments</t>
        </is>
      </c>
      <c r="E196" s="30" t="inlineStr">
        <is>
          <t>smallcap</t>
        </is>
      </c>
      <c r="F196" s="30" t="n">
        <v>2142.38</v>
      </c>
      <c r="G196" s="30" t="n">
        <v>2037.1</v>
      </c>
      <c r="H196" s="30" t="n">
        <v>-0.02</v>
      </c>
      <c r="I196" s="30" t="n">
        <v>27412</v>
      </c>
      <c r="J196" s="30" t="inlineStr">
        <is>
          <t>531179</t>
        </is>
      </c>
    </row>
    <row r="197">
      <c r="A197" s="30" t="inlineStr">
        <is>
          <t>STOVEKRAFT</t>
        </is>
      </c>
      <c r="B197" s="30" t="inlineStr">
        <is>
          <t>Stove Kraft Ltd</t>
        </is>
      </c>
      <c r="C197" s="30" t="inlineStr">
        <is>
          <t>consumer discretionary</t>
        </is>
      </c>
      <c r="D197" s="30" t="inlineStr">
        <is>
          <t>domestic appliances</t>
        </is>
      </c>
      <c r="E197" s="30" t="inlineStr">
        <is>
          <t>smallcap</t>
        </is>
      </c>
      <c r="F197" s="30" t="n">
        <v>2779.19</v>
      </c>
      <c r="G197" s="30" t="n">
        <v>839.3</v>
      </c>
      <c r="H197" s="30" t="n">
        <v>-0.02</v>
      </c>
      <c r="I197" s="30" t="n">
        <v>77414</v>
      </c>
      <c r="J197" s="30" t="inlineStr">
        <is>
          <t>543260</t>
        </is>
      </c>
    </row>
    <row r="198">
      <c r="A198" s="30" t="inlineStr">
        <is>
          <t>FCL</t>
        </is>
      </c>
      <c r="B198" s="30" t="inlineStr">
        <is>
          <t>Fineotex Chemical Limited</t>
        </is>
      </c>
      <c r="C198" s="30" t="inlineStr">
        <is>
          <t>chemicals</t>
        </is>
      </c>
      <c r="D198" s="30" t="inlineStr">
        <is>
          <t>chemicals</t>
        </is>
      </c>
      <c r="E198" s="30" t="inlineStr">
        <is>
          <t>midcap</t>
        </is>
      </c>
      <c r="F198" s="30" t="n">
        <v>6805.34</v>
      </c>
      <c r="G198" s="30" t="n">
        <v>58.43</v>
      </c>
      <c r="H198" s="30" t="n">
        <v>-0.02</v>
      </c>
      <c r="I198" s="30" t="n">
        <v>71051557</v>
      </c>
      <c r="J198" s="30" t="inlineStr">
        <is>
          <t>533333</t>
        </is>
      </c>
    </row>
    <row r="199">
      <c r="A199" s="30" t="inlineStr">
        <is>
          <t>MAZDA</t>
        </is>
      </c>
      <c r="B199" s="30" t="inlineStr">
        <is>
          <t>Mazda Limited</t>
        </is>
      </c>
      <c r="C199" s="30" t="inlineStr">
        <is>
          <t>industrials</t>
        </is>
      </c>
      <c r="D199" s="30" t="inlineStr">
        <is>
          <t>engineering</t>
        </is>
      </c>
      <c r="E199" s="30" t="inlineStr">
        <is>
          <t>smallcap</t>
        </is>
      </c>
      <c r="F199" s="30" t="n">
        <v>544.1799999999999</v>
      </c>
      <c r="G199" s="30" t="n">
        <v>271.7</v>
      </c>
      <c r="H199" s="30" t="n">
        <v>-0.02</v>
      </c>
      <c r="I199" s="30" t="n">
        <v>11617</v>
      </c>
      <c r="J199" s="30" t="inlineStr">
        <is>
          <t>523792</t>
        </is>
      </c>
    </row>
    <row r="200">
      <c r="A200" s="30" t="inlineStr">
        <is>
          <t>GIPCL</t>
        </is>
      </c>
      <c r="B200" s="30" t="inlineStr">
        <is>
          <t>Gujarat Industries Power Company Limited</t>
        </is>
      </c>
      <c r="C200" s="30" t="inlineStr">
        <is>
          <t>power &amp; utilities</t>
        </is>
      </c>
      <c r="D200" s="30" t="inlineStr">
        <is>
          <t>power generation and supply</t>
        </is>
      </c>
      <c r="E200" s="30" t="inlineStr">
        <is>
          <t>smallcap</t>
        </is>
      </c>
      <c r="F200" s="30" t="n">
        <v>3121.39</v>
      </c>
      <c r="G200" s="30" t="n">
        <v>201.04</v>
      </c>
      <c r="H200" s="30" t="n">
        <v>-0.03</v>
      </c>
      <c r="I200" s="30" t="n">
        <v>368579</v>
      </c>
      <c r="J200" s="30" t="inlineStr">
        <is>
          <t>517300</t>
        </is>
      </c>
    </row>
    <row r="201">
      <c r="A201" s="30" t="inlineStr">
        <is>
          <t>ROLEXRINGS</t>
        </is>
      </c>
      <c r="B201" s="30" t="inlineStr">
        <is>
          <t>Rolex Rings Ltd</t>
        </is>
      </c>
      <c r="C201" s="30" t="inlineStr">
        <is>
          <t>auto</t>
        </is>
      </c>
      <c r="D201" s="30" t="inlineStr">
        <is>
          <t>auto ancillaries</t>
        </is>
      </c>
      <c r="E201" s="30" t="inlineStr">
        <is>
          <t>smallcap</t>
        </is>
      </c>
      <c r="F201" s="30" t="n">
        <v>4779.99</v>
      </c>
      <c r="G201" s="30" t="n">
        <v>175.47</v>
      </c>
      <c r="H201" s="30" t="n">
        <v>-0.03</v>
      </c>
      <c r="I201" s="30" t="n">
        <v>946177</v>
      </c>
      <c r="J201" s="30" t="inlineStr">
        <is>
          <t>543325</t>
        </is>
      </c>
    </row>
    <row r="202">
      <c r="A202" s="30" t="inlineStr">
        <is>
          <t>OCCLLTD</t>
        </is>
      </c>
      <c r="B202" s="30" t="inlineStr">
        <is>
          <t>OCCL Ltd</t>
        </is>
      </c>
      <c r="C202" s="30" t="inlineStr">
        <is>
          <t>chemicals</t>
        </is>
      </c>
      <c r="D202" s="30" t="inlineStr">
        <is>
          <t>chemicals</t>
        </is>
      </c>
      <c r="E202" s="30" t="inlineStr">
        <is>
          <t>smallcap</t>
        </is>
      </c>
      <c r="F202" s="30" t="n">
        <v>823.38</v>
      </c>
      <c r="G202" s="30" t="n">
        <v>164.68</v>
      </c>
      <c r="H202" s="30" t="n">
        <v>-0.1</v>
      </c>
      <c r="I202" s="30" t="n">
        <v>76133</v>
      </c>
      <c r="J202" s="30" t="inlineStr">
        <is>
          <t>544278</t>
        </is>
      </c>
    </row>
    <row r="203">
      <c r="A203" s="30" t="inlineStr">
        <is>
          <t>SESHAPAPER</t>
        </is>
      </c>
      <c r="B203" s="30" t="inlineStr">
        <is>
          <t>Seshasayee Paper And Boards Limited</t>
        </is>
      </c>
      <c r="C203" s="30" t="inlineStr">
        <is>
          <t>building materials</t>
        </is>
      </c>
      <c r="D203" s="30" t="inlineStr">
        <is>
          <t>paper</t>
        </is>
      </c>
      <c r="E203" s="30" t="inlineStr">
        <is>
          <t>smallcap</t>
        </is>
      </c>
      <c r="F203" s="30" t="n">
        <v>1538.74</v>
      </c>
      <c r="G203" s="30" t="n">
        <v>243.68</v>
      </c>
      <c r="H203" s="30" t="n">
        <v>-0.12</v>
      </c>
      <c r="I203" s="30" t="n">
        <v>74510</v>
      </c>
      <c r="J203" s="30" t="inlineStr">
        <is>
          <t>502450</t>
        </is>
      </c>
    </row>
    <row r="204">
      <c r="A204" s="30" t="inlineStr">
        <is>
          <t>HITECHCORP</t>
        </is>
      </c>
      <c r="B204" s="30" t="inlineStr">
        <is>
          <t>Hitech Corporation</t>
        </is>
      </c>
      <c r="C204" s="30" t="inlineStr">
        <is>
          <t>industrials</t>
        </is>
      </c>
      <c r="D204" s="30" t="inlineStr">
        <is>
          <t>packaging</t>
        </is>
      </c>
      <c r="E204" s="30" t="inlineStr">
        <is>
          <t>smallcap</t>
        </is>
      </c>
      <c r="F204" s="30" t="n">
        <v>577.02</v>
      </c>
      <c r="G204" s="30" t="n">
        <v>335.5</v>
      </c>
      <c r="H204" s="30" t="n">
        <v>-0.13</v>
      </c>
      <c r="I204" s="30" t="n">
        <v>20809</v>
      </c>
      <c r="J204" s="30" t="inlineStr">
        <is>
          <t>526217</t>
        </is>
      </c>
    </row>
    <row r="205">
      <c r="A205" s="30" t="inlineStr">
        <is>
          <t>CLSEL</t>
        </is>
      </c>
      <c r="B205" s="30" t="inlineStr">
        <is>
          <t>Chamanlal Setia Exports Ltd</t>
        </is>
      </c>
      <c r="C205" s="30" t="inlineStr">
        <is>
          <t>fmcg</t>
        </is>
      </c>
      <c r="D205" s="30" t="inlineStr">
        <is>
          <t>food - processing - indian</t>
        </is>
      </c>
      <c r="E205" s="30" t="inlineStr">
        <is>
          <t>smallcap</t>
        </is>
      </c>
      <c r="F205" s="30" t="n">
        <v>1519.86</v>
      </c>
      <c r="G205" s="30" t="n">
        <v>305.2</v>
      </c>
      <c r="H205" s="30" t="n">
        <v>-0.15</v>
      </c>
      <c r="I205" s="30" t="n">
        <v>117675</v>
      </c>
      <c r="J205" s="30" t="inlineStr">
        <is>
          <t>530307</t>
        </is>
      </c>
    </row>
    <row r="206">
      <c r="A206" s="30" t="inlineStr">
        <is>
          <t>JINDWORLD</t>
        </is>
      </c>
      <c r="B206" s="30" t="inlineStr">
        <is>
          <t>Jindal Worldwide Limited</t>
        </is>
      </c>
      <c r="C206" s="30" t="inlineStr">
        <is>
          <t>textiles</t>
        </is>
      </c>
      <c r="D206" s="30" t="inlineStr">
        <is>
          <t>textiles - products</t>
        </is>
      </c>
      <c r="E206" s="30" t="inlineStr">
        <is>
          <t>midcap</t>
        </is>
      </c>
      <c r="F206" s="30" t="n">
        <v>5567.45</v>
      </c>
      <c r="G206" s="30" t="n">
        <v>55.44</v>
      </c>
      <c r="H206" s="30" t="n">
        <v>-0.16</v>
      </c>
      <c r="I206" s="30" t="n">
        <v>40892474</v>
      </c>
      <c r="J206" s="30" t="inlineStr">
        <is>
          <t>531543</t>
        </is>
      </c>
    </row>
    <row r="207">
      <c r="A207" s="30" t="inlineStr">
        <is>
          <t>CASTROLIND</t>
        </is>
      </c>
      <c r="B207" s="30" t="inlineStr">
        <is>
          <t>Castrol India Limited</t>
        </is>
      </c>
      <c r="C207" s="30" t="inlineStr">
        <is>
          <t>chemicals</t>
        </is>
      </c>
      <c r="D207" s="30" t="inlineStr">
        <is>
          <t>chemicals</t>
        </is>
      </c>
      <c r="E207" s="30" t="inlineStr">
        <is>
          <t>midcap</t>
        </is>
      </c>
      <c r="F207" s="30" t="n">
        <v>18739.91</v>
      </c>
      <c r="G207" s="30" t="n">
        <v>189.16</v>
      </c>
      <c r="H207" s="30" t="n">
        <v>-0.16</v>
      </c>
      <c r="I207" s="30" t="n">
        <v>2950116</v>
      </c>
      <c r="J207" s="30" t="inlineStr">
        <is>
          <t>500870</t>
        </is>
      </c>
    </row>
    <row r="208">
      <c r="A208" s="30" t="inlineStr">
        <is>
          <t>IPCALAB</t>
        </is>
      </c>
      <c r="B208" s="30" t="inlineStr">
        <is>
          <t>Ipca Laboratories Limited</t>
        </is>
      </c>
      <c r="C208" s="30" t="inlineStr">
        <is>
          <t>healthcare</t>
        </is>
      </c>
      <c r="D208" s="30" t="inlineStr">
        <is>
          <t>pharmaceuticals - indian - bulk drugs &amp; formln</t>
        </is>
      </c>
      <c r="E208" s="30" t="inlineStr">
        <is>
          <t>largecap</t>
        </is>
      </c>
      <c r="F208" s="30" t="n">
        <v>49908.69</v>
      </c>
      <c r="G208" s="30" t="n">
        <v>1963.6</v>
      </c>
      <c r="H208" s="30" t="n">
        <v>-0.18</v>
      </c>
      <c r="I208" s="30" t="n">
        <v>126119</v>
      </c>
      <c r="J208" s="30" t="inlineStr">
        <is>
          <t>524494</t>
        </is>
      </c>
    </row>
    <row r="209">
      <c r="A209" s="30" t="inlineStr">
        <is>
          <t>BEPL</t>
        </is>
      </c>
      <c r="B209" s="30" t="inlineStr">
        <is>
          <t>Bhansali Engineering Polymers Limited</t>
        </is>
      </c>
      <c r="C209" s="30" t="inlineStr">
        <is>
          <t>energy</t>
        </is>
      </c>
      <c r="D209" s="30" t="inlineStr">
        <is>
          <t>petrochemicals</t>
        </is>
      </c>
      <c r="E209" s="30" t="inlineStr">
        <is>
          <t>smallcap</t>
        </is>
      </c>
      <c r="F209" s="30" t="n">
        <v>3330.72</v>
      </c>
      <c r="G209" s="30" t="n">
        <v>133.56</v>
      </c>
      <c r="H209" s="30" t="n">
        <v>-0.21</v>
      </c>
      <c r="I209" s="30" t="n">
        <v>2507926</v>
      </c>
      <c r="J209" s="30" t="inlineStr">
        <is>
          <t>500052</t>
        </is>
      </c>
    </row>
    <row r="210">
      <c r="A210" s="30" t="inlineStr">
        <is>
          <t>COMSYN</t>
        </is>
      </c>
      <c r="B210" s="30" t="inlineStr">
        <is>
          <t>Commercial Syn Bags Ltd</t>
        </is>
      </c>
      <c r="C210" s="30" t="inlineStr">
        <is>
          <t>industrials</t>
        </is>
      </c>
      <c r="D210" s="30" t="inlineStr">
        <is>
          <t>packaging</t>
        </is>
      </c>
      <c r="E210" s="30" t="inlineStr">
        <is>
          <t>smallcap</t>
        </is>
      </c>
      <c r="F210" s="30" t="n">
        <v>1217.64</v>
      </c>
      <c r="G210" s="30" t="n">
        <v>301.15</v>
      </c>
      <c r="H210" s="30" t="n">
        <v>-0.23</v>
      </c>
      <c r="I210" s="30" t="n">
        <v>618722</v>
      </c>
      <c r="J210" s="30" t="inlineStr">
        <is>
          <t>539986</t>
        </is>
      </c>
    </row>
    <row r="211">
      <c r="A211" s="30" t="inlineStr">
        <is>
          <t>FOSECOIND</t>
        </is>
      </c>
      <c r="B211" s="30" t="inlineStr">
        <is>
          <t>Foseco India Limited</t>
        </is>
      </c>
      <c r="C211" s="30" t="inlineStr">
        <is>
          <t>chemicals</t>
        </is>
      </c>
      <c r="D211" s="30" t="inlineStr">
        <is>
          <t>chemicals</t>
        </is>
      </c>
      <c r="E211" s="30" t="inlineStr">
        <is>
          <t>smallcap</t>
        </is>
      </c>
      <c r="F211" s="30" t="n">
        <v>4594.34</v>
      </c>
      <c r="G211" s="30" t="n">
        <v>6080</v>
      </c>
      <c r="H211" s="30" t="n">
        <v>-0.25</v>
      </c>
      <c r="I211" s="30" t="n">
        <v>5173</v>
      </c>
      <c r="J211" s="30" t="inlineStr">
        <is>
          <t>500150</t>
        </is>
      </c>
    </row>
    <row r="212">
      <c r="A212" s="30" t="inlineStr">
        <is>
          <t>QUADFUTURE</t>
        </is>
      </c>
      <c r="B212" s="30" t="inlineStr">
        <is>
          <t>Quadrant Future Tek Ltd</t>
        </is>
      </c>
      <c r="C212" s="30" t="inlineStr">
        <is>
          <t>industrials</t>
        </is>
      </c>
      <c r="D212" s="30" t="inlineStr">
        <is>
          <t>cables - power</t>
        </is>
      </c>
      <c r="E212" s="30" t="inlineStr">
        <is>
          <t>smallcap</t>
        </is>
      </c>
      <c r="F212" s="30" t="n">
        <v>1764</v>
      </c>
      <c r="G212" s="30" t="n">
        <v>439.85</v>
      </c>
      <c r="H212" s="30" t="n">
        <v>-0.26</v>
      </c>
      <c r="I212" s="30" t="n">
        <v>584350</v>
      </c>
      <c r="J212" s="30" t="inlineStr">
        <is>
          <t>544336</t>
        </is>
      </c>
    </row>
    <row r="213">
      <c r="A213" s="30" t="inlineStr">
        <is>
          <t>VIJAYA</t>
        </is>
      </c>
      <c r="B213" s="30" t="inlineStr">
        <is>
          <t>Vijaya Diagnostic Centre Ltd</t>
        </is>
      </c>
      <c r="C213" s="30" t="inlineStr">
        <is>
          <t>healthcare</t>
        </is>
      </c>
      <c r="D213" s="30" t="inlineStr">
        <is>
          <t>healthcare</t>
        </is>
      </c>
      <c r="E213" s="30" t="inlineStr">
        <is>
          <t>midcap</t>
        </is>
      </c>
      <c r="F213" s="30" t="n">
        <v>15465.38</v>
      </c>
      <c r="G213" s="30" t="n">
        <v>1498.9</v>
      </c>
      <c r="H213" s="30" t="n">
        <v>-0.27</v>
      </c>
      <c r="I213" s="30" t="n">
        <v>569495</v>
      </c>
      <c r="J213" s="30" t="inlineStr">
        <is>
          <t>543350</t>
        </is>
      </c>
    </row>
    <row r="214">
      <c r="A214" s="30" t="inlineStr">
        <is>
          <t>MAHABANK</t>
        </is>
      </c>
      <c r="B214" s="30" t="inlineStr">
        <is>
          <t>Bank Of Maharashtra Ltd</t>
        </is>
      </c>
      <c r="C214" s="30" t="inlineStr">
        <is>
          <t>bank</t>
        </is>
      </c>
      <c r="D214" s="30" t="inlineStr">
        <is>
          <t>banks - public sector</t>
        </is>
      </c>
      <c r="E214" s="30" t="inlineStr">
        <is>
          <t>largecap</t>
        </is>
      </c>
      <c r="F214" s="30" t="n">
        <v>65216.69</v>
      </c>
      <c r="G214" s="30" t="n">
        <v>84.56</v>
      </c>
      <c r="H214" s="30" t="n">
        <v>-0.27</v>
      </c>
      <c r="I214" s="30" t="n">
        <v>11713367</v>
      </c>
      <c r="J214" s="30" t="inlineStr">
        <is>
          <t>532525</t>
        </is>
      </c>
    </row>
    <row r="215">
      <c r="A215" s="30" t="inlineStr">
        <is>
          <t>ASIANHOTNR</t>
        </is>
      </c>
      <c r="B215" s="30" t="inlineStr">
        <is>
          <t>Asian Hotels (north) Limited</t>
        </is>
      </c>
      <c r="C215" s="30" t="inlineStr">
        <is>
          <t>services</t>
        </is>
      </c>
      <c r="D215" s="30" t="inlineStr">
        <is>
          <t>hotels</t>
        </is>
      </c>
      <c r="E215" s="30" t="inlineStr">
        <is>
          <t>smallcap</t>
        </is>
      </c>
      <c r="F215" s="30" t="n">
        <v>1729.84</v>
      </c>
      <c r="G215" s="30" t="n">
        <v>404.5</v>
      </c>
      <c r="H215" s="30" t="n">
        <v>-0.31</v>
      </c>
      <c r="I215" s="30" t="n">
        <v>27418</v>
      </c>
      <c r="J215" s="30" t="inlineStr">
        <is>
          <t>500023</t>
        </is>
      </c>
    </row>
    <row r="216">
      <c r="A216" s="30" t="inlineStr">
        <is>
          <t>RITCO</t>
        </is>
      </c>
      <c r="B216" s="30" t="inlineStr">
        <is>
          <t>Ritco Logistics Ltd</t>
        </is>
      </c>
      <c r="C216" s="30" t="inlineStr">
        <is>
          <t>transportation</t>
        </is>
      </c>
      <c r="D216" s="30" t="inlineStr">
        <is>
          <t>miscellaneous</t>
        </is>
      </c>
      <c r="E216" s="30" t="inlineStr">
        <is>
          <t>smallcap</t>
        </is>
      </c>
      <c r="F216" s="30" t="n">
        <v>911.49</v>
      </c>
      <c r="G216" s="30" t="n">
        <v>317.45</v>
      </c>
      <c r="H216" s="30" t="n">
        <v>-0.31</v>
      </c>
      <c r="I216" s="30" t="n">
        <v>142503</v>
      </c>
      <c r="J216" s="30" t="inlineStr">
        <is>
          <t>542383</t>
        </is>
      </c>
    </row>
    <row r="217">
      <c r="A217" s="30" t="inlineStr">
        <is>
          <t>SHALPAINTS</t>
        </is>
      </c>
      <c r="B217" s="30" t="inlineStr">
        <is>
          <t>Shalimar Paints Limited</t>
        </is>
      </c>
      <c r="C217" s="30" t="inlineStr">
        <is>
          <t>building materials</t>
        </is>
      </c>
      <c r="D217" s="30" t="inlineStr">
        <is>
          <t>paints / varnishes</t>
        </is>
      </c>
      <c r="E217" s="30" t="inlineStr">
        <is>
          <t>smallcap</t>
        </is>
      </c>
      <c r="F217" s="30" t="n">
        <v>704.1799999999999</v>
      </c>
      <c r="G217" s="30" t="n">
        <v>83.86</v>
      </c>
      <c r="H217" s="30" t="n">
        <v>-0.31</v>
      </c>
      <c r="I217" s="30" t="n">
        <v>110746</v>
      </c>
      <c r="J217" s="30" t="inlineStr">
        <is>
          <t>509874</t>
        </is>
      </c>
    </row>
    <row r="218">
      <c r="A218" s="30" t="inlineStr">
        <is>
          <t>RANEHOLDIN</t>
        </is>
      </c>
      <c r="B218" s="30" t="inlineStr">
        <is>
          <t>Rane Holdings Limited</t>
        </is>
      </c>
      <c r="C218" s="30" t="inlineStr">
        <is>
          <t>financials</t>
        </is>
      </c>
      <c r="D218" s="30" t="inlineStr">
        <is>
          <t>finance &amp; investments</t>
        </is>
      </c>
      <c r="E218" s="30" t="inlineStr">
        <is>
          <t>smallcap</t>
        </is>
      </c>
      <c r="F218" s="30" t="n">
        <v>2415.52</v>
      </c>
      <c r="G218" s="30" t="n">
        <v>1686.4</v>
      </c>
      <c r="H218" s="30" t="n">
        <v>-0.32</v>
      </c>
      <c r="I218" s="30" t="n">
        <v>15103</v>
      </c>
      <c r="J218" s="30" t="inlineStr">
        <is>
          <t>505800</t>
        </is>
      </c>
    </row>
    <row r="219">
      <c r="A219" s="30" t="inlineStr">
        <is>
          <t>WINDLAS</t>
        </is>
      </c>
      <c r="B219" s="30" t="inlineStr">
        <is>
          <t>Windlas Biotech Ltd</t>
        </is>
      </c>
      <c r="C219" s="30" t="inlineStr">
        <is>
          <t>healthcare</t>
        </is>
      </c>
      <c r="D219" s="30" t="inlineStr">
        <is>
          <t>pharmaceuticals - indian - formulations</t>
        </is>
      </c>
      <c r="E219" s="30" t="inlineStr">
        <is>
          <t>smallcap</t>
        </is>
      </c>
      <c r="F219" s="30" t="n">
        <v>2365.12</v>
      </c>
      <c r="G219" s="30" t="n">
        <v>1142.45</v>
      </c>
      <c r="H219" s="30" t="n">
        <v>-0.32</v>
      </c>
      <c r="I219" s="30" t="n">
        <v>145841</v>
      </c>
      <c r="J219" s="30" t="inlineStr">
        <is>
          <t>543329</t>
        </is>
      </c>
    </row>
    <row r="220">
      <c r="A220" s="30" t="inlineStr">
        <is>
          <t>LINCOLN</t>
        </is>
      </c>
      <c r="B220" s="30" t="inlineStr">
        <is>
          <t>Lincoln Pharmaceuticals Limited</t>
        </is>
      </c>
      <c r="C220" s="30" t="inlineStr">
        <is>
          <t>healthcare</t>
        </is>
      </c>
      <c r="D220" s="30" t="inlineStr">
        <is>
          <t>pharmaceuticals - indian - formulations</t>
        </is>
      </c>
      <c r="E220" s="30" t="inlineStr">
        <is>
          <t>smallcap</t>
        </is>
      </c>
      <c r="F220" s="30" t="n">
        <v>1281.5</v>
      </c>
      <c r="G220" s="30" t="n">
        <v>637.5</v>
      </c>
      <c r="H220" s="30" t="n">
        <v>-0.36</v>
      </c>
      <c r="I220" s="30" t="n">
        <v>31329</v>
      </c>
      <c r="J220" s="30" t="inlineStr">
        <is>
          <t>531633</t>
        </is>
      </c>
    </row>
    <row r="221">
      <c r="A221" s="30" t="inlineStr">
        <is>
          <t>LTFOODS</t>
        </is>
      </c>
      <c r="B221" s="30" t="inlineStr">
        <is>
          <t>L T Foods Ltd</t>
        </is>
      </c>
      <c r="C221" s="30" t="inlineStr">
        <is>
          <t>fmcg</t>
        </is>
      </c>
      <c r="D221" s="30" t="inlineStr">
        <is>
          <t>food - processing - indian</t>
        </is>
      </c>
      <c r="E221" s="30" t="inlineStr">
        <is>
          <t>midcap</t>
        </is>
      </c>
      <c r="F221" s="30" t="n">
        <v>15808.69</v>
      </c>
      <c r="G221" s="30" t="n">
        <v>453.55</v>
      </c>
      <c r="H221" s="30" t="n">
        <v>-0.37</v>
      </c>
      <c r="I221" s="30" t="n">
        <v>485637</v>
      </c>
      <c r="J221" s="30" t="inlineStr">
        <is>
          <t>532783</t>
        </is>
      </c>
    </row>
    <row r="222">
      <c r="A222" s="30" t="inlineStr">
        <is>
          <t>63MOONS</t>
        </is>
      </c>
      <c r="B222" s="30" t="inlineStr">
        <is>
          <t>63 Moons Technologies Ltd</t>
        </is>
      </c>
      <c r="C222" s="30" t="inlineStr">
        <is>
          <t>i.t</t>
        </is>
      </c>
      <c r="D222" s="30" t="inlineStr">
        <is>
          <t>computers - software - medium / small</t>
        </is>
      </c>
      <c r="E222" s="30" t="inlineStr">
        <is>
          <t>smallcap</t>
        </is>
      </c>
      <c r="F222" s="30" t="n">
        <v>4000.77</v>
      </c>
      <c r="G222" s="30" t="n">
        <v>865.05</v>
      </c>
      <c r="H222" s="30" t="n">
        <v>-0.37</v>
      </c>
      <c r="I222" s="30" t="n">
        <v>645891</v>
      </c>
      <c r="J222" s="30" t="inlineStr">
        <is>
          <t>526881</t>
        </is>
      </c>
    </row>
    <row r="223">
      <c r="A223" s="30" t="inlineStr">
        <is>
          <t>INDIQUBE</t>
        </is>
      </c>
      <c r="B223" s="30" t="inlineStr">
        <is>
          <t>Indiqube Spaces Ltd</t>
        </is>
      </c>
      <c r="C223" s="30" t="inlineStr">
        <is>
          <t>co-working</t>
        </is>
      </c>
      <c r="D223" s="30" t="inlineStr">
        <is>
          <t>miscellaneous</t>
        </is>
      </c>
      <c r="E223" s="30" t="inlineStr">
        <is>
          <t>smallcap</t>
        </is>
      </c>
      <c r="F223" s="30" t="n">
        <v>4347.86</v>
      </c>
      <c r="G223" s="30" t="n">
        <v>204.34</v>
      </c>
      <c r="H223" s="30" t="n">
        <v>-0.37</v>
      </c>
      <c r="I223" s="30" t="n">
        <v>37014</v>
      </c>
      <c r="J223" s="30" t="inlineStr">
        <is>
          <t>544454</t>
        </is>
      </c>
    </row>
    <row r="224">
      <c r="A224" s="30" t="inlineStr">
        <is>
          <t>BEML</t>
        </is>
      </c>
      <c r="B224" s="30" t="inlineStr">
        <is>
          <t>Beml Limited</t>
        </is>
      </c>
      <c r="C224" s="30" t="inlineStr">
        <is>
          <t>aerospace &amp; defence</t>
        </is>
      </c>
      <c r="D224" s="30" t="inlineStr">
        <is>
          <t>engineering</t>
        </is>
      </c>
      <c r="E224" s="30" t="inlineStr">
        <is>
          <t>midcap</t>
        </is>
      </c>
      <c r="F224" s="30" t="n">
        <v>17537.33</v>
      </c>
      <c r="G224" s="30" t="n">
        <v>2097.8</v>
      </c>
      <c r="H224" s="30" t="n">
        <v>-0.37</v>
      </c>
      <c r="I224" s="30" t="n">
        <v>465000</v>
      </c>
      <c r="J224" s="30" t="inlineStr">
        <is>
          <t>500048</t>
        </is>
      </c>
    </row>
    <row r="225">
      <c r="A225" s="30" t="inlineStr">
        <is>
          <t>ORIENTHOT</t>
        </is>
      </c>
      <c r="B225" s="30" t="inlineStr">
        <is>
          <t>Oriental Hotels Limited</t>
        </is>
      </c>
      <c r="C225" s="30" t="inlineStr">
        <is>
          <t>services</t>
        </is>
      </c>
      <c r="D225" s="30" t="inlineStr">
        <is>
          <t>hotels</t>
        </is>
      </c>
      <c r="E225" s="30" t="inlineStr">
        <is>
          <t>smallcap</t>
        </is>
      </c>
      <c r="F225" s="30" t="n">
        <v>2510.03</v>
      </c>
      <c r="G225" s="30" t="n">
        <v>139.98</v>
      </c>
      <c r="H225" s="30" t="n">
        <v>-0.4</v>
      </c>
      <c r="I225" s="30" t="n">
        <v>724013</v>
      </c>
      <c r="J225" s="30" t="inlineStr">
        <is>
          <t>500314</t>
        </is>
      </c>
    </row>
    <row r="226">
      <c r="A226" s="30" t="inlineStr">
        <is>
          <t>DOLPHIN</t>
        </is>
      </c>
      <c r="B226" s="30" t="inlineStr">
        <is>
          <t>Dolphin Offshore Enterprises (India) Ltd</t>
        </is>
      </c>
      <c r="C226" s="30" t="inlineStr">
        <is>
          <t>energy</t>
        </is>
      </c>
      <c r="D226" s="30" t="inlineStr">
        <is>
          <t>oil drilling / allied services</t>
        </is>
      </c>
      <c r="E226" s="30" t="inlineStr">
        <is>
          <t>smallcap</t>
        </is>
      </c>
      <c r="F226" s="30" t="n">
        <v>2751.32</v>
      </c>
      <c r="G226" s="30" t="n">
        <v>685</v>
      </c>
      <c r="H226" s="30" t="n">
        <v>-0.4</v>
      </c>
      <c r="I226" s="30" t="n">
        <v>70925</v>
      </c>
      <c r="J226" s="30" t="inlineStr">
        <is>
          <t>522261</t>
        </is>
      </c>
    </row>
    <row r="227">
      <c r="A227" s="30" t="inlineStr">
        <is>
          <t>LGBBROSLTD</t>
        </is>
      </c>
      <c r="B227" s="30" t="inlineStr">
        <is>
          <t>Lg Balakrishnan &amp; Bros Limited</t>
        </is>
      </c>
      <c r="C227" s="30" t="inlineStr">
        <is>
          <t>auto</t>
        </is>
      </c>
      <c r="D227" s="30" t="inlineStr">
        <is>
          <t>bearings</t>
        </is>
      </c>
      <c r="E227" s="30" t="inlineStr">
        <is>
          <t>midcap</t>
        </is>
      </c>
      <c r="F227" s="30" t="n">
        <v>5538.76</v>
      </c>
      <c r="G227" s="30" t="n">
        <v>1729.7</v>
      </c>
      <c r="H227" s="30" t="n">
        <v>-0.4</v>
      </c>
      <c r="I227" s="30" t="n">
        <v>22866</v>
      </c>
      <c r="J227" s="30" t="inlineStr">
        <is>
          <t>500250</t>
        </is>
      </c>
    </row>
    <row r="228">
      <c r="A228" s="30" t="inlineStr">
        <is>
          <t>LOTUSDEV</t>
        </is>
      </c>
      <c r="B228" s="30" t="inlineStr">
        <is>
          <t>Sri Lotus Developers &amp; Realty Ltd</t>
        </is>
      </c>
      <c r="C228" s="30" t="inlineStr">
        <is>
          <t>realty</t>
        </is>
      </c>
      <c r="D228" s="30" t="inlineStr">
        <is>
          <t>construction</t>
        </is>
      </c>
      <c r="E228" s="30" t="inlineStr">
        <is>
          <t>midcap</t>
        </is>
      </c>
      <c r="F228" s="30" t="n">
        <v>9716.32</v>
      </c>
      <c r="G228" s="30" t="n">
        <v>197.99</v>
      </c>
      <c r="H228" s="30" t="n">
        <v>-0.41</v>
      </c>
      <c r="I228" s="30" t="n">
        <v>818087</v>
      </c>
      <c r="J228" s="30" t="inlineStr">
        <is>
          <t>544469</t>
        </is>
      </c>
    </row>
    <row r="229">
      <c r="A229" s="30" t="inlineStr">
        <is>
          <t>QPOWER</t>
        </is>
      </c>
      <c r="B229" s="30" t="inlineStr">
        <is>
          <t>Quality Power Electrical Equipments Ltd</t>
        </is>
      </c>
      <c r="C229" s="30" t="inlineStr">
        <is>
          <t>industrials</t>
        </is>
      </c>
      <c r="D229" s="30" t="inlineStr">
        <is>
          <t>electric equipment</t>
        </is>
      </c>
      <c r="E229" s="30" t="inlineStr">
        <is>
          <t>midcap</t>
        </is>
      </c>
      <c r="F229" s="30" t="n">
        <v>11769.18</v>
      </c>
      <c r="G229" s="30" t="n">
        <v>1513.2</v>
      </c>
      <c r="H229" s="30" t="n">
        <v>-0.43</v>
      </c>
      <c r="I229" s="30" t="n">
        <v>176606</v>
      </c>
      <c r="J229" s="30" t="inlineStr">
        <is>
          <t>544367</t>
        </is>
      </c>
    </row>
    <row r="230">
      <c r="A230" s="30" t="inlineStr">
        <is>
          <t>SSWL</t>
        </is>
      </c>
      <c r="B230" s="30" t="inlineStr">
        <is>
          <t>Steel Strips Wheels Limited</t>
        </is>
      </c>
      <c r="C230" s="30" t="inlineStr">
        <is>
          <t>auto</t>
        </is>
      </c>
      <c r="D230" s="30" t="inlineStr">
        <is>
          <t>auto ancillaries</t>
        </is>
      </c>
      <c r="E230" s="30" t="inlineStr">
        <is>
          <t>midcap</t>
        </is>
      </c>
      <c r="F230" s="30" t="n">
        <v>5864.4</v>
      </c>
      <c r="G230" s="30" t="n">
        <v>371.45</v>
      </c>
      <c r="H230" s="30" t="n">
        <v>-0.44</v>
      </c>
      <c r="I230" s="30" t="n">
        <v>676147</v>
      </c>
      <c r="J230" s="30" t="inlineStr">
        <is>
          <t>513262</t>
        </is>
      </c>
    </row>
    <row r="231">
      <c r="A231" s="30" t="inlineStr">
        <is>
          <t>UNIPARTS</t>
        </is>
      </c>
      <c r="B231" s="30" t="inlineStr">
        <is>
          <t>Uniparts India Ltd</t>
        </is>
      </c>
      <c r="C231" s="30" t="inlineStr">
        <is>
          <t>industrials</t>
        </is>
      </c>
      <c r="D231" s="30" t="inlineStr">
        <is>
          <t>engineering</t>
        </is>
      </c>
      <c r="E231" s="30" t="inlineStr">
        <is>
          <t>smallcap</t>
        </is>
      </c>
      <c r="F231" s="30" t="n">
        <v>4053.85</v>
      </c>
      <c r="G231" s="30" t="n">
        <v>894.05</v>
      </c>
      <c r="H231" s="30" t="n">
        <v>-0.44</v>
      </c>
      <c r="I231" s="30" t="n">
        <v>142933</v>
      </c>
      <c r="J231" s="30" t="inlineStr">
        <is>
          <t>543689</t>
        </is>
      </c>
    </row>
    <row r="232">
      <c r="A232" s="30" t="inlineStr">
        <is>
          <t>SOLARINDS</t>
        </is>
      </c>
      <c r="B232" s="30" t="inlineStr">
        <is>
          <t>Solar Industries India Limited</t>
        </is>
      </c>
      <c r="C232" s="30" t="inlineStr">
        <is>
          <t>aerospace &amp; defence</t>
        </is>
      </c>
      <c r="D232" s="30" t="inlineStr">
        <is>
          <t>chemicals</t>
        </is>
      </c>
      <c r="E232" s="30" t="inlineStr">
        <is>
          <t>largecap</t>
        </is>
      </c>
      <c r="F232" s="30" t="n">
        <v>203195.42</v>
      </c>
      <c r="G232" s="30" t="n">
        <v>22355</v>
      </c>
      <c r="H232" s="30" t="n">
        <v>-0.45</v>
      </c>
      <c r="I232" s="30" t="n">
        <v>94443</v>
      </c>
      <c r="J232" s="30" t="inlineStr">
        <is>
          <t>532725</t>
        </is>
      </c>
    </row>
    <row r="233">
      <c r="A233" s="30" t="inlineStr">
        <is>
          <t>BLSE</t>
        </is>
      </c>
      <c r="B233" s="30" t="inlineStr">
        <is>
          <t>BLS E-Services Ltd</t>
        </is>
      </c>
      <c r="C233" s="30" t="inlineStr">
        <is>
          <t>i.t</t>
        </is>
      </c>
      <c r="D233" s="30" t="inlineStr">
        <is>
          <t>computers - software - medium / small</t>
        </is>
      </c>
      <c r="E233" s="30" t="inlineStr">
        <is>
          <t>smallcap</t>
        </is>
      </c>
      <c r="F233" s="30" t="n">
        <v>2926.03</v>
      </c>
      <c r="G233" s="30" t="n">
        <v>320.6</v>
      </c>
      <c r="H233" s="30" t="n">
        <v>-0.45</v>
      </c>
      <c r="I233" s="30" t="n">
        <v>178708</v>
      </c>
      <c r="J233" s="30" t="inlineStr">
        <is>
          <t>544107</t>
        </is>
      </c>
    </row>
    <row r="234">
      <c r="A234" s="30" t="inlineStr">
        <is>
          <t>SUPRIYA</t>
        </is>
      </c>
      <c r="B234" s="30" t="inlineStr">
        <is>
          <t>Supriya Lifescience Ltd</t>
        </is>
      </c>
      <c r="C234" s="30" t="inlineStr">
        <is>
          <t>healthcare</t>
        </is>
      </c>
      <c r="D234" s="30" t="inlineStr">
        <is>
          <t>pharmaceuticals - indian - bulk drugs &amp; formln</t>
        </is>
      </c>
      <c r="E234" s="30" t="inlineStr">
        <is>
          <t>midcap</t>
        </is>
      </c>
      <c r="F234" s="30" t="n">
        <v>7369.41</v>
      </c>
      <c r="G234" s="30" t="n">
        <v>911.4</v>
      </c>
      <c r="H234" s="30" t="n">
        <v>-0.46</v>
      </c>
      <c r="I234" s="30" t="n">
        <v>196499</v>
      </c>
      <c r="J234" s="30" t="inlineStr">
        <is>
          <t>543434</t>
        </is>
      </c>
    </row>
    <row r="235">
      <c r="A235" s="30" t="inlineStr">
        <is>
          <t>INDGN</t>
        </is>
      </c>
      <c r="B235" s="30" t="inlineStr">
        <is>
          <t>Indegene Ltd</t>
        </is>
      </c>
      <c r="C235" s="30" t="inlineStr">
        <is>
          <t>healthcare</t>
        </is>
      </c>
      <c r="D235" s="30" t="inlineStr">
        <is>
          <t>miscellaneous</t>
        </is>
      </c>
      <c r="E235" s="30" t="inlineStr">
        <is>
          <t>midcap</t>
        </is>
      </c>
      <c r="F235" s="30" t="n">
        <v>14197.03</v>
      </c>
      <c r="G235" s="30" t="n">
        <v>586.35</v>
      </c>
      <c r="H235" s="30" t="n">
        <v>-0.48</v>
      </c>
      <c r="I235" s="30" t="n">
        <v>239296</v>
      </c>
      <c r="J235" s="30" t="inlineStr">
        <is>
          <t>544172</t>
        </is>
      </c>
    </row>
    <row r="236">
      <c r="A236" s="30" t="inlineStr">
        <is>
          <t>SAKAR</t>
        </is>
      </c>
      <c r="B236" s="30" t="inlineStr">
        <is>
          <t>Sakar Healthcare Ltd</t>
        </is>
      </c>
      <c r="C236" s="30" t="inlineStr">
        <is>
          <t>healthcare</t>
        </is>
      </c>
      <c r="D236" s="30" t="inlineStr">
        <is>
          <t>pharmaceuticals - indian - bulk drugs &amp; formln</t>
        </is>
      </c>
      <c r="E236" s="30" t="inlineStr">
        <is>
          <t>smallcap</t>
        </is>
      </c>
      <c r="F236" s="30" t="n">
        <v>2576.21</v>
      </c>
      <c r="G236" s="30" t="n">
        <v>1152.35</v>
      </c>
      <c r="H236" s="30" t="n">
        <v>-0.48</v>
      </c>
      <c r="I236" s="30" t="n">
        <v>141701</v>
      </c>
      <c r="J236" s="30" t="inlineStr">
        <is>
          <t>538377</t>
        </is>
      </c>
    </row>
    <row r="237">
      <c r="A237" s="30" t="inlineStr">
        <is>
          <t>TMB</t>
        </is>
      </c>
      <c r="B237" s="30" t="inlineStr">
        <is>
          <t>Tamilnad Mercantile Bank Ltd</t>
        </is>
      </c>
      <c r="C237" s="30" t="inlineStr">
        <is>
          <t>bank</t>
        </is>
      </c>
      <c r="D237" s="30" t="inlineStr">
        <is>
          <t>banks - private sector</t>
        </is>
      </c>
      <c r="E237" s="30" t="inlineStr">
        <is>
          <t>midcap</t>
        </is>
      </c>
      <c r="F237" s="30" t="n">
        <v>14676.01</v>
      </c>
      <c r="G237" s="30" t="n">
        <v>922.25</v>
      </c>
      <c r="H237" s="30" t="n">
        <v>-0.49</v>
      </c>
      <c r="I237" s="30" t="n">
        <v>68604</v>
      </c>
      <c r="J237" s="30" t="inlineStr">
        <is>
          <t>543596</t>
        </is>
      </c>
    </row>
    <row r="238">
      <c r="A238" s="30" t="inlineStr">
        <is>
          <t>LAURUSLABS</t>
        </is>
      </c>
      <c r="B238" s="30" t="inlineStr">
        <is>
          <t>Laurus Labs Limited</t>
        </is>
      </c>
      <c r="C238" s="30" t="inlineStr">
        <is>
          <t>healthcare</t>
        </is>
      </c>
      <c r="D238" s="30" t="inlineStr">
        <is>
          <t>pharmaceuticals - indian - bulk drugs &amp; formln</t>
        </is>
      </c>
      <c r="E238" s="30" t="inlineStr">
        <is>
          <t>largecap</t>
        </is>
      </c>
      <c r="F238" s="30" t="n">
        <v>105181.19</v>
      </c>
      <c r="G238" s="30" t="n">
        <v>1937</v>
      </c>
      <c r="H238" s="30" t="n">
        <v>-0.51</v>
      </c>
      <c r="I238" s="30" t="n">
        <v>1822218</v>
      </c>
      <c r="J238" s="30" t="inlineStr">
        <is>
          <t>540222</t>
        </is>
      </c>
    </row>
    <row r="239">
      <c r="A239" s="30" t="inlineStr">
        <is>
          <t>TITAGARH</t>
        </is>
      </c>
      <c r="B239" s="30" t="inlineStr">
        <is>
          <t>Titagarh Rail Systems Ltd</t>
        </is>
      </c>
      <c r="C239" s="30" t="inlineStr">
        <is>
          <t>industrials</t>
        </is>
      </c>
      <c r="D239" s="30" t="inlineStr">
        <is>
          <t>engineering</t>
        </is>
      </c>
      <c r="E239" s="30" t="inlineStr">
        <is>
          <t>midcap</t>
        </is>
      </c>
      <c r="F239" s="30" t="n">
        <v>11862.07</v>
      </c>
      <c r="G239" s="30" t="n">
        <v>876.35</v>
      </c>
      <c r="H239" s="30" t="n">
        <v>-0.51</v>
      </c>
      <c r="I239" s="30" t="n">
        <v>869717</v>
      </c>
      <c r="J239" s="30" t="inlineStr">
        <is>
          <t>532966</t>
        </is>
      </c>
    </row>
    <row r="240">
      <c r="A240" s="30" t="inlineStr">
        <is>
          <t>IRISDOREME</t>
        </is>
      </c>
      <c r="B240" s="30" t="inlineStr">
        <is>
          <t>Iris Clothings Ltd</t>
        </is>
      </c>
      <c r="C240" s="30" t="inlineStr">
        <is>
          <t>consumer discretionary</t>
        </is>
      </c>
      <c r="D240" s="30" t="inlineStr">
        <is>
          <t>textiles - products</t>
        </is>
      </c>
      <c r="E240" s="30" t="inlineStr">
        <is>
          <t>smallcap</t>
        </is>
      </c>
      <c r="F240" s="30" t="n">
        <v>1172.82</v>
      </c>
      <c r="G240" s="30" t="n">
        <v>61.3</v>
      </c>
      <c r="H240" s="30" t="n">
        <v>-0.52</v>
      </c>
      <c r="I240" s="30" t="n">
        <v>528736</v>
      </c>
      <c r="J240" s="30" t="inlineStr">
        <is>
          <t>535123</t>
        </is>
      </c>
    </row>
    <row r="241">
      <c r="A241" s="30" t="inlineStr">
        <is>
          <t>MOREPENLAB</t>
        </is>
      </c>
      <c r="B241" s="30" t="inlineStr">
        <is>
          <t>Morepen Laboratories Limited</t>
        </is>
      </c>
      <c r="C241" s="30" t="inlineStr">
        <is>
          <t>healthcare</t>
        </is>
      </c>
      <c r="D241" s="30" t="inlineStr">
        <is>
          <t>pharmaceuticals - indian - bulk drugs &amp; formln</t>
        </is>
      </c>
      <c r="E241" s="30" t="inlineStr">
        <is>
          <t>midcap</t>
        </is>
      </c>
      <c r="F241" s="30" t="n">
        <v>6419.83</v>
      </c>
      <c r="G241" s="30" t="n">
        <v>116.54</v>
      </c>
      <c r="H241" s="30" t="n">
        <v>-0.53</v>
      </c>
      <c r="I241" s="30" t="n">
        <v>12527070</v>
      </c>
      <c r="J241" s="30" t="inlineStr">
        <is>
          <t>500288</t>
        </is>
      </c>
    </row>
    <row r="242">
      <c r="A242" s="30" t="inlineStr">
        <is>
          <t>GLOBAL</t>
        </is>
      </c>
      <c r="B242" s="30" t="inlineStr">
        <is>
          <t>Global Education Ltd</t>
        </is>
      </c>
      <c r="C242" s="30" t="inlineStr">
        <is>
          <t>services</t>
        </is>
      </c>
      <c r="D242" s="30" t="inlineStr">
        <is>
          <t>miscellaneous</t>
        </is>
      </c>
      <c r="E242" s="30" t="inlineStr">
        <is>
          <t>smallcap</t>
        </is>
      </c>
      <c r="F242" s="30" t="n">
        <v>644.51</v>
      </c>
      <c r="G242" s="30" t="n">
        <v>125.94</v>
      </c>
      <c r="H242" s="30" t="n">
        <v>-0.54</v>
      </c>
      <c r="I242" s="30" t="n">
        <v>118903</v>
      </c>
      <c r="J242" s="30" t="inlineStr">
        <is>
          <t>538406</t>
        </is>
      </c>
    </row>
    <row r="243">
      <c r="A243" s="30" t="inlineStr">
        <is>
          <t>SALSTEEL</t>
        </is>
      </c>
      <c r="B243" s="30" t="inlineStr">
        <is>
          <t>SAL Steel</t>
        </is>
      </c>
      <c r="C243" s="30" t="inlineStr">
        <is>
          <t>metals &amp; mining</t>
        </is>
      </c>
      <c r="D243" s="30" t="inlineStr">
        <is>
          <t>steel - sponge iron</t>
        </is>
      </c>
      <c r="E243" s="30" t="inlineStr">
        <is>
          <t>smallcap</t>
        </is>
      </c>
      <c r="F243" s="30" t="n">
        <v>1152.78</v>
      </c>
      <c r="G243" s="30" t="n">
        <v>79.19</v>
      </c>
      <c r="H243" s="30" t="n">
        <v>-0.55</v>
      </c>
      <c r="I243" s="30" t="n">
        <v>697277</v>
      </c>
      <c r="J243" s="30" t="inlineStr">
        <is>
          <t>532604</t>
        </is>
      </c>
    </row>
    <row r="244">
      <c r="A244" s="30" t="inlineStr">
        <is>
          <t>GARFIBRES</t>
        </is>
      </c>
      <c r="B244" s="30" t="inlineStr">
        <is>
          <t>Garware Technical Fibres Ltd</t>
        </is>
      </c>
      <c r="C244" s="30" t="inlineStr">
        <is>
          <t>textiles</t>
        </is>
      </c>
      <c r="D244" s="30" t="inlineStr">
        <is>
          <t>textiles - products</t>
        </is>
      </c>
      <c r="E244" s="30" t="inlineStr">
        <is>
          <t>midcap</t>
        </is>
      </c>
      <c r="F244" s="30" t="n">
        <v>7998.86</v>
      </c>
      <c r="G244" s="30" t="n">
        <v>814.6</v>
      </c>
      <c r="H244" s="30" t="n">
        <v>-0.5600000000000001</v>
      </c>
      <c r="I244" s="30" t="n">
        <v>35097</v>
      </c>
      <c r="J244" s="30" t="inlineStr">
        <is>
          <t>509557</t>
        </is>
      </c>
    </row>
    <row r="245">
      <c r="A245" s="30" t="inlineStr">
        <is>
          <t>SEAMECLTD</t>
        </is>
      </c>
      <c r="B245" s="30" t="inlineStr">
        <is>
          <t>Seamec Limited</t>
        </is>
      </c>
      <c r="C245" s="30" t="inlineStr">
        <is>
          <t>miscellaneous</t>
        </is>
      </c>
      <c r="D245" s="30" t="inlineStr">
        <is>
          <t>miscellaneous</t>
        </is>
      </c>
      <c r="E245" s="30" t="inlineStr">
        <is>
          <t>smallcap</t>
        </is>
      </c>
      <c r="F245" s="30" t="n">
        <v>4532.26</v>
      </c>
      <c r="G245" s="30" t="n">
        <v>1772.6</v>
      </c>
      <c r="H245" s="30" t="n">
        <v>-0.5600000000000001</v>
      </c>
      <c r="I245" s="30" t="n">
        <v>97645</v>
      </c>
      <c r="J245" s="30" t="inlineStr">
        <is>
          <t>526807</t>
        </is>
      </c>
    </row>
    <row r="246">
      <c r="A246" s="30" t="inlineStr">
        <is>
          <t>CUB</t>
        </is>
      </c>
      <c r="B246" s="30" t="inlineStr">
        <is>
          <t>City Union Bank Limited</t>
        </is>
      </c>
      <c r="C246" s="30" t="inlineStr">
        <is>
          <t>bank</t>
        </is>
      </c>
      <c r="D246" s="30" t="inlineStr">
        <is>
          <t>banks - private sector</t>
        </is>
      </c>
      <c r="E246" s="30" t="inlineStr">
        <is>
          <t>largecap</t>
        </is>
      </c>
      <c r="F246" s="30" t="n">
        <v>23082.37</v>
      </c>
      <c r="G246" s="30" t="n">
        <v>231.67</v>
      </c>
      <c r="H246" s="30" t="n">
        <v>-0.5600000000000001</v>
      </c>
      <c r="I246" s="30" t="n">
        <v>1015686</v>
      </c>
      <c r="J246" s="30" t="inlineStr">
        <is>
          <t>532210</t>
        </is>
      </c>
    </row>
    <row r="247">
      <c r="A247" s="30" t="inlineStr">
        <is>
          <t>20MICRONS</t>
        </is>
      </c>
      <c r="B247" s="30" t="inlineStr">
        <is>
          <t>20 Microns Limited</t>
        </is>
      </c>
      <c r="C247" s="30" t="inlineStr">
        <is>
          <t>metals &amp; mining</t>
        </is>
      </c>
      <c r="D247" s="30" t="inlineStr">
        <is>
          <t>mining / minerals / metals</t>
        </is>
      </c>
      <c r="E247" s="30" t="inlineStr">
        <is>
          <t>smallcap</t>
        </is>
      </c>
      <c r="F247" s="30" t="n">
        <v>773.76</v>
      </c>
      <c r="G247" s="30" t="n">
        <v>218.06</v>
      </c>
      <c r="H247" s="30" t="n">
        <v>-0.5600000000000001</v>
      </c>
      <c r="I247" s="30" t="n">
        <v>78133</v>
      </c>
      <c r="J247" s="30" t="inlineStr">
        <is>
          <t>533022</t>
        </is>
      </c>
    </row>
    <row r="248">
      <c r="A248" s="30" t="inlineStr">
        <is>
          <t>TTKHLTCARE</t>
        </is>
      </c>
      <c r="B248" s="30" t="inlineStr">
        <is>
          <t>Ttk Healthcare Limited</t>
        </is>
      </c>
      <c r="C248" s="30" t="inlineStr">
        <is>
          <t>miscellaneous</t>
        </is>
      </c>
      <c r="D248" s="30" t="inlineStr">
        <is>
          <t>diversified - medium / small</t>
        </is>
      </c>
      <c r="E248" s="30" t="inlineStr">
        <is>
          <t>smallcap</t>
        </is>
      </c>
      <c r="F248" s="30" t="n">
        <v>1682.92</v>
      </c>
      <c r="G248" s="30" t="n">
        <v>1184</v>
      </c>
      <c r="H248" s="30" t="n">
        <v>-0.59</v>
      </c>
      <c r="I248" s="30" t="n">
        <v>244268</v>
      </c>
      <c r="J248" s="30" t="inlineStr">
        <is>
          <t>507747</t>
        </is>
      </c>
    </row>
    <row r="249">
      <c r="A249" s="30" t="inlineStr">
        <is>
          <t>NITINSPIN</t>
        </is>
      </c>
      <c r="B249" s="30" t="inlineStr">
        <is>
          <t>Nitin Spinners Limited</t>
        </is>
      </c>
      <c r="C249" s="30" t="inlineStr">
        <is>
          <t>textiles</t>
        </is>
      </c>
      <c r="D249" s="30" t="inlineStr">
        <is>
          <t>textiles - cotton/blended</t>
        </is>
      </c>
      <c r="E249" s="30" t="inlineStr">
        <is>
          <t>smallcap</t>
        </is>
      </c>
      <c r="F249" s="30" t="n">
        <v>3682.97</v>
      </c>
      <c r="G249" s="30" t="n">
        <v>651.25</v>
      </c>
      <c r="H249" s="30" t="n">
        <v>-0.59</v>
      </c>
      <c r="I249" s="30" t="n">
        <v>109474</v>
      </c>
      <c r="J249" s="30" t="inlineStr">
        <is>
          <t>532698</t>
        </is>
      </c>
    </row>
    <row r="250">
      <c r="A250" s="30" t="inlineStr">
        <is>
          <t>RBLBANK</t>
        </is>
      </c>
      <c r="B250" s="30" t="inlineStr">
        <is>
          <t>Rbl Bank Limited</t>
        </is>
      </c>
      <c r="C250" s="30" t="inlineStr">
        <is>
          <t>bank</t>
        </is>
      </c>
      <c r="D250" s="30" t="inlineStr">
        <is>
          <t>banks - private sector</t>
        </is>
      </c>
      <c r="E250" s="30" t="inlineStr">
        <is>
          <t>largecap</t>
        </is>
      </c>
      <c r="F250" s="30" t="n">
        <v>64807.15</v>
      </c>
      <c r="G250" s="30" t="n">
        <v>416</v>
      </c>
      <c r="H250" s="30" t="n">
        <v>-0.6</v>
      </c>
      <c r="I250" s="30" t="n">
        <v>3908840</v>
      </c>
      <c r="J250" s="30" t="inlineStr">
        <is>
          <t>540065</t>
        </is>
      </c>
    </row>
    <row r="251">
      <c r="A251" s="30" t="inlineStr">
        <is>
          <t>AZAD</t>
        </is>
      </c>
      <c r="B251" s="30" t="inlineStr">
        <is>
          <t>Azad Engineering Ltd</t>
        </is>
      </c>
      <c r="C251" s="30" t="inlineStr">
        <is>
          <t>aerospace &amp; defence</t>
        </is>
      </c>
      <c r="D251" s="30" t="inlineStr">
        <is>
          <t>engineering</t>
        </is>
      </c>
      <c r="E251" s="30" t="inlineStr">
        <is>
          <t>midcap</t>
        </is>
      </c>
      <c r="F251" s="30" t="n">
        <v>18225.61</v>
      </c>
      <c r="G251" s="30" t="n">
        <v>2805</v>
      </c>
      <c r="H251" s="30" t="n">
        <v>-0.61</v>
      </c>
      <c r="I251" s="30" t="n">
        <v>261391</v>
      </c>
      <c r="J251" s="30" t="inlineStr">
        <is>
          <t>544061</t>
        </is>
      </c>
    </row>
    <row r="252">
      <c r="A252" s="30" t="inlineStr">
        <is>
          <t>HAL</t>
        </is>
      </c>
      <c r="B252" s="30" t="inlineStr">
        <is>
          <t>Hindustan Aeronautics Ltd</t>
        </is>
      </c>
      <c r="C252" s="30" t="inlineStr">
        <is>
          <t>aerospace &amp; defence</t>
        </is>
      </c>
      <c r="D252" s="30" t="inlineStr">
        <is>
          <t>engineering</t>
        </is>
      </c>
      <c r="E252" s="30" t="inlineStr">
        <is>
          <t>largecap</t>
        </is>
      </c>
      <c r="F252" s="30" t="n">
        <v>336467.39</v>
      </c>
      <c r="G252" s="30" t="n">
        <v>5000.5</v>
      </c>
      <c r="H252" s="30" t="n">
        <v>-0.61</v>
      </c>
      <c r="I252" s="30" t="n">
        <v>1669937</v>
      </c>
      <c r="J252" s="30" t="inlineStr">
        <is>
          <t>541154</t>
        </is>
      </c>
    </row>
    <row r="253">
      <c r="A253" s="30" t="inlineStr">
        <is>
          <t>JINDRILL</t>
        </is>
      </c>
      <c r="B253" s="30" t="inlineStr">
        <is>
          <t>Jindal Drilling And Industries Limited</t>
        </is>
      </c>
      <c r="C253" s="30" t="inlineStr">
        <is>
          <t>energy</t>
        </is>
      </c>
      <c r="D253" s="30" t="inlineStr">
        <is>
          <t>oil drilling / allied services</t>
        </is>
      </c>
      <c r="E253" s="30" t="inlineStr">
        <is>
          <t>smallcap</t>
        </is>
      </c>
      <c r="F253" s="30" t="n">
        <v>1964.92</v>
      </c>
      <c r="G253" s="30" t="n">
        <v>673.75</v>
      </c>
      <c r="H253" s="30" t="n">
        <v>-0.63</v>
      </c>
      <c r="I253" s="30" t="n">
        <v>656825</v>
      </c>
      <c r="J253" s="30" t="inlineStr">
        <is>
          <t>511034</t>
        </is>
      </c>
    </row>
    <row r="254">
      <c r="A254" s="30" t="inlineStr">
        <is>
          <t>DCBBANK</t>
        </is>
      </c>
      <c r="B254" s="30" t="inlineStr">
        <is>
          <t>Dcb Bank Limited</t>
        </is>
      </c>
      <c r="C254" s="30" t="inlineStr">
        <is>
          <t>bank</t>
        </is>
      </c>
      <c r="D254" s="30" t="inlineStr">
        <is>
          <t>banks - private sector</t>
        </is>
      </c>
      <c r="E254" s="30" t="inlineStr">
        <is>
          <t>midcap</t>
        </is>
      </c>
      <c r="F254" s="30" t="n">
        <v>7393.29</v>
      </c>
      <c r="G254" s="30" t="n">
        <v>228.1</v>
      </c>
      <c r="H254" s="30" t="n">
        <v>-0.63</v>
      </c>
      <c r="I254" s="30" t="n">
        <v>2269401</v>
      </c>
      <c r="J254" s="30" t="inlineStr">
        <is>
          <t>532772</t>
        </is>
      </c>
    </row>
    <row r="255">
      <c r="A255" s="30" t="inlineStr">
        <is>
          <t>MAHSEAMLES</t>
        </is>
      </c>
      <c r="B255" s="30" t="inlineStr">
        <is>
          <t>Maharashtra Seamless Limited</t>
        </is>
      </c>
      <c r="C255" s="30" t="inlineStr">
        <is>
          <t>metals &amp; mining</t>
        </is>
      </c>
      <c r="D255" s="30" t="inlineStr">
        <is>
          <t>steel - medium / small</t>
        </is>
      </c>
      <c r="E255" s="30" t="inlineStr">
        <is>
          <t>midcap</t>
        </is>
      </c>
      <c r="F255" s="30" t="n">
        <v>9120.66</v>
      </c>
      <c r="G255" s="30" t="n">
        <v>676.2</v>
      </c>
      <c r="H255" s="30" t="n">
        <v>-0.65</v>
      </c>
      <c r="I255" s="30" t="n">
        <v>167344</v>
      </c>
      <c r="J255" s="30" t="inlineStr">
        <is>
          <t>500265</t>
        </is>
      </c>
    </row>
    <row r="256">
      <c r="A256" s="30" t="inlineStr">
        <is>
          <t>EXICOM</t>
        </is>
      </c>
      <c r="B256" s="30" t="inlineStr">
        <is>
          <t>Exicom Tele-Systems Ltd</t>
        </is>
      </c>
      <c r="C256" s="30" t="inlineStr">
        <is>
          <t>industrials</t>
        </is>
      </c>
      <c r="D256" s="30" t="inlineStr">
        <is>
          <t>electric equipment</t>
        </is>
      </c>
      <c r="E256" s="30" t="inlineStr">
        <is>
          <t>smallcap</t>
        </is>
      </c>
      <c r="F256" s="30" t="n">
        <v>2526.38</v>
      </c>
      <c r="G256" s="30" t="n">
        <v>180.42</v>
      </c>
      <c r="H256" s="30" t="n">
        <v>-0.68</v>
      </c>
      <c r="I256" s="30" t="n">
        <v>3180545</v>
      </c>
      <c r="J256" s="30" t="inlineStr">
        <is>
          <t>544133</t>
        </is>
      </c>
    </row>
    <row r="257">
      <c r="A257" s="30" t="inlineStr">
        <is>
          <t>ZYDUSWELL</t>
        </is>
      </c>
      <c r="B257" s="30" t="inlineStr">
        <is>
          <t>Zydus Wellness Limited</t>
        </is>
      </c>
      <c r="C257" s="30" t="inlineStr">
        <is>
          <t>fmcg</t>
        </is>
      </c>
      <c r="D257" s="30" t="inlineStr">
        <is>
          <t>food - processing - indian</t>
        </is>
      </c>
      <c r="E257" s="30" t="inlineStr">
        <is>
          <t>midcap</t>
        </is>
      </c>
      <c r="F257" s="30" t="n">
        <v>17758.14</v>
      </c>
      <c r="G257" s="30" t="n">
        <v>554.2</v>
      </c>
      <c r="H257" s="30" t="n">
        <v>-0.71</v>
      </c>
      <c r="I257" s="30" t="n">
        <v>195180</v>
      </c>
      <c r="J257" s="30" t="inlineStr">
        <is>
          <t>531335</t>
        </is>
      </c>
    </row>
    <row r="258">
      <c r="A258" s="30" t="inlineStr">
        <is>
          <t>KMEW</t>
        </is>
      </c>
      <c r="B258" s="30" t="inlineStr">
        <is>
          <t>Knowledge Marine &amp; Engineering Works Ltd</t>
        </is>
      </c>
      <c r="C258" s="30" t="inlineStr">
        <is>
          <t>transportation</t>
        </is>
      </c>
      <c r="D258" s="30" t="inlineStr">
        <is>
          <t>miscellaneous</t>
        </is>
      </c>
      <c r="E258" s="30" t="inlineStr">
        <is>
          <t>midcap</t>
        </is>
      </c>
      <c r="F258" s="30" t="n">
        <v>7298.03</v>
      </c>
      <c r="G258" s="30" t="n">
        <v>2964</v>
      </c>
      <c r="H258" s="30" t="n">
        <v>-0.72</v>
      </c>
      <c r="I258" s="30" t="n">
        <v>67251</v>
      </c>
      <c r="J258" s="30" t="inlineStr">
        <is>
          <t>543273</t>
        </is>
      </c>
    </row>
    <row r="259">
      <c r="A259" s="30" t="inlineStr">
        <is>
          <t>RAMRAT</t>
        </is>
      </c>
      <c r="B259" s="30" t="inlineStr">
        <is>
          <t>Ram Ratna Wires Ltd</t>
        </is>
      </c>
      <c r="C259" s="30" t="inlineStr">
        <is>
          <t>metals &amp; mining</t>
        </is>
      </c>
      <c r="D259" s="30" t="inlineStr">
        <is>
          <t>mining / minerals / metals</t>
        </is>
      </c>
      <c r="E259" s="30" t="inlineStr">
        <is>
          <t>smallcap</t>
        </is>
      </c>
      <c r="F259" s="30" t="n">
        <v>4959.17</v>
      </c>
      <c r="G259" s="30" t="n">
        <v>527.35</v>
      </c>
      <c r="H259" s="30" t="n">
        <v>-0.73</v>
      </c>
      <c r="I259" s="30" t="n">
        <v>184999</v>
      </c>
      <c r="J259" s="30" t="inlineStr">
        <is>
          <t>522281</t>
        </is>
      </c>
    </row>
    <row r="260">
      <c r="A260" s="30" t="inlineStr">
        <is>
          <t>NRL</t>
        </is>
      </c>
      <c r="B260" s="30" t="inlineStr">
        <is>
          <t>Nupur Recyclers Ltd</t>
        </is>
      </c>
      <c r="C260" s="30" t="inlineStr">
        <is>
          <t>services</t>
        </is>
      </c>
      <c r="D260" s="30" t="inlineStr">
        <is>
          <t>trading</t>
        </is>
      </c>
      <c r="E260" s="30" t="inlineStr">
        <is>
          <t>smallcap</t>
        </is>
      </c>
      <c r="F260" s="30" t="n">
        <v>901.0700000000001</v>
      </c>
      <c r="G260" s="30" t="n">
        <v>129.5</v>
      </c>
      <c r="H260" s="30" t="n">
        <v>-0.74</v>
      </c>
      <c r="I260" s="30" t="n">
        <v>45722</v>
      </c>
      <c r="J260" s="30" t="inlineStr">
        <is>
          <t>535413</t>
        </is>
      </c>
    </row>
    <row r="261">
      <c r="A261" s="30" t="inlineStr">
        <is>
          <t>SHYAMMETL</t>
        </is>
      </c>
      <c r="B261" s="30" t="inlineStr">
        <is>
          <t>Shyam Metalics &amp; Energy Ltd</t>
        </is>
      </c>
      <c r="C261" s="30" t="inlineStr">
        <is>
          <t>metals &amp; mining</t>
        </is>
      </c>
      <c r="D261" s="30" t="inlineStr">
        <is>
          <t>steel - large</t>
        </is>
      </c>
      <c r="E261" s="30" t="inlineStr">
        <is>
          <t>largecap</t>
        </is>
      </c>
      <c r="F261" s="30" t="n">
        <v>30199.28</v>
      </c>
      <c r="G261" s="30" t="n">
        <v>1073.7</v>
      </c>
      <c r="H261" s="30" t="n">
        <v>-0.76</v>
      </c>
      <c r="I261" s="30" t="n">
        <v>153996</v>
      </c>
      <c r="J261" s="30" t="inlineStr">
        <is>
          <t>543299</t>
        </is>
      </c>
    </row>
    <row r="262">
      <c r="A262" s="30" t="inlineStr">
        <is>
          <t>BOSCH-HCIL</t>
        </is>
      </c>
      <c r="B262" s="30" t="inlineStr">
        <is>
          <t>Bosch Home Comfort India Ltd</t>
        </is>
      </c>
      <c r="C262" s="30" t="inlineStr">
        <is>
          <t>consumer discretionary</t>
        </is>
      </c>
      <c r="D262" s="30" t="inlineStr">
        <is>
          <t>air-conditioners</t>
        </is>
      </c>
      <c r="E262" s="30" t="inlineStr">
        <is>
          <t>smallcap</t>
        </is>
      </c>
      <c r="F262" s="30" t="n">
        <v>4878.04</v>
      </c>
      <c r="G262" s="30" t="n">
        <v>1780.3</v>
      </c>
      <c r="H262" s="30" t="n">
        <v>-0.76</v>
      </c>
      <c r="I262" s="30" t="n">
        <v>31513</v>
      </c>
      <c r="J262" s="30" t="inlineStr">
        <is>
          <t>523398</t>
        </is>
      </c>
    </row>
    <row r="263">
      <c r="A263" s="30" t="inlineStr">
        <is>
          <t>APLAPOLLO</t>
        </is>
      </c>
      <c r="B263" s="30" t="inlineStr">
        <is>
          <t>Apl Apollo Tubes Limited</t>
        </is>
      </c>
      <c r="C263" s="30" t="inlineStr">
        <is>
          <t>industrials</t>
        </is>
      </c>
      <c r="D263" s="30" t="inlineStr">
        <is>
          <t>steel - large</t>
        </is>
      </c>
      <c r="E263" s="30" t="inlineStr">
        <is>
          <t>largecap</t>
        </is>
      </c>
      <c r="F263" s="30" t="n">
        <v>60668.36</v>
      </c>
      <c r="G263" s="30" t="n">
        <v>2168</v>
      </c>
      <c r="H263" s="30" t="n">
        <v>-0.78</v>
      </c>
      <c r="I263" s="30" t="n">
        <v>270373</v>
      </c>
      <c r="J263" s="30" t="inlineStr">
        <is>
          <t>533758</t>
        </is>
      </c>
    </row>
    <row r="264">
      <c r="A264" s="30" t="inlineStr">
        <is>
          <t>IOLCP</t>
        </is>
      </c>
      <c r="B264" s="30" t="inlineStr">
        <is>
          <t>Iol Chemicals And Pharmaceuticals Limited</t>
        </is>
      </c>
      <c r="C264" s="30" t="inlineStr">
        <is>
          <t>healthcare</t>
        </is>
      </c>
      <c r="D264" s="30" t="inlineStr">
        <is>
          <t>pharmaceuticals - indian - bulk drugs &amp; formln</t>
        </is>
      </c>
      <c r="E264" s="30" t="inlineStr">
        <is>
          <t>midcap</t>
        </is>
      </c>
      <c r="F264" s="30" t="n">
        <v>6192.84</v>
      </c>
      <c r="G264" s="30" t="n">
        <v>209.29</v>
      </c>
      <c r="H264" s="30" t="n">
        <v>-0.8</v>
      </c>
      <c r="I264" s="30" t="n">
        <v>4527415</v>
      </c>
      <c r="J264" s="30" t="inlineStr">
        <is>
          <t>524164</t>
        </is>
      </c>
    </row>
    <row r="265">
      <c r="A265" s="30" t="inlineStr">
        <is>
          <t>NORTHARC</t>
        </is>
      </c>
      <c r="B265" s="30" t="inlineStr">
        <is>
          <t>Northern ARC Capital Ltd</t>
        </is>
      </c>
      <c r="C265" s="30" t="inlineStr">
        <is>
          <t>financials</t>
        </is>
      </c>
      <c r="D265" s="30" t="inlineStr">
        <is>
          <t>finance &amp; investments</t>
        </is>
      </c>
      <c r="E265" s="30" t="inlineStr">
        <is>
          <t>midcap</t>
        </is>
      </c>
      <c r="F265" s="30" t="n">
        <v>5023.72</v>
      </c>
      <c r="G265" s="30" t="n">
        <v>308.35</v>
      </c>
      <c r="H265" s="30" t="n">
        <v>-0.8</v>
      </c>
      <c r="I265" s="30" t="n">
        <v>1054140</v>
      </c>
      <c r="J265" s="30" t="n"/>
    </row>
    <row r="266">
      <c r="A266" s="30" t="inlineStr">
        <is>
          <t>KALYANKJIL</t>
        </is>
      </c>
      <c r="B266" s="30" t="inlineStr">
        <is>
          <t>Kalyan Jewellers India Ltd</t>
        </is>
      </c>
      <c r="C266" s="30" t="inlineStr">
        <is>
          <t>consumer discretionary</t>
        </is>
      </c>
      <c r="D266" s="30" t="inlineStr">
        <is>
          <t>diamond cutting / jewellery</t>
        </is>
      </c>
      <c r="E266" s="30" t="inlineStr">
        <is>
          <t>largecap</t>
        </is>
      </c>
      <c r="F266" s="30" t="n">
        <v>63265.67</v>
      </c>
      <c r="G266" s="30" t="n">
        <v>607.6</v>
      </c>
      <c r="H266" s="30" t="n">
        <v>-0.82</v>
      </c>
      <c r="I266" s="30" t="n">
        <v>7297816</v>
      </c>
      <c r="J266" s="30" t="inlineStr">
        <is>
          <t>543278</t>
        </is>
      </c>
    </row>
    <row r="267">
      <c r="A267" s="30" t="inlineStr">
        <is>
          <t>DICIND</t>
        </is>
      </c>
      <c r="B267" s="30" t="inlineStr">
        <is>
          <t>Dic India Limited</t>
        </is>
      </c>
      <c r="C267" s="30" t="inlineStr">
        <is>
          <t>chemicals</t>
        </is>
      </c>
      <c r="D267" s="30" t="inlineStr">
        <is>
          <t>chemicals</t>
        </is>
      </c>
      <c r="E267" s="30" t="inlineStr">
        <is>
          <t>smallcap</t>
        </is>
      </c>
      <c r="F267" s="30" t="n">
        <v>571.71</v>
      </c>
      <c r="G267" s="30" t="n">
        <v>617.6</v>
      </c>
      <c r="H267" s="30" t="n">
        <v>-0.84</v>
      </c>
      <c r="I267" s="30" t="n">
        <v>6544</v>
      </c>
      <c r="J267" s="30" t="inlineStr">
        <is>
          <t>500089</t>
        </is>
      </c>
    </row>
    <row r="268">
      <c r="A268" s="30" t="inlineStr">
        <is>
          <t>VENKEYS</t>
        </is>
      </c>
      <c r="B268" s="30" t="inlineStr">
        <is>
          <t>Venky's (india) Limited</t>
        </is>
      </c>
      <c r="C268" s="30" t="inlineStr">
        <is>
          <t>fmcg</t>
        </is>
      </c>
      <c r="D268" s="30" t="inlineStr">
        <is>
          <t>miscellaneous</t>
        </is>
      </c>
      <c r="E268" s="30" t="inlineStr">
        <is>
          <t>smallcap</t>
        </is>
      </c>
      <c r="F268" s="30" t="n">
        <v>2407.53</v>
      </c>
      <c r="G268" s="30" t="n">
        <v>1694.7</v>
      </c>
      <c r="H268" s="30" t="n">
        <v>-0.84</v>
      </c>
      <c r="I268" s="30" t="n">
        <v>62910</v>
      </c>
      <c r="J268" s="30" t="inlineStr">
        <is>
          <t>523261</t>
        </is>
      </c>
    </row>
    <row r="269">
      <c r="A269" s="30" t="inlineStr">
        <is>
          <t>SMARTWORKS</t>
        </is>
      </c>
      <c r="B269" s="30" t="inlineStr">
        <is>
          <t>Smartworks Coworking Spaces Ltd</t>
        </is>
      </c>
      <c r="C269" s="30" t="inlineStr">
        <is>
          <t>co-working</t>
        </is>
      </c>
      <c r="D269" s="30" t="inlineStr">
        <is>
          <t>miscellaneous</t>
        </is>
      </c>
      <c r="E269" s="30" t="inlineStr">
        <is>
          <t>midcap</t>
        </is>
      </c>
      <c r="F269" s="30" t="n">
        <v>6314.69</v>
      </c>
      <c r="G269" s="30" t="n">
        <v>547.95</v>
      </c>
      <c r="H269" s="30" t="n">
        <v>-0.85</v>
      </c>
      <c r="I269" s="30" t="n">
        <v>63358</v>
      </c>
      <c r="J269" s="30" t="inlineStr">
        <is>
          <t>544447</t>
        </is>
      </c>
    </row>
    <row r="270">
      <c r="A270" s="30" t="inlineStr">
        <is>
          <t>GUJALKALI</t>
        </is>
      </c>
      <c r="B270" s="30" t="inlineStr">
        <is>
          <t>Gujarat Alkalies And Chemicals Limited</t>
        </is>
      </c>
      <c r="C270" s="30" t="inlineStr">
        <is>
          <t>chemicals</t>
        </is>
      </c>
      <c r="D270" s="30" t="inlineStr">
        <is>
          <t>chemicals</t>
        </is>
      </c>
      <c r="E270" s="30" t="inlineStr">
        <is>
          <t>midcap</t>
        </is>
      </c>
      <c r="F270" s="30" t="n">
        <v>5278.28</v>
      </c>
      <c r="G270" s="30" t="n">
        <v>712.55</v>
      </c>
      <c r="H270" s="30" t="n">
        <v>-0.86</v>
      </c>
      <c r="I270" s="30" t="n">
        <v>63316</v>
      </c>
      <c r="J270" s="30" t="inlineStr">
        <is>
          <t>530001</t>
        </is>
      </c>
    </row>
    <row r="271">
      <c r="A271" s="30" t="inlineStr">
        <is>
          <t>CENTUM</t>
        </is>
      </c>
      <c r="B271" s="30" t="inlineStr">
        <is>
          <t>Centum Electronics Limited</t>
        </is>
      </c>
      <c r="C271" s="30" t="inlineStr">
        <is>
          <t>aerospace &amp; defence</t>
        </is>
      </c>
      <c r="D271" s="30" t="inlineStr">
        <is>
          <t>electronics - components</t>
        </is>
      </c>
      <c r="E271" s="30" t="inlineStr">
        <is>
          <t>midcap</t>
        </is>
      </c>
      <c r="F271" s="30" t="n">
        <v>6327.78</v>
      </c>
      <c r="G271" s="30" t="n">
        <v>4250.5</v>
      </c>
      <c r="H271" s="30" t="n">
        <v>-0.86</v>
      </c>
      <c r="I271" s="30" t="n">
        <v>114623</v>
      </c>
      <c r="J271" s="30" t="inlineStr">
        <is>
          <t>517544</t>
        </is>
      </c>
    </row>
    <row r="272">
      <c r="A272" s="30" t="inlineStr">
        <is>
          <t>UNIVASTU</t>
        </is>
      </c>
      <c r="B272" s="30" t="inlineStr">
        <is>
          <t>Univastu India Ltd</t>
        </is>
      </c>
      <c r="C272" s="30" t="inlineStr">
        <is>
          <t>realty</t>
        </is>
      </c>
      <c r="D272" s="30" t="inlineStr">
        <is>
          <t>construction</t>
        </is>
      </c>
      <c r="E272" s="30" t="inlineStr">
        <is>
          <t>smallcap</t>
        </is>
      </c>
      <c r="F272" s="30" t="n">
        <v>622.74</v>
      </c>
      <c r="G272" s="30" t="n">
        <v>163.35</v>
      </c>
      <c r="H272" s="30" t="n">
        <v>-0.87</v>
      </c>
      <c r="I272" s="30" t="n">
        <v>46744</v>
      </c>
      <c r="J272" s="30" t="inlineStr">
        <is>
          <t>538442</t>
        </is>
      </c>
    </row>
    <row r="273">
      <c r="A273" s="30" t="inlineStr">
        <is>
          <t>CHALET</t>
        </is>
      </c>
      <c r="B273" s="30" t="inlineStr">
        <is>
          <t>Chalet Hotels Ltd</t>
        </is>
      </c>
      <c r="C273" s="30" t="inlineStr">
        <is>
          <t>services</t>
        </is>
      </c>
      <c r="D273" s="30" t="inlineStr">
        <is>
          <t>hotels</t>
        </is>
      </c>
      <c r="E273" s="30" t="inlineStr">
        <is>
          <t>midcap</t>
        </is>
      </c>
      <c r="F273" s="30" t="n">
        <v>19660.2</v>
      </c>
      <c r="G273" s="30" t="n">
        <v>889.7</v>
      </c>
      <c r="H273" s="30" t="n">
        <v>-0.9</v>
      </c>
      <c r="I273" s="30" t="n">
        <v>87296</v>
      </c>
      <c r="J273" s="30" t="inlineStr">
        <is>
          <t>542399</t>
        </is>
      </c>
    </row>
    <row r="274">
      <c r="A274" s="30" t="inlineStr">
        <is>
          <t>KTKBANK</t>
        </is>
      </c>
      <c r="B274" s="30" t="inlineStr">
        <is>
          <t>The Karnataka Bank Limited</t>
        </is>
      </c>
      <c r="C274" s="30" t="inlineStr">
        <is>
          <t>bank</t>
        </is>
      </c>
      <c r="D274" s="30" t="inlineStr">
        <is>
          <t>banks - private sector</t>
        </is>
      </c>
      <c r="E274" s="30" t="inlineStr">
        <is>
          <t>midcap</t>
        </is>
      </c>
      <c r="F274" s="30" t="n">
        <v>12641.45</v>
      </c>
      <c r="G274" s="30" t="n">
        <v>331.25</v>
      </c>
      <c r="H274" s="30" t="n">
        <v>-0.9</v>
      </c>
      <c r="I274" s="30" t="n">
        <v>1849893</v>
      </c>
      <c r="J274" s="30" t="inlineStr">
        <is>
          <t>532652</t>
        </is>
      </c>
    </row>
    <row r="275">
      <c r="A275" s="30" t="inlineStr">
        <is>
          <t>GOCLCORP</t>
        </is>
      </c>
      <c r="B275" s="30" t="inlineStr">
        <is>
          <t>Gocl Corporation Limited</t>
        </is>
      </c>
      <c r="C275" s="30" t="inlineStr">
        <is>
          <t>miscellaneous</t>
        </is>
      </c>
      <c r="D275" s="30" t="inlineStr">
        <is>
          <t>diversified - medium / small</t>
        </is>
      </c>
      <c r="E275" s="30" t="inlineStr">
        <is>
          <t>smallcap</t>
        </is>
      </c>
      <c r="F275" s="30" t="n">
        <v>2159.38</v>
      </c>
      <c r="G275" s="30" t="n">
        <v>431.7</v>
      </c>
      <c r="H275" s="30" t="n">
        <v>-0.9</v>
      </c>
      <c r="I275" s="30" t="n">
        <v>111213</v>
      </c>
      <c r="J275" s="30" t="inlineStr">
        <is>
          <t>506480</t>
        </is>
      </c>
    </row>
    <row r="276">
      <c r="A276" s="30" t="inlineStr">
        <is>
          <t>DIVISLAB</t>
        </is>
      </c>
      <c r="B276" s="30" t="inlineStr">
        <is>
          <t>Divi's Laboratories Limited</t>
        </is>
      </c>
      <c r="C276" s="30" t="inlineStr">
        <is>
          <t>healthcare</t>
        </is>
      </c>
      <c r="D276" s="30" t="inlineStr">
        <is>
          <t>pharmaceuticals - indian - bulk drugs</t>
        </is>
      </c>
      <c r="E276" s="30" t="inlineStr">
        <is>
          <t>largecap</t>
        </is>
      </c>
      <c r="F276" s="30" t="n">
        <v>254186.17</v>
      </c>
      <c r="G276" s="30" t="n">
        <v>9488</v>
      </c>
      <c r="H276" s="30" t="n">
        <v>-0.91</v>
      </c>
      <c r="I276" s="30" t="n">
        <v>385273</v>
      </c>
      <c r="J276" s="30" t="inlineStr">
        <is>
          <t>532488</t>
        </is>
      </c>
    </row>
    <row r="277">
      <c r="A277" s="30" t="inlineStr">
        <is>
          <t>WELENT</t>
        </is>
      </c>
      <c r="B277" s="30" t="inlineStr">
        <is>
          <t>Welspun Enterprises Limited</t>
        </is>
      </c>
      <c r="C277" s="30" t="inlineStr">
        <is>
          <t>realty</t>
        </is>
      </c>
      <c r="D277" s="30" t="inlineStr">
        <is>
          <t>construction</t>
        </is>
      </c>
      <c r="E277" s="30" t="inlineStr">
        <is>
          <t>midcap</t>
        </is>
      </c>
      <c r="F277" s="30" t="n">
        <v>10934.69</v>
      </c>
      <c r="G277" s="30" t="n">
        <v>782.85</v>
      </c>
      <c r="H277" s="30" t="n">
        <v>-0.91</v>
      </c>
      <c r="I277" s="30" t="n">
        <v>160929</v>
      </c>
      <c r="J277" s="30" t="inlineStr">
        <is>
          <t>532553</t>
        </is>
      </c>
    </row>
    <row r="278">
      <c r="A278" s="30" t="inlineStr">
        <is>
          <t>PREMIERPOL</t>
        </is>
      </c>
      <c r="B278" s="30" t="inlineStr">
        <is>
          <t>Premier Polyfilm Limited</t>
        </is>
      </c>
      <c r="C278" s="30" t="inlineStr">
        <is>
          <t>plastic products</t>
        </is>
      </c>
      <c r="D278" s="30" t="inlineStr">
        <is>
          <t>plastics products</t>
        </is>
      </c>
      <c r="E278" s="30" t="inlineStr">
        <is>
          <t>smallcap</t>
        </is>
      </c>
      <c r="F278" s="30" t="n">
        <v>948.55</v>
      </c>
      <c r="G278" s="30" t="n">
        <v>89.73</v>
      </c>
      <c r="H278" s="30" t="n">
        <v>-0.92</v>
      </c>
      <c r="I278" s="30" t="n">
        <v>201085</v>
      </c>
      <c r="J278" s="30" t="inlineStr">
        <is>
          <t>514354</t>
        </is>
      </c>
    </row>
    <row r="279">
      <c r="A279" s="30" t="inlineStr">
        <is>
          <t>RADHIKAJWE</t>
        </is>
      </c>
      <c r="B279" s="30" t="inlineStr">
        <is>
          <t>Radhika Jeweltech Ltd</t>
        </is>
      </c>
      <c r="C279" s="30" t="inlineStr">
        <is>
          <t>consumer discretionary</t>
        </is>
      </c>
      <c r="D279" s="30" t="inlineStr">
        <is>
          <t>diamond cutting / jewellery</t>
        </is>
      </c>
      <c r="E279" s="30" t="inlineStr">
        <is>
          <t>smallcap</t>
        </is>
      </c>
      <c r="F279" s="30" t="n">
        <v>1037.93</v>
      </c>
      <c r="G279" s="30" t="n">
        <v>87.14</v>
      </c>
      <c r="H279" s="30" t="n">
        <v>-0.93</v>
      </c>
      <c r="I279" s="30" t="n">
        <v>5875923</v>
      </c>
      <c r="J279" s="30" t="inlineStr">
        <is>
          <t>540125</t>
        </is>
      </c>
    </row>
    <row r="280">
      <c r="A280" s="30" t="inlineStr">
        <is>
          <t>UFLEX</t>
        </is>
      </c>
      <c r="B280" s="30" t="inlineStr">
        <is>
          <t>Uflex Limited</t>
        </is>
      </c>
      <c r="C280" s="30" t="inlineStr">
        <is>
          <t>industrials</t>
        </is>
      </c>
      <c r="D280" s="30" t="inlineStr">
        <is>
          <t>packaging</t>
        </is>
      </c>
      <c r="E280" s="30" t="inlineStr">
        <is>
          <t>smallcap</t>
        </is>
      </c>
      <c r="F280" s="30" t="n">
        <v>4959.12</v>
      </c>
      <c r="G280" s="30" t="n">
        <v>680.15</v>
      </c>
      <c r="H280" s="30" t="n">
        <v>-0.96</v>
      </c>
      <c r="I280" s="30" t="n">
        <v>154643</v>
      </c>
      <c r="J280" s="30" t="inlineStr">
        <is>
          <t>500148</t>
        </is>
      </c>
    </row>
    <row r="281">
      <c r="A281" s="30" t="inlineStr">
        <is>
          <t>DATAPATTNS</t>
        </is>
      </c>
      <c r="B281" s="30" t="inlineStr">
        <is>
          <t>Data Patterns (India) Ltd</t>
        </is>
      </c>
      <c r="C281" s="30" t="inlineStr">
        <is>
          <t>aerospace &amp; defence</t>
        </is>
      </c>
      <c r="D281" s="30" t="inlineStr">
        <is>
          <t>electronics - components</t>
        </is>
      </c>
      <c r="E281" s="30" t="inlineStr">
        <is>
          <t>largecap</t>
        </is>
      </c>
      <c r="F281" s="30" t="n">
        <v>27612.97</v>
      </c>
      <c r="G281" s="30" t="n">
        <v>4883.2</v>
      </c>
      <c r="H281" s="30" t="n">
        <v>-1</v>
      </c>
      <c r="I281" s="30" t="n">
        <v>682371</v>
      </c>
      <c r="J281" s="30" t="inlineStr">
        <is>
          <t>543428</t>
        </is>
      </c>
    </row>
    <row r="282">
      <c r="A282" s="30" t="inlineStr">
        <is>
          <t>VENUSPIPES</t>
        </is>
      </c>
      <c r="B282" s="30" t="inlineStr">
        <is>
          <t>Venus Pipes &amp; Tubes Ltd</t>
        </is>
      </c>
      <c r="C282" s="30" t="inlineStr">
        <is>
          <t>metals &amp; mining</t>
        </is>
      </c>
      <c r="D282" s="30" t="inlineStr">
        <is>
          <t>steel - medium / small</t>
        </is>
      </c>
      <c r="E282" s="30" t="inlineStr">
        <is>
          <t>smallcap</t>
        </is>
      </c>
      <c r="F282" s="30" t="n">
        <v>4039.43</v>
      </c>
      <c r="G282" s="30" t="n">
        <v>1930.1</v>
      </c>
      <c r="H282" s="30" t="n">
        <v>-1.02</v>
      </c>
      <c r="I282" s="30" t="n">
        <v>287398</v>
      </c>
      <c r="J282" s="30" t="inlineStr">
        <is>
          <t>543528</t>
        </is>
      </c>
    </row>
    <row r="283">
      <c r="A283" s="30" t="inlineStr">
        <is>
          <t>SYRMA</t>
        </is>
      </c>
      <c r="B283" s="30" t="inlineStr">
        <is>
          <t>Syrma SGS Technology Ltd</t>
        </is>
      </c>
      <c r="C283" s="30" t="inlineStr">
        <is>
          <t>consumer discretionary</t>
        </is>
      </c>
      <c r="D283" s="30" t="inlineStr">
        <is>
          <t>electronics - components</t>
        </is>
      </c>
      <c r="E283" s="30" t="inlineStr">
        <is>
          <t>largecap</t>
        </is>
      </c>
      <c r="F283" s="30" t="n">
        <v>31608.77</v>
      </c>
      <c r="G283" s="30" t="n">
        <v>1622.4</v>
      </c>
      <c r="H283" s="30" t="n">
        <v>-1.02</v>
      </c>
      <c r="I283" s="30" t="n">
        <v>1096481</v>
      </c>
      <c r="J283" s="30" t="inlineStr">
        <is>
          <t>543573</t>
        </is>
      </c>
    </row>
    <row r="284">
      <c r="A284" s="30" t="inlineStr">
        <is>
          <t>CYIENT</t>
        </is>
      </c>
      <c r="B284" s="30" t="inlineStr">
        <is>
          <t>Cyient Limited</t>
        </is>
      </c>
      <c r="C284" s="30" t="inlineStr">
        <is>
          <t>i.t</t>
        </is>
      </c>
      <c r="D284" s="30" t="inlineStr">
        <is>
          <t>computers - software - medium / small</t>
        </is>
      </c>
      <c r="E284" s="30" t="inlineStr">
        <is>
          <t>midcap</t>
        </is>
      </c>
      <c r="F284" s="30" t="n">
        <v>11378.1</v>
      </c>
      <c r="G284" s="30" t="n">
        <v>1075.1</v>
      </c>
      <c r="H284" s="30" t="n">
        <v>-1.03</v>
      </c>
      <c r="I284" s="30" t="n">
        <v>323893</v>
      </c>
      <c r="J284" s="30" t="inlineStr">
        <is>
          <t>532175</t>
        </is>
      </c>
    </row>
    <row r="285">
      <c r="A285" s="30" t="inlineStr">
        <is>
          <t>NRBBEARING</t>
        </is>
      </c>
      <c r="B285" s="30" t="inlineStr">
        <is>
          <t>Nrb Bearing Limited</t>
        </is>
      </c>
      <c r="C285" s="30" t="inlineStr">
        <is>
          <t>industrials</t>
        </is>
      </c>
      <c r="D285" s="30" t="inlineStr">
        <is>
          <t>bearings</t>
        </is>
      </c>
      <c r="E285" s="30" t="inlineStr">
        <is>
          <t>smallcap</t>
        </is>
      </c>
      <c r="F285" s="30" t="n">
        <v>4745.33</v>
      </c>
      <c r="G285" s="30" t="n">
        <v>484.55</v>
      </c>
      <c r="H285" s="30" t="n">
        <v>-1.03</v>
      </c>
      <c r="I285" s="30" t="n">
        <v>309450</v>
      </c>
      <c r="J285" s="30" t="inlineStr">
        <is>
          <t>530367</t>
        </is>
      </c>
    </row>
    <row r="286">
      <c r="A286" s="30" t="inlineStr">
        <is>
          <t>APARINDS</t>
        </is>
      </c>
      <c r="B286" s="30" t="inlineStr">
        <is>
          <t>Apar Industries Limited</t>
        </is>
      </c>
      <c r="C286" s="30" t="inlineStr">
        <is>
          <t>industrials</t>
        </is>
      </c>
      <c r="D286" s="30" t="inlineStr">
        <is>
          <t>electric equipment</t>
        </is>
      </c>
      <c r="E286" s="30" t="inlineStr">
        <is>
          <t>largecap</t>
        </is>
      </c>
      <c r="F286" s="30" t="n">
        <v>73841.87</v>
      </c>
      <c r="G286" s="30" t="n">
        <v>17448</v>
      </c>
      <c r="H286" s="30" t="n">
        <v>-1.06</v>
      </c>
      <c r="I286" s="30" t="n">
        <v>105567</v>
      </c>
      <c r="J286" s="30" t="inlineStr">
        <is>
          <t>532259</t>
        </is>
      </c>
    </row>
    <row r="287">
      <c r="A287" s="30" t="inlineStr">
        <is>
          <t>GANESHBE</t>
        </is>
      </c>
      <c r="B287" s="30" t="inlineStr">
        <is>
          <t>Ganesh Benzoplast Ltd</t>
        </is>
      </c>
      <c r="C287" s="30" t="inlineStr">
        <is>
          <t>miscellaneous</t>
        </is>
      </c>
      <c r="D287" s="30" t="inlineStr">
        <is>
          <t>miscellaneous</t>
        </is>
      </c>
      <c r="E287" s="30" t="inlineStr">
        <is>
          <t>smallcap</t>
        </is>
      </c>
      <c r="F287" s="30" t="n">
        <v>932.98</v>
      </c>
      <c r="G287" s="30" t="n">
        <v>128.19</v>
      </c>
      <c r="H287" s="30" t="n">
        <v>-1.09</v>
      </c>
      <c r="I287" s="30" t="n">
        <v>269989</v>
      </c>
      <c r="J287" s="30" t="inlineStr">
        <is>
          <t>500153</t>
        </is>
      </c>
    </row>
    <row r="288">
      <c r="A288" s="30" t="inlineStr">
        <is>
          <t>SHANTIGOLD</t>
        </is>
      </c>
      <c r="B288" s="30" t="inlineStr">
        <is>
          <t>Shanti Gold International Ltd</t>
        </is>
      </c>
      <c r="C288" s="30" t="inlineStr">
        <is>
          <t>consumer discretionary</t>
        </is>
      </c>
      <c r="D288" s="30" t="inlineStr">
        <is>
          <t>diamond cutting / jewellery</t>
        </is>
      </c>
      <c r="E288" s="30" t="inlineStr">
        <is>
          <t>smallcap</t>
        </is>
      </c>
      <c r="F288" s="30" t="n">
        <v>2027.92</v>
      </c>
      <c r="G288" s="30" t="n">
        <v>261.29</v>
      </c>
      <c r="H288" s="30" t="n">
        <v>-1.12</v>
      </c>
      <c r="I288" s="30" t="n">
        <v>1281587</v>
      </c>
      <c r="J288" s="30" t="inlineStr">
        <is>
          <t>544459</t>
        </is>
      </c>
    </row>
    <row r="289">
      <c r="A289" s="30" t="inlineStr">
        <is>
          <t>TNPETRO</t>
        </is>
      </c>
      <c r="B289" s="30" t="inlineStr">
        <is>
          <t>Tamilnadu Petroproducts Limited</t>
        </is>
      </c>
      <c r="C289" s="30" t="inlineStr">
        <is>
          <t>energy</t>
        </is>
      </c>
      <c r="D289" s="30" t="inlineStr">
        <is>
          <t>petrochemicals</t>
        </is>
      </c>
      <c r="E289" s="30" t="inlineStr">
        <is>
          <t>smallcap</t>
        </is>
      </c>
      <c r="F289" s="30" t="n">
        <v>1252.22</v>
      </c>
      <c r="G289" s="30" t="n">
        <v>137.6</v>
      </c>
      <c r="H289" s="30" t="n">
        <v>-1.14</v>
      </c>
      <c r="I289" s="30" t="n">
        <v>1993687</v>
      </c>
      <c r="J289" s="30" t="inlineStr">
        <is>
          <t>500777</t>
        </is>
      </c>
    </row>
    <row r="290">
      <c r="A290" s="30" t="inlineStr">
        <is>
          <t>ICIL</t>
        </is>
      </c>
      <c r="B290" s="30" t="inlineStr">
        <is>
          <t>Indo Count Industries Limited</t>
        </is>
      </c>
      <c r="C290" s="30" t="inlineStr">
        <is>
          <t>textiles</t>
        </is>
      </c>
      <c r="D290" s="30" t="inlineStr">
        <is>
          <t>textiles - cotton/blended</t>
        </is>
      </c>
      <c r="E290" s="30" t="inlineStr">
        <is>
          <t>midcap</t>
        </is>
      </c>
      <c r="F290" s="30" t="n">
        <v>8929.280000000001</v>
      </c>
      <c r="G290" s="30" t="n">
        <v>445.55</v>
      </c>
      <c r="H290" s="30" t="n">
        <v>-1.18</v>
      </c>
      <c r="I290" s="30" t="n">
        <v>554256</v>
      </c>
      <c r="J290" s="30" t="inlineStr">
        <is>
          <t>521016</t>
        </is>
      </c>
    </row>
    <row r="291">
      <c r="A291" s="30" t="inlineStr">
        <is>
          <t>GRANULES</t>
        </is>
      </c>
      <c r="B291" s="30" t="inlineStr">
        <is>
          <t>Granules India Limited</t>
        </is>
      </c>
      <c r="C291" s="30" t="inlineStr">
        <is>
          <t>healthcare</t>
        </is>
      </c>
      <c r="D291" s="30" t="inlineStr">
        <is>
          <t>pharmaceuticals - indian - bulk drugs &amp; formln</t>
        </is>
      </c>
      <c r="E291" s="30" t="inlineStr">
        <is>
          <t>largecap</t>
        </is>
      </c>
      <c r="F291" s="30" t="n">
        <v>22186.5</v>
      </c>
      <c r="G291" s="30" t="n">
        <v>884.8</v>
      </c>
      <c r="H291" s="30" t="n">
        <v>-1.18</v>
      </c>
      <c r="I291" s="30" t="n">
        <v>1406377</v>
      </c>
      <c r="J291" s="30" t="inlineStr">
        <is>
          <t>532482</t>
        </is>
      </c>
    </row>
    <row r="292">
      <c r="A292" s="30" t="inlineStr">
        <is>
          <t>VARROC</t>
        </is>
      </c>
      <c r="B292" s="30" t="inlineStr">
        <is>
          <t>Varroc Engineering Ltd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midcap</t>
        </is>
      </c>
      <c r="F292" s="30" t="n">
        <v>12978.44</v>
      </c>
      <c r="G292" s="30" t="n">
        <v>839.4</v>
      </c>
      <c r="H292" s="30" t="n">
        <v>-1.18</v>
      </c>
      <c r="I292" s="30" t="n">
        <v>163818</v>
      </c>
      <c r="J292" s="30" t="inlineStr">
        <is>
          <t>541578</t>
        </is>
      </c>
    </row>
    <row r="293">
      <c r="A293" s="30" t="inlineStr">
        <is>
          <t>SVLL</t>
        </is>
      </c>
      <c r="B293" s="30" t="inlineStr">
        <is>
          <t>Shree Vasu Logistics Ltd</t>
        </is>
      </c>
      <c r="C293" s="30" t="inlineStr">
        <is>
          <t>transportation</t>
        </is>
      </c>
      <c r="D293" s="30" t="inlineStr">
        <is>
          <t>miscellaneous</t>
        </is>
      </c>
      <c r="E293" s="30" t="inlineStr">
        <is>
          <t>smallcap</t>
        </is>
      </c>
      <c r="F293" s="30" t="n">
        <v>919.73</v>
      </c>
      <c r="G293" s="30" t="n">
        <v>790.5</v>
      </c>
      <c r="H293" s="30" t="n">
        <v>-1.21</v>
      </c>
      <c r="I293" s="30" t="n">
        <v>661</v>
      </c>
      <c r="J293" s="30" t="inlineStr">
        <is>
          <t>535084</t>
        </is>
      </c>
    </row>
    <row r="294">
      <c r="A294" s="30" t="inlineStr">
        <is>
          <t>MANGLMCEM</t>
        </is>
      </c>
      <c r="B294" s="30" t="inlineStr">
        <is>
          <t>Mangalam Cement Limited</t>
        </is>
      </c>
      <c r="C294" s="30" t="inlineStr">
        <is>
          <t>building materials</t>
        </is>
      </c>
      <c r="D294" s="30" t="inlineStr">
        <is>
          <t>cement - north india</t>
        </is>
      </c>
      <c r="E294" s="30" t="inlineStr">
        <is>
          <t>smallcap</t>
        </is>
      </c>
      <c r="F294" s="30" t="n">
        <v>2921.59</v>
      </c>
      <c r="G294" s="30" t="n">
        <v>1049.6</v>
      </c>
      <c r="H294" s="30" t="n">
        <v>-1.21</v>
      </c>
      <c r="I294" s="30" t="n">
        <v>86283</v>
      </c>
      <c r="J294" s="30" t="inlineStr">
        <is>
          <t>502157</t>
        </is>
      </c>
    </row>
    <row r="295">
      <c r="A295" s="30" t="inlineStr">
        <is>
          <t>PRECWIRE</t>
        </is>
      </c>
      <c r="B295" s="30" t="inlineStr">
        <is>
          <t>Precision Wires India Limited</t>
        </is>
      </c>
      <c r="C295" s="30" t="inlineStr">
        <is>
          <t>metals &amp; mining</t>
        </is>
      </c>
      <c r="D295" s="30" t="inlineStr">
        <is>
          <t>mining / minerals / metals</t>
        </is>
      </c>
      <c r="E295" s="30" t="inlineStr">
        <is>
          <t>midcap</t>
        </is>
      </c>
      <c r="F295" s="30" t="n">
        <v>8778.440000000001</v>
      </c>
      <c r="G295" s="30" t="n">
        <v>474.35</v>
      </c>
      <c r="H295" s="30" t="n">
        <v>-1.22</v>
      </c>
      <c r="I295" s="30" t="n">
        <v>390910</v>
      </c>
      <c r="J295" s="30" t="inlineStr">
        <is>
          <t>523539</t>
        </is>
      </c>
    </row>
    <row r="296">
      <c r="A296" s="30" t="inlineStr">
        <is>
          <t>KOTAKBANK</t>
        </is>
      </c>
      <c r="B296" s="30" t="inlineStr">
        <is>
          <t>Kotak Mahindra Bank Limited</t>
        </is>
      </c>
      <c r="C296" s="30" t="inlineStr">
        <is>
          <t>bank</t>
        </is>
      </c>
      <c r="D296" s="30" t="inlineStr">
        <is>
          <t>banks - private sector</t>
        </is>
      </c>
      <c r="E296" s="30" t="inlineStr">
        <is>
          <t>largecap</t>
        </is>
      </c>
      <c r="F296" s="30" t="n">
        <v>417015.78</v>
      </c>
      <c r="G296" s="30" t="n">
        <v>414</v>
      </c>
      <c r="H296" s="30" t="n">
        <v>-1.25</v>
      </c>
      <c r="I296" s="30" t="n">
        <v>10886349</v>
      </c>
      <c r="J296" s="30" t="inlineStr">
        <is>
          <t>500247</t>
        </is>
      </c>
    </row>
    <row r="297">
      <c r="A297" s="30" t="inlineStr">
        <is>
          <t>ENTERO</t>
        </is>
      </c>
      <c r="B297" s="30" t="inlineStr">
        <is>
          <t>Entero Healthcare Solutions Ltd</t>
        </is>
      </c>
      <c r="C297" s="30" t="inlineStr">
        <is>
          <t>healthcare</t>
        </is>
      </c>
      <c r="D297" s="30" t="inlineStr">
        <is>
          <t>trading</t>
        </is>
      </c>
      <c r="E297" s="30" t="inlineStr">
        <is>
          <t>midcap</t>
        </is>
      </c>
      <c r="F297" s="30" t="n">
        <v>8059.6</v>
      </c>
      <c r="G297" s="30" t="n">
        <v>1828.3</v>
      </c>
      <c r="H297" s="30" t="n">
        <v>-1.27</v>
      </c>
      <c r="I297" s="30" t="n">
        <v>90729</v>
      </c>
      <c r="J297" s="30" t="inlineStr">
        <is>
          <t>544122</t>
        </is>
      </c>
    </row>
    <row r="298">
      <c r="A298" s="30" t="inlineStr">
        <is>
          <t>RPEL</t>
        </is>
      </c>
      <c r="B298" s="30" t="inlineStr">
        <is>
          <t>Raghav Productivity Enhancers Ltd</t>
        </is>
      </c>
      <c r="C298" s="30" t="inlineStr">
        <is>
          <t>building materials</t>
        </is>
      </c>
      <c r="D298" s="30" t="inlineStr">
        <is>
          <t>refractories / intermediates</t>
        </is>
      </c>
      <c r="E298" s="30" t="inlineStr">
        <is>
          <t>midcap</t>
        </is>
      </c>
      <c r="F298" s="30" t="n">
        <v>7772.75</v>
      </c>
      <c r="G298" s="30" t="n">
        <v>1670.8</v>
      </c>
      <c r="H298" s="30" t="n">
        <v>-1.29</v>
      </c>
      <c r="I298" s="30" t="n">
        <v>57819</v>
      </c>
      <c r="J298" s="30" t="inlineStr">
        <is>
          <t>539837</t>
        </is>
      </c>
    </row>
    <row r="299">
      <c r="A299" s="30" t="inlineStr">
        <is>
          <t>SURAKSHA</t>
        </is>
      </c>
      <c r="B299" s="30" t="inlineStr">
        <is>
          <t>Suraksha Diagnostic Ltd</t>
        </is>
      </c>
      <c r="C299" s="30" t="inlineStr">
        <is>
          <t>healthcare</t>
        </is>
      </c>
      <c r="D299" s="30" t="inlineStr">
        <is>
          <t>healthcare</t>
        </is>
      </c>
      <c r="E299" s="30" t="inlineStr">
        <is>
          <t>smallcap</t>
        </is>
      </c>
      <c r="F299" s="30" t="n">
        <v>1771.27</v>
      </c>
      <c r="G299" s="30" t="n">
        <v>335.65</v>
      </c>
      <c r="H299" s="30" t="n">
        <v>-1.31</v>
      </c>
      <c r="I299" s="30" t="n">
        <v>117233</v>
      </c>
      <c r="J299" s="30" t="inlineStr">
        <is>
          <t>544293</t>
        </is>
      </c>
    </row>
    <row r="300">
      <c r="A300" s="30" t="inlineStr">
        <is>
          <t>CRISIL</t>
        </is>
      </c>
      <c r="B300" s="30" t="inlineStr">
        <is>
          <t>Crisil Limited</t>
        </is>
      </c>
      <c r="C300" s="30" t="inlineStr">
        <is>
          <t>financials</t>
        </is>
      </c>
      <c r="D300" s="30" t="inlineStr">
        <is>
          <t>miscellaneous</t>
        </is>
      </c>
      <c r="E300" s="30" t="inlineStr">
        <is>
          <t>largecap</t>
        </is>
      </c>
      <c r="F300" s="30" t="n">
        <v>34769.67</v>
      </c>
      <c r="G300" s="30" t="n">
        <v>4690.6</v>
      </c>
      <c r="H300" s="30" t="n">
        <v>-1.34</v>
      </c>
      <c r="I300" s="30" t="n">
        <v>17017</v>
      </c>
      <c r="J300" s="30" t="inlineStr">
        <is>
          <t>500092</t>
        </is>
      </c>
    </row>
    <row r="301">
      <c r="A301" s="30" t="inlineStr">
        <is>
          <t>KDDL</t>
        </is>
      </c>
      <c r="B301" s="30" t="inlineStr">
        <is>
          <t>Kddl Limited</t>
        </is>
      </c>
      <c r="C301" s="30" t="inlineStr">
        <is>
          <t>consumer discretionary</t>
        </is>
      </c>
      <c r="D301" s="30" t="inlineStr">
        <is>
          <t>miscellaneous</t>
        </is>
      </c>
      <c r="E301" s="30" t="inlineStr">
        <is>
          <t>smallcap</t>
        </is>
      </c>
      <c r="F301" s="30" t="n">
        <v>4877.53</v>
      </c>
      <c r="G301" s="30" t="n">
        <v>3912.2</v>
      </c>
      <c r="H301" s="30" t="n">
        <v>-1.35</v>
      </c>
      <c r="I301" s="30" t="n">
        <v>47930</v>
      </c>
      <c r="J301" s="30" t="inlineStr">
        <is>
          <t>532054</t>
        </is>
      </c>
    </row>
    <row r="302">
      <c r="A302" s="30" t="inlineStr">
        <is>
          <t>INOXINDIA</t>
        </is>
      </c>
      <c r="B302" s="30" t="inlineStr">
        <is>
          <t>Inox India Ltd</t>
        </is>
      </c>
      <c r="C302" s="30" t="inlineStr">
        <is>
          <t>industrials</t>
        </is>
      </c>
      <c r="D302" s="30" t="inlineStr">
        <is>
          <t>packaging</t>
        </is>
      </c>
      <c r="E302" s="30" t="inlineStr">
        <is>
          <t>largecap</t>
        </is>
      </c>
      <c r="F302" s="30" t="n">
        <v>20112.28</v>
      </c>
      <c r="G302" s="30" t="n">
        <v>2185.5</v>
      </c>
      <c r="H302" s="30" t="n">
        <v>-1.37</v>
      </c>
      <c r="I302" s="30" t="n">
        <v>100850</v>
      </c>
      <c r="J302" s="30" t="inlineStr">
        <is>
          <t>544046</t>
        </is>
      </c>
    </row>
    <row r="303">
      <c r="A303" s="30" t="inlineStr">
        <is>
          <t>SENORES</t>
        </is>
      </c>
      <c r="B303" s="30" t="inlineStr">
        <is>
          <t>Senores Pharmaceuticals Ltd</t>
        </is>
      </c>
      <c r="C303" s="30" t="inlineStr">
        <is>
          <t>healthcare</t>
        </is>
      </c>
      <c r="D303" s="30" t="inlineStr">
        <is>
          <t>pharmaceuticals - indian - formulations</t>
        </is>
      </c>
      <c r="E303" s="30" t="inlineStr">
        <is>
          <t>midcap</t>
        </is>
      </c>
      <c r="F303" s="30" t="n">
        <v>6953.17</v>
      </c>
      <c r="G303" s="30" t="n">
        <v>1488.6</v>
      </c>
      <c r="H303" s="30" t="n">
        <v>-1.4</v>
      </c>
      <c r="I303" s="30" t="n">
        <v>233104</v>
      </c>
      <c r="J303" s="30" t="inlineStr">
        <is>
          <t>544319</t>
        </is>
      </c>
    </row>
    <row r="304">
      <c r="A304" s="30" t="inlineStr">
        <is>
          <t>LICHSGFIN</t>
        </is>
      </c>
      <c r="B304" s="30" t="inlineStr">
        <is>
          <t>Lic Housing Finance Limited</t>
        </is>
      </c>
      <c r="C304" s="30" t="inlineStr">
        <is>
          <t>financials</t>
        </is>
      </c>
      <c r="D304" s="30" t="inlineStr">
        <is>
          <t>finance - housing</t>
        </is>
      </c>
      <c r="E304" s="30" t="inlineStr">
        <is>
          <t>largecap</t>
        </is>
      </c>
      <c r="F304" s="30" t="n">
        <v>30968.55</v>
      </c>
      <c r="G304" s="30" t="n">
        <v>555</v>
      </c>
      <c r="H304" s="30" t="n">
        <v>-1.42</v>
      </c>
      <c r="I304" s="30" t="n">
        <v>2616014</v>
      </c>
      <c r="J304" s="30" t="inlineStr">
        <is>
          <t>500253</t>
        </is>
      </c>
    </row>
    <row r="305">
      <c r="A305" s="30" t="inlineStr">
        <is>
          <t>MAMATA</t>
        </is>
      </c>
      <c r="B305" s="30" t="inlineStr">
        <is>
          <t>Mamata Machinery Ltd</t>
        </is>
      </c>
      <c r="C305" s="30" t="inlineStr">
        <is>
          <t>industrials</t>
        </is>
      </c>
      <c r="D305" s="30" t="inlineStr">
        <is>
          <t>engineering</t>
        </is>
      </c>
      <c r="E305" s="30" t="inlineStr">
        <is>
          <t>smallcap</t>
        </is>
      </c>
      <c r="F305" s="30" t="n">
        <v>1047.55</v>
      </c>
      <c r="G305" s="30" t="n">
        <v>419.4</v>
      </c>
      <c r="H305" s="30" t="n">
        <v>-1.48</v>
      </c>
      <c r="I305" s="30" t="n">
        <v>100223</v>
      </c>
      <c r="J305" s="30" t="inlineStr">
        <is>
          <t>544318</t>
        </is>
      </c>
    </row>
    <row r="306">
      <c r="A306" s="30" t="inlineStr">
        <is>
          <t>SOUTHWEST</t>
        </is>
      </c>
      <c r="B306" s="30" t="inlineStr">
        <is>
          <t>South West Pinnacle Exploration Ltd</t>
        </is>
      </c>
      <c r="C306" s="30" t="inlineStr">
        <is>
          <t>metals &amp; mining</t>
        </is>
      </c>
      <c r="D306" s="30" t="inlineStr">
        <is>
          <t>mining / minerals / metals</t>
        </is>
      </c>
      <c r="E306" s="30" t="inlineStr">
        <is>
          <t>smallcap</t>
        </is>
      </c>
      <c r="F306" s="30" t="n">
        <v>752.22</v>
      </c>
      <c r="G306" s="30" t="n">
        <v>226.81</v>
      </c>
      <c r="H306" s="30" t="n">
        <v>-1.55</v>
      </c>
      <c r="I306" s="30" t="n">
        <v>1192055</v>
      </c>
      <c r="J306" s="30" t="inlineStr">
        <is>
          <t>535049</t>
        </is>
      </c>
    </row>
    <row r="307">
      <c r="A307" s="30" t="inlineStr">
        <is>
          <t>ANTHEM</t>
        </is>
      </c>
      <c r="B307" s="30" t="inlineStr">
        <is>
          <t>Anthem Biosciences Ltd</t>
        </is>
      </c>
      <c r="C307" s="30" t="inlineStr">
        <is>
          <t>healthcare</t>
        </is>
      </c>
      <c r="D307" s="30" t="inlineStr">
        <is>
          <t>pharmaceuticals - indian - bulk drugs &amp; formln</t>
        </is>
      </c>
      <c r="E307" s="30" t="inlineStr">
        <is>
          <t>largecap</t>
        </is>
      </c>
      <c r="F307" s="30" t="n">
        <v>53960.99</v>
      </c>
      <c r="G307" s="30" t="n">
        <v>942.95</v>
      </c>
      <c r="H307" s="30" t="n">
        <v>-1.55</v>
      </c>
      <c r="I307" s="30" t="n">
        <v>928217</v>
      </c>
      <c r="J307" s="30" t="inlineStr">
        <is>
          <t>544449</t>
        </is>
      </c>
    </row>
    <row r="308">
      <c r="A308" s="30" t="inlineStr">
        <is>
          <t>JKPAPER</t>
        </is>
      </c>
      <c r="B308" s="30" t="inlineStr">
        <is>
          <t>Jk Paper Limited</t>
        </is>
      </c>
      <c r="C308" s="30" t="inlineStr">
        <is>
          <t>building materials</t>
        </is>
      </c>
      <c r="D308" s="30" t="inlineStr">
        <is>
          <t>paper</t>
        </is>
      </c>
      <c r="E308" s="30" t="inlineStr">
        <is>
          <t>midcap</t>
        </is>
      </c>
      <c r="F308" s="30" t="n">
        <v>7530.17</v>
      </c>
      <c r="G308" s="30" t="n">
        <v>408.85</v>
      </c>
      <c r="H308" s="30" t="n">
        <v>-1.55</v>
      </c>
      <c r="I308" s="30" t="n">
        <v>353280</v>
      </c>
      <c r="J308" s="30" t="inlineStr">
        <is>
          <t>532162</t>
        </is>
      </c>
    </row>
    <row r="309">
      <c r="A309" s="30" t="inlineStr">
        <is>
          <t>GLENMARK</t>
        </is>
      </c>
      <c r="B309" s="30" t="inlineStr">
        <is>
          <t>Glenmark Pharmaceuticals Limited</t>
        </is>
      </c>
      <c r="C309" s="30" t="inlineStr">
        <is>
          <t>healthcare</t>
        </is>
      </c>
      <c r="D309" s="30" t="inlineStr">
        <is>
          <t>pharmaceuticals - indian - bulk drugs &amp; formln</t>
        </is>
      </c>
      <c r="E309" s="30" t="inlineStr">
        <is>
          <t>largecap</t>
        </is>
      </c>
      <c r="F309" s="30" t="n">
        <v>69830.59</v>
      </c>
      <c r="G309" s="30" t="n">
        <v>2435</v>
      </c>
      <c r="H309" s="30" t="n">
        <v>-1.6</v>
      </c>
      <c r="I309" s="30" t="n">
        <v>424753</v>
      </c>
      <c r="J309" s="30" t="inlineStr">
        <is>
          <t>532296</t>
        </is>
      </c>
    </row>
    <row r="310">
      <c r="A310" s="30" t="inlineStr">
        <is>
          <t>SUTLEJTEX</t>
        </is>
      </c>
      <c r="B310" s="30" t="inlineStr">
        <is>
          <t>Sutlej Textiles And Industries Limited</t>
        </is>
      </c>
      <c r="C310" s="30" t="inlineStr">
        <is>
          <t>textiles</t>
        </is>
      </c>
      <c r="D310" s="30" t="inlineStr">
        <is>
          <t>textiles - cotton/blended</t>
        </is>
      </c>
      <c r="E310" s="30" t="inlineStr">
        <is>
          <t>smallcap</t>
        </is>
      </c>
      <c r="F310" s="30" t="n">
        <v>665.14</v>
      </c>
      <c r="G310" s="30" t="n">
        <v>39.95</v>
      </c>
      <c r="H310" s="30" t="n">
        <v>-1.6</v>
      </c>
      <c r="I310" s="30" t="n">
        <v>18727</v>
      </c>
      <c r="J310" s="30" t="inlineStr">
        <is>
          <t>532782</t>
        </is>
      </c>
    </row>
    <row r="311">
      <c r="A311" s="30" t="inlineStr">
        <is>
          <t>BALRAMCHIN</t>
        </is>
      </c>
      <c r="B311" s="30" t="inlineStr">
        <is>
          <t>Balrampur Chini Mills Limited</t>
        </is>
      </c>
      <c r="C311" s="30" t="inlineStr">
        <is>
          <t>fmcg</t>
        </is>
      </c>
      <c r="D311" s="30" t="inlineStr">
        <is>
          <t>sugar</t>
        </is>
      </c>
      <c r="E311" s="30" t="inlineStr">
        <is>
          <t>midcap</t>
        </is>
      </c>
      <c r="F311" s="30" t="n">
        <v>15030.61</v>
      </c>
      <c r="G311" s="30" t="n">
        <v>700.05</v>
      </c>
      <c r="H311" s="30" t="n">
        <v>-1.6</v>
      </c>
      <c r="I311" s="30" t="n">
        <v>1337773</v>
      </c>
      <c r="J311" s="30" t="inlineStr">
        <is>
          <t>500038</t>
        </is>
      </c>
    </row>
    <row r="312">
      <c r="A312" s="30" t="inlineStr">
        <is>
          <t>SOLARA</t>
        </is>
      </c>
      <c r="B312" s="30" t="inlineStr">
        <is>
          <t>Solara Active Pharma Sciences Ltd</t>
        </is>
      </c>
      <c r="C312" s="30" t="inlineStr">
        <is>
          <t>healthcare</t>
        </is>
      </c>
      <c r="D312" s="30" t="inlineStr">
        <is>
          <t>pharmaceuticals - indian - bulk drugs &amp; formln</t>
        </is>
      </c>
      <c r="E312" s="30" t="inlineStr">
        <is>
          <t>smallcap</t>
        </is>
      </c>
      <c r="F312" s="30" t="n">
        <v>3385.91</v>
      </c>
      <c r="G312" s="30" t="n">
        <v>690.5</v>
      </c>
      <c r="H312" s="30" t="n">
        <v>-1.61</v>
      </c>
      <c r="I312" s="30" t="n">
        <v>271068</v>
      </c>
      <c r="J312" s="30" t="inlineStr">
        <is>
          <t>541540</t>
        </is>
      </c>
    </row>
    <row r="313">
      <c r="A313" s="30" t="inlineStr">
        <is>
          <t>GVT&amp;D</t>
        </is>
      </c>
      <c r="B313" s="30" t="inlineStr">
        <is>
          <t>GE Vernova T&amp;D India Ltd</t>
        </is>
      </c>
      <c r="C313" s="30" t="inlineStr">
        <is>
          <t>industrials</t>
        </is>
      </c>
      <c r="D313" s="30" t="inlineStr">
        <is>
          <t>electric equipment</t>
        </is>
      </c>
      <c r="E313" s="30" t="inlineStr">
        <is>
          <t>largecap</t>
        </is>
      </c>
      <c r="F313" s="30" t="n">
        <v>121622.1</v>
      </c>
      <c r="G313" s="30" t="n">
        <v>4673</v>
      </c>
      <c r="H313" s="30" t="n">
        <v>-1.62</v>
      </c>
      <c r="I313" s="30" t="n">
        <v>1094528</v>
      </c>
      <c r="J313" s="30" t="inlineStr">
        <is>
          <t>522275</t>
        </is>
      </c>
    </row>
    <row r="314">
      <c r="A314" s="30" t="inlineStr">
        <is>
          <t>EIMCOELECO</t>
        </is>
      </c>
      <c r="B314" s="30" t="inlineStr">
        <is>
          <t>Eimco Elecon (india) Limited</t>
        </is>
      </c>
      <c r="C314" s="30" t="inlineStr">
        <is>
          <t>industrials</t>
        </is>
      </c>
      <c r="D314" s="30" t="inlineStr">
        <is>
          <t>engineering</t>
        </is>
      </c>
      <c r="E314" s="30" t="inlineStr">
        <is>
          <t>smallcap</t>
        </is>
      </c>
      <c r="F314" s="30" t="n">
        <v>1302.62</v>
      </c>
      <c r="G314" s="30" t="n">
        <v>2221.6</v>
      </c>
      <c r="H314" s="30" t="n">
        <v>-1.62</v>
      </c>
      <c r="I314" s="30" t="n">
        <v>14430</v>
      </c>
      <c r="J314" s="30" t="inlineStr">
        <is>
          <t>523708</t>
        </is>
      </c>
    </row>
    <row r="315">
      <c r="A315" s="30" t="inlineStr">
        <is>
          <t>SMCGLOBAL</t>
        </is>
      </c>
      <c r="B315" s="30" t="inlineStr">
        <is>
          <t>SMC Global Securities Ltd</t>
        </is>
      </c>
      <c r="C315" s="30" t="inlineStr">
        <is>
          <t>financials</t>
        </is>
      </c>
      <c r="D315" s="30" t="inlineStr">
        <is>
          <t>finance &amp; investments</t>
        </is>
      </c>
      <c r="E315" s="30" t="inlineStr">
        <is>
          <t>smallcap</t>
        </is>
      </c>
      <c r="F315" s="30" t="n">
        <v>1786.39</v>
      </c>
      <c r="G315" s="30" t="n">
        <v>83.93000000000001</v>
      </c>
      <c r="H315" s="30" t="n">
        <v>-1.62</v>
      </c>
      <c r="I315" s="30" t="n">
        <v>804605</v>
      </c>
      <c r="J315" s="30" t="inlineStr">
        <is>
          <t>543263</t>
        </is>
      </c>
    </row>
    <row r="316">
      <c r="A316" s="30" t="inlineStr">
        <is>
          <t>KAPSTON</t>
        </is>
      </c>
      <c r="B316" s="30" t="inlineStr">
        <is>
          <t>Kapston Services Ltd</t>
        </is>
      </c>
      <c r="C316" s="30" t="inlineStr">
        <is>
          <t>miscellaneous</t>
        </is>
      </c>
      <c r="D316" s="30" t="inlineStr">
        <is>
          <t>miscellaneous</t>
        </is>
      </c>
      <c r="E316" s="30" t="inlineStr">
        <is>
          <t>smallcap</t>
        </is>
      </c>
      <c r="F316" s="30" t="n">
        <v>1745.74</v>
      </c>
      <c r="G316" s="30" t="n">
        <v>564.3</v>
      </c>
      <c r="H316" s="30" t="n">
        <v>-1.63</v>
      </c>
      <c r="I316" s="30" t="n">
        <v>22942</v>
      </c>
      <c r="J316" s="30" t="inlineStr">
        <is>
          <t>535064</t>
        </is>
      </c>
    </row>
    <row r="317">
      <c r="A317" s="30" t="inlineStr">
        <is>
          <t>SOMANYCERA</t>
        </is>
      </c>
      <c r="B317" s="30" t="inlineStr">
        <is>
          <t>Somany Ceramics Limited</t>
        </is>
      </c>
      <c r="C317" s="30" t="inlineStr">
        <is>
          <t>building materials</t>
        </is>
      </c>
      <c r="D317" s="30" t="inlineStr">
        <is>
          <t>ceramics - tiles / sanitaryware</t>
        </is>
      </c>
      <c r="E317" s="30" t="inlineStr">
        <is>
          <t>smallcap</t>
        </is>
      </c>
      <c r="F317" s="30" t="n">
        <v>2307.59</v>
      </c>
      <c r="G317" s="30" t="n">
        <v>553.5</v>
      </c>
      <c r="H317" s="30" t="n">
        <v>-1.63</v>
      </c>
      <c r="I317" s="30" t="n">
        <v>93463</v>
      </c>
      <c r="J317" s="30" t="inlineStr">
        <is>
          <t>531548</t>
        </is>
      </c>
    </row>
    <row r="318">
      <c r="A318" s="30" t="inlineStr">
        <is>
          <t>AVADHSUGAR</t>
        </is>
      </c>
      <c r="B318" s="30" t="inlineStr">
        <is>
          <t>Avadh Sugar &amp; Energy</t>
        </is>
      </c>
      <c r="C318" s="30" t="inlineStr">
        <is>
          <t>fmcg</t>
        </is>
      </c>
      <c r="D318" s="30" t="inlineStr">
        <is>
          <t>sugar</t>
        </is>
      </c>
      <c r="E318" s="30" t="inlineStr">
        <is>
          <t>smallcap</t>
        </is>
      </c>
      <c r="F318" s="30" t="n">
        <v>1674.04</v>
      </c>
      <c r="G318" s="30" t="n">
        <v>822.3</v>
      </c>
      <c r="H318" s="30" t="n">
        <v>-1.67</v>
      </c>
      <c r="I318" s="30" t="n">
        <v>118788</v>
      </c>
      <c r="J318" s="30" t="inlineStr">
        <is>
          <t>540649</t>
        </is>
      </c>
    </row>
    <row r="319">
      <c r="A319" s="30" t="inlineStr">
        <is>
          <t>CAPLIPOINT</t>
        </is>
      </c>
      <c r="B319" s="30" t="inlineStr">
        <is>
          <t>Caplin Point Laboratories Limited</t>
        </is>
      </c>
      <c r="C319" s="30" t="inlineStr">
        <is>
          <t>healthcare</t>
        </is>
      </c>
      <c r="D319" s="30" t="inlineStr">
        <is>
          <t>pharmaceuticals - indian - formulations</t>
        </is>
      </c>
      <c r="E319" s="30" t="inlineStr">
        <is>
          <t>largecap</t>
        </is>
      </c>
      <c r="F319" s="30" t="n">
        <v>21056</v>
      </c>
      <c r="G319" s="30" t="n">
        <v>2723.1</v>
      </c>
      <c r="H319" s="30" t="n">
        <v>-1.7</v>
      </c>
      <c r="I319" s="30" t="n">
        <v>117200</v>
      </c>
      <c r="J319" s="30" t="inlineStr">
        <is>
          <t>524742</t>
        </is>
      </c>
    </row>
    <row r="320">
      <c r="A320" s="30" t="inlineStr">
        <is>
          <t>MARKSANS</t>
        </is>
      </c>
      <c r="B320" s="30" t="inlineStr">
        <is>
          <t>Marksans Pharma Limited</t>
        </is>
      </c>
      <c r="C320" s="30" t="inlineStr">
        <is>
          <t>healthcare</t>
        </is>
      </c>
      <c r="D320" s="30" t="inlineStr">
        <is>
          <t>pharmaceuticals - indian - formulations</t>
        </is>
      </c>
      <c r="E320" s="30" t="inlineStr">
        <is>
          <t>midcap</t>
        </is>
      </c>
      <c r="F320" s="30" t="n">
        <v>15221.77</v>
      </c>
      <c r="G320" s="30" t="n">
        <v>330.15</v>
      </c>
      <c r="H320" s="30" t="n">
        <v>-1.71</v>
      </c>
      <c r="I320" s="30" t="n">
        <v>1784442</v>
      </c>
      <c r="J320" s="30" t="inlineStr">
        <is>
          <t>524404</t>
        </is>
      </c>
    </row>
    <row r="321">
      <c r="A321" s="30" t="inlineStr">
        <is>
          <t>SHREEPUSHK</t>
        </is>
      </c>
      <c r="B321" s="30" t="inlineStr">
        <is>
          <t>Shree Pushkar Chemicals &amp; Fertilisers Limited</t>
        </is>
      </c>
      <c r="C321" s="30" t="inlineStr">
        <is>
          <t>chemicals</t>
        </is>
      </c>
      <c r="D321" s="30" t="inlineStr">
        <is>
          <t>dyes and pigments</t>
        </is>
      </c>
      <c r="E321" s="30" t="inlineStr">
        <is>
          <t>smallcap</t>
        </is>
      </c>
      <c r="F321" s="30" t="n">
        <v>1649.38</v>
      </c>
      <c r="G321" s="30" t="n">
        <v>501.2</v>
      </c>
      <c r="H321" s="30" t="n">
        <v>-1.74</v>
      </c>
      <c r="I321" s="30" t="n">
        <v>46803</v>
      </c>
      <c r="J321" s="30" t="inlineStr">
        <is>
          <t>539334</t>
        </is>
      </c>
    </row>
    <row r="322">
      <c r="A322" s="30" t="inlineStr">
        <is>
          <t>VIDHIING</t>
        </is>
      </c>
      <c r="B322" s="30" t="inlineStr">
        <is>
          <t>Vidhi Specialty Food Ingredients</t>
        </is>
      </c>
      <c r="C322" s="30" t="inlineStr">
        <is>
          <t>chemicals</t>
        </is>
      </c>
      <c r="D322" s="30" t="inlineStr">
        <is>
          <t>dyes and pigments</t>
        </is>
      </c>
      <c r="E322" s="30" t="inlineStr">
        <is>
          <t>smallcap</t>
        </is>
      </c>
      <c r="F322" s="30" t="n">
        <v>1780.29</v>
      </c>
      <c r="G322" s="30" t="n">
        <v>350.2</v>
      </c>
      <c r="H322" s="30" t="n">
        <v>-1.75</v>
      </c>
      <c r="I322" s="30" t="n">
        <v>59111</v>
      </c>
      <c r="J322" s="30" t="inlineStr">
        <is>
          <t>531717</t>
        </is>
      </c>
    </row>
    <row r="323">
      <c r="A323" s="30" t="inlineStr">
        <is>
          <t>SKIPPER</t>
        </is>
      </c>
      <c r="B323" s="30" t="inlineStr">
        <is>
          <t>Skipper Limited</t>
        </is>
      </c>
      <c r="C323" s="30" t="inlineStr">
        <is>
          <t>industrials</t>
        </is>
      </c>
      <c r="D323" s="30" t="inlineStr">
        <is>
          <t>engineering</t>
        </is>
      </c>
      <c r="E323" s="30" t="inlineStr">
        <is>
          <t>midcap</t>
        </is>
      </c>
      <c r="F323" s="30" t="n">
        <v>7385.05</v>
      </c>
      <c r="G323" s="30" t="n">
        <v>593.95</v>
      </c>
      <c r="H323" s="30" t="n">
        <v>-1.78</v>
      </c>
      <c r="I323" s="30" t="n">
        <v>1704618</v>
      </c>
      <c r="J323" s="30" t="inlineStr">
        <is>
          <t>538562</t>
        </is>
      </c>
    </row>
    <row r="324">
      <c r="A324" s="30" t="inlineStr">
        <is>
          <t>SPLPETRO</t>
        </is>
      </c>
      <c r="B324" s="30" t="inlineStr">
        <is>
          <t>Supreme Petrochem Ltd</t>
        </is>
      </c>
      <c r="C324" s="30" t="inlineStr">
        <is>
          <t>energy</t>
        </is>
      </c>
      <c r="D324" s="30" t="inlineStr">
        <is>
          <t>petrochemicals</t>
        </is>
      </c>
      <c r="E324" s="30" t="inlineStr">
        <is>
          <t>midcap</t>
        </is>
      </c>
      <c r="F324" s="30" t="n">
        <v>15577.34</v>
      </c>
      <c r="G324" s="30" t="n">
        <v>813.55</v>
      </c>
      <c r="H324" s="30" t="n">
        <v>-1.79</v>
      </c>
      <c r="I324" s="30" t="n">
        <v>196496</v>
      </c>
      <c r="J324" s="30" t="inlineStr">
        <is>
          <t>500405</t>
        </is>
      </c>
    </row>
    <row r="325">
      <c r="A325" s="30" t="inlineStr">
        <is>
          <t>ARVIND</t>
        </is>
      </c>
      <c r="B325" s="30" t="inlineStr">
        <is>
          <t>Arvind Limited</t>
        </is>
      </c>
      <c r="C325" s="30" t="inlineStr">
        <is>
          <t>textiles</t>
        </is>
      </c>
      <c r="D325" s="30" t="inlineStr">
        <is>
          <t>textiles - cotton/blended</t>
        </is>
      </c>
      <c r="E325" s="30" t="inlineStr">
        <is>
          <t>midcap</t>
        </is>
      </c>
      <c r="F325" s="30" t="n">
        <v>15815.08</v>
      </c>
      <c r="G325" s="30" t="n">
        <v>570.8</v>
      </c>
      <c r="H325" s="30" t="n">
        <v>-1.81</v>
      </c>
      <c r="I325" s="30" t="n">
        <v>1539846</v>
      </c>
      <c r="J325" s="30" t="inlineStr">
        <is>
          <t>500101</t>
        </is>
      </c>
    </row>
    <row r="326">
      <c r="A326" s="30" t="inlineStr">
        <is>
          <t>MODISONLTD</t>
        </is>
      </c>
      <c r="B326" s="30" t="inlineStr">
        <is>
          <t>Modison Ltd</t>
        </is>
      </c>
      <c r="C326" s="30" t="inlineStr">
        <is>
          <t>industrials</t>
        </is>
      </c>
      <c r="D326" s="30" t="inlineStr">
        <is>
          <t>electric equipment</t>
        </is>
      </c>
      <c r="E326" s="30" t="inlineStr">
        <is>
          <t>smallcap</t>
        </is>
      </c>
      <c r="F326" s="30" t="n">
        <v>1620.39</v>
      </c>
      <c r="G326" s="30" t="n">
        <v>490.3</v>
      </c>
      <c r="H326" s="30" t="n">
        <v>-1.81</v>
      </c>
      <c r="I326" s="30" t="n">
        <v>268225</v>
      </c>
      <c r="J326" s="30" t="inlineStr">
        <is>
          <t>506261</t>
        </is>
      </c>
    </row>
    <row r="327">
      <c r="A327" s="30" t="inlineStr">
        <is>
          <t>EMIL</t>
        </is>
      </c>
      <c r="B327" s="30" t="inlineStr">
        <is>
          <t>Electronics Mart India Ltd</t>
        </is>
      </c>
      <c r="C327" s="30" t="inlineStr">
        <is>
          <t>consumer discretionary</t>
        </is>
      </c>
      <c r="D327" s="30" t="inlineStr">
        <is>
          <t>trading</t>
        </is>
      </c>
      <c r="E327" s="30" t="inlineStr">
        <is>
          <t>midcap</t>
        </is>
      </c>
      <c r="F327" s="30" t="n">
        <v>7157.1</v>
      </c>
      <c r="G327" s="30" t="n">
        <v>182.65</v>
      </c>
      <c r="H327" s="30" t="n">
        <v>-1.81</v>
      </c>
      <c r="I327" s="30" t="n">
        <v>1903526</v>
      </c>
      <c r="J327" s="30" t="inlineStr">
        <is>
          <t>543626</t>
        </is>
      </c>
    </row>
    <row r="328">
      <c r="A328" s="30" t="inlineStr">
        <is>
          <t>LOKESHMACH</t>
        </is>
      </c>
      <c r="B328" s="30" t="inlineStr">
        <is>
          <t>Lokesh Machines Limited</t>
        </is>
      </c>
      <c r="C328" s="30" t="inlineStr">
        <is>
          <t>industrials</t>
        </is>
      </c>
      <c r="D328" s="30" t="inlineStr">
        <is>
          <t>engineering</t>
        </is>
      </c>
      <c r="E328" s="30" t="inlineStr">
        <is>
          <t>smallcap</t>
        </is>
      </c>
      <c r="F328" s="30" t="n">
        <v>792.3099999999999</v>
      </c>
      <c r="G328" s="30" t="n">
        <v>356.85</v>
      </c>
      <c r="H328" s="30" t="n">
        <v>-1.83</v>
      </c>
      <c r="I328" s="30" t="n">
        <v>27167</v>
      </c>
      <c r="J328" s="30" t="inlineStr">
        <is>
          <t>532740</t>
        </is>
      </c>
    </row>
    <row r="329">
      <c r="A329" s="30" t="inlineStr">
        <is>
          <t>RML</t>
        </is>
      </c>
      <c r="B329" s="30" t="inlineStr">
        <is>
          <t>Rane (madras) Limited</t>
        </is>
      </c>
      <c r="C329" s="30" t="inlineStr">
        <is>
          <t>auto</t>
        </is>
      </c>
      <c r="D329" s="30" t="inlineStr">
        <is>
          <t>auto ancillaries</t>
        </is>
      </c>
      <c r="E329" s="30" t="inlineStr">
        <is>
          <t>smallcap</t>
        </is>
      </c>
      <c r="F329" s="30" t="n">
        <v>3841.56</v>
      </c>
      <c r="G329" s="30" t="n">
        <v>1364.3</v>
      </c>
      <c r="H329" s="30" t="n">
        <v>-1.85</v>
      </c>
      <c r="I329" s="30" t="n">
        <v>77426</v>
      </c>
      <c r="J329" s="30" t="inlineStr">
        <is>
          <t>532661</t>
        </is>
      </c>
    </row>
    <row r="330">
      <c r="A330" s="30" t="inlineStr">
        <is>
          <t>MSTCLTD</t>
        </is>
      </c>
      <c r="B330" s="30" t="inlineStr">
        <is>
          <t>MSTC Ltd</t>
        </is>
      </c>
      <c r="C330" s="30" t="inlineStr">
        <is>
          <t>i.t</t>
        </is>
      </c>
      <c r="D330" s="30" t="inlineStr">
        <is>
          <t>trading</t>
        </is>
      </c>
      <c r="E330" s="30" t="inlineStr">
        <is>
          <t>midcap</t>
        </is>
      </c>
      <c r="F330" s="30" t="n">
        <v>5480.99</v>
      </c>
      <c r="G330" s="30" t="n">
        <v>764.1</v>
      </c>
      <c r="H330" s="30" t="n">
        <v>-1.86</v>
      </c>
      <c r="I330" s="30" t="n">
        <v>218533</v>
      </c>
      <c r="J330" s="30" t="inlineStr">
        <is>
          <t>542597</t>
        </is>
      </c>
    </row>
    <row r="331">
      <c r="A331" s="30" t="inlineStr">
        <is>
          <t>MANORAMA</t>
        </is>
      </c>
      <c r="B331" s="30" t="inlineStr">
        <is>
          <t>Manorama Industries Ltd</t>
        </is>
      </c>
      <c r="C331" s="30" t="inlineStr">
        <is>
          <t>fmcg</t>
        </is>
      </c>
      <c r="D331" s="30" t="inlineStr">
        <is>
          <t>food - processing - indian</t>
        </is>
      </c>
      <c r="E331" s="30" t="inlineStr">
        <is>
          <t>midcap</t>
        </is>
      </c>
      <c r="F331" s="30" t="n">
        <v>12735.23</v>
      </c>
      <c r="G331" s="30" t="n">
        <v>2093.3</v>
      </c>
      <c r="H331" s="30" t="n">
        <v>-1.86</v>
      </c>
      <c r="I331" s="30" t="n">
        <v>166097</v>
      </c>
      <c r="J331" s="30" t="inlineStr">
        <is>
          <t>541974</t>
        </is>
      </c>
    </row>
    <row r="332">
      <c r="A332" s="30" t="inlineStr">
        <is>
          <t>RGL</t>
        </is>
      </c>
      <c r="B332" s="30" t="inlineStr">
        <is>
          <t>Renaissance Global Ltd</t>
        </is>
      </c>
      <c r="C332" s="30" t="inlineStr">
        <is>
          <t>consumer discretionary</t>
        </is>
      </c>
      <c r="D332" s="30" t="inlineStr">
        <is>
          <t>diamond cutting / jewellery</t>
        </is>
      </c>
      <c r="E332" s="30" t="inlineStr">
        <is>
          <t>smallcap</t>
        </is>
      </c>
      <c r="F332" s="30" t="n">
        <v>1610.53</v>
      </c>
      <c r="G332" s="30" t="n">
        <v>147.19</v>
      </c>
      <c r="H332" s="30" t="n">
        <v>-1.87</v>
      </c>
      <c r="I332" s="30" t="n">
        <v>394708</v>
      </c>
      <c r="J332" s="30" t="inlineStr">
        <is>
          <t>532923</t>
        </is>
      </c>
    </row>
    <row r="333">
      <c r="A333" s="30" t="inlineStr">
        <is>
          <t>MAWANASUG</t>
        </is>
      </c>
      <c r="B333" s="30" t="inlineStr">
        <is>
          <t>Mawana Sugars Limited</t>
        </is>
      </c>
      <c r="C333" s="30" t="inlineStr">
        <is>
          <t>fmcg</t>
        </is>
      </c>
      <c r="D333" s="30" t="inlineStr">
        <is>
          <t>sugar</t>
        </is>
      </c>
      <c r="E333" s="30" t="inlineStr">
        <is>
          <t>smallcap</t>
        </is>
      </c>
      <c r="F333" s="30" t="n">
        <v>557.45</v>
      </c>
      <c r="G333" s="30" t="n">
        <v>139.79</v>
      </c>
      <c r="H333" s="30" t="n">
        <v>-1.91</v>
      </c>
      <c r="I333" s="30" t="n">
        <v>179141</v>
      </c>
      <c r="J333" s="30" t="inlineStr">
        <is>
          <t>523371</t>
        </is>
      </c>
    </row>
    <row r="334">
      <c r="A334" s="30" t="inlineStr">
        <is>
          <t>JTLIND</t>
        </is>
      </c>
      <c r="B334" s="30" t="inlineStr">
        <is>
          <t>JTL Industries Ltd</t>
        </is>
      </c>
      <c r="C334" s="30" t="inlineStr">
        <is>
          <t>metals &amp; mining</t>
        </is>
      </c>
      <c r="D334" s="30" t="inlineStr">
        <is>
          <t>steel - medium / small</t>
        </is>
      </c>
      <c r="E334" s="30" t="inlineStr">
        <is>
          <t>smallcap</t>
        </is>
      </c>
      <c r="F334" s="30" t="n">
        <v>3520.05</v>
      </c>
      <c r="G334" s="30" t="n">
        <v>87.8</v>
      </c>
      <c r="H334" s="30" t="n">
        <v>-1.95</v>
      </c>
      <c r="I334" s="30" t="n">
        <v>3517545</v>
      </c>
      <c r="J334" s="30" t="inlineStr">
        <is>
          <t>534600</t>
        </is>
      </c>
    </row>
    <row r="335">
      <c r="A335" s="30" t="inlineStr">
        <is>
          <t>ROSSTECH</t>
        </is>
      </c>
      <c r="B335" s="30" t="inlineStr">
        <is>
          <t>Rossell Techsys Ltd</t>
        </is>
      </c>
      <c r="C335" s="30" t="inlineStr">
        <is>
          <t>aerospace &amp; defence</t>
        </is>
      </c>
      <c r="D335" s="30" t="inlineStr">
        <is>
          <t>engineering</t>
        </is>
      </c>
      <c r="E335" s="30" t="inlineStr">
        <is>
          <t>smallcap</t>
        </is>
      </c>
      <c r="F335" s="30" t="n">
        <v>4591.43</v>
      </c>
      <c r="G335" s="30" t="n">
        <v>1193.7</v>
      </c>
      <c r="H335" s="30" t="n">
        <v>-2</v>
      </c>
      <c r="I335" s="30" t="n">
        <v>189157</v>
      </c>
      <c r="J335" s="30" t="inlineStr">
        <is>
          <t>544294</t>
        </is>
      </c>
    </row>
    <row r="336">
      <c r="A336" s="30" t="inlineStr">
        <is>
          <t>WSTCSTPAPR</t>
        </is>
      </c>
      <c r="B336" s="30" t="inlineStr">
        <is>
          <t>West Coast Paper Mills Limited</t>
        </is>
      </c>
      <c r="C336" s="30" t="inlineStr">
        <is>
          <t>building materials</t>
        </is>
      </c>
      <c r="D336" s="30" t="inlineStr">
        <is>
          <t>paper</t>
        </is>
      </c>
      <c r="E336" s="30" t="inlineStr">
        <is>
          <t>smallcap</t>
        </is>
      </c>
      <c r="F336" s="30" t="n">
        <v>4499.25</v>
      </c>
      <c r="G336" s="30" t="n">
        <v>667.55</v>
      </c>
      <c r="H336" s="30" t="n">
        <v>-2</v>
      </c>
      <c r="I336" s="30" t="n">
        <v>126973</v>
      </c>
      <c r="J336" s="30" t="inlineStr">
        <is>
          <t>500444</t>
        </is>
      </c>
    </row>
    <row r="337">
      <c r="A337" s="30" t="inlineStr">
        <is>
          <t>BAFNAPH</t>
        </is>
      </c>
      <c r="B337" s="30" t="inlineStr">
        <is>
          <t>Bafna Pharmaceuticals Ltd</t>
        </is>
      </c>
      <c r="C337" s="30" t="inlineStr">
        <is>
          <t>healthcare</t>
        </is>
      </c>
      <c r="D337" s="30" t="inlineStr">
        <is>
          <t>pharmaceuticals - indian - formulations</t>
        </is>
      </c>
      <c r="E337" s="30" t="inlineStr">
        <is>
          <t>smallcap</t>
        </is>
      </c>
      <c r="F337" s="30" t="n">
        <v>728.02</v>
      </c>
      <c r="G337" s="30" t="n">
        <v>301.6</v>
      </c>
      <c r="H337" s="30" t="n">
        <v>-2</v>
      </c>
      <c r="I337" s="30" t="n">
        <v>4475</v>
      </c>
      <c r="J337" s="30" t="inlineStr">
        <is>
          <t>532989</t>
        </is>
      </c>
    </row>
    <row r="338">
      <c r="A338" s="30" t="inlineStr">
        <is>
          <t>ALLCARGO</t>
        </is>
      </c>
      <c r="B338" s="30" t="inlineStr">
        <is>
          <t>Allcargo Logistics Limited</t>
        </is>
      </c>
      <c r="C338" s="30" t="inlineStr">
        <is>
          <t>transportation</t>
        </is>
      </c>
      <c r="D338" s="30" t="inlineStr">
        <is>
          <t>miscellaneous</t>
        </is>
      </c>
      <c r="E338" s="30" t="inlineStr">
        <is>
          <t>smallcap</t>
        </is>
      </c>
      <c r="F338" s="30" t="n">
        <v>1950.11</v>
      </c>
      <c r="G338" s="30" t="n">
        <v>12.75</v>
      </c>
      <c r="H338" s="30" t="n">
        <v>-2.07</v>
      </c>
      <c r="I338" s="30" t="n">
        <v>22061311</v>
      </c>
      <c r="J338" s="30" t="inlineStr">
        <is>
          <t>532749</t>
        </is>
      </c>
    </row>
    <row r="339">
      <c r="A339" s="30" t="inlineStr">
        <is>
          <t>HFCL</t>
        </is>
      </c>
      <c r="B339" s="30" t="inlineStr">
        <is>
          <t>HFCL Ltd</t>
        </is>
      </c>
      <c r="C339" s="30" t="inlineStr">
        <is>
          <t>telecom</t>
        </is>
      </c>
      <c r="D339" s="30" t="inlineStr">
        <is>
          <t>cables - telephone</t>
        </is>
      </c>
      <c r="E339" s="30" t="inlineStr">
        <is>
          <t>largecap</t>
        </is>
      </c>
      <c r="F339" s="30" t="n">
        <v>38381.39</v>
      </c>
      <c r="G339" s="30" t="n">
        <v>245.43</v>
      </c>
      <c r="H339" s="30" t="n">
        <v>-2.13</v>
      </c>
      <c r="I339" s="30" t="n">
        <v>6833419</v>
      </c>
      <c r="J339" s="30" t="inlineStr">
        <is>
          <t>500183</t>
        </is>
      </c>
    </row>
    <row r="340">
      <c r="A340" s="30" t="inlineStr">
        <is>
          <t>KOPRAN</t>
        </is>
      </c>
      <c r="B340" s="30" t="inlineStr">
        <is>
          <t>Kopran Limited</t>
        </is>
      </c>
      <c r="C340" s="30" t="inlineStr">
        <is>
          <t>healthcare</t>
        </is>
      </c>
      <c r="D340" s="30" t="inlineStr">
        <is>
          <t>pharmaceuticals - indian - bulk drugs &amp; formln</t>
        </is>
      </c>
      <c r="E340" s="30" t="inlineStr">
        <is>
          <t>smallcap</t>
        </is>
      </c>
      <c r="F340" s="30" t="n">
        <v>1156.49</v>
      </c>
      <c r="G340" s="30" t="n">
        <v>234.37</v>
      </c>
      <c r="H340" s="30" t="n">
        <v>-2.15</v>
      </c>
      <c r="I340" s="30" t="n">
        <v>363944</v>
      </c>
      <c r="J340" s="30" t="inlineStr">
        <is>
          <t>524280</t>
        </is>
      </c>
    </row>
    <row r="341">
      <c r="A341" s="30" t="inlineStr">
        <is>
          <t>AEROFLEX</t>
        </is>
      </c>
      <c r="B341" s="30" t="inlineStr">
        <is>
          <t>Aeroflex Industries Ltd</t>
        </is>
      </c>
      <c r="C341" s="30" t="inlineStr">
        <is>
          <t>metals &amp; mining</t>
        </is>
      </c>
      <c r="D341" s="30" t="inlineStr">
        <is>
          <t>steel - medium / small</t>
        </is>
      </c>
      <c r="E341" s="30" t="inlineStr">
        <is>
          <t>midcap</t>
        </is>
      </c>
      <c r="F341" s="30" t="n">
        <v>7589.17</v>
      </c>
      <c r="G341" s="30" t="n">
        <v>561.15</v>
      </c>
      <c r="H341" s="30" t="n">
        <v>-2.15</v>
      </c>
      <c r="I341" s="30" t="n">
        <v>865460</v>
      </c>
      <c r="J341" s="30" t="inlineStr">
        <is>
          <t>543972</t>
        </is>
      </c>
    </row>
    <row r="342">
      <c r="A342" s="30" t="inlineStr">
        <is>
          <t>CPPLUS</t>
        </is>
      </c>
      <c r="B342" s="30" t="inlineStr">
        <is>
          <t>Aditya Infotech Ltd</t>
        </is>
      </c>
      <c r="C342" s="30" t="inlineStr">
        <is>
          <t>consumer discretionary</t>
        </is>
      </c>
      <c r="D342" s="30" t="inlineStr">
        <is>
          <t>trading</t>
        </is>
      </c>
      <c r="E342" s="30" t="inlineStr">
        <is>
          <t>largecap</t>
        </is>
      </c>
      <c r="F342" s="30" t="n">
        <v>45122.59</v>
      </c>
      <c r="G342" s="30" t="n">
        <v>3746.1</v>
      </c>
      <c r="H342" s="30" t="n">
        <v>-2.16</v>
      </c>
      <c r="I342" s="30" t="n">
        <v>180329</v>
      </c>
      <c r="J342" s="30" t="inlineStr">
        <is>
          <t>544466</t>
        </is>
      </c>
    </row>
    <row r="343">
      <c r="A343" s="30" t="inlineStr">
        <is>
          <t>KAMDHENU</t>
        </is>
      </c>
      <c r="B343" s="30" t="inlineStr">
        <is>
          <t>Kamdhenu Limited</t>
        </is>
      </c>
      <c r="C343" s="30" t="inlineStr">
        <is>
          <t>metals &amp; mining</t>
        </is>
      </c>
      <c r="D343" s="30" t="inlineStr">
        <is>
          <t>steel - medium / small</t>
        </is>
      </c>
      <c r="E343" s="30" t="inlineStr">
        <is>
          <t>smallcap</t>
        </is>
      </c>
      <c r="F343" s="30" t="n">
        <v>1134.58</v>
      </c>
      <c r="G343" s="30" t="n">
        <v>39.38</v>
      </c>
      <c r="H343" s="30" t="n">
        <v>-2.16</v>
      </c>
      <c r="I343" s="30" t="n">
        <v>732140</v>
      </c>
      <c r="J343" s="30" t="inlineStr">
        <is>
          <t>532741</t>
        </is>
      </c>
    </row>
    <row r="344">
      <c r="A344" s="30" t="inlineStr">
        <is>
          <t>HIKAL</t>
        </is>
      </c>
      <c r="B344" s="30" t="inlineStr">
        <is>
          <t>Hikal Limited</t>
        </is>
      </c>
      <c r="C344" s="30" t="inlineStr">
        <is>
          <t>healthcare</t>
        </is>
      </c>
      <c r="D344" s="30" t="inlineStr">
        <is>
          <t>pharmaceuticals - indian - bulk drugs</t>
        </is>
      </c>
      <c r="E344" s="30" t="inlineStr">
        <is>
          <t>smallcap</t>
        </is>
      </c>
      <c r="F344" s="30" t="n">
        <v>3033.32</v>
      </c>
      <c r="G344" s="30" t="n">
        <v>240.69</v>
      </c>
      <c r="H344" s="30" t="n">
        <v>-2.16</v>
      </c>
      <c r="I344" s="30" t="n">
        <v>1270796</v>
      </c>
      <c r="J344" s="30" t="inlineStr">
        <is>
          <t>524735</t>
        </is>
      </c>
    </row>
    <row r="345">
      <c r="A345" s="30" t="inlineStr">
        <is>
          <t>ENGINERSIN</t>
        </is>
      </c>
      <c r="B345" s="30" t="inlineStr">
        <is>
          <t>Engineers India Limited</t>
        </is>
      </c>
      <c r="C345" s="30" t="inlineStr">
        <is>
          <t>realty</t>
        </is>
      </c>
      <c r="D345" s="30" t="inlineStr">
        <is>
          <t>engineering - turnkey services</t>
        </is>
      </c>
      <c r="E345" s="30" t="inlineStr">
        <is>
          <t>midcap</t>
        </is>
      </c>
      <c r="F345" s="30" t="n">
        <v>15692.22</v>
      </c>
      <c r="G345" s="30" t="n">
        <v>273.1</v>
      </c>
      <c r="H345" s="30" t="n">
        <v>-2.18</v>
      </c>
      <c r="I345" s="30" t="n">
        <v>2222424</v>
      </c>
      <c r="J345" s="30" t="inlineStr">
        <is>
          <t>532178</t>
        </is>
      </c>
    </row>
    <row r="346">
      <c r="A346" s="30" t="inlineStr">
        <is>
          <t>SUBEXLTD</t>
        </is>
      </c>
      <c r="B346" s="30" t="inlineStr">
        <is>
          <t>Subex Ltd</t>
        </is>
      </c>
      <c r="C346" s="30" t="inlineStr">
        <is>
          <t>i.t</t>
        </is>
      </c>
      <c r="D346" s="30" t="inlineStr">
        <is>
          <t>computers - software - medium / small</t>
        </is>
      </c>
      <c r="E346" s="30" t="inlineStr">
        <is>
          <t>smallcap</t>
        </is>
      </c>
      <c r="F346" s="30" t="n">
        <v>1080.73</v>
      </c>
      <c r="G346" s="30" t="n">
        <v>18.8</v>
      </c>
      <c r="H346" s="30" t="n">
        <v>-2.24</v>
      </c>
      <c r="I346" s="30" t="n">
        <v>23896769</v>
      </c>
      <c r="J346" s="30" t="inlineStr">
        <is>
          <t>532348</t>
        </is>
      </c>
    </row>
    <row r="347">
      <c r="A347" s="30" t="inlineStr">
        <is>
          <t>PARAS</t>
        </is>
      </c>
      <c r="B347" s="30" t="inlineStr">
        <is>
          <t>Paras Defence and Space Technologies Ltd</t>
        </is>
      </c>
      <c r="C347" s="30" t="inlineStr">
        <is>
          <t>aerospace &amp; defence</t>
        </is>
      </c>
      <c r="D347" s="30" t="inlineStr">
        <is>
          <t>engineering</t>
        </is>
      </c>
      <c r="E347" s="30" t="inlineStr">
        <is>
          <t>midcap</t>
        </is>
      </c>
      <c r="F347" s="30" t="n">
        <v>12120.33</v>
      </c>
      <c r="G347" s="30" t="n">
        <v>1470</v>
      </c>
      <c r="H347" s="30" t="n">
        <v>-2.26</v>
      </c>
      <c r="I347" s="30" t="n">
        <v>1212712</v>
      </c>
      <c r="J347" s="30" t="inlineStr">
        <is>
          <t>543367</t>
        </is>
      </c>
    </row>
    <row r="348">
      <c r="A348" s="30" t="inlineStr">
        <is>
          <t>TEJASNET</t>
        </is>
      </c>
      <c r="B348" s="30" t="inlineStr">
        <is>
          <t>Tejas Networks Ltd</t>
        </is>
      </c>
      <c r="C348" s="30" t="inlineStr">
        <is>
          <t>telecom</t>
        </is>
      </c>
      <c r="D348" s="30" t="inlineStr">
        <is>
          <t>telecommunications - equipment</t>
        </is>
      </c>
      <c r="E348" s="30" t="inlineStr">
        <is>
          <t>midcap</t>
        </is>
      </c>
      <c r="F348" s="30" t="n">
        <v>10501.35</v>
      </c>
      <c r="G348" s="30" t="n">
        <v>575.9</v>
      </c>
      <c r="H348" s="30" t="n">
        <v>-2.4</v>
      </c>
      <c r="I348" s="30" t="n">
        <v>2049808</v>
      </c>
      <c r="J348" s="30" t="inlineStr">
        <is>
          <t>540595</t>
        </is>
      </c>
    </row>
    <row r="349">
      <c r="A349" s="30" t="inlineStr">
        <is>
          <t>CHEVIOT</t>
        </is>
      </c>
      <c r="B349" s="30" t="inlineStr">
        <is>
          <t>Cheviot Company Ltd</t>
        </is>
      </c>
      <c r="C349" s="30" t="inlineStr">
        <is>
          <t>textiles</t>
        </is>
      </c>
      <c r="D349" s="30" t="inlineStr">
        <is>
          <t>textiles - jute - yarn / products</t>
        </is>
      </c>
      <c r="E349" s="30" t="inlineStr">
        <is>
          <t>smallcap</t>
        </is>
      </c>
      <c r="F349" s="30" t="n">
        <v>709.55</v>
      </c>
      <c r="G349" s="30" t="n">
        <v>1184.9</v>
      </c>
      <c r="H349" s="30" t="n">
        <v>-2.45</v>
      </c>
      <c r="I349" s="30" t="n">
        <v>1489</v>
      </c>
      <c r="J349" s="30" t="inlineStr">
        <is>
          <t>526817</t>
        </is>
      </c>
    </row>
    <row r="350">
      <c r="A350" s="30" t="inlineStr">
        <is>
          <t>EMAMIPAP</t>
        </is>
      </c>
      <c r="B350" s="30" t="inlineStr">
        <is>
          <t>Emami Paper Mills Ltd</t>
        </is>
      </c>
      <c r="C350" s="30" t="inlineStr">
        <is>
          <t>building materials</t>
        </is>
      </c>
      <c r="D350" s="30" t="inlineStr">
        <is>
          <t>paper</t>
        </is>
      </c>
      <c r="E350" s="30" t="inlineStr">
        <is>
          <t>smallcap</t>
        </is>
      </c>
      <c r="F350" s="30" t="n">
        <v>724.05</v>
      </c>
      <c r="G350" s="30" t="n">
        <v>116.67</v>
      </c>
      <c r="H350" s="30" t="n">
        <v>-2.52</v>
      </c>
      <c r="I350" s="30" t="n">
        <v>33133</v>
      </c>
      <c r="J350" s="30" t="inlineStr">
        <is>
          <t>533208</t>
        </is>
      </c>
    </row>
    <row r="351">
      <c r="A351" s="30" t="inlineStr">
        <is>
          <t>MOTILALOFS</t>
        </is>
      </c>
      <c r="B351" s="30" t="inlineStr">
        <is>
          <t>Motilal Oswal Financial Services Limited</t>
        </is>
      </c>
      <c r="C351" s="30" t="inlineStr">
        <is>
          <t>financials</t>
        </is>
      </c>
      <c r="D351" s="30" t="inlineStr">
        <is>
          <t>finance &amp; investments</t>
        </is>
      </c>
      <c r="E351" s="30" t="inlineStr">
        <is>
          <t>largecap</t>
        </is>
      </c>
      <c r="F351" s="30" t="n">
        <v>63315.73</v>
      </c>
      <c r="G351" s="30" t="n">
        <v>1025</v>
      </c>
      <c r="H351" s="30" t="n">
        <v>-2.52</v>
      </c>
      <c r="I351" s="30" t="n">
        <v>489071</v>
      </c>
      <c r="J351" s="30" t="inlineStr">
        <is>
          <t>532892</t>
        </is>
      </c>
    </row>
    <row r="352">
      <c r="A352" s="30" t="inlineStr">
        <is>
          <t>ALEMBICLTD</t>
        </is>
      </c>
      <c r="B352" s="30" t="inlineStr">
        <is>
          <t>Alembic Limited</t>
        </is>
      </c>
      <c r="C352" s="30" t="inlineStr">
        <is>
          <t>realty</t>
        </is>
      </c>
      <c r="D352" s="30" t="inlineStr">
        <is>
          <t>construction</t>
        </is>
      </c>
      <c r="E352" s="30" t="inlineStr">
        <is>
          <t>smallcap</t>
        </is>
      </c>
      <c r="F352" s="30" t="n">
        <v>2817.67</v>
      </c>
      <c r="G352" s="30" t="n">
        <v>106.95</v>
      </c>
      <c r="H352" s="30" t="n">
        <v>-2.53</v>
      </c>
      <c r="I352" s="30" t="n">
        <v>694090</v>
      </c>
      <c r="J352" s="30" t="inlineStr">
        <is>
          <t>506235</t>
        </is>
      </c>
    </row>
    <row r="353">
      <c r="A353" s="30" t="inlineStr">
        <is>
          <t>VOLTAMP</t>
        </is>
      </c>
      <c r="B353" s="30" t="inlineStr">
        <is>
          <t>Voltamp Transformers Limited</t>
        </is>
      </c>
      <c r="C353" s="30" t="inlineStr">
        <is>
          <t>industrials</t>
        </is>
      </c>
      <c r="D353" s="30" t="inlineStr">
        <is>
          <t>electric equipment</t>
        </is>
      </c>
      <c r="E353" s="30" t="inlineStr">
        <is>
          <t>midcap</t>
        </is>
      </c>
      <c r="F353" s="30" t="n">
        <v>11498.11</v>
      </c>
      <c r="G353" s="30" t="n">
        <v>11069</v>
      </c>
      <c r="H353" s="30" t="n">
        <v>-2.6</v>
      </c>
      <c r="I353" s="30" t="n">
        <v>17603</v>
      </c>
      <c r="J353" s="30" t="inlineStr">
        <is>
          <t>532757</t>
        </is>
      </c>
    </row>
    <row r="354">
      <c r="A354" s="30" t="inlineStr">
        <is>
          <t>NILKAMAL</t>
        </is>
      </c>
      <c r="B354" s="30" t="inlineStr">
        <is>
          <t>Nilkamal Limited</t>
        </is>
      </c>
      <c r="C354" s="30" t="inlineStr">
        <is>
          <t>plastic products</t>
        </is>
      </c>
      <c r="D354" s="30" t="inlineStr">
        <is>
          <t>plastics products</t>
        </is>
      </c>
      <c r="E354" s="30" t="inlineStr">
        <is>
          <t>smallcap</t>
        </is>
      </c>
      <c r="F354" s="30" t="n">
        <v>3151.64</v>
      </c>
      <c r="G354" s="30" t="n">
        <v>2056.7</v>
      </c>
      <c r="H354" s="30" t="n">
        <v>-2.62</v>
      </c>
      <c r="I354" s="30" t="n">
        <v>13217</v>
      </c>
      <c r="J354" s="30" t="inlineStr">
        <is>
          <t>523385</t>
        </is>
      </c>
    </row>
    <row r="355">
      <c r="A355" s="30" t="inlineStr">
        <is>
          <t>MOLDTECH</t>
        </is>
      </c>
      <c r="B355" s="30" t="inlineStr">
        <is>
          <t>Mold-tek Technologies Limited</t>
        </is>
      </c>
      <c r="C355" s="30" t="inlineStr">
        <is>
          <t>realty</t>
        </is>
      </c>
      <c r="D355" s="30" t="inlineStr">
        <is>
          <t>engineering - turnkey services</t>
        </is>
      </c>
      <c r="E355" s="30" t="inlineStr">
        <is>
          <t>smallcap</t>
        </is>
      </c>
      <c r="F355" s="30" t="n">
        <v>628.73</v>
      </c>
      <c r="G355" s="30" t="n">
        <v>212.51</v>
      </c>
      <c r="H355" s="30" t="n">
        <v>-2.64</v>
      </c>
      <c r="I355" s="30" t="n">
        <v>35303</v>
      </c>
      <c r="J355" s="30" t="inlineStr">
        <is>
          <t>526263</t>
        </is>
      </c>
    </row>
    <row r="356">
      <c r="A356" s="30" t="inlineStr">
        <is>
          <t>UNIMECH</t>
        </is>
      </c>
      <c r="B356" s="30" t="inlineStr">
        <is>
          <t>Unimech Aerospace and Manufacturing Ltd</t>
        </is>
      </c>
      <c r="C356" s="30" t="inlineStr">
        <is>
          <t>aerospace &amp; defence</t>
        </is>
      </c>
      <c r="D356" s="30" t="inlineStr">
        <is>
          <t>engineering</t>
        </is>
      </c>
      <c r="E356" s="30" t="inlineStr">
        <is>
          <t>midcap</t>
        </is>
      </c>
      <c r="F356" s="30" t="n">
        <v>8287.639999999999</v>
      </c>
      <c r="G356" s="30" t="n">
        <v>1586.4</v>
      </c>
      <c r="H356" s="30" t="n">
        <v>-2.65</v>
      </c>
      <c r="I356" s="30" t="n">
        <v>399949</v>
      </c>
      <c r="J356" s="30" t="inlineStr">
        <is>
          <t>544322</t>
        </is>
      </c>
    </row>
    <row r="357">
      <c r="A357" s="30" t="inlineStr">
        <is>
          <t>ACMESOLAR</t>
        </is>
      </c>
      <c r="B357" s="30" t="inlineStr">
        <is>
          <t>ACME Solar Holdings Ltd</t>
        </is>
      </c>
      <c r="C357" s="30" t="inlineStr">
        <is>
          <t>realty</t>
        </is>
      </c>
      <c r="D357" s="30" t="inlineStr">
        <is>
          <t>engineering - turnkey services</t>
        </is>
      </c>
      <c r="E357" s="30" t="inlineStr">
        <is>
          <t>largecap</t>
        </is>
      </c>
      <c r="F357" s="30" t="n">
        <v>29165.64</v>
      </c>
      <c r="G357" s="30" t="n">
        <v>401.6</v>
      </c>
      <c r="H357" s="30" t="n">
        <v>-2.67</v>
      </c>
      <c r="I357" s="30" t="n">
        <v>862025</v>
      </c>
      <c r="J357" s="30" t="inlineStr">
        <is>
          <t>544283</t>
        </is>
      </c>
    </row>
    <row r="358">
      <c r="A358" s="30" t="inlineStr">
        <is>
          <t>JYOTICNC</t>
        </is>
      </c>
      <c r="B358" s="30" t="inlineStr">
        <is>
          <t>Jyoti CNC Automation Ltd</t>
        </is>
      </c>
      <c r="C358" s="30" t="inlineStr">
        <is>
          <t>industrials</t>
        </is>
      </c>
      <c r="D358" s="30" t="inlineStr">
        <is>
          <t>engineering</t>
        </is>
      </c>
      <c r="E358" s="30" t="inlineStr">
        <is>
          <t>largecap</t>
        </is>
      </c>
      <c r="F358" s="30" t="n">
        <v>23588.32</v>
      </c>
      <c r="G358" s="30" t="n">
        <v>1009.05</v>
      </c>
      <c r="H358" s="30" t="n">
        <v>-2.71</v>
      </c>
      <c r="I358" s="30" t="n">
        <v>510588</v>
      </c>
      <c r="J358" s="30" t="inlineStr">
        <is>
          <t>544081</t>
        </is>
      </c>
    </row>
    <row r="359">
      <c r="A359" s="30" t="inlineStr">
        <is>
          <t>HMT</t>
        </is>
      </c>
      <c r="B359" s="30" t="inlineStr">
        <is>
          <t>Hmt Limited</t>
        </is>
      </c>
      <c r="C359" s="30" t="inlineStr">
        <is>
          <t>consumer discretionary</t>
        </is>
      </c>
      <c r="D359" s="30" t="inlineStr">
        <is>
          <t>miscellaneous</t>
        </is>
      </c>
      <c r="E359" s="30" t="inlineStr">
        <is>
          <t>midcap</t>
        </is>
      </c>
      <c r="F359" s="30" t="n">
        <v>8201.07</v>
      </c>
      <c r="G359" s="30" t="n">
        <v>66.23999999999999</v>
      </c>
      <c r="H359" s="30" t="n">
        <v>-2.75</v>
      </c>
      <c r="I359" s="30" t="n">
        <v>18801</v>
      </c>
      <c r="J359" s="30" t="inlineStr">
        <is>
          <t>500191</t>
        </is>
      </c>
    </row>
    <row r="360">
      <c r="A360" s="30" t="inlineStr">
        <is>
          <t>PRABHA</t>
        </is>
      </c>
      <c r="B360" s="30" t="inlineStr">
        <is>
          <t>Prabha Energy Ltd</t>
        </is>
      </c>
      <c r="C360" s="30" t="inlineStr">
        <is>
          <t>energy</t>
        </is>
      </c>
      <c r="D360" s="30" t="inlineStr">
        <is>
          <t>oil drilling / allied services</t>
        </is>
      </c>
      <c r="E360" s="30" t="inlineStr">
        <is>
          <t>smallcap</t>
        </is>
      </c>
      <c r="F360" s="30" t="n">
        <v>3716.35</v>
      </c>
      <c r="G360" s="30" t="n">
        <v>246.58</v>
      </c>
      <c r="H360" s="30" t="n">
        <v>-2.75</v>
      </c>
      <c r="I360" s="30" t="n">
        <v>597234</v>
      </c>
      <c r="J360" s="30" t="inlineStr">
        <is>
          <t>544379</t>
        </is>
      </c>
    </row>
    <row r="361">
      <c r="A361" s="30" t="inlineStr">
        <is>
          <t>AYMSYNTEX</t>
        </is>
      </c>
      <c r="B361" s="30" t="inlineStr">
        <is>
          <t>Aym Syntex Limited</t>
        </is>
      </c>
      <c r="C361" s="30" t="inlineStr">
        <is>
          <t>textiles</t>
        </is>
      </c>
      <c r="D361" s="30" t="inlineStr">
        <is>
          <t>textiles - processing</t>
        </is>
      </c>
      <c r="E361" s="30" t="inlineStr">
        <is>
          <t>smallcap</t>
        </is>
      </c>
      <c r="F361" s="30" t="n">
        <v>1880.08</v>
      </c>
      <c r="G361" s="30" t="n">
        <v>311.3</v>
      </c>
      <c r="H361" s="30" t="n">
        <v>-2.75</v>
      </c>
      <c r="I361" s="30" t="n">
        <v>91725</v>
      </c>
      <c r="J361" s="30" t="inlineStr">
        <is>
          <t>508933</t>
        </is>
      </c>
    </row>
    <row r="362">
      <c r="A362" s="30" t="inlineStr">
        <is>
          <t>MIDHANI</t>
        </is>
      </c>
      <c r="B362" s="30" t="inlineStr">
        <is>
          <t>Mishra Dhatu Nigam Ltd</t>
        </is>
      </c>
      <c r="C362" s="30" t="inlineStr">
        <is>
          <t>aerospace &amp; defence</t>
        </is>
      </c>
      <c r="D362" s="30" t="inlineStr">
        <is>
          <t>steel - medium / small</t>
        </is>
      </c>
      <c r="E362" s="30" t="inlineStr">
        <is>
          <t>midcap</t>
        </is>
      </c>
      <c r="F362" s="30" t="n">
        <v>8936.120000000001</v>
      </c>
      <c r="G362" s="30" t="n">
        <v>463.8</v>
      </c>
      <c r="H362" s="30" t="n">
        <v>-2.77</v>
      </c>
      <c r="I362" s="30" t="n">
        <v>5087063</v>
      </c>
      <c r="J362" s="30" t="inlineStr">
        <is>
          <t>541195</t>
        </is>
      </c>
    </row>
    <row r="363">
      <c r="A363" s="30" t="inlineStr">
        <is>
          <t>MUKKA</t>
        </is>
      </c>
      <c r="B363" s="30" t="inlineStr">
        <is>
          <t>Mukka Proteins Ltd</t>
        </is>
      </c>
      <c r="C363" s="30" t="inlineStr">
        <is>
          <t>fmcg</t>
        </is>
      </c>
      <c r="D363" s="30" t="inlineStr">
        <is>
          <t>food - processing - indian</t>
        </is>
      </c>
      <c r="E363" s="30" t="inlineStr">
        <is>
          <t>smallcap</t>
        </is>
      </c>
      <c r="F363" s="30" t="n">
        <v>921.6</v>
      </c>
      <c r="G363" s="30" t="n">
        <v>29.86</v>
      </c>
      <c r="H363" s="30" t="n">
        <v>-2.8</v>
      </c>
      <c r="I363" s="30" t="n">
        <v>1716557</v>
      </c>
      <c r="J363" s="30" t="inlineStr">
        <is>
          <t>544135</t>
        </is>
      </c>
    </row>
    <row r="364">
      <c r="A364" s="30" t="inlineStr">
        <is>
          <t>SIGMAADV</t>
        </is>
      </c>
      <c r="B364" s="30" t="inlineStr">
        <is>
          <t>Sigma Advanced System Ltd</t>
        </is>
      </c>
      <c r="C364" s="30" t="inlineStr">
        <is>
          <t>aerospace &amp; defence</t>
        </is>
      </c>
      <c r="D364" s="30" t="inlineStr">
        <is>
          <t>electronics - components</t>
        </is>
      </c>
      <c r="E364" s="30" t="inlineStr">
        <is>
          <t>midcap</t>
        </is>
      </c>
      <c r="F364" s="30" t="n">
        <v>14726.7</v>
      </c>
      <c r="G364" s="30" t="n">
        <v>755.1</v>
      </c>
      <c r="H364" s="30" t="n">
        <v>-2.84</v>
      </c>
      <c r="I364" s="30" t="n">
        <v>155489</v>
      </c>
      <c r="J364" s="30" t="inlineStr">
        <is>
          <t>532408</t>
        </is>
      </c>
    </row>
    <row r="365">
      <c r="A365" s="30" t="inlineStr">
        <is>
          <t>SUNDRMFAST</t>
        </is>
      </c>
      <c r="B365" s="30" t="inlineStr">
        <is>
          <t>Sundram Fasteners Limited</t>
        </is>
      </c>
      <c r="C365" s="30" t="inlineStr">
        <is>
          <t>auto</t>
        </is>
      </c>
      <c r="D365" s="30" t="inlineStr">
        <is>
          <t>auto ancillaries</t>
        </is>
      </c>
      <c r="E365" s="30" t="inlineStr">
        <is>
          <t>largecap</t>
        </is>
      </c>
      <c r="F365" s="30" t="n">
        <v>26371.11</v>
      </c>
      <c r="G365" s="30" t="n">
        <v>1219.4</v>
      </c>
      <c r="H365" s="30" t="n">
        <v>-2.84</v>
      </c>
      <c r="I365" s="30" t="n">
        <v>99959</v>
      </c>
      <c r="J365" s="30" t="inlineStr">
        <is>
          <t>500403</t>
        </is>
      </c>
    </row>
    <row r="366">
      <c r="A366" s="30" t="inlineStr">
        <is>
          <t>HARSHA</t>
        </is>
      </c>
      <c r="B366" s="30" t="inlineStr">
        <is>
          <t>Harsha Engineers International Ltd</t>
        </is>
      </c>
      <c r="C366" s="30" t="inlineStr">
        <is>
          <t>industrials</t>
        </is>
      </c>
      <c r="D366" s="30" t="inlineStr">
        <is>
          <t>engineering</t>
        </is>
      </c>
      <c r="E366" s="30" t="inlineStr">
        <is>
          <t>smallcap</t>
        </is>
      </c>
      <c r="F366" s="30" t="n">
        <v>4249.94</v>
      </c>
      <c r="G366" s="30" t="n">
        <v>453.4</v>
      </c>
      <c r="H366" s="30" t="n">
        <v>-2.87</v>
      </c>
      <c r="I366" s="30" t="n">
        <v>175392</v>
      </c>
      <c r="J366" s="30" t="inlineStr">
        <is>
          <t>543600</t>
        </is>
      </c>
    </row>
    <row r="367">
      <c r="A367" s="30" t="inlineStr">
        <is>
          <t>VISHNU</t>
        </is>
      </c>
      <c r="B367" s="30" t="inlineStr">
        <is>
          <t>Vishnu Chemicals Limited</t>
        </is>
      </c>
      <c r="C367" s="30" t="inlineStr">
        <is>
          <t>chemicals</t>
        </is>
      </c>
      <c r="D367" s="30" t="inlineStr">
        <is>
          <t>chemicals</t>
        </is>
      </c>
      <c r="E367" s="30" t="inlineStr">
        <is>
          <t>smallcap</t>
        </is>
      </c>
      <c r="F367" s="30" t="n">
        <v>4924.45</v>
      </c>
      <c r="G367" s="30" t="n">
        <v>709.05</v>
      </c>
      <c r="H367" s="30" t="n">
        <v>-3.08</v>
      </c>
      <c r="I367" s="30" t="n">
        <v>181853</v>
      </c>
      <c r="J367" s="30" t="inlineStr">
        <is>
          <t>516072</t>
        </is>
      </c>
    </row>
    <row r="368">
      <c r="A368" s="30" t="inlineStr">
        <is>
          <t>CYIENTDLM</t>
        </is>
      </c>
      <c r="B368" s="30" t="inlineStr">
        <is>
          <t>Cyient DLM Ltd</t>
        </is>
      </c>
      <c r="C368" s="30" t="inlineStr">
        <is>
          <t>aerospace &amp; defence</t>
        </is>
      </c>
      <c r="D368" s="30" t="inlineStr">
        <is>
          <t>electronics - components</t>
        </is>
      </c>
      <c r="E368" s="30" t="inlineStr">
        <is>
          <t>midcap</t>
        </is>
      </c>
      <c r="F368" s="30" t="n">
        <v>7749.8</v>
      </c>
      <c r="G368" s="30" t="n">
        <v>945.65</v>
      </c>
      <c r="H368" s="30" t="n">
        <v>-3.13</v>
      </c>
      <c r="I368" s="30" t="n">
        <v>749695</v>
      </c>
      <c r="J368" s="30" t="inlineStr">
        <is>
          <t>543933</t>
        </is>
      </c>
    </row>
    <row r="369">
      <c r="A369" s="30" t="inlineStr">
        <is>
          <t>DEEPINDS</t>
        </is>
      </c>
      <c r="B369" s="30" t="inlineStr">
        <is>
          <t>Deep Industries Ltd</t>
        </is>
      </c>
      <c r="C369" s="30" t="inlineStr">
        <is>
          <t>energy</t>
        </is>
      </c>
      <c r="D369" s="30" t="inlineStr">
        <is>
          <t>oil drilling / allied services</t>
        </is>
      </c>
      <c r="E369" s="30" t="inlineStr">
        <is>
          <t>midcap</t>
        </is>
      </c>
      <c r="F369" s="30" t="n">
        <v>5239.68</v>
      </c>
      <c r="G369" s="30" t="n">
        <v>792.7</v>
      </c>
      <c r="H369" s="30" t="n">
        <v>-3.18</v>
      </c>
      <c r="I369" s="30" t="n">
        <v>624713</v>
      </c>
      <c r="J369" s="30" t="inlineStr">
        <is>
          <t>543288</t>
        </is>
      </c>
    </row>
    <row r="370">
      <c r="A370" s="30" t="inlineStr">
        <is>
          <t>TVSSRICHAK</t>
        </is>
      </c>
      <c r="B370" s="30" t="inlineStr">
        <is>
          <t>Tvs Srichakra Limited</t>
        </is>
      </c>
      <c r="C370" s="30" t="inlineStr">
        <is>
          <t>auto</t>
        </is>
      </c>
      <c r="D370" s="30" t="inlineStr">
        <is>
          <t>tyres</t>
        </is>
      </c>
      <c r="E370" s="30" t="inlineStr">
        <is>
          <t>smallcap</t>
        </is>
      </c>
      <c r="F370" s="30" t="n">
        <v>4088.86</v>
      </c>
      <c r="G370" s="30" t="n">
        <v>5169</v>
      </c>
      <c r="H370" s="30" t="n">
        <v>-3.2</v>
      </c>
      <c r="I370" s="30" t="n">
        <v>7739</v>
      </c>
      <c r="J370" s="30" t="inlineStr">
        <is>
          <t>509243</t>
        </is>
      </c>
    </row>
    <row r="371">
      <c r="A371" s="30" t="inlineStr">
        <is>
          <t>MANALIPETC</t>
        </is>
      </c>
      <c r="B371" s="30" t="inlineStr">
        <is>
          <t>Manali Petrochemicals Limited</t>
        </is>
      </c>
      <c r="C371" s="30" t="inlineStr">
        <is>
          <t>energy</t>
        </is>
      </c>
      <c r="D371" s="30" t="inlineStr">
        <is>
          <t>petrochemicals</t>
        </is>
      </c>
      <c r="E371" s="30" t="inlineStr">
        <is>
          <t>smallcap</t>
        </is>
      </c>
      <c r="F371" s="30" t="n">
        <v>1549.37</v>
      </c>
      <c r="G371" s="30" t="n">
        <v>87.15000000000001</v>
      </c>
      <c r="H371" s="30" t="n">
        <v>-3.25</v>
      </c>
      <c r="I371" s="30" t="n">
        <v>3298224</v>
      </c>
      <c r="J371" s="30" t="inlineStr">
        <is>
          <t>500268</t>
        </is>
      </c>
    </row>
    <row r="372">
      <c r="A372" s="30" t="inlineStr">
        <is>
          <t>ASIANENE</t>
        </is>
      </c>
      <c r="B372" s="30" t="inlineStr">
        <is>
          <t>Asian Energy Services Ltd</t>
        </is>
      </c>
      <c r="C372" s="30" t="inlineStr">
        <is>
          <t>energy</t>
        </is>
      </c>
      <c r="D372" s="30" t="inlineStr">
        <is>
          <t>oil drilling / allied services</t>
        </is>
      </c>
      <c r="E372" s="30" t="inlineStr">
        <is>
          <t>smallcap</t>
        </is>
      </c>
      <c r="F372" s="30" t="n">
        <v>2691.89</v>
      </c>
      <c r="G372" s="30" t="n">
        <v>535.5</v>
      </c>
      <c r="H372" s="30" t="n">
        <v>-3.26</v>
      </c>
      <c r="I372" s="30" t="n">
        <v>475711</v>
      </c>
      <c r="J372" s="30" t="inlineStr">
        <is>
          <t>530355</t>
        </is>
      </c>
    </row>
    <row r="373">
      <c r="A373" s="30" t="inlineStr">
        <is>
          <t>RSWM</t>
        </is>
      </c>
      <c r="B373" s="30" t="inlineStr">
        <is>
          <t>Rswm Limited</t>
        </is>
      </c>
      <c r="C373" s="30" t="inlineStr">
        <is>
          <t>textiles</t>
        </is>
      </c>
      <c r="D373" s="30" t="inlineStr">
        <is>
          <t>textiles - cotton/blended</t>
        </is>
      </c>
      <c r="E373" s="30" t="inlineStr">
        <is>
          <t>smallcap</t>
        </is>
      </c>
      <c r="F373" s="30" t="n">
        <v>1063.09</v>
      </c>
      <c r="G373" s="30" t="n">
        <v>218.2</v>
      </c>
      <c r="H373" s="30" t="n">
        <v>-3.32</v>
      </c>
      <c r="I373" s="30" t="n">
        <v>58589</v>
      </c>
      <c r="J373" s="30" t="inlineStr">
        <is>
          <t>500350</t>
        </is>
      </c>
    </row>
    <row r="374">
      <c r="A374" s="30" t="inlineStr">
        <is>
          <t>NEULANDLAB</t>
        </is>
      </c>
      <c r="B374" s="30" t="inlineStr">
        <is>
          <t>Neuland Laboratories Limited</t>
        </is>
      </c>
      <c r="C374" s="30" t="inlineStr">
        <is>
          <t>healthcare</t>
        </is>
      </c>
      <c r="D374" s="30" t="inlineStr">
        <is>
          <t>pharmaceuticals - indian - bulk drugs</t>
        </is>
      </c>
      <c r="E374" s="30" t="inlineStr">
        <is>
          <t>largecap</t>
        </is>
      </c>
      <c r="F374" s="30" t="n">
        <v>30785.32</v>
      </c>
      <c r="G374" s="30" t="n">
        <v>23195</v>
      </c>
      <c r="H374" s="30" t="n">
        <v>-3.33</v>
      </c>
      <c r="I374" s="30" t="n">
        <v>57976</v>
      </c>
      <c r="J374" s="30" t="inlineStr">
        <is>
          <t>524558</t>
        </is>
      </c>
    </row>
    <row r="375">
      <c r="A375" s="30" t="inlineStr">
        <is>
          <t>BRIGADE</t>
        </is>
      </c>
      <c r="B375" s="30" t="inlineStr">
        <is>
          <t>Brigade Enterprises Limited</t>
        </is>
      </c>
      <c r="C375" s="30" t="inlineStr">
        <is>
          <t>realty</t>
        </is>
      </c>
      <c r="D375" s="30" t="inlineStr">
        <is>
          <t>construction</t>
        </is>
      </c>
      <c r="E375" s="30" t="inlineStr">
        <is>
          <t>largecap</t>
        </is>
      </c>
      <c r="F375" s="30" t="n">
        <v>22407.36</v>
      </c>
      <c r="G375" s="30" t="n">
        <v>662.9</v>
      </c>
      <c r="H375" s="30" t="n">
        <v>-3.51</v>
      </c>
      <c r="I375" s="30" t="n">
        <v>347995</v>
      </c>
      <c r="J375" s="30" t="inlineStr">
        <is>
          <t>532929</t>
        </is>
      </c>
    </row>
    <row r="376">
      <c r="A376" s="30" t="inlineStr">
        <is>
          <t>MANINDS</t>
        </is>
      </c>
      <c r="B376" s="30" t="inlineStr">
        <is>
          <t>Man Industries (india) Limited</t>
        </is>
      </c>
      <c r="C376" s="30" t="inlineStr">
        <is>
          <t>metals &amp; mining</t>
        </is>
      </c>
      <c r="D376" s="30" t="inlineStr">
        <is>
          <t>steel - medium / small</t>
        </is>
      </c>
      <c r="E376" s="30" t="inlineStr">
        <is>
          <t>midcap</t>
        </is>
      </c>
      <c r="F376" s="30" t="n">
        <v>6163.54</v>
      </c>
      <c r="G376" s="30" t="n">
        <v>792.55</v>
      </c>
      <c r="H376" s="30" t="n">
        <v>-3.55</v>
      </c>
      <c r="I376" s="30" t="n">
        <v>469853</v>
      </c>
      <c r="J376" s="30" t="inlineStr">
        <is>
          <t>513269</t>
        </is>
      </c>
    </row>
    <row r="377">
      <c r="A377" s="30" t="inlineStr">
        <is>
          <t>EDELWEISS</t>
        </is>
      </c>
      <c r="B377" s="30" t="inlineStr">
        <is>
          <t>Edelweiss Financial Services Limited</t>
        </is>
      </c>
      <c r="C377" s="30" t="inlineStr">
        <is>
          <t>financials</t>
        </is>
      </c>
      <c r="D377" s="30" t="inlineStr">
        <is>
          <t>finance &amp; investments</t>
        </is>
      </c>
      <c r="E377" s="30" t="inlineStr">
        <is>
          <t>midcap</t>
        </is>
      </c>
      <c r="F377" s="30" t="n">
        <v>13137.86</v>
      </c>
      <c r="G377" s="30" t="n">
        <v>133.63</v>
      </c>
      <c r="H377" s="30" t="n">
        <v>-3.72</v>
      </c>
      <c r="I377" s="30" t="n">
        <v>7709484</v>
      </c>
      <c r="J377" s="30" t="inlineStr">
        <is>
          <t>532922</t>
        </is>
      </c>
    </row>
    <row r="378">
      <c r="A378" s="30" t="inlineStr">
        <is>
          <t>TNPL</t>
        </is>
      </c>
      <c r="B378" s="30" t="inlineStr">
        <is>
          <t>Tamil Nadu Newsprint &amp; Papers Limited</t>
        </is>
      </c>
      <c r="C378" s="30" t="inlineStr">
        <is>
          <t>building materials</t>
        </is>
      </c>
      <c r="D378" s="30" t="inlineStr">
        <is>
          <t>paper</t>
        </is>
      </c>
      <c r="E378" s="30" t="inlineStr">
        <is>
          <t>smallcap</t>
        </is>
      </c>
      <c r="F378" s="30" t="n">
        <v>1117.13</v>
      </c>
      <c r="G378" s="30" t="n">
        <v>155.34</v>
      </c>
      <c r="H378" s="30" t="n">
        <v>-3.76</v>
      </c>
      <c r="I378" s="30" t="n">
        <v>188419</v>
      </c>
      <c r="J378" s="30" t="inlineStr">
        <is>
          <t>531426</t>
        </is>
      </c>
    </row>
    <row r="379">
      <c r="A379" s="30" t="inlineStr">
        <is>
          <t>KRN</t>
        </is>
      </c>
      <c r="B379" s="30" t="inlineStr">
        <is>
          <t>KRN Heat Exchanger and Refrigeration Ltd</t>
        </is>
      </c>
      <c r="C379" s="30" t="inlineStr">
        <is>
          <t>industrials</t>
        </is>
      </c>
      <c r="D379" s="30" t="inlineStr">
        <is>
          <t>engineering</t>
        </is>
      </c>
      <c r="E379" s="30" t="inlineStr">
        <is>
          <t>midcap</t>
        </is>
      </c>
      <c r="F379" s="30" t="n">
        <v>10867.42</v>
      </c>
      <c r="G379" s="30" t="n">
        <v>1597.3</v>
      </c>
      <c r="H379" s="30" t="n">
        <v>-3.79</v>
      </c>
      <c r="I379" s="30" t="n">
        <v>186811</v>
      </c>
      <c r="J379" s="30" t="inlineStr">
        <is>
          <t>544263</t>
        </is>
      </c>
    </row>
    <row r="380">
      <c r="A380" s="30" t="inlineStr">
        <is>
          <t>PPLPHARMA</t>
        </is>
      </c>
      <c r="B380" s="30" t="inlineStr">
        <is>
          <t>Piramal Pharma Ltd</t>
        </is>
      </c>
      <c r="C380" s="30" t="inlineStr">
        <is>
          <t>healthcare</t>
        </is>
      </c>
      <c r="D380" s="30" t="inlineStr">
        <is>
          <t>pharmaceuticals - indian - bulk drugs &amp; formln</t>
        </is>
      </c>
      <c r="E380" s="30" t="inlineStr">
        <is>
          <t>largecap</t>
        </is>
      </c>
      <c r="F380" s="30" t="n">
        <v>30171.01</v>
      </c>
      <c r="G380" s="30" t="n">
        <v>218</v>
      </c>
      <c r="H380" s="30" t="n">
        <v>-3.8</v>
      </c>
      <c r="I380" s="30" t="n">
        <v>3881596</v>
      </c>
      <c r="J380" s="30" t="inlineStr">
        <is>
          <t>543635</t>
        </is>
      </c>
    </row>
    <row r="381">
      <c r="A381" s="30" t="inlineStr">
        <is>
          <t>MMP</t>
        </is>
      </c>
      <c r="B381" s="30" t="inlineStr">
        <is>
          <t>MMP Industries Ltd</t>
        </is>
      </c>
      <c r="C381" s="30" t="inlineStr">
        <is>
          <t>metals &amp; mining</t>
        </is>
      </c>
      <c r="D381" s="30" t="inlineStr">
        <is>
          <t>aluminium and aluminium products</t>
        </is>
      </c>
      <c r="E381" s="30" t="inlineStr">
        <is>
          <t>smallcap</t>
        </is>
      </c>
      <c r="F381" s="30" t="n">
        <v>905.36</v>
      </c>
      <c r="G381" s="30" t="n">
        <v>460.25</v>
      </c>
      <c r="H381" s="30" t="n">
        <v>-3.81</v>
      </c>
      <c r="I381" s="30" t="n">
        <v>82983</v>
      </c>
      <c r="J381" s="30" t="inlineStr">
        <is>
          <t>535071</t>
        </is>
      </c>
    </row>
    <row r="382">
      <c r="A382" s="30" t="inlineStr">
        <is>
          <t>DEEDEV</t>
        </is>
      </c>
      <c r="B382" s="30" t="inlineStr">
        <is>
          <t>DEE Development Engineers Ltd</t>
        </is>
      </c>
      <c r="C382" s="30" t="inlineStr">
        <is>
          <t>metals &amp; mining</t>
        </is>
      </c>
      <c r="D382" s="30" t="inlineStr">
        <is>
          <t>steel - medium / small</t>
        </is>
      </c>
      <c r="E382" s="30" t="inlineStr">
        <is>
          <t>midcap</t>
        </is>
      </c>
      <c r="F382" s="30" t="n">
        <v>5278.8</v>
      </c>
      <c r="G382" s="30" t="n">
        <v>674.75</v>
      </c>
      <c r="H382" s="30" t="n">
        <v>-3.83</v>
      </c>
      <c r="I382" s="30" t="n">
        <v>340451</v>
      </c>
      <c r="J382" s="30" t="n"/>
    </row>
    <row r="383">
      <c r="A383" s="30" t="inlineStr">
        <is>
          <t>MTARTECH</t>
        </is>
      </c>
      <c r="B383" s="30" t="inlineStr">
        <is>
          <t>MTAR Technologies Ltd</t>
        </is>
      </c>
      <c r="C383" s="30" t="inlineStr">
        <is>
          <t>aerospace &amp; defence</t>
        </is>
      </c>
      <c r="D383" s="30" t="inlineStr">
        <is>
          <t>engineering</t>
        </is>
      </c>
      <c r="E383" s="30" t="inlineStr">
        <is>
          <t>largecap</t>
        </is>
      </c>
      <c r="F383" s="30" t="n">
        <v>23990.94</v>
      </c>
      <c r="G383" s="30" t="n">
        <v>7501</v>
      </c>
      <c r="H383" s="30" t="n">
        <v>-3.83</v>
      </c>
      <c r="I383" s="30" t="n">
        <v>147151</v>
      </c>
      <c r="J383" s="30" t="inlineStr">
        <is>
          <t>543270</t>
        </is>
      </c>
    </row>
    <row r="384">
      <c r="A384" s="30" t="inlineStr">
        <is>
          <t>CONSOFINVT</t>
        </is>
      </c>
      <c r="B384" s="30" t="inlineStr">
        <is>
          <t>Consolidated Finvest &amp; Holdings Limited</t>
        </is>
      </c>
      <c r="C384" s="30" t="inlineStr">
        <is>
          <t>financials</t>
        </is>
      </c>
      <c r="D384" s="30" t="inlineStr">
        <is>
          <t>finance &amp; investments</t>
        </is>
      </c>
      <c r="E384" s="30" t="inlineStr">
        <is>
          <t>smallcap</t>
        </is>
      </c>
      <c r="F384" s="30" t="n">
        <v>1026.2</v>
      </c>
      <c r="G384" s="30" t="n">
        <v>305.05</v>
      </c>
      <c r="H384" s="30" t="n">
        <v>-3.91</v>
      </c>
      <c r="I384" s="30" t="n">
        <v>9735</v>
      </c>
      <c r="J384" s="30" t="inlineStr">
        <is>
          <t>500226</t>
        </is>
      </c>
    </row>
    <row r="385">
      <c r="A385" s="30" t="inlineStr">
        <is>
          <t>SYNCOMF</t>
        </is>
      </c>
      <c r="B385" s="30" t="inlineStr">
        <is>
          <t>Syncom Formulations (India) Ltd</t>
        </is>
      </c>
      <c r="C385" s="30" t="inlineStr">
        <is>
          <t>healthcare</t>
        </is>
      </c>
      <c r="D385" s="30" t="inlineStr">
        <is>
          <t>pharmaceuticals - indian - bulk drugs &amp; formln</t>
        </is>
      </c>
      <c r="E385" s="30" t="inlineStr">
        <is>
          <t>smallcap</t>
        </is>
      </c>
      <c r="F385" s="30" t="n">
        <v>1971.18</v>
      </c>
      <c r="G385" s="30" t="n">
        <v>20.14</v>
      </c>
      <c r="H385" s="30" t="n">
        <v>-3.96</v>
      </c>
      <c r="I385" s="30" t="n">
        <v>6347357</v>
      </c>
      <c r="J385" s="30" t="inlineStr">
        <is>
          <t>524470</t>
        </is>
      </c>
    </row>
    <row r="386">
      <c r="A386" s="30" t="inlineStr">
        <is>
          <t>PTCIL</t>
        </is>
      </c>
      <c r="B386" s="30" t="inlineStr">
        <is>
          <t>PTC Industries Ltd</t>
        </is>
      </c>
      <c r="C386" s="30" t="inlineStr">
        <is>
          <t>industrials</t>
        </is>
      </c>
      <c r="D386" s="30" t="inlineStr">
        <is>
          <t>castings &amp; forgings</t>
        </is>
      </c>
      <c r="E386" s="30" t="inlineStr">
        <is>
          <t>largecap</t>
        </is>
      </c>
      <c r="F386" s="30" t="n">
        <v>35577.32</v>
      </c>
      <c r="G386" s="30" t="n">
        <v>22780</v>
      </c>
      <c r="H386" s="30" t="n">
        <v>-4</v>
      </c>
      <c r="I386" s="30" t="n">
        <v>31474</v>
      </c>
      <c r="J386" s="30" t="inlineStr">
        <is>
          <t>539006</t>
        </is>
      </c>
    </row>
    <row r="387">
      <c r="A387" s="30" t="inlineStr">
        <is>
          <t>TEXINFRA</t>
        </is>
      </c>
      <c r="B387" s="30" t="inlineStr">
        <is>
          <t>Texmaco Infrastructure &amp; Holdings Limited</t>
        </is>
      </c>
      <c r="C387" s="30" t="inlineStr">
        <is>
          <t>realty</t>
        </is>
      </c>
      <c r="D387" s="30" t="inlineStr">
        <is>
          <t>construction</t>
        </is>
      </c>
      <c r="E387" s="30" t="inlineStr">
        <is>
          <t>smallcap</t>
        </is>
      </c>
      <c r="F387" s="30" t="n">
        <v>1529.5</v>
      </c>
      <c r="G387" s="30" t="n">
        <v>115.23</v>
      </c>
      <c r="H387" s="30" t="n">
        <v>-4</v>
      </c>
      <c r="I387" s="30" t="n">
        <v>380617</v>
      </c>
      <c r="J387" s="30" t="inlineStr">
        <is>
          <t>505400</t>
        </is>
      </c>
    </row>
    <row r="388">
      <c r="A388" s="30" t="inlineStr">
        <is>
          <t>BLISSGVS</t>
        </is>
      </c>
      <c r="B388" s="30" t="inlineStr">
        <is>
          <t>Bliss Gvs Pharma Limited</t>
        </is>
      </c>
      <c r="C388" s="30" t="inlineStr">
        <is>
          <t>healthcare</t>
        </is>
      </c>
      <c r="D388" s="30" t="inlineStr">
        <is>
          <t>pharmaceuticals - indian - formulations</t>
        </is>
      </c>
      <c r="E388" s="30" t="inlineStr">
        <is>
          <t>midcap</t>
        </is>
      </c>
      <c r="F388" s="30" t="n">
        <v>7660.44</v>
      </c>
      <c r="G388" s="30" t="n">
        <v>692.85</v>
      </c>
      <c r="H388" s="30" t="n">
        <v>-4.08</v>
      </c>
      <c r="I388" s="30" t="n">
        <v>344600</v>
      </c>
      <c r="J388" s="30" t="inlineStr">
        <is>
          <t>506197</t>
        </is>
      </c>
    </row>
    <row r="389">
      <c r="A389" s="30" t="inlineStr">
        <is>
          <t>RBZJEWEL</t>
        </is>
      </c>
      <c r="B389" s="30" t="inlineStr">
        <is>
          <t>RBZ Jewellers Ltd</t>
        </is>
      </c>
      <c r="C389" s="30" t="inlineStr">
        <is>
          <t>consumer discretionary</t>
        </is>
      </c>
      <c r="D389" s="30" t="inlineStr">
        <is>
          <t>diamond cutting / jewellery</t>
        </is>
      </c>
      <c r="E389" s="30" t="inlineStr">
        <is>
          <t>smallcap</t>
        </is>
      </c>
      <c r="F389" s="30" t="n">
        <v>724.72</v>
      </c>
      <c r="G389" s="30" t="n">
        <v>173.6</v>
      </c>
      <c r="H389" s="30" t="n">
        <v>-4.18</v>
      </c>
      <c r="I389" s="30" t="n">
        <v>240256</v>
      </c>
      <c r="J389" s="30" t="inlineStr">
        <is>
          <t>544060</t>
        </is>
      </c>
    </row>
    <row r="390">
      <c r="A390" s="30" t="inlineStr">
        <is>
          <t>IGPL</t>
        </is>
      </c>
      <c r="B390" s="30" t="inlineStr">
        <is>
          <t>Ig Petrochemicals Limited</t>
        </is>
      </c>
      <c r="C390" s="30" t="inlineStr">
        <is>
          <t>chemicals</t>
        </is>
      </c>
      <c r="D390" s="30" t="inlineStr">
        <is>
          <t>chemicals</t>
        </is>
      </c>
      <c r="E390" s="30" t="inlineStr">
        <is>
          <t>smallcap</t>
        </is>
      </c>
      <c r="F390" s="30" t="n">
        <v>1800.11</v>
      </c>
      <c r="G390" s="30" t="n">
        <v>557.2</v>
      </c>
      <c r="H390" s="30" t="n">
        <v>-4.68</v>
      </c>
      <c r="I390" s="30" t="n">
        <v>102555</v>
      </c>
      <c r="J390" s="30" t="inlineStr">
        <is>
          <t>500199</t>
        </is>
      </c>
    </row>
    <row r="391">
      <c r="A391" s="30" t="inlineStr">
        <is>
          <t>OMAXE</t>
        </is>
      </c>
      <c r="B391" s="30" t="inlineStr">
        <is>
          <t>Omaxe Limited</t>
        </is>
      </c>
      <c r="C391" s="30" t="inlineStr">
        <is>
          <t>realty</t>
        </is>
      </c>
      <c r="D391" s="30" t="inlineStr">
        <is>
          <t>construction</t>
        </is>
      </c>
      <c r="E391" s="30" t="inlineStr">
        <is>
          <t>smallcap</t>
        </is>
      </c>
      <c r="F391" s="30" t="n">
        <v>2333.45</v>
      </c>
      <c r="G391" s="30" t="n">
        <v>121.36</v>
      </c>
      <c r="H391" s="30" t="n">
        <v>-4.88</v>
      </c>
      <c r="I391" s="30" t="n">
        <v>1138054</v>
      </c>
      <c r="J391" s="30" t="inlineStr">
        <is>
          <t>532880</t>
        </is>
      </c>
    </row>
    <row r="392">
      <c r="A392" s="30" t="inlineStr">
        <is>
          <t>GUJTHEM</t>
        </is>
      </c>
      <c r="B392" s="30" t="inlineStr">
        <is>
          <t>Gujarat Themis Biosyn Ltd</t>
        </is>
      </c>
      <c r="C392" s="30" t="inlineStr">
        <is>
          <t>healthcare</t>
        </is>
      </c>
      <c r="D392" s="30" t="inlineStr">
        <is>
          <t>pharmaceuticals - indian - bulk drugs</t>
        </is>
      </c>
      <c r="E392" s="30" t="inlineStr">
        <is>
          <t>smallcap</t>
        </is>
      </c>
      <c r="F392" s="30" t="n">
        <v>4938.85</v>
      </c>
      <c r="G392" s="30" t="n">
        <v>430.75</v>
      </c>
      <c r="H392" s="30" t="n">
        <v>-4.96</v>
      </c>
      <c r="I392" s="30" t="n">
        <v>618616</v>
      </c>
      <c r="J392" s="30" t="inlineStr">
        <is>
          <t>506879</t>
        </is>
      </c>
    </row>
    <row r="393">
      <c r="A393" s="30" t="inlineStr">
        <is>
          <t>BHAGERIA</t>
        </is>
      </c>
      <c r="B393" s="30" t="inlineStr">
        <is>
          <t>Bhageria Industries Limited</t>
        </is>
      </c>
      <c r="C393" s="30" t="inlineStr">
        <is>
          <t>chemicals</t>
        </is>
      </c>
      <c r="D393" s="30" t="inlineStr">
        <is>
          <t>dyes and pigments</t>
        </is>
      </c>
      <c r="E393" s="30" t="inlineStr">
        <is>
          <t>smallcap</t>
        </is>
      </c>
      <c r="F393" s="30" t="n">
        <v>1465.57</v>
      </c>
      <c r="G393" s="30" t="n">
        <v>319.05</v>
      </c>
      <c r="H393" s="30" t="n">
        <v>-4.99</v>
      </c>
      <c r="I393" s="30" t="n">
        <v>167841</v>
      </c>
      <c r="J393" s="30" t="inlineStr">
        <is>
          <t>530803</t>
        </is>
      </c>
    </row>
    <row r="394">
      <c r="A394" s="30" t="inlineStr">
        <is>
          <t>TBZ</t>
        </is>
      </c>
      <c r="B394" s="30" t="inlineStr">
        <is>
          <t>Tribhovandas Bhimji Zaveri Limited</t>
        </is>
      </c>
      <c r="C394" s="30" t="inlineStr">
        <is>
          <t>consumer discretionary</t>
        </is>
      </c>
      <c r="D394" s="30" t="inlineStr">
        <is>
          <t>diamond cutting / jewellery</t>
        </is>
      </c>
      <c r="E394" s="30" t="inlineStr">
        <is>
          <t>smallcap</t>
        </is>
      </c>
      <c r="F394" s="30" t="n">
        <v>3705.55</v>
      </c>
      <c r="G394" s="30" t="n">
        <v>527.6</v>
      </c>
      <c r="H394" s="30" t="n">
        <v>-4.99</v>
      </c>
      <c r="I394" s="30" t="n">
        <v>5742152</v>
      </c>
      <c r="J394" s="30" t="inlineStr">
        <is>
          <t>534369</t>
        </is>
      </c>
    </row>
    <row r="395">
      <c r="A395" s="30" t="inlineStr">
        <is>
          <t>BODALCHEM</t>
        </is>
      </c>
      <c r="B395" s="30" t="inlineStr">
        <is>
          <t>Bodal Chemicals Limited</t>
        </is>
      </c>
      <c r="C395" s="30" t="inlineStr">
        <is>
          <t>chemicals</t>
        </is>
      </c>
      <c r="D395" s="30" t="inlineStr">
        <is>
          <t>dyes and pigments</t>
        </is>
      </c>
      <c r="E395" s="30" t="inlineStr">
        <is>
          <t>smallcap</t>
        </is>
      </c>
      <c r="F395" s="30" t="n">
        <v>2318</v>
      </c>
      <c r="G395" s="30" t="n">
        <v>174.85</v>
      </c>
      <c r="H395" s="30" t="n">
        <v>-5</v>
      </c>
      <c r="I395" s="30" t="n">
        <v>3521966</v>
      </c>
      <c r="J395" s="30" t="inlineStr">
        <is>
          <t>524370</t>
        </is>
      </c>
    </row>
    <row r="396">
      <c r="A396" s="30" t="inlineStr">
        <is>
          <t>NRAIL</t>
        </is>
      </c>
      <c r="B396" s="30" t="inlineStr">
        <is>
          <t>N R Agarwal Industries Ltd</t>
        </is>
      </c>
      <c r="C396" s="30" t="inlineStr">
        <is>
          <t>building materials</t>
        </is>
      </c>
      <c r="D396" s="30" t="inlineStr">
        <is>
          <t>paper</t>
        </is>
      </c>
      <c r="E396" s="30" t="inlineStr">
        <is>
          <t>smallcap</t>
        </is>
      </c>
      <c r="F396" s="30" t="n">
        <v>1096.63</v>
      </c>
      <c r="G396" s="30" t="n">
        <v>611.2</v>
      </c>
      <c r="H396" s="30" t="n">
        <v>-5.14</v>
      </c>
      <c r="I396" s="30" t="n">
        <v>41453</v>
      </c>
      <c r="J396" s="30" t="inlineStr">
        <is>
          <t>516082</t>
        </is>
      </c>
    </row>
    <row r="397">
      <c r="A397" s="30" t="inlineStr">
        <is>
          <t>RAYMOND</t>
        </is>
      </c>
      <c r="B397" s="30" t="inlineStr">
        <is>
          <t>Raymond Limited</t>
        </is>
      </c>
      <c r="C397" s="30" t="inlineStr">
        <is>
          <t>transportation</t>
        </is>
      </c>
      <c r="D397" s="30" t="inlineStr">
        <is>
          <t>transport - airlines</t>
        </is>
      </c>
      <c r="E397" s="30" t="inlineStr">
        <is>
          <t>midcap</t>
        </is>
      </c>
      <c r="F397" s="30" t="n">
        <v>5710.69</v>
      </c>
      <c r="G397" s="30" t="n">
        <v>808.45</v>
      </c>
      <c r="H397" s="30" t="n">
        <v>-5.75</v>
      </c>
      <c r="I397" s="30" t="n">
        <v>5497465</v>
      </c>
      <c r="J397" s="30" t="inlineStr">
        <is>
          <t>500330</t>
        </is>
      </c>
    </row>
    <row r="398">
      <c r="A398" s="30" t="inlineStr">
        <is>
          <t>XPROINDIA</t>
        </is>
      </c>
      <c r="B398" s="30" t="inlineStr">
        <is>
          <t>Xpro India Limited</t>
        </is>
      </c>
      <c r="C398" s="30" t="inlineStr">
        <is>
          <t>industrials</t>
        </is>
      </c>
      <c r="D398" s="30" t="inlineStr">
        <is>
          <t>packaging</t>
        </is>
      </c>
      <c r="E398" s="30" t="inlineStr">
        <is>
          <t>smallcap</t>
        </is>
      </c>
      <c r="F398" s="30" t="n">
        <v>3261.68</v>
      </c>
      <c r="G398" s="30" t="n">
        <v>1301.4</v>
      </c>
      <c r="H398" s="30" t="n">
        <v>-6.35</v>
      </c>
      <c r="I398" s="30" t="n">
        <v>85041</v>
      </c>
      <c r="J398" s="30" t="inlineStr">
        <is>
          <t>590013</t>
        </is>
      </c>
    </row>
  </sheetData>
  <autoFilter ref="A1:J3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INDNIPPON</t>
        </is>
      </c>
      <c r="E2" s="30" t="inlineStr">
        <is>
          <t>India Nippon Electricals Limited</t>
        </is>
      </c>
      <c r="F2" s="30" t="inlineStr">
        <is>
          <t>Auto Ancillaries - Engine Parts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24</v>
      </c>
      <c r="K2" s="30" t="n">
        <v>8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PAISALO</t>
        </is>
      </c>
      <c r="E3" s="30" t="inlineStr">
        <is>
          <t>Paisalo Digital Ltd</t>
        </is>
      </c>
      <c r="F3" s="30" t="inlineStr">
        <is>
          <t>Finance - Capital Markets - Brokers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21</v>
      </c>
      <c r="K3" s="30" t="n">
        <v>8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WHEELS</t>
        </is>
      </c>
      <c r="E4" s="30" t="inlineStr">
        <is>
          <t>Wheels India Limited</t>
        </is>
      </c>
      <c r="F4" s="30" t="inlineStr">
        <is>
          <t>Auto Ancillaries - Wheels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25</v>
      </c>
      <c r="K4" s="30" t="n">
        <v>14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KABRAEXTRU</t>
        </is>
      </c>
      <c r="E5" s="30" t="inlineStr">
        <is>
          <t>Kabra Extrusion Technik Limited</t>
        </is>
      </c>
      <c r="F5" s="30" t="inlineStr">
        <is>
          <t>unknown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0</v>
      </c>
      <c r="K5" s="30" t="n">
        <v>30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INDORAMA</t>
        </is>
      </c>
      <c r="E6" s="30" t="inlineStr">
        <is>
          <t>Indo Rama Synthetics (india) Limited</t>
        </is>
      </c>
      <c r="F6" s="30" t="inlineStr">
        <is>
          <t>Textiles - Spinning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20</v>
      </c>
      <c r="K6" s="30" t="n">
        <v>19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NOVARTIND</t>
        </is>
      </c>
      <c r="E7" s="30" t="inlineStr">
        <is>
          <t>Novartis India Ltd</t>
        </is>
      </c>
      <c r="F7" s="30" t="inlineStr">
        <is>
          <t>Pharma - MNC bulk Drugs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19</v>
      </c>
      <c r="K7" s="30" t="n">
        <v>10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STLTECH</t>
        </is>
      </c>
      <c r="E8" s="30" t="inlineStr">
        <is>
          <t>Sterlite Technologies Limited</t>
        </is>
      </c>
      <c r="F8" s="30" t="inlineStr">
        <is>
          <t>Cables - Telecom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24</v>
      </c>
      <c r="K8" s="30" t="n">
        <v>28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CHENNPETRO</t>
        </is>
      </c>
      <c r="E9" s="30" t="inlineStr">
        <is>
          <t>Chennai Petroleum Corporation Limited</t>
        </is>
      </c>
      <c r="F9" s="30" t="inlineStr">
        <is>
          <t>Refineries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25</v>
      </c>
      <c r="K9" s="30" t="n">
        <v>26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CRAFTSMAN</t>
        </is>
      </c>
      <c r="E10" s="30" t="inlineStr">
        <is>
          <t>Craftsman Automation Ltd</t>
        </is>
      </c>
      <c r="F10" s="30" t="inlineStr">
        <is>
          <t>Auto &amp; Auto Ancl - CV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23</v>
      </c>
      <c r="K10" s="30" t="n">
        <v>29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BIL</t>
        </is>
      </c>
      <c r="E11" s="30" t="inlineStr">
        <is>
          <t>Bhartiya International Limited</t>
        </is>
      </c>
      <c r="F11" s="30" t="inlineStr">
        <is>
          <t>Textiles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20</v>
      </c>
      <c r="K11" s="30" t="n">
        <v>27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NAVINFLUOR</t>
        </is>
      </c>
      <c r="E12" s="30" t="inlineStr">
        <is>
          <t>Navin Fluorine International Limited</t>
        </is>
      </c>
      <c r="F12" s="30" t="inlineStr">
        <is>
          <t>Chemicals - Flourine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19</v>
      </c>
      <c r="K12" s="30" t="n">
        <v>25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SBC</t>
        </is>
      </c>
      <c r="E13" s="30" t="inlineStr">
        <is>
          <t>SBC Exports Ltd</t>
        </is>
      </c>
      <c r="F13" s="30" t="inlineStr">
        <is>
          <t>Textiles - Readymade Apparel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21</v>
      </c>
      <c r="K13" s="30" t="n">
        <v>13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BHAGYANGR</t>
        </is>
      </c>
      <c r="E14" s="30" t="inlineStr">
        <is>
          <t>Bhagyanagar India</t>
        </is>
      </c>
      <c r="F14" s="30" t="inlineStr">
        <is>
          <t>Recycling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19</v>
      </c>
      <c r="K14" s="30" t="n">
        <v>2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VINDHYATEL</t>
        </is>
      </c>
      <c r="E15" s="30" t="inlineStr">
        <is>
          <t>Vindhya Telelinks Limited</t>
        </is>
      </c>
      <c r="F15" s="30" t="inlineStr">
        <is>
          <t>Cables - Telecom</t>
        </is>
      </c>
      <c r="G15" s="30" t="n">
        <v>2</v>
      </c>
      <c r="H15" s="30" t="inlineStr">
        <is>
          <t>52W Breakout</t>
        </is>
      </c>
      <c r="I15" s="30" t="inlineStr">
        <is>
          <t>Yes</t>
        </is>
      </c>
      <c r="J15" s="30" t="n">
        <v>13</v>
      </c>
      <c r="K15" s="30" t="n">
        <v>28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MENONBE</t>
        </is>
      </c>
      <c r="E16" s="30" t="inlineStr">
        <is>
          <t>Menon Bearings Limited</t>
        </is>
      </c>
      <c r="F16" s="30" t="inlineStr">
        <is>
          <t>Auto Ancillaries - Bearings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21</v>
      </c>
      <c r="K16" s="30" t="n">
        <v>30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JGCHEM</t>
        </is>
      </c>
      <c r="E17" s="30" t="inlineStr">
        <is>
          <t>J.G.Chemicals Ltd</t>
        </is>
      </c>
      <c r="F17" s="30" t="inlineStr">
        <is>
          <t>Chemicals - Inorganic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22</v>
      </c>
      <c r="K17" s="30" t="n">
        <v>26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CGCL</t>
        </is>
      </c>
      <c r="E18" s="30" t="inlineStr">
        <is>
          <t>Capri Global Capital Limited</t>
        </is>
      </c>
      <c r="F18" s="30" t="inlineStr">
        <is>
          <t>Finance &amp; Investments - Gold Loan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28</v>
      </c>
      <c r="K18" s="30" t="n">
        <v>13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VINCOFE</t>
        </is>
      </c>
      <c r="E19" s="30" t="inlineStr">
        <is>
          <t>Vintage Coffee &amp; Beverages Ltd</t>
        </is>
      </c>
      <c r="F19" s="30" t="inlineStr">
        <is>
          <t>FMCG - Coffee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25</v>
      </c>
      <c r="K19" s="30" t="n">
        <v>14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SYRMA</t>
        </is>
      </c>
      <c r="E20" s="30" t="inlineStr">
        <is>
          <t>Syrma SGS Technology Ltd</t>
        </is>
      </c>
      <c r="F20" s="30" t="inlineStr">
        <is>
          <t>Consumer Electronics - EMS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22</v>
      </c>
      <c r="K20" s="30" t="n">
        <v>20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BIRLACABLE</t>
        </is>
      </c>
      <c r="E21" s="30" t="inlineStr">
        <is>
          <t>Birla Cable Limited</t>
        </is>
      </c>
      <c r="F21" s="30" t="inlineStr">
        <is>
          <t>Cables - Telecom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29</v>
      </c>
      <c r="K21" s="30" t="n">
        <v>29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GAYAPROJ</t>
        </is>
      </c>
      <c r="E22" s="30" t="inlineStr">
        <is>
          <t>Gayatri Projects Limited</t>
        </is>
      </c>
      <c r="F22" s="30" t="inlineStr">
        <is>
          <t>Construction - Civil/Turnkey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28</v>
      </c>
      <c r="K22" s="30" t="n">
        <v>14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TBZ</t>
        </is>
      </c>
      <c r="E23" s="30" t="inlineStr">
        <is>
          <t>Tribhovandas Bhimji Zaveri Limited</t>
        </is>
      </c>
      <c r="F23" s="30" t="inlineStr">
        <is>
          <t>Diamond, Gems &amp; Jewellery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26</v>
      </c>
      <c r="K23" s="30" t="n">
        <v>23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RML</t>
        </is>
      </c>
      <c r="E24" s="30" t="inlineStr">
        <is>
          <t>Rane (madras) Limited</t>
        </is>
      </c>
      <c r="F24" s="30" t="inlineStr">
        <is>
          <t>Auto Ancillaries - Gears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24</v>
      </c>
      <c r="K24" s="30" t="n">
        <v>6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CONFIPET</t>
        </is>
      </c>
      <c r="E25" s="30" t="inlineStr">
        <is>
          <t>Confidence Petroleum India Ltd</t>
        </is>
      </c>
      <c r="F25" s="30" t="inlineStr">
        <is>
          <t>LPG Bottling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20</v>
      </c>
      <c r="K25" s="30" t="n">
        <v>19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HFCL</t>
        </is>
      </c>
      <c r="E26" s="30" t="inlineStr">
        <is>
          <t>HFCL Ltd</t>
        </is>
      </c>
      <c r="F26" s="30" t="inlineStr">
        <is>
          <t>Telecom Services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25</v>
      </c>
      <c r="K26" s="30" t="n">
        <v>21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SSWL</t>
        </is>
      </c>
      <c r="E27" s="30" t="inlineStr">
        <is>
          <t>Steel Strips Wheels Limited</t>
        </is>
      </c>
      <c r="F27" s="30" t="inlineStr">
        <is>
          <t>unknown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0</v>
      </c>
      <c r="K27" s="30" t="n">
        <v>24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IOLCP</t>
        </is>
      </c>
      <c r="E28" s="30" t="inlineStr">
        <is>
          <t>Iol Chemicals And Pharmaceuticals Limited</t>
        </is>
      </c>
      <c r="F28" s="30" t="inlineStr">
        <is>
          <t>Pharma - API &amp; CRAMS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22</v>
      </c>
      <c r="K28" s="30" t="n">
        <v>23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VENKEYS</t>
        </is>
      </c>
      <c r="E29" s="30" t="inlineStr">
        <is>
          <t>Venky's (india) Limited</t>
        </is>
      </c>
      <c r="F29" s="30" t="inlineStr">
        <is>
          <t>FMCG - Animal/Polutry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19</v>
      </c>
      <c r="K29" s="30" t="n">
        <v>19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KINGFA</t>
        </is>
      </c>
      <c r="E30" s="30" t="inlineStr">
        <is>
          <t>Kingfa Science &amp; Technology (india) Limited</t>
        </is>
      </c>
      <c r="F30" s="30" t="inlineStr">
        <is>
          <t>Plastics - Plastic &amp; Plastic Products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20</v>
      </c>
      <c r="K30" s="30" t="n">
        <v>27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MODISONLTD</t>
        </is>
      </c>
      <c r="E31" s="30" t="inlineStr">
        <is>
          <t>Modison Ltd</t>
        </is>
      </c>
      <c r="F31" s="30" t="inlineStr">
        <is>
          <t>Capital Goods - Electric General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26</v>
      </c>
      <c r="K31" s="30" t="n">
        <v>23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GHCLTEXTIL</t>
        </is>
      </c>
      <c r="E32" s="30" t="inlineStr">
        <is>
          <t>GHCL Textiles Ltd</t>
        </is>
      </c>
      <c r="F32" s="30" t="inlineStr">
        <is>
          <t>unknown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0</v>
      </c>
      <c r="K32" s="30" t="n">
        <v>29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AVTNPL</t>
        </is>
      </c>
      <c r="E33" s="30" t="inlineStr">
        <is>
          <t>Avt Natural Products Limited</t>
        </is>
      </c>
      <c r="F33" s="30" t="inlineStr">
        <is>
          <t>Agricultural Processing - Maize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26</v>
      </c>
      <c r="K33" s="30" t="n">
        <v>23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MOREPENLAB</t>
        </is>
      </c>
      <c r="E34" s="30" t="inlineStr">
        <is>
          <t>Morepen Laboratories Limited</t>
        </is>
      </c>
      <c r="F34" s="30" t="inlineStr">
        <is>
          <t>Pharma - API &amp; CRAMS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23</v>
      </c>
      <c r="K34" s="30" t="n">
        <v>27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INDSWFTLAB</t>
        </is>
      </c>
      <c r="E35" s="30" t="inlineStr">
        <is>
          <t>Ind-swift Laboratories Limited</t>
        </is>
      </c>
      <c r="F35" s="30" t="inlineStr">
        <is>
          <t>Pharma - API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20</v>
      </c>
      <c r="K35" s="30" t="n">
        <v>27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UNIPARTS</t>
        </is>
      </c>
      <c r="E36" s="30" t="inlineStr">
        <is>
          <t>Uniparts India Ltd</t>
        </is>
      </c>
      <c r="F36" s="30" t="inlineStr">
        <is>
          <t>Castings, Forgings &amp; Fastners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23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SOLARINDS</t>
        </is>
      </c>
      <c r="E37" s="30" t="inlineStr">
        <is>
          <t>Solar Industries India Limited</t>
        </is>
      </c>
      <c r="F37" s="30" t="inlineStr">
        <is>
          <t>Industrial Explosives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19</v>
      </c>
      <c r="K37" s="30" t="n">
        <v>26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SANSERA</t>
        </is>
      </c>
      <c r="E38" s="30" t="inlineStr">
        <is>
          <t>Sansera Engineering Ltd</t>
        </is>
      </c>
      <c r="F38" s="30" t="inlineStr">
        <is>
          <t>Auto Ancillaries - Diversified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19</v>
      </c>
      <c r="K38" s="30" t="n">
        <v>27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PCJEWELLER</t>
        </is>
      </c>
      <c r="E39" s="30" t="inlineStr">
        <is>
          <t>Pc Jeweller Limited</t>
        </is>
      </c>
      <c r="F39" s="30" t="inlineStr">
        <is>
          <t>Diamond, Gems &amp; Jewellery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25</v>
      </c>
      <c r="K39" s="30" t="n">
        <v>3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IGPL</t>
        </is>
      </c>
      <c r="E40" s="30" t="inlineStr">
        <is>
          <t>Ig Petrochemicals Limited</t>
        </is>
      </c>
      <c r="F40" s="30" t="inlineStr">
        <is>
          <t>Chemicals - Organic - Maleic Anhydride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19</v>
      </c>
      <c r="K40" s="30" t="n">
        <v>22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SETL</t>
        </is>
      </c>
      <c r="E41" s="30" t="inlineStr">
        <is>
          <t>Standard Enginnering Technology Ltd</t>
        </is>
      </c>
      <c r="F41" s="30" t="inlineStr">
        <is>
          <t>Engineering - Heavy - Glass - lined Equipment</t>
        </is>
      </c>
      <c r="G41" s="30" t="n">
        <v>2</v>
      </c>
      <c r="H41" s="30" t="inlineStr">
        <is>
          <t>52W Breakout</t>
        </is>
      </c>
      <c r="I41" s="30" t="inlineStr">
        <is>
          <t>Yes</t>
        </is>
      </c>
      <c r="J41" s="30" t="n">
        <v>14</v>
      </c>
      <c r="K41" s="30" t="n">
        <v>30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SAKAR</t>
        </is>
      </c>
      <c r="E42" s="30" t="inlineStr">
        <is>
          <t>Sakar Healthcare Ltd</t>
        </is>
      </c>
      <c r="F42" s="30" t="inlineStr">
        <is>
          <t>Hospitals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25</v>
      </c>
      <c r="K42" s="30" t="n">
        <v>17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SHILPAMED</t>
        </is>
      </c>
      <c r="E43" s="30" t="inlineStr">
        <is>
          <t>Shilpa Medicare Limited</t>
        </is>
      </c>
      <c r="F43" s="30" t="inlineStr">
        <is>
          <t>Pharma - API &amp; CRAMS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21</v>
      </c>
      <c r="K43" s="30" t="n">
        <v>28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MANORAMA</t>
        </is>
      </c>
      <c r="E44" s="30" t="inlineStr">
        <is>
          <t>Manorama Industries Ltd</t>
        </is>
      </c>
      <c r="F44" s="30" t="inlineStr">
        <is>
          <t>FMCG - Chocolate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19</v>
      </c>
      <c r="K44" s="30" t="n">
        <v>22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FCL</t>
        </is>
      </c>
      <c r="E45" s="30" t="inlineStr">
        <is>
          <t>Fineotex Chemical Limited</t>
        </is>
      </c>
      <c r="F45" s="30" t="inlineStr">
        <is>
          <t>Speciality Chemicals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23</v>
      </c>
      <c r="K45" s="30" t="n">
        <v>25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SKYGOLD</t>
        </is>
      </c>
      <c r="E46" s="30" t="inlineStr">
        <is>
          <t>Sky Gold Ltd</t>
        </is>
      </c>
      <c r="F46" s="30" t="inlineStr">
        <is>
          <t>Diamond, Gems &amp; Jewellery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29</v>
      </c>
      <c r="K46" s="30" t="n">
        <v>26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GLAND</t>
        </is>
      </c>
      <c r="E47" s="30" t="inlineStr">
        <is>
          <t>Gland Pharma Ltd</t>
        </is>
      </c>
      <c r="F47" s="30" t="inlineStr">
        <is>
          <t>Pharma - API &amp; CRAMS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17</v>
      </c>
      <c r="K47" s="30" t="n">
        <v>30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KMEW</t>
        </is>
      </c>
      <c r="E48" s="30" t="inlineStr">
        <is>
          <t>Knowledge Marine &amp; Engineering Works Ltd</t>
        </is>
      </c>
      <c r="F48" s="30" t="inlineStr">
        <is>
          <t>Shipping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23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AVALON</t>
        </is>
      </c>
      <c r="E49" s="30" t="inlineStr">
        <is>
          <t>Avalon Technologies Ltd</t>
        </is>
      </c>
      <c r="F49" s="30" t="inlineStr">
        <is>
          <t>Consumer Electronics - EMS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21</v>
      </c>
      <c r="K49" s="30" t="n">
        <v>28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FINCABLES</t>
        </is>
      </c>
      <c r="E50" s="30" t="inlineStr">
        <is>
          <t>Finolex Cables Limited</t>
        </is>
      </c>
      <c r="F50" s="30" t="inlineStr">
        <is>
          <t>Cables - Telecom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22</v>
      </c>
      <c r="K50" s="30" t="n">
        <v>20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EBGNG</t>
        </is>
      </c>
      <c r="E51" s="30" t="inlineStr">
        <is>
          <t>GNG Electronics Ltd</t>
        </is>
      </c>
      <c r="F51" s="30" t="inlineStr">
        <is>
          <t>New age - Platform - E-Retail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22</v>
      </c>
      <c r="K51" s="30" t="n">
        <v>16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SREEL</t>
        </is>
      </c>
      <c r="E52" s="30" t="inlineStr">
        <is>
          <t>Sreeleathers Limited</t>
        </is>
      </c>
      <c r="F52" s="30" t="inlineStr">
        <is>
          <t>Footwear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3</v>
      </c>
      <c r="K52" s="30" t="n">
        <v>23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TFCILTD</t>
        </is>
      </c>
      <c r="E53" s="30" t="inlineStr">
        <is>
          <t>Tourism Finance Corporation Of India Limited</t>
        </is>
      </c>
      <c r="F53" s="30" t="inlineStr">
        <is>
          <t>Finance - PSU Lending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20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AEGISLOG</t>
        </is>
      </c>
      <c r="E54" s="30" t="inlineStr">
        <is>
          <t>Aegis Logistics Ltd</t>
        </is>
      </c>
      <c r="F54" s="30" t="inlineStr">
        <is>
          <t>Logistics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23</v>
      </c>
      <c r="K54" s="30" t="n">
        <v>9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BHEL</t>
        </is>
      </c>
      <c r="E55" s="30" t="inlineStr">
        <is>
          <t>Bharat Heavy Electricals Limited</t>
        </is>
      </c>
      <c r="F55" s="30" t="inlineStr">
        <is>
          <t>Capital Goods - Engineering Heavy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21</v>
      </c>
      <c r="K55" s="30" t="n">
        <v>11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BODALCHEM</t>
        </is>
      </c>
      <c r="E56" s="30" t="inlineStr">
        <is>
          <t>Bodal Chemicals Limited</t>
        </is>
      </c>
      <c r="F56" s="30" t="inlineStr">
        <is>
          <t>Dyes &amp; Pigments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30</v>
      </c>
      <c r="K56" s="30" t="n">
        <v>22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KENNAMET</t>
        </is>
      </c>
      <c r="E57" s="30" t="inlineStr">
        <is>
          <t>Kennametal India Ltd</t>
        </is>
      </c>
      <c r="F57" s="30" t="inlineStr">
        <is>
          <t>Castings, Forgings &amp; Fastners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25</v>
      </c>
      <c r="K57" s="30" t="n">
        <v>28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SPECTRUM</t>
        </is>
      </c>
      <c r="E58" s="30" t="inlineStr">
        <is>
          <t>Spectrum Electrical Industries Ltd</t>
        </is>
      </c>
      <c r="F58" s="30" t="inlineStr">
        <is>
          <t>Capital Goods - Electric General</t>
        </is>
      </c>
      <c r="G58" s="30" t="n">
        <v>2</v>
      </c>
      <c r="H58" s="30" t="inlineStr">
        <is>
          <t>52W Breakout</t>
        </is>
      </c>
      <c r="I58" s="30" t="inlineStr">
        <is>
          <t>Yes</t>
        </is>
      </c>
      <c r="J58" s="30" t="n">
        <v>18</v>
      </c>
      <c r="K58" s="30" t="n">
        <v>14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LAURUSLABS</t>
        </is>
      </c>
      <c r="E59" s="30" t="inlineStr">
        <is>
          <t>Laurus Labs Limited</t>
        </is>
      </c>
      <c r="F59" s="30" t="inlineStr">
        <is>
          <t>Pharma - API &amp; CRAMS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23</v>
      </c>
      <c r="K59" s="30" t="n">
        <v>29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BHAGERIA</t>
        </is>
      </c>
      <c r="E60" s="30" t="inlineStr">
        <is>
          <t>Bhageria Industries Limited</t>
        </is>
      </c>
      <c r="F60" s="30" t="inlineStr">
        <is>
          <t>Dyes &amp; Pigments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26</v>
      </c>
      <c r="K60" s="30" t="n">
        <v>15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SAILIFE</t>
        </is>
      </c>
      <c r="E61" s="30" t="inlineStr">
        <is>
          <t>Sai Life Sciences Ltd</t>
        </is>
      </c>
      <c r="F61" s="30" t="inlineStr">
        <is>
          <t>Pharma - API &amp; CRAMS</t>
        </is>
      </c>
      <c r="G61" s="30" t="n">
        <v>2</v>
      </c>
      <c r="H61" s="30" t="inlineStr">
        <is>
          <t>52W Breakout</t>
        </is>
      </c>
      <c r="I61" s="30" t="inlineStr">
        <is>
          <t>Yes</t>
        </is>
      </c>
      <c r="J61" s="30" t="n">
        <v>18</v>
      </c>
      <c r="K61" s="30" t="n">
        <v>30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METROPOLIS</t>
        </is>
      </c>
      <c r="E62" s="30" t="inlineStr">
        <is>
          <t>Metropolis Healthcare Ltd</t>
        </is>
      </c>
      <c r="F62" s="30" t="inlineStr">
        <is>
          <t>Diagnostics</t>
        </is>
      </c>
      <c r="G62" s="30" t="n">
        <v>2</v>
      </c>
      <c r="H62" s="30" t="inlineStr">
        <is>
          <t>52W Breakout</t>
        </is>
      </c>
      <c r="I62" s="30" t="inlineStr">
        <is>
          <t>Yes</t>
        </is>
      </c>
      <c r="J62" s="30" t="n">
        <v>14</v>
      </c>
      <c r="K62" s="30" t="n">
        <v>13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MMP</t>
        </is>
      </c>
      <c r="E63" s="30" t="inlineStr">
        <is>
          <t>MMP Industries Ltd</t>
        </is>
      </c>
      <c r="F63" s="30" t="inlineStr">
        <is>
          <t>Aluminium Products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25</v>
      </c>
      <c r="K63" s="30" t="n">
        <v>29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KRN</t>
        </is>
      </c>
      <c r="E64" s="30" t="inlineStr">
        <is>
          <t>KRN Heat Exchanger and Refrigeration Ltd</t>
        </is>
      </c>
      <c r="F64" s="30" t="inlineStr">
        <is>
          <t>Engineering - General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19</v>
      </c>
      <c r="K64" s="30" t="n">
        <v>22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AEROFLEX</t>
        </is>
      </c>
      <c r="E65" s="30" t="inlineStr">
        <is>
          <t>Aeroflex Industries Ltd</t>
        </is>
      </c>
      <c r="F65" s="30" t="inlineStr">
        <is>
          <t>Stainless Steel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19</v>
      </c>
      <c r="K65" s="30" t="n">
        <v>21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NRAIL</t>
        </is>
      </c>
      <c r="E66" s="30" t="inlineStr">
        <is>
          <t>N R Agarwal Industries Ltd</t>
        </is>
      </c>
      <c r="F66" s="30" t="inlineStr">
        <is>
          <t>Paper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22</v>
      </c>
      <c r="K66" s="30" t="n">
        <v>19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PTCIL</t>
        </is>
      </c>
      <c r="E67" s="30" t="inlineStr">
        <is>
          <t>PTC Industries Ltd</t>
        </is>
      </c>
      <c r="F67" s="30" t="inlineStr">
        <is>
          <t>unknown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0</v>
      </c>
      <c r="K67" s="30" t="n">
        <v>28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SMLMAH</t>
        </is>
      </c>
      <c r="E68" s="30" t="inlineStr">
        <is>
          <t>SML Mahindra Ltd</t>
        </is>
      </c>
      <c r="F68" s="30" t="inlineStr">
        <is>
          <t>Auto - Bus/LCVs</t>
        </is>
      </c>
      <c r="G68" s="30" t="n">
        <v>2</v>
      </c>
      <c r="H68" s="30" t="inlineStr">
        <is>
          <t>52W Breakout</t>
        </is>
      </c>
      <c r="I68" s="30" t="inlineStr">
        <is>
          <t>Yes</t>
        </is>
      </c>
      <c r="J68" s="30" t="n">
        <v>18</v>
      </c>
      <c r="K68" s="30" t="n">
        <v>29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SHREEJISPG</t>
        </is>
      </c>
      <c r="E69" s="30" t="inlineStr">
        <is>
          <t>Shreeji Shipping Global Ltd</t>
        </is>
      </c>
      <c r="F69" s="30" t="inlineStr">
        <is>
          <t>Shipping/Dredging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11</v>
      </c>
      <c r="K69" s="30" t="n">
        <v>5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CUPID</t>
        </is>
      </c>
      <c r="E70" s="30" t="inlineStr">
        <is>
          <t>Cupid Limited</t>
        </is>
      </c>
      <c r="F70" s="30" t="inlineStr">
        <is>
          <t>Contraceptives/Protectives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20</v>
      </c>
      <c r="K70" s="30" t="n">
        <v>29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ALEMBICLTD</t>
        </is>
      </c>
      <c r="E71" s="30" t="inlineStr">
        <is>
          <t>Alembic Limited</t>
        </is>
      </c>
      <c r="F71" s="30" t="inlineStr">
        <is>
          <t>Finance - Holding Company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23</v>
      </c>
      <c r="K71" s="30" t="n">
        <v>13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ENTERO</t>
        </is>
      </c>
      <c r="E72" s="30" t="inlineStr">
        <is>
          <t>Entero Healthcare Solutions Ltd</t>
        </is>
      </c>
      <c r="F72" s="30" t="inlineStr">
        <is>
          <t>Pharmacy Distribution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27</v>
      </c>
      <c r="K72" s="30" t="n">
        <v>26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ARTEMISMED</t>
        </is>
      </c>
      <c r="E73" s="30" t="inlineStr">
        <is>
          <t>Artemis Medicare Services Ltd</t>
        </is>
      </c>
      <c r="F73" s="30" t="inlineStr">
        <is>
          <t>Hospitals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16</v>
      </c>
      <c r="K73" s="30" t="n">
        <v>30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PRECWIRE</t>
        </is>
      </c>
      <c r="E74" s="30" t="inlineStr">
        <is>
          <t>Precision Wires India Limited</t>
        </is>
      </c>
      <c r="F74" s="30" t="inlineStr">
        <is>
          <t>Copper Wires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22</v>
      </c>
      <c r="K74" s="30" t="n">
        <v>21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PAYTM</t>
        </is>
      </c>
      <c r="E75" s="30" t="inlineStr">
        <is>
          <t>One 97 Communications Ltd</t>
        </is>
      </c>
      <c r="F75" s="30" t="inlineStr">
        <is>
          <t>E-Commerce - Platform - Utility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30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FOSECOIND</t>
        </is>
      </c>
      <c r="E76" s="30" t="inlineStr">
        <is>
          <t>Foseco India Limited</t>
        </is>
      </c>
      <c r="F76" s="30" t="inlineStr">
        <is>
          <t>Chemicals - Organic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19</v>
      </c>
      <c r="K76" s="30" t="n">
        <v>21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GANDHAR</t>
        </is>
      </c>
      <c r="E77" s="30" t="inlineStr">
        <is>
          <t>Gandhar Oil Refinery (India) Ltd</t>
        </is>
      </c>
      <c r="F77" s="30" t="inlineStr">
        <is>
          <t>unknown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0</v>
      </c>
      <c r="K77" s="30" t="n">
        <v>23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MARKSANS</t>
        </is>
      </c>
      <c r="E78" s="30" t="inlineStr">
        <is>
          <t>Marksans Pharma Limited</t>
        </is>
      </c>
      <c r="F78" s="30" t="inlineStr">
        <is>
          <t>Pharma - Formulators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21</v>
      </c>
      <c r="K78" s="30" t="n">
        <v>27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MANINDS</t>
        </is>
      </c>
      <c r="E79" s="30" t="inlineStr">
        <is>
          <t>Man Industries (india) Limited</t>
        </is>
      </c>
      <c r="F79" s="30" t="inlineStr">
        <is>
          <t>Steel - Tubes/Pipes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22</v>
      </c>
      <c r="K79" s="30" t="n">
        <v>22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ANTELOPUS</t>
        </is>
      </c>
      <c r="E80" s="30" t="inlineStr">
        <is>
          <t>Antelopus Selan Energy Ltd</t>
        </is>
      </c>
      <c r="F80" s="30" t="inlineStr">
        <is>
          <t>Oil Drilling &amp; Exploration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31</v>
      </c>
      <c r="K80" s="30" t="n">
        <v>9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GRAPHITE</t>
        </is>
      </c>
      <c r="E81" s="30" t="inlineStr">
        <is>
          <t>Graphite India Limited</t>
        </is>
      </c>
      <c r="F81" s="30" t="inlineStr">
        <is>
          <t>Electrodes - Welding Equipment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21</v>
      </c>
      <c r="K81" s="30" t="n">
        <v>22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DEEPINDS</t>
        </is>
      </c>
      <c r="E82" s="30" t="inlineStr">
        <is>
          <t>Deep Industries Ltd</t>
        </is>
      </c>
      <c r="F82" s="30" t="inlineStr">
        <is>
          <t>Oil Drilling &amp; Exploration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21</v>
      </c>
      <c r="K82" s="30" t="n">
        <v>30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NEULANDLAB</t>
        </is>
      </c>
      <c r="E83" s="30" t="inlineStr">
        <is>
          <t>Neuland Laboratories Limited</t>
        </is>
      </c>
      <c r="F83" s="30" t="inlineStr">
        <is>
          <t>Pharma - API &amp; CRAMS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20</v>
      </c>
      <c r="K83" s="30" t="n">
        <v>30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DOLPHIN</t>
        </is>
      </c>
      <c r="E84" s="30" t="inlineStr">
        <is>
          <t>Dolphin Offshore Enterprises (India) Ltd</t>
        </is>
      </c>
      <c r="F84" s="30" t="inlineStr">
        <is>
          <t>Oil Drilling &amp; Exploration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23</v>
      </c>
      <c r="K84" s="30" t="n">
        <v>28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GMMPFAUDLR</t>
        </is>
      </c>
      <c r="E85" s="30" t="inlineStr">
        <is>
          <t>GMM Pfaudler Ltd</t>
        </is>
      </c>
      <c r="F85" s="30" t="inlineStr">
        <is>
          <t>Glass - Others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22</v>
      </c>
      <c r="K85" s="30" t="n">
        <v>7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TNPETRO</t>
        </is>
      </c>
      <c r="E86" s="30" t="inlineStr">
        <is>
          <t>Tamilnadu Petroproducts Limited</t>
        </is>
      </c>
      <c r="F86" s="30" t="inlineStr">
        <is>
          <t>Petrochem - Others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24</v>
      </c>
      <c r="K86" s="30" t="n">
        <v>21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PRABHA</t>
        </is>
      </c>
      <c r="E87" s="30" t="inlineStr">
        <is>
          <t>Prabha Energy Ltd</t>
        </is>
      </c>
      <c r="F87" s="30" t="inlineStr">
        <is>
          <t>Oil Exploration/Allied Services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30</v>
      </c>
      <c r="K87" s="30" t="n">
        <v>7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GIPCL</t>
        </is>
      </c>
      <c r="E88" s="30" t="inlineStr">
        <is>
          <t>Gujarat Industries Power Company Limited</t>
        </is>
      </c>
      <c r="F88" s="30" t="inlineStr">
        <is>
          <t>Power - Generation/Distribution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20</v>
      </c>
      <c r="K88" s="30" t="n">
        <v>23</v>
      </c>
    </row>
  </sheetData>
  <autoFilter ref="A1:K88"/>
  <conditionalFormatting sqref="G2:G8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IF(B2=0,"",RANK(B2,$B$2:$B$371,0))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BHAGYANGR</t>
        </is>
      </c>
      <c r="D2" s="30" t="inlineStr">
        <is>
          <t>Bhagyanagar India</t>
        </is>
      </c>
      <c r="E2" s="30" t="inlineStr">
        <is>
          <t>power &amp; utilities</t>
        </is>
      </c>
      <c r="F2" s="30" t="inlineStr">
        <is>
          <t>power generation and supply</t>
        </is>
      </c>
      <c r="G2" s="30" t="inlineStr">
        <is>
          <t>smallcap</t>
        </is>
      </c>
      <c r="H2" s="31" t="n">
        <v>1313.23</v>
      </c>
      <c r="I2" s="31" t="n">
        <v>411.65</v>
      </c>
      <c r="J2" s="31" t="n">
        <v>5</v>
      </c>
      <c r="K2" s="31" t="n">
        <v>471785</v>
      </c>
      <c r="L2" s="30" t="n">
        <v>93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67.16</v>
      </c>
      <c r="P2" s="31" t="n">
        <v>66.48</v>
      </c>
      <c r="Q2" s="31" t="n">
        <v>292.25</v>
      </c>
      <c r="R2" s="30" t="inlineStr">
        <is>
          <t>Near 52W High Breakout</t>
        </is>
      </c>
      <c r="S2" s="30" t="inlineStr">
        <is>
          <t>Nifty IT</t>
        </is>
      </c>
      <c r="T2" s="31" t="n">
        <v>-19.93</v>
      </c>
      <c r="U2" s="31" t="n">
        <v>341.21</v>
      </c>
      <c r="V2" s="31" t="n">
        <v>451.03</v>
      </c>
      <c r="W2" s="31" t="n">
        <v>46.2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IF(B3=0,"",RANK(B3,$B$2:$B$371,0))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VINDHYATEL</t>
        </is>
      </c>
      <c r="D3" s="30" t="inlineStr">
        <is>
          <t>Vindhya Telelinks Limited</t>
        </is>
      </c>
      <c r="E3" s="30" t="inlineStr">
        <is>
          <t>realty</t>
        </is>
      </c>
      <c r="F3" s="30" t="inlineStr">
        <is>
          <t>construction</t>
        </is>
      </c>
      <c r="G3" s="30" t="inlineStr">
        <is>
          <t>smallcap</t>
        </is>
      </c>
      <c r="H3" s="31" t="n">
        <v>3310.78</v>
      </c>
      <c r="I3" s="31" t="n">
        <v>2916.4</v>
      </c>
      <c r="J3" s="31" t="n">
        <v>4.39</v>
      </c>
      <c r="K3" s="31" t="n">
        <v>163314</v>
      </c>
      <c r="L3" s="30" t="n">
        <v>93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73.95999999999999</v>
      </c>
      <c r="P3" s="31" t="n">
        <v>52.18</v>
      </c>
      <c r="Q3" s="31" t="n">
        <v>2148.97</v>
      </c>
      <c r="R3" s="30" t="inlineStr">
        <is>
          <t>Near 52W High Breakout</t>
        </is>
      </c>
      <c r="S3" s="30" t="inlineStr">
        <is>
          <t>Nifty Realty</t>
        </is>
      </c>
      <c r="T3" s="31" t="n">
        <v>-8.25</v>
      </c>
      <c r="U3" s="31" t="n">
        <v>85.67</v>
      </c>
      <c r="V3" s="31" t="n">
        <v>102.36</v>
      </c>
      <c r="W3" s="31" t="n">
        <v>48.92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IF(B4=0,"",RANK(B4,$B$2:$B$371,0))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INDNIPPON</t>
        </is>
      </c>
      <c r="D4" s="30" t="inlineStr">
        <is>
          <t>India Nippon Electricals Limited</t>
        </is>
      </c>
      <c r="E4" s="30" t="inlineStr">
        <is>
          <t>auto</t>
        </is>
      </c>
      <c r="F4" s="30" t="inlineStr">
        <is>
          <t>auto ancillaries</t>
        </is>
      </c>
      <c r="G4" s="30" t="inlineStr">
        <is>
          <t>smallcap</t>
        </is>
      </c>
      <c r="H4" s="31" t="n">
        <v>2538.8</v>
      </c>
      <c r="I4" s="31" t="n">
        <v>1313.3</v>
      </c>
      <c r="J4" s="31" t="n">
        <v>17.02</v>
      </c>
      <c r="K4" s="31" t="n">
        <v>1613322</v>
      </c>
      <c r="L4" s="30" t="n">
        <v>82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72.98</v>
      </c>
      <c r="P4" s="31" t="n">
        <v>45.33</v>
      </c>
      <c r="Q4" s="31" t="n">
        <v>1018.63</v>
      </c>
      <c r="R4" s="30" t="inlineStr">
        <is>
          <t>Volume Spike &amp; Near 52W High Breakout</t>
        </is>
      </c>
      <c r="S4" s="30" t="inlineStr">
        <is>
          <t>Nifty Auto</t>
        </is>
      </c>
      <c r="T4" s="31" t="n">
        <v>16.28</v>
      </c>
      <c r="U4" s="31" t="n">
        <v>72.81</v>
      </c>
      <c r="V4" s="31" t="n">
        <v>48.62</v>
      </c>
      <c r="W4" s="31" t="n">
        <v>29.75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IF(B5=0,"",RANK(B5,$B$2:$B$371,0))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MENONBE</t>
        </is>
      </c>
      <c r="D5" s="30" t="inlineStr">
        <is>
          <t>Menon Bearings Limited</t>
        </is>
      </c>
      <c r="E5" s="30" t="inlineStr">
        <is>
          <t>auto</t>
        </is>
      </c>
      <c r="F5" s="30" t="inlineStr">
        <is>
          <t>auto ancillaries</t>
        </is>
      </c>
      <c r="G5" s="30" t="inlineStr">
        <is>
          <t>smallcap</t>
        </is>
      </c>
      <c r="H5" s="31" t="n">
        <v>1631.04</v>
      </c>
      <c r="I5" s="31" t="n">
        <v>305.5</v>
      </c>
      <c r="J5" s="31" t="n">
        <v>4.96</v>
      </c>
      <c r="K5" s="31" t="n">
        <v>133876</v>
      </c>
      <c r="L5" s="30" t="n">
        <v>97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79.06</v>
      </c>
      <c r="P5" s="31" t="n">
        <v>63.59</v>
      </c>
      <c r="Q5" s="31" t="n">
        <v>240.7</v>
      </c>
      <c r="R5" s="30" t="inlineStr">
        <is>
          <t>Near 52W High Breakout</t>
        </is>
      </c>
      <c r="S5" s="30" t="inlineStr">
        <is>
          <t>Nifty Auto</t>
        </is>
      </c>
      <c r="T5" s="31" t="n">
        <v>16.28</v>
      </c>
      <c r="U5" s="31" t="n">
        <v>140.38</v>
      </c>
      <c r="V5" s="31" t="n">
        <v>106.72</v>
      </c>
      <c r="W5" s="31" t="n">
        <v>62.34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IF(B6=0,"",RANK(B6,$B$2:$B$371,0))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BIRLACABLE</t>
        </is>
      </c>
      <c r="D6" s="30" t="inlineStr">
        <is>
          <t>Birla Cable Limited</t>
        </is>
      </c>
      <c r="E6" s="30" t="inlineStr">
        <is>
          <t>industrials</t>
        </is>
      </c>
      <c r="F6" s="30" t="inlineStr">
        <is>
          <t>cables - telephone</t>
        </is>
      </c>
      <c r="G6" s="30" t="inlineStr">
        <is>
          <t>smallcap</t>
        </is>
      </c>
      <c r="H6" s="31" t="n">
        <v>1019.7</v>
      </c>
      <c r="I6" s="31" t="n">
        <v>356.85</v>
      </c>
      <c r="J6" s="31" t="n">
        <v>4.99</v>
      </c>
      <c r="K6" s="31" t="n">
        <v>1334884</v>
      </c>
      <c r="L6" s="30" t="n">
        <v>94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74.23999999999999</v>
      </c>
      <c r="P6" s="31" t="n">
        <v>51.02</v>
      </c>
      <c r="Q6" s="31" t="n">
        <v>277.5</v>
      </c>
      <c r="R6" s="30" t="inlineStr">
        <is>
          <t>Volume Spike / Accumulation</t>
        </is>
      </c>
      <c r="S6" s="30" t="inlineStr">
        <is>
          <t>Nifty Infra</t>
        </is>
      </c>
      <c r="T6" s="31" t="n">
        <v>0.58</v>
      </c>
      <c r="U6" s="31" t="n">
        <v>109.74</v>
      </c>
      <c r="V6" s="31" t="n">
        <v>108.53</v>
      </c>
      <c r="W6" s="31" t="n">
        <v>51.07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IF(B7=0,"",RANK(B7,$B$2:$B$371,0))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ORIENTBELL</t>
        </is>
      </c>
      <c r="D7" s="30" t="inlineStr">
        <is>
          <t>Orient Bell Limited</t>
        </is>
      </c>
      <c r="E7" s="30" t="inlineStr">
        <is>
          <t>building materials</t>
        </is>
      </c>
      <c r="F7" s="30" t="inlineStr">
        <is>
          <t>ceramics - tiles / sanitaryware</t>
        </is>
      </c>
      <c r="G7" s="30" t="inlineStr">
        <is>
          <t>smallcap</t>
        </is>
      </c>
      <c r="H7" s="31" t="n">
        <v>603.5700000000001</v>
      </c>
      <c r="I7" s="31" t="n">
        <v>420.1</v>
      </c>
      <c r="J7" s="31" t="n">
        <v>2.39</v>
      </c>
      <c r="K7" s="31" t="n">
        <v>41864</v>
      </c>
      <c r="L7" s="30" t="n">
        <v>62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74.29000000000001</v>
      </c>
      <c r="P7" s="31" t="n">
        <v>42.23</v>
      </c>
      <c r="Q7" s="31" t="n">
        <v>323.22</v>
      </c>
      <c r="R7" s="30" t="inlineStr">
        <is>
          <t>Near 52W High Breakout</t>
        </is>
      </c>
      <c r="S7" s="30" t="inlineStr">
        <is>
          <t>Nifty Infra</t>
        </is>
      </c>
      <c r="T7" s="31" t="n">
        <v>0.58</v>
      </c>
      <c r="U7" s="31" t="n">
        <v>37.41</v>
      </c>
      <c r="V7" s="31" t="n">
        <v>36.61</v>
      </c>
      <c r="W7" s="31" t="n">
        <v>18.45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IF(B8=0,"",RANK(B8,$B$2:$B$371,0))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JGCHEM</t>
        </is>
      </c>
      <c r="D8" s="30" t="inlineStr">
        <is>
          <t>J.G.Chemicals Ltd</t>
        </is>
      </c>
      <c r="E8" s="30" t="inlineStr">
        <is>
          <t>chemicals</t>
        </is>
      </c>
      <c r="F8" s="30" t="inlineStr">
        <is>
          <t>chemicals</t>
        </is>
      </c>
      <c r="G8" s="30" t="inlineStr">
        <is>
          <t>smallcap</t>
        </is>
      </c>
      <c r="H8" s="31" t="n">
        <v>2395.05</v>
      </c>
      <c r="I8" s="31" t="n">
        <v>619.5</v>
      </c>
      <c r="J8" s="31" t="n">
        <v>1.36</v>
      </c>
      <c r="K8" s="31" t="n">
        <v>521969</v>
      </c>
      <c r="L8" s="30" t="n">
        <v>57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70.47</v>
      </c>
      <c r="P8" s="31" t="n">
        <v>42.4</v>
      </c>
      <c r="Q8" s="31" t="n">
        <v>494.32</v>
      </c>
      <c r="R8" s="30" t="inlineStr">
        <is>
          <t>Near 52W High Breakout</t>
        </is>
      </c>
      <c r="S8" s="30" t="inlineStr">
        <is>
          <t>Nifty IT</t>
        </is>
      </c>
      <c r="T8" s="31" t="n">
        <v>-19.93</v>
      </c>
      <c r="U8" s="31" t="n">
        <v>31.38</v>
      </c>
      <c r="V8" s="31" t="n">
        <v>64.08</v>
      </c>
      <c r="W8" s="31" t="n">
        <v>17.32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IF(B9=0,"",RANK(B9,$B$2:$B$371,0))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REDINGTON</t>
        </is>
      </c>
      <c r="D9" s="30" t="inlineStr">
        <is>
          <t>Redington (india) Limited</t>
        </is>
      </c>
      <c r="E9" s="30" t="inlineStr">
        <is>
          <t>services</t>
        </is>
      </c>
      <c r="F9" s="30" t="inlineStr">
        <is>
          <t>trading</t>
        </is>
      </c>
      <c r="G9" s="30" t="inlineStr">
        <is>
          <t>largecap</t>
        </is>
      </c>
      <c r="H9" s="31" t="n">
        <v>29203.18</v>
      </c>
      <c r="I9" s="31" t="n">
        <v>378.05</v>
      </c>
      <c r="J9" s="31" t="n">
        <v>1.2</v>
      </c>
      <c r="K9" s="31" t="n">
        <v>4173283</v>
      </c>
      <c r="L9" s="30" t="n">
        <v>76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72.37</v>
      </c>
      <c r="P9" s="31" t="n">
        <v>44.48</v>
      </c>
      <c r="Q9" s="31" t="n">
        <v>295.99</v>
      </c>
      <c r="R9" s="30" t="inlineStr">
        <is>
          <t>Near 52W High Breakout</t>
        </is>
      </c>
      <c r="S9" s="30" t="inlineStr">
        <is>
          <t>Nifty 50</t>
        </is>
      </c>
      <c r="T9" s="31" t="n">
        <v>-6.7</v>
      </c>
      <c r="U9" s="31" t="n">
        <v>58.47</v>
      </c>
      <c r="V9" s="31" t="n">
        <v>69.84999999999999</v>
      </c>
      <c r="W9" s="31" t="n">
        <v>25.32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IF(B10=0,"",RANK(B10,$B$2:$B$371,0))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OCCLLTD</t>
        </is>
      </c>
      <c r="D10" s="30" t="inlineStr">
        <is>
          <t>OCCL Ltd</t>
        </is>
      </c>
      <c r="E10" s="30" t="inlineStr">
        <is>
          <t>chemicals</t>
        </is>
      </c>
      <c r="F10" s="30" t="inlineStr">
        <is>
          <t>chemicals</t>
        </is>
      </c>
      <c r="G10" s="30" t="inlineStr">
        <is>
          <t>smallcap</t>
        </is>
      </c>
      <c r="H10" s="31" t="n">
        <v>823.38</v>
      </c>
      <c r="I10" s="31" t="n">
        <v>164.68</v>
      </c>
      <c r="J10" s="31" t="n">
        <v>-0.1</v>
      </c>
      <c r="K10" s="31" t="n">
        <v>76133</v>
      </c>
      <c r="L10" s="30" t="n">
        <v>47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72.95999999999999</v>
      </c>
      <c r="P10" s="31" t="n">
        <v>49.31</v>
      </c>
      <c r="Q10" s="31" t="n">
        <v>122.72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-6.7</v>
      </c>
      <c r="U10" s="31" t="n">
        <v>20.87</v>
      </c>
      <c r="V10" s="31" t="n">
        <v>29.55</v>
      </c>
      <c r="W10" s="31" t="n">
        <v>13.39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IF(B11=0,"",RANK(B11,$B$2:$B$371,0))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MSTCLTD</t>
        </is>
      </c>
      <c r="D11" s="30" t="inlineStr">
        <is>
          <t>MSTC Ltd</t>
        </is>
      </c>
      <c r="E11" s="30" t="inlineStr">
        <is>
          <t>i.t</t>
        </is>
      </c>
      <c r="F11" s="30" t="inlineStr">
        <is>
          <t>trading</t>
        </is>
      </c>
      <c r="G11" s="30" t="inlineStr">
        <is>
          <t>midcap</t>
        </is>
      </c>
      <c r="H11" s="31" t="n">
        <v>5480.99</v>
      </c>
      <c r="I11" s="31" t="n">
        <v>764.1</v>
      </c>
      <c r="J11" s="31" t="n">
        <v>-1.86</v>
      </c>
      <c r="K11" s="31" t="n">
        <v>218533</v>
      </c>
      <c r="L11" s="30" t="n">
        <v>56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68.94</v>
      </c>
      <c r="P11" s="31" t="n">
        <v>47.19</v>
      </c>
      <c r="Q11" s="31" t="n">
        <v>579.23</v>
      </c>
      <c r="R11" s="30" t="inlineStr">
        <is>
          <t>Near 52W High Breakout</t>
        </is>
      </c>
      <c r="S11" s="30" t="inlineStr">
        <is>
          <t>Nifty IT</t>
        </is>
      </c>
      <c r="T11" s="31" t="n">
        <v>-19.93</v>
      </c>
      <c r="U11" s="31" t="n">
        <v>47.19</v>
      </c>
      <c r="V11" s="31" t="n">
        <v>83.83</v>
      </c>
      <c r="W11" s="31" t="n">
        <v>16.96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IF(B12=0,"",RANK(B12,$B$2:$B$371,0))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VISHNU</t>
        </is>
      </c>
      <c r="D12" s="30" t="inlineStr">
        <is>
          <t>Vishnu Chemicals Limited</t>
        </is>
      </c>
      <c r="E12" s="30" t="inlineStr">
        <is>
          <t>chemicals</t>
        </is>
      </c>
      <c r="F12" s="30" t="inlineStr">
        <is>
          <t>chemicals</t>
        </is>
      </c>
      <c r="G12" s="30" t="inlineStr">
        <is>
          <t>smallcap</t>
        </is>
      </c>
      <c r="H12" s="31" t="n">
        <v>4924.45</v>
      </c>
      <c r="I12" s="31" t="n">
        <v>709.05</v>
      </c>
      <c r="J12" s="31" t="n">
        <v>-3.08</v>
      </c>
      <c r="K12" s="31" t="n">
        <v>181853</v>
      </c>
      <c r="L12" s="30" t="n">
        <v>41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70.83</v>
      </c>
      <c r="P12" s="31" t="n">
        <v>45.03</v>
      </c>
      <c r="Q12" s="31" t="n">
        <v>571.9400000000001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-6.7</v>
      </c>
      <c r="U12" s="31" t="n">
        <v>43.2</v>
      </c>
      <c r="V12" s="31" t="n">
        <v>53.48</v>
      </c>
      <c r="W12" s="31" t="n">
        <v>11.83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IF(B13=0,"",RANK(B13,$B$2:$B$371,0))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AUROPHARMA</t>
        </is>
      </c>
      <c r="D13" s="30" t="inlineStr">
        <is>
          <t>Aurobindo Pharma Limited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largecap</t>
        </is>
      </c>
      <c r="H13" s="31" t="n">
        <v>97353.94</v>
      </c>
      <c r="I13" s="31" t="n">
        <v>1698.9</v>
      </c>
      <c r="J13" s="31" t="n">
        <v>0.41</v>
      </c>
      <c r="K13" s="31" t="n">
        <v>600583</v>
      </c>
      <c r="L13" s="30" t="n">
        <v>43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72.08</v>
      </c>
      <c r="P13" s="31" t="n">
        <v>41.85</v>
      </c>
      <c r="Q13" s="31" t="n">
        <v>1469.25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19.47</v>
      </c>
      <c r="U13" s="31" t="n">
        <v>55.24</v>
      </c>
      <c r="V13" s="31" t="n">
        <v>29.93</v>
      </c>
      <c r="W13" s="31" t="n">
        <v>12.4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IF(B14=0,"",RANK(B14,$B$2:$B$371,0))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IPCALAB</t>
        </is>
      </c>
      <c r="D14" s="30" t="inlineStr">
        <is>
          <t>Ipca Laboratories Limited</t>
        </is>
      </c>
      <c r="E14" s="30" t="inlineStr">
        <is>
          <t>healthcare</t>
        </is>
      </c>
      <c r="F14" s="30" t="inlineStr">
        <is>
          <t>pharmaceuticals - indian - bulk drugs &amp; formln</t>
        </is>
      </c>
      <c r="G14" s="30" t="inlineStr">
        <is>
          <t>largecap</t>
        </is>
      </c>
      <c r="H14" s="31" t="n">
        <v>49908.69</v>
      </c>
      <c r="I14" s="31" t="n">
        <v>1963.6</v>
      </c>
      <c r="J14" s="31" t="n">
        <v>-0.18</v>
      </c>
      <c r="K14" s="31" t="n">
        <v>126119</v>
      </c>
      <c r="L14" s="30" t="n">
        <v>47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69.17</v>
      </c>
      <c r="P14" s="31" t="n">
        <v>42.99</v>
      </c>
      <c r="Q14" s="31" t="n">
        <v>1605.27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19.47</v>
      </c>
      <c r="U14" s="31" t="n">
        <v>49.86</v>
      </c>
      <c r="V14" s="31" t="n">
        <v>25.44</v>
      </c>
      <c r="W14" s="31" t="n">
        <v>13.67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IF(B15=0,"",RANK(B15,$B$2:$B$371,0))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CONFIPET</t>
        </is>
      </c>
      <c r="D15" s="30" t="inlineStr">
        <is>
          <t>Confidence Petroleum India Ltd</t>
        </is>
      </c>
      <c r="E15" s="30" t="inlineStr">
        <is>
          <t>miscellaneous</t>
        </is>
      </c>
      <c r="F15" s="30" t="inlineStr">
        <is>
          <t>miscellaneous</t>
        </is>
      </c>
      <c r="G15" s="30" t="inlineStr">
        <is>
          <t>smallcap</t>
        </is>
      </c>
      <c r="H15" s="31" t="n">
        <v>2740.66</v>
      </c>
      <c r="I15" s="31" t="n">
        <v>90.66</v>
      </c>
      <c r="J15" s="31" t="n">
        <v>9.9</v>
      </c>
      <c r="K15" s="31" t="n">
        <v>15689882</v>
      </c>
      <c r="L15" s="30" t="n">
        <v>84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72.11</v>
      </c>
      <c r="P15" s="31" t="n">
        <v>61.02</v>
      </c>
      <c r="Q15" s="31" t="n">
        <v>64.31</v>
      </c>
      <c r="R15" s="30" t="inlineStr">
        <is>
          <t>Near 52W High Breakout</t>
        </is>
      </c>
      <c r="S15" s="30" t="inlineStr">
        <is>
          <t>Nifty Energy</t>
        </is>
      </c>
      <c r="T15" s="31" t="n">
        <v>8.75</v>
      </c>
      <c r="U15" s="31" t="n">
        <v>74.05</v>
      </c>
      <c r="V15" s="31" t="n">
        <v>60.05</v>
      </c>
      <c r="W15" s="31" t="n">
        <v>31.77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IF(B16=0,"",RANK(B16,$B$2:$B$371,0))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QUESS</t>
        </is>
      </c>
      <c r="D16" s="30" t="inlineStr">
        <is>
          <t>Quess Corp Limited</t>
        </is>
      </c>
      <c r="E16" s="30" t="inlineStr">
        <is>
          <t>miscellaneous</t>
        </is>
      </c>
      <c r="F16" s="30" t="inlineStr">
        <is>
          <t>diversified - large</t>
        </is>
      </c>
      <c r="G16" s="30" t="inlineStr">
        <is>
          <t>midcap</t>
        </is>
      </c>
      <c r="H16" s="31" t="n">
        <v>5040.89</v>
      </c>
      <c r="I16" s="31" t="n">
        <v>355</v>
      </c>
      <c r="J16" s="31" t="n">
        <v>5.19</v>
      </c>
      <c r="K16" s="31" t="n">
        <v>821596</v>
      </c>
      <c r="L16" s="30" t="n">
        <v>65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72.09999999999999</v>
      </c>
      <c r="P16" s="31" t="n">
        <v>63.56</v>
      </c>
      <c r="Q16" s="31" t="n">
        <v>288.37</v>
      </c>
      <c r="R16" s="30" t="inlineStr">
        <is>
          <t>Near 52W High Breakout</t>
        </is>
      </c>
      <c r="S16" s="30" t="inlineStr">
        <is>
          <t>Nifty 50</t>
        </is>
      </c>
      <c r="T16" s="31" t="n">
        <v>-6.7</v>
      </c>
      <c r="U16" s="31" t="n">
        <v>40.61</v>
      </c>
      <c r="V16" s="31" t="n">
        <v>50.7</v>
      </c>
      <c r="W16" s="31" t="n">
        <v>19.57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IF(B17=0,"",RANK(B17,$B$2:$B$371,0))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KANORICHEM</t>
        </is>
      </c>
      <c r="D17" s="30" t="inlineStr">
        <is>
          <t>Kanoria Chemicals &amp; Industries Limited</t>
        </is>
      </c>
      <c r="E17" s="30" t="inlineStr">
        <is>
          <t>chemicals</t>
        </is>
      </c>
      <c r="F17" s="30" t="inlineStr">
        <is>
          <t>chemicals</t>
        </is>
      </c>
      <c r="G17" s="30" t="inlineStr">
        <is>
          <t>smallcap</t>
        </is>
      </c>
      <c r="H17" s="31" t="n">
        <v>694.29</v>
      </c>
      <c r="I17" s="31" t="n">
        <v>166.8</v>
      </c>
      <c r="J17" s="31" t="n">
        <v>4.97</v>
      </c>
      <c r="K17" s="31" t="n">
        <v>94989</v>
      </c>
      <c r="L17" s="30" t="n">
        <v>87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73.56</v>
      </c>
      <c r="P17" s="31" t="n">
        <v>65.84</v>
      </c>
      <c r="Q17" s="31" t="n">
        <v>125.03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-6.7</v>
      </c>
      <c r="U17" s="31" t="n">
        <v>97.3</v>
      </c>
      <c r="V17" s="31" t="n">
        <v>111.47</v>
      </c>
      <c r="W17" s="31" t="n">
        <v>34.84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IF(B18=0,"",RANK(B18,$B$2:$B$371,0))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SWANDEF</t>
        </is>
      </c>
      <c r="D18" s="30" t="inlineStr">
        <is>
          <t>Swan Defence and Heavy Industries Ltd</t>
        </is>
      </c>
      <c r="E18" s="30" t="inlineStr">
        <is>
          <t>transportation</t>
        </is>
      </c>
      <c r="F18" s="30" t="inlineStr">
        <is>
          <t>miscellaneous</t>
        </is>
      </c>
      <c r="G18" s="30" t="inlineStr">
        <is>
          <t>midcap</t>
        </is>
      </c>
      <c r="H18" s="31" t="n">
        <v>13086.25</v>
      </c>
      <c r="I18" s="31" t="n">
        <v>2584.5</v>
      </c>
      <c r="J18" s="31" t="n">
        <v>4.05</v>
      </c>
      <c r="K18" s="31" t="n">
        <v>24701</v>
      </c>
      <c r="L18" s="30" t="n">
        <v>96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65.48999999999999</v>
      </c>
      <c r="P18" s="31" t="n">
        <v>55.11</v>
      </c>
      <c r="Q18" s="31" t="n">
        <v>2069.61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-6.7</v>
      </c>
      <c r="U18" s="31" t="n">
        <v>393.7</v>
      </c>
      <c r="V18" s="31" t="n">
        <v>429.15</v>
      </c>
      <c r="W18" s="31" t="n">
        <v>54.54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More than 1.2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IF(B19=0,"",RANK(B19,$B$2:$B$371,0))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GAYAPROJ</t>
        </is>
      </c>
      <c r="D19" s="30" t="inlineStr">
        <is>
          <t>Gayatri Projects Limited</t>
        </is>
      </c>
      <c r="E19" s="30" t="inlineStr">
        <is>
          <t>realty</t>
        </is>
      </c>
      <c r="F19" s="30" t="inlineStr">
        <is>
          <t>construction</t>
        </is>
      </c>
      <c r="G19" s="30" t="inlineStr">
        <is>
          <t>smallcap</t>
        </is>
      </c>
      <c r="H19" s="31" t="n">
        <v>1079.96</v>
      </c>
      <c r="I19" s="31" t="n">
        <v>23.64</v>
      </c>
      <c r="J19" s="31" t="n">
        <v>1.63</v>
      </c>
      <c r="K19" s="31" t="n">
        <v>3083761</v>
      </c>
      <c r="L19" s="30" t="n">
        <v>81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67.98</v>
      </c>
      <c r="P19" s="31" t="n">
        <v>28.78</v>
      </c>
      <c r="Q19" s="31" t="n">
        <v>17.43</v>
      </c>
      <c r="R19" s="30" t="inlineStr">
        <is>
          <t>Volume Spike &amp; Near 52W High Breakout</t>
        </is>
      </c>
      <c r="S19" s="30" t="inlineStr">
        <is>
          <t>Nifty Realty</t>
        </is>
      </c>
      <c r="T19" s="31" t="n">
        <v>-8.25</v>
      </c>
      <c r="U19" s="31" t="n">
        <v>178.12</v>
      </c>
      <c r="V19" s="31" t="n">
        <v>203.12</v>
      </c>
      <c r="W19" s="31" t="n">
        <v>28.77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IF(B20=0,"",RANK(B20,$B$2:$B$371,0))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ATHERENERG</t>
        </is>
      </c>
      <c r="D20" s="30" t="inlineStr">
        <is>
          <t>Ather Energy Ltd</t>
        </is>
      </c>
      <c r="E20" s="30" t="inlineStr">
        <is>
          <t>auto</t>
        </is>
      </c>
      <c r="F20" s="30" t="inlineStr">
        <is>
          <t>automobiles - scooters and 3 - wheelers</t>
        </is>
      </c>
      <c r="G20" s="30" t="inlineStr">
        <is>
          <t>largecap</t>
        </is>
      </c>
      <c r="H20" s="31" t="n">
        <v>62192.97</v>
      </c>
      <c r="I20" s="31" t="n">
        <v>1580</v>
      </c>
      <c r="J20" s="31" t="n">
        <v>0.13</v>
      </c>
      <c r="K20" s="31" t="n">
        <v>1669212</v>
      </c>
      <c r="L20" s="30" t="n">
        <v>96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76.72</v>
      </c>
      <c r="P20" s="31" t="n">
        <v>67.47</v>
      </c>
      <c r="Q20" s="31" t="n">
        <v>1258.03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16.28</v>
      </c>
      <c r="U20" s="31" t="n">
        <v>372.63</v>
      </c>
      <c r="V20" s="31" t="n">
        <v>306.46</v>
      </c>
      <c r="W20" s="31" t="n">
        <v>59.85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IF(B21=0,"",RANK(B21,$B$2:$B$371,0))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INDOBORAX</t>
        </is>
      </c>
      <c r="D21" s="30" t="inlineStr">
        <is>
          <t>Indo Borax &amp; Chemicals Ltd</t>
        </is>
      </c>
      <c r="E21" s="30" t="inlineStr">
        <is>
          <t>chemicals</t>
        </is>
      </c>
      <c r="F21" s="30" t="inlineStr">
        <is>
          <t>chemicals</t>
        </is>
      </c>
      <c r="G21" s="30" t="inlineStr">
        <is>
          <t>smallcap</t>
        </is>
      </c>
      <c r="H21" s="31" t="n">
        <v>1639.96</v>
      </c>
      <c r="I21" s="31" t="n">
        <v>510.95</v>
      </c>
      <c r="J21" s="31" t="n">
        <v>-0.02</v>
      </c>
      <c r="K21" s="31" t="n">
        <v>92970</v>
      </c>
      <c r="L21" s="30" t="n">
        <v>83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77.02</v>
      </c>
      <c r="P21" s="31" t="n">
        <v>75.59999999999999</v>
      </c>
      <c r="Q21" s="31" t="n">
        <v>374.99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-6.7</v>
      </c>
      <c r="U21" s="31" t="n">
        <v>128.57</v>
      </c>
      <c r="V21" s="31" t="n">
        <v>144.98</v>
      </c>
      <c r="W21" s="31" t="n">
        <v>30.59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IF(B22=0,"",RANK(B22,$B$2:$B$371,0))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SSWL</t>
        </is>
      </c>
      <c r="D22" s="30" t="inlineStr">
        <is>
          <t>Steel Strips Wheels Limited</t>
        </is>
      </c>
      <c r="E22" s="30" t="inlineStr">
        <is>
          <t>auto</t>
        </is>
      </c>
      <c r="F22" s="30" t="inlineStr">
        <is>
          <t>auto ancillaries</t>
        </is>
      </c>
      <c r="G22" s="30" t="inlineStr">
        <is>
          <t>midcap</t>
        </is>
      </c>
      <c r="H22" s="31" t="n">
        <v>5864.4</v>
      </c>
      <c r="I22" s="31" t="n">
        <v>371.45</v>
      </c>
      <c r="J22" s="31" t="n">
        <v>-0.44</v>
      </c>
      <c r="K22" s="31" t="n">
        <v>676147</v>
      </c>
      <c r="L22" s="30" t="n">
        <v>82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79.34999999999999</v>
      </c>
      <c r="P22" s="31" t="n">
        <v>41.9</v>
      </c>
      <c r="Q22" s="31" t="n">
        <v>297.61</v>
      </c>
      <c r="R22" s="30" t="inlineStr">
        <is>
          <t>Near 52W High Breakout</t>
        </is>
      </c>
      <c r="S22" s="30" t="inlineStr">
        <is>
          <t>Nifty Auto</t>
        </is>
      </c>
      <c r="T22" s="31" t="n">
        <v>16.28</v>
      </c>
      <c r="U22" s="31" t="n">
        <v>55.09</v>
      </c>
      <c r="V22" s="31" t="n">
        <v>33.38</v>
      </c>
      <c r="W22" s="31" t="n">
        <v>29.31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IF(B23=0,"",RANK(B23,$B$2:$B$371,0))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SYRMA</t>
        </is>
      </c>
      <c r="D23" s="30" t="inlineStr">
        <is>
          <t>Syrma SGS Technology Ltd</t>
        </is>
      </c>
      <c r="E23" s="30" t="inlineStr">
        <is>
          <t>consumer discretionary</t>
        </is>
      </c>
      <c r="F23" s="30" t="inlineStr">
        <is>
          <t>electronics - components</t>
        </is>
      </c>
      <c r="G23" s="30" t="inlineStr">
        <is>
          <t>largecap</t>
        </is>
      </c>
      <c r="H23" s="31" t="n">
        <v>31608.77</v>
      </c>
      <c r="I23" s="31" t="n">
        <v>1622.4</v>
      </c>
      <c r="J23" s="31" t="n">
        <v>-1.02</v>
      </c>
      <c r="K23" s="31" t="n">
        <v>1096481</v>
      </c>
      <c r="L23" s="30" t="n">
        <v>74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73.41</v>
      </c>
      <c r="P23" s="31" t="n">
        <v>60.74</v>
      </c>
      <c r="Q23" s="31" t="n">
        <v>1281.11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-6.7</v>
      </c>
      <c r="U23" s="31" t="n">
        <v>97.14</v>
      </c>
      <c r="V23" s="31" t="n">
        <v>111.29</v>
      </c>
      <c r="W23" s="31" t="n">
        <v>23.8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IF(B24=0,"",RANK(B24,$B$2:$B$371,0))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ICIL</t>
        </is>
      </c>
      <c r="D24" s="30" t="inlineStr">
        <is>
          <t>Indo Count Industries Limited</t>
        </is>
      </c>
      <c r="E24" s="30" t="inlineStr">
        <is>
          <t>textiles</t>
        </is>
      </c>
      <c r="F24" s="30" t="inlineStr">
        <is>
          <t>textiles - cotton/blended</t>
        </is>
      </c>
      <c r="G24" s="30" t="inlineStr">
        <is>
          <t>midcap</t>
        </is>
      </c>
      <c r="H24" s="31" t="n">
        <v>8929.280000000001</v>
      </c>
      <c r="I24" s="31" t="n">
        <v>445.55</v>
      </c>
      <c r="J24" s="31" t="n">
        <v>-1.18</v>
      </c>
      <c r="K24" s="31" t="n">
        <v>554256</v>
      </c>
      <c r="L24" s="30" t="n">
        <v>60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64.93000000000001</v>
      </c>
      <c r="P24" s="31" t="n">
        <v>56.05</v>
      </c>
      <c r="Q24" s="31" t="n">
        <v>326.79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-6.7</v>
      </c>
      <c r="U24" s="31" t="n">
        <v>57.24</v>
      </c>
      <c r="V24" s="31" t="n">
        <v>68.53</v>
      </c>
      <c r="W24" s="31" t="n">
        <v>17.84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IF(B25=0,"",RANK(B25,$B$2:$B$371,0))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RML</t>
        </is>
      </c>
      <c r="D25" s="30" t="inlineStr">
        <is>
          <t>Rane (madras) Limited</t>
        </is>
      </c>
      <c r="E25" s="30" t="inlineStr">
        <is>
          <t>auto</t>
        </is>
      </c>
      <c r="F25" s="30" t="inlineStr">
        <is>
          <t>auto ancillaries</t>
        </is>
      </c>
      <c r="G25" s="30" t="inlineStr">
        <is>
          <t>smallcap</t>
        </is>
      </c>
      <c r="H25" s="31" t="n">
        <v>3841.56</v>
      </c>
      <c r="I25" s="31" t="n">
        <v>1364.3</v>
      </c>
      <c r="J25" s="31" t="n">
        <v>-1.85</v>
      </c>
      <c r="K25" s="31" t="n">
        <v>77426</v>
      </c>
      <c r="L25" s="30" t="n">
        <v>84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69.52</v>
      </c>
      <c r="P25" s="31" t="n">
        <v>52.96</v>
      </c>
      <c r="Q25" s="31" t="n">
        <v>1029.52</v>
      </c>
      <c r="R25" s="30" t="inlineStr">
        <is>
          <t>Near 52W High Breakout</t>
        </is>
      </c>
      <c r="S25" s="30" t="inlineStr">
        <is>
          <t>Nifty Auto</t>
        </is>
      </c>
      <c r="T25" s="31" t="n">
        <v>16.28</v>
      </c>
      <c r="U25" s="31" t="n">
        <v>63.85</v>
      </c>
      <c r="V25" s="31" t="n">
        <v>40.91</v>
      </c>
      <c r="W25" s="31" t="n">
        <v>31.73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Between 0.7 to 1.2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IF(B26=0,"",RANK(B26,$B$2:$B$371,0))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HFCL</t>
        </is>
      </c>
      <c r="D26" s="30" t="inlineStr">
        <is>
          <t>HFCL Ltd</t>
        </is>
      </c>
      <c r="E26" s="30" t="inlineStr">
        <is>
          <t>telecom</t>
        </is>
      </c>
      <c r="F26" s="30" t="inlineStr">
        <is>
          <t>cables - telephone</t>
        </is>
      </c>
      <c r="G26" s="30" t="inlineStr">
        <is>
          <t>largecap</t>
        </is>
      </c>
      <c r="H26" s="31" t="n">
        <v>38381.39</v>
      </c>
      <c r="I26" s="31" t="n">
        <v>245.43</v>
      </c>
      <c r="J26" s="31" t="n">
        <v>-2.13</v>
      </c>
      <c r="K26" s="31" t="n">
        <v>6833419</v>
      </c>
      <c r="L26" s="30" t="n">
        <v>98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73.06999999999999</v>
      </c>
      <c r="P26" s="31" t="n">
        <v>58.66</v>
      </c>
      <c r="Q26" s="31" t="n">
        <v>187.17</v>
      </c>
      <c r="R26" s="30" t="inlineStr">
        <is>
          <t>Near 52W High Breakout</t>
        </is>
      </c>
      <c r="S26" s="30" t="inlineStr">
        <is>
          <t>Nifty Infra</t>
        </is>
      </c>
      <c r="T26" s="31" t="n">
        <v>0.58</v>
      </c>
      <c r="U26" s="31" t="n">
        <v>223.65</v>
      </c>
      <c r="V26" s="31" t="n">
        <v>221.77</v>
      </c>
      <c r="W26" s="31" t="n">
        <v>66.98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Oligopoly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IF(B27=0,"",RANK(B27,$B$2:$B$371,0))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TBZ</t>
        </is>
      </c>
      <c r="D27" s="30" t="inlineStr">
        <is>
          <t>Tribhovandas Bhimji Zaveri Limited</t>
        </is>
      </c>
      <c r="E27" s="30" t="inlineStr">
        <is>
          <t>consumer discretionary</t>
        </is>
      </c>
      <c r="F27" s="30" t="inlineStr">
        <is>
          <t>diamond cutting / jewellery</t>
        </is>
      </c>
      <c r="G27" s="30" t="inlineStr">
        <is>
          <t>smallcap</t>
        </is>
      </c>
      <c r="H27" s="31" t="n">
        <v>3705.55</v>
      </c>
      <c r="I27" s="31" t="n">
        <v>527.6</v>
      </c>
      <c r="J27" s="31" t="n">
        <v>-4.99</v>
      </c>
      <c r="K27" s="31" t="n">
        <v>5742152</v>
      </c>
      <c r="L27" s="30" t="n">
        <v>99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89.84999999999999</v>
      </c>
      <c r="P27" s="31" t="n">
        <v>52.68</v>
      </c>
      <c r="Q27" s="31" t="n">
        <v>394.59</v>
      </c>
      <c r="R27" s="30" t="inlineStr">
        <is>
          <t>Near 52W High Breakout</t>
        </is>
      </c>
      <c r="S27" s="30" t="inlineStr">
        <is>
          <t>Nifty 50</t>
        </is>
      </c>
      <c r="T27" s="31" t="n">
        <v>-6.7</v>
      </c>
      <c r="U27" s="31" t="n">
        <v>184.3</v>
      </c>
      <c r="V27" s="31" t="n">
        <v>204.72</v>
      </c>
      <c r="W27" s="31" t="n">
        <v>77.15000000000001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Between 0.7 to 1.2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IF(B28=0,"",RANK(B28,$B$2:$B$371,0))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CLSEL</t>
        </is>
      </c>
      <c r="D28" s="30" t="inlineStr">
        <is>
          <t>Chamanlal Setia Exports Ltd</t>
        </is>
      </c>
      <c r="E28" s="30" t="inlineStr">
        <is>
          <t>fmcg</t>
        </is>
      </c>
      <c r="F28" s="30" t="inlineStr">
        <is>
          <t>food - processing - indian</t>
        </is>
      </c>
      <c r="G28" s="30" t="inlineStr">
        <is>
          <t>smallcap</t>
        </is>
      </c>
      <c r="H28" s="31" t="n">
        <v>1519.86</v>
      </c>
      <c r="I28" s="31" t="n">
        <v>305.2</v>
      </c>
      <c r="J28" s="31" t="n">
        <v>-0.15</v>
      </c>
      <c r="K28" s="31" t="n">
        <v>117675</v>
      </c>
      <c r="L28" s="30" t="n">
        <v>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59.52</v>
      </c>
      <c r="P28" s="31" t="n">
        <v>28.18</v>
      </c>
      <c r="Q28" s="31" t="n">
        <v>233.36</v>
      </c>
      <c r="R28" s="30" t="inlineStr">
        <is>
          <t>Near 52W High Breakout</t>
        </is>
      </c>
      <c r="S28" s="30" t="inlineStr">
        <is>
          <t>Nifty FMCG</t>
        </is>
      </c>
      <c r="T28" s="31" t="n">
        <v>-16.99</v>
      </c>
      <c r="U28" s="31" t="n">
        <v>-7.13</v>
      </c>
      <c r="V28" s="31" t="n">
        <v>11.87</v>
      </c>
      <c r="W28" s="31" t="n">
        <v>2.41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IF(B29=0,"",RANK(B29,$B$2:$B$371,0))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LTFOODS</t>
        </is>
      </c>
      <c r="D29" s="30" t="inlineStr">
        <is>
          <t>L T Foods Ltd</t>
        </is>
      </c>
      <c r="E29" s="30" t="inlineStr">
        <is>
          <t>fmcg</t>
        </is>
      </c>
      <c r="F29" s="30" t="inlineStr">
        <is>
          <t>food - processing - indian</t>
        </is>
      </c>
      <c r="G29" s="30" t="inlineStr">
        <is>
          <t>midcap</t>
        </is>
      </c>
      <c r="H29" s="31" t="n">
        <v>15808.69</v>
      </c>
      <c r="I29" s="31" t="n">
        <v>453.55</v>
      </c>
      <c r="J29" s="31" t="n">
        <v>-0.37</v>
      </c>
      <c r="K29" s="31" t="n">
        <v>485637</v>
      </c>
      <c r="L29" s="30" t="n">
        <v>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65.8</v>
      </c>
      <c r="P29" s="31" t="n">
        <v>21.1</v>
      </c>
      <c r="Q29" s="31" t="n">
        <v>368.91</v>
      </c>
      <c r="R29" s="30" t="inlineStr">
        <is>
          <t>Near 52W High Breakout</t>
        </is>
      </c>
      <c r="S29" s="30" t="inlineStr">
        <is>
          <t>Nifty FMCG</t>
        </is>
      </c>
      <c r="T29" s="31" t="n">
        <v>-16.99</v>
      </c>
      <c r="U29" s="31" t="n">
        <v>-6.24</v>
      </c>
      <c r="V29" s="31" t="n">
        <v>12.95</v>
      </c>
      <c r="W29" s="31" t="n">
        <v>1.41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B2C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IF(B30=0,"",RANK(B30,$B$2:$B$371,0))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IOLCP</t>
        </is>
      </c>
      <c r="D30" s="30" t="inlineStr">
        <is>
          <t>Iol Chemicals And Pharmaceuticals Limited</t>
        </is>
      </c>
      <c r="E30" s="30" t="inlineStr">
        <is>
          <t>healthcare</t>
        </is>
      </c>
      <c r="F30" s="30" t="inlineStr">
        <is>
          <t>pharmaceuticals - indian - bulk drugs &amp; formln</t>
        </is>
      </c>
      <c r="G30" s="30" t="inlineStr">
        <is>
          <t>midcap</t>
        </is>
      </c>
      <c r="H30" s="31" t="n">
        <v>6192.84</v>
      </c>
      <c r="I30" s="31" t="n">
        <v>209.29</v>
      </c>
      <c r="J30" s="31" t="n">
        <v>-0.8</v>
      </c>
      <c r="K30" s="31" t="n">
        <v>4527415</v>
      </c>
      <c r="L30" s="30" t="n">
        <v>85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80.88</v>
      </c>
      <c r="P30" s="31" t="n">
        <v>81.87</v>
      </c>
      <c r="Q30" s="31" t="n">
        <v>156.77</v>
      </c>
      <c r="R30" s="30" t="inlineStr">
        <is>
          <t>Near 52W High Breakout</t>
        </is>
      </c>
      <c r="S30" s="30" t="inlineStr">
        <is>
          <t>Nifty Pharma</t>
        </is>
      </c>
      <c r="T30" s="31" t="n">
        <v>19.47</v>
      </c>
      <c r="U30" s="31" t="n">
        <v>83.25</v>
      </c>
      <c r="V30" s="31" t="n">
        <v>53.38</v>
      </c>
      <c r="W30" s="31" t="n">
        <v>32.52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IF(B31=0,"",RANK(B31,$B$2:$B$371,0))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VENKEYS</t>
        </is>
      </c>
      <c r="D31" s="30" t="inlineStr">
        <is>
          <t>Venky's (india) Limited</t>
        </is>
      </c>
      <c r="E31" s="30" t="inlineStr">
        <is>
          <t>fmcg</t>
        </is>
      </c>
      <c r="F31" s="30" t="inlineStr">
        <is>
          <t>miscellaneous</t>
        </is>
      </c>
      <c r="G31" s="30" t="inlineStr">
        <is>
          <t>smallcap</t>
        </is>
      </c>
      <c r="H31" s="31" t="n">
        <v>2407.53</v>
      </c>
      <c r="I31" s="31" t="n">
        <v>1694.7</v>
      </c>
      <c r="J31" s="31" t="n">
        <v>-0.84</v>
      </c>
      <c r="K31" s="31" t="n">
        <v>62910</v>
      </c>
      <c r="L31" s="30" t="n">
        <v>13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63.99</v>
      </c>
      <c r="P31" s="31" t="n">
        <v>41.06</v>
      </c>
      <c r="Q31" s="31" t="n">
        <v>1346.91</v>
      </c>
      <c r="R31" s="30" t="inlineStr">
        <is>
          <t>Near 52W High Breakout</t>
        </is>
      </c>
      <c r="S31" s="30" t="inlineStr">
        <is>
          <t>Nifty FMCG</t>
        </is>
      </c>
      <c r="T31" s="31" t="n">
        <v>-16.99</v>
      </c>
      <c r="U31" s="31" t="n">
        <v>10.41</v>
      </c>
      <c r="V31" s="31" t="n">
        <v>33</v>
      </c>
      <c r="W31" s="31" t="n">
        <v>4.45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B2C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IF(B32=0,"",RANK(B32,$B$2:$B$371,0))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SENORES</t>
        </is>
      </c>
      <c r="D32" s="30" t="inlineStr">
        <is>
          <t>Senores Pharmaceuticals Ltd</t>
        </is>
      </c>
      <c r="E32" s="30" t="inlineStr">
        <is>
          <t>healthcare</t>
        </is>
      </c>
      <c r="F32" s="30" t="inlineStr">
        <is>
          <t>pharmaceuticals - indian - formulations</t>
        </is>
      </c>
      <c r="G32" s="30" t="inlineStr">
        <is>
          <t>midcap</t>
        </is>
      </c>
      <c r="H32" s="31" t="n">
        <v>6953.17</v>
      </c>
      <c r="I32" s="31" t="n">
        <v>1488.6</v>
      </c>
      <c r="J32" s="31" t="n">
        <v>-1.4</v>
      </c>
      <c r="K32" s="31" t="n">
        <v>233104</v>
      </c>
      <c r="L32" s="30" t="n">
        <v>72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69.14</v>
      </c>
      <c r="P32" s="31" t="n">
        <v>59.99</v>
      </c>
      <c r="Q32" s="31" t="n">
        <v>1169.3</v>
      </c>
      <c r="R32" s="30" t="inlineStr">
        <is>
          <t>Near 52W High Breakout</t>
        </is>
      </c>
      <c r="S32" s="30" t="inlineStr">
        <is>
          <t>Nifty Pharma</t>
        </is>
      </c>
      <c r="T32" s="31" t="n">
        <v>19.47</v>
      </c>
      <c r="U32" s="31" t="n">
        <v>115.77</v>
      </c>
      <c r="V32" s="31" t="n">
        <v>80.59999999999999</v>
      </c>
      <c r="W32" s="31" t="n">
        <v>22.93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IF(B33=0,"",RANK(B33,$B$2:$B$371,0))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WABAG</t>
        </is>
      </c>
      <c r="D33" s="30" t="inlineStr">
        <is>
          <t>Va Tech Wabag Limited</t>
        </is>
      </c>
      <c r="E33" s="30" t="inlineStr">
        <is>
          <t>realty</t>
        </is>
      </c>
      <c r="F33" s="30" t="inlineStr">
        <is>
          <t>engineering - turnkey services</t>
        </is>
      </c>
      <c r="G33" s="30" t="inlineStr">
        <is>
          <t>midcap</t>
        </is>
      </c>
      <c r="H33" s="31" t="n">
        <v>12523.33</v>
      </c>
      <c r="I33" s="31" t="n">
        <v>2130.9</v>
      </c>
      <c r="J33" s="31" t="n">
        <v>6.1</v>
      </c>
      <c r="K33" s="31" t="n">
        <v>2441516</v>
      </c>
      <c r="L33" s="30" t="n">
        <v>59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65.62</v>
      </c>
      <c r="P33" s="31" t="n">
        <v>36.73</v>
      </c>
      <c r="Q33" s="31" t="n">
        <v>1720.92</v>
      </c>
      <c r="R33" s="30" t="inlineStr">
        <is>
          <t>Near 52W High Breakout</t>
        </is>
      </c>
      <c r="S33" s="30" t="inlineStr">
        <is>
          <t>Nifty Realty</t>
        </is>
      </c>
      <c r="T33" s="31" t="n">
        <v>-8.25</v>
      </c>
      <c r="U33" s="31" t="n">
        <v>31.86</v>
      </c>
      <c r="V33" s="31" t="n">
        <v>43.72</v>
      </c>
      <c r="W33" s="31" t="n">
        <v>17.82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IF(B34=0,"",RANK(B34,$B$2:$B$371,0))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BLUSPRING</t>
        </is>
      </c>
      <c r="D34" s="30" t="inlineStr">
        <is>
          <t>Bluspring Enterprises Ltd</t>
        </is>
      </c>
      <c r="E34" s="30" t="inlineStr">
        <is>
          <t>miscellaneous</t>
        </is>
      </c>
      <c r="F34" s="30" t="inlineStr">
        <is>
          <t>diversified - large</t>
        </is>
      </c>
      <c r="G34" s="30" t="inlineStr">
        <is>
          <t>smallcap</t>
        </is>
      </c>
      <c r="H34" s="31" t="n">
        <v>1847.24</v>
      </c>
      <c r="I34" s="31" t="n">
        <v>130.52</v>
      </c>
      <c r="J34" s="31" t="n">
        <v>5.59</v>
      </c>
      <c r="K34" s="31" t="n">
        <v>661581</v>
      </c>
      <c r="L34" s="30" t="n">
        <v>80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67.31999999999999</v>
      </c>
      <c r="P34" s="31" t="n">
        <v>64.75</v>
      </c>
      <c r="Q34" s="31" t="n">
        <v>95.92</v>
      </c>
      <c r="R34" s="30" t="inlineStr">
        <is>
          <t>Earnings / Momentum Support</t>
        </is>
      </c>
      <c r="S34" s="30" t="inlineStr">
        <is>
          <t>Nifty 50</t>
        </is>
      </c>
      <c r="T34" s="31" t="n">
        <v>-6.7</v>
      </c>
      <c r="U34" s="31" t="n">
        <v>65.01000000000001</v>
      </c>
      <c r="V34" s="31" t="n">
        <v>76.84999999999999</v>
      </c>
      <c r="W34" s="31" t="n">
        <v>28.35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IF(B35=0,"",RANK(B35,$B$2:$B$371,0))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CARYSIL</t>
        </is>
      </c>
      <c r="D35" s="30" t="inlineStr">
        <is>
          <t>Carysil Ltd</t>
        </is>
      </c>
      <c r="E35" s="30" t="inlineStr">
        <is>
          <t>consumer discretionary</t>
        </is>
      </c>
      <c r="F35" s="30" t="inlineStr">
        <is>
          <t>domestic appliances</t>
        </is>
      </c>
      <c r="G35" s="30" t="inlineStr">
        <is>
          <t>smallcap</t>
        </is>
      </c>
      <c r="H35" s="31" t="n">
        <v>3285.12</v>
      </c>
      <c r="I35" s="31" t="n">
        <v>1180.3</v>
      </c>
      <c r="J35" s="31" t="n">
        <v>2.19</v>
      </c>
      <c r="K35" s="31" t="n">
        <v>113525</v>
      </c>
      <c r="L35" s="30" t="n">
        <v>22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62.27</v>
      </c>
      <c r="P35" s="31" t="n">
        <v>29.63</v>
      </c>
      <c r="Q35" s="31" t="n">
        <v>925.47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-6.7</v>
      </c>
      <c r="U35" s="31" t="n">
        <v>25.5</v>
      </c>
      <c r="V35" s="31" t="n">
        <v>34.51</v>
      </c>
      <c r="W35" s="31" t="n">
        <v>6.73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IF(B36=0,"",RANK(B36,$B$2:$B$371,0))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KINGFA</t>
        </is>
      </c>
      <c r="D36" s="30" t="inlineStr">
        <is>
          <t>Kingfa Science &amp; Technology (india) Limited</t>
        </is>
      </c>
      <c r="E36" s="30" t="inlineStr">
        <is>
          <t>plastic products</t>
        </is>
      </c>
      <c r="F36" s="30" t="inlineStr">
        <is>
          <t>plastics products</t>
        </is>
      </c>
      <c r="G36" s="30" t="inlineStr">
        <is>
          <t>midcap</t>
        </is>
      </c>
      <c r="H36" s="31" t="n">
        <v>8180.97</v>
      </c>
      <c r="I36" s="31" t="n">
        <v>6157.5</v>
      </c>
      <c r="J36" s="31" t="n">
        <v>2</v>
      </c>
      <c r="K36" s="31" t="n">
        <v>23001</v>
      </c>
      <c r="L36" s="30" t="n">
        <v>38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72.31999999999999</v>
      </c>
      <c r="P36" s="31" t="n">
        <v>36.19</v>
      </c>
      <c r="Q36" s="31" t="n">
        <v>4995.77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-6.7</v>
      </c>
      <c r="U36" s="31" t="n">
        <v>30.59</v>
      </c>
      <c r="V36" s="31" t="n">
        <v>39.96</v>
      </c>
      <c r="W36" s="31" t="n">
        <v>10.76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IF(B37=0,"",RANK(B37,$B$2:$B$371,0))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GHCLTEXTIL</t>
        </is>
      </c>
      <c r="D37" s="30" t="inlineStr">
        <is>
          <t>GHCL Textiles Ltd</t>
        </is>
      </c>
      <c r="E37" s="30" t="inlineStr">
        <is>
          <t>textiles</t>
        </is>
      </c>
      <c r="F37" s="30" t="inlineStr">
        <is>
          <t>textiles - spinning - synthetic / blended</t>
        </is>
      </c>
      <c r="G37" s="30" t="inlineStr">
        <is>
          <t>smallcap</t>
        </is>
      </c>
      <c r="H37" s="31" t="n">
        <v>1261.35</v>
      </c>
      <c r="I37" s="31" t="n">
        <v>133.67</v>
      </c>
      <c r="J37" s="31" t="n">
        <v>1.3</v>
      </c>
      <c r="K37" s="31" t="n">
        <v>580475</v>
      </c>
      <c r="L37" s="30" t="n">
        <v>70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73.45</v>
      </c>
      <c r="P37" s="31" t="n">
        <v>45.78</v>
      </c>
      <c r="Q37" s="31" t="n">
        <v>107.44</v>
      </c>
      <c r="R37" s="30" t="inlineStr">
        <is>
          <t>Near 52W High Breakout</t>
        </is>
      </c>
      <c r="S37" s="30" t="inlineStr">
        <is>
          <t>Nifty 50</t>
        </is>
      </c>
      <c r="T37" s="31" t="n">
        <v>-6.7</v>
      </c>
      <c r="U37" s="31" t="n">
        <v>65.89</v>
      </c>
      <c r="V37" s="31" t="n">
        <v>77.8</v>
      </c>
      <c r="W37" s="31" t="n">
        <v>21.9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IF(B38=0,"",RANK(B38,$B$2:$B$371,0))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KPIL</t>
        </is>
      </c>
      <c r="D38" s="30" t="inlineStr">
        <is>
          <t>Kalpataru Projects International Ltd</t>
        </is>
      </c>
      <c r="E38" s="30" t="inlineStr">
        <is>
          <t>realty</t>
        </is>
      </c>
      <c r="F38" s="30" t="inlineStr">
        <is>
          <t>transmisson line towers / equipment</t>
        </is>
      </c>
      <c r="G38" s="30" t="inlineStr">
        <is>
          <t>largecap</t>
        </is>
      </c>
      <c r="H38" s="31" t="n">
        <v>23865.46</v>
      </c>
      <c r="I38" s="31" t="n">
        <v>1408.5</v>
      </c>
      <c r="J38" s="31" t="n">
        <v>0.79</v>
      </c>
      <c r="K38" s="31" t="n">
        <v>132395</v>
      </c>
      <c r="L38" s="30" t="n">
        <v>27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64.61</v>
      </c>
      <c r="P38" s="31" t="n">
        <v>34.49</v>
      </c>
      <c r="Q38" s="31" t="n">
        <v>1169.91</v>
      </c>
      <c r="R38" s="30" t="inlineStr">
        <is>
          <t>Near 52W High Breakout</t>
        </is>
      </c>
      <c r="S38" s="30" t="inlineStr">
        <is>
          <t>Nifty Realty</t>
        </is>
      </c>
      <c r="T38" s="31" t="n">
        <v>-8.25</v>
      </c>
      <c r="U38" s="31" t="n">
        <v>23.25</v>
      </c>
      <c r="V38" s="31" t="n">
        <v>34.32</v>
      </c>
      <c r="W38" s="31" t="n">
        <v>7.6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IF(B39=0,"",RANK(B39,$B$2:$B$371,0))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ARIES</t>
        </is>
      </c>
      <c r="D39" s="30" t="inlineStr">
        <is>
          <t>Aries Agro Limited</t>
        </is>
      </c>
      <c r="E39" s="30" t="inlineStr">
        <is>
          <t>chemicals</t>
        </is>
      </c>
      <c r="F39" s="30" t="inlineStr">
        <is>
          <t>fertilizers</t>
        </is>
      </c>
      <c r="G39" s="30" t="inlineStr">
        <is>
          <t>smallcap</t>
        </is>
      </c>
      <c r="H39" s="31" t="n">
        <v>628.3</v>
      </c>
      <c r="I39" s="31" t="n">
        <v>486.15</v>
      </c>
      <c r="J39" s="31" t="n">
        <v>0.62</v>
      </c>
      <c r="K39" s="31" t="n">
        <v>32661</v>
      </c>
      <c r="L39" s="30" t="n">
        <v>49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74.88</v>
      </c>
      <c r="P39" s="31" t="n">
        <v>24.69</v>
      </c>
      <c r="Q39" s="31" t="n">
        <v>389.39</v>
      </c>
      <c r="R39" s="30" t="inlineStr">
        <is>
          <t>Near 52W High Breakout</t>
        </is>
      </c>
      <c r="S39" s="30" t="inlineStr">
        <is>
          <t>Nifty 50</t>
        </is>
      </c>
      <c r="T39" s="31" t="n">
        <v>-6.7</v>
      </c>
      <c r="U39" s="31" t="n">
        <v>16.38</v>
      </c>
      <c r="V39" s="31" t="n">
        <v>24.74</v>
      </c>
      <c r="W39" s="31" t="n">
        <v>14.11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IF(B40=0,"",RANK(B40,$B$2:$B$371,0))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CEIGALL</t>
        </is>
      </c>
      <c r="D40" s="30" t="inlineStr">
        <is>
          <t>Ceigall India Ltd</t>
        </is>
      </c>
      <c r="E40" s="30" t="inlineStr">
        <is>
          <t>realty</t>
        </is>
      </c>
      <c r="F40" s="30" t="inlineStr">
        <is>
          <t>construction</t>
        </is>
      </c>
      <c r="G40" s="30" t="inlineStr">
        <is>
          <t>midcap</t>
        </is>
      </c>
      <c r="H40" s="31" t="n">
        <v>6530.07</v>
      </c>
      <c r="I40" s="31" t="n">
        <v>376.4</v>
      </c>
      <c r="J40" s="31" t="n">
        <v>0.41</v>
      </c>
      <c r="K40" s="31" t="n">
        <v>243135</v>
      </c>
      <c r="L40" s="30" t="n">
        <v>38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63.49</v>
      </c>
      <c r="P40" s="31" t="n">
        <v>30.89</v>
      </c>
      <c r="Q40" s="31" t="n">
        <v>301.84</v>
      </c>
      <c r="R40" s="30" t="inlineStr">
        <is>
          <t>Near 52W High Breakout</t>
        </is>
      </c>
      <c r="S40" s="30" t="inlineStr">
        <is>
          <t>Nifty Realty</t>
        </is>
      </c>
      <c r="T40" s="31" t="n">
        <v>-8.25</v>
      </c>
      <c r="U40" s="31" t="n">
        <v>42.74</v>
      </c>
      <c r="V40" s="31" t="n">
        <v>55.57</v>
      </c>
      <c r="W40" s="31" t="n">
        <v>10.79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IF(B41=0,"",RANK(B41,$B$2:$B$371,0))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WELCORP</t>
        </is>
      </c>
      <c r="D41" s="30" t="inlineStr">
        <is>
          <t>Welspun Corp Limited</t>
        </is>
      </c>
      <c r="E41" s="30" t="inlineStr">
        <is>
          <t>industrials</t>
        </is>
      </c>
      <c r="F41" s="30" t="inlineStr">
        <is>
          <t>steel - large</t>
        </is>
      </c>
      <c r="G41" s="30" t="inlineStr">
        <is>
          <t>largecap</t>
        </is>
      </c>
      <c r="H41" s="31" t="n">
        <v>68572.38</v>
      </c>
      <c r="I41" s="31" t="n">
        <v>2608.5</v>
      </c>
      <c r="J41" s="31" t="n">
        <v>0.35</v>
      </c>
      <c r="K41" s="31" t="n">
        <v>759849</v>
      </c>
      <c r="L41" s="30" t="n">
        <v>96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94.76000000000001</v>
      </c>
      <c r="P41" s="31" t="n">
        <v>77.02</v>
      </c>
      <c r="Q41" s="31" t="n">
        <v>2145.65</v>
      </c>
      <c r="R41" s="30" t="inlineStr">
        <is>
          <t>Near 52W High Breakout</t>
        </is>
      </c>
      <c r="S41" s="30" t="inlineStr">
        <is>
          <t>Nifty Metal</t>
        </is>
      </c>
      <c r="T41" s="31" t="n">
        <v>42.08</v>
      </c>
      <c r="U41" s="31" t="n">
        <v>195.09</v>
      </c>
      <c r="V41" s="31" t="n">
        <v>107.69</v>
      </c>
      <c r="W41" s="31" t="n">
        <v>56.08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IF(B42=0,"",RANK(B42,$B$2:$B$371,0))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VINCOFE</t>
        </is>
      </c>
      <c r="D42" s="30" t="inlineStr">
        <is>
          <t>Vintage Coffee &amp; Beverages Ltd</t>
        </is>
      </c>
      <c r="E42" s="30" t="inlineStr">
        <is>
          <t>consumer discretionary</t>
        </is>
      </c>
      <c r="F42" s="30" t="inlineStr">
        <is>
          <t>trading</t>
        </is>
      </c>
      <c r="G42" s="30" t="inlineStr">
        <is>
          <t>smallcap</t>
        </is>
      </c>
      <c r="H42" s="31" t="n">
        <v>2598.21</v>
      </c>
      <c r="I42" s="31" t="n">
        <v>178.4</v>
      </c>
      <c r="J42" s="31" t="n">
        <v>0.03</v>
      </c>
      <c r="K42" s="31" t="n">
        <v>2464634</v>
      </c>
      <c r="L42" s="30" t="n">
        <v>26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64.75</v>
      </c>
      <c r="P42" s="31" t="n">
        <v>29.4</v>
      </c>
      <c r="Q42" s="31" t="n">
        <v>133.06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-6.7</v>
      </c>
      <c r="U42" s="31" t="n">
        <v>18.57</v>
      </c>
      <c r="V42" s="31" t="n">
        <v>27.08</v>
      </c>
      <c r="W42" s="31" t="n">
        <v>7.55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IF(B43=0,"",RANK(B43,$B$2:$B$371,0))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STOVEKRAFT</t>
        </is>
      </c>
      <c r="D43" s="30" t="inlineStr">
        <is>
          <t>Stove Kraft Ltd</t>
        </is>
      </c>
      <c r="E43" s="30" t="inlineStr">
        <is>
          <t>consumer discretionary</t>
        </is>
      </c>
      <c r="F43" s="30" t="inlineStr">
        <is>
          <t>domestic appliances</t>
        </is>
      </c>
      <c r="G43" s="30" t="inlineStr">
        <is>
          <t>smallcap</t>
        </is>
      </c>
      <c r="H43" s="31" t="n">
        <v>2779.19</v>
      </c>
      <c r="I43" s="31" t="n">
        <v>839.3</v>
      </c>
      <c r="J43" s="31" t="n">
        <v>-0.02</v>
      </c>
      <c r="K43" s="31" t="n">
        <v>77414</v>
      </c>
      <c r="L43" s="30" t="n">
        <v>43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72.59999999999999</v>
      </c>
      <c r="P43" s="31" t="n">
        <v>49.9</v>
      </c>
      <c r="Q43" s="31" t="n">
        <v>653.6900000000001</v>
      </c>
      <c r="R43" s="30" t="inlineStr">
        <is>
          <t>Near 52W High Breakout</t>
        </is>
      </c>
      <c r="S43" s="30" t="inlineStr">
        <is>
          <t>Nifty 50</t>
        </is>
      </c>
      <c r="T43" s="31" t="n">
        <v>-6.7</v>
      </c>
      <c r="U43" s="31" t="n">
        <v>25.82</v>
      </c>
      <c r="V43" s="31" t="n">
        <v>34.86</v>
      </c>
      <c r="W43" s="31" t="n">
        <v>12.16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IF(B44=0,"",RANK(B44,$B$2:$B$371,0))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ASIANHOTNR</t>
        </is>
      </c>
      <c r="D44" s="30" t="inlineStr">
        <is>
          <t>Asian Hotels (north) Limited</t>
        </is>
      </c>
      <c r="E44" s="30" t="inlineStr">
        <is>
          <t>services</t>
        </is>
      </c>
      <c r="F44" s="30" t="inlineStr">
        <is>
          <t>hotels</t>
        </is>
      </c>
      <c r="G44" s="30" t="inlineStr">
        <is>
          <t>smallcap</t>
        </is>
      </c>
      <c r="H44" s="31" t="n">
        <v>1729.84</v>
      </c>
      <c r="I44" s="31" t="n">
        <v>404.5</v>
      </c>
      <c r="J44" s="31" t="n">
        <v>-0.31</v>
      </c>
      <c r="K44" s="31" t="n">
        <v>27418</v>
      </c>
      <c r="L44" s="30" t="n">
        <v>45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73.15000000000001</v>
      </c>
      <c r="P44" s="31" t="n">
        <v>35.02</v>
      </c>
      <c r="Q44" s="31" t="n">
        <v>297.87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-6.7</v>
      </c>
      <c r="U44" s="31" t="n">
        <v>26.25</v>
      </c>
      <c r="V44" s="31" t="n">
        <v>35.31</v>
      </c>
      <c r="W44" s="31" t="n">
        <v>13.01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IF(B45=0,"",RANK(B45,$B$2:$B$371,0))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GARFIBRES</t>
        </is>
      </c>
      <c r="D45" s="30" t="inlineStr">
        <is>
          <t>Garware Technical Fibres Ltd</t>
        </is>
      </c>
      <c r="E45" s="30" t="inlineStr">
        <is>
          <t>textiles</t>
        </is>
      </c>
      <c r="F45" s="30" t="inlineStr">
        <is>
          <t>textiles - products</t>
        </is>
      </c>
      <c r="G45" s="30" t="inlineStr">
        <is>
          <t>midcap</t>
        </is>
      </c>
      <c r="H45" s="31" t="n">
        <v>7998.86</v>
      </c>
      <c r="I45" s="31" t="n">
        <v>814.6</v>
      </c>
      <c r="J45" s="31" t="n">
        <v>-0.5600000000000001</v>
      </c>
      <c r="K45" s="31" t="n">
        <v>35097</v>
      </c>
      <c r="L45" s="30" t="n">
        <v>18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61.84</v>
      </c>
      <c r="P45" s="31" t="n">
        <v>49.53</v>
      </c>
      <c r="Q45" s="31" t="n">
        <v>639.3</v>
      </c>
      <c r="R45" s="30" t="inlineStr">
        <is>
          <t>Near 52W High Breakout</t>
        </is>
      </c>
      <c r="S45" s="30" t="inlineStr">
        <is>
          <t>Nifty 50</t>
        </is>
      </c>
      <c r="T45" s="31" t="n">
        <v>-6.7</v>
      </c>
      <c r="U45" s="31" t="n">
        <v>6.04</v>
      </c>
      <c r="V45" s="31" t="n">
        <v>13.66</v>
      </c>
      <c r="W45" s="31" t="n">
        <v>5.47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IF(B46=0,"",RANK(B46,$B$2:$B$371,0))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PREMIERPOL</t>
        </is>
      </c>
      <c r="D46" s="30" t="inlineStr">
        <is>
          <t>Premier Polyfilm Limited</t>
        </is>
      </c>
      <c r="E46" s="30" t="inlineStr">
        <is>
          <t>plastic products</t>
        </is>
      </c>
      <c r="F46" s="30" t="inlineStr">
        <is>
          <t>plastics products</t>
        </is>
      </c>
      <c r="G46" s="30" t="inlineStr">
        <is>
          <t>smallcap</t>
        </is>
      </c>
      <c r="H46" s="31" t="n">
        <v>948.55</v>
      </c>
      <c r="I46" s="31" t="n">
        <v>89.73</v>
      </c>
      <c r="J46" s="31" t="n">
        <v>-0.92</v>
      </c>
      <c r="K46" s="31" t="n">
        <v>201085</v>
      </c>
      <c r="L46" s="30" t="n">
        <v>80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67.38</v>
      </c>
      <c r="P46" s="31" t="n">
        <v>58.06</v>
      </c>
      <c r="Q46" s="31" t="n">
        <v>66.92</v>
      </c>
      <c r="R46" s="30" t="inlineStr">
        <is>
          <t>Earnings / Momentum Support</t>
        </is>
      </c>
      <c r="S46" s="30" t="inlineStr">
        <is>
          <t>Nifty 50</t>
        </is>
      </c>
      <c r="T46" s="31" t="n">
        <v>-6.7</v>
      </c>
      <c r="U46" s="31" t="n">
        <v>83.25</v>
      </c>
      <c r="V46" s="31" t="n">
        <v>96.41</v>
      </c>
      <c r="W46" s="31" t="n">
        <v>28.36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IF(B47=0,"",RANK(B47,$B$2:$B$371,0))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APARINDS</t>
        </is>
      </c>
      <c r="D47" s="30" t="inlineStr">
        <is>
          <t>Apar Industries Limited</t>
        </is>
      </c>
      <c r="E47" s="30" t="inlineStr">
        <is>
          <t>industrials</t>
        </is>
      </c>
      <c r="F47" s="30" t="inlineStr">
        <is>
          <t>electric equipment</t>
        </is>
      </c>
      <c r="G47" s="30" t="inlineStr">
        <is>
          <t>largecap</t>
        </is>
      </c>
      <c r="H47" s="31" t="n">
        <v>73841.87</v>
      </c>
      <c r="I47" s="31" t="n">
        <v>17448</v>
      </c>
      <c r="J47" s="31" t="n">
        <v>-1.06</v>
      </c>
      <c r="K47" s="31" t="n">
        <v>105567</v>
      </c>
      <c r="L47" s="30" t="n">
        <v>69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71.75</v>
      </c>
      <c r="P47" s="31" t="n">
        <v>44.45</v>
      </c>
      <c r="Q47" s="31" t="n">
        <v>13759.07</v>
      </c>
      <c r="R47" s="30" t="inlineStr">
        <is>
          <t>Near 52W High Breakout</t>
        </is>
      </c>
      <c r="S47" s="30" t="inlineStr">
        <is>
          <t>Nifty 50</t>
        </is>
      </c>
      <c r="T47" s="31" t="n">
        <v>-6.7</v>
      </c>
      <c r="U47" s="31" t="n">
        <v>102.18</v>
      </c>
      <c r="V47" s="31" t="n">
        <v>116.7</v>
      </c>
      <c r="W47" s="31" t="n">
        <v>20.55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IF(B48=0,"",RANK(B48,$B$2:$B$371,0))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SHANTIGOLD</t>
        </is>
      </c>
      <c r="D48" s="30" t="inlineStr">
        <is>
          <t>Shanti Gold International Ltd</t>
        </is>
      </c>
      <c r="E48" s="30" t="inlineStr">
        <is>
          <t>consumer discretionary</t>
        </is>
      </c>
      <c r="F48" s="30" t="inlineStr">
        <is>
          <t>diamond cutting / jewellery</t>
        </is>
      </c>
      <c r="G48" s="30" t="inlineStr">
        <is>
          <t>smallcap</t>
        </is>
      </c>
      <c r="H48" s="31" t="n">
        <v>2027.92</v>
      </c>
      <c r="I48" s="31" t="n">
        <v>261.29</v>
      </c>
      <c r="J48" s="31" t="n">
        <v>-1.12</v>
      </c>
      <c r="K48" s="31" t="n">
        <v>1281587</v>
      </c>
      <c r="L48" s="30" t="n">
        <v>24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63.55</v>
      </c>
      <c r="P48" s="31" t="n">
        <v>36.81</v>
      </c>
      <c r="Q48" s="31" t="n">
        <v>200.18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-6.7</v>
      </c>
      <c r="U48" s="31" t="n">
        <v>16.85</v>
      </c>
      <c r="V48" s="31" t="n">
        <v>25.24</v>
      </c>
      <c r="W48" s="31" t="n">
        <v>7.08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IF(B49=0,"",RANK(B49,$B$2:$B$371,0))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RPEL</t>
        </is>
      </c>
      <c r="D49" s="30" t="inlineStr">
        <is>
          <t>Raghav Productivity Enhancers Ltd</t>
        </is>
      </c>
      <c r="E49" s="30" t="inlineStr">
        <is>
          <t>building materials</t>
        </is>
      </c>
      <c r="F49" s="30" t="inlineStr">
        <is>
          <t>refractories / intermediates</t>
        </is>
      </c>
      <c r="G49" s="30" t="inlineStr">
        <is>
          <t>midcap</t>
        </is>
      </c>
      <c r="H49" s="31" t="n">
        <v>7772.75</v>
      </c>
      <c r="I49" s="31" t="n">
        <v>1670.8</v>
      </c>
      <c r="J49" s="31" t="n">
        <v>-1.29</v>
      </c>
      <c r="K49" s="31" t="n">
        <v>57819</v>
      </c>
      <c r="L49" s="30" t="n">
        <v>96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73.45999999999999</v>
      </c>
      <c r="P49" s="31" t="n">
        <v>63.86</v>
      </c>
      <c r="Q49" s="31" t="n">
        <v>1388.59</v>
      </c>
      <c r="R49" s="30" t="inlineStr">
        <is>
          <t>Earnings / Momentum Support</t>
        </is>
      </c>
      <c r="S49" s="30" t="inlineStr">
        <is>
          <t>Nifty Infra</t>
        </is>
      </c>
      <c r="T49" s="31" t="n">
        <v>0.58</v>
      </c>
      <c r="U49" s="31" t="n">
        <v>153.04</v>
      </c>
      <c r="V49" s="31" t="n">
        <v>151.57</v>
      </c>
      <c r="W49" s="31" t="n">
        <v>59.04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Between 1.5 to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IF(B50=0,"",RANK(B50,$B$2:$B$371,0))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MODISONLTD</t>
        </is>
      </c>
      <c r="D50" s="30" t="inlineStr">
        <is>
          <t>Modison Ltd</t>
        </is>
      </c>
      <c r="E50" s="30" t="inlineStr">
        <is>
          <t>industrials</t>
        </is>
      </c>
      <c r="F50" s="30" t="inlineStr">
        <is>
          <t>electric equipment</t>
        </is>
      </c>
      <c r="G50" s="30" t="inlineStr">
        <is>
          <t>smallcap</t>
        </is>
      </c>
      <c r="H50" s="31" t="n">
        <v>1620.39</v>
      </c>
      <c r="I50" s="31" t="n">
        <v>490.3</v>
      </c>
      <c r="J50" s="31" t="n">
        <v>-1.81</v>
      </c>
      <c r="K50" s="31" t="n">
        <v>268225</v>
      </c>
      <c r="L50" s="30" t="n">
        <v>95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81.8</v>
      </c>
      <c r="P50" s="31" t="n">
        <v>59.16</v>
      </c>
      <c r="Q50" s="31" t="n">
        <v>354.98</v>
      </c>
      <c r="R50" s="30" t="inlineStr">
        <is>
          <t>Near 52W High Breakout</t>
        </is>
      </c>
      <c r="S50" s="30" t="inlineStr">
        <is>
          <t>Nifty 50</t>
        </is>
      </c>
      <c r="T50" s="31" t="n">
        <v>-6.7</v>
      </c>
      <c r="U50" s="31" t="n">
        <v>212.68</v>
      </c>
      <c r="V50" s="31" t="n">
        <v>235.13</v>
      </c>
      <c r="W50" s="31" t="n">
        <v>51.19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IF(B51=0,"",RANK(B51,$B$2:$B$371,0))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WSTCSTPAPR</t>
        </is>
      </c>
      <c r="D51" s="30" t="inlineStr">
        <is>
          <t>West Coast Paper Mills Limited</t>
        </is>
      </c>
      <c r="E51" s="30" t="inlineStr">
        <is>
          <t>building materials</t>
        </is>
      </c>
      <c r="F51" s="30" t="inlineStr">
        <is>
          <t>paper</t>
        </is>
      </c>
      <c r="G51" s="30" t="inlineStr">
        <is>
          <t>smallcap</t>
        </is>
      </c>
      <c r="H51" s="31" t="n">
        <v>4499.25</v>
      </c>
      <c r="I51" s="31" t="n">
        <v>667.55</v>
      </c>
      <c r="J51" s="31" t="n">
        <v>-2</v>
      </c>
      <c r="K51" s="31" t="n">
        <v>126973</v>
      </c>
      <c r="L51" s="30" t="n">
        <v>49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72.5</v>
      </c>
      <c r="P51" s="31" t="n">
        <v>51.17</v>
      </c>
      <c r="Q51" s="31" t="n">
        <v>529.8099999999999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0.58</v>
      </c>
      <c r="U51" s="31" t="n">
        <v>24.93</v>
      </c>
      <c r="V51" s="31" t="n">
        <v>24.2</v>
      </c>
      <c r="W51" s="31" t="n">
        <v>14.4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IF(B52=0,"",RANK(B52,$B$2:$B$371,0))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CPPLUS</t>
        </is>
      </c>
      <c r="D52" s="30" t="inlineStr">
        <is>
          <t>Aditya Infotech Ltd</t>
        </is>
      </c>
      <c r="E52" s="30" t="inlineStr">
        <is>
          <t>consumer discretionary</t>
        </is>
      </c>
      <c r="F52" s="30" t="inlineStr">
        <is>
          <t>trading</t>
        </is>
      </c>
      <c r="G52" s="30" t="inlineStr">
        <is>
          <t>largecap</t>
        </is>
      </c>
      <c r="H52" s="31" t="n">
        <v>45122.59</v>
      </c>
      <c r="I52" s="31" t="n">
        <v>3746.1</v>
      </c>
      <c r="J52" s="31" t="n">
        <v>-2.16</v>
      </c>
      <c r="K52" s="31" t="n">
        <v>180329</v>
      </c>
      <c r="L52" s="30" t="n">
        <v>81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71.19</v>
      </c>
      <c r="P52" s="31" t="n">
        <v>60.08</v>
      </c>
      <c r="Q52" s="31" t="n">
        <v>2829.28</v>
      </c>
      <c r="R52" s="30" t="inlineStr">
        <is>
          <t>Near 52W High Breakout</t>
        </is>
      </c>
      <c r="S52" s="30" t="inlineStr">
        <is>
          <t>Nifty 50</t>
        </is>
      </c>
      <c r="T52" s="31" t="n">
        <v>-6.7</v>
      </c>
      <c r="U52" s="31" t="n">
        <v>161.17</v>
      </c>
      <c r="V52" s="31" t="n">
        <v>179.92</v>
      </c>
      <c r="W52" s="31" t="n">
        <v>28.6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IF(B53=0,"",RANK(B53,$B$2:$B$371,0))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NILKAMAL</t>
        </is>
      </c>
      <c r="D53" s="30" t="inlineStr">
        <is>
          <t>Nilkamal Limited</t>
        </is>
      </c>
      <c r="E53" s="30" t="inlineStr">
        <is>
          <t>plastic products</t>
        </is>
      </c>
      <c r="F53" s="30" t="inlineStr">
        <is>
          <t>plastics products</t>
        </is>
      </c>
      <c r="G53" s="30" t="inlineStr">
        <is>
          <t>smallcap</t>
        </is>
      </c>
      <c r="H53" s="31" t="n">
        <v>3151.64</v>
      </c>
      <c r="I53" s="31" t="n">
        <v>2056.7</v>
      </c>
      <c r="J53" s="31" t="n">
        <v>-2.62</v>
      </c>
      <c r="K53" s="31" t="n">
        <v>13217</v>
      </c>
      <c r="L53" s="30" t="n">
        <v>71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77.40000000000001</v>
      </c>
      <c r="P53" s="31" t="n">
        <v>48.87</v>
      </c>
      <c r="Q53" s="31" t="n">
        <v>1696.77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-6.7</v>
      </c>
      <c r="U53" s="31" t="n">
        <v>34.98</v>
      </c>
      <c r="V53" s="31" t="n">
        <v>44.67</v>
      </c>
      <c r="W53" s="31" t="n">
        <v>22.03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IF(B54=0,"",RANK(B54,$B$2:$B$371,0))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AVTNPL</t>
        </is>
      </c>
      <c r="D54" s="30" t="inlineStr">
        <is>
          <t>Avt Natural Products Limited</t>
        </is>
      </c>
      <c r="E54" s="30" t="inlineStr">
        <is>
          <t>fmcg</t>
        </is>
      </c>
      <c r="F54" s="30" t="inlineStr">
        <is>
          <t>solvent extraction</t>
        </is>
      </c>
      <c r="G54" s="30" t="inlineStr">
        <is>
          <t>smallcap</t>
        </is>
      </c>
      <c r="H54" s="31" t="n">
        <v>1375.89</v>
      </c>
      <c r="I54" s="31" t="n">
        <v>92.42</v>
      </c>
      <c r="J54" s="31" t="n">
        <v>2.29</v>
      </c>
      <c r="K54" s="31" t="n">
        <v>432223</v>
      </c>
      <c r="L54" s="30" t="n">
        <v>46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76.68000000000001</v>
      </c>
      <c r="P54" s="31" t="n">
        <v>42.71</v>
      </c>
      <c r="Q54" s="31" t="n">
        <v>74.17</v>
      </c>
      <c r="R54" s="30" t="inlineStr">
        <is>
          <t>Near 52W High Breakout</t>
        </is>
      </c>
      <c r="S54" s="30" t="inlineStr">
        <is>
          <t>Nifty FMCG</t>
        </is>
      </c>
      <c r="T54" s="31" t="n">
        <v>-16.99</v>
      </c>
      <c r="U54" s="31" t="n">
        <v>22.99</v>
      </c>
      <c r="V54" s="31" t="n">
        <v>48.15</v>
      </c>
      <c r="W54" s="31" t="n">
        <v>13.21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B2C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IF(B55=0,"",RANK(B55,$B$2:$B$371,0))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ALIVUS</t>
        </is>
      </c>
      <c r="D55" s="30" t="inlineStr">
        <is>
          <t>Alivus Life Sciences Ltd</t>
        </is>
      </c>
      <c r="E55" s="30" t="inlineStr">
        <is>
          <t>healthcare</t>
        </is>
      </c>
      <c r="F55" s="30" t="inlineStr">
        <is>
          <t>pharmaceuticals - indian - bulk drugs &amp; formln</t>
        </is>
      </c>
      <c r="G55" s="30" t="inlineStr">
        <is>
          <t>midcap</t>
        </is>
      </c>
      <c r="H55" s="31" t="n">
        <v>16839.43</v>
      </c>
      <c r="I55" s="31" t="n">
        <v>1400.1</v>
      </c>
      <c r="J55" s="31" t="n">
        <v>2.05</v>
      </c>
      <c r="K55" s="31" t="n">
        <v>193281</v>
      </c>
      <c r="L55" s="30" t="n">
        <v>54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76</v>
      </c>
      <c r="P55" s="31" t="n">
        <v>48.92</v>
      </c>
      <c r="Q55" s="31" t="n">
        <v>1138.8</v>
      </c>
      <c r="R55" s="30" t="inlineStr">
        <is>
          <t>Near 52W High Breakout</t>
        </is>
      </c>
      <c r="S55" s="30" t="inlineStr">
        <is>
          <t>Nifty Pharma</t>
        </is>
      </c>
      <c r="T55" s="31" t="n">
        <v>19.47</v>
      </c>
      <c r="U55" s="31" t="n">
        <v>49.97</v>
      </c>
      <c r="V55" s="31" t="n">
        <v>25.53</v>
      </c>
      <c r="W55" s="31" t="n">
        <v>16.12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IF(B56=0,"",RANK(B56,$B$2:$B$371,0))</f>
        <v/>
      </c>
      <c r="B56" s="31">
        <f>SUM(N56,Y56,AA56,AC56,AE56,AG56,AI56,AK56,AM56,AO56,AQ56,AS56,AU56,AW56,AY56,BA56,BC56,BE56,BG56,BI56,BK56,BM56,BO56,BQ56,BS56,BU56,BW56,BY56,CA56,CC56,CE56)</f>
        <v/>
      </c>
      <c r="C56" s="32" t="inlineStr">
        <is>
          <t>GPTHEALTH</t>
        </is>
      </c>
      <c r="D56" s="32" t="inlineStr">
        <is>
          <t>GPT Healthcare Ltd</t>
        </is>
      </c>
      <c r="E56" s="30" t="inlineStr">
        <is>
          <t>healthcare</t>
        </is>
      </c>
      <c r="F56" s="30" t="inlineStr">
        <is>
          <t>healthcare</t>
        </is>
      </c>
      <c r="G56" s="30" t="inlineStr">
        <is>
          <t>smallcap</t>
        </is>
      </c>
      <c r="H56" s="31" t="n">
        <v>1318.62</v>
      </c>
      <c r="I56" s="31" t="n">
        <v>162.63</v>
      </c>
      <c r="J56" s="31" t="n">
        <v>1.2</v>
      </c>
      <c r="K56" s="31" t="n">
        <v>119726</v>
      </c>
      <c r="L56" s="30" t="n">
        <v>13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61.07</v>
      </c>
      <c r="P56" s="31" t="n">
        <v>49.7</v>
      </c>
      <c r="Q56" s="31" t="n">
        <v>140.6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19.47</v>
      </c>
      <c r="U56" s="31" t="n">
        <v>8.02</v>
      </c>
      <c r="V56" s="31" t="n">
        <v>-9.59</v>
      </c>
      <c r="W56" s="31" t="n">
        <v>4.32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IF(B57=0,"",RANK(B57,$B$2:$B$371,0))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INDSWFTLAB</t>
        </is>
      </c>
      <c r="D57" s="30" t="inlineStr">
        <is>
          <t>Ind-swift Laboratories Limited</t>
        </is>
      </c>
      <c r="E57" s="30" t="inlineStr">
        <is>
          <t>healthcare</t>
        </is>
      </c>
      <c r="F57" s="30" t="inlineStr">
        <is>
          <t>pharmaceuticals - indian - bulk drugs &amp; formln</t>
        </is>
      </c>
      <c r="G57" s="30" t="inlineStr">
        <is>
          <t>smallcap</t>
        </is>
      </c>
      <c r="H57" s="31" t="n">
        <v>3376.72</v>
      </c>
      <c r="I57" s="31" t="n">
        <v>388.55</v>
      </c>
      <c r="J57" s="31" t="n">
        <v>0.06</v>
      </c>
      <c r="K57" s="31" t="n">
        <v>704593</v>
      </c>
      <c r="L57" s="30" t="n">
        <v>97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88.23</v>
      </c>
      <c r="P57" s="31" t="n">
        <v>74.59999999999999</v>
      </c>
      <c r="Q57" s="31" t="n">
        <v>295.55</v>
      </c>
      <c r="R57" s="30" t="inlineStr">
        <is>
          <t>Near 52W High Breakout</t>
        </is>
      </c>
      <c r="S57" s="30" t="inlineStr">
        <is>
          <t>Nifty Pharma</t>
        </is>
      </c>
      <c r="T57" s="31" t="n">
        <v>19.47</v>
      </c>
      <c r="U57" s="31" t="n">
        <v>267.7</v>
      </c>
      <c r="V57" s="31" t="n">
        <v>207.77</v>
      </c>
      <c r="W57" s="31" t="n">
        <v>65.66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IF(B58=0,"",RANK(B58,$B$2:$B$371,0))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MOREPENLAB</t>
        </is>
      </c>
      <c r="D58" s="30" t="inlineStr">
        <is>
          <t>Morepen Laboratories Limited</t>
        </is>
      </c>
      <c r="E58" s="30" t="inlineStr">
        <is>
          <t>healthcare</t>
        </is>
      </c>
      <c r="F58" s="30" t="inlineStr">
        <is>
          <t>pharmaceuticals - indian - bulk drugs &amp; formln</t>
        </is>
      </c>
      <c r="G58" s="30" t="inlineStr">
        <is>
          <t>midcap</t>
        </is>
      </c>
      <c r="H58" s="31" t="n">
        <v>6419.83</v>
      </c>
      <c r="I58" s="31" t="n">
        <v>116.54</v>
      </c>
      <c r="J58" s="31" t="n">
        <v>-0.53</v>
      </c>
      <c r="K58" s="31" t="n">
        <v>12527070</v>
      </c>
      <c r="L58" s="30" t="n">
        <v>95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87.78</v>
      </c>
      <c r="P58" s="31" t="n">
        <v>52.59</v>
      </c>
      <c r="Q58" s="31" t="n">
        <v>89.54000000000001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19.47</v>
      </c>
      <c r="U58" s="31" t="n">
        <v>116.22</v>
      </c>
      <c r="V58" s="31" t="n">
        <v>80.97</v>
      </c>
      <c r="W58" s="31" t="n">
        <v>53.08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IF(B59=0,"",RANK(B59,$B$2:$B$371,0))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GRANULES</t>
        </is>
      </c>
      <c r="D59" s="30" t="inlineStr">
        <is>
          <t>Granules India Limited</t>
        </is>
      </c>
      <c r="E59" s="30" t="inlineStr">
        <is>
          <t>healthcare</t>
        </is>
      </c>
      <c r="F59" s="30" t="inlineStr">
        <is>
          <t>pharmaceuticals - indian - bulk drugs &amp; formln</t>
        </is>
      </c>
      <c r="G59" s="30" t="inlineStr">
        <is>
          <t>largecap</t>
        </is>
      </c>
      <c r="H59" s="31" t="n">
        <v>22186.5</v>
      </c>
      <c r="I59" s="31" t="n">
        <v>884.8</v>
      </c>
      <c r="J59" s="31" t="n">
        <v>-1.18</v>
      </c>
      <c r="K59" s="31" t="n">
        <v>1406377</v>
      </c>
      <c r="L59" s="30" t="n">
        <v>50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67.7</v>
      </c>
      <c r="P59" s="31" t="n">
        <v>39.51</v>
      </c>
      <c r="Q59" s="31" t="n">
        <v>737.6799999999999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19.47</v>
      </c>
      <c r="U59" s="31" t="n">
        <v>65.93000000000001</v>
      </c>
      <c r="V59" s="31" t="n">
        <v>38.88</v>
      </c>
      <c r="W59" s="31" t="n">
        <v>14.61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IF(B60=0,"",RANK(B60,$B$2:$B$371,0))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CAPLIPOINT</t>
        </is>
      </c>
      <c r="D60" s="30" t="inlineStr">
        <is>
          <t>Caplin Point Laboratories Limited</t>
        </is>
      </c>
      <c r="E60" s="30" t="inlineStr">
        <is>
          <t>healthcare</t>
        </is>
      </c>
      <c r="F60" s="30" t="inlineStr">
        <is>
          <t>pharmaceuticals - indian - formulations</t>
        </is>
      </c>
      <c r="G60" s="30" t="inlineStr">
        <is>
          <t>largecap</t>
        </is>
      </c>
      <c r="H60" s="31" t="n">
        <v>21056</v>
      </c>
      <c r="I60" s="31" t="n">
        <v>2723.1</v>
      </c>
      <c r="J60" s="31" t="n">
        <v>-1.7</v>
      </c>
      <c r="K60" s="31" t="n">
        <v>117200</v>
      </c>
      <c r="L60" s="30" t="n">
        <v>32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68.34999999999999</v>
      </c>
      <c r="P60" s="31" t="n">
        <v>42.75</v>
      </c>
      <c r="Q60" s="31" t="n">
        <v>2273.38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19.47</v>
      </c>
      <c r="U60" s="31" t="n">
        <v>21.5</v>
      </c>
      <c r="V60" s="31" t="n">
        <v>1.7</v>
      </c>
      <c r="W60" s="31" t="n">
        <v>8.69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Between 12 to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Between 1.5 to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IF(B61=0,"",RANK(B61,$B$2:$B$371,0))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WHEELS</t>
        </is>
      </c>
      <c r="D61" s="30" t="inlineStr">
        <is>
          <t>Wheels India Limited</t>
        </is>
      </c>
      <c r="E61" s="30" t="inlineStr">
        <is>
          <t>auto</t>
        </is>
      </c>
      <c r="F61" s="30" t="inlineStr">
        <is>
          <t>auto ancillaries</t>
        </is>
      </c>
      <c r="G61" s="30" t="inlineStr">
        <is>
          <t>midcap</t>
        </is>
      </c>
      <c r="H61" s="31" t="n">
        <v>5146.57</v>
      </c>
      <c r="I61" s="31" t="n">
        <v>2400.6</v>
      </c>
      <c r="J61" s="31" t="n">
        <v>13.97</v>
      </c>
      <c r="K61" s="31" t="n">
        <v>6608762</v>
      </c>
      <c r="L61" s="30" t="n">
        <v>97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81.31</v>
      </c>
      <c r="P61" s="31" t="n">
        <v>55.95</v>
      </c>
      <c r="Q61" s="31" t="n">
        <v>1842.25</v>
      </c>
      <c r="R61" s="30" t="inlineStr">
        <is>
          <t>Volume Spike &amp; Near 52W High Breakout</t>
        </is>
      </c>
      <c r="S61" s="30" t="inlineStr">
        <is>
          <t>Nifty Auto</t>
        </is>
      </c>
      <c r="T61" s="31" t="n">
        <v>16.28</v>
      </c>
      <c r="U61" s="31" t="n">
        <v>204.68</v>
      </c>
      <c r="V61" s="31" t="n">
        <v>162.02</v>
      </c>
      <c r="W61" s="31" t="n">
        <v>60.2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Less than 12%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IF(B62=0,"",RANK(B62,$B$2:$B$371,0))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SETL</t>
        </is>
      </c>
      <c r="D62" s="30" t="inlineStr">
        <is>
          <t>Standard Enginnering Technology Ltd</t>
        </is>
      </c>
      <c r="E62" s="30" t="inlineStr">
        <is>
          <t>industrials</t>
        </is>
      </c>
      <c r="F62" s="30" t="inlineStr">
        <is>
          <t>engineering</t>
        </is>
      </c>
      <c r="G62" s="30" t="inlineStr">
        <is>
          <t>midcap</t>
        </is>
      </c>
      <c r="H62" s="31" t="n">
        <v>8069.44</v>
      </c>
      <c r="I62" s="31" t="n">
        <v>424.7</v>
      </c>
      <c r="J62" s="31" t="n">
        <v>4.99</v>
      </c>
      <c r="K62" s="31" t="n">
        <v>1743094</v>
      </c>
      <c r="L62" s="30" t="n">
        <v>97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90.23</v>
      </c>
      <c r="P62" s="31" t="n">
        <v>67.58</v>
      </c>
      <c r="Q62" s="31" t="n">
        <v>333.51</v>
      </c>
      <c r="R62" s="30" t="inlineStr">
        <is>
          <t>Near 52W High Breakout</t>
        </is>
      </c>
      <c r="S62" s="30" t="inlineStr">
        <is>
          <t>Nifty 50</t>
        </is>
      </c>
      <c r="T62" s="31" t="n">
        <v>-6.7</v>
      </c>
      <c r="U62" s="31" t="n">
        <v>131.89</v>
      </c>
      <c r="V62" s="31" t="n">
        <v>148.54</v>
      </c>
      <c r="W62" s="31" t="n">
        <v>66.20999999999999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IF(B63=0,"",RANK(B63,$B$2:$B$371,0))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UNIVPHOTO</t>
        </is>
      </c>
      <c r="D63" s="30" t="inlineStr">
        <is>
          <t>Universus Photo Imagings Ltd</t>
        </is>
      </c>
      <c r="E63" s="30" t="inlineStr">
        <is>
          <t>consumer discretionary</t>
        </is>
      </c>
      <c r="F63" s="30" t="inlineStr">
        <is>
          <t>photographic and allied products</t>
        </is>
      </c>
      <c r="G63" s="30" t="inlineStr">
        <is>
          <t>smallcap</t>
        </is>
      </c>
      <c r="H63" s="31" t="n">
        <v>591.77</v>
      </c>
      <c r="I63" s="31" t="n">
        <v>566.25</v>
      </c>
      <c r="J63" s="31" t="n">
        <v>4.74</v>
      </c>
      <c r="K63" s="31" t="n">
        <v>7505</v>
      </c>
      <c r="L63" s="30" t="n">
        <v>90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70.90000000000001</v>
      </c>
      <c r="P63" s="31" t="n">
        <v>18.51</v>
      </c>
      <c r="Q63" s="31" t="n">
        <v>426.94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-6.7</v>
      </c>
      <c r="U63" s="31" t="n">
        <v>116.54</v>
      </c>
      <c r="V63" s="31" t="n">
        <v>132.09</v>
      </c>
      <c r="W63" s="31" t="n">
        <v>37.65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IF(B64=0,"",RANK(B64,$B$2:$B$371,0))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KROSS</t>
        </is>
      </c>
      <c r="D64" s="30" t="inlineStr">
        <is>
          <t>Kross Ltd</t>
        </is>
      </c>
      <c r="E64" s="30" t="inlineStr">
        <is>
          <t>auto</t>
        </is>
      </c>
      <c r="F64" s="30" t="inlineStr">
        <is>
          <t>auto ancillaries</t>
        </is>
      </c>
      <c r="G64" s="30" t="inlineStr">
        <is>
          <t>smallcap</t>
        </is>
      </c>
      <c r="H64" s="31" t="n">
        <v>1362.96</v>
      </c>
      <c r="I64" s="31" t="n">
        <v>219.67</v>
      </c>
      <c r="J64" s="31" t="n">
        <v>3.97</v>
      </c>
      <c r="K64" s="31" t="n">
        <v>793389</v>
      </c>
      <c r="L64" s="30" t="n">
        <v>26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60.43</v>
      </c>
      <c r="P64" s="31" t="n">
        <v>26.61</v>
      </c>
      <c r="Q64" s="31" t="n">
        <v>167.38</v>
      </c>
      <c r="R64" s="30" t="inlineStr">
        <is>
          <t>Near 52W High Breakout</t>
        </is>
      </c>
      <c r="S64" s="30" t="inlineStr">
        <is>
          <t>Nifty Auto</t>
        </is>
      </c>
      <c r="T64" s="31" t="n">
        <v>16.28</v>
      </c>
      <c r="U64" s="31" t="n">
        <v>17.77</v>
      </c>
      <c r="V64" s="31" t="n">
        <v>1.28</v>
      </c>
      <c r="W64" s="31" t="n">
        <v>7.46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IF(B65=0,"",RANK(B65,$B$2:$B$371,0))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FINCABLES</t>
        </is>
      </c>
      <c r="D65" s="30" t="inlineStr">
        <is>
          <t>Finolex Cables Limited</t>
        </is>
      </c>
      <c r="E65" s="30" t="inlineStr">
        <is>
          <t>industrials</t>
        </is>
      </c>
      <c r="F65" s="30" t="inlineStr">
        <is>
          <t>cables - power</t>
        </is>
      </c>
      <c r="G65" s="30" t="inlineStr">
        <is>
          <t>midcap</t>
        </is>
      </c>
      <c r="H65" s="31" t="n">
        <v>19917.29</v>
      </c>
      <c r="I65" s="31" t="n">
        <v>1353.4</v>
      </c>
      <c r="J65" s="31" t="n">
        <v>3.92</v>
      </c>
      <c r="K65" s="31" t="n">
        <v>2871412</v>
      </c>
      <c r="L65" s="30" t="n">
        <v>63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68.05</v>
      </c>
      <c r="P65" s="31" t="n">
        <v>35.62</v>
      </c>
      <c r="Q65" s="31" t="n">
        <v>1027.84</v>
      </c>
      <c r="R65" s="30" t="inlineStr">
        <is>
          <t>Near 52W High Breakout</t>
        </is>
      </c>
      <c r="S65" s="30" t="inlineStr">
        <is>
          <t>Nifty Energy</t>
        </is>
      </c>
      <c r="T65" s="31" t="n">
        <v>8.75</v>
      </c>
      <c r="U65" s="31" t="n">
        <v>53.14</v>
      </c>
      <c r="V65" s="31" t="n">
        <v>40.82</v>
      </c>
      <c r="W65" s="31" t="n">
        <v>19.03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IF(B66=0,"",RANK(B66,$B$2:$B$371,0))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JAYAGROGN</t>
        </is>
      </c>
      <c r="D66" s="30" t="inlineStr">
        <is>
          <t>Jayant Agro Organics Limited</t>
        </is>
      </c>
      <c r="E66" s="30" t="inlineStr">
        <is>
          <t>chemicals</t>
        </is>
      </c>
      <c r="F66" s="30" t="inlineStr">
        <is>
          <t>chemicals</t>
        </is>
      </c>
      <c r="G66" s="30" t="inlineStr">
        <is>
          <t>smallcap</t>
        </is>
      </c>
      <c r="H66" s="31" t="n">
        <v>747.12</v>
      </c>
      <c r="I66" s="31" t="n">
        <v>256.9</v>
      </c>
      <c r="J66" s="31" t="n">
        <v>3.16</v>
      </c>
      <c r="K66" s="31" t="n">
        <v>140900</v>
      </c>
      <c r="L66" s="30" t="n">
        <v>21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71.43000000000001</v>
      </c>
      <c r="P66" s="31" t="n">
        <v>38.9</v>
      </c>
      <c r="Q66" s="31" t="n">
        <v>198.84</v>
      </c>
      <c r="R66" s="30" t="inlineStr">
        <is>
          <t>Volume Spike &amp; Near 52W High Breakout</t>
        </is>
      </c>
      <c r="S66" s="30" t="inlineStr">
        <is>
          <t>Nifty 50</t>
        </is>
      </c>
      <c r="T66" s="31" t="n">
        <v>-6.7</v>
      </c>
      <c r="U66" s="31" t="n">
        <v>8.82</v>
      </c>
      <c r="V66" s="31" t="n">
        <v>16.64</v>
      </c>
      <c r="W66" s="31" t="n">
        <v>6.38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IF(B67=0,"",RANK(B67,$B$2:$B$371,0))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PCJEWELLER</t>
        </is>
      </c>
      <c r="D67" s="30" t="inlineStr">
        <is>
          <t>Pc Jeweller Limited</t>
        </is>
      </c>
      <c r="E67" s="30" t="inlineStr">
        <is>
          <t>consumer discretionary</t>
        </is>
      </c>
      <c r="F67" s="30" t="inlineStr">
        <is>
          <t>diamond cutting / jewellery</t>
        </is>
      </c>
      <c r="G67" s="30" t="inlineStr">
        <is>
          <t>midcap</t>
        </is>
      </c>
      <c r="H67" s="31" t="n">
        <v>13128.64</v>
      </c>
      <c r="I67" s="31" t="n">
        <v>13.87</v>
      </c>
      <c r="J67" s="31" t="n">
        <v>2.59</v>
      </c>
      <c r="K67" s="31" t="n">
        <v>697754870</v>
      </c>
      <c r="L67" s="30" t="n">
        <v>52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73.34</v>
      </c>
      <c r="P67" s="31" t="n">
        <v>22.76</v>
      </c>
      <c r="Q67" s="31" t="n">
        <v>10.17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-6.7</v>
      </c>
      <c r="U67" s="31" t="n">
        <v>5.64</v>
      </c>
      <c r="V67" s="31" t="n">
        <v>13.22</v>
      </c>
      <c r="W67" s="31" t="n">
        <v>15.36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IF(B68=0,"",RANK(B68,$B$2:$B$371,0))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SANSERA</t>
        </is>
      </c>
      <c r="D68" s="30" t="inlineStr">
        <is>
          <t>Sansera Engineering Ltd</t>
        </is>
      </c>
      <c r="E68" s="30" t="inlineStr">
        <is>
          <t>auto</t>
        </is>
      </c>
      <c r="F68" s="30" t="inlineStr">
        <is>
          <t>auto ancillaries</t>
        </is>
      </c>
      <c r="G68" s="30" t="inlineStr">
        <is>
          <t>largecap</t>
        </is>
      </c>
      <c r="H68" s="31" t="n">
        <v>25171.1</v>
      </c>
      <c r="I68" s="31" t="n">
        <v>4135.9</v>
      </c>
      <c r="J68" s="31" t="n">
        <v>2.54</v>
      </c>
      <c r="K68" s="31" t="n">
        <v>470508</v>
      </c>
      <c r="L68" s="30" t="n">
        <v>91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80.88</v>
      </c>
      <c r="P68" s="31" t="n">
        <v>63.37</v>
      </c>
      <c r="Q68" s="31" t="n">
        <v>3331.48</v>
      </c>
      <c r="R68" s="30" t="inlineStr">
        <is>
          <t>Near 52W High Breakout</t>
        </is>
      </c>
      <c r="S68" s="30" t="inlineStr">
        <is>
          <t>Nifty Auto</t>
        </is>
      </c>
      <c r="T68" s="31" t="n">
        <v>16.28</v>
      </c>
      <c r="U68" s="31" t="n">
        <v>205.66</v>
      </c>
      <c r="V68" s="31" t="n">
        <v>162.86</v>
      </c>
      <c r="W68" s="31" t="n">
        <v>40.18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IF(B69=0,"",RANK(B69,$B$2:$B$371,0))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PASUPTAC</t>
        </is>
      </c>
      <c r="D69" s="30" t="inlineStr">
        <is>
          <t>Pasupati Acrylon Ltd</t>
        </is>
      </c>
      <c r="E69" s="30" t="inlineStr">
        <is>
          <t>textiles</t>
        </is>
      </c>
      <c r="F69" s="30" t="inlineStr">
        <is>
          <t>textiles - manmade</t>
        </is>
      </c>
      <c r="G69" s="30" t="inlineStr">
        <is>
          <t>smallcap</t>
        </is>
      </c>
      <c r="H69" s="31" t="n">
        <v>598.26</v>
      </c>
      <c r="I69" s="31" t="n">
        <v>67.91</v>
      </c>
      <c r="J69" s="31" t="n">
        <v>1.18</v>
      </c>
      <c r="K69" s="31" t="n">
        <v>68933</v>
      </c>
      <c r="L69" s="30" t="n">
        <v>37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62.29</v>
      </c>
      <c r="P69" s="31" t="n">
        <v>47.47</v>
      </c>
      <c r="Q69" s="31" t="n">
        <v>49.47</v>
      </c>
      <c r="R69" s="30" t="inlineStr">
        <is>
          <t>Earnings / Momentum Support</t>
        </is>
      </c>
      <c r="S69" s="30" t="inlineStr">
        <is>
          <t>Nifty 50</t>
        </is>
      </c>
      <c r="T69" s="31" t="n">
        <v>-6.7</v>
      </c>
      <c r="U69" s="31" t="n">
        <v>46.52</v>
      </c>
      <c r="V69" s="31" t="n">
        <v>57.04</v>
      </c>
      <c r="W69" s="31" t="n">
        <v>10.25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IF(B70=0,"",RANK(B70,$B$2:$B$371,0))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WELSPUNLIV</t>
        </is>
      </c>
      <c r="D70" s="30" t="inlineStr">
        <is>
          <t>Welspun Living Ltd</t>
        </is>
      </c>
      <c r="E70" s="30" t="inlineStr">
        <is>
          <t>textiles</t>
        </is>
      </c>
      <c r="F70" s="30" t="inlineStr">
        <is>
          <t>textiles - products</t>
        </is>
      </c>
      <c r="G70" s="30" t="inlineStr">
        <is>
          <t>midcap</t>
        </is>
      </c>
      <c r="H70" s="31" t="n">
        <v>19638.57</v>
      </c>
      <c r="I70" s="31" t="n">
        <v>210.28</v>
      </c>
      <c r="J70" s="31" t="n">
        <v>1.16</v>
      </c>
      <c r="K70" s="31" t="n">
        <v>8012610</v>
      </c>
      <c r="L70" s="30" t="n">
        <v>75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79.19</v>
      </c>
      <c r="P70" s="31" t="n">
        <v>40.45</v>
      </c>
      <c r="Q70" s="31" t="n">
        <v>168.67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-6.7</v>
      </c>
      <c r="U70" s="31" t="n">
        <v>73.79000000000001</v>
      </c>
      <c r="V70" s="31" t="n">
        <v>86.27</v>
      </c>
      <c r="W70" s="31" t="n">
        <v>24.48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IF(B71=0,"",RANK(B71,$B$2:$B$371,0))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KABRAEXTRU</t>
        </is>
      </c>
      <c r="D71" s="30" t="inlineStr">
        <is>
          <t>Kabra Extrusion Technik Limited</t>
        </is>
      </c>
      <c r="E71" s="30" t="inlineStr">
        <is>
          <t>industrials</t>
        </is>
      </c>
      <c r="F71" s="30" t="inlineStr">
        <is>
          <t>engineering</t>
        </is>
      </c>
      <c r="G71" s="30" t="inlineStr">
        <is>
          <t>smallcap</t>
        </is>
      </c>
      <c r="H71" s="31" t="n">
        <v>2295.79</v>
      </c>
      <c r="I71" s="31" t="n">
        <v>662.95</v>
      </c>
      <c r="J71" s="31" t="n">
        <v>0.99</v>
      </c>
      <c r="K71" s="31" t="n">
        <v>233277</v>
      </c>
      <c r="L71" s="30" t="n">
        <v>98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86.98</v>
      </c>
      <c r="P71" s="31" t="n">
        <v>55.57</v>
      </c>
      <c r="Q71" s="31" t="n">
        <v>515.25</v>
      </c>
      <c r="R71" s="30" t="inlineStr">
        <is>
          <t>Near 52W High Breakout</t>
        </is>
      </c>
      <c r="S71" s="30" t="inlineStr">
        <is>
          <t>Nifty 50</t>
        </is>
      </c>
      <c r="T71" s="31" t="n">
        <v>-6.7</v>
      </c>
      <c r="U71" s="31" t="n">
        <v>134.84</v>
      </c>
      <c r="V71" s="31" t="n">
        <v>151.7</v>
      </c>
      <c r="W71" s="31" t="n">
        <v>68.89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IF(B72=0,"",RANK(B72,$B$2:$B$371,0))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IDEA</t>
        </is>
      </c>
      <c r="D72" s="30" t="inlineStr">
        <is>
          <t>Vodafone Idea Ltd</t>
        </is>
      </c>
      <c r="E72" s="30" t="inlineStr">
        <is>
          <t>telecom-service</t>
        </is>
      </c>
      <c r="F72" s="30" t="inlineStr">
        <is>
          <t>telecommunications - service provider</t>
        </is>
      </c>
      <c r="G72" s="30" t="inlineStr">
        <is>
          <t>largecap</t>
        </is>
      </c>
      <c r="H72" s="31" t="n">
        <v>167064.96</v>
      </c>
      <c r="I72" s="31" t="n">
        <v>15.52</v>
      </c>
      <c r="J72" s="31" t="n">
        <v>0.65</v>
      </c>
      <c r="K72" s="31" t="n">
        <v>539161681</v>
      </c>
      <c r="L72" s="30" t="n">
        <v>66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68.67</v>
      </c>
      <c r="P72" s="31" t="n">
        <v>34.12</v>
      </c>
      <c r="Q72" s="31" t="n">
        <v>12.5</v>
      </c>
      <c r="R72" s="30" t="inlineStr">
        <is>
          <t>Near 52W High Breakout</t>
        </is>
      </c>
      <c r="S72" s="30" t="inlineStr">
        <is>
          <t>Nifty 500</t>
        </is>
      </c>
      <c r="T72" s="31" t="n">
        <v>-1</v>
      </c>
      <c r="U72" s="31" t="n">
        <v>102.61</v>
      </c>
      <c r="V72" s="31" t="n">
        <v>104.65</v>
      </c>
      <c r="W72" s="31" t="n">
        <v>20.13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IF(B73=0,"",RANK(B73,$B$2:$B$371,0))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IKIO</t>
        </is>
      </c>
      <c r="D73" s="30" t="inlineStr">
        <is>
          <t>IKIO Lighting Ltd</t>
        </is>
      </c>
      <c r="E73" s="30" t="inlineStr">
        <is>
          <t>consumer discretionary</t>
        </is>
      </c>
      <c r="F73" s="30" t="inlineStr">
        <is>
          <t>electric equipment</t>
        </is>
      </c>
      <c r="G73" s="30" t="inlineStr">
        <is>
          <t>smallcap</t>
        </is>
      </c>
      <c r="H73" s="31" t="n">
        <v>1698.09</v>
      </c>
      <c r="I73" s="31" t="n">
        <v>219.94</v>
      </c>
      <c r="J73" s="31" t="n">
        <v>0.1</v>
      </c>
      <c r="K73" s="31" t="n">
        <v>697005</v>
      </c>
      <c r="L73" s="30" t="n">
        <v>40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63.92</v>
      </c>
      <c r="P73" s="31" t="n">
        <v>42.93</v>
      </c>
      <c r="Q73" s="31" t="n">
        <v>155.71</v>
      </c>
      <c r="R73" s="30" t="inlineStr">
        <is>
          <t>Near 52W High Breakout</t>
        </is>
      </c>
      <c r="S73" s="30" t="inlineStr">
        <is>
          <t>Nifty 50</t>
        </is>
      </c>
      <c r="T73" s="31" t="n">
        <v>-6.7</v>
      </c>
      <c r="U73" s="31" t="n">
        <v>-2.08</v>
      </c>
      <c r="V73" s="31" t="n">
        <v>4.95</v>
      </c>
      <c r="W73" s="31" t="n">
        <v>11.18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IF(B74=0,"",RANK(B74,$B$2:$B$371,0))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HITECHCORP</t>
        </is>
      </c>
      <c r="D74" s="30" t="inlineStr">
        <is>
          <t>Hitech Corporation</t>
        </is>
      </c>
      <c r="E74" s="30" t="inlineStr">
        <is>
          <t>industrials</t>
        </is>
      </c>
      <c r="F74" s="30" t="inlineStr">
        <is>
          <t>packaging</t>
        </is>
      </c>
      <c r="G74" s="30" t="inlineStr">
        <is>
          <t>smallcap</t>
        </is>
      </c>
      <c r="H74" s="31" t="n">
        <v>577.02</v>
      </c>
      <c r="I74" s="31" t="n">
        <v>335.5</v>
      </c>
      <c r="J74" s="31" t="n">
        <v>-0.13</v>
      </c>
      <c r="K74" s="31" t="n">
        <v>20809</v>
      </c>
      <c r="L74" s="30" t="n">
        <v>71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81.20999999999999</v>
      </c>
      <c r="P74" s="31" t="n">
        <v>67.58</v>
      </c>
      <c r="Q74" s="31" t="n">
        <v>282.01</v>
      </c>
      <c r="R74" s="30" t="inlineStr">
        <is>
          <t>Near 52W High Breakout</t>
        </is>
      </c>
      <c r="S74" s="30" t="inlineStr">
        <is>
          <t>Nifty 50</t>
        </is>
      </c>
      <c r="T74" s="31" t="n">
        <v>-6.7</v>
      </c>
      <c r="U74" s="31" t="n">
        <v>64.91</v>
      </c>
      <c r="V74" s="31" t="n">
        <v>76.75</v>
      </c>
      <c r="W74" s="31" t="n">
        <v>22.36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IF(B75=0,"",RANK(B75,$B$2:$B$371,0))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JINDWORLD</t>
        </is>
      </c>
      <c r="D75" s="30" t="inlineStr">
        <is>
          <t>Jindal Worldwide Limited</t>
        </is>
      </c>
      <c r="E75" s="30" t="inlineStr">
        <is>
          <t>textiles</t>
        </is>
      </c>
      <c r="F75" s="30" t="inlineStr">
        <is>
          <t>textiles - products</t>
        </is>
      </c>
      <c r="G75" s="30" t="inlineStr">
        <is>
          <t>midcap</t>
        </is>
      </c>
      <c r="H75" s="31" t="n">
        <v>5567.45</v>
      </c>
      <c r="I75" s="31" t="n">
        <v>55.44</v>
      </c>
      <c r="J75" s="31" t="n">
        <v>-0.16</v>
      </c>
      <c r="K75" s="31" t="n">
        <v>40892474</v>
      </c>
      <c r="L75" s="30" t="n">
        <v>86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76.13</v>
      </c>
      <c r="P75" s="31" t="n">
        <v>41.49</v>
      </c>
      <c r="Q75" s="31" t="n">
        <v>41.31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-6.7</v>
      </c>
      <c r="U75" s="31" t="n">
        <v>53.36</v>
      </c>
      <c r="V75" s="31" t="n">
        <v>64.37</v>
      </c>
      <c r="W75" s="31" t="n">
        <v>33.26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IF(B76=0,"",RANK(B76,$B$2:$B$371,0))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UNIPARTS</t>
        </is>
      </c>
      <c r="D76" s="30" t="inlineStr">
        <is>
          <t>Uniparts India Ltd</t>
        </is>
      </c>
      <c r="E76" s="30" t="inlineStr">
        <is>
          <t>industrials</t>
        </is>
      </c>
      <c r="F76" s="30" t="inlineStr">
        <is>
          <t>engineering</t>
        </is>
      </c>
      <c r="G76" s="30" t="inlineStr">
        <is>
          <t>smallcap</t>
        </is>
      </c>
      <c r="H76" s="31" t="n">
        <v>4053.85</v>
      </c>
      <c r="I76" s="31" t="n">
        <v>894.05</v>
      </c>
      <c r="J76" s="31" t="n">
        <v>-0.44</v>
      </c>
      <c r="K76" s="31" t="n">
        <v>142933</v>
      </c>
      <c r="L76" s="30" t="n">
        <v>79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83.45</v>
      </c>
      <c r="P76" s="31" t="n">
        <v>69.7</v>
      </c>
      <c r="Q76" s="31" t="n">
        <v>730.65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-6.7</v>
      </c>
      <c r="U76" s="31" t="n">
        <v>132.41</v>
      </c>
      <c r="V76" s="31" t="n">
        <v>149.09</v>
      </c>
      <c r="W76" s="31" t="n">
        <v>27.84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IF(B77=0,"",RANK(B77,$B$2:$B$371,0))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SOLARINDS</t>
        </is>
      </c>
      <c r="D77" s="30" t="inlineStr">
        <is>
          <t>Solar Industries India Limited</t>
        </is>
      </c>
      <c r="E77" s="30" t="inlineStr">
        <is>
          <t>aerospace &amp; defence</t>
        </is>
      </c>
      <c r="F77" s="30" t="inlineStr">
        <is>
          <t>chemicals</t>
        </is>
      </c>
      <c r="G77" s="30" t="inlineStr">
        <is>
          <t>largecap</t>
        </is>
      </c>
      <c r="H77" s="31" t="n">
        <v>203195.42</v>
      </c>
      <c r="I77" s="31" t="n">
        <v>22355</v>
      </c>
      <c r="J77" s="31" t="n">
        <v>-0.45</v>
      </c>
      <c r="K77" s="31" t="n">
        <v>94443</v>
      </c>
      <c r="L77" s="30" t="n">
        <v>55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78.89</v>
      </c>
      <c r="P77" s="31" t="n">
        <v>40.15</v>
      </c>
      <c r="Q77" s="31" t="n">
        <v>18612.94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-6.7</v>
      </c>
      <c r="U77" s="31" t="n">
        <v>55.3</v>
      </c>
      <c r="V77" s="31" t="n">
        <v>66.45</v>
      </c>
      <c r="W77" s="31" t="n">
        <v>16.5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IF(B78=0,"",RANK(B78,$B$2:$B$371,0))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IRISDOREME</t>
        </is>
      </c>
      <c r="D78" s="30" t="inlineStr">
        <is>
          <t>Iris Clothings Ltd</t>
        </is>
      </c>
      <c r="E78" s="30" t="inlineStr">
        <is>
          <t>consumer discretionary</t>
        </is>
      </c>
      <c r="F78" s="30" t="inlineStr">
        <is>
          <t>textiles - products</t>
        </is>
      </c>
      <c r="G78" s="30" t="inlineStr">
        <is>
          <t>smallcap</t>
        </is>
      </c>
      <c r="H78" s="31" t="n">
        <v>1172.82</v>
      </c>
      <c r="I78" s="31" t="n">
        <v>61.3</v>
      </c>
      <c r="J78" s="31" t="n">
        <v>-0.52</v>
      </c>
      <c r="K78" s="31" t="n">
        <v>528736</v>
      </c>
      <c r="L78" s="30" t="n">
        <v>83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78.79000000000001</v>
      </c>
      <c r="P78" s="31" t="n">
        <v>52.97</v>
      </c>
      <c r="Q78" s="31" t="n">
        <v>50.62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-6.7</v>
      </c>
      <c r="U78" s="31" t="n">
        <v>96.03</v>
      </c>
      <c r="V78" s="31" t="n">
        <v>110.11</v>
      </c>
      <c r="W78" s="31" t="n">
        <v>31.16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IF(B79=0,"",RANK(B79,$B$2:$B$371,0))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TTKHLTCARE</t>
        </is>
      </c>
      <c r="D79" s="30" t="inlineStr">
        <is>
          <t>Ttk Healthcare Limited</t>
        </is>
      </c>
      <c r="E79" s="30" t="inlineStr">
        <is>
          <t>miscellaneous</t>
        </is>
      </c>
      <c r="F79" s="30" t="inlineStr">
        <is>
          <t>diversified - medium / small</t>
        </is>
      </c>
      <c r="G79" s="30" t="inlineStr">
        <is>
          <t>smallcap</t>
        </is>
      </c>
      <c r="H79" s="31" t="n">
        <v>1682.92</v>
      </c>
      <c r="I79" s="31" t="n">
        <v>1184</v>
      </c>
      <c r="J79" s="31" t="n">
        <v>-0.59</v>
      </c>
      <c r="K79" s="31" t="n">
        <v>244268</v>
      </c>
      <c r="L79" s="30" t="n">
        <v>32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67.84</v>
      </c>
      <c r="P79" s="31" t="n">
        <v>31.76</v>
      </c>
      <c r="Q79" s="31" t="n">
        <v>904.86</v>
      </c>
      <c r="R79" s="30" t="inlineStr">
        <is>
          <t>Volume Spike &amp; Near 52W High Breakout</t>
        </is>
      </c>
      <c r="S79" s="30" t="inlineStr">
        <is>
          <t>Nifty 50</t>
        </is>
      </c>
      <c r="T79" s="31" t="n">
        <v>-6.7</v>
      </c>
      <c r="U79" s="31" t="n">
        <v>0.64</v>
      </c>
      <c r="V79" s="31" t="n">
        <v>7.87</v>
      </c>
      <c r="W79" s="31" t="n">
        <v>8.68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IF(B80=0,"",RANK(B80,$B$2:$B$371,0))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AZAD</t>
        </is>
      </c>
      <c r="D80" s="30" t="inlineStr">
        <is>
          <t>Azad Engineering Ltd</t>
        </is>
      </c>
      <c r="E80" s="30" t="inlineStr">
        <is>
          <t>aerospace &amp; defence</t>
        </is>
      </c>
      <c r="F80" s="30" t="inlineStr">
        <is>
          <t>engineering</t>
        </is>
      </c>
      <c r="G80" s="30" t="inlineStr">
        <is>
          <t>midcap</t>
        </is>
      </c>
      <c r="H80" s="31" t="n">
        <v>18225.61</v>
      </c>
      <c r="I80" s="31" t="n">
        <v>2805</v>
      </c>
      <c r="J80" s="31" t="n">
        <v>-0.61</v>
      </c>
      <c r="K80" s="31" t="n">
        <v>261391</v>
      </c>
      <c r="L80" s="30" t="n">
        <v>65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68.26000000000001</v>
      </c>
      <c r="P80" s="31" t="n">
        <v>40.97</v>
      </c>
      <c r="Q80" s="31" t="n">
        <v>2220.69</v>
      </c>
      <c r="R80" s="30" t="inlineStr">
        <is>
          <t>Near 52W High Breakout</t>
        </is>
      </c>
      <c r="S80" s="30" t="inlineStr">
        <is>
          <t>Nifty 50</t>
        </is>
      </c>
      <c r="T80" s="31" t="n">
        <v>-6.7</v>
      </c>
      <c r="U80" s="31" t="n">
        <v>75.17</v>
      </c>
      <c r="V80" s="31" t="n">
        <v>87.75</v>
      </c>
      <c r="W80" s="31" t="n">
        <v>19.64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IF(B81=0,"",RANK(B81,$B$2:$B$371,0))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NRL</t>
        </is>
      </c>
      <c r="D81" s="30" t="inlineStr">
        <is>
          <t>Nupur Recyclers Ltd</t>
        </is>
      </c>
      <c r="E81" s="30" t="inlineStr">
        <is>
          <t>services</t>
        </is>
      </c>
      <c r="F81" s="30" t="inlineStr">
        <is>
          <t>trading</t>
        </is>
      </c>
      <c r="G81" s="30" t="inlineStr">
        <is>
          <t>smallcap</t>
        </is>
      </c>
      <c r="H81" s="31" t="n">
        <v>901.0700000000001</v>
      </c>
      <c r="I81" s="31" t="n">
        <v>129.5</v>
      </c>
      <c r="J81" s="31" t="n">
        <v>-0.74</v>
      </c>
      <c r="K81" s="31" t="n">
        <v>45722</v>
      </c>
      <c r="L81" s="30" t="n">
        <v>85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88.06</v>
      </c>
      <c r="P81" s="31" t="n">
        <v>68.59</v>
      </c>
      <c r="Q81" s="31" t="n">
        <v>107.14</v>
      </c>
      <c r="R81" s="30" t="inlineStr">
        <is>
          <t>Near 52W High Breakout</t>
        </is>
      </c>
      <c r="S81" s="30" t="inlineStr">
        <is>
          <t>Nifty 50</t>
        </is>
      </c>
      <c r="T81" s="31" t="n">
        <v>-6.7</v>
      </c>
      <c r="U81" s="31" t="n">
        <v>80.11</v>
      </c>
      <c r="V81" s="31" t="n">
        <v>93.04000000000001</v>
      </c>
      <c r="W81" s="31" t="n">
        <v>32.56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IF(B82=0,"",RANK(B82,$B$2:$B$371,0))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CENTUM</t>
        </is>
      </c>
      <c r="D82" s="30" t="inlineStr">
        <is>
          <t>Centum Electronics Limited</t>
        </is>
      </c>
      <c r="E82" s="30" t="inlineStr">
        <is>
          <t>aerospace &amp; defence</t>
        </is>
      </c>
      <c r="F82" s="30" t="inlineStr">
        <is>
          <t>electronics - components</t>
        </is>
      </c>
      <c r="G82" s="30" t="inlineStr">
        <is>
          <t>midcap</t>
        </is>
      </c>
      <c r="H82" s="31" t="n">
        <v>6327.78</v>
      </c>
      <c r="I82" s="31" t="n">
        <v>4250.5</v>
      </c>
      <c r="J82" s="31" t="n">
        <v>-0.86</v>
      </c>
      <c r="K82" s="31" t="n">
        <v>114623</v>
      </c>
      <c r="L82" s="30" t="n">
        <v>50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70.56</v>
      </c>
      <c r="P82" s="31" t="n">
        <v>51.63</v>
      </c>
      <c r="Q82" s="31" t="n">
        <v>3223.88</v>
      </c>
      <c r="R82" s="30" t="inlineStr">
        <is>
          <t>Volume Spike &amp; Near 52W High Breakout</t>
        </is>
      </c>
      <c r="S82" s="30" t="inlineStr">
        <is>
          <t>Nifty 50</t>
        </is>
      </c>
      <c r="T82" s="31" t="n">
        <v>-6.7</v>
      </c>
      <c r="U82" s="31" t="n">
        <v>57.33</v>
      </c>
      <c r="V82" s="31" t="n">
        <v>68.63</v>
      </c>
      <c r="W82" s="31" t="n">
        <v>14.57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IF(B83=0,"",RANK(B83,$B$2:$B$371,0))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UNIVASTU</t>
        </is>
      </c>
      <c r="D83" s="30" t="inlineStr">
        <is>
          <t>Univastu India Ltd</t>
        </is>
      </c>
      <c r="E83" s="30" t="inlineStr">
        <is>
          <t>realty</t>
        </is>
      </c>
      <c r="F83" s="30" t="inlineStr">
        <is>
          <t>construction</t>
        </is>
      </c>
      <c r="G83" s="30" t="inlineStr">
        <is>
          <t>smallcap</t>
        </is>
      </c>
      <c r="H83" s="31" t="n">
        <v>622.74</v>
      </c>
      <c r="I83" s="31" t="n">
        <v>163.35</v>
      </c>
      <c r="J83" s="31" t="n">
        <v>-0.87</v>
      </c>
      <c r="K83" s="31" t="n">
        <v>46744</v>
      </c>
      <c r="L83" s="30" t="n">
        <v>94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76.93000000000001</v>
      </c>
      <c r="P83" s="31" t="n">
        <v>75.43000000000001</v>
      </c>
      <c r="Q83" s="31" t="n">
        <v>128.3</v>
      </c>
      <c r="R83" s="30" t="inlineStr">
        <is>
          <t>Near 52W High Breakout</t>
        </is>
      </c>
      <c r="S83" s="30" t="inlineStr">
        <is>
          <t>Nifty Realty</t>
        </is>
      </c>
      <c r="T83" s="31" t="n">
        <v>-8.25</v>
      </c>
      <c r="U83" s="31" t="n">
        <v>81.76000000000001</v>
      </c>
      <c r="V83" s="31" t="n">
        <v>98.09999999999999</v>
      </c>
      <c r="W83" s="31" t="n">
        <v>50.45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IF(B84=0,"",RANK(B84,$B$2:$B$371,0))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RADHIKAJWE</t>
        </is>
      </c>
      <c r="D84" s="30" t="inlineStr">
        <is>
          <t>Radhika Jeweltech Ltd</t>
        </is>
      </c>
      <c r="E84" s="30" t="inlineStr">
        <is>
          <t>consumer discretionary</t>
        </is>
      </c>
      <c r="F84" s="30" t="inlineStr">
        <is>
          <t>diamond cutting / jewellery</t>
        </is>
      </c>
      <c r="G84" s="30" t="inlineStr">
        <is>
          <t>smallcap</t>
        </is>
      </c>
      <c r="H84" s="31" t="n">
        <v>1037.93</v>
      </c>
      <c r="I84" s="31" t="n">
        <v>87.14</v>
      </c>
      <c r="J84" s="31" t="n">
        <v>-0.93</v>
      </c>
      <c r="K84" s="31" t="n">
        <v>5875923</v>
      </c>
      <c r="L84" s="30" t="n">
        <v>44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70.11</v>
      </c>
      <c r="P84" s="31" t="n">
        <v>24.72</v>
      </c>
      <c r="Q84" s="31" t="n">
        <v>63.4</v>
      </c>
      <c r="R84" s="30" t="inlineStr">
        <is>
          <t>Volume Spike / Accumulation</t>
        </is>
      </c>
      <c r="S84" s="30" t="inlineStr">
        <is>
          <t>Nifty 50</t>
        </is>
      </c>
      <c r="T84" s="31" t="n">
        <v>-6.7</v>
      </c>
      <c r="U84" s="31" t="n">
        <v>-5.55</v>
      </c>
      <c r="V84" s="31" t="n">
        <v>1.23</v>
      </c>
      <c r="W84" s="31" t="n">
        <v>12.85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IF(B85=0,"",RANK(B85,$B$2:$B$371,0))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JKPAPER</t>
        </is>
      </c>
      <c r="D85" s="30" t="inlineStr">
        <is>
          <t>Jk Paper Limited</t>
        </is>
      </c>
      <c r="E85" s="30" t="inlineStr">
        <is>
          <t>building materials</t>
        </is>
      </c>
      <c r="F85" s="30" t="inlineStr">
        <is>
          <t>paper</t>
        </is>
      </c>
      <c r="G85" s="30" t="inlineStr">
        <is>
          <t>midcap</t>
        </is>
      </c>
      <c r="H85" s="31" t="n">
        <v>7530.17</v>
      </c>
      <c r="I85" s="31" t="n">
        <v>408.85</v>
      </c>
      <c r="J85" s="31" t="n">
        <v>-1.55</v>
      </c>
      <c r="K85" s="31" t="n">
        <v>353280</v>
      </c>
      <c r="L85" s="30" t="n">
        <v>17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64.77</v>
      </c>
      <c r="P85" s="31" t="n">
        <v>32.19</v>
      </c>
      <c r="Q85" s="31" t="n">
        <v>331.33</v>
      </c>
      <c r="R85" s="30" t="inlineStr">
        <is>
          <t>Near 52W High Breakout</t>
        </is>
      </c>
      <c r="S85" s="30" t="inlineStr">
        <is>
          <t>Nifty Infra</t>
        </is>
      </c>
      <c r="T85" s="31" t="n">
        <v>0.58</v>
      </c>
      <c r="U85" s="31" t="n">
        <v>11.99</v>
      </c>
      <c r="V85" s="31" t="n">
        <v>11.34</v>
      </c>
      <c r="W85" s="31" t="n">
        <v>5.44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IF(B86=0,"",RANK(B86,$B$2:$B$371,0))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SKIPPER</t>
        </is>
      </c>
      <c r="D86" s="30" t="inlineStr">
        <is>
          <t>Skipper Limited</t>
        </is>
      </c>
      <c r="E86" s="30" t="inlineStr">
        <is>
          <t>industrials</t>
        </is>
      </c>
      <c r="F86" s="30" t="inlineStr">
        <is>
          <t>engineering</t>
        </is>
      </c>
      <c r="G86" s="30" t="inlineStr">
        <is>
          <t>midcap</t>
        </is>
      </c>
      <c r="H86" s="31" t="n">
        <v>7385.05</v>
      </c>
      <c r="I86" s="31" t="n">
        <v>593.95</v>
      </c>
      <c r="J86" s="31" t="n">
        <v>-1.78</v>
      </c>
      <c r="K86" s="31" t="n">
        <v>1704618</v>
      </c>
      <c r="L86" s="30" t="n">
        <v>25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67.90000000000001</v>
      </c>
      <c r="P86" s="31" t="n">
        <v>36.59</v>
      </c>
      <c r="Q86" s="31" t="n">
        <v>451.44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-6.7</v>
      </c>
      <c r="U86" s="31" t="n">
        <v>11.39</v>
      </c>
      <c r="V86" s="31" t="n">
        <v>19.39</v>
      </c>
      <c r="W86" s="31" t="n">
        <v>7.31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IF(B87=0,"",RANK(B87,$B$2:$B$371,0))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PARAS</t>
        </is>
      </c>
      <c r="D87" s="30" t="inlineStr">
        <is>
          <t>Paras Defence and Space Technologies Ltd</t>
        </is>
      </c>
      <c r="E87" s="30" t="inlineStr">
        <is>
          <t>aerospace &amp; defence</t>
        </is>
      </c>
      <c r="F87" s="30" t="inlineStr">
        <is>
          <t>engineering</t>
        </is>
      </c>
      <c r="G87" s="30" t="inlineStr">
        <is>
          <t>midcap</t>
        </is>
      </c>
      <c r="H87" s="31" t="n">
        <v>12120.33</v>
      </c>
      <c r="I87" s="31" t="n">
        <v>1470</v>
      </c>
      <c r="J87" s="31" t="n">
        <v>-2.26</v>
      </c>
      <c r="K87" s="31" t="n">
        <v>1212712</v>
      </c>
      <c r="L87" s="30" t="n">
        <v>77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69.28</v>
      </c>
      <c r="P87" s="31" t="n">
        <v>67.62</v>
      </c>
      <c r="Q87" s="31" t="n">
        <v>1102.22</v>
      </c>
      <c r="R87" s="30" t="inlineStr">
        <is>
          <t>Near 52W High Breakout</t>
        </is>
      </c>
      <c r="S87" s="30" t="inlineStr">
        <is>
          <t>Nifty 50</t>
        </is>
      </c>
      <c r="T87" s="31" t="n">
        <v>-6.7</v>
      </c>
      <c r="U87" s="31" t="n">
        <v>112.5</v>
      </c>
      <c r="V87" s="31" t="n">
        <v>127.76</v>
      </c>
      <c r="W87" s="31" t="n">
        <v>26.4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IF(B88=0,"",RANK(B88,$B$2:$B$371,0))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AYMSYNTEX</t>
        </is>
      </c>
      <c r="D88" s="30" t="inlineStr">
        <is>
          <t>Aym Syntex Limited</t>
        </is>
      </c>
      <c r="E88" s="30" t="inlineStr">
        <is>
          <t>textiles</t>
        </is>
      </c>
      <c r="F88" s="30" t="inlineStr">
        <is>
          <t>textiles - processing</t>
        </is>
      </c>
      <c r="G88" s="30" t="inlineStr">
        <is>
          <t>smallcap</t>
        </is>
      </c>
      <c r="H88" s="31" t="n">
        <v>1880.08</v>
      </c>
      <c r="I88" s="31" t="n">
        <v>311.3</v>
      </c>
      <c r="J88" s="31" t="n">
        <v>-2.75</v>
      </c>
      <c r="K88" s="31" t="n">
        <v>91725</v>
      </c>
      <c r="L88" s="30" t="n">
        <v>66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69.59999999999999</v>
      </c>
      <c r="P88" s="31" t="n">
        <v>43.86</v>
      </c>
      <c r="Q88" s="31" t="n">
        <v>219.77</v>
      </c>
      <c r="R88" s="30" t="inlineStr">
        <is>
          <t>Near 52W High Breakout</t>
        </is>
      </c>
      <c r="S88" s="30" t="inlineStr">
        <is>
          <t>Nifty 50</t>
        </is>
      </c>
      <c r="T88" s="31" t="n">
        <v>-6.7</v>
      </c>
      <c r="U88" s="31" t="n">
        <v>66.64</v>
      </c>
      <c r="V88" s="31" t="n">
        <v>78.61</v>
      </c>
      <c r="W88" s="31" t="n">
        <v>20.15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IF(B89=0,"",RANK(B89,$B$2:$B$371,0))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CYIENTDLM</t>
        </is>
      </c>
      <c r="D89" s="30" t="inlineStr">
        <is>
          <t>Cyient DLM Ltd</t>
        </is>
      </c>
      <c r="E89" s="30" t="inlineStr">
        <is>
          <t>aerospace &amp; defence</t>
        </is>
      </c>
      <c r="F89" s="30" t="inlineStr">
        <is>
          <t>electronics - components</t>
        </is>
      </c>
      <c r="G89" s="30" t="inlineStr">
        <is>
          <t>midcap</t>
        </is>
      </c>
      <c r="H89" s="31" t="n">
        <v>7749.8</v>
      </c>
      <c r="I89" s="31" t="n">
        <v>945.65</v>
      </c>
      <c r="J89" s="31" t="n">
        <v>-3.13</v>
      </c>
      <c r="K89" s="31" t="n">
        <v>749695</v>
      </c>
      <c r="L89" s="30" t="n">
        <v>93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91.98999999999999</v>
      </c>
      <c r="P89" s="31" t="n">
        <v>73.65000000000001</v>
      </c>
      <c r="Q89" s="31" t="n">
        <v>740.41</v>
      </c>
      <c r="R89" s="30" t="inlineStr">
        <is>
          <t>Near 52W High Breakout</t>
        </is>
      </c>
      <c r="S89" s="30" t="inlineStr">
        <is>
          <t>Nifty 50</t>
        </is>
      </c>
      <c r="T89" s="31" t="n">
        <v>-6.7</v>
      </c>
      <c r="U89" s="31" t="n">
        <v>107.27</v>
      </c>
      <c r="V89" s="31" t="n">
        <v>122.15</v>
      </c>
      <c r="W89" s="31" t="n">
        <v>46.61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IF(B90=0,"",RANK(B90,$B$2:$B$371,0))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IGPL</t>
        </is>
      </c>
      <c r="D90" s="30" t="inlineStr">
        <is>
          <t>Ig Petrochemicals Limited</t>
        </is>
      </c>
      <c r="E90" s="30" t="inlineStr">
        <is>
          <t>chemicals</t>
        </is>
      </c>
      <c r="F90" s="30" t="inlineStr">
        <is>
          <t>chemicals</t>
        </is>
      </c>
      <c r="G90" s="30" t="inlineStr">
        <is>
          <t>smallcap</t>
        </is>
      </c>
      <c r="H90" s="31" t="n">
        <v>1800.11</v>
      </c>
      <c r="I90" s="31" t="n">
        <v>557.2</v>
      </c>
      <c r="J90" s="31" t="n">
        <v>-4.68</v>
      </c>
      <c r="K90" s="31" t="n">
        <v>102555</v>
      </c>
      <c r="L90" s="30" t="n">
        <v>44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68.88</v>
      </c>
      <c r="P90" s="31" t="n">
        <v>29.73</v>
      </c>
      <c r="Q90" s="31" t="n">
        <v>448.83</v>
      </c>
      <c r="R90" s="30" t="inlineStr">
        <is>
          <t>Near 52W High Breakout</t>
        </is>
      </c>
      <c r="S90" s="30" t="inlineStr">
        <is>
          <t>Nifty 50</t>
        </is>
      </c>
      <c r="T90" s="31" t="n">
        <v>-6.7</v>
      </c>
      <c r="U90" s="31" t="n">
        <v>29.68</v>
      </c>
      <c r="V90" s="31" t="n">
        <v>38.99</v>
      </c>
      <c r="W90" s="31" t="n">
        <v>12.81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IF(B91=0,"",RANK(B91,$B$2:$B$371,0))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OMAXE</t>
        </is>
      </c>
      <c r="D91" s="30" t="inlineStr">
        <is>
          <t>Omaxe Limited</t>
        </is>
      </c>
      <c r="E91" s="30" t="inlineStr">
        <is>
          <t>realty</t>
        </is>
      </c>
      <c r="F91" s="30" t="inlineStr">
        <is>
          <t>construction</t>
        </is>
      </c>
      <c r="G91" s="30" t="inlineStr">
        <is>
          <t>smallcap</t>
        </is>
      </c>
      <c r="H91" s="31" t="n">
        <v>2333.45</v>
      </c>
      <c r="I91" s="31" t="n">
        <v>121.36</v>
      </c>
      <c r="J91" s="31" t="n">
        <v>-4.88</v>
      </c>
      <c r="K91" s="31" t="n">
        <v>1138054</v>
      </c>
      <c r="L91" s="30" t="n">
        <v>54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67.34</v>
      </c>
      <c r="P91" s="31" t="n">
        <v>40.16</v>
      </c>
      <c r="Q91" s="31" t="n">
        <v>96.73999999999999</v>
      </c>
      <c r="R91" s="30" t="inlineStr">
        <is>
          <t>Earnings / Momentum Support</t>
        </is>
      </c>
      <c r="S91" s="30" t="inlineStr">
        <is>
          <t>Nifty Realty</t>
        </is>
      </c>
      <c r="T91" s="31" t="n">
        <v>-8.25</v>
      </c>
      <c r="U91" s="31" t="n">
        <v>28.87</v>
      </c>
      <c r="V91" s="31" t="n">
        <v>40.46</v>
      </c>
      <c r="W91" s="31" t="n">
        <v>16.28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IF(B92=0,"",RANK(B92,$B$2:$B$371,0))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ZIMLAB</t>
        </is>
      </c>
      <c r="D92" s="30" t="inlineStr">
        <is>
          <t>Zim Laboratories Ltd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smallcap</t>
        </is>
      </c>
      <c r="H92" s="31" t="n">
        <v>691.3200000000001</v>
      </c>
      <c r="I92" s="31" t="n">
        <v>133.35</v>
      </c>
      <c r="J92" s="31" t="n">
        <v>3.29</v>
      </c>
      <c r="K92" s="31" t="n">
        <v>170175</v>
      </c>
      <c r="L92" s="30" t="n">
        <v>62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70.44</v>
      </c>
      <c r="P92" s="31" t="n">
        <v>60.25</v>
      </c>
      <c r="Q92" s="31" t="n">
        <v>97.66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19.47</v>
      </c>
      <c r="U92" s="31" t="n">
        <v>75.53</v>
      </c>
      <c r="V92" s="31" t="n">
        <v>46.92</v>
      </c>
      <c r="W92" s="31" t="n">
        <v>18.47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IF(B93=0,"",RANK(B93,$B$2:$B$371,0))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GLAND</t>
        </is>
      </c>
      <c r="D93" s="30" t="inlineStr">
        <is>
          <t>Gland Pharma Ltd</t>
        </is>
      </c>
      <c r="E93" s="30" t="inlineStr">
        <is>
          <t>healthcare</t>
        </is>
      </c>
      <c r="F93" s="30" t="inlineStr">
        <is>
          <t>pharmaceuticals - indian - formulations</t>
        </is>
      </c>
      <c r="G93" s="30" t="inlineStr">
        <is>
          <t>largecap</t>
        </is>
      </c>
      <c r="H93" s="31" t="n">
        <v>48816.52</v>
      </c>
      <c r="I93" s="31" t="n">
        <v>3026.2</v>
      </c>
      <c r="J93" s="31" t="n">
        <v>2.26</v>
      </c>
      <c r="K93" s="31" t="n">
        <v>1560855</v>
      </c>
      <c r="L93" s="30" t="n">
        <v>59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75.68000000000001</v>
      </c>
      <c r="P93" s="31" t="n">
        <v>62.92</v>
      </c>
      <c r="Q93" s="31" t="n">
        <v>2499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19.47</v>
      </c>
      <c r="U93" s="31" t="n">
        <v>50.85</v>
      </c>
      <c r="V93" s="31" t="n">
        <v>26.27</v>
      </c>
      <c r="W93" s="31" t="n">
        <v>17.72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IF(B94=0,"",RANK(B94,$B$2:$B$371,0))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INNOVACAP</t>
        </is>
      </c>
      <c r="D94" s="30" t="inlineStr">
        <is>
          <t>Innova Captab Ltd</t>
        </is>
      </c>
      <c r="E94" s="30" t="inlineStr">
        <is>
          <t>healthcare</t>
        </is>
      </c>
      <c r="F94" s="30" t="inlineStr">
        <is>
          <t>pharmaceuticals - indian - bulk drugs &amp; formln</t>
        </is>
      </c>
      <c r="G94" s="30" t="inlineStr">
        <is>
          <t>midcap</t>
        </is>
      </c>
      <c r="H94" s="31" t="n">
        <v>6705.62</v>
      </c>
      <c r="I94" s="31" t="n">
        <v>1188.7</v>
      </c>
      <c r="J94" s="31" t="n">
        <v>1.44</v>
      </c>
      <c r="K94" s="31" t="n">
        <v>84136</v>
      </c>
      <c r="L94" s="30" t="n">
        <v>47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76.5</v>
      </c>
      <c r="P94" s="31" t="n">
        <v>63.62</v>
      </c>
      <c r="Q94" s="31" t="n">
        <v>945.88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19.47</v>
      </c>
      <c r="U94" s="31" t="n">
        <v>38.69</v>
      </c>
      <c r="V94" s="31" t="n">
        <v>16.09</v>
      </c>
      <c r="W94" s="31" t="n">
        <v>13.49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IF(B95=0,"",RANK(B95,$B$2:$B$371,0))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WOCKPHARMA</t>
        </is>
      </c>
      <c r="D95" s="30" t="inlineStr">
        <is>
          <t>Wockhardt Limited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36138.26</v>
      </c>
      <c r="I95" s="31" t="n">
        <v>2248.8</v>
      </c>
      <c r="J95" s="31" t="n">
        <v>1.12</v>
      </c>
      <c r="K95" s="31" t="n">
        <v>1394874</v>
      </c>
      <c r="L95" s="30" t="n">
        <v>49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70.05</v>
      </c>
      <c r="P95" s="31" t="n">
        <v>49.46</v>
      </c>
      <c r="Q95" s="31" t="n">
        <v>1721.52</v>
      </c>
      <c r="R95" s="30" t="inlineStr">
        <is>
          <t>Volume Spike &amp; Near 52W High Breakout</t>
        </is>
      </c>
      <c r="S95" s="30" t="inlineStr">
        <is>
          <t>Nifty Pharma</t>
        </is>
      </c>
      <c r="T95" s="31" t="n">
        <v>19.47</v>
      </c>
      <c r="U95" s="31" t="n">
        <v>48.14</v>
      </c>
      <c r="V95" s="31" t="n">
        <v>24</v>
      </c>
      <c r="W95" s="31" t="n">
        <v>14.15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IF(B96=0,"",RANK(B96,$B$2:$B$371,0))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SHILPAMED</t>
        </is>
      </c>
      <c r="D96" s="30" t="inlineStr">
        <is>
          <t>Shilpa Medicare Limited</t>
        </is>
      </c>
      <c r="E96" s="30" t="inlineStr">
        <is>
          <t>healthcare</t>
        </is>
      </c>
      <c r="F96" s="30" t="inlineStr">
        <is>
          <t>pharmaceuticals - indian - formulations</t>
        </is>
      </c>
      <c r="G96" s="30" t="inlineStr">
        <is>
          <t>midcap</t>
        </is>
      </c>
      <c r="H96" s="31" t="n">
        <v>18773.9</v>
      </c>
      <c r="I96" s="31" t="n">
        <v>960.6</v>
      </c>
      <c r="J96" s="31" t="n">
        <v>0.07000000000000001</v>
      </c>
      <c r="K96" s="31" t="n">
        <v>694978</v>
      </c>
      <c r="L96" s="30" t="n">
        <v>91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90.73</v>
      </c>
      <c r="P96" s="31" t="n">
        <v>79.22</v>
      </c>
      <c r="Q96" s="31" t="n">
        <v>788.17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19.47</v>
      </c>
      <c r="U96" s="31" t="n">
        <v>132.57</v>
      </c>
      <c r="V96" s="31" t="n">
        <v>94.66</v>
      </c>
      <c r="W96" s="31" t="n">
        <v>40.2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IF(B97=0,"",RANK(B97,$B$2:$B$371,0))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VIJAYA</t>
        </is>
      </c>
      <c r="D97" s="30" t="inlineStr">
        <is>
          <t>Vijaya Diagnostic Centre Ltd</t>
        </is>
      </c>
      <c r="E97" s="30" t="inlineStr">
        <is>
          <t>healthcare</t>
        </is>
      </c>
      <c r="F97" s="30" t="inlineStr">
        <is>
          <t>healthcare</t>
        </is>
      </c>
      <c r="G97" s="30" t="inlineStr">
        <is>
          <t>midcap</t>
        </is>
      </c>
      <c r="H97" s="31" t="n">
        <v>15465.38</v>
      </c>
      <c r="I97" s="31" t="n">
        <v>1498.9</v>
      </c>
      <c r="J97" s="31" t="n">
        <v>-0.27</v>
      </c>
      <c r="K97" s="31" t="n">
        <v>569495</v>
      </c>
      <c r="L97" s="30" t="n">
        <v>42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67.81999999999999</v>
      </c>
      <c r="P97" s="31" t="n">
        <v>60.66</v>
      </c>
      <c r="Q97" s="31" t="n">
        <v>1204.42</v>
      </c>
      <c r="R97" s="30" t="inlineStr">
        <is>
          <t>Near 52W High Breakout</t>
        </is>
      </c>
      <c r="S97" s="30" t="inlineStr">
        <is>
          <t>Nifty Pharma</t>
        </is>
      </c>
      <c r="T97" s="31" t="n">
        <v>19.47</v>
      </c>
      <c r="U97" s="31" t="n">
        <v>43.89</v>
      </c>
      <c r="V97" s="31" t="n">
        <v>20.44</v>
      </c>
      <c r="W97" s="31" t="n">
        <v>12.05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IF(B98=0,"",RANK(B98,$B$2:$B$371,0))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SAKAR</t>
        </is>
      </c>
      <c r="D98" s="30" t="inlineStr">
        <is>
          <t>Sakar Healthcare Ltd</t>
        </is>
      </c>
      <c r="E98" s="30" t="inlineStr">
        <is>
          <t>healthcare</t>
        </is>
      </c>
      <c r="F98" s="30" t="inlineStr">
        <is>
          <t>pharmaceuticals - indian - bulk drugs &amp; formln</t>
        </is>
      </c>
      <c r="G98" s="30" t="inlineStr">
        <is>
          <t>smallcap</t>
        </is>
      </c>
      <c r="H98" s="31" t="n">
        <v>2576.21</v>
      </c>
      <c r="I98" s="31" t="n">
        <v>1152.35</v>
      </c>
      <c r="J98" s="31" t="n">
        <v>-0.48</v>
      </c>
      <c r="K98" s="31" t="n">
        <v>141701</v>
      </c>
      <c r="L98" s="30" t="n">
        <v>90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76.23999999999999</v>
      </c>
      <c r="P98" s="31" t="n">
        <v>52.51</v>
      </c>
      <c r="Q98" s="31" t="n">
        <v>846.58</v>
      </c>
      <c r="R98" s="30" t="inlineStr">
        <is>
          <t>Near 52W High Breakout</t>
        </is>
      </c>
      <c r="S98" s="30" t="inlineStr">
        <is>
          <t>Nifty Pharma</t>
        </is>
      </c>
      <c r="T98" s="31" t="n">
        <v>19.47</v>
      </c>
      <c r="U98" s="31" t="n">
        <v>244.71</v>
      </c>
      <c r="V98" s="31" t="n">
        <v>188.52</v>
      </c>
      <c r="W98" s="31" t="n">
        <v>37.54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IF(B99=0,"",RANK(B99,$B$2:$B$371,0))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DIVISLAB</t>
        </is>
      </c>
      <c r="D99" s="30" t="inlineStr">
        <is>
          <t>Divi's Laboratories Limited</t>
        </is>
      </c>
      <c r="E99" s="30" t="inlineStr">
        <is>
          <t>healthcare</t>
        </is>
      </c>
      <c r="F99" s="30" t="inlineStr">
        <is>
          <t>pharmaceuticals - indian - bulk drugs</t>
        </is>
      </c>
      <c r="G99" s="30" t="inlineStr">
        <is>
          <t>largecap</t>
        </is>
      </c>
      <c r="H99" s="31" t="n">
        <v>254186.17</v>
      </c>
      <c r="I99" s="31" t="n">
        <v>9488</v>
      </c>
      <c r="J99" s="31" t="n">
        <v>-0.91</v>
      </c>
      <c r="K99" s="31" t="n">
        <v>385273</v>
      </c>
      <c r="L99" s="30" t="n">
        <v>64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85.67</v>
      </c>
      <c r="P99" s="31" t="n">
        <v>45.44</v>
      </c>
      <c r="Q99" s="31" t="n">
        <v>8294.049999999999</v>
      </c>
      <c r="R99" s="30" t="inlineStr">
        <is>
          <t>Near 52W High Breakout</t>
        </is>
      </c>
      <c r="S99" s="30" t="inlineStr">
        <is>
          <t>Nifty Pharma</t>
        </is>
      </c>
      <c r="T99" s="31" t="n">
        <v>19.47</v>
      </c>
      <c r="U99" s="31" t="n">
        <v>58.09</v>
      </c>
      <c r="V99" s="31" t="n">
        <v>32.32</v>
      </c>
      <c r="W99" s="31" t="n">
        <v>19.5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Above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IF(B100=0,"",RANK(B100,$B$2:$B$371,0))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MANORAMA</t>
        </is>
      </c>
      <c r="D100" s="30" t="inlineStr">
        <is>
          <t>Manorama Industries Ltd</t>
        </is>
      </c>
      <c r="E100" s="30" t="inlineStr">
        <is>
          <t>fmcg</t>
        </is>
      </c>
      <c r="F100" s="30" t="inlineStr">
        <is>
          <t>food - processing - indian</t>
        </is>
      </c>
      <c r="G100" s="30" t="inlineStr">
        <is>
          <t>midcap</t>
        </is>
      </c>
      <c r="H100" s="31" t="n">
        <v>12735.23</v>
      </c>
      <c r="I100" s="31" t="n">
        <v>2093.3</v>
      </c>
      <c r="J100" s="31" t="n">
        <v>-1.86</v>
      </c>
      <c r="K100" s="31" t="n">
        <v>166097</v>
      </c>
      <c r="L100" s="30" t="n">
        <v>62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77.62</v>
      </c>
      <c r="P100" s="31" t="n">
        <v>27.65</v>
      </c>
      <c r="Q100" s="31" t="n">
        <v>1659.7</v>
      </c>
      <c r="R100" s="30" t="inlineStr">
        <is>
          <t>Near 52W High Breakout</t>
        </is>
      </c>
      <c r="S100" s="30" t="inlineStr">
        <is>
          <t>Nifty FMCG</t>
        </is>
      </c>
      <c r="T100" s="31" t="n">
        <v>-16.99</v>
      </c>
      <c r="U100" s="31" t="n">
        <v>32.81</v>
      </c>
      <c r="V100" s="31" t="n">
        <v>59.99</v>
      </c>
      <c r="W100" s="31" t="n">
        <v>18.62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B2C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IF(B101=0,"",RANK(B101,$B$2:$B$371,0))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BAFNAPH</t>
        </is>
      </c>
      <c r="D101" s="30" t="inlineStr">
        <is>
          <t>Bafna Pharmaceuticals Ltd</t>
        </is>
      </c>
      <c r="E101" s="30" t="inlineStr">
        <is>
          <t>healthcare</t>
        </is>
      </c>
      <c r="F101" s="30" t="inlineStr">
        <is>
          <t>pharmaceuticals - indian - formulations</t>
        </is>
      </c>
      <c r="G101" s="30" t="inlineStr">
        <is>
          <t>smallcap</t>
        </is>
      </c>
      <c r="H101" s="31" t="n">
        <v>728.02</v>
      </c>
      <c r="I101" s="31" t="n">
        <v>301.6</v>
      </c>
      <c r="J101" s="31" t="n">
        <v>-2</v>
      </c>
      <c r="K101" s="31" t="n">
        <v>4475</v>
      </c>
      <c r="L101" s="30" t="n">
        <v>93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72.33</v>
      </c>
      <c r="P101" s="31" t="n">
        <v>59.08</v>
      </c>
      <c r="Q101" s="31" t="n">
        <v>229.09</v>
      </c>
      <c r="R101" s="30" t="inlineStr">
        <is>
          <t>Near 52W High Breakout</t>
        </is>
      </c>
      <c r="S101" s="30" t="inlineStr">
        <is>
          <t>Nifty Pharma</t>
        </is>
      </c>
      <c r="T101" s="31" t="n">
        <v>19.47</v>
      </c>
      <c r="U101" s="31" t="n">
        <v>157.54</v>
      </c>
      <c r="V101" s="31" t="n">
        <v>115.56</v>
      </c>
      <c r="W101" s="31" t="n">
        <v>44.77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Yes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IF(B102=0,"",RANK(B102,$B$2:$B$371,0))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BLISSGVS</t>
        </is>
      </c>
      <c r="D102" s="30" t="inlineStr">
        <is>
          <t>Bliss Gvs Pharma Limited</t>
        </is>
      </c>
      <c r="E102" s="30" t="inlineStr">
        <is>
          <t>healthcare</t>
        </is>
      </c>
      <c r="F102" s="30" t="inlineStr">
        <is>
          <t>pharmaceuticals - indian - formulations</t>
        </is>
      </c>
      <c r="G102" s="30" t="inlineStr">
        <is>
          <t>midcap</t>
        </is>
      </c>
      <c r="H102" s="31" t="n">
        <v>7660.44</v>
      </c>
      <c r="I102" s="31" t="n">
        <v>692.85</v>
      </c>
      <c r="J102" s="31" t="n">
        <v>-4.08</v>
      </c>
      <c r="K102" s="31" t="n">
        <v>344600</v>
      </c>
      <c r="L102" s="30" t="n">
        <v>96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87.56999999999999</v>
      </c>
      <c r="P102" s="31" t="n">
        <v>74.48</v>
      </c>
      <c r="Q102" s="31" t="n">
        <v>539.3200000000001</v>
      </c>
      <c r="R102" s="30" t="inlineStr">
        <is>
          <t>Near 52W High Breakout</t>
        </is>
      </c>
      <c r="S102" s="30" t="inlineStr">
        <is>
          <t>Nifty Pharma</t>
        </is>
      </c>
      <c r="T102" s="31" t="n">
        <v>19.47</v>
      </c>
      <c r="U102" s="31" t="n">
        <v>356.26</v>
      </c>
      <c r="V102" s="31" t="n">
        <v>281.9</v>
      </c>
      <c r="W102" s="31" t="n">
        <v>53.65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Yes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Annuity, Lower One Time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Above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Between 12 to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IF(B103=0,"",RANK(B103,$B$2:$B$371,0))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SREEL</t>
        </is>
      </c>
      <c r="D103" s="30" t="inlineStr">
        <is>
          <t>Sreeleathers Limited</t>
        </is>
      </c>
      <c r="E103" s="30" t="inlineStr">
        <is>
          <t>consumer discretionary</t>
        </is>
      </c>
      <c r="F103" s="30" t="inlineStr">
        <is>
          <t>trading</t>
        </is>
      </c>
      <c r="G103" s="30" t="inlineStr">
        <is>
          <t>smallcap</t>
        </is>
      </c>
      <c r="H103" s="31" t="n">
        <v>665.73</v>
      </c>
      <c r="I103" s="31" t="n">
        <v>345.01</v>
      </c>
      <c r="J103" s="31" t="n">
        <v>20</v>
      </c>
      <c r="K103" s="31" t="n">
        <v>635232</v>
      </c>
      <c r="L103" s="30" t="n">
        <v>78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86.01000000000001</v>
      </c>
      <c r="P103" s="31" t="n">
        <v>53.98</v>
      </c>
      <c r="Q103" s="31" t="n">
        <v>273.35</v>
      </c>
      <c r="R103" s="30" t="inlineStr">
        <is>
          <t>Volume Spike &amp; Near 52W High Breakout</t>
        </is>
      </c>
      <c r="S103" s="30" t="inlineStr">
        <is>
          <t>Nifty 50</t>
        </is>
      </c>
      <c r="T103" s="31" t="n">
        <v>-6.7</v>
      </c>
      <c r="U103" s="31" t="n">
        <v>47.96</v>
      </c>
      <c r="V103" s="31" t="n">
        <v>58.58</v>
      </c>
      <c r="W103" s="31" t="n">
        <v>26.7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Above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IF(B104=0,"",RANK(B104,$B$2:$B$371,0))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RACLGEAR</t>
        </is>
      </c>
      <c r="D104" s="30" t="inlineStr">
        <is>
          <t>RACL Geartech Ltd</t>
        </is>
      </c>
      <c r="E104" s="30" t="inlineStr">
        <is>
          <t>auto</t>
        </is>
      </c>
      <c r="F104" s="30" t="inlineStr">
        <is>
          <t>auto ancillaries</t>
        </is>
      </c>
      <c r="G104" s="30" t="inlineStr">
        <is>
          <t>smallcap</t>
        </is>
      </c>
      <c r="H104" s="31" t="n">
        <v>1815.6</v>
      </c>
      <c r="I104" s="31" t="n">
        <v>1633.9</v>
      </c>
      <c r="J104" s="31" t="n">
        <v>6.08</v>
      </c>
      <c r="K104" s="31" t="n">
        <v>98666</v>
      </c>
      <c r="L104" s="30" t="n">
        <v>62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64.61</v>
      </c>
      <c r="P104" s="31" t="n">
        <v>50.48</v>
      </c>
      <c r="Q104" s="31" t="n">
        <v>1178.39</v>
      </c>
      <c r="R104" s="30" t="inlineStr">
        <is>
          <t>Near 52W High Breakout</t>
        </is>
      </c>
      <c r="S104" s="30" t="inlineStr">
        <is>
          <t>Nifty Auto</t>
        </is>
      </c>
      <c r="T104" s="31" t="n">
        <v>16.28</v>
      </c>
      <c r="U104" s="31" t="n">
        <v>63.4</v>
      </c>
      <c r="V104" s="31" t="n">
        <v>40.53</v>
      </c>
      <c r="W104" s="31" t="n">
        <v>18.41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Less than 12%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IF(B105=0,"",RANK(B105,$B$2:$B$371,0))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NOCIL</t>
        </is>
      </c>
      <c r="D105" s="30" t="inlineStr">
        <is>
          <t>Nocil Limited</t>
        </is>
      </c>
      <c r="E105" s="30" t="inlineStr">
        <is>
          <t>chemicals</t>
        </is>
      </c>
      <c r="F105" s="30" t="inlineStr">
        <is>
          <t>chemicals</t>
        </is>
      </c>
      <c r="G105" s="30" t="inlineStr">
        <is>
          <t>smallcap</t>
        </is>
      </c>
      <c r="H105" s="31" t="n">
        <v>3091.13</v>
      </c>
      <c r="I105" s="31" t="n">
        <v>188.28</v>
      </c>
      <c r="J105" s="31" t="n">
        <v>1.73</v>
      </c>
      <c r="K105" s="31" t="n">
        <v>2843821</v>
      </c>
      <c r="L105" s="30" t="n">
        <v>16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61.89</v>
      </c>
      <c r="P105" s="31" t="n">
        <v>21.02</v>
      </c>
      <c r="Q105" s="31" t="n">
        <v>146.82</v>
      </c>
      <c r="R105" s="30" t="inlineStr">
        <is>
          <t>Volume Spike &amp; Near 52W High Breakout</t>
        </is>
      </c>
      <c r="S105" s="30" t="inlineStr">
        <is>
          <t>Nifty IT</t>
        </is>
      </c>
      <c r="T105" s="31" t="n">
        <v>-19.93</v>
      </c>
      <c r="U105" s="31" t="n">
        <v>3.58</v>
      </c>
      <c r="V105" s="31" t="n">
        <v>29.36</v>
      </c>
      <c r="W105" s="31" t="n">
        <v>5.3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IF(B106=0,"",RANK(B106,$B$2:$B$371,0))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SKYGOLD</t>
        </is>
      </c>
      <c r="D106" s="30" t="inlineStr">
        <is>
          <t>Sky Gold Ltd</t>
        </is>
      </c>
      <c r="E106" s="30" t="inlineStr">
        <is>
          <t>consumer discretionary</t>
        </is>
      </c>
      <c r="F106" s="30" t="inlineStr">
        <is>
          <t>diamond cutting / jewellery</t>
        </is>
      </c>
      <c r="G106" s="30" t="inlineStr">
        <is>
          <t>midcap</t>
        </is>
      </c>
      <c r="H106" s="31" t="n">
        <v>12699.66</v>
      </c>
      <c r="I106" s="31" t="n">
        <v>832.2</v>
      </c>
      <c r="J106" s="31" t="n">
        <v>1.49</v>
      </c>
      <c r="K106" s="31" t="n">
        <v>1092277</v>
      </c>
      <c r="L106" s="30" t="n">
        <v>90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78.75</v>
      </c>
      <c r="P106" s="31" t="n">
        <v>66.11</v>
      </c>
      <c r="Q106" s="31" t="n">
        <v>633.54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-6.7</v>
      </c>
      <c r="U106" s="31" t="n">
        <v>194.84</v>
      </c>
      <c r="V106" s="31" t="n">
        <v>216.02</v>
      </c>
      <c r="W106" s="31" t="n">
        <v>39.44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Above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Between 0.7 to 1.2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IF(B107=0,"",RANK(B107,$B$2:$B$371,0))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HAPPYFORGE</t>
        </is>
      </c>
      <c r="D107" s="30" t="inlineStr">
        <is>
          <t>Happy Forgings Ltd</t>
        </is>
      </c>
      <c r="E107" s="30" t="inlineStr">
        <is>
          <t>industrials</t>
        </is>
      </c>
      <c r="F107" s="30" t="inlineStr">
        <is>
          <t>castings &amp; forgings</t>
        </is>
      </c>
      <c r="G107" s="30" t="inlineStr">
        <is>
          <t>largecap</t>
        </is>
      </c>
      <c r="H107" s="31" t="n">
        <v>21049.29</v>
      </c>
      <c r="I107" s="31" t="n">
        <v>2256.7</v>
      </c>
      <c r="J107" s="31" t="n">
        <v>1.18</v>
      </c>
      <c r="K107" s="31" t="n">
        <v>53191</v>
      </c>
      <c r="L107" s="30" t="n">
        <v>88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83.05</v>
      </c>
      <c r="P107" s="31" t="n">
        <v>64.27</v>
      </c>
      <c r="Q107" s="31" t="n">
        <v>1858.17</v>
      </c>
      <c r="R107" s="30" t="inlineStr">
        <is>
          <t>Near 52W High Breakout</t>
        </is>
      </c>
      <c r="S107" s="30" t="inlineStr">
        <is>
          <t>Nifty Infra</t>
        </is>
      </c>
      <c r="T107" s="31" t="n">
        <v>0.58</v>
      </c>
      <c r="U107" s="31" t="n">
        <v>135.42</v>
      </c>
      <c r="V107" s="31" t="n">
        <v>134.05</v>
      </c>
      <c r="W107" s="31" t="n">
        <v>35.58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Between 1.5 to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IF(B108=0,"",RANK(B108,$B$2:$B$371,0))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MARINE</t>
        </is>
      </c>
      <c r="D108" s="30" t="inlineStr">
        <is>
          <t>Marine Electricals (India) Ltd</t>
        </is>
      </c>
      <c r="E108" s="30" t="inlineStr">
        <is>
          <t>industrials</t>
        </is>
      </c>
      <c r="F108" s="30" t="inlineStr">
        <is>
          <t>electric equipment</t>
        </is>
      </c>
      <c r="G108" s="30" t="inlineStr">
        <is>
          <t>midcap</t>
        </is>
      </c>
      <c r="H108" s="31" t="n">
        <v>5827.99</v>
      </c>
      <c r="I108" s="31" t="n">
        <v>421.05</v>
      </c>
      <c r="J108" s="31" t="n">
        <v>1.1</v>
      </c>
      <c r="K108" s="31" t="n">
        <v>483131</v>
      </c>
      <c r="L108" s="30" t="n">
        <v>87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77.43000000000001</v>
      </c>
      <c r="P108" s="31" t="n">
        <v>46.18</v>
      </c>
      <c r="Q108" s="31" t="n">
        <v>328.96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-6.7</v>
      </c>
      <c r="U108" s="31" t="n">
        <v>113.94</v>
      </c>
      <c r="V108" s="31" t="n">
        <v>129.3</v>
      </c>
      <c r="W108" s="31" t="n">
        <v>34.75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Above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Between 1.5 to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IF(B109=0,"",RANK(B109,$B$2:$B$371,0))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AVALON</t>
        </is>
      </c>
      <c r="D109" s="30" t="inlineStr">
        <is>
          <t>Avalon Technologies Ltd</t>
        </is>
      </c>
      <c r="E109" s="30" t="inlineStr">
        <is>
          <t>consumer discretionary</t>
        </is>
      </c>
      <c r="F109" s="30" t="inlineStr">
        <is>
          <t>electronics - components</t>
        </is>
      </c>
      <c r="G109" s="30" t="inlineStr">
        <is>
          <t>midcap</t>
        </is>
      </c>
      <c r="H109" s="31" t="n">
        <v>15301.9</v>
      </c>
      <c r="I109" s="31" t="n">
        <v>2293.6</v>
      </c>
      <c r="J109" s="31" t="n">
        <v>0.14</v>
      </c>
      <c r="K109" s="31" t="n">
        <v>206983</v>
      </c>
      <c r="L109" s="30" t="n">
        <v>83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82.39</v>
      </c>
      <c r="P109" s="31" t="n">
        <v>59.92</v>
      </c>
      <c r="Q109" s="31" t="n">
        <v>1751.12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-6.7</v>
      </c>
      <c r="U109" s="31" t="n">
        <v>136.67</v>
      </c>
      <c r="V109" s="31" t="n">
        <v>153.67</v>
      </c>
      <c r="W109" s="31" t="n">
        <v>30.92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Above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IF(B110=0,"",RANK(B110,$B$2:$B$371,0))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FCL</t>
        </is>
      </c>
      <c r="D110" s="30" t="inlineStr">
        <is>
          <t>Fineotex Chemical Limited</t>
        </is>
      </c>
      <c r="E110" s="30" t="inlineStr">
        <is>
          <t>chemicals</t>
        </is>
      </c>
      <c r="F110" s="30" t="inlineStr">
        <is>
          <t>chemicals</t>
        </is>
      </c>
      <c r="G110" s="30" t="inlineStr">
        <is>
          <t>midcap</t>
        </is>
      </c>
      <c r="H110" s="31" t="n">
        <v>6805.34</v>
      </c>
      <c r="I110" s="31" t="n">
        <v>58.43</v>
      </c>
      <c r="J110" s="31" t="n">
        <v>-0.02</v>
      </c>
      <c r="K110" s="31" t="n">
        <v>71051557</v>
      </c>
      <c r="L110" s="30" t="n">
        <v>86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81.66</v>
      </c>
      <c r="P110" s="31" t="n">
        <v>48.77</v>
      </c>
      <c r="Q110" s="31" t="n">
        <v>44.07</v>
      </c>
      <c r="R110" s="30" t="inlineStr">
        <is>
          <t>Volume Spike &amp; Near 52W High Breakout</t>
        </is>
      </c>
      <c r="S110" s="30" t="inlineStr">
        <is>
          <t>Nifty IT</t>
        </is>
      </c>
      <c r="T110" s="31" t="n">
        <v>-19.93</v>
      </c>
      <c r="U110" s="31" t="n">
        <v>147.66</v>
      </c>
      <c r="V110" s="31" t="n">
        <v>209.3</v>
      </c>
      <c r="W110" s="31" t="n">
        <v>34.04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Above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IF(B111=0,"",RANK(B111,$B$2:$B$371,0))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CASTROLIND</t>
        </is>
      </c>
      <c r="D111" s="30" t="inlineStr">
        <is>
          <t>Castrol India Limited</t>
        </is>
      </c>
      <c r="E111" s="30" t="inlineStr">
        <is>
          <t>chemicals</t>
        </is>
      </c>
      <c r="F111" s="30" t="inlineStr">
        <is>
          <t>chemicals</t>
        </is>
      </c>
      <c r="G111" s="30" t="inlineStr">
        <is>
          <t>midcap</t>
        </is>
      </c>
      <c r="H111" s="31" t="n">
        <v>18739.91</v>
      </c>
      <c r="I111" s="31" t="n">
        <v>189.16</v>
      </c>
      <c r="J111" s="31" t="n">
        <v>-0.16</v>
      </c>
      <c r="K111" s="31" t="n">
        <v>2950116</v>
      </c>
      <c r="L111" s="30" t="n">
        <v>8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65</v>
      </c>
      <c r="P111" s="31" t="n">
        <v>30.87</v>
      </c>
      <c r="Q111" s="31" t="n">
        <v>175.47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-6.7</v>
      </c>
      <c r="U111" s="31" t="n">
        <v>1.91</v>
      </c>
      <c r="V111" s="31" t="n">
        <v>9.23</v>
      </c>
      <c r="W111" s="31" t="n">
        <v>1.88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Between 50% to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IF(B112=0,"",RANK(B112,$B$2:$B$371,0))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LOTUSDEV</t>
        </is>
      </c>
      <c r="D112" s="32" t="inlineStr">
        <is>
          <t>Sri Lotus Developers &amp; Realty Ltd</t>
        </is>
      </c>
      <c r="E112" s="30" t="inlineStr">
        <is>
          <t>realty</t>
        </is>
      </c>
      <c r="F112" s="30" t="inlineStr">
        <is>
          <t>construction</t>
        </is>
      </c>
      <c r="G112" s="30" t="inlineStr">
        <is>
          <t>midcap</t>
        </is>
      </c>
      <c r="H112" s="31" t="n">
        <v>9716.32</v>
      </c>
      <c r="I112" s="31" t="n">
        <v>197.99</v>
      </c>
      <c r="J112" s="31" t="n">
        <v>-0.41</v>
      </c>
      <c r="K112" s="31" t="n">
        <v>818087</v>
      </c>
      <c r="L112" s="30" t="n">
        <v>33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62.42</v>
      </c>
      <c r="P112" s="31" t="n">
        <v>21.31</v>
      </c>
      <c r="Q112" s="31" t="n">
        <v>150.73</v>
      </c>
      <c r="R112" s="30" t="inlineStr">
        <is>
          <t>Near 52W High Breakout</t>
        </is>
      </c>
      <c r="S112" s="30" t="inlineStr">
        <is>
          <t>Nifty Realty</t>
        </is>
      </c>
      <c r="T112" s="31" t="n">
        <v>-0.22</v>
      </c>
      <c r="U112" s="31" t="n">
        <v>-5.62</v>
      </c>
      <c r="V112" s="31" t="n">
        <v>-5.4</v>
      </c>
      <c r="W112" s="31" t="n">
        <v>9.06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IF(B113=0,"",RANK(B113,$B$2:$B$371,0))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NITINSPIN</t>
        </is>
      </c>
      <c r="D113" s="30" t="inlineStr">
        <is>
          <t>Nitin Spinners Limited</t>
        </is>
      </c>
      <c r="E113" s="30" t="inlineStr">
        <is>
          <t>textiles</t>
        </is>
      </c>
      <c r="F113" s="30" t="inlineStr">
        <is>
          <t>textiles - cotton/blended</t>
        </is>
      </c>
      <c r="G113" s="30" t="inlineStr">
        <is>
          <t>smallcap</t>
        </is>
      </c>
      <c r="H113" s="31" t="n">
        <v>3682.97</v>
      </c>
      <c r="I113" s="31" t="n">
        <v>651.25</v>
      </c>
      <c r="J113" s="31" t="n">
        <v>-0.59</v>
      </c>
      <c r="K113" s="31" t="n">
        <v>109474</v>
      </c>
      <c r="L113" s="30" t="n">
        <v>64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76.2</v>
      </c>
      <c r="P113" s="31" t="n">
        <v>64.40000000000001</v>
      </c>
      <c r="Q113" s="31" t="n">
        <v>515.63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-6.7</v>
      </c>
      <c r="U113" s="31" t="n">
        <v>96.51000000000001</v>
      </c>
      <c r="V113" s="31" t="n">
        <v>110.63</v>
      </c>
      <c r="W113" s="31" t="n">
        <v>19.48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Above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Between 0.7 to 1.2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IF(B114=0,"",RANK(B114,$B$2:$B$371,0))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KMEW</t>
        </is>
      </c>
      <c r="D114" s="30" t="inlineStr">
        <is>
          <t>Knowledge Marine &amp; Engineering Works Ltd</t>
        </is>
      </c>
      <c r="E114" s="30" t="inlineStr">
        <is>
          <t>transportation</t>
        </is>
      </c>
      <c r="F114" s="30" t="inlineStr">
        <is>
          <t>miscellaneous</t>
        </is>
      </c>
      <c r="G114" s="30" t="inlineStr">
        <is>
          <t>midcap</t>
        </is>
      </c>
      <c r="H114" s="31" t="n">
        <v>7298.03</v>
      </c>
      <c r="I114" s="31" t="n">
        <v>2964</v>
      </c>
      <c r="J114" s="31" t="n">
        <v>-0.72</v>
      </c>
      <c r="K114" s="31" t="n">
        <v>67251</v>
      </c>
      <c r="L114" s="30" t="n">
        <v>88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76.81</v>
      </c>
      <c r="P114" s="31" t="n">
        <v>57.75</v>
      </c>
      <c r="Q114" s="31" t="n">
        <v>2267.61</v>
      </c>
      <c r="R114" s="30" t="inlineStr">
        <is>
          <t>Near 52W High Breakout</t>
        </is>
      </c>
      <c r="S114" s="30" t="inlineStr">
        <is>
          <t>Nifty 50</t>
        </is>
      </c>
      <c r="T114" s="31" t="n">
        <v>-6.7</v>
      </c>
      <c r="U114" s="31" t="n">
        <v>171.79</v>
      </c>
      <c r="V114" s="31" t="n">
        <v>191.31</v>
      </c>
      <c r="W114" s="31" t="n">
        <v>35.57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IF(B115=0,"",RANK(B115,$B$2:$B$371,0))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GOCLCORP</t>
        </is>
      </c>
      <c r="D115" s="30" t="inlineStr">
        <is>
          <t>Gocl Corporation Limited</t>
        </is>
      </c>
      <c r="E115" s="30" t="inlineStr">
        <is>
          <t>miscellaneous</t>
        </is>
      </c>
      <c r="F115" s="30" t="inlineStr">
        <is>
          <t>diversified - medium / small</t>
        </is>
      </c>
      <c r="G115" s="30" t="inlineStr">
        <is>
          <t>smallcap</t>
        </is>
      </c>
      <c r="H115" s="31" t="n">
        <v>2159.38</v>
      </c>
      <c r="I115" s="31" t="n">
        <v>431.7</v>
      </c>
      <c r="J115" s="31" t="n">
        <v>-0.9</v>
      </c>
      <c r="K115" s="31" t="n">
        <v>111213</v>
      </c>
      <c r="L115" s="30" t="n">
        <v>36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62.52</v>
      </c>
      <c r="P115" s="31" t="n">
        <v>47.35</v>
      </c>
      <c r="Q115" s="31" t="n">
        <v>334.51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-6.7</v>
      </c>
      <c r="U115" s="31" t="n">
        <v>22.59</v>
      </c>
      <c r="V115" s="31" t="n">
        <v>31.39</v>
      </c>
      <c r="W115" s="31" t="n">
        <v>9.83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Less than 12%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IF(B116=0,"",RANK(B116,$B$2:$B$371,0))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NRBBEARING</t>
        </is>
      </c>
      <c r="D116" s="30" t="inlineStr">
        <is>
          <t>Nrb Bearing Limited</t>
        </is>
      </c>
      <c r="E116" s="30" t="inlineStr">
        <is>
          <t>industrials</t>
        </is>
      </c>
      <c r="F116" s="30" t="inlineStr">
        <is>
          <t>bearings</t>
        </is>
      </c>
      <c r="G116" s="30" t="inlineStr">
        <is>
          <t>smallcap</t>
        </is>
      </c>
      <c r="H116" s="31" t="n">
        <v>4745.33</v>
      </c>
      <c r="I116" s="31" t="n">
        <v>484.55</v>
      </c>
      <c r="J116" s="31" t="n">
        <v>-1.03</v>
      </c>
      <c r="K116" s="31" t="n">
        <v>309450</v>
      </c>
      <c r="L116" s="30" t="n">
        <v>59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69.73999999999999</v>
      </c>
      <c r="P116" s="31" t="n">
        <v>50.4</v>
      </c>
      <c r="Q116" s="31" t="n">
        <v>376.52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-6.7</v>
      </c>
      <c r="U116" s="31" t="n">
        <v>77.12</v>
      </c>
      <c r="V116" s="31" t="n">
        <v>89.84</v>
      </c>
      <c r="W116" s="31" t="n">
        <v>17.77</v>
      </c>
      <c r="X116" s="30" t="inlineStr">
        <is>
          <t>Cyclical in an Upturn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Above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Between 12 to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IF(B117=0,"",RANK(B117,$B$2:$B$371,0))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ARVIND</t>
        </is>
      </c>
      <c r="D117" s="30" t="inlineStr">
        <is>
          <t>Arvind Limited</t>
        </is>
      </c>
      <c r="E117" s="30" t="inlineStr">
        <is>
          <t>textiles</t>
        </is>
      </c>
      <c r="F117" s="30" t="inlineStr">
        <is>
          <t>textiles - cotton/blended</t>
        </is>
      </c>
      <c r="G117" s="30" t="inlineStr">
        <is>
          <t>midcap</t>
        </is>
      </c>
      <c r="H117" s="31" t="n">
        <v>15815.08</v>
      </c>
      <c r="I117" s="31" t="n">
        <v>570.8</v>
      </c>
      <c r="J117" s="31" t="n">
        <v>-1.81</v>
      </c>
      <c r="K117" s="31" t="n">
        <v>1539846</v>
      </c>
      <c r="L117" s="30" t="n">
        <v>54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68.03</v>
      </c>
      <c r="P117" s="31" t="n">
        <v>59.79</v>
      </c>
      <c r="Q117" s="31" t="n">
        <v>448.54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-6.7</v>
      </c>
      <c r="U117" s="31" t="n">
        <v>76.06</v>
      </c>
      <c r="V117" s="31" t="n">
        <v>88.7</v>
      </c>
      <c r="W117" s="31" t="n">
        <v>16.36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Less than 12%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IF(B118=0,"",RANK(B118,$B$2:$B$371,0))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SIGMAADV</t>
        </is>
      </c>
      <c r="D118" s="30" t="inlineStr">
        <is>
          <t>Sigma Advanced System Ltd</t>
        </is>
      </c>
      <c r="E118" s="30" t="inlineStr">
        <is>
          <t>aerospace &amp; defence</t>
        </is>
      </c>
      <c r="F118" s="30" t="inlineStr">
        <is>
          <t>electronics - components</t>
        </is>
      </c>
      <c r="G118" s="30" t="inlineStr">
        <is>
          <t>midcap</t>
        </is>
      </c>
      <c r="H118" s="31" t="n">
        <v>14726.7</v>
      </c>
      <c r="I118" s="31" t="n">
        <v>755.1</v>
      </c>
      <c r="J118" s="31" t="n">
        <v>-2.84</v>
      </c>
      <c r="K118" s="31" t="n">
        <v>155489</v>
      </c>
      <c r="L118" s="30" t="n">
        <v>98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74.83</v>
      </c>
      <c r="P118" s="31" t="n">
        <v>64.25</v>
      </c>
      <c r="Q118" s="31" t="n">
        <v>573.24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-6.7</v>
      </c>
      <c r="U118" s="31" t="n">
        <v>380.1</v>
      </c>
      <c r="V118" s="31" t="n">
        <v>414.57</v>
      </c>
      <c r="W118" s="31" t="n">
        <v>68.18000000000001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Less than 12%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Between 0.7 to 1.2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IF(B119=0,"",RANK(B119,$B$2:$B$371,0))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RSWM</t>
        </is>
      </c>
      <c r="D119" s="30" t="inlineStr">
        <is>
          <t>Rswm Limited</t>
        </is>
      </c>
      <c r="E119" s="30" t="inlineStr">
        <is>
          <t>textiles</t>
        </is>
      </c>
      <c r="F119" s="30" t="inlineStr">
        <is>
          <t>textiles - cotton/blended</t>
        </is>
      </c>
      <c r="G119" s="30" t="inlineStr">
        <is>
          <t>smallcap</t>
        </is>
      </c>
      <c r="H119" s="31" t="n">
        <v>1063.09</v>
      </c>
      <c r="I119" s="31" t="n">
        <v>218.2</v>
      </c>
      <c r="J119" s="31" t="n">
        <v>-3.32</v>
      </c>
      <c r="K119" s="31" t="n">
        <v>58589</v>
      </c>
      <c r="L119" s="30" t="n">
        <v>33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63.4</v>
      </c>
      <c r="P119" s="31" t="n">
        <v>48.25</v>
      </c>
      <c r="Q119" s="31" t="n">
        <v>164.03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-6.7</v>
      </c>
      <c r="U119" s="31" t="n">
        <v>36.37</v>
      </c>
      <c r="V119" s="31" t="n">
        <v>46.17</v>
      </c>
      <c r="W119" s="31" t="n">
        <v>9.279999999999999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More than 1.2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IF(B120=0,"",RANK(B120,$B$2:$B$371,0))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AHCL</t>
        </is>
      </c>
      <c r="D120" s="30" t="inlineStr">
        <is>
          <t>Anlon Healthcare Ltd</t>
        </is>
      </c>
      <c r="E120" s="30" t="inlineStr">
        <is>
          <t>healthcare</t>
        </is>
      </c>
      <c r="F120" s="30" t="inlineStr">
        <is>
          <t>pharmaceuticals - indian - bulk drugs &amp; formln</t>
        </is>
      </c>
      <c r="G120" s="30" t="inlineStr">
        <is>
          <t>smallcap</t>
        </is>
      </c>
      <c r="H120" s="31" t="n">
        <v>829.6900000000001</v>
      </c>
      <c r="I120" s="31" t="n">
        <v>16.28</v>
      </c>
      <c r="J120" s="31" t="n">
        <v>4.29</v>
      </c>
      <c r="K120" s="31" t="n">
        <v>17458736</v>
      </c>
      <c r="L120" s="30" t="n">
        <v>41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63.39</v>
      </c>
      <c r="P120" s="31" t="n">
        <v>38.95</v>
      </c>
      <c r="Q120" s="31" t="n">
        <v>12.1</v>
      </c>
      <c r="R120" s="30" t="inlineStr">
        <is>
          <t>Near 52W High Breakout</t>
        </is>
      </c>
      <c r="S120" s="30" t="inlineStr">
        <is>
          <t>Nifty Pharma</t>
        </is>
      </c>
      <c r="T120" s="31" t="n">
        <v>19.47</v>
      </c>
      <c r="U120" s="31" t="n">
        <v>48.77</v>
      </c>
      <c r="V120" s="31" t="n">
        <v>24.52</v>
      </c>
      <c r="W120" s="31" t="n">
        <v>11.43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IF(B121=0,"",RANK(B121,$B$2:$B$371,0))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KRBL</t>
        </is>
      </c>
      <c r="D121" s="30" t="inlineStr">
        <is>
          <t>Krbl Limited</t>
        </is>
      </c>
      <c r="E121" s="30" t="inlineStr">
        <is>
          <t>fmcg</t>
        </is>
      </c>
      <c r="F121" s="30" t="inlineStr">
        <is>
          <t>food - processing - indian</t>
        </is>
      </c>
      <c r="G121" s="30" t="inlineStr">
        <is>
          <t>midcap</t>
        </is>
      </c>
      <c r="H121" s="31" t="n">
        <v>9866.299999999999</v>
      </c>
      <c r="I121" s="31" t="n">
        <v>434.45</v>
      </c>
      <c r="J121" s="31" t="n">
        <v>0.79</v>
      </c>
      <c r="K121" s="31" t="n">
        <v>688251</v>
      </c>
      <c r="L121" s="30" t="n">
        <v>25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65.78</v>
      </c>
      <c r="P121" s="31" t="n">
        <v>15.21</v>
      </c>
      <c r="Q121" s="31" t="n">
        <v>355.2</v>
      </c>
      <c r="R121" s="30" t="inlineStr">
        <is>
          <t>Near 52W High Breakout</t>
        </is>
      </c>
      <c r="S121" s="30" t="inlineStr">
        <is>
          <t>Nifty FMCG</t>
        </is>
      </c>
      <c r="T121" s="31" t="n">
        <v>-16.99</v>
      </c>
      <c r="U121" s="31" t="n">
        <v>12.33</v>
      </c>
      <c r="V121" s="31" t="n">
        <v>35.31</v>
      </c>
      <c r="W121" s="31" t="n">
        <v>7.18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B2C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0 to 20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IF(B122=0,"",RANK(B122,$B$2:$B$371,0))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2" t="inlineStr">
        <is>
          <t>LALPATHLAB</t>
        </is>
      </c>
      <c r="D122" s="32" t="inlineStr">
        <is>
          <t>Dr. Lal Path Labs Ltd.</t>
        </is>
      </c>
      <c r="E122" s="30" t="inlineStr">
        <is>
          <t>healthcare</t>
        </is>
      </c>
      <c r="F122" s="30" t="inlineStr">
        <is>
          <t>healthcare</t>
        </is>
      </c>
      <c r="G122" s="30" t="inlineStr">
        <is>
          <t>largecap</t>
        </is>
      </c>
      <c r="H122" s="31" t="n">
        <v>32060.72</v>
      </c>
      <c r="I122" s="31" t="n">
        <v>1919.7</v>
      </c>
      <c r="J122" s="31" t="n">
        <v>0.38</v>
      </c>
      <c r="K122" s="31" t="n">
        <v>205022</v>
      </c>
      <c r="L122" s="30" t="n">
        <v>29</v>
      </c>
      <c r="M122" s="30" t="inlineStr">
        <is>
          <t>Underperforming</t>
        </is>
      </c>
      <c r="N122" s="31">
        <f>IF(M122="Underperforming",-5,IF(L122&gt;=95,15,IF(L122&gt;=90,10,IF(L122&gt;=80,5,0))))</f>
        <v/>
      </c>
      <c r="O122" s="31" t="n">
        <v>68.48999999999999</v>
      </c>
      <c r="P122" s="31" t="n">
        <v>43.75</v>
      </c>
      <c r="Q122" s="31" t="n">
        <v>1625.78</v>
      </c>
      <c r="R122" s="30" t="inlineStr">
        <is>
          <t>Near 52W High Breakout</t>
        </is>
      </c>
      <c r="S122" s="30" t="inlineStr">
        <is>
          <t>Nifty Pharma</t>
        </is>
      </c>
      <c r="T122" s="31" t="n">
        <v>19.47</v>
      </c>
      <c r="U122" s="31" t="n">
        <v>15.95</v>
      </c>
      <c r="V122" s="31" t="n">
        <v>-2.95</v>
      </c>
      <c r="W122" s="31" t="n">
        <v>7.96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IF(B123=0,"",RANK(B123,$B$2:$B$371,0))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63MOONS</t>
        </is>
      </c>
      <c r="D123" s="30" t="inlineStr">
        <is>
          <t>63 Moons Technologies Ltd</t>
        </is>
      </c>
      <c r="E123" s="30" t="inlineStr">
        <is>
          <t>i.t</t>
        </is>
      </c>
      <c r="F123" s="30" t="inlineStr">
        <is>
          <t>computers - software - medium / small</t>
        </is>
      </c>
      <c r="G123" s="30" t="inlineStr">
        <is>
          <t>smallcap</t>
        </is>
      </c>
      <c r="H123" s="31" t="n">
        <v>4000.77</v>
      </c>
      <c r="I123" s="31" t="n">
        <v>865.05</v>
      </c>
      <c r="J123" s="31" t="n">
        <v>-0.37</v>
      </c>
      <c r="K123" s="31" t="n">
        <v>645891</v>
      </c>
      <c r="L123" s="30" t="n">
        <v>23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60.2</v>
      </c>
      <c r="P123" s="31" t="n">
        <v>29.28</v>
      </c>
      <c r="Q123" s="31" t="n">
        <v>676.78</v>
      </c>
      <c r="R123" s="30" t="inlineStr">
        <is>
          <t>Earnings / Momentum Support</t>
        </is>
      </c>
      <c r="S123" s="30" t="inlineStr">
        <is>
          <t>Nifty IT</t>
        </is>
      </c>
      <c r="T123" s="31" t="n">
        <v>-19.93</v>
      </c>
      <c r="U123" s="31" t="n">
        <v>-8.01</v>
      </c>
      <c r="V123" s="31" t="n">
        <v>14.89</v>
      </c>
      <c r="W123" s="31" t="n">
        <v>6.96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IF(B124=0,"",RANK(B124,$B$2:$B$371,0))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ZYDUSWELL</t>
        </is>
      </c>
      <c r="D124" s="30" t="inlineStr">
        <is>
          <t>Zydus Wellness Limited</t>
        </is>
      </c>
      <c r="E124" s="30" t="inlineStr">
        <is>
          <t>fmcg</t>
        </is>
      </c>
      <c r="F124" s="30" t="inlineStr">
        <is>
          <t>food - processing - indian</t>
        </is>
      </c>
      <c r="G124" s="30" t="inlineStr">
        <is>
          <t>midcap</t>
        </is>
      </c>
      <c r="H124" s="31" t="n">
        <v>17758.14</v>
      </c>
      <c r="I124" s="31" t="n">
        <v>554.2</v>
      </c>
      <c r="J124" s="31" t="n">
        <v>-0.71</v>
      </c>
      <c r="K124" s="31" t="n">
        <v>195180</v>
      </c>
      <c r="L124" s="30" t="n">
        <v>33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58.23</v>
      </c>
      <c r="P124" s="31" t="n">
        <v>41.29</v>
      </c>
      <c r="Q124" s="31" t="n">
        <v>470.62</v>
      </c>
      <c r="R124" s="30" t="inlineStr">
        <is>
          <t>Volume Spike / Accumulation</t>
        </is>
      </c>
      <c r="S124" s="30" t="inlineStr">
        <is>
          <t>Nifty FMCG</t>
        </is>
      </c>
      <c r="T124" s="31" t="n">
        <v>-16.99</v>
      </c>
      <c r="U124" s="31" t="n">
        <v>32.05</v>
      </c>
      <c r="V124" s="31" t="n">
        <v>59.07</v>
      </c>
      <c r="W124" s="31" t="n">
        <v>9.029999999999999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B2C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Less than 12%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IF(B125=0,"",RANK(B125,$B$2:$B$371,0))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BALRAMCHIN</t>
        </is>
      </c>
      <c r="D125" s="30" t="inlineStr">
        <is>
          <t>Balrampur Chini Mills Limited</t>
        </is>
      </c>
      <c r="E125" s="30" t="inlineStr">
        <is>
          <t>fmcg</t>
        </is>
      </c>
      <c r="F125" s="30" t="inlineStr">
        <is>
          <t>sugar</t>
        </is>
      </c>
      <c r="G125" s="30" t="inlineStr">
        <is>
          <t>midcap</t>
        </is>
      </c>
      <c r="H125" s="31" t="n">
        <v>15030.61</v>
      </c>
      <c r="I125" s="31" t="n">
        <v>700.05</v>
      </c>
      <c r="J125" s="31" t="n">
        <v>-1.6</v>
      </c>
      <c r="K125" s="31" t="n">
        <v>1337773</v>
      </c>
      <c r="L125" s="30" t="n">
        <v>45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68.06999999999999</v>
      </c>
      <c r="P125" s="31" t="n">
        <v>56.42</v>
      </c>
      <c r="Q125" s="31" t="n">
        <v>557.24</v>
      </c>
      <c r="R125" s="30" t="inlineStr">
        <is>
          <t>Near 52W High Breakout</t>
        </is>
      </c>
      <c r="S125" s="30" t="inlineStr">
        <is>
          <t>Nifty FMCG</t>
        </is>
      </c>
      <c r="T125" s="31" t="n">
        <v>-16.99</v>
      </c>
      <c r="U125" s="31" t="n">
        <v>19.71</v>
      </c>
      <c r="V125" s="31" t="n">
        <v>44.21</v>
      </c>
      <c r="W125" s="31" t="n">
        <v>12.94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B2C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Between 0.7 to 1.2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IF(B126=0,"",RANK(B126,$B$2:$B$371,0))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2" t="inlineStr">
        <is>
          <t>SOLARA</t>
        </is>
      </c>
      <c r="D126" s="32" t="inlineStr">
        <is>
          <t>Solara Active Pharma Sciences Ltd</t>
        </is>
      </c>
      <c r="E126" s="30" t="inlineStr">
        <is>
          <t>healthcare</t>
        </is>
      </c>
      <c r="F126" s="30" t="inlineStr">
        <is>
          <t>pharmaceuticals - indian - bulk drugs &amp; formln</t>
        </is>
      </c>
      <c r="G126" s="30" t="inlineStr">
        <is>
          <t>smallcap</t>
        </is>
      </c>
      <c r="H126" s="31" t="n">
        <v>3385.91</v>
      </c>
      <c r="I126" s="31" t="n">
        <v>690.5</v>
      </c>
      <c r="J126" s="31" t="n">
        <v>-1.61</v>
      </c>
      <c r="K126" s="31" t="n">
        <v>271068</v>
      </c>
      <c r="L126" s="30" t="n">
        <v>16</v>
      </c>
      <c r="M126" s="30" t="inlineStr">
        <is>
          <t>Underperforming</t>
        </is>
      </c>
      <c r="N126" s="31">
        <f>IF(M126="Underperforming",-5,IF(L126&gt;=95,15,IF(L126&gt;=90,10,IF(L126&gt;=80,5,0))))</f>
        <v/>
      </c>
      <c r="O126" s="31" t="n">
        <v>67.79000000000001</v>
      </c>
      <c r="P126" s="31" t="n">
        <v>28.08</v>
      </c>
      <c r="Q126" s="31" t="n">
        <v>515.46</v>
      </c>
      <c r="R126" s="30" t="inlineStr">
        <is>
          <t>Near 52W High Breakout</t>
        </is>
      </c>
      <c r="S126" s="30" t="inlineStr">
        <is>
          <t>Nifty Pharma</t>
        </is>
      </c>
      <c r="T126" s="31" t="n">
        <v>19.47</v>
      </c>
      <c r="U126" s="31" t="n">
        <v>1.91</v>
      </c>
      <c r="V126" s="31" t="n">
        <v>-14.7</v>
      </c>
      <c r="W126" s="31" t="n">
        <v>5.34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IF(B127=0,"",RANK(B127,$B$2:$B$371,0))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2" t="inlineStr">
        <is>
          <t>HIKAL</t>
        </is>
      </c>
      <c r="D127" s="32" t="inlineStr">
        <is>
          <t>Hikal Limited</t>
        </is>
      </c>
      <c r="E127" s="30" t="inlineStr">
        <is>
          <t>healthcare</t>
        </is>
      </c>
      <c r="F127" s="30" t="inlineStr">
        <is>
          <t>pharmaceuticals - indian - bulk drugs</t>
        </is>
      </c>
      <c r="G127" s="30" t="inlineStr">
        <is>
          <t>smallcap</t>
        </is>
      </c>
      <c r="H127" s="31" t="n">
        <v>3033.32</v>
      </c>
      <c r="I127" s="31" t="n">
        <v>240.69</v>
      </c>
      <c r="J127" s="31" t="n">
        <v>-2.16</v>
      </c>
      <c r="K127" s="31" t="n">
        <v>1270796</v>
      </c>
      <c r="L127" s="30" t="n">
        <v>24</v>
      </c>
      <c r="M127" s="30" t="inlineStr">
        <is>
          <t>Underperforming</t>
        </is>
      </c>
      <c r="N127" s="31">
        <f>IF(M127="Underperforming",-5,IF(L127&gt;=95,15,IF(L127&gt;=90,10,IF(L127&gt;=80,5,0))))</f>
        <v/>
      </c>
      <c r="O127" s="31" t="n">
        <v>58.87</v>
      </c>
      <c r="P127" s="31" t="n">
        <v>24.42</v>
      </c>
      <c r="Q127" s="31" t="n">
        <v>177.55</v>
      </c>
      <c r="R127" s="30" t="inlineStr">
        <is>
          <t>Volume Spike / Accumulation</t>
        </is>
      </c>
      <c r="S127" s="30" t="inlineStr">
        <is>
          <t>Nifty Pharma</t>
        </is>
      </c>
      <c r="T127" s="31" t="n">
        <v>19.47</v>
      </c>
      <c r="U127" s="31" t="n">
        <v>-6.26</v>
      </c>
      <c r="V127" s="31" t="n">
        <v>-21.54</v>
      </c>
      <c r="W127" s="31" t="n">
        <v>7.05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IF(B128=0,"",RANK(B128,$B$2:$B$371,0))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SUBEXLTD</t>
        </is>
      </c>
      <c r="D128" s="30" t="inlineStr">
        <is>
          <t>Subex Ltd</t>
        </is>
      </c>
      <c r="E128" s="30" t="inlineStr">
        <is>
          <t>i.t</t>
        </is>
      </c>
      <c r="F128" s="30" t="inlineStr">
        <is>
          <t>computers - software - medium / small</t>
        </is>
      </c>
      <c r="G128" s="30" t="inlineStr">
        <is>
          <t>smallcap</t>
        </is>
      </c>
      <c r="H128" s="31" t="n">
        <v>1080.73</v>
      </c>
      <c r="I128" s="31" t="n">
        <v>18.8</v>
      </c>
      <c r="J128" s="31" t="n">
        <v>-2.24</v>
      </c>
      <c r="K128" s="31" t="n">
        <v>23896769</v>
      </c>
      <c r="L128" s="30" t="n">
        <v>82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72.56</v>
      </c>
      <c r="P128" s="31" t="n">
        <v>36.43</v>
      </c>
      <c r="Q128" s="31" t="n">
        <v>13.33</v>
      </c>
      <c r="R128" s="30" t="inlineStr">
        <is>
          <t>Volume Spike &amp; Near 52W High Breakout</t>
        </is>
      </c>
      <c r="S128" s="30" t="inlineStr">
        <is>
          <t>Nifty IT</t>
        </is>
      </c>
      <c r="T128" s="31" t="n">
        <v>-19.93</v>
      </c>
      <c r="U128" s="31" t="n">
        <v>46.19</v>
      </c>
      <c r="V128" s="31" t="n">
        <v>82.58</v>
      </c>
      <c r="W128" s="31" t="n">
        <v>29.42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Between 12 to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IF(B129=0,"",RANK(B129,$B$2:$B$371,0))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2" t="inlineStr">
        <is>
          <t>SYNCOMF</t>
        </is>
      </c>
      <c r="D129" s="32" t="inlineStr">
        <is>
          <t>Syncom Formulations (India) Ltd</t>
        </is>
      </c>
      <c r="E129" s="30" t="inlineStr">
        <is>
          <t>healthcare</t>
        </is>
      </c>
      <c r="F129" s="30" t="inlineStr">
        <is>
          <t>pharmaceuticals - indian - bulk drugs &amp; formln</t>
        </is>
      </c>
      <c r="G129" s="30" t="inlineStr">
        <is>
          <t>smallcap</t>
        </is>
      </c>
      <c r="H129" s="31" t="n">
        <v>1971.18</v>
      </c>
      <c r="I129" s="31" t="n">
        <v>20.14</v>
      </c>
      <c r="J129" s="31" t="n">
        <v>-3.96</v>
      </c>
      <c r="K129" s="31" t="n">
        <v>6347357</v>
      </c>
      <c r="L129" s="30" t="n">
        <v>45</v>
      </c>
      <c r="M129" s="30" t="inlineStr">
        <is>
          <t>Underperforming</t>
        </is>
      </c>
      <c r="N129" s="31">
        <f>IF(M129="Underperforming",-5,IF(L129&gt;=95,15,IF(L129&gt;=90,10,IF(L129&gt;=80,5,0))))</f>
        <v/>
      </c>
      <c r="O129" s="31" t="n">
        <v>73.59</v>
      </c>
      <c r="P129" s="31" t="n">
        <v>26.72</v>
      </c>
      <c r="Q129" s="31" t="n">
        <v>15.47</v>
      </c>
      <c r="R129" s="30" t="inlineStr">
        <is>
          <t>Near 52W High Breakout</t>
        </is>
      </c>
      <c r="S129" s="30" t="inlineStr">
        <is>
          <t>Nifty Pharma</t>
        </is>
      </c>
      <c r="T129" s="31" t="n">
        <v>19.47</v>
      </c>
      <c r="U129" s="31" t="n">
        <v>12.2</v>
      </c>
      <c r="V129" s="31" t="n">
        <v>-6.09</v>
      </c>
      <c r="W129" s="31" t="n">
        <v>12.91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Yes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IF(B130=0,"",RANK(B130,$B$2:$B$371,0))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INDORAMA</t>
        </is>
      </c>
      <c r="D130" s="30" t="inlineStr">
        <is>
          <t>Indo Rama Synthetics (india) Limited</t>
        </is>
      </c>
      <c r="E130" s="30" t="inlineStr">
        <is>
          <t>textiles</t>
        </is>
      </c>
      <c r="F130" s="30" t="inlineStr">
        <is>
          <t>textiles - manmade</t>
        </is>
      </c>
      <c r="G130" s="30" t="inlineStr">
        <is>
          <t>smallcap</t>
        </is>
      </c>
      <c r="H130" s="31" t="n">
        <v>1957.83</v>
      </c>
      <c r="I130" s="31" t="n">
        <v>86.13</v>
      </c>
      <c r="J130" s="31" t="n">
        <v>14.87</v>
      </c>
      <c r="K130" s="31" t="n">
        <v>7613089</v>
      </c>
      <c r="L130" s="30" t="n">
        <v>88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82.38</v>
      </c>
      <c r="P130" s="31" t="n">
        <v>52.77</v>
      </c>
      <c r="Q130" s="31" t="n">
        <v>64.03</v>
      </c>
      <c r="R130" s="30" t="inlineStr">
        <is>
          <t>Volume Spike &amp; Near 52W High Breakout</t>
        </is>
      </c>
      <c r="S130" s="30" t="inlineStr">
        <is>
          <t>Nifty 50</t>
        </is>
      </c>
      <c r="T130" s="31" t="n">
        <v>-6.7</v>
      </c>
      <c r="U130" s="31" t="n">
        <v>60.48</v>
      </c>
      <c r="V130" s="31" t="n">
        <v>72</v>
      </c>
      <c r="W130" s="31" t="n">
        <v>35.18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Above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More than 1.2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IF(B131=0,"",RANK(B131,$B$2:$B$371,0))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AEGISLOG</t>
        </is>
      </c>
      <c r="D131" s="30" t="inlineStr">
        <is>
          <t>Aegis Logistics Ltd</t>
        </is>
      </c>
      <c r="E131" s="30" t="inlineStr">
        <is>
          <t>services</t>
        </is>
      </c>
      <c r="F131" s="30" t="inlineStr">
        <is>
          <t>trading</t>
        </is>
      </c>
      <c r="G131" s="30" t="inlineStr">
        <is>
          <t>largecap</t>
        </is>
      </c>
      <c r="H131" s="31" t="n">
        <v>44510.31</v>
      </c>
      <c r="I131" s="31" t="n">
        <v>1343.4</v>
      </c>
      <c r="J131" s="31" t="n">
        <v>5.94</v>
      </c>
      <c r="K131" s="31" t="n">
        <v>2121597</v>
      </c>
      <c r="L131" s="30" t="n">
        <v>77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64.77</v>
      </c>
      <c r="P131" s="31" t="n">
        <v>60.71</v>
      </c>
      <c r="Q131" s="31" t="n">
        <v>1029.84</v>
      </c>
      <c r="R131" s="30" t="inlineStr">
        <is>
          <t>Earnings / Momentum Support</t>
        </is>
      </c>
      <c r="S131" s="30" t="inlineStr">
        <is>
          <t>Nifty 50</t>
        </is>
      </c>
      <c r="T131" s="31" t="n">
        <v>-6.7</v>
      </c>
      <c r="U131" s="31" t="n">
        <v>92.31999999999999</v>
      </c>
      <c r="V131" s="31" t="n">
        <v>106.13</v>
      </c>
      <c r="W131" s="31" t="n">
        <v>26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IF(B132=0,"",RANK(B132,$B$2:$B$371,0))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ADANIENT</t>
        </is>
      </c>
      <c r="D132" s="30" t="inlineStr">
        <is>
          <t>Adani Enterprises Limited</t>
        </is>
      </c>
      <c r="E132" s="30" t="inlineStr">
        <is>
          <t>services</t>
        </is>
      </c>
      <c r="F132" s="30" t="inlineStr">
        <is>
          <t>trading</t>
        </is>
      </c>
      <c r="G132" s="30" t="inlineStr">
        <is>
          <t>largecap</t>
        </is>
      </c>
      <c r="H132" s="31" t="n">
        <v>399767.82</v>
      </c>
      <c r="I132" s="31" t="n">
        <v>3104.7</v>
      </c>
      <c r="J132" s="31" t="n">
        <v>5.13</v>
      </c>
      <c r="K132" s="31" t="n">
        <v>5320594</v>
      </c>
      <c r="L132" s="30" t="n">
        <v>31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61.24</v>
      </c>
      <c r="P132" s="31" t="n">
        <v>39.54</v>
      </c>
      <c r="Q132" s="31" t="n">
        <v>2669.64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-6.7</v>
      </c>
      <c r="U132" s="31" t="n">
        <v>29.85</v>
      </c>
      <c r="V132" s="31" t="n">
        <v>39.18</v>
      </c>
      <c r="W132" s="31" t="n">
        <v>8.58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Between 0.7 to 1.2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IF(B133=0,"",RANK(B133,$B$2:$B$371,0))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ORIENTCER</t>
        </is>
      </c>
      <c r="D133" s="30" t="inlineStr">
        <is>
          <t>Orient Ceratech Ltd</t>
        </is>
      </c>
      <c r="E133" s="30" t="inlineStr">
        <is>
          <t>building materials</t>
        </is>
      </c>
      <c r="F133" s="30" t="inlineStr">
        <is>
          <t>refractories / intermediates</t>
        </is>
      </c>
      <c r="G133" s="30" t="inlineStr">
        <is>
          <t>smallcap</t>
        </is>
      </c>
      <c r="H133" s="31" t="n">
        <v>538.38</v>
      </c>
      <c r="I133" s="31" t="n">
        <v>47.3</v>
      </c>
      <c r="J133" s="31" t="n">
        <v>5.11</v>
      </c>
      <c r="K133" s="31" t="n">
        <v>353849</v>
      </c>
      <c r="L133" s="30" t="n">
        <v>19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61.16</v>
      </c>
      <c r="P133" s="31" t="n">
        <v>30.53</v>
      </c>
      <c r="Q133" s="31" t="n">
        <v>35.39</v>
      </c>
      <c r="R133" s="30" t="inlineStr">
        <is>
          <t>Earnings / Momentum Support</t>
        </is>
      </c>
      <c r="S133" s="30" t="inlineStr">
        <is>
          <t>Nifty Infra</t>
        </is>
      </c>
      <c r="T133" s="31" t="n">
        <v>0.58</v>
      </c>
      <c r="U133" s="31" t="n">
        <v>10.36</v>
      </c>
      <c r="V133" s="31" t="n">
        <v>9.720000000000001</v>
      </c>
      <c r="W133" s="31" t="n">
        <v>5.8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No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IF(B134=0,"",RANK(B134,$B$2:$B$371,0))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STLTECH</t>
        </is>
      </c>
      <c r="D134" s="30" t="inlineStr">
        <is>
          <t>Sterlite Technologies Limited</t>
        </is>
      </c>
      <c r="E134" s="30" t="inlineStr">
        <is>
          <t>industrials</t>
        </is>
      </c>
      <c r="F134" s="30" t="inlineStr">
        <is>
          <t>cables - telephone</t>
        </is>
      </c>
      <c r="G134" s="30" t="inlineStr">
        <is>
          <t>largecap</t>
        </is>
      </c>
      <c r="H134" s="31" t="n">
        <v>42381.01</v>
      </c>
      <c r="I134" s="31" t="n">
        <v>865.9</v>
      </c>
      <c r="J134" s="31" t="n">
        <v>5</v>
      </c>
      <c r="K134" s="31" t="n">
        <v>4381757</v>
      </c>
      <c r="L134" s="30" t="n">
        <v>99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81.98</v>
      </c>
      <c r="P134" s="31" t="n">
        <v>74.41</v>
      </c>
      <c r="Q134" s="31" t="n">
        <v>641.74</v>
      </c>
      <c r="R134" s="30" t="inlineStr">
        <is>
          <t>Near 52W High Breakout</t>
        </is>
      </c>
      <c r="S134" s="30" t="inlineStr">
        <is>
          <t>Nifty Infra</t>
        </is>
      </c>
      <c r="T134" s="31" t="n">
        <v>0.58</v>
      </c>
      <c r="U134" s="31" t="n">
        <v>638.26</v>
      </c>
      <c r="V134" s="31" t="n">
        <v>633.97</v>
      </c>
      <c r="W134" s="31" t="n">
        <v>125.48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Between 0.7 to 1.2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IF(B135=0,"",RANK(B135,$B$2:$B$371,0))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SPECTRUM</t>
        </is>
      </c>
      <c r="D135" s="30" t="inlineStr">
        <is>
          <t>Spectrum Electrical Industries Ltd</t>
        </is>
      </c>
      <c r="E135" s="30" t="inlineStr">
        <is>
          <t>industrials</t>
        </is>
      </c>
      <c r="F135" s="30" t="inlineStr">
        <is>
          <t>electric equipment</t>
        </is>
      </c>
      <c r="G135" s="30" t="inlineStr">
        <is>
          <t>smallcap</t>
        </is>
      </c>
      <c r="H135" s="31" t="n">
        <v>4103.04</v>
      </c>
      <c r="I135" s="31" t="n">
        <v>2741.6</v>
      </c>
      <c r="J135" s="31" t="n">
        <v>5</v>
      </c>
      <c r="K135" s="31" t="n">
        <v>22007</v>
      </c>
      <c r="L135" s="30" t="n">
        <v>84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74.47</v>
      </c>
      <c r="P135" s="31" t="n">
        <v>59.83</v>
      </c>
      <c r="Q135" s="31" t="n">
        <v>1964.79</v>
      </c>
      <c r="R135" s="30" t="inlineStr">
        <is>
          <t>Near 52W High Breakout</t>
        </is>
      </c>
      <c r="S135" s="30" t="inlineStr">
        <is>
          <t>Nifty 50</t>
        </is>
      </c>
      <c r="T135" s="31" t="n">
        <v>-6.7</v>
      </c>
      <c r="U135" s="31" t="n">
        <v>92.81</v>
      </c>
      <c r="V135" s="31" t="n">
        <v>106.66</v>
      </c>
      <c r="W135" s="31" t="n">
        <v>31.64</v>
      </c>
      <c r="X135" s="30" t="inlineStr">
        <is>
          <t>Cyclical in an Upturn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Between 0.7 to 1.2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IF(B136=0,"",RANK(B136,$B$2:$B$371,0))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STLNETWORK</t>
        </is>
      </c>
      <c r="D136" s="30" t="inlineStr">
        <is>
          <t>STL Networks Ltd</t>
        </is>
      </c>
      <c r="E136" s="30" t="inlineStr">
        <is>
          <t>telecom-service</t>
        </is>
      </c>
      <c r="F136" s="30" t="inlineStr">
        <is>
          <t>telecommunications - service provider</t>
        </is>
      </c>
      <c r="G136" s="30" t="inlineStr">
        <is>
          <t>smallcap</t>
        </is>
      </c>
      <c r="H136" s="31" t="n">
        <v>1543.3</v>
      </c>
      <c r="I136" s="31" t="n">
        <v>33.2</v>
      </c>
      <c r="J136" s="31" t="n">
        <v>5</v>
      </c>
      <c r="K136" s="31" t="n">
        <v>12406425</v>
      </c>
      <c r="L136" s="30" t="n">
        <v>51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69.54000000000001</v>
      </c>
      <c r="P136" s="31" t="n">
        <v>26.15</v>
      </c>
      <c r="Q136" s="31" t="n">
        <v>25.18</v>
      </c>
      <c r="R136" s="30" t="inlineStr">
        <is>
          <t>Volume Spike &amp; Near 52W High Breakout</t>
        </is>
      </c>
      <c r="S136" s="30" t="inlineStr">
        <is>
          <t>Nifty 50</t>
        </is>
      </c>
      <c r="T136" s="31" t="n">
        <v>-6.7</v>
      </c>
      <c r="U136" s="31" t="n">
        <v>52.08</v>
      </c>
      <c r="V136" s="31" t="n">
        <v>63</v>
      </c>
      <c r="W136" s="31" t="n">
        <v>15.02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Oligopoly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Less than 1.5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Between 0.7 to 1.2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IF(B137=0,"",RANK(B137,$B$2:$B$371,0))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VALIANTORG</t>
        </is>
      </c>
      <c r="D137" s="30" t="inlineStr">
        <is>
          <t>Valiant Organics Ltd</t>
        </is>
      </c>
      <c r="E137" s="30" t="inlineStr">
        <is>
          <t>chemicals</t>
        </is>
      </c>
      <c r="F137" s="30" t="inlineStr">
        <is>
          <t>chemicals</t>
        </is>
      </c>
      <c r="G137" s="30" t="inlineStr">
        <is>
          <t>smallcap</t>
        </is>
      </c>
      <c r="H137" s="31" t="n">
        <v>959.91</v>
      </c>
      <c r="I137" s="31" t="n">
        <v>359.5</v>
      </c>
      <c r="J137" s="31" t="n">
        <v>4.99</v>
      </c>
      <c r="K137" s="31" t="n">
        <v>61630</v>
      </c>
      <c r="L137" s="30" t="n">
        <v>30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65.48999999999999</v>
      </c>
      <c r="P137" s="31" t="n">
        <v>35.28</v>
      </c>
      <c r="Q137" s="31" t="n">
        <v>263.23</v>
      </c>
      <c r="R137" s="30" t="inlineStr">
        <is>
          <t>Near 52W High Breakout</t>
        </is>
      </c>
      <c r="S137" s="30" t="inlineStr">
        <is>
          <t>Nifty IT</t>
        </is>
      </c>
      <c r="T137" s="31" t="n">
        <v>-19.93</v>
      </c>
      <c r="U137" s="31" t="n">
        <v>-1.48</v>
      </c>
      <c r="V137" s="31" t="n">
        <v>23.04</v>
      </c>
      <c r="W137" s="31" t="n">
        <v>8.48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IF(B138=0,"",RANK(B138,$B$2:$B$371,0))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PANAMAPET</t>
        </is>
      </c>
      <c r="D138" s="30" t="inlineStr">
        <is>
          <t>Panama Petrochem Limited</t>
        </is>
      </c>
      <c r="E138" s="30" t="inlineStr">
        <is>
          <t>energy</t>
        </is>
      </c>
      <c r="F138" s="30" t="inlineStr">
        <is>
          <t>petrochemicals</t>
        </is>
      </c>
      <c r="G138" s="30" t="inlineStr">
        <is>
          <t>smallcap</t>
        </is>
      </c>
      <c r="H138" s="31" t="n">
        <v>2922.75</v>
      </c>
      <c r="I138" s="31" t="n">
        <v>498.4</v>
      </c>
      <c r="J138" s="31" t="n">
        <v>3.16</v>
      </c>
      <c r="K138" s="31" t="n">
        <v>791161</v>
      </c>
      <c r="L138" s="30" t="n">
        <v>82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64.45</v>
      </c>
      <c r="P138" s="31" t="n">
        <v>65.14</v>
      </c>
      <c r="Q138" s="31" t="n">
        <v>350.76</v>
      </c>
      <c r="R138" s="30" t="inlineStr">
        <is>
          <t>Near 52W High Breakout</t>
        </is>
      </c>
      <c r="S138" s="30" t="inlineStr">
        <is>
          <t>Nifty Energy</t>
        </is>
      </c>
      <c r="T138" s="31" t="n">
        <v>8.75</v>
      </c>
      <c r="U138" s="31" t="n">
        <v>46.96</v>
      </c>
      <c r="V138" s="31" t="n">
        <v>35.14</v>
      </c>
      <c r="W138" s="31" t="n">
        <v>29.77</v>
      </c>
      <c r="X138" s="30" t="inlineStr">
        <is>
          <t>Cyclical in an Upturn</t>
        </is>
      </c>
      <c r="Y138" s="30">
        <f>IF(X138="Growing Industry",10,IF(X138="Cyclical in an Upturn",5,0))</f>
        <v/>
      </c>
      <c r="Z138" s="30" t="inlineStr">
        <is>
          <t>Oligopoly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Yes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Cyclical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Volatile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Above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IF(B139=0,"",RANK(B139,$B$2:$B$371,0))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JSWINFRA</t>
        </is>
      </c>
      <c r="D139" s="30" t="inlineStr">
        <is>
          <t>JSW Infrastructure Ltd</t>
        </is>
      </c>
      <c r="E139" s="30" t="inlineStr">
        <is>
          <t>transportation</t>
        </is>
      </c>
      <c r="F139" s="30" t="inlineStr">
        <is>
          <t>miscellaneous</t>
        </is>
      </c>
      <c r="G139" s="30" t="inlineStr">
        <is>
          <t>largecap</t>
        </is>
      </c>
      <c r="H139" s="31" t="n">
        <v>77356.05</v>
      </c>
      <c r="I139" s="31" t="n">
        <v>341.4</v>
      </c>
      <c r="J139" s="31" t="n">
        <v>2.83</v>
      </c>
      <c r="K139" s="31" t="n">
        <v>5359382</v>
      </c>
      <c r="L139" s="30" t="n">
        <v>20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62.98</v>
      </c>
      <c r="P139" s="31" t="n">
        <v>42.03</v>
      </c>
      <c r="Q139" s="31" t="n">
        <v>282.65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-6.7</v>
      </c>
      <c r="U139" s="31" t="n">
        <v>8.619999999999999</v>
      </c>
      <c r="V139" s="31" t="n">
        <v>16.42</v>
      </c>
      <c r="W139" s="31" t="n">
        <v>5.92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IF(B140=0,"",RANK(B140,$B$2:$B$371,0))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BHEL</t>
        </is>
      </c>
      <c r="D140" s="30" t="inlineStr">
        <is>
          <t>Bharat Heavy Electricals Limited</t>
        </is>
      </c>
      <c r="E140" s="30" t="inlineStr">
        <is>
          <t>industrials</t>
        </is>
      </c>
      <c r="F140" s="30" t="inlineStr">
        <is>
          <t>electric equipment</t>
        </is>
      </c>
      <c r="G140" s="30" t="inlineStr">
        <is>
          <t>largecap</t>
        </is>
      </c>
      <c r="H140" s="31" t="n">
        <v>146995.3</v>
      </c>
      <c r="I140" s="31" t="n">
        <v>433.7</v>
      </c>
      <c r="J140" s="31" t="n">
        <v>2.74</v>
      </c>
      <c r="K140" s="31" t="n">
        <v>8487227</v>
      </c>
      <c r="L140" s="30" t="n">
        <v>61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66.61</v>
      </c>
      <c r="P140" s="31" t="n">
        <v>37.08</v>
      </c>
      <c r="Q140" s="31" t="n">
        <v>351.68</v>
      </c>
      <c r="R140" s="30" t="inlineStr">
        <is>
          <t>Near 52W High Breakout</t>
        </is>
      </c>
      <c r="S140" s="30" t="inlineStr">
        <is>
          <t>Nifty 500</t>
        </is>
      </c>
      <c r="T140" s="31" t="n">
        <v>-1</v>
      </c>
      <c r="U140" s="31" t="n">
        <v>90.23</v>
      </c>
      <c r="V140" s="31" t="n">
        <v>92.15000000000001</v>
      </c>
      <c r="W140" s="31" t="n">
        <v>18.32</v>
      </c>
      <c r="X140" s="30" t="inlineStr">
        <is>
          <t>Cyclical in an Upturn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Between 1.5 to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IF(B141=0,"",RANK(B141,$B$2:$B$371,0))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AEGISVOPAK</t>
        </is>
      </c>
      <c r="D141" s="30" t="inlineStr">
        <is>
          <t>Aegis Vopak Terminals Ltd</t>
        </is>
      </c>
      <c r="E141" s="30" t="inlineStr">
        <is>
          <t>transportation</t>
        </is>
      </c>
      <c r="F141" s="30" t="inlineStr">
        <is>
          <t>miscellaneous</t>
        </is>
      </c>
      <c r="G141" s="30" t="inlineStr">
        <is>
          <t>largecap</t>
        </is>
      </c>
      <c r="H141" s="31" t="n">
        <v>32203.77</v>
      </c>
      <c r="I141" s="31" t="n">
        <v>297.65</v>
      </c>
      <c r="J141" s="31" t="n">
        <v>2.41</v>
      </c>
      <c r="K141" s="31" t="n">
        <v>1911786</v>
      </c>
      <c r="L141" s="30" t="n">
        <v>45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63.37</v>
      </c>
      <c r="P141" s="31" t="n">
        <v>42.95</v>
      </c>
      <c r="Q141" s="31" t="n">
        <v>218.87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-6.7</v>
      </c>
      <c r="U141" s="31" t="n">
        <v>20.55</v>
      </c>
      <c r="V141" s="31" t="n">
        <v>29.21</v>
      </c>
      <c r="W141" s="31" t="n">
        <v>12.95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Between 0.7 to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IF(B142=0,"",RANK(B142,$B$2:$B$371,0))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KENNAMET</t>
        </is>
      </c>
      <c r="D142" s="30" t="inlineStr">
        <is>
          <t>Kennametal India Ltd</t>
        </is>
      </c>
      <c r="E142" s="30" t="inlineStr">
        <is>
          <t>industrials</t>
        </is>
      </c>
      <c r="F142" s="30" t="inlineStr">
        <is>
          <t>castings &amp; forgings</t>
        </is>
      </c>
      <c r="G142" s="30" t="inlineStr">
        <is>
          <t>midcap</t>
        </is>
      </c>
      <c r="H142" s="31" t="n">
        <v>10229.55</v>
      </c>
      <c r="I142" s="31" t="n">
        <v>4746.7</v>
      </c>
      <c r="J142" s="31" t="n">
        <v>1.98</v>
      </c>
      <c r="K142" s="31" t="n">
        <v>45818</v>
      </c>
      <c r="L142" s="30" t="n">
        <v>87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85.5</v>
      </c>
      <c r="P142" s="31" t="n">
        <v>48.87</v>
      </c>
      <c r="Q142" s="31" t="n">
        <v>3741.53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-6.7</v>
      </c>
      <c r="U142" s="31" t="n">
        <v>121.14</v>
      </c>
      <c r="V142" s="31" t="n">
        <v>137.02</v>
      </c>
      <c r="W142" s="31" t="n">
        <v>34.06</v>
      </c>
      <c r="X142" s="30" t="inlineStr">
        <is>
          <t>Cyclical in an Upturn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IF(B143=0,"",RANK(B143,$B$2:$B$371,0))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PRIVISCL</t>
        </is>
      </c>
      <c r="D143" s="30" t="inlineStr">
        <is>
          <t>Privi Speciality Chemicals Ltd</t>
        </is>
      </c>
      <c r="E143" s="30" t="inlineStr">
        <is>
          <t>chemicals</t>
        </is>
      </c>
      <c r="F143" s="30" t="inlineStr">
        <is>
          <t>chemicals</t>
        </is>
      </c>
      <c r="G143" s="30" t="inlineStr">
        <is>
          <t>midcap</t>
        </is>
      </c>
      <c r="H143" s="31" t="n">
        <v>13553.2</v>
      </c>
      <c r="I143" s="31" t="n">
        <v>3537.9</v>
      </c>
      <c r="J143" s="31" t="n">
        <v>1.97</v>
      </c>
      <c r="K143" s="31" t="n">
        <v>130119</v>
      </c>
      <c r="L143" s="30" t="n">
        <v>37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57.82</v>
      </c>
      <c r="P143" s="31" t="n">
        <v>21.41</v>
      </c>
      <c r="Q143" s="31" t="n">
        <v>3073.15</v>
      </c>
      <c r="R143" s="30" t="inlineStr">
        <is>
          <t>Near 52W High Breakout</t>
        </is>
      </c>
      <c r="S143" s="30" t="inlineStr">
        <is>
          <t>Nifty 50</t>
        </is>
      </c>
      <c r="T143" s="31" t="n">
        <v>-6.7</v>
      </c>
      <c r="U143" s="31" t="n">
        <v>51.79</v>
      </c>
      <c r="V143" s="31" t="n">
        <v>62.68</v>
      </c>
      <c r="W143" s="31" t="n">
        <v>10.23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IF(B144=0,"",RANK(B144,$B$2:$B$371,0))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PANACHE</t>
        </is>
      </c>
      <c r="D144" s="30" t="inlineStr">
        <is>
          <t>Panache Digilife Ltd</t>
        </is>
      </c>
      <c r="E144" s="30" t="inlineStr">
        <is>
          <t>i.t</t>
        </is>
      </c>
      <c r="F144" s="30" t="inlineStr">
        <is>
          <t>computers - hardware</t>
        </is>
      </c>
      <c r="G144" s="30" t="inlineStr">
        <is>
          <t>smallcap</t>
        </is>
      </c>
      <c r="H144" s="31" t="n">
        <v>825.6799999999999</v>
      </c>
      <c r="I144" s="31" t="n">
        <v>525</v>
      </c>
      <c r="J144" s="31" t="n">
        <v>1.82</v>
      </c>
      <c r="K144" s="31" t="n">
        <v>5506</v>
      </c>
      <c r="L144" s="30" t="n">
        <v>76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70.98</v>
      </c>
      <c r="P144" s="31" t="n">
        <v>35.02</v>
      </c>
      <c r="Q144" s="31" t="n">
        <v>413.92</v>
      </c>
      <c r="R144" s="30" t="inlineStr">
        <is>
          <t>Near 52W High Breakout</t>
        </is>
      </c>
      <c r="S144" s="30" t="inlineStr">
        <is>
          <t>Nifty IT</t>
        </is>
      </c>
      <c r="T144" s="31" t="n">
        <v>-19.93</v>
      </c>
      <c r="U144" s="31" t="n">
        <v>99.26000000000001</v>
      </c>
      <c r="V144" s="31" t="n">
        <v>148.86</v>
      </c>
      <c r="W144" s="31" t="n">
        <v>25.28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IF(B145=0,"",RANK(B145,$B$2:$B$371,0))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NAZARA</t>
        </is>
      </c>
      <c r="D145" s="30" t="inlineStr">
        <is>
          <t>Nazara Technologies Ltd</t>
        </is>
      </c>
      <c r="E145" s="30" t="inlineStr">
        <is>
          <t>i.t</t>
        </is>
      </c>
      <c r="F145" s="30" t="inlineStr">
        <is>
          <t>telecommunications - service provider</t>
        </is>
      </c>
      <c r="G145" s="30" t="inlineStr">
        <is>
          <t>midcap</t>
        </is>
      </c>
      <c r="H145" s="31" t="n">
        <v>14172.2</v>
      </c>
      <c r="I145" s="31" t="n">
        <v>374.4</v>
      </c>
      <c r="J145" s="31" t="n">
        <v>1.63</v>
      </c>
      <c r="K145" s="31" t="n">
        <v>1723096</v>
      </c>
      <c r="L145" s="30" t="n">
        <v>48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73.76000000000001</v>
      </c>
      <c r="P145" s="31" t="n">
        <v>29.63</v>
      </c>
      <c r="Q145" s="31" t="n">
        <v>307.68</v>
      </c>
      <c r="R145" s="30" t="inlineStr">
        <is>
          <t>Near 52W High Breakout</t>
        </is>
      </c>
      <c r="S145" s="30" t="inlineStr">
        <is>
          <t>Nifty IT</t>
        </is>
      </c>
      <c r="T145" s="31" t="n">
        <v>-19.93</v>
      </c>
      <c r="U145" s="31" t="n">
        <v>36.54</v>
      </c>
      <c r="V145" s="31" t="n">
        <v>70.53</v>
      </c>
      <c r="W145" s="31" t="n">
        <v>13.97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Oligopoly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Yes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IF(B146=0,"",RANK(B146,$B$2:$B$371,0))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EBGNG</t>
        </is>
      </c>
      <c r="D146" s="30" t="inlineStr">
        <is>
          <t>GNG Electronics Ltd</t>
        </is>
      </c>
      <c r="E146" s="30" t="inlineStr">
        <is>
          <t>services</t>
        </is>
      </c>
      <c r="F146" s="30" t="inlineStr">
        <is>
          <t>trading</t>
        </is>
      </c>
      <c r="G146" s="30" t="inlineStr">
        <is>
          <t>midcap</t>
        </is>
      </c>
      <c r="H146" s="31" t="n">
        <v>7583.48</v>
      </c>
      <c r="I146" s="31" t="n">
        <v>675.8</v>
      </c>
      <c r="J146" s="31" t="n">
        <v>1.6</v>
      </c>
      <c r="K146" s="31" t="n">
        <v>1154375</v>
      </c>
      <c r="L146" s="30" t="n">
        <v>79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68.28</v>
      </c>
      <c r="P146" s="31" t="n">
        <v>35.15</v>
      </c>
      <c r="Q146" s="31" t="n">
        <v>481.65</v>
      </c>
      <c r="R146" s="30" t="inlineStr">
        <is>
          <t>Near 52W High Breakout</t>
        </is>
      </c>
      <c r="S146" s="30" t="inlineStr">
        <is>
          <t>Nifty 50</t>
        </is>
      </c>
      <c r="T146" s="31" t="n">
        <v>-6.7</v>
      </c>
      <c r="U146" s="31" t="n">
        <v>90.31</v>
      </c>
      <c r="V146" s="31" t="n">
        <v>103.98</v>
      </c>
      <c r="W146" s="31" t="n">
        <v>28.3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IF(B147=0,"",RANK(B147,$B$2:$B$371,0))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RISHABH</t>
        </is>
      </c>
      <c r="D147" s="30" t="inlineStr">
        <is>
          <t>Rishabh Instruments Ltd</t>
        </is>
      </c>
      <c r="E147" s="30" t="inlineStr">
        <is>
          <t>industrials</t>
        </is>
      </c>
      <c r="F147" s="30" t="inlineStr">
        <is>
          <t>electric equipment</t>
        </is>
      </c>
      <c r="G147" s="30" t="inlineStr">
        <is>
          <t>smallcap</t>
        </is>
      </c>
      <c r="H147" s="31" t="n">
        <v>3115.67</v>
      </c>
      <c r="I147" s="31" t="n">
        <v>815.9</v>
      </c>
      <c r="J147" s="31" t="n">
        <v>0.9399999999999999</v>
      </c>
      <c r="K147" s="31" t="n">
        <v>379932</v>
      </c>
      <c r="L147" s="30" t="n">
        <v>91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79.70999999999999</v>
      </c>
      <c r="P147" s="31" t="n">
        <v>48.64</v>
      </c>
      <c r="Q147" s="31" t="n">
        <v>618.52</v>
      </c>
      <c r="R147" s="30" t="inlineStr">
        <is>
          <t>Near 52W High Breakout</t>
        </is>
      </c>
      <c r="S147" s="30" t="inlineStr">
        <is>
          <t>Nifty Infra</t>
        </is>
      </c>
      <c r="T147" s="31" t="n">
        <v>0.58</v>
      </c>
      <c r="U147" s="31" t="n">
        <v>187.24</v>
      </c>
      <c r="V147" s="31" t="n">
        <v>185.57</v>
      </c>
      <c r="W147" s="31" t="n">
        <v>40.53</v>
      </c>
      <c r="X147" s="30" t="inlineStr">
        <is>
          <t>Cyclical in an Upturn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Above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IF(B148=0,"",RANK(B148,$B$2:$B$371,0))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THEJO</t>
        </is>
      </c>
      <c r="D148" s="30" t="inlineStr">
        <is>
          <t>Thejo Engineering Ltd</t>
        </is>
      </c>
      <c r="E148" s="30" t="inlineStr">
        <is>
          <t>industrials</t>
        </is>
      </c>
      <c r="F148" s="30" t="inlineStr">
        <is>
          <t>engineering</t>
        </is>
      </c>
      <c r="G148" s="30" t="inlineStr">
        <is>
          <t>smallcap</t>
        </is>
      </c>
      <c r="H148" s="31" t="n">
        <v>2314.96</v>
      </c>
      <c r="I148" s="31" t="n">
        <v>2150.1</v>
      </c>
      <c r="J148" s="31" t="n">
        <v>0.75</v>
      </c>
      <c r="K148" s="31" t="n">
        <v>5976</v>
      </c>
      <c r="L148" s="30" t="n">
        <v>43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64.65000000000001</v>
      </c>
      <c r="P148" s="31" t="n">
        <v>36.15</v>
      </c>
      <c r="Q148" s="31" t="n">
        <v>1760.58</v>
      </c>
      <c r="R148" s="30" t="inlineStr">
        <is>
          <t>Near 52W High Breakout</t>
        </is>
      </c>
      <c r="S148" s="30" t="inlineStr">
        <is>
          <t>Nifty 50</t>
        </is>
      </c>
      <c r="T148" s="31" t="n">
        <v>-6.7</v>
      </c>
      <c r="U148" s="31" t="n">
        <v>14.71</v>
      </c>
      <c r="V148" s="31" t="n">
        <v>22.95</v>
      </c>
      <c r="W148" s="31" t="n">
        <v>12.18</v>
      </c>
      <c r="X148" s="30" t="inlineStr">
        <is>
          <t>Cyclical in an Upturn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IF(B149=0,"",RANK(B149,$B$2:$B$371,0))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BLUESTONE</t>
        </is>
      </c>
      <c r="D149" s="30" t="inlineStr">
        <is>
          <t>Bluestone Jewellery and Lifestyle Ltd</t>
        </is>
      </c>
      <c r="E149" s="30" t="inlineStr">
        <is>
          <t>consumer discretionary</t>
        </is>
      </c>
      <c r="F149" s="30" t="inlineStr">
        <is>
          <t>diamond cutting / jewellery</t>
        </is>
      </c>
      <c r="G149" s="30" t="inlineStr">
        <is>
          <t>midcap</t>
        </is>
      </c>
      <c r="H149" s="31" t="n">
        <v>13239.14</v>
      </c>
      <c r="I149" s="31" t="n">
        <v>874.4</v>
      </c>
      <c r="J149" s="31" t="n">
        <v>0.66</v>
      </c>
      <c r="K149" s="31" t="n">
        <v>1010562</v>
      </c>
      <c r="L149" s="30" t="n">
        <v>73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73.98999999999999</v>
      </c>
      <c r="P149" s="31" t="n">
        <v>48.99</v>
      </c>
      <c r="Q149" s="31" t="n">
        <v>653.9299999999999</v>
      </c>
      <c r="R149" s="30" t="inlineStr">
        <is>
          <t>Near 52W High Breakout</t>
        </is>
      </c>
      <c r="S149" s="30" t="inlineStr">
        <is>
          <t>Nifty 50</t>
        </is>
      </c>
      <c r="T149" s="31" t="n">
        <v>-6.7</v>
      </c>
      <c r="U149" s="31" t="n">
        <v>36.18</v>
      </c>
      <c r="V149" s="31" t="n">
        <v>45.96</v>
      </c>
      <c r="W149" s="31" t="n">
        <v>23.36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Between 0.7 to 1.2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IF(B150=0,"",RANK(B150,$B$2:$B$371,0))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BOSCHLTD</t>
        </is>
      </c>
      <c r="D150" s="30" t="inlineStr">
        <is>
          <t>Bosch Limited</t>
        </is>
      </c>
      <c r="E150" s="30" t="inlineStr">
        <is>
          <t>auto</t>
        </is>
      </c>
      <c r="F150" s="30" t="inlineStr">
        <is>
          <t>auto ancillaries</t>
        </is>
      </c>
      <c r="G150" s="30" t="inlineStr">
        <is>
          <t>largecap</t>
        </is>
      </c>
      <c r="H150" s="31" t="n">
        <v>143896.72</v>
      </c>
      <c r="I150" s="31" t="n">
        <v>49100</v>
      </c>
      <c r="J150" s="31" t="n">
        <v>0.65</v>
      </c>
      <c r="K150" s="31" t="n">
        <v>28278</v>
      </c>
      <c r="L150" s="30" t="n">
        <v>47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71.84999999999999</v>
      </c>
      <c r="P150" s="31" t="n">
        <v>40.93</v>
      </c>
      <c r="Q150" s="31" t="n">
        <v>41737.57</v>
      </c>
      <c r="R150" s="30" t="inlineStr">
        <is>
          <t>Near 52W High Breakout</t>
        </is>
      </c>
      <c r="S150" s="30" t="inlineStr">
        <is>
          <t>Nifty Auto</t>
        </is>
      </c>
      <c r="T150" s="31" t="n">
        <v>16.28</v>
      </c>
      <c r="U150" s="31" t="n">
        <v>32.42</v>
      </c>
      <c r="V150" s="31" t="n">
        <v>13.88</v>
      </c>
      <c r="W150" s="31" t="n">
        <v>13.65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IF(B151=0,"",RANK(B151,$B$2:$B$371,0))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NYKAA</t>
        </is>
      </c>
      <c r="D151" s="30" t="inlineStr">
        <is>
          <t>FSN E-Commerce Ventures Ltd</t>
        </is>
      </c>
      <c r="E151" s="30" t="inlineStr">
        <is>
          <t>i.t</t>
        </is>
      </c>
      <c r="F151" s="30" t="inlineStr">
        <is>
          <t>trading</t>
        </is>
      </c>
      <c r="G151" s="30" t="inlineStr">
        <is>
          <t>largecap</t>
        </is>
      </c>
      <c r="H151" s="31" t="n">
        <v>97656.39999999999</v>
      </c>
      <c r="I151" s="31" t="n">
        <v>343</v>
      </c>
      <c r="J151" s="31" t="n">
        <v>0.59</v>
      </c>
      <c r="K151" s="31" t="n">
        <v>4010750</v>
      </c>
      <c r="L151" s="30" t="n">
        <v>46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73.02</v>
      </c>
      <c r="P151" s="31" t="n">
        <v>51.09</v>
      </c>
      <c r="Q151" s="31" t="n">
        <v>294.62</v>
      </c>
      <c r="R151" s="30" t="inlineStr">
        <is>
          <t>Near 52W High Breakout</t>
        </is>
      </c>
      <c r="S151" s="30" t="inlineStr">
        <is>
          <t>Nifty IT</t>
        </is>
      </c>
      <c r="T151" s="31" t="n">
        <v>-19.93</v>
      </c>
      <c r="U151" s="31" t="n">
        <v>43.41</v>
      </c>
      <c r="V151" s="31" t="n">
        <v>79.11</v>
      </c>
      <c r="W151" s="31" t="n">
        <v>13.1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Between 0.7 to 1.2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IF(B152=0,"",RANK(B152,$B$2:$B$371,0))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COMSYN</t>
        </is>
      </c>
      <c r="D152" s="30" t="inlineStr">
        <is>
          <t>Commercial Syn Bags Ltd</t>
        </is>
      </c>
      <c r="E152" s="30" t="inlineStr">
        <is>
          <t>industrials</t>
        </is>
      </c>
      <c r="F152" s="30" t="inlineStr">
        <is>
          <t>packaging</t>
        </is>
      </c>
      <c r="G152" s="30" t="inlineStr">
        <is>
          <t>smallcap</t>
        </is>
      </c>
      <c r="H152" s="31" t="n">
        <v>1217.64</v>
      </c>
      <c r="I152" s="31" t="n">
        <v>301.15</v>
      </c>
      <c r="J152" s="31" t="n">
        <v>-0.23</v>
      </c>
      <c r="K152" s="31" t="n">
        <v>618722</v>
      </c>
      <c r="L152" s="30" t="n">
        <v>85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80.90000000000001</v>
      </c>
      <c r="P152" s="31" t="n">
        <v>70.51000000000001</v>
      </c>
      <c r="Q152" s="31" t="n">
        <v>227.54</v>
      </c>
      <c r="R152" s="30" t="inlineStr">
        <is>
          <t>Near 52W High Breakout</t>
        </is>
      </c>
      <c r="S152" s="30" t="inlineStr">
        <is>
          <t>Nifty 50</t>
        </is>
      </c>
      <c r="T152" s="31" t="n">
        <v>-6.7</v>
      </c>
      <c r="U152" s="31" t="n">
        <v>95.28</v>
      </c>
      <c r="V152" s="31" t="n">
        <v>109.31</v>
      </c>
      <c r="W152" s="31" t="n">
        <v>33.12</v>
      </c>
      <c r="X152" s="30" t="inlineStr">
        <is>
          <t>Cyclical in an Upturn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Above 40</t>
        </is>
      </c>
      <c r="AY152" s="30">
        <f>IF(AX152="Above 40",20,IF(AX152="20 to 40",10,IF(AX152="0 to 20",-5,0)))</f>
        <v/>
      </c>
      <c r="AZ152" s="30" t="inlineStr">
        <is>
          <t>Above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Between 0.7 to 1.2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IF(B153=0,"",RANK(B153,$B$2:$B$371,0))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ORIENTHOT</t>
        </is>
      </c>
      <c r="D153" s="30" t="inlineStr">
        <is>
          <t>Oriental Hotels Limited</t>
        </is>
      </c>
      <c r="E153" s="30" t="inlineStr">
        <is>
          <t>services</t>
        </is>
      </c>
      <c r="F153" s="30" t="inlineStr">
        <is>
          <t>hotels</t>
        </is>
      </c>
      <c r="G153" s="30" t="inlineStr">
        <is>
          <t>smallcap</t>
        </is>
      </c>
      <c r="H153" s="31" t="n">
        <v>2510.03</v>
      </c>
      <c r="I153" s="31" t="n">
        <v>139.98</v>
      </c>
      <c r="J153" s="31" t="n">
        <v>-0.4</v>
      </c>
      <c r="K153" s="31" t="n">
        <v>724013</v>
      </c>
      <c r="L153" s="30" t="n">
        <v>30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62.94</v>
      </c>
      <c r="P153" s="31" t="n">
        <v>40.19</v>
      </c>
      <c r="Q153" s="31" t="n">
        <v>105.61</v>
      </c>
      <c r="R153" s="30" t="inlineStr">
        <is>
          <t>Near 52W High Breakout</t>
        </is>
      </c>
      <c r="S153" s="30" t="inlineStr">
        <is>
          <t>Nifty 50</t>
        </is>
      </c>
      <c r="T153" s="31" t="n">
        <v>-6.7</v>
      </c>
      <c r="U153" s="31" t="n">
        <v>-1.02</v>
      </c>
      <c r="V153" s="31" t="n">
        <v>6.09</v>
      </c>
      <c r="W153" s="31" t="n">
        <v>8.24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IF(B154=0,"",RANK(B154,$B$2:$B$371,0))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SUTLEJTEX</t>
        </is>
      </c>
      <c r="D154" s="30" t="inlineStr">
        <is>
          <t>Sutlej Textiles And Industries Limited</t>
        </is>
      </c>
      <c r="E154" s="30" t="inlineStr">
        <is>
          <t>textiles</t>
        </is>
      </c>
      <c r="F154" s="30" t="inlineStr">
        <is>
          <t>textiles - cotton/blended</t>
        </is>
      </c>
      <c r="G154" s="30" t="inlineStr">
        <is>
          <t>smallcap</t>
        </is>
      </c>
      <c r="H154" s="31" t="n">
        <v>665.14</v>
      </c>
      <c r="I154" s="31" t="n">
        <v>39.95</v>
      </c>
      <c r="J154" s="31" t="n">
        <v>-1.6</v>
      </c>
      <c r="K154" s="31" t="n">
        <v>18727</v>
      </c>
      <c r="L154" s="30" t="n">
        <v>10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59.13</v>
      </c>
      <c r="P154" s="31" t="n">
        <v>29.09</v>
      </c>
      <c r="Q154" s="31" t="n">
        <v>31.27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-6.7</v>
      </c>
      <c r="U154" s="31" t="n">
        <v>4.12</v>
      </c>
      <c r="V154" s="31" t="n">
        <v>11.59</v>
      </c>
      <c r="W154" s="31" t="n">
        <v>3.61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Between 0.7 to 1.2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IF(B155=0,"",RANK(B155,$B$2:$B$371,0))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SOMANYCERA</t>
        </is>
      </c>
      <c r="D155" s="30" t="inlineStr">
        <is>
          <t>Somany Ceramics Limited</t>
        </is>
      </c>
      <c r="E155" s="30" t="inlineStr">
        <is>
          <t>building materials</t>
        </is>
      </c>
      <c r="F155" s="30" t="inlineStr">
        <is>
          <t>ceramics - tiles / sanitaryware</t>
        </is>
      </c>
      <c r="G155" s="30" t="inlineStr">
        <is>
          <t>smallcap</t>
        </is>
      </c>
      <c r="H155" s="31" t="n">
        <v>2307.59</v>
      </c>
      <c r="I155" s="31" t="n">
        <v>553.5</v>
      </c>
      <c r="J155" s="31" t="n">
        <v>-1.63</v>
      </c>
      <c r="K155" s="31" t="n">
        <v>93463</v>
      </c>
      <c r="L155" s="30" t="n">
        <v>20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63.6</v>
      </c>
      <c r="P155" s="31" t="n">
        <v>32.67</v>
      </c>
      <c r="Q155" s="31" t="n">
        <v>450.57</v>
      </c>
      <c r="R155" s="30" t="inlineStr">
        <is>
          <t>Near 52W High Breakout</t>
        </is>
      </c>
      <c r="S155" s="30" t="inlineStr">
        <is>
          <t>Nifty Infra</t>
        </is>
      </c>
      <c r="T155" s="31" t="n">
        <v>0.58</v>
      </c>
      <c r="U155" s="31" t="n">
        <v>5.1</v>
      </c>
      <c r="V155" s="31" t="n">
        <v>4.49</v>
      </c>
      <c r="W155" s="31" t="n">
        <v>6.13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IF(B156=0,"",RANK(B156,$B$2:$B$371,0))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VIDHIING</t>
        </is>
      </c>
      <c r="D156" s="30" t="inlineStr">
        <is>
          <t>Vidhi Specialty Food Ingredients</t>
        </is>
      </c>
      <c r="E156" s="30" t="inlineStr">
        <is>
          <t>chemicals</t>
        </is>
      </c>
      <c r="F156" s="30" t="inlineStr">
        <is>
          <t>dyes and pigments</t>
        </is>
      </c>
      <c r="G156" s="30" t="inlineStr">
        <is>
          <t>smallcap</t>
        </is>
      </c>
      <c r="H156" s="31" t="n">
        <v>1780.29</v>
      </c>
      <c r="I156" s="31" t="n">
        <v>350.2</v>
      </c>
      <c r="J156" s="31" t="n">
        <v>-1.75</v>
      </c>
      <c r="K156" s="31" t="n">
        <v>59111</v>
      </c>
      <c r="L156" s="30" t="n">
        <v>11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61.52</v>
      </c>
      <c r="P156" s="31" t="n">
        <v>20.93</v>
      </c>
      <c r="Q156" s="31" t="n">
        <v>276.56</v>
      </c>
      <c r="R156" s="30" t="inlineStr">
        <is>
          <t>Earnings / Momentum Support</t>
        </is>
      </c>
      <c r="S156" s="30" t="inlineStr">
        <is>
          <t>Nifty 50</t>
        </is>
      </c>
      <c r="T156" s="31" t="n">
        <v>-6.7</v>
      </c>
      <c r="U156" s="31" t="n">
        <v>-5.96</v>
      </c>
      <c r="V156" s="31" t="n">
        <v>0.8</v>
      </c>
      <c r="W156" s="31" t="n">
        <v>3.84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IF(B157=0,"",RANK(B157,$B$2:$B$371,0))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RGL</t>
        </is>
      </c>
      <c r="D157" s="30" t="inlineStr">
        <is>
          <t>Renaissance Global Ltd</t>
        </is>
      </c>
      <c r="E157" s="30" t="inlineStr">
        <is>
          <t>consumer discretionary</t>
        </is>
      </c>
      <c r="F157" s="30" t="inlineStr">
        <is>
          <t>diamond cutting / jewellery</t>
        </is>
      </c>
      <c r="G157" s="30" t="inlineStr">
        <is>
          <t>smallcap</t>
        </is>
      </c>
      <c r="H157" s="31" t="n">
        <v>1610.53</v>
      </c>
      <c r="I157" s="31" t="n">
        <v>147.19</v>
      </c>
      <c r="J157" s="31" t="n">
        <v>-1.87</v>
      </c>
      <c r="K157" s="31" t="n">
        <v>394708</v>
      </c>
      <c r="L157" s="30" t="n">
        <v>50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69.94</v>
      </c>
      <c r="P157" s="31" t="n">
        <v>24.42</v>
      </c>
      <c r="Q157" s="31" t="n">
        <v>110.98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-6.7</v>
      </c>
      <c r="U157" s="31" t="n">
        <v>24.16</v>
      </c>
      <c r="V157" s="31" t="n">
        <v>33.07</v>
      </c>
      <c r="W157" s="31" t="n">
        <v>14.42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IF(B158=0,"",RANK(B158,$B$2:$B$371,0))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CHEVIOT</t>
        </is>
      </c>
      <c r="D158" s="30" t="inlineStr">
        <is>
          <t>Cheviot Company Ltd</t>
        </is>
      </c>
      <c r="E158" s="30" t="inlineStr">
        <is>
          <t>textiles</t>
        </is>
      </c>
      <c r="F158" s="30" t="inlineStr">
        <is>
          <t>textiles - jute - yarn / products</t>
        </is>
      </c>
      <c r="G158" s="30" t="inlineStr">
        <is>
          <t>smallcap</t>
        </is>
      </c>
      <c r="H158" s="31" t="n">
        <v>709.55</v>
      </c>
      <c r="I158" s="31" t="n">
        <v>1184.9</v>
      </c>
      <c r="J158" s="31" t="n">
        <v>-2.45</v>
      </c>
      <c r="K158" s="31" t="n">
        <v>1489</v>
      </c>
      <c r="L158" s="30" t="n">
        <v>10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60.17</v>
      </c>
      <c r="P158" s="31" t="n">
        <v>23.52</v>
      </c>
      <c r="Q158" s="31" t="n">
        <v>958.01</v>
      </c>
      <c r="R158" s="30" t="inlineStr">
        <is>
          <t>Earnings / Momentum Support</t>
        </is>
      </c>
      <c r="S158" s="30" t="inlineStr">
        <is>
          <t>Nifty IT</t>
        </is>
      </c>
      <c r="T158" s="31" t="n">
        <v>-19.93</v>
      </c>
      <c r="U158" s="31" t="n">
        <v>0.71</v>
      </c>
      <c r="V158" s="31" t="n">
        <v>25.78</v>
      </c>
      <c r="W158" s="31" t="n">
        <v>2.91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IF(B159=0,"",RANK(B159,$B$2:$B$371,0))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MOLDTECH</t>
        </is>
      </c>
      <c r="D159" s="30" t="inlineStr">
        <is>
          <t>Mold-tek Technologies Limited</t>
        </is>
      </c>
      <c r="E159" s="30" t="inlineStr">
        <is>
          <t>realty</t>
        </is>
      </c>
      <c r="F159" s="30" t="inlineStr">
        <is>
          <t>engineering - turnkey services</t>
        </is>
      </c>
      <c r="G159" s="30" t="inlineStr">
        <is>
          <t>smallcap</t>
        </is>
      </c>
      <c r="H159" s="31" t="n">
        <v>628.73</v>
      </c>
      <c r="I159" s="31" t="n">
        <v>212.51</v>
      </c>
      <c r="J159" s="31" t="n">
        <v>-2.64</v>
      </c>
      <c r="K159" s="31" t="n">
        <v>35303</v>
      </c>
      <c r="L159" s="30" t="n">
        <v>75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75.43000000000001</v>
      </c>
      <c r="P159" s="31" t="n">
        <v>41.21</v>
      </c>
      <c r="Q159" s="31" t="n">
        <v>156.73</v>
      </c>
      <c r="R159" s="30" t="inlineStr">
        <is>
          <t>Near 52W High Breakout</t>
        </is>
      </c>
      <c r="S159" s="30" t="inlineStr">
        <is>
          <t>Nifty Realty</t>
        </is>
      </c>
      <c r="T159" s="31" t="n">
        <v>-8.25</v>
      </c>
      <c r="U159" s="31" t="n">
        <v>41.36</v>
      </c>
      <c r="V159" s="31" t="n">
        <v>54.06</v>
      </c>
      <c r="W159" s="31" t="n">
        <v>25.01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IF(B160=0,"",RANK(B160,$B$2:$B$371,0))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UNIMECH</t>
        </is>
      </c>
      <c r="D160" s="30" t="inlineStr">
        <is>
          <t>Unimech Aerospace and Manufacturing Ltd</t>
        </is>
      </c>
      <c r="E160" s="30" t="inlineStr">
        <is>
          <t>aerospace &amp; defence</t>
        </is>
      </c>
      <c r="F160" s="30" t="inlineStr">
        <is>
          <t>engineering</t>
        </is>
      </c>
      <c r="G160" s="30" t="inlineStr">
        <is>
          <t>midcap</t>
        </is>
      </c>
      <c r="H160" s="31" t="n">
        <v>8287.639999999999</v>
      </c>
      <c r="I160" s="31" t="n">
        <v>1586.4</v>
      </c>
      <c r="J160" s="31" t="n">
        <v>-2.65</v>
      </c>
      <c r="K160" s="31" t="n">
        <v>399949</v>
      </c>
      <c r="L160" s="30" t="n">
        <v>59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76.23</v>
      </c>
      <c r="P160" s="31" t="n">
        <v>44.06</v>
      </c>
      <c r="Q160" s="31" t="n">
        <v>1224.23</v>
      </c>
      <c r="R160" s="30" t="inlineStr">
        <is>
          <t>Near 52W High Breakout</t>
        </is>
      </c>
      <c r="S160" s="30" t="inlineStr">
        <is>
          <t>Nifty 50</t>
        </is>
      </c>
      <c r="T160" s="31" t="n">
        <v>-6.7</v>
      </c>
      <c r="U160" s="31" t="n">
        <v>47.3</v>
      </c>
      <c r="V160" s="31" t="n">
        <v>57.87</v>
      </c>
      <c r="W160" s="31" t="n">
        <v>17.83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Blue sky scenario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IF(B161=0,"",RANK(B161,$B$2:$B$371,0))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ACMESOLAR</t>
        </is>
      </c>
      <c r="D161" s="30" t="inlineStr">
        <is>
          <t>ACME Solar Holdings Ltd</t>
        </is>
      </c>
      <c r="E161" s="30" t="inlineStr">
        <is>
          <t>realty</t>
        </is>
      </c>
      <c r="F161" s="30" t="inlineStr">
        <is>
          <t>engineering - turnkey services</t>
        </is>
      </c>
      <c r="G161" s="30" t="inlineStr">
        <is>
          <t>largecap</t>
        </is>
      </c>
      <c r="H161" s="31" t="n">
        <v>29165.64</v>
      </c>
      <c r="I161" s="31" t="n">
        <v>401.6</v>
      </c>
      <c r="J161" s="31" t="n">
        <v>-2.67</v>
      </c>
      <c r="K161" s="31" t="n">
        <v>862025</v>
      </c>
      <c r="L161" s="30" t="n">
        <v>61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65.81</v>
      </c>
      <c r="P161" s="31" t="n">
        <v>48.2</v>
      </c>
      <c r="Q161" s="31" t="n">
        <v>326.49</v>
      </c>
      <c r="R161" s="30" t="inlineStr">
        <is>
          <t>Near 52W High Breakout</t>
        </is>
      </c>
      <c r="S161" s="30" t="inlineStr">
        <is>
          <t>Nifty Realty</t>
        </is>
      </c>
      <c r="T161" s="31" t="n">
        <v>-8.25</v>
      </c>
      <c r="U161" s="31" t="n">
        <v>48.62</v>
      </c>
      <c r="V161" s="31" t="n">
        <v>61.98</v>
      </c>
      <c r="W161" s="31" t="n">
        <v>18.33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Less than 1.5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More than 1.2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IF(B162=0,"",RANK(B162,$B$2:$B$371,0))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TVSSRICHAK</t>
        </is>
      </c>
      <c r="D162" s="30" t="inlineStr">
        <is>
          <t>Tvs Srichakra Limited</t>
        </is>
      </c>
      <c r="E162" s="30" t="inlineStr">
        <is>
          <t>auto</t>
        </is>
      </c>
      <c r="F162" s="30" t="inlineStr">
        <is>
          <t>tyres</t>
        </is>
      </c>
      <c r="G162" s="30" t="inlineStr">
        <is>
          <t>smallcap</t>
        </is>
      </c>
      <c r="H162" s="31" t="n">
        <v>4088.86</v>
      </c>
      <c r="I162" s="31" t="n">
        <v>5169</v>
      </c>
      <c r="J162" s="31" t="n">
        <v>-3.2</v>
      </c>
      <c r="K162" s="31" t="n">
        <v>7739</v>
      </c>
      <c r="L162" s="30" t="n">
        <v>67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70.98</v>
      </c>
      <c r="P162" s="31" t="n">
        <v>32.44</v>
      </c>
      <c r="Q162" s="31" t="n">
        <v>4157.96</v>
      </c>
      <c r="R162" s="30" t="inlineStr">
        <is>
          <t>Near 52W High Breakout</t>
        </is>
      </c>
      <c r="S162" s="30" t="inlineStr">
        <is>
          <t>Nifty Auto</t>
        </is>
      </c>
      <c r="T162" s="31" t="n">
        <v>16.28</v>
      </c>
      <c r="U162" s="31" t="n">
        <v>73.47</v>
      </c>
      <c r="V162" s="31" t="n">
        <v>49.18</v>
      </c>
      <c r="W162" s="31" t="n">
        <v>20.28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IF(B163=0,"",RANK(B163,$B$2:$B$371,0))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RBZJEWEL</t>
        </is>
      </c>
      <c r="D163" s="30" t="inlineStr">
        <is>
          <t>RBZ Jewellers Ltd</t>
        </is>
      </c>
      <c r="E163" s="30" t="inlineStr">
        <is>
          <t>consumer discretionary</t>
        </is>
      </c>
      <c r="F163" s="30" t="inlineStr">
        <is>
          <t>diamond cutting / jewellery</t>
        </is>
      </c>
      <c r="G163" s="30" t="inlineStr">
        <is>
          <t>smallcap</t>
        </is>
      </c>
      <c r="H163" s="31" t="n">
        <v>724.72</v>
      </c>
      <c r="I163" s="31" t="n">
        <v>173.6</v>
      </c>
      <c r="J163" s="31" t="n">
        <v>-4.18</v>
      </c>
      <c r="K163" s="31" t="n">
        <v>240256</v>
      </c>
      <c r="L163" s="30" t="n">
        <v>40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59.04</v>
      </c>
      <c r="P163" s="31" t="n">
        <v>31.23</v>
      </c>
      <c r="Q163" s="31" t="n">
        <v>144.32</v>
      </c>
      <c r="R163" s="30" t="inlineStr">
        <is>
          <t>Earnings / Momentum Support</t>
        </is>
      </c>
      <c r="S163" s="30" t="inlineStr">
        <is>
          <t>Nifty 50</t>
        </is>
      </c>
      <c r="T163" s="31" t="n">
        <v>-6.7</v>
      </c>
      <c r="U163" s="31" t="n">
        <v>23.69</v>
      </c>
      <c r="V163" s="31" t="n">
        <v>32.57</v>
      </c>
      <c r="W163" s="31" t="n">
        <v>11.39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No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IF(B164=0,"",RANK(B164,$B$2:$B$371,0))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BODALCHEM</t>
        </is>
      </c>
      <c r="D164" s="30" t="inlineStr">
        <is>
          <t>Bodal Chemicals Limited</t>
        </is>
      </c>
      <c r="E164" s="30" t="inlineStr">
        <is>
          <t>chemicals</t>
        </is>
      </c>
      <c r="F164" s="30" t="inlineStr">
        <is>
          <t>dyes and pigments</t>
        </is>
      </c>
      <c r="G164" s="30" t="inlineStr">
        <is>
          <t>smallcap</t>
        </is>
      </c>
      <c r="H164" s="31" t="n">
        <v>2318</v>
      </c>
      <c r="I164" s="31" t="n">
        <v>174.85</v>
      </c>
      <c r="J164" s="31" t="n">
        <v>-5</v>
      </c>
      <c r="K164" s="31" t="n">
        <v>3521966</v>
      </c>
      <c r="L164" s="30" t="n">
        <v>98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89.03</v>
      </c>
      <c r="P164" s="31" t="n">
        <v>37.84</v>
      </c>
      <c r="Q164" s="31" t="n">
        <v>135.28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-6.7</v>
      </c>
      <c r="U164" s="31" t="n">
        <v>166.87</v>
      </c>
      <c r="V164" s="31" t="n">
        <v>186.03</v>
      </c>
      <c r="W164" s="31" t="n">
        <v>66.41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Between 0.7 to 1.2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IF(B165=0,"",RANK(B165,$B$2:$B$371,0))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NOVARTIND</t>
        </is>
      </c>
      <c r="D165" s="30" t="inlineStr">
        <is>
          <t>Novartis India Ltd</t>
        </is>
      </c>
      <c r="E165" s="30" t="inlineStr">
        <is>
          <t>healthcare</t>
        </is>
      </c>
      <c r="F165" s="30" t="inlineStr">
        <is>
          <t>pharmaceuticals - multinational</t>
        </is>
      </c>
      <c r="G165" s="30" t="inlineStr">
        <is>
          <t>smallcap</t>
        </is>
      </c>
      <c r="H165" s="31" t="n">
        <v>4498.66</v>
      </c>
      <c r="I165" s="31" t="n">
        <v>2186.4</v>
      </c>
      <c r="J165" s="31" t="n">
        <v>20</v>
      </c>
      <c r="K165" s="31" t="n">
        <v>785816</v>
      </c>
      <c r="L165" s="30" t="n">
        <v>89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77.84</v>
      </c>
      <c r="P165" s="31" t="n">
        <v>65.28</v>
      </c>
      <c r="Q165" s="31" t="n">
        <v>1673.01</v>
      </c>
      <c r="R165" s="30" t="inlineStr">
        <is>
          <t>Volume Spike &amp; Near 52W High Breakout</t>
        </is>
      </c>
      <c r="S165" s="30" t="inlineStr">
        <is>
          <t>Nifty Pharma</t>
        </is>
      </c>
      <c r="T165" s="31" t="n">
        <v>19.47</v>
      </c>
      <c r="U165" s="31" t="n">
        <v>138.32</v>
      </c>
      <c r="V165" s="31" t="n">
        <v>99.47</v>
      </c>
      <c r="W165" s="31" t="n">
        <v>35.75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Above 40</t>
        </is>
      </c>
      <c r="AY165" s="30">
        <f>IF(AX165="Above 40",20,IF(AX165="20 to 40",10,IF(AX165="0 to 20",-5,0)))</f>
        <v/>
      </c>
      <c r="AZ165" s="30" t="inlineStr">
        <is>
          <t>Above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Between 12 to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IF(B166=0,"",RANK(B166,$B$2:$B$371,0))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2" t="inlineStr">
        <is>
          <t>METROPOLIS</t>
        </is>
      </c>
      <c r="D166" s="32" t="inlineStr">
        <is>
          <t>Metropolis Healthcare Ltd</t>
        </is>
      </c>
      <c r="E166" s="30" t="inlineStr">
        <is>
          <t>healthcare</t>
        </is>
      </c>
      <c r="F166" s="30" t="inlineStr">
        <is>
          <t>healthcare</t>
        </is>
      </c>
      <c r="G166" s="30" t="inlineStr">
        <is>
          <t>midcap</t>
        </is>
      </c>
      <c r="H166" s="31" t="n">
        <v>12070.87</v>
      </c>
      <c r="I166" s="31" t="n">
        <v>602.1</v>
      </c>
      <c r="J166" s="31" t="n">
        <v>3.42</v>
      </c>
      <c r="K166" s="31" t="n">
        <v>472099</v>
      </c>
      <c r="L166" s="30" t="n">
        <v>21</v>
      </c>
      <c r="M166" s="30" t="inlineStr">
        <is>
          <t>Underperforming</t>
        </is>
      </c>
      <c r="N166" s="31">
        <f>IF(M166="Underperforming",-5,IF(L166&gt;=95,15,IF(L166&gt;=90,10,IF(L166&gt;=80,5,0))))</f>
        <v/>
      </c>
      <c r="O166" s="31" t="n">
        <v>64.56</v>
      </c>
      <c r="P166" s="31" t="n">
        <v>42.13</v>
      </c>
      <c r="Q166" s="31" t="n">
        <v>486.35</v>
      </c>
      <c r="R166" s="30" t="inlineStr">
        <is>
          <t>Near 52W High Breakout</t>
        </is>
      </c>
      <c r="S166" s="30" t="inlineStr">
        <is>
          <t>Nifty Pharma</t>
        </is>
      </c>
      <c r="T166" s="31" t="n">
        <v>19.47</v>
      </c>
      <c r="U166" s="31" t="n">
        <v>17.22</v>
      </c>
      <c r="V166" s="31" t="n">
        <v>-1.89</v>
      </c>
      <c r="W166" s="31" t="n">
        <v>6.4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Between 12 to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IF(B167=0,"",RANK(B167,$B$2:$B$371,0))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SBCL</t>
        </is>
      </c>
      <c r="D167" s="30" t="inlineStr">
        <is>
          <t>Shivalik Bimetal Controls Ltd</t>
        </is>
      </c>
      <c r="E167" s="30" t="inlineStr">
        <is>
          <t>metals &amp; mining</t>
        </is>
      </c>
      <c r="F167" s="30" t="inlineStr">
        <is>
          <t>mining / minerals / metals</t>
        </is>
      </c>
      <c r="G167" s="30" t="inlineStr">
        <is>
          <t>midcap</t>
        </is>
      </c>
      <c r="H167" s="31" t="n">
        <v>6366.42</v>
      </c>
      <c r="I167" s="31" t="n">
        <v>1136.5</v>
      </c>
      <c r="J167" s="31" t="n">
        <v>2.83</v>
      </c>
      <c r="K167" s="31" t="n">
        <v>383467</v>
      </c>
      <c r="L167" s="30" t="n">
        <v>91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79.95999999999999</v>
      </c>
      <c r="P167" s="31" t="n">
        <v>52.4</v>
      </c>
      <c r="Q167" s="31" t="n">
        <v>863.79</v>
      </c>
      <c r="R167" s="30" t="inlineStr">
        <is>
          <t>Near 52W High Breakout</t>
        </is>
      </c>
      <c r="S167" s="30" t="inlineStr">
        <is>
          <t>Nifty Metal</t>
        </is>
      </c>
      <c r="T167" s="31" t="n">
        <v>42.08</v>
      </c>
      <c r="U167" s="31" t="n">
        <v>107.03</v>
      </c>
      <c r="V167" s="31" t="n">
        <v>45.71</v>
      </c>
      <c r="W167" s="31" t="n">
        <v>40.24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Monopoly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Shallow Cyclical (2 to 3 Years Growth)</t>
        </is>
      </c>
      <c r="AG167" s="30">
        <f>IF(AF167="Structural (10 Years Consistency)",10,IF(AF167="Shallow Cyclical (2 to 3 years growth)",5,0))</f>
        <v/>
      </c>
      <c r="AH167" s="30" t="inlineStr">
        <is>
          <t>Yes due to Product Mix change or Operating Leverage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Fully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Yes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Between 1.5 to 2</t>
        </is>
      </c>
      <c r="BU167" s="30">
        <f>IF(BT167="Above 2",0,IF(BT167="Between 1.5 to 2",5,IF(BT167="Less than 1.5",10,0)))</f>
        <v/>
      </c>
      <c r="BV167" s="30" t="inlineStr">
        <is>
          <t>Less than 50%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IF(B168=0,"",RANK(B168,$B$2:$B$371,0))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YATHARTH</t>
        </is>
      </c>
      <c r="D168" s="30" t="inlineStr">
        <is>
          <t>Yatharth Hospital &amp; Trauma Care Services Ltd</t>
        </is>
      </c>
      <c r="E168" s="30" t="inlineStr">
        <is>
          <t>healthcare</t>
        </is>
      </c>
      <c r="F168" s="30" t="inlineStr">
        <is>
          <t>healthcare</t>
        </is>
      </c>
      <c r="G168" s="30" t="inlineStr">
        <is>
          <t>midcap</t>
        </is>
      </c>
      <c r="H168" s="31" t="n">
        <v>9345.41</v>
      </c>
      <c r="I168" s="31" t="n">
        <v>989.7</v>
      </c>
      <c r="J168" s="31" t="n">
        <v>2.04</v>
      </c>
      <c r="K168" s="31" t="n">
        <v>233441</v>
      </c>
      <c r="L168" s="30" t="n">
        <v>35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69.23999999999999</v>
      </c>
      <c r="P168" s="31" t="n">
        <v>40.4</v>
      </c>
      <c r="Q168" s="31" t="n">
        <v>794.7</v>
      </c>
      <c r="R168" s="30" t="inlineStr">
        <is>
          <t>Near 52W High Breakout</t>
        </is>
      </c>
      <c r="S168" s="30" t="inlineStr">
        <is>
          <t>Nifty Pharma</t>
        </is>
      </c>
      <c r="T168" s="31" t="n">
        <v>19.47</v>
      </c>
      <c r="U168" s="31" t="n">
        <v>28.57</v>
      </c>
      <c r="V168" s="31" t="n">
        <v>7.61</v>
      </c>
      <c r="W168" s="31" t="n">
        <v>9.66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Yes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Less than 12%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IF(B169=0,"",RANK(B169,$B$2:$B$371,0))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SAILIFE</t>
        </is>
      </c>
      <c r="D169" s="30" t="inlineStr">
        <is>
          <t>Sai Life Sciences Ltd</t>
        </is>
      </c>
      <c r="E169" s="30" t="inlineStr">
        <is>
          <t>healthcare</t>
        </is>
      </c>
      <c r="F169" s="30" t="inlineStr">
        <is>
          <t>pharmaceuticals - indian - bulk drugs &amp; formln</t>
        </is>
      </c>
      <c r="G169" s="30" t="inlineStr">
        <is>
          <t>largecap</t>
        </is>
      </c>
      <c r="H169" s="31" t="n">
        <v>34965.63</v>
      </c>
      <c r="I169" s="31" t="n">
        <v>1675.4</v>
      </c>
      <c r="J169" s="31" t="n">
        <v>1.72</v>
      </c>
      <c r="K169" s="31" t="n">
        <v>1332770</v>
      </c>
      <c r="L169" s="30" t="n">
        <v>71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87.23999999999999</v>
      </c>
      <c r="P169" s="31" t="n">
        <v>44.57</v>
      </c>
      <c r="Q169" s="31" t="n">
        <v>1394.33</v>
      </c>
      <c r="R169" s="30" t="inlineStr">
        <is>
          <t>Near 52W High Breakout</t>
        </is>
      </c>
      <c r="S169" s="30" t="inlineStr">
        <is>
          <t>Nifty Pharma</t>
        </is>
      </c>
      <c r="T169" s="31" t="n">
        <v>19.47</v>
      </c>
      <c r="U169" s="31" t="n">
        <v>91.98</v>
      </c>
      <c r="V169" s="31" t="n">
        <v>60.69</v>
      </c>
      <c r="W169" s="31" t="n">
        <v>22.38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Above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IF(B170=0,"",RANK(B170,$B$2:$B$371,0))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LAURUSLABS</t>
        </is>
      </c>
      <c r="D170" s="30" t="inlineStr">
        <is>
          <t>Laurus Labs Limited</t>
        </is>
      </c>
      <c r="E170" s="30" t="inlineStr">
        <is>
          <t>healthcare</t>
        </is>
      </c>
      <c r="F170" s="30" t="inlineStr">
        <is>
          <t>pharmaceuticals - indian - bulk drugs &amp; formln</t>
        </is>
      </c>
      <c r="G170" s="30" t="inlineStr">
        <is>
          <t>largecap</t>
        </is>
      </c>
      <c r="H170" s="31" t="n">
        <v>105181.19</v>
      </c>
      <c r="I170" s="31" t="n">
        <v>1937</v>
      </c>
      <c r="J170" s="31" t="n">
        <v>-0.51</v>
      </c>
      <c r="K170" s="31" t="n">
        <v>1822218</v>
      </c>
      <c r="L170" s="30" t="n">
        <v>76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76.53</v>
      </c>
      <c r="P170" s="31" t="n">
        <v>71.16</v>
      </c>
      <c r="Q170" s="31" t="n">
        <v>1651.66</v>
      </c>
      <c r="R170" s="30" t="inlineStr">
        <is>
          <t>Near 52W High Breakout</t>
        </is>
      </c>
      <c r="S170" s="30" t="inlineStr">
        <is>
          <t>Nifty Pharma</t>
        </is>
      </c>
      <c r="T170" s="31" t="n">
        <v>19.47</v>
      </c>
      <c r="U170" s="31" t="n">
        <v>116.56</v>
      </c>
      <c r="V170" s="31" t="n">
        <v>81.27</v>
      </c>
      <c r="W170" s="31" t="n">
        <v>25.83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IF(B171=0,"",RANK(B171,$B$2:$B$371,0))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AVADHSUGAR</t>
        </is>
      </c>
      <c r="D171" s="30" t="inlineStr">
        <is>
          <t>Avadh Sugar &amp; Energy</t>
        </is>
      </c>
      <c r="E171" s="30" t="inlineStr">
        <is>
          <t>fmcg</t>
        </is>
      </c>
      <c r="F171" s="30" t="inlineStr">
        <is>
          <t>sugar</t>
        </is>
      </c>
      <c r="G171" s="30" t="inlineStr">
        <is>
          <t>smallcap</t>
        </is>
      </c>
      <c r="H171" s="31" t="n">
        <v>1674.04</v>
      </c>
      <c r="I171" s="31" t="n">
        <v>822.3</v>
      </c>
      <c r="J171" s="31" t="n">
        <v>-1.67</v>
      </c>
      <c r="K171" s="31" t="n">
        <v>118788</v>
      </c>
      <c r="L171" s="30" t="n">
        <v>85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81.52</v>
      </c>
      <c r="P171" s="31" t="n">
        <v>51.68</v>
      </c>
      <c r="Q171" s="31" t="n">
        <v>647.77</v>
      </c>
      <c r="R171" s="30" t="inlineStr">
        <is>
          <t>Near 52W High Breakout</t>
        </is>
      </c>
      <c r="S171" s="30" t="inlineStr">
        <is>
          <t>Nifty FMCG</t>
        </is>
      </c>
      <c r="T171" s="31" t="n">
        <v>-16.99</v>
      </c>
      <c r="U171" s="31" t="n">
        <v>80.47</v>
      </c>
      <c r="V171" s="31" t="n">
        <v>117.4</v>
      </c>
      <c r="W171" s="31" t="n">
        <v>32.59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B2C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More than 1.2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IF(B172=0,"",RANK(B172,$B$2:$B$371,0))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MAWANASUG</t>
        </is>
      </c>
      <c r="D172" s="30" t="inlineStr">
        <is>
          <t>Mawana Sugars Limited</t>
        </is>
      </c>
      <c r="E172" s="30" t="inlineStr">
        <is>
          <t>fmcg</t>
        </is>
      </c>
      <c r="F172" s="30" t="inlineStr">
        <is>
          <t>sugar</t>
        </is>
      </c>
      <c r="G172" s="30" t="inlineStr">
        <is>
          <t>smallcap</t>
        </is>
      </c>
      <c r="H172" s="31" t="n">
        <v>557.45</v>
      </c>
      <c r="I172" s="31" t="n">
        <v>139.79</v>
      </c>
      <c r="J172" s="31" t="n">
        <v>-1.91</v>
      </c>
      <c r="K172" s="31" t="n">
        <v>179141</v>
      </c>
      <c r="L172" s="30" t="n">
        <v>61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68.77</v>
      </c>
      <c r="P172" s="31" t="n">
        <v>42.14</v>
      </c>
      <c r="Q172" s="31" t="n">
        <v>114.07</v>
      </c>
      <c r="R172" s="30" t="inlineStr">
        <is>
          <t>Earnings / Momentum Support</t>
        </is>
      </c>
      <c r="S172" s="30" t="inlineStr">
        <is>
          <t>Nifty FMCG</t>
        </is>
      </c>
      <c r="T172" s="31" t="n">
        <v>-16.99</v>
      </c>
      <c r="U172" s="31" t="n">
        <v>49.71</v>
      </c>
      <c r="V172" s="31" t="n">
        <v>80.34</v>
      </c>
      <c r="W172" s="31" t="n">
        <v>18.31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B2C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IF(B173=0,"",RANK(B173,$B$2:$B$371,0))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RUBYMILLS</t>
        </is>
      </c>
      <c r="D173" s="30" t="inlineStr">
        <is>
          <t>The Ruby Mills Limited</t>
        </is>
      </c>
      <c r="E173" s="30" t="inlineStr">
        <is>
          <t>textiles</t>
        </is>
      </c>
      <c r="F173" s="30" t="inlineStr">
        <is>
          <t>textiles - composite</t>
        </is>
      </c>
      <c r="G173" s="30" t="inlineStr">
        <is>
          <t>smallcap</t>
        </is>
      </c>
      <c r="H173" s="31" t="n">
        <v>1505.8</v>
      </c>
      <c r="I173" s="31" t="n">
        <v>474.85</v>
      </c>
      <c r="J173" s="31" t="n">
        <v>5.45</v>
      </c>
      <c r="K173" s="31" t="n">
        <v>50253</v>
      </c>
      <c r="L173" s="30" t="n">
        <v>79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75.92</v>
      </c>
      <c r="P173" s="31" t="n">
        <v>54.8</v>
      </c>
      <c r="Q173" s="31" t="n">
        <v>351.05</v>
      </c>
      <c r="R173" s="30" t="inlineStr">
        <is>
          <t>Near 52W High Breakout</t>
        </is>
      </c>
      <c r="S173" s="30" t="inlineStr">
        <is>
          <t>Nifty 50</t>
        </is>
      </c>
      <c r="T173" s="31" t="n">
        <v>-6.7</v>
      </c>
      <c r="U173" s="31" t="n">
        <v>108.53</v>
      </c>
      <c r="V173" s="31" t="n">
        <v>123.51</v>
      </c>
      <c r="W173" s="31" t="n">
        <v>28.07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Above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IF(B174=0,"",RANK(B174,$B$2:$B$371,0))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PPL</t>
        </is>
      </c>
      <c r="D174" s="32" t="inlineStr">
        <is>
          <t>Prakash Pipes Ltd</t>
        </is>
      </c>
      <c r="E174" s="30" t="inlineStr">
        <is>
          <t>plastic products</t>
        </is>
      </c>
      <c r="F174" s="30" t="inlineStr">
        <is>
          <t>plastics products</t>
        </is>
      </c>
      <c r="G174" s="30" t="inlineStr">
        <is>
          <t>smallcap</t>
        </is>
      </c>
      <c r="H174" s="31" t="n">
        <v>655.48</v>
      </c>
      <c r="I174" s="31" t="n">
        <v>287.55</v>
      </c>
      <c r="J174" s="31" t="n">
        <v>4.93</v>
      </c>
      <c r="K174" s="31" t="n">
        <v>79281</v>
      </c>
      <c r="L174" s="30" t="n">
        <v>12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61.87</v>
      </c>
      <c r="P174" s="31" t="n">
        <v>32.39</v>
      </c>
      <c r="Q174" s="31" t="n">
        <v>217.66</v>
      </c>
      <c r="R174" s="30" t="inlineStr">
        <is>
          <t>Earnings / Momentum Support</t>
        </is>
      </c>
      <c r="S174" s="30" t="inlineStr">
        <is>
          <t>Nifty 50</t>
        </is>
      </c>
      <c r="T174" s="31" t="n">
        <v>-6.7</v>
      </c>
      <c r="U174" s="31" t="n">
        <v>-9.65</v>
      </c>
      <c r="V174" s="31" t="n">
        <v>-3.16</v>
      </c>
      <c r="W174" s="31" t="n">
        <v>3.87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IF(B175=0,"",RANK(B175,$B$2:$B$371,0))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SMLMAH</t>
        </is>
      </c>
      <c r="D175" s="30" t="inlineStr">
        <is>
          <t>SML Mahindra Ltd</t>
        </is>
      </c>
      <c r="E175" s="30" t="inlineStr">
        <is>
          <t>auto</t>
        </is>
      </c>
      <c r="F175" s="30" t="inlineStr">
        <is>
          <t>automobiles - lcvs / hcvs</t>
        </is>
      </c>
      <c r="G175" s="30" t="inlineStr">
        <is>
          <t>midcap</t>
        </is>
      </c>
      <c r="H175" s="31" t="n">
        <v>9136.67</v>
      </c>
      <c r="I175" s="31" t="n">
        <v>6570</v>
      </c>
      <c r="J175" s="31" t="n">
        <v>4.06</v>
      </c>
      <c r="K175" s="31" t="n">
        <v>134865</v>
      </c>
      <c r="L175" s="30" t="n">
        <v>82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72.20999999999999</v>
      </c>
      <c r="P175" s="31" t="n">
        <v>23.52</v>
      </c>
      <c r="Q175" s="31" t="n">
        <v>4895.76</v>
      </c>
      <c r="R175" s="30" t="inlineStr">
        <is>
          <t>Near 52W High Breakout</t>
        </is>
      </c>
      <c r="S175" s="30" t="inlineStr">
        <is>
          <t>Nifty Auto</t>
        </is>
      </c>
      <c r="T175" s="31" t="n">
        <v>16.28</v>
      </c>
      <c r="U175" s="31" t="n">
        <v>73.94</v>
      </c>
      <c r="V175" s="31" t="n">
        <v>49.59</v>
      </c>
      <c r="W175" s="31" t="n">
        <v>29.84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IF(B176=0,"",RANK(B176,$B$2:$B$371,0))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SHREEJISPG</t>
        </is>
      </c>
      <c r="D176" s="30" t="inlineStr">
        <is>
          <t>Shreeji Shipping Global Ltd</t>
        </is>
      </c>
      <c r="E176" s="30" t="inlineStr">
        <is>
          <t>transportation</t>
        </is>
      </c>
      <c r="F176" s="30" t="inlineStr">
        <is>
          <t>shipping</t>
        </is>
      </c>
      <c r="G176" s="30" t="inlineStr">
        <is>
          <t>midcap</t>
        </is>
      </c>
      <c r="H176" s="31" t="n">
        <v>11374.95</v>
      </c>
      <c r="I176" s="31" t="n">
        <v>713.1</v>
      </c>
      <c r="J176" s="31" t="n">
        <v>2.13</v>
      </c>
      <c r="K176" s="31" t="n">
        <v>735559</v>
      </c>
      <c r="L176" s="30" t="n">
        <v>86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79.56</v>
      </c>
      <c r="P176" s="31" t="n">
        <v>56.47</v>
      </c>
      <c r="Q176" s="31" t="n">
        <v>589.64</v>
      </c>
      <c r="R176" s="30" t="inlineStr">
        <is>
          <t>Near 52W High Breakout</t>
        </is>
      </c>
      <c r="S176" s="30" t="inlineStr">
        <is>
          <t>Nifty 50</t>
        </is>
      </c>
      <c r="T176" s="31" t="n">
        <v>-6.7</v>
      </c>
      <c r="U176" s="31" t="n">
        <v>179.96</v>
      </c>
      <c r="V176" s="31" t="n">
        <v>200.07</v>
      </c>
      <c r="W176" s="31" t="n">
        <v>33.6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IF(B177=0,"",RANK(B177,$B$2:$B$371,0))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MVGJL</t>
        </is>
      </c>
      <c r="D177" s="30" t="inlineStr">
        <is>
          <t>Manoj Vaibhav Gems N Jewellers Ltd</t>
        </is>
      </c>
      <c r="E177" s="30" t="inlineStr">
        <is>
          <t>consumer discretionary</t>
        </is>
      </c>
      <c r="F177" s="30" t="inlineStr">
        <is>
          <t>diamond cutting / jewellery</t>
        </is>
      </c>
      <c r="G177" s="30" t="inlineStr">
        <is>
          <t>smallcap</t>
        </is>
      </c>
      <c r="H177" s="31" t="n">
        <v>1029.31</v>
      </c>
      <c r="I177" s="31" t="n">
        <v>214.64</v>
      </c>
      <c r="J177" s="31" t="n">
        <v>1.86</v>
      </c>
      <c r="K177" s="31" t="n">
        <v>1334420</v>
      </c>
      <c r="L177" s="30" t="n">
        <v>46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69.15000000000001</v>
      </c>
      <c r="P177" s="31" t="n">
        <v>15.87</v>
      </c>
      <c r="Q177" s="31" t="n">
        <v>157.31</v>
      </c>
      <c r="R177" s="30" t="inlineStr">
        <is>
          <t>Volume Spike &amp; Near 52W High Breakout</t>
        </is>
      </c>
      <c r="S177" s="30" t="inlineStr">
        <is>
          <t>Nifty 50</t>
        </is>
      </c>
      <c r="T177" s="31" t="n">
        <v>-6.7</v>
      </c>
      <c r="U177" s="31" t="n">
        <v>9.84</v>
      </c>
      <c r="V177" s="31" t="n">
        <v>17.72</v>
      </c>
      <c r="W177" s="31" t="n">
        <v>13.36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0 to 20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Less than 1.5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IF(B178=0,"",RANK(B178,$B$2:$B$371,0))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TBOTEK</t>
        </is>
      </c>
      <c r="D178" s="30" t="inlineStr">
        <is>
          <t>TBO Tek Ltd</t>
        </is>
      </c>
      <c r="E178" s="30" t="inlineStr">
        <is>
          <t>i.t</t>
        </is>
      </c>
      <c r="F178" s="30" t="inlineStr">
        <is>
          <t>travel agencies</t>
        </is>
      </c>
      <c r="G178" s="30" t="inlineStr">
        <is>
          <t>midcap</t>
        </is>
      </c>
      <c r="H178" s="31" t="n">
        <v>18400.2</v>
      </c>
      <c r="I178" s="31" t="n">
        <v>1721.1</v>
      </c>
      <c r="J178" s="31" t="n">
        <v>1.57</v>
      </c>
      <c r="K178" s="31" t="n">
        <v>87150</v>
      </c>
      <c r="L178" s="30" t="n">
        <v>34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68.19</v>
      </c>
      <c r="P178" s="31" t="n">
        <v>27.51</v>
      </c>
      <c r="Q178" s="31" t="n">
        <v>1389.01</v>
      </c>
      <c r="R178" s="30" t="inlineStr">
        <is>
          <t>Near 52W High Breakout</t>
        </is>
      </c>
      <c r="S178" s="30" t="inlineStr">
        <is>
          <t>Nifty IT</t>
        </is>
      </c>
      <c r="T178" s="31" t="n">
        <v>-19.93</v>
      </c>
      <c r="U178" s="31" t="n">
        <v>10.7</v>
      </c>
      <c r="V178" s="31" t="n">
        <v>38.26</v>
      </c>
      <c r="W178" s="31" t="n">
        <v>9.52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IF(B179=0,"",RANK(B179,$B$2:$B$371,0))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SHAILY</t>
        </is>
      </c>
      <c r="D179" s="30" t="inlineStr">
        <is>
          <t>Shaily Engineering Plastics Ltd</t>
        </is>
      </c>
      <c r="E179" s="30" t="inlineStr">
        <is>
          <t>plastic products</t>
        </is>
      </c>
      <c r="F179" s="30" t="inlineStr">
        <is>
          <t>plastics products</t>
        </is>
      </c>
      <c r="G179" s="30" t="inlineStr">
        <is>
          <t>midcap</t>
        </is>
      </c>
      <c r="H179" s="31" t="n">
        <v>15674.26</v>
      </c>
      <c r="I179" s="31" t="n">
        <v>3455</v>
      </c>
      <c r="J179" s="31" t="n">
        <v>1.39</v>
      </c>
      <c r="K179" s="31" t="n">
        <v>243432</v>
      </c>
      <c r="L179" s="30" t="n">
        <v>50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70.45</v>
      </c>
      <c r="P179" s="31" t="n">
        <v>30.09</v>
      </c>
      <c r="Q179" s="31" t="n">
        <v>2647.28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-6.7</v>
      </c>
      <c r="U179" s="31" t="n">
        <v>53.75</v>
      </c>
      <c r="V179" s="31" t="n">
        <v>64.79000000000001</v>
      </c>
      <c r="W179" s="31" t="n">
        <v>14.78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Between 12 to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IF(B180=0,"",RANK(B180,$B$2:$B$371,0))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MAZDA</t>
        </is>
      </c>
      <c r="D180" s="30" t="inlineStr">
        <is>
          <t>Mazda Limited</t>
        </is>
      </c>
      <c r="E180" s="30" t="inlineStr">
        <is>
          <t>industrials</t>
        </is>
      </c>
      <c r="F180" s="30" t="inlineStr">
        <is>
          <t>engineering</t>
        </is>
      </c>
      <c r="G180" s="30" t="inlineStr">
        <is>
          <t>smallcap</t>
        </is>
      </c>
      <c r="H180" s="31" t="n">
        <v>544.1799999999999</v>
      </c>
      <c r="I180" s="31" t="n">
        <v>271.7</v>
      </c>
      <c r="J180" s="31" t="n">
        <v>-0.02</v>
      </c>
      <c r="K180" s="31" t="n">
        <v>11617</v>
      </c>
      <c r="L180" s="30" t="n">
        <v>18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69.05</v>
      </c>
      <c r="P180" s="31" t="n">
        <v>30.76</v>
      </c>
      <c r="Q180" s="31" t="n">
        <v>212.3</v>
      </c>
      <c r="R180" s="30" t="inlineStr">
        <is>
          <t>Earnings / Momentum Support</t>
        </is>
      </c>
      <c r="S180" s="30" t="inlineStr">
        <is>
          <t>Nifty 50</t>
        </is>
      </c>
      <c r="T180" s="31" t="n">
        <v>-6.7</v>
      </c>
      <c r="U180" s="31" t="n">
        <v>0.43</v>
      </c>
      <c r="V180" s="31" t="n">
        <v>7.65</v>
      </c>
      <c r="W180" s="31" t="n">
        <v>5.5</v>
      </c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IF(B181=0,"",RANK(B181,$B$2:$B$371,0))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EXICOM</t>
        </is>
      </c>
      <c r="D181" s="30" t="inlineStr">
        <is>
          <t>Exicom Tele-Systems Ltd</t>
        </is>
      </c>
      <c r="E181" s="30" t="inlineStr">
        <is>
          <t>industrials</t>
        </is>
      </c>
      <c r="F181" s="30" t="inlineStr">
        <is>
          <t>electric equipment</t>
        </is>
      </c>
      <c r="G181" s="30" t="inlineStr">
        <is>
          <t>smallcap</t>
        </is>
      </c>
      <c r="H181" s="31" t="n">
        <v>2526.38</v>
      </c>
      <c r="I181" s="31" t="n">
        <v>180.42</v>
      </c>
      <c r="J181" s="31" t="n">
        <v>-0.68</v>
      </c>
      <c r="K181" s="31" t="n">
        <v>3180545</v>
      </c>
      <c r="L181" s="30" t="n">
        <v>55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64.27</v>
      </c>
      <c r="P181" s="31" t="n">
        <v>38.63</v>
      </c>
      <c r="Q181" s="31" t="n">
        <v>120.39</v>
      </c>
      <c r="R181" s="30" t="inlineStr">
        <is>
          <t>Near 52W High Breakout</t>
        </is>
      </c>
      <c r="S181" s="30" t="inlineStr">
        <is>
          <t>Nifty Infra</t>
        </is>
      </c>
      <c r="T181" s="31" t="n">
        <v>0.58</v>
      </c>
      <c r="U181" s="31" t="n">
        <v>10.07</v>
      </c>
      <c r="V181" s="31" t="n">
        <v>9.43</v>
      </c>
      <c r="W181" s="31" t="n">
        <v>16.41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Between 0.7 to 1.2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IF(B182=0,"",RANK(B182,$B$2:$B$371,0))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BOSCH-HCIL</t>
        </is>
      </c>
      <c r="D182" s="30" t="inlineStr">
        <is>
          <t>Bosch Home Comfort India Ltd</t>
        </is>
      </c>
      <c r="E182" s="30" t="inlineStr">
        <is>
          <t>consumer discretionary</t>
        </is>
      </c>
      <c r="F182" s="30" t="inlineStr">
        <is>
          <t>air-conditioners</t>
        </is>
      </c>
      <c r="G182" s="30" t="inlineStr">
        <is>
          <t>smallcap</t>
        </is>
      </c>
      <c r="H182" s="31" t="n">
        <v>4878.04</v>
      </c>
      <c r="I182" s="31" t="n">
        <v>1780.3</v>
      </c>
      <c r="J182" s="31" t="n">
        <v>-0.76</v>
      </c>
      <c r="K182" s="31" t="n">
        <v>31513</v>
      </c>
      <c r="L182" s="30" t="n">
        <v>31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68.20999999999999</v>
      </c>
      <c r="P182" s="31" t="n">
        <v>27.97</v>
      </c>
      <c r="Q182" s="31" t="n">
        <v>1467.04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-6.7</v>
      </c>
      <c r="U182" s="31" t="n">
        <v>2.61</v>
      </c>
      <c r="V182" s="31" t="n">
        <v>9.970000000000001</v>
      </c>
      <c r="W182" s="31" t="n">
        <v>8.66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IF(B183=0,"",RANK(B183,$B$2:$B$371,0))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WELENT</t>
        </is>
      </c>
      <c r="D183" s="30" t="inlineStr">
        <is>
          <t>Welspun Enterprises Limited</t>
        </is>
      </c>
      <c r="E183" s="30" t="inlineStr">
        <is>
          <t>realty</t>
        </is>
      </c>
      <c r="F183" s="30" t="inlineStr">
        <is>
          <t>construction</t>
        </is>
      </c>
      <c r="G183" s="30" t="inlineStr">
        <is>
          <t>midcap</t>
        </is>
      </c>
      <c r="H183" s="31" t="n">
        <v>10934.69</v>
      </c>
      <c r="I183" s="31" t="n">
        <v>782.85</v>
      </c>
      <c r="J183" s="31" t="n">
        <v>-0.91</v>
      </c>
      <c r="K183" s="31" t="n">
        <v>160929</v>
      </c>
      <c r="L183" s="30" t="n">
        <v>72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74.8</v>
      </c>
      <c r="P183" s="31" t="n">
        <v>31.24</v>
      </c>
      <c r="Q183" s="31" t="n">
        <v>652.36</v>
      </c>
      <c r="R183" s="30" t="inlineStr">
        <is>
          <t>Near 52W High Breakout</t>
        </is>
      </c>
      <c r="S183" s="30" t="inlineStr">
        <is>
          <t>Nifty Realty</t>
        </is>
      </c>
      <c r="T183" s="31" t="n">
        <v>-8.25</v>
      </c>
      <c r="U183" s="31" t="n">
        <v>58.05</v>
      </c>
      <c r="V183" s="31" t="n">
        <v>72.26000000000001</v>
      </c>
      <c r="W183" s="31" t="n">
        <v>22.96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IF(B184=0,"",RANK(B184,$B$2:$B$371,0))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EIMCOELECO</t>
        </is>
      </c>
      <c r="D184" s="30" t="inlineStr">
        <is>
          <t>Eimco Elecon (india) Limited</t>
        </is>
      </c>
      <c r="E184" s="30" t="inlineStr">
        <is>
          <t>industrials</t>
        </is>
      </c>
      <c r="F184" s="30" t="inlineStr">
        <is>
          <t>engineering</t>
        </is>
      </c>
      <c r="G184" s="30" t="inlineStr">
        <is>
          <t>smallcap</t>
        </is>
      </c>
      <c r="H184" s="31" t="n">
        <v>1302.62</v>
      </c>
      <c r="I184" s="31" t="n">
        <v>2221.6</v>
      </c>
      <c r="J184" s="31" t="n">
        <v>-1.62</v>
      </c>
      <c r="K184" s="31" t="n">
        <v>14430</v>
      </c>
      <c r="L184" s="30" t="n">
        <v>41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70.90000000000001</v>
      </c>
      <c r="P184" s="31" t="n">
        <v>48.18</v>
      </c>
      <c r="Q184" s="31" t="n">
        <v>1753.06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-6.7</v>
      </c>
      <c r="U184" s="31" t="n">
        <v>1.48</v>
      </c>
      <c r="V184" s="31" t="n">
        <v>8.77</v>
      </c>
      <c r="W184" s="31" t="n">
        <v>11.82</v>
      </c>
      <c r="X184" s="30" t="inlineStr">
        <is>
          <t>Cyclical in an Upturn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IF(B185=0,"",RANK(B185,$B$2:$B$371,0))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SHREEPUSHK</t>
        </is>
      </c>
      <c r="D185" s="30" t="inlineStr">
        <is>
          <t>Shree Pushkar Chemicals &amp; Fertilisers Limited</t>
        </is>
      </c>
      <c r="E185" s="30" t="inlineStr">
        <is>
          <t>chemicals</t>
        </is>
      </c>
      <c r="F185" s="30" t="inlineStr">
        <is>
          <t>dyes and pigments</t>
        </is>
      </c>
      <c r="G185" s="30" t="inlineStr">
        <is>
          <t>smallcap</t>
        </is>
      </c>
      <c r="H185" s="31" t="n">
        <v>1649.38</v>
      </c>
      <c r="I185" s="31" t="n">
        <v>501.2</v>
      </c>
      <c r="J185" s="31" t="n">
        <v>-1.74</v>
      </c>
      <c r="K185" s="31" t="n">
        <v>46803</v>
      </c>
      <c r="L185" s="30" t="n">
        <v>63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69.93000000000001</v>
      </c>
      <c r="P185" s="31" t="n">
        <v>39.27</v>
      </c>
      <c r="Q185" s="31" t="n">
        <v>369.39</v>
      </c>
      <c r="R185" s="30" t="inlineStr">
        <is>
          <t>Volume Spike &amp; Near 52W High Breakout</t>
        </is>
      </c>
      <c r="S185" s="30" t="inlineStr">
        <is>
          <t>Nifty 50</t>
        </is>
      </c>
      <c r="T185" s="31" t="n">
        <v>-6.7</v>
      </c>
      <c r="U185" s="31" t="n">
        <v>52.02</v>
      </c>
      <c r="V185" s="31" t="n">
        <v>62.93</v>
      </c>
      <c r="W185" s="31" t="n">
        <v>18.65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IF(B186=0,"",RANK(B186,$B$2:$B$371,0))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AEROFLEX</t>
        </is>
      </c>
      <c r="D186" s="30" t="inlineStr">
        <is>
          <t>Aeroflex Industries Ltd</t>
        </is>
      </c>
      <c r="E186" s="30" t="inlineStr">
        <is>
          <t>metals &amp; mining</t>
        </is>
      </c>
      <c r="F186" s="30" t="inlineStr">
        <is>
          <t>steel - medium / small</t>
        </is>
      </c>
      <c r="G186" s="30" t="inlineStr">
        <is>
          <t>midcap</t>
        </is>
      </c>
      <c r="H186" s="31" t="n">
        <v>7589.17</v>
      </c>
      <c r="I186" s="31" t="n">
        <v>561.15</v>
      </c>
      <c r="J186" s="31" t="n">
        <v>-2.15</v>
      </c>
      <c r="K186" s="31" t="n">
        <v>865460</v>
      </c>
      <c r="L186" s="30" t="n">
        <v>94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73.31</v>
      </c>
      <c r="P186" s="31" t="n">
        <v>61.21</v>
      </c>
      <c r="Q186" s="31" t="n">
        <v>409.54</v>
      </c>
      <c r="R186" s="30" t="inlineStr">
        <is>
          <t>Near 52W High Breakout</t>
        </is>
      </c>
      <c r="S186" s="30" t="inlineStr">
        <is>
          <t>Nifty Metal</t>
        </is>
      </c>
      <c r="T186" s="31" t="n">
        <v>42.08</v>
      </c>
      <c r="U186" s="31" t="n">
        <v>173.15</v>
      </c>
      <c r="V186" s="31" t="n">
        <v>92.25</v>
      </c>
      <c r="W186" s="31" t="n">
        <v>51.04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Cyclical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Volatile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Above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Blue sky scenario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IF(B187=0,"",RANK(B187,$B$2:$B$371,0))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EMAMIPAP</t>
        </is>
      </c>
      <c r="D187" s="30" t="inlineStr">
        <is>
          <t>Emami Paper Mills Ltd</t>
        </is>
      </c>
      <c r="E187" s="30" t="inlineStr">
        <is>
          <t>building materials</t>
        </is>
      </c>
      <c r="F187" s="30" t="inlineStr">
        <is>
          <t>paper</t>
        </is>
      </c>
      <c r="G187" s="30" t="inlineStr">
        <is>
          <t>smallcap</t>
        </is>
      </c>
      <c r="H187" s="31" t="n">
        <v>724.05</v>
      </c>
      <c r="I187" s="31" t="n">
        <v>116.67</v>
      </c>
      <c r="J187" s="31" t="n">
        <v>-2.52</v>
      </c>
      <c r="K187" s="31" t="n">
        <v>33133</v>
      </c>
      <c r="L187" s="30" t="n">
        <v>67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71.52</v>
      </c>
      <c r="P187" s="31" t="n">
        <v>32.88</v>
      </c>
      <c r="Q187" s="31" t="n">
        <v>87.04000000000001</v>
      </c>
      <c r="R187" s="30" t="inlineStr">
        <is>
          <t>Near 52W High Breakout</t>
        </is>
      </c>
      <c r="S187" s="30" t="inlineStr">
        <is>
          <t>Nifty Infra</t>
        </is>
      </c>
      <c r="T187" s="31" t="n">
        <v>0.58</v>
      </c>
      <c r="U187" s="31" t="n">
        <v>23.99</v>
      </c>
      <c r="V187" s="31" t="n">
        <v>23.27</v>
      </c>
      <c r="W187" s="31" t="n">
        <v>20.25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Blue sky scenario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More than 1.2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IF(B188=0,"",RANK(B188,$B$2:$B$371,0))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HMT</t>
        </is>
      </c>
      <c r="D188" s="30" t="inlineStr">
        <is>
          <t>Hmt Limited</t>
        </is>
      </c>
      <c r="E188" s="30" t="inlineStr">
        <is>
          <t>consumer discretionary</t>
        </is>
      </c>
      <c r="F188" s="30" t="inlineStr">
        <is>
          <t>miscellaneous</t>
        </is>
      </c>
      <c r="G188" s="30" t="inlineStr">
        <is>
          <t>midcap</t>
        </is>
      </c>
      <c r="H188" s="31" t="n">
        <v>8201.07</v>
      </c>
      <c r="I188" s="31" t="n">
        <v>66.23999999999999</v>
      </c>
      <c r="J188" s="31" t="n">
        <v>-2.75</v>
      </c>
      <c r="K188" s="31" t="n">
        <v>18801</v>
      </c>
      <c r="L188" s="30" t="n">
        <v>21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59.17</v>
      </c>
      <c r="P188" s="31" t="n">
        <v>18.47</v>
      </c>
      <c r="Q188" s="31" t="n">
        <v>51.07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-6.7</v>
      </c>
      <c r="U188" s="31" t="n">
        <v>5.28</v>
      </c>
      <c r="V188" s="31" t="n">
        <v>12.84</v>
      </c>
      <c r="W188" s="31" t="n">
        <v>6.41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IF(B189=0,"",RANK(B189,$B$2:$B$371,0))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MIDHANI</t>
        </is>
      </c>
      <c r="D189" s="32" t="inlineStr">
        <is>
          <t>Mishra Dhatu Nigam Ltd</t>
        </is>
      </c>
      <c r="E189" s="30" t="inlineStr">
        <is>
          <t>aerospace &amp; defence</t>
        </is>
      </c>
      <c r="F189" s="30" t="inlineStr">
        <is>
          <t>steel - medium / small</t>
        </is>
      </c>
      <c r="G189" s="30" t="inlineStr">
        <is>
          <t>midcap</t>
        </is>
      </c>
      <c r="H189" s="31" t="n">
        <v>8936.120000000001</v>
      </c>
      <c r="I189" s="31" t="n">
        <v>463.8</v>
      </c>
      <c r="J189" s="31" t="n">
        <v>-2.77</v>
      </c>
      <c r="K189" s="31" t="n">
        <v>5087063</v>
      </c>
      <c r="L189" s="30" t="n">
        <v>30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64.90000000000001</v>
      </c>
      <c r="P189" s="31" t="n">
        <v>28.3</v>
      </c>
      <c r="Q189" s="31" t="n">
        <v>358.54</v>
      </c>
      <c r="R189" s="30" t="inlineStr">
        <is>
          <t>Volume Spike &amp; Near 52W High Breakout</t>
        </is>
      </c>
      <c r="S189" s="30" t="inlineStr">
        <is>
          <t>Nifty Metal</t>
        </is>
      </c>
      <c r="T189" s="31" t="n">
        <v>42.08</v>
      </c>
      <c r="U189" s="31" t="n">
        <v>15.05</v>
      </c>
      <c r="V189" s="31" t="n">
        <v>-19.03</v>
      </c>
      <c r="W189" s="31" t="n">
        <v>8.369999999999999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IF(B190=0,"",RANK(B190,$B$2:$B$371,0))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KRN</t>
        </is>
      </c>
      <c r="D190" s="30" t="inlineStr">
        <is>
          <t>KRN Heat Exchanger and Refrigeration Ltd</t>
        </is>
      </c>
      <c r="E190" s="30" t="inlineStr">
        <is>
          <t>industrials</t>
        </is>
      </c>
      <c r="F190" s="30" t="inlineStr">
        <is>
          <t>engineering</t>
        </is>
      </c>
      <c r="G190" s="30" t="inlineStr">
        <is>
          <t>midcap</t>
        </is>
      </c>
      <c r="H190" s="31" t="n">
        <v>10867.42</v>
      </c>
      <c r="I190" s="31" t="n">
        <v>1597.3</v>
      </c>
      <c r="J190" s="31" t="n">
        <v>-3.79</v>
      </c>
      <c r="K190" s="31" t="n">
        <v>186811</v>
      </c>
      <c r="L190" s="30" t="n">
        <v>68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73.13</v>
      </c>
      <c r="P190" s="31" t="n">
        <v>36.97</v>
      </c>
      <c r="Q190" s="31" t="n">
        <v>1203.45</v>
      </c>
      <c r="R190" s="30" t="inlineStr">
        <is>
          <t>Near 52W High Breakout</t>
        </is>
      </c>
      <c r="S190" s="30" t="inlineStr">
        <is>
          <t>Nifty 50</t>
        </is>
      </c>
      <c r="T190" s="31" t="n">
        <v>-6.7</v>
      </c>
      <c r="U190" s="31" t="n">
        <v>87.79000000000001</v>
      </c>
      <c r="V190" s="31" t="n">
        <v>101.27</v>
      </c>
      <c r="W190" s="31" t="n">
        <v>20.44</v>
      </c>
      <c r="X190" s="30" t="inlineStr">
        <is>
          <t>Cyclical in an Upturn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IF(B191=0,"",RANK(B191,$B$2:$B$371,0))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MMP</t>
        </is>
      </c>
      <c r="D191" s="30" t="inlineStr">
        <is>
          <t>MMP Industries Ltd</t>
        </is>
      </c>
      <c r="E191" s="30" t="inlineStr">
        <is>
          <t>metals &amp; mining</t>
        </is>
      </c>
      <c r="F191" s="30" t="inlineStr">
        <is>
          <t>aluminium and aluminium products</t>
        </is>
      </c>
      <c r="G191" s="30" t="inlineStr">
        <is>
          <t>smallcap</t>
        </is>
      </c>
      <c r="H191" s="31" t="n">
        <v>905.36</v>
      </c>
      <c r="I191" s="31" t="n">
        <v>460.25</v>
      </c>
      <c r="J191" s="31" t="n">
        <v>-3.81</v>
      </c>
      <c r="K191" s="31" t="n">
        <v>82983</v>
      </c>
      <c r="L191" s="30" t="n">
        <v>84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84.42</v>
      </c>
      <c r="P191" s="31" t="n">
        <v>48.9</v>
      </c>
      <c r="Q191" s="31" t="n">
        <v>348.86</v>
      </c>
      <c r="R191" s="30" t="inlineStr">
        <is>
          <t>Near 52W High Breakout</t>
        </is>
      </c>
      <c r="S191" s="30" t="inlineStr">
        <is>
          <t>Nifty Metal</t>
        </is>
      </c>
      <c r="T191" s="31" t="n">
        <v>42.08</v>
      </c>
      <c r="U191" s="31" t="n">
        <v>71.01000000000001</v>
      </c>
      <c r="V191" s="31" t="n">
        <v>20.36</v>
      </c>
      <c r="W191" s="31" t="n">
        <v>32.37</v>
      </c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Cyclical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Volatile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Above 40</t>
        </is>
      </c>
      <c r="AY191" s="30">
        <f>IF(AX191="Above 40",20,IF(AX191="20 to 40",10,IF(AX191="0 to 20",-5,0)))</f>
        <v/>
      </c>
      <c r="AZ191" s="30" t="inlineStr">
        <is>
          <t>Above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IF(B192=0,"",RANK(B192,$B$2:$B$371,0))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MTARTECH</t>
        </is>
      </c>
      <c r="D192" s="30" t="inlineStr">
        <is>
          <t>MTAR Technologies Ltd</t>
        </is>
      </c>
      <c r="E192" s="30" t="inlineStr">
        <is>
          <t>aerospace &amp; defence</t>
        </is>
      </c>
      <c r="F192" s="30" t="inlineStr">
        <is>
          <t>engineering</t>
        </is>
      </c>
      <c r="G192" s="30" t="inlineStr">
        <is>
          <t>largecap</t>
        </is>
      </c>
      <c r="H192" s="31" t="n">
        <v>23990.94</v>
      </c>
      <c r="I192" s="31" t="n">
        <v>7501</v>
      </c>
      <c r="J192" s="31" t="n">
        <v>-3.83</v>
      </c>
      <c r="K192" s="31" t="n">
        <v>147151</v>
      </c>
      <c r="L192" s="30" t="n">
        <v>92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63.47</v>
      </c>
      <c r="P192" s="31" t="n">
        <v>23.59</v>
      </c>
      <c r="Q192" s="31" t="n">
        <v>6109.7</v>
      </c>
      <c r="R192" s="30" t="inlineStr">
        <is>
          <t>Earnings / Momentum Support</t>
        </is>
      </c>
      <c r="S192" s="30" t="inlineStr">
        <is>
          <t>Nifty 50</t>
        </is>
      </c>
      <c r="T192" s="31" t="n">
        <v>-6.7</v>
      </c>
      <c r="U192" s="31" t="n">
        <v>346.89</v>
      </c>
      <c r="V192" s="31" t="n">
        <v>378.98</v>
      </c>
      <c r="W192" s="31" t="n">
        <v>41.01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IF(B193=0,"",RANK(B193,$B$2:$B$371,0))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PTCIL</t>
        </is>
      </c>
      <c r="D193" s="30" t="inlineStr">
        <is>
          <t>PTC Industries Ltd</t>
        </is>
      </c>
      <c r="E193" s="30" t="inlineStr">
        <is>
          <t>industrials</t>
        </is>
      </c>
      <c r="F193" s="30" t="inlineStr">
        <is>
          <t>castings &amp; forgings</t>
        </is>
      </c>
      <c r="G193" s="30" t="inlineStr">
        <is>
          <t>largecap</t>
        </is>
      </c>
      <c r="H193" s="31" t="n">
        <v>35577.32</v>
      </c>
      <c r="I193" s="31" t="n">
        <v>22780</v>
      </c>
      <c r="J193" s="31" t="n">
        <v>-4</v>
      </c>
      <c r="K193" s="31" t="n">
        <v>31474</v>
      </c>
      <c r="L193" s="30" t="n">
        <v>51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70.54000000000001</v>
      </c>
      <c r="P193" s="31" t="n">
        <v>32.75</v>
      </c>
      <c r="Q193" s="31" t="n">
        <v>19608.91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-6.7</v>
      </c>
      <c r="U193" s="31" t="n">
        <v>60.81</v>
      </c>
      <c r="V193" s="31" t="n">
        <v>72.34999999999999</v>
      </c>
      <c r="W193" s="31" t="n">
        <v>15.26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IF(B194=0,"",RANK(B194,$B$2:$B$371,0))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BHAGERIA</t>
        </is>
      </c>
      <c r="D194" s="30" t="inlineStr">
        <is>
          <t>Bhageria Industries Limited</t>
        </is>
      </c>
      <c r="E194" s="30" t="inlineStr">
        <is>
          <t>chemicals</t>
        </is>
      </c>
      <c r="F194" s="30" t="inlineStr">
        <is>
          <t>dyes and pigments</t>
        </is>
      </c>
      <c r="G194" s="30" t="inlineStr">
        <is>
          <t>smallcap</t>
        </is>
      </c>
      <c r="H194" s="31" t="n">
        <v>1465.57</v>
      </c>
      <c r="I194" s="31" t="n">
        <v>319.05</v>
      </c>
      <c r="J194" s="31" t="n">
        <v>-4.99</v>
      </c>
      <c r="K194" s="31" t="n">
        <v>167841</v>
      </c>
      <c r="L194" s="30" t="n">
        <v>74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76.81</v>
      </c>
      <c r="P194" s="31" t="n">
        <v>36.9</v>
      </c>
      <c r="Q194" s="31" t="n">
        <v>243.51</v>
      </c>
      <c r="R194" s="30" t="inlineStr">
        <is>
          <t>Near 52W High Breakout</t>
        </is>
      </c>
      <c r="S194" s="30" t="inlineStr">
        <is>
          <t>Nifty 50</t>
        </is>
      </c>
      <c r="T194" s="31" t="n">
        <v>-6.7</v>
      </c>
      <c r="U194" s="31" t="n">
        <v>58.03</v>
      </c>
      <c r="V194" s="31" t="n">
        <v>69.38</v>
      </c>
      <c r="W194" s="31" t="n">
        <v>24.09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Above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IF(B195=0,"",RANK(B195,$B$2:$B$371,0))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NRAIL</t>
        </is>
      </c>
      <c r="D195" s="30" t="inlineStr">
        <is>
          <t>N R Agarwal Industries Ltd</t>
        </is>
      </c>
      <c r="E195" s="30" t="inlineStr">
        <is>
          <t>building materials</t>
        </is>
      </c>
      <c r="F195" s="30" t="inlineStr">
        <is>
          <t>paper</t>
        </is>
      </c>
      <c r="G195" s="30" t="inlineStr">
        <is>
          <t>smallcap</t>
        </is>
      </c>
      <c r="H195" s="31" t="n">
        <v>1096.63</v>
      </c>
      <c r="I195" s="31" t="n">
        <v>611.2</v>
      </c>
      <c r="J195" s="31" t="n">
        <v>-5.14</v>
      </c>
      <c r="K195" s="31" t="n">
        <v>41453</v>
      </c>
      <c r="L195" s="30" t="n">
        <v>65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67.83</v>
      </c>
      <c r="P195" s="31" t="n">
        <v>32.21</v>
      </c>
      <c r="Q195" s="31" t="n">
        <v>447.77</v>
      </c>
      <c r="R195" s="30" t="inlineStr">
        <is>
          <t>Volume Spike &amp; Near 52W High Breakout</t>
        </is>
      </c>
      <c r="S195" s="30" t="inlineStr">
        <is>
          <t>Nifty Infra</t>
        </is>
      </c>
      <c r="T195" s="31" t="n">
        <v>0.58</v>
      </c>
      <c r="U195" s="31" t="n">
        <v>78.23</v>
      </c>
      <c r="V195" s="31" t="n">
        <v>77.19</v>
      </c>
      <c r="W195" s="31" t="n">
        <v>19.57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Between 0.7 to 1.2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IF(B196=0,"",RANK(B196,$B$2:$B$371,0))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BECTORFOOD</t>
        </is>
      </c>
      <c r="D196" s="32" t="inlineStr">
        <is>
          <t>Mrs Bectors Food Specialities Ltd</t>
        </is>
      </c>
      <c r="E196" s="30" t="inlineStr">
        <is>
          <t>fmcg</t>
        </is>
      </c>
      <c r="F196" s="30" t="inlineStr">
        <is>
          <t>food - processing - indian</t>
        </is>
      </c>
      <c r="G196" s="30" t="inlineStr">
        <is>
          <t>midcap</t>
        </is>
      </c>
      <c r="H196" s="31" t="n">
        <v>7071.53</v>
      </c>
      <c r="I196" s="31" t="n">
        <v>242.05</v>
      </c>
      <c r="J196" s="31" t="n">
        <v>5.08</v>
      </c>
      <c r="K196" s="31" t="n">
        <v>2474475</v>
      </c>
      <c r="L196" s="30" t="n">
        <v>7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60.83</v>
      </c>
      <c r="P196" s="31" t="n">
        <v>21.42</v>
      </c>
      <c r="Q196" s="31" t="n">
        <v>196.91</v>
      </c>
      <c r="R196" s="30" t="inlineStr">
        <is>
          <t>Earnings / Momentum Support</t>
        </is>
      </c>
      <c r="S196" s="30" t="inlineStr">
        <is>
          <t>Nifty FMCG</t>
        </is>
      </c>
      <c r="T196" s="31" t="n">
        <v>-16.99</v>
      </c>
      <c r="U196" s="31" t="n">
        <v>-20.06</v>
      </c>
      <c r="V196" s="31" t="n">
        <v>-3.71</v>
      </c>
      <c r="W196" s="31" t="n">
        <v>1.57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B2C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Between 1.5 to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IF(B197=0,"",RANK(B197,$B$2:$B$371,0))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CUPID</t>
        </is>
      </c>
      <c r="D197" s="30" t="inlineStr">
        <is>
          <t>Cupid Limited</t>
        </is>
      </c>
      <c r="E197" s="30" t="inlineStr">
        <is>
          <t>fmcg</t>
        </is>
      </c>
      <c r="F197" s="30" t="inlineStr">
        <is>
          <t>personal care - indian</t>
        </is>
      </c>
      <c r="G197" s="30" t="inlineStr">
        <is>
          <t>largecap</t>
        </is>
      </c>
      <c r="H197" s="31" t="n">
        <v>36951.28</v>
      </c>
      <c r="I197" s="31" t="n">
        <v>279.7</v>
      </c>
      <c r="J197" s="31" t="n">
        <v>1.78</v>
      </c>
      <c r="K197" s="31" t="n">
        <v>26778485</v>
      </c>
      <c r="L197" s="30" t="n">
        <v>99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84.61</v>
      </c>
      <c r="P197" s="31" t="n">
        <v>73.18000000000001</v>
      </c>
      <c r="Q197" s="31" t="n">
        <v>228.08</v>
      </c>
      <c r="R197" s="30" t="inlineStr">
        <is>
          <t>Near 52W High Breakout</t>
        </is>
      </c>
      <c r="S197" s="30" t="inlineStr">
        <is>
          <t>Nifty FMCG</t>
        </is>
      </c>
      <c r="T197" s="31" t="n">
        <v>-16.99</v>
      </c>
      <c r="U197" s="31" t="n">
        <v>845.51</v>
      </c>
      <c r="V197" s="31" t="n">
        <v>1038.97</v>
      </c>
      <c r="W197" s="31" t="n">
        <v>92.98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B2C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Above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IF(B198=0,"",RANK(B198,$B$2:$B$371,0))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2" t="inlineStr">
        <is>
          <t>KOVAI</t>
        </is>
      </c>
      <c r="D198" s="32" t="inlineStr">
        <is>
          <t>Kovai Medical Center &amp; Hospital Ltd</t>
        </is>
      </c>
      <c r="E198" s="30" t="inlineStr">
        <is>
          <t>healthcare</t>
        </is>
      </c>
      <c r="F198" s="30" t="inlineStr">
        <is>
          <t>healthcare</t>
        </is>
      </c>
      <c r="G198" s="30" t="inlineStr">
        <is>
          <t>midcap</t>
        </is>
      </c>
      <c r="H198" s="31" t="n">
        <v>6682.44</v>
      </c>
      <c r="I198" s="31" t="n">
        <v>6149.5</v>
      </c>
      <c r="J198" s="31" t="n">
        <v>0.7</v>
      </c>
      <c r="K198" s="31" t="n">
        <v>6798</v>
      </c>
      <c r="L198" s="30" t="n">
        <v>6</v>
      </c>
      <c r="M198" s="30" t="inlineStr">
        <is>
          <t>Underperforming</t>
        </is>
      </c>
      <c r="N198" s="31">
        <f>IF(M198="Underperforming",-5,IF(L198&gt;=95,15,IF(L198&gt;=90,10,IF(L198&gt;=80,5,0))))</f>
        <v/>
      </c>
      <c r="O198" s="31" t="n">
        <v>65.42</v>
      </c>
      <c r="P198" s="31" t="n">
        <v>33.8</v>
      </c>
      <c r="Q198" s="31" t="n">
        <v>5261.74</v>
      </c>
      <c r="R198" s="30" t="inlineStr">
        <is>
          <t>Earnings / Momentum Support</t>
        </is>
      </c>
      <c r="S198" s="30" t="inlineStr">
        <is>
          <t>Nifty Pharma</t>
        </is>
      </c>
      <c r="T198" s="31" t="n">
        <v>19.47</v>
      </c>
      <c r="U198" s="31" t="n">
        <v>-2.42</v>
      </c>
      <c r="V198" s="31" t="n">
        <v>-18.32</v>
      </c>
      <c r="W198" s="31" t="n">
        <v>1.16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Yes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IF(B199=0,"",RANK(B199,$B$2:$B$371,0))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STAR</t>
        </is>
      </c>
      <c r="D199" s="30" t="inlineStr">
        <is>
          <t>Strides Shasun Limited</t>
        </is>
      </c>
      <c r="E199" s="30" t="inlineStr">
        <is>
          <t>healthcare</t>
        </is>
      </c>
      <c r="F199" s="30" t="inlineStr">
        <is>
          <t>pharmaceuticals - indian - bulk drugs &amp; formln</t>
        </is>
      </c>
      <c r="G199" s="30" t="inlineStr">
        <is>
          <t>midcap</t>
        </is>
      </c>
      <c r="H199" s="31" t="n">
        <v>10944.59</v>
      </c>
      <c r="I199" s="31" t="n">
        <v>1195.7</v>
      </c>
      <c r="J199" s="31" t="n">
        <v>0.7</v>
      </c>
      <c r="K199" s="31" t="n">
        <v>376096</v>
      </c>
      <c r="L199" s="30" t="n">
        <v>33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66</v>
      </c>
      <c r="P199" s="31" t="n">
        <v>10.46</v>
      </c>
      <c r="Q199" s="31" t="n">
        <v>923.8099999999999</v>
      </c>
      <c r="R199" s="30" t="inlineStr">
        <is>
          <t>Volume Spike &amp; Near 52W High Breakout</t>
        </is>
      </c>
      <c r="S199" s="30" t="inlineStr">
        <is>
          <t>Nifty Pharma</t>
        </is>
      </c>
      <c r="T199" s="31" t="n">
        <v>19.47</v>
      </c>
      <c r="U199" s="31" t="n">
        <v>32.05</v>
      </c>
      <c r="V199" s="31" t="n">
        <v>10.52</v>
      </c>
      <c r="W199" s="31" t="n">
        <v>8.720000000000001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0 to 20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IF(B200=0,"",RANK(B200,$B$2:$B$371,0))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THEMISMED</t>
        </is>
      </c>
      <c r="D200" s="32" t="inlineStr">
        <is>
          <t>Themis Medicare Limited</t>
        </is>
      </c>
      <c r="E200" s="30" t="inlineStr">
        <is>
          <t>healthcare</t>
        </is>
      </c>
      <c r="F200" s="30" t="inlineStr">
        <is>
          <t>pharmaceuticals - indian - bulk drugs &amp; formln</t>
        </is>
      </c>
      <c r="G200" s="30" t="inlineStr">
        <is>
          <t>smallcap</t>
        </is>
      </c>
      <c r="H200" s="31" t="n">
        <v>1217.29</v>
      </c>
      <c r="I200" s="31" t="n">
        <v>132.71</v>
      </c>
      <c r="J200" s="31" t="n">
        <v>0.41</v>
      </c>
      <c r="K200" s="31" t="n">
        <v>305033</v>
      </c>
      <c r="L200" s="30" t="n">
        <v>36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66.13</v>
      </c>
      <c r="P200" s="31" t="n">
        <v>39.52</v>
      </c>
      <c r="Q200" s="31" t="n">
        <v>93.22</v>
      </c>
      <c r="R200" s="30" t="inlineStr">
        <is>
          <t>Near 52W High Breakout</t>
        </is>
      </c>
      <c r="S200" s="30" t="inlineStr">
        <is>
          <t>Nifty Pharma</t>
        </is>
      </c>
      <c r="T200" s="31" t="n">
        <v>19.47</v>
      </c>
      <c r="U200" s="31" t="n">
        <v>8.67</v>
      </c>
      <c r="V200" s="31" t="n">
        <v>-9.039999999999999</v>
      </c>
      <c r="W200" s="31" t="n">
        <v>9.73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IF(B201=0,"",RANK(B201,$B$2:$B$371,0))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2" t="inlineStr">
        <is>
          <t>RPGLIFE</t>
        </is>
      </c>
      <c r="D201" s="32" t="inlineStr">
        <is>
          <t>Rpg Life Sciences Limited</t>
        </is>
      </c>
      <c r="E201" s="30" t="inlineStr">
        <is>
          <t>healthcare</t>
        </is>
      </c>
      <c r="F201" s="30" t="inlineStr">
        <is>
          <t>pharmaceuticals - indian - bulk drugs &amp; formln</t>
        </is>
      </c>
      <c r="G201" s="30" t="inlineStr">
        <is>
          <t>smallcap</t>
        </is>
      </c>
      <c r="H201" s="31" t="n">
        <v>4635.22</v>
      </c>
      <c r="I201" s="31" t="n">
        <v>2812</v>
      </c>
      <c r="J201" s="31" t="n">
        <v>0.34</v>
      </c>
      <c r="K201" s="31" t="n">
        <v>51216</v>
      </c>
      <c r="L201" s="30" t="n">
        <v>38</v>
      </c>
      <c r="M201" s="30" t="inlineStr">
        <is>
          <t>Underperforming</t>
        </is>
      </c>
      <c r="N201" s="31">
        <f>IF(M201="Underperforming",-5,IF(L201&gt;=95,15,IF(L201&gt;=90,10,IF(L201&gt;=80,5,0))))</f>
        <v/>
      </c>
      <c r="O201" s="31" t="n">
        <v>62.38</v>
      </c>
      <c r="P201" s="31" t="n">
        <v>36.76</v>
      </c>
      <c r="Q201" s="31" t="n">
        <v>2286.91</v>
      </c>
      <c r="R201" s="30" t="inlineStr">
        <is>
          <t>Near 52W High Breakout</t>
        </is>
      </c>
      <c r="S201" s="30" t="inlineStr">
        <is>
          <t>Nifty Pharma</t>
        </is>
      </c>
      <c r="T201" s="31" t="n">
        <v>19.47</v>
      </c>
      <c r="U201" s="31" t="n">
        <v>19.3</v>
      </c>
      <c r="V201" s="31" t="n">
        <v>-0.14</v>
      </c>
      <c r="W201" s="31" t="n">
        <v>10.52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Yes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Between 12 to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IF(B202=0,"",RANK(B202,$B$2:$B$371,0))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2" t="inlineStr">
        <is>
          <t>LINCOLN</t>
        </is>
      </c>
      <c r="D202" s="32" t="inlineStr">
        <is>
          <t>Lincoln Pharmaceuticals Limited</t>
        </is>
      </c>
      <c r="E202" s="30" t="inlineStr">
        <is>
          <t>healthcare</t>
        </is>
      </c>
      <c r="F202" s="30" t="inlineStr">
        <is>
          <t>pharmaceuticals - indian - formulations</t>
        </is>
      </c>
      <c r="G202" s="30" t="inlineStr">
        <is>
          <t>smallcap</t>
        </is>
      </c>
      <c r="H202" s="31" t="n">
        <v>1281.5</v>
      </c>
      <c r="I202" s="31" t="n">
        <v>637.5</v>
      </c>
      <c r="J202" s="31" t="n">
        <v>-0.36</v>
      </c>
      <c r="K202" s="31" t="n">
        <v>31329</v>
      </c>
      <c r="L202" s="30" t="n">
        <v>11</v>
      </c>
      <c r="M202" s="30" t="inlineStr">
        <is>
          <t>Underperforming</t>
        </is>
      </c>
      <c r="N202" s="31">
        <f>IF(M202="Underperforming",-5,IF(L202&gt;=95,15,IF(L202&gt;=90,10,IF(L202&gt;=80,5,0))))</f>
        <v/>
      </c>
      <c r="O202" s="31" t="n">
        <v>56.4</v>
      </c>
      <c r="P202" s="31" t="n">
        <v>28.17</v>
      </c>
      <c r="Q202" s="31" t="n">
        <v>499.03</v>
      </c>
      <c r="R202" s="30" t="inlineStr">
        <is>
          <t>Earnings / Momentum Support</t>
        </is>
      </c>
      <c r="S202" s="30" t="inlineStr">
        <is>
          <t>Nifty Pharma</t>
        </is>
      </c>
      <c r="T202" s="31" t="n">
        <v>19.47</v>
      </c>
      <c r="U202" s="31" t="n">
        <v>15</v>
      </c>
      <c r="V202" s="31" t="n">
        <v>-3.74</v>
      </c>
      <c r="W202" s="31" t="n">
        <v>3.75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IF(B203=0,"",RANK(B203,$B$2:$B$371,0))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BLSE</t>
        </is>
      </c>
      <c r="D203" s="30" t="inlineStr">
        <is>
          <t>BLS E-Services Ltd</t>
        </is>
      </c>
      <c r="E203" s="30" t="inlineStr">
        <is>
          <t>i.t</t>
        </is>
      </c>
      <c r="F203" s="30" t="inlineStr">
        <is>
          <t>computers - software - medium / small</t>
        </is>
      </c>
      <c r="G203" s="30" t="inlineStr">
        <is>
          <t>smallcap</t>
        </is>
      </c>
      <c r="H203" s="31" t="n">
        <v>2926.03</v>
      </c>
      <c r="I203" s="31" t="n">
        <v>320.6</v>
      </c>
      <c r="J203" s="31" t="n">
        <v>-0.45</v>
      </c>
      <c r="K203" s="31" t="n">
        <v>178708</v>
      </c>
      <c r="L203" s="30" t="n">
        <v>75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80.63</v>
      </c>
      <c r="P203" s="31" t="n">
        <v>57.86</v>
      </c>
      <c r="Q203" s="31" t="n">
        <v>262.95</v>
      </c>
      <c r="R203" s="30" t="inlineStr">
        <is>
          <t>Near 52W High Breakout</t>
        </is>
      </c>
      <c r="S203" s="30" t="inlineStr">
        <is>
          <t>Nifty IT</t>
        </is>
      </c>
      <c r="T203" s="31" t="n">
        <v>-19.93</v>
      </c>
      <c r="U203" s="31" t="n">
        <v>69.16</v>
      </c>
      <c r="V203" s="31" t="n">
        <v>111.27</v>
      </c>
      <c r="W203" s="31" t="n">
        <v>24.58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Annuity, Lower One Time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Above 40</t>
        </is>
      </c>
      <c r="AY203" s="30">
        <f>IF(AX203="Above 40",20,IF(AX203="20 to 40",10,IF(AX203="0 to 20",-5,0)))</f>
        <v/>
      </c>
      <c r="AZ203" s="30" t="inlineStr">
        <is>
          <t>Above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Blue sky scenario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Less than 12%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IF(B204=0,"",RANK(B204,$B$2:$B$371,0))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ENTERO</t>
        </is>
      </c>
      <c r="D204" s="30" t="inlineStr">
        <is>
          <t>Entero Healthcare Solutions Ltd</t>
        </is>
      </c>
      <c r="E204" s="30" t="inlineStr">
        <is>
          <t>healthcare</t>
        </is>
      </c>
      <c r="F204" s="30" t="inlineStr">
        <is>
          <t>trading</t>
        </is>
      </c>
      <c r="G204" s="30" t="inlineStr">
        <is>
          <t>midcap</t>
        </is>
      </c>
      <c r="H204" s="31" t="n">
        <v>8059.6</v>
      </c>
      <c r="I204" s="31" t="n">
        <v>1828.3</v>
      </c>
      <c r="J204" s="31" t="n">
        <v>-1.27</v>
      </c>
      <c r="K204" s="31" t="n">
        <v>90729</v>
      </c>
      <c r="L204" s="30" t="n">
        <v>74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78.3</v>
      </c>
      <c r="P204" s="31" t="n">
        <v>37.77</v>
      </c>
      <c r="Q204" s="31" t="n">
        <v>1445.46</v>
      </c>
      <c r="R204" s="30" t="inlineStr">
        <is>
          <t>Near 52W High Breakout</t>
        </is>
      </c>
      <c r="S204" s="30" t="inlineStr">
        <is>
          <t>Nifty Pharma</t>
        </is>
      </c>
      <c r="T204" s="31" t="n">
        <v>19.47</v>
      </c>
      <c r="U204" s="31" t="n">
        <v>58.4</v>
      </c>
      <c r="V204" s="31" t="n">
        <v>32.59</v>
      </c>
      <c r="W204" s="31" t="n">
        <v>24.38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Yes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Annuity, Lower One Time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Above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Between 1.5 to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IF(B205=0,"",RANK(B205,$B$2:$B$371,0))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ANTHEM</t>
        </is>
      </c>
      <c r="D205" s="32" t="inlineStr">
        <is>
          <t>Anthem Biosciences Ltd</t>
        </is>
      </c>
      <c r="E205" s="30" t="inlineStr">
        <is>
          <t>healthcare</t>
        </is>
      </c>
      <c r="F205" s="30" t="inlineStr">
        <is>
          <t>pharmaceuticals - indian - bulk drugs &amp; formln</t>
        </is>
      </c>
      <c r="G205" s="30" t="inlineStr">
        <is>
          <t>largecap</t>
        </is>
      </c>
      <c r="H205" s="31" t="n">
        <v>53960.99</v>
      </c>
      <c r="I205" s="31" t="n">
        <v>942.95</v>
      </c>
      <c r="J205" s="31" t="n">
        <v>-1.55</v>
      </c>
      <c r="K205" s="31" t="n">
        <v>928217</v>
      </c>
      <c r="L205" s="30" t="n">
        <v>28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73.29000000000001</v>
      </c>
      <c r="P205" s="31" t="n">
        <v>45.71</v>
      </c>
      <c r="Q205" s="31" t="n">
        <v>786.66</v>
      </c>
      <c r="R205" s="30" t="inlineStr">
        <is>
          <t>Near 52W High Breakout</t>
        </is>
      </c>
      <c r="S205" s="30" t="inlineStr">
        <is>
          <t>Nifty Pharma</t>
        </is>
      </c>
      <c r="T205" s="31" t="n">
        <v>19.47</v>
      </c>
      <c r="U205" s="31" t="n">
        <v>13.43</v>
      </c>
      <c r="V205" s="31" t="n">
        <v>-5.06</v>
      </c>
      <c r="W205" s="31" t="n">
        <v>7.68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IF(B206=0,"",RANK(B206,$B$2:$B$371,0))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KOPRAN</t>
        </is>
      </c>
      <c r="D206" s="30" t="inlineStr">
        <is>
          <t>Kopran Limited</t>
        </is>
      </c>
      <c r="E206" s="30" t="inlineStr">
        <is>
          <t>healthcare</t>
        </is>
      </c>
      <c r="F206" s="30" t="inlineStr">
        <is>
          <t>pharmaceuticals - indian - bulk drugs &amp; formln</t>
        </is>
      </c>
      <c r="G206" s="30" t="inlineStr">
        <is>
          <t>smallcap</t>
        </is>
      </c>
      <c r="H206" s="31" t="n">
        <v>1156.49</v>
      </c>
      <c r="I206" s="31" t="n">
        <v>234.37</v>
      </c>
      <c r="J206" s="31" t="n">
        <v>-2.15</v>
      </c>
      <c r="K206" s="31" t="n">
        <v>363944</v>
      </c>
      <c r="L206" s="30" t="n">
        <v>54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70.92</v>
      </c>
      <c r="P206" s="31" t="n">
        <v>40.78</v>
      </c>
      <c r="Q206" s="31" t="n">
        <v>173.18</v>
      </c>
      <c r="R206" s="30" t="inlineStr">
        <is>
          <t>Near 52W High Breakout</t>
        </is>
      </c>
      <c r="S206" s="30" t="inlineStr">
        <is>
          <t>Nifty Pharma</t>
        </is>
      </c>
      <c r="T206" s="31" t="n">
        <v>19.47</v>
      </c>
      <c r="U206" s="31" t="n">
        <v>33.81</v>
      </c>
      <c r="V206" s="31" t="n">
        <v>12</v>
      </c>
      <c r="W206" s="31" t="n">
        <v>16.21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Yes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Annuity, Lower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IF(B207=0,"",RANK(B207,$B$2:$B$371,0))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2" t="inlineStr">
        <is>
          <t>PPLPHARMA</t>
        </is>
      </c>
      <c r="D207" s="32" t="inlineStr">
        <is>
          <t>Piramal Pharma Ltd</t>
        </is>
      </c>
      <c r="E207" s="30" t="inlineStr">
        <is>
          <t>healthcare</t>
        </is>
      </c>
      <c r="F207" s="30" t="inlineStr">
        <is>
          <t>pharmaceuticals - indian - bulk drugs &amp; formln</t>
        </is>
      </c>
      <c r="G207" s="30" t="inlineStr">
        <is>
          <t>largecap</t>
        </is>
      </c>
      <c r="H207" s="31" t="n">
        <v>30171.01</v>
      </c>
      <c r="I207" s="31" t="n">
        <v>218</v>
      </c>
      <c r="J207" s="31" t="n">
        <v>-3.8</v>
      </c>
      <c r="K207" s="31" t="n">
        <v>3881596</v>
      </c>
      <c r="L207" s="30" t="n">
        <v>36</v>
      </c>
      <c r="M207" s="30" t="inlineStr">
        <is>
          <t>Underperforming</t>
        </is>
      </c>
      <c r="N207" s="31">
        <f>IF(M207="Underperforming",-5,IF(L207&gt;=95,15,IF(L207&gt;=90,10,IF(L207&gt;=80,5,0))))</f>
        <v/>
      </c>
      <c r="O207" s="31" t="n">
        <v>70.47</v>
      </c>
      <c r="P207" s="31" t="n">
        <v>33.25</v>
      </c>
      <c r="Q207" s="31" t="n">
        <v>174.59</v>
      </c>
      <c r="R207" s="30" t="inlineStr">
        <is>
          <t>Near 52W High Breakout</t>
        </is>
      </c>
      <c r="S207" s="30" t="inlineStr">
        <is>
          <t>Nifty Pharma</t>
        </is>
      </c>
      <c r="T207" s="31" t="n">
        <v>19.47</v>
      </c>
      <c r="U207" s="31" t="n">
        <v>8.640000000000001</v>
      </c>
      <c r="V207" s="31" t="n">
        <v>-9.07</v>
      </c>
      <c r="W207" s="31" t="n">
        <v>10.07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Yes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IF(B208=0,"",RANK(B208,$B$2:$B$371,0))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CHENNPETRO</t>
        </is>
      </c>
      <c r="D208" s="30" t="inlineStr">
        <is>
          <t>Chennai Petroleum Corporation Limited</t>
        </is>
      </c>
      <c r="E208" s="30" t="inlineStr">
        <is>
          <t>energy</t>
        </is>
      </c>
      <c r="F208" s="30" t="inlineStr">
        <is>
          <t>refineries</t>
        </is>
      </c>
      <c r="G208" s="30" t="inlineStr">
        <is>
          <t>largecap</t>
        </is>
      </c>
      <c r="H208" s="31" t="n">
        <v>21708.3</v>
      </c>
      <c r="I208" s="31" t="n">
        <v>1604.4</v>
      </c>
      <c r="J208" s="31" t="n">
        <v>10.06</v>
      </c>
      <c r="K208" s="31" t="n">
        <v>8400385</v>
      </c>
      <c r="L208" s="30" t="n">
        <v>86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78.88</v>
      </c>
      <c r="P208" s="31" t="n">
        <v>58.28</v>
      </c>
      <c r="Q208" s="31" t="n">
        <v>1216.17</v>
      </c>
      <c r="R208" s="30" t="inlineStr">
        <is>
          <t>Near 52W High Breakout</t>
        </is>
      </c>
      <c r="S208" s="30" t="inlineStr">
        <is>
          <t>Nifty Energy</t>
        </is>
      </c>
      <c r="T208" s="31" t="n">
        <v>8.75</v>
      </c>
      <c r="U208" s="31" t="n">
        <v>147.25</v>
      </c>
      <c r="V208" s="31" t="n">
        <v>127.36</v>
      </c>
      <c r="W208" s="31" t="n">
        <v>33.92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Oligopoly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Cyclical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Volatile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Above 40</t>
        </is>
      </c>
      <c r="AY208" s="30">
        <f>IF(AX208="Above 40",20,IF(AX208="20 to 40",10,IF(AX208="0 to 20",-5,0)))</f>
        <v/>
      </c>
      <c r="AZ208" s="30" t="inlineStr">
        <is>
          <t>Above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IF(B209=0,"",RANK(B209,$B$2:$B$371,0))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YUKEN</t>
        </is>
      </c>
      <c r="D209" s="30" t="inlineStr">
        <is>
          <t>Yuken India Ltd</t>
        </is>
      </c>
      <c r="E209" s="30" t="inlineStr">
        <is>
          <t>industrials</t>
        </is>
      </c>
      <c r="F209" s="30" t="inlineStr">
        <is>
          <t>engineering</t>
        </is>
      </c>
      <c r="G209" s="30" t="inlineStr">
        <is>
          <t>smallcap</t>
        </is>
      </c>
      <c r="H209" s="31" t="n">
        <v>1381.97</v>
      </c>
      <c r="I209" s="31" t="n">
        <v>1067.7</v>
      </c>
      <c r="J209" s="31" t="n">
        <v>4.95</v>
      </c>
      <c r="K209" s="31" t="n">
        <v>38375</v>
      </c>
      <c r="L209" s="30" t="n">
        <v>53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74.78</v>
      </c>
      <c r="P209" s="31" t="n">
        <v>24.88</v>
      </c>
      <c r="Q209" s="31" t="n">
        <v>844.54</v>
      </c>
      <c r="R209" s="30" t="inlineStr">
        <is>
          <t>Near 52W High Breakout</t>
        </is>
      </c>
      <c r="S209" s="30" t="inlineStr">
        <is>
          <t>Nifty 50</t>
        </is>
      </c>
      <c r="T209" s="31" t="n">
        <v>-6.7</v>
      </c>
      <c r="U209" s="31" t="n">
        <v>7.54</v>
      </c>
      <c r="V209" s="31" t="n">
        <v>15.27</v>
      </c>
      <c r="W209" s="31" t="n">
        <v>15.58</v>
      </c>
      <c r="X209" s="30" t="inlineStr">
        <is>
          <t>Cyclical in an Upturn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IF(B210=0,"",RANK(B210,$B$2:$B$371,0))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PAYTM</t>
        </is>
      </c>
      <c r="D210" s="30" t="inlineStr">
        <is>
          <t>One 97 Communications Ltd</t>
        </is>
      </c>
      <c r="E210" s="30" t="inlineStr">
        <is>
          <t>i.t</t>
        </is>
      </c>
      <c r="F210" s="30" t="inlineStr">
        <is>
          <t>miscellaneous</t>
        </is>
      </c>
      <c r="G210" s="30" t="inlineStr">
        <is>
          <t>largecap</t>
        </is>
      </c>
      <c r="H210" s="31" t="n">
        <v>106936.28</v>
      </c>
      <c r="I210" s="31" t="n">
        <v>1751.5</v>
      </c>
      <c r="J210" s="31" t="n">
        <v>4.88</v>
      </c>
      <c r="K210" s="31" t="n">
        <v>8247684</v>
      </c>
      <c r="L210" s="30" t="n">
        <v>73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78.26000000000001</v>
      </c>
      <c r="P210" s="31" t="n">
        <v>27.84</v>
      </c>
      <c r="Q210" s="31" t="n">
        <v>1419.86</v>
      </c>
      <c r="R210" s="30" t="inlineStr">
        <is>
          <t>Near 52W High Breakout</t>
        </is>
      </c>
      <c r="S210" s="30" t="inlineStr">
        <is>
          <t>Nifty IT</t>
        </is>
      </c>
      <c r="T210" s="31" t="n">
        <v>-19.93</v>
      </c>
      <c r="U210" s="31" t="n">
        <v>43.68</v>
      </c>
      <c r="V210" s="31" t="n">
        <v>79.45</v>
      </c>
      <c r="W210" s="31" t="n">
        <v>23.61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IF(B211=0,"",RANK(B211,$B$2:$B$371,0))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CRAFTSMAN</t>
        </is>
      </c>
      <c r="D211" s="30" t="inlineStr">
        <is>
          <t>Craftsman Automation Ltd</t>
        </is>
      </c>
      <c r="E211" s="30" t="inlineStr">
        <is>
          <t>auto</t>
        </is>
      </c>
      <c r="F211" s="30" t="inlineStr">
        <is>
          <t>auto ancillaries</t>
        </is>
      </c>
      <c r="G211" s="30" t="inlineStr">
        <is>
          <t>largecap</t>
        </is>
      </c>
      <c r="H211" s="31" t="n">
        <v>29831.75</v>
      </c>
      <c r="I211" s="31" t="n">
        <v>11806</v>
      </c>
      <c r="J211" s="31" t="n">
        <v>3.51</v>
      </c>
      <c r="K211" s="31" t="n">
        <v>52885</v>
      </c>
      <c r="L211" s="30" t="n">
        <v>77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76.55</v>
      </c>
      <c r="P211" s="31" t="n">
        <v>67.25</v>
      </c>
      <c r="Q211" s="31" t="n">
        <v>9776.440000000001</v>
      </c>
      <c r="R211" s="30" t="inlineStr">
        <is>
          <t>Near 52W High Breakout</t>
        </is>
      </c>
      <c r="S211" s="30" t="inlineStr">
        <is>
          <t>Nifty Auto</t>
        </is>
      </c>
      <c r="T211" s="31" t="n">
        <v>16.28</v>
      </c>
      <c r="U211" s="31" t="n">
        <v>88.33</v>
      </c>
      <c r="V211" s="31" t="n">
        <v>61.96</v>
      </c>
      <c r="W211" s="31" t="n">
        <v>26.35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Above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Between 0.7 to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IF(B212=0,"",RANK(B212,$B$2:$B$371,0))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ADANIPOWER</t>
        </is>
      </c>
      <c r="D212" s="30" t="inlineStr">
        <is>
          <t>Adani Power Limited</t>
        </is>
      </c>
      <c r="E212" s="30" t="inlineStr">
        <is>
          <t>power &amp; utilities</t>
        </is>
      </c>
      <c r="F212" s="30" t="inlineStr">
        <is>
          <t>power generation and supply</t>
        </is>
      </c>
      <c r="G212" s="30" t="inlineStr">
        <is>
          <t>largecap</t>
        </is>
      </c>
      <c r="H212" s="31" t="n">
        <v>401893.04</v>
      </c>
      <c r="I212" s="31" t="n">
        <v>214.9</v>
      </c>
      <c r="J212" s="31" t="n">
        <v>3.12</v>
      </c>
      <c r="K212" s="31" t="n">
        <v>33227588</v>
      </c>
      <c r="L212" s="30" t="n">
        <v>41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58.52</v>
      </c>
      <c r="P212" s="31" t="n">
        <v>27.59</v>
      </c>
      <c r="Q212" s="31" t="n">
        <v>192.03</v>
      </c>
      <c r="R212" s="30" t="inlineStr">
        <is>
          <t>Earnings / Momentum Support</t>
        </is>
      </c>
      <c r="S212" s="30" t="inlineStr">
        <is>
          <t>Nifty IT</t>
        </is>
      </c>
      <c r="T212" s="31" t="n">
        <v>-19.93</v>
      </c>
      <c r="U212" s="31" t="n">
        <v>65.68000000000001</v>
      </c>
      <c r="V212" s="31" t="n">
        <v>106.92</v>
      </c>
      <c r="W212" s="31" t="n">
        <v>11.54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Between 0.7 to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IF(B213=0,"",RANK(B213,$B$2:$B$371,0))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RAIN</t>
        </is>
      </c>
      <c r="D213" s="30" t="inlineStr">
        <is>
          <t>Rain Industries Limited</t>
        </is>
      </c>
      <c r="E213" s="30" t="inlineStr">
        <is>
          <t>miscellaneous</t>
        </is>
      </c>
      <c r="F213" s="30" t="inlineStr">
        <is>
          <t>miscellaneous</t>
        </is>
      </c>
      <c r="G213" s="30" t="inlineStr">
        <is>
          <t>midcap</t>
        </is>
      </c>
      <c r="H213" s="31" t="n">
        <v>7325.95</v>
      </c>
      <c r="I213" s="31" t="n">
        <v>222.5</v>
      </c>
      <c r="J213" s="31" t="n">
        <v>2.15</v>
      </c>
      <c r="K213" s="31" t="n">
        <v>11435273</v>
      </c>
      <c r="L213" s="30" t="n">
        <v>56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67.52</v>
      </c>
      <c r="P213" s="31" t="n">
        <v>49.15</v>
      </c>
      <c r="Q213" s="31" t="n">
        <v>168.03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-6.7</v>
      </c>
      <c r="U213" s="31" t="n">
        <v>61.25</v>
      </c>
      <c r="V213" s="31" t="n">
        <v>72.83</v>
      </c>
      <c r="W213" s="31" t="n">
        <v>16.93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Above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Between 50% to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More than 1.2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IF(B214=0,"",RANK(B214,$B$2:$B$371,0))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NEOGEN</t>
        </is>
      </c>
      <c r="D214" s="30" t="inlineStr">
        <is>
          <t>Neogen Chemicals Ltd</t>
        </is>
      </c>
      <c r="E214" s="30" t="inlineStr">
        <is>
          <t>chemicals</t>
        </is>
      </c>
      <c r="F214" s="30" t="inlineStr">
        <is>
          <t>chemicals</t>
        </is>
      </c>
      <c r="G214" s="30" t="inlineStr">
        <is>
          <t>midcap</t>
        </is>
      </c>
      <c r="H214" s="31" t="n">
        <v>6059.56</v>
      </c>
      <c r="I214" s="31" t="n">
        <v>2255.2</v>
      </c>
      <c r="J214" s="31" t="n">
        <v>1.91</v>
      </c>
      <c r="K214" s="31" t="n">
        <v>234288</v>
      </c>
      <c r="L214" s="30" t="n">
        <v>46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67.06</v>
      </c>
      <c r="P214" s="31" t="n">
        <v>56.59</v>
      </c>
      <c r="Q214" s="31" t="n">
        <v>1678.54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-6.7</v>
      </c>
      <c r="U214" s="31" t="n">
        <v>44.23</v>
      </c>
      <c r="V214" s="31" t="n">
        <v>54.58</v>
      </c>
      <c r="W214" s="31" t="n">
        <v>13.24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Above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Blue sky scenario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More than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IF(B215=0,"",RANK(B215,$B$2:$B$371,0))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CGPOWER</t>
        </is>
      </c>
      <c r="D215" s="30" t="inlineStr">
        <is>
          <t>CG Power and Industrial Solutions Ltd</t>
        </is>
      </c>
      <c r="E215" s="30" t="inlineStr">
        <is>
          <t>industrials</t>
        </is>
      </c>
      <c r="F215" s="30" t="inlineStr">
        <is>
          <t>electric equipment</t>
        </is>
      </c>
      <c r="G215" s="30" t="inlineStr">
        <is>
          <t>largecap</t>
        </is>
      </c>
      <c r="H215" s="31" t="n">
        <v>143433.36</v>
      </c>
      <c r="I215" s="31" t="n">
        <v>926.95</v>
      </c>
      <c r="J215" s="31" t="n">
        <v>1.78</v>
      </c>
      <c r="K215" s="31" t="n">
        <v>3454657</v>
      </c>
      <c r="L215" s="30" t="n">
        <v>15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62.11</v>
      </c>
      <c r="P215" s="31" t="n">
        <v>26.12</v>
      </c>
      <c r="Q215" s="31" t="n">
        <v>802.54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-6.7</v>
      </c>
      <c r="U215" s="31" t="n">
        <v>18.28</v>
      </c>
      <c r="V215" s="31" t="n">
        <v>26.78</v>
      </c>
      <c r="W215" s="31" t="n">
        <v>4.64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Between 12 to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IF(B216=0,"",RANK(B216,$B$2:$B$371,0))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2" t="inlineStr">
        <is>
          <t>JINDALSAW</t>
        </is>
      </c>
      <c r="D216" s="32" t="inlineStr">
        <is>
          <t>Jindal Saw Limited</t>
        </is>
      </c>
      <c r="E216" s="30" t="inlineStr">
        <is>
          <t>industrials</t>
        </is>
      </c>
      <c r="F216" s="30" t="inlineStr">
        <is>
          <t>steel - large</t>
        </is>
      </c>
      <c r="G216" s="30" t="inlineStr">
        <is>
          <t>midcap</t>
        </is>
      </c>
      <c r="H216" s="31" t="n">
        <v>19671.27</v>
      </c>
      <c r="I216" s="31" t="n">
        <v>311.7</v>
      </c>
      <c r="J216" s="31" t="n">
        <v>1.33</v>
      </c>
      <c r="K216" s="31" t="n">
        <v>1991399</v>
      </c>
      <c r="L216" s="30" t="n">
        <v>52</v>
      </c>
      <c r="M216" s="30" t="inlineStr">
        <is>
          <t>Underperforming</t>
        </is>
      </c>
      <c r="N216" s="31">
        <f>IF(M216="Underperforming",-5,IF(L216&gt;=95,15,IF(L216&gt;=90,10,IF(L216&gt;=80,5,0))))</f>
        <v/>
      </c>
      <c r="O216" s="31" t="n">
        <v>70.88</v>
      </c>
      <c r="P216" s="31" t="n">
        <v>47.37</v>
      </c>
      <c r="Q216" s="31" t="n">
        <v>244.8</v>
      </c>
      <c r="R216" s="30" t="inlineStr">
        <is>
          <t>Near 52W High Breakout</t>
        </is>
      </c>
      <c r="S216" s="30" t="inlineStr">
        <is>
          <t>Nifty Metal</t>
        </is>
      </c>
      <c r="T216" s="31" t="n">
        <v>42.08</v>
      </c>
      <c r="U216" s="31" t="n">
        <v>41.16</v>
      </c>
      <c r="V216" s="31" t="n">
        <v>-0.65</v>
      </c>
      <c r="W216" s="31" t="n">
        <v>15.36</v>
      </c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IF(B217=0,"",RANK(B217,$B$2:$B$371,0))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LUMAXIND</t>
        </is>
      </c>
      <c r="D217" s="30" t="inlineStr">
        <is>
          <t>Lumax Industries Limited</t>
        </is>
      </c>
      <c r="E217" s="30" t="inlineStr">
        <is>
          <t>auto</t>
        </is>
      </c>
      <c r="F217" s="30" t="inlineStr">
        <is>
          <t>auto ancillaries</t>
        </is>
      </c>
      <c r="G217" s="30" t="inlineStr">
        <is>
          <t>midcap</t>
        </is>
      </c>
      <c r="H217" s="31" t="n">
        <v>5732.96</v>
      </c>
      <c r="I217" s="31" t="n">
        <v>6214</v>
      </c>
      <c r="J217" s="31" t="n">
        <v>1.32</v>
      </c>
      <c r="K217" s="31" t="n">
        <v>10564</v>
      </c>
      <c r="L217" s="30" t="n">
        <v>53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65.3</v>
      </c>
      <c r="P217" s="31" t="n">
        <v>16.27</v>
      </c>
      <c r="Q217" s="31" t="n">
        <v>4825.47</v>
      </c>
      <c r="R217" s="30" t="inlineStr">
        <is>
          <t>Near 52W High Breakout</t>
        </is>
      </c>
      <c r="S217" s="30" t="inlineStr">
        <is>
          <t>Nifty Auto</t>
        </is>
      </c>
      <c r="T217" s="31" t="n">
        <v>16.28</v>
      </c>
      <c r="U217" s="31" t="n">
        <v>65.38</v>
      </c>
      <c r="V217" s="31" t="n">
        <v>42.22</v>
      </c>
      <c r="W217" s="31" t="n">
        <v>15.69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0 to 20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Less than 1.5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Between 0.7 to 1.2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IF(B218=0,"",RANK(B218,$B$2:$B$371,0))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ROLEXRINGS</t>
        </is>
      </c>
      <c r="D218" s="30" t="inlineStr">
        <is>
          <t>Rolex Rings Ltd</t>
        </is>
      </c>
      <c r="E218" s="30" t="inlineStr">
        <is>
          <t>auto</t>
        </is>
      </c>
      <c r="F218" s="30" t="inlineStr">
        <is>
          <t>auto ancillaries</t>
        </is>
      </c>
      <c r="G218" s="30" t="inlineStr">
        <is>
          <t>smallcap</t>
        </is>
      </c>
      <c r="H218" s="31" t="n">
        <v>4779.99</v>
      </c>
      <c r="I218" s="31" t="n">
        <v>175.47</v>
      </c>
      <c r="J218" s="31" t="n">
        <v>-0.03</v>
      </c>
      <c r="K218" s="31" t="n">
        <v>946177</v>
      </c>
      <c r="L218" s="30" t="n">
        <v>25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62.01</v>
      </c>
      <c r="P218" s="31" t="n">
        <v>41.84</v>
      </c>
      <c r="Q218" s="31" t="n">
        <v>142.84</v>
      </c>
      <c r="R218" s="30" t="inlineStr">
        <is>
          <t>Near 52W High Breakout</t>
        </is>
      </c>
      <c r="S218" s="30" t="inlineStr">
        <is>
          <t>Nifty Auto</t>
        </is>
      </c>
      <c r="T218" s="31" t="n">
        <v>16.28</v>
      </c>
      <c r="U218" s="31" t="n">
        <v>19.08</v>
      </c>
      <c r="V218" s="31" t="n">
        <v>2.4</v>
      </c>
      <c r="W218" s="31" t="n">
        <v>7.22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Above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IF(B219=0,"",RANK(B219,$B$2:$B$371,0))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BEPL</t>
        </is>
      </c>
      <c r="D219" s="30" t="inlineStr">
        <is>
          <t>Bhansali Engineering Polymers Limited</t>
        </is>
      </c>
      <c r="E219" s="30" t="inlineStr">
        <is>
          <t>energy</t>
        </is>
      </c>
      <c r="F219" s="30" t="inlineStr">
        <is>
          <t>petrochemicals</t>
        </is>
      </c>
      <c r="G219" s="30" t="inlineStr">
        <is>
          <t>smallcap</t>
        </is>
      </c>
      <c r="H219" s="31" t="n">
        <v>3330.72</v>
      </c>
      <c r="I219" s="31" t="n">
        <v>133.56</v>
      </c>
      <c r="J219" s="31" t="n">
        <v>-0.21</v>
      </c>
      <c r="K219" s="31" t="n">
        <v>2507926</v>
      </c>
      <c r="L219" s="30" t="n">
        <v>49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74.72</v>
      </c>
      <c r="P219" s="31" t="n">
        <v>57.56</v>
      </c>
      <c r="Q219" s="31" t="n">
        <v>105.02</v>
      </c>
      <c r="R219" s="30" t="inlineStr">
        <is>
          <t>Near 52W High Breakout</t>
        </is>
      </c>
      <c r="S219" s="30" t="inlineStr">
        <is>
          <t>Nifty Energy</t>
        </is>
      </c>
      <c r="T219" s="31" t="n">
        <v>8.75</v>
      </c>
      <c r="U219" s="31" t="n">
        <v>29.43</v>
      </c>
      <c r="V219" s="31" t="n">
        <v>19.02</v>
      </c>
      <c r="W219" s="31" t="n">
        <v>14.37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Oligopoly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Cyclical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Volatile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Less than 1.5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IF(B220=0,"",RANK(B220,$B$2:$B$371,0))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QUADFUTURE</t>
        </is>
      </c>
      <c r="D220" s="32" t="inlineStr">
        <is>
          <t>Quadrant Future Tek Ltd</t>
        </is>
      </c>
      <c r="E220" s="30" t="inlineStr">
        <is>
          <t>industrials</t>
        </is>
      </c>
      <c r="F220" s="30" t="inlineStr">
        <is>
          <t>cables - power</t>
        </is>
      </c>
      <c r="G220" s="30" t="inlineStr">
        <is>
          <t>smallcap</t>
        </is>
      </c>
      <c r="H220" s="31" t="n">
        <v>1764</v>
      </c>
      <c r="I220" s="31" t="n">
        <v>439.85</v>
      </c>
      <c r="J220" s="31" t="n">
        <v>-0.26</v>
      </c>
      <c r="K220" s="31" t="n">
        <v>584350</v>
      </c>
      <c r="L220" s="30" t="n">
        <v>34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61.61</v>
      </c>
      <c r="P220" s="31" t="n">
        <v>36.84</v>
      </c>
      <c r="Q220" s="31" t="n">
        <v>331.67</v>
      </c>
      <c r="R220" s="30" t="inlineStr">
        <is>
          <t>Earnings / Momentum Support</t>
        </is>
      </c>
      <c r="S220" s="30" t="inlineStr">
        <is>
          <t>Nifty Energy</t>
        </is>
      </c>
      <c r="T220" s="31" t="n">
        <v>8.75</v>
      </c>
      <c r="U220" s="31" t="n">
        <v>-6.39</v>
      </c>
      <c r="V220" s="31" t="n">
        <v>-13.91</v>
      </c>
      <c r="W220" s="31" t="n">
        <v>9.49</v>
      </c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IF(B221=0,"",RANK(B221,$B$2:$B$371,0))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TITAGARH</t>
        </is>
      </c>
      <c r="D221" s="30" t="inlineStr">
        <is>
          <t>Titagarh Rail Systems Ltd</t>
        </is>
      </c>
      <c r="E221" s="30" t="inlineStr">
        <is>
          <t>industrials</t>
        </is>
      </c>
      <c r="F221" s="30" t="inlineStr">
        <is>
          <t>engineering</t>
        </is>
      </c>
      <c r="G221" s="30" t="inlineStr">
        <is>
          <t>midcap</t>
        </is>
      </c>
      <c r="H221" s="31" t="n">
        <v>11862.07</v>
      </c>
      <c r="I221" s="31" t="n">
        <v>876.35</v>
      </c>
      <c r="J221" s="31" t="n">
        <v>-0.51</v>
      </c>
      <c r="K221" s="31" t="n">
        <v>869717</v>
      </c>
      <c r="L221" s="30" t="n">
        <v>5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57.41</v>
      </c>
      <c r="P221" s="31" t="n">
        <v>26.35</v>
      </c>
      <c r="Q221" s="31" t="n">
        <v>741.37</v>
      </c>
      <c r="R221" s="30" t="inlineStr">
        <is>
          <t>Earnings / Momentum Support</t>
        </is>
      </c>
      <c r="S221" s="30" t="inlineStr">
        <is>
          <t>Nifty 50</t>
        </is>
      </c>
      <c r="T221" s="31" t="n">
        <v>-6.7</v>
      </c>
      <c r="U221" s="31" t="n">
        <v>-5.51</v>
      </c>
      <c r="V221" s="31" t="n">
        <v>1.27</v>
      </c>
      <c r="W221" s="31" t="n">
        <v>0.9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IF(B222=0,"",RANK(B222,$B$2:$B$371,0))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DATAPATTNS</t>
        </is>
      </c>
      <c r="D222" s="30" t="inlineStr">
        <is>
          <t>Data Patterns (India) Ltd</t>
        </is>
      </c>
      <c r="E222" s="30" t="inlineStr">
        <is>
          <t>aerospace &amp; defence</t>
        </is>
      </c>
      <c r="F222" s="30" t="inlineStr">
        <is>
          <t>electronics - components</t>
        </is>
      </c>
      <c r="G222" s="30" t="inlineStr">
        <is>
          <t>largecap</t>
        </is>
      </c>
      <c r="H222" s="31" t="n">
        <v>27612.97</v>
      </c>
      <c r="I222" s="31" t="n">
        <v>4883.2</v>
      </c>
      <c r="J222" s="31" t="n">
        <v>-1</v>
      </c>
      <c r="K222" s="31" t="n">
        <v>682371</v>
      </c>
      <c r="L222" s="30" t="n">
        <v>52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64.22</v>
      </c>
      <c r="P222" s="31" t="n">
        <v>34.38</v>
      </c>
      <c r="Q222" s="31" t="n">
        <v>3597.23</v>
      </c>
      <c r="R222" s="30" t="inlineStr">
        <is>
          <t>Near 52W High Breakout</t>
        </is>
      </c>
      <c r="S222" s="30" t="inlineStr">
        <is>
          <t>Nifty 50</t>
        </is>
      </c>
      <c r="T222" s="31" t="n">
        <v>-6.7</v>
      </c>
      <c r="U222" s="31" t="n">
        <v>80.52</v>
      </c>
      <c r="V222" s="31" t="n">
        <v>93.48</v>
      </c>
      <c r="W222" s="31" t="n">
        <v>15.27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Blue sky scenario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IF(B223=0,"",RANK(B223,$B$2:$B$371,0))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GANESHBE</t>
        </is>
      </c>
      <c r="D223" s="30" t="inlineStr">
        <is>
          <t>Ganesh Benzoplast Ltd</t>
        </is>
      </c>
      <c r="E223" s="30" t="inlineStr">
        <is>
          <t>miscellaneous</t>
        </is>
      </c>
      <c r="F223" s="30" t="inlineStr">
        <is>
          <t>miscellaneous</t>
        </is>
      </c>
      <c r="G223" s="30" t="inlineStr">
        <is>
          <t>smallcap</t>
        </is>
      </c>
      <c r="H223" s="31" t="n">
        <v>932.98</v>
      </c>
      <c r="I223" s="31" t="n">
        <v>128.19</v>
      </c>
      <c r="J223" s="31" t="n">
        <v>-1.09</v>
      </c>
      <c r="K223" s="31" t="n">
        <v>269989</v>
      </c>
      <c r="L223" s="30" t="n">
        <v>48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68.68000000000001</v>
      </c>
      <c r="P223" s="31" t="n">
        <v>32.56</v>
      </c>
      <c r="Q223" s="31" t="n">
        <v>93.73</v>
      </c>
      <c r="R223" s="30" t="inlineStr">
        <is>
          <t>Near 52W High Breakout</t>
        </is>
      </c>
      <c r="S223" s="30" t="inlineStr">
        <is>
          <t>Nifty Energy</t>
        </is>
      </c>
      <c r="T223" s="31" t="n">
        <v>8.75</v>
      </c>
      <c r="U223" s="31" t="n">
        <v>33.3</v>
      </c>
      <c r="V223" s="31" t="n">
        <v>22.57</v>
      </c>
      <c r="W223" s="31" t="n">
        <v>13.84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IF(B224=0,"",RANK(B224,$B$2:$B$371,0))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KDDL</t>
        </is>
      </c>
      <c r="D224" s="30" t="inlineStr">
        <is>
          <t>Kddl Limited</t>
        </is>
      </c>
      <c r="E224" s="30" t="inlineStr">
        <is>
          <t>consumer discretionary</t>
        </is>
      </c>
      <c r="F224" s="30" t="inlineStr">
        <is>
          <t>miscellaneous</t>
        </is>
      </c>
      <c r="G224" s="30" t="inlineStr">
        <is>
          <t>smallcap</t>
        </is>
      </c>
      <c r="H224" s="31" t="n">
        <v>4877.53</v>
      </c>
      <c r="I224" s="31" t="n">
        <v>3912.2</v>
      </c>
      <c r="J224" s="31" t="n">
        <v>-1.35</v>
      </c>
      <c r="K224" s="31" t="n">
        <v>47930</v>
      </c>
      <c r="L224" s="30" t="n">
        <v>63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74.28</v>
      </c>
      <c r="P224" s="31" t="n">
        <v>46.15</v>
      </c>
      <c r="Q224" s="31" t="n">
        <v>3103.23</v>
      </c>
      <c r="R224" s="30" t="inlineStr">
        <is>
          <t>Near 52W High Breakout</t>
        </is>
      </c>
      <c r="S224" s="30" t="inlineStr">
        <is>
          <t>Nifty 50</t>
        </is>
      </c>
      <c r="T224" s="31" t="n">
        <v>-6.7</v>
      </c>
      <c r="U224" s="31" t="n">
        <v>63.19</v>
      </c>
      <c r="V224" s="31" t="n">
        <v>74.91</v>
      </c>
      <c r="W224" s="31" t="n">
        <v>18.98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Above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Negative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IF(B225=0,"",RANK(B225,$B$2:$B$371,0))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LOKESHMACH</t>
        </is>
      </c>
      <c r="D225" s="30" t="inlineStr">
        <is>
          <t>Lokesh Machines Limited</t>
        </is>
      </c>
      <c r="E225" s="30" t="inlineStr">
        <is>
          <t>industrials</t>
        </is>
      </c>
      <c r="F225" s="30" t="inlineStr">
        <is>
          <t>engineering</t>
        </is>
      </c>
      <c r="G225" s="30" t="inlineStr">
        <is>
          <t>smallcap</t>
        </is>
      </c>
      <c r="H225" s="31" t="n">
        <v>792.3099999999999</v>
      </c>
      <c r="I225" s="31" t="n">
        <v>356.85</v>
      </c>
      <c r="J225" s="31" t="n">
        <v>-1.83</v>
      </c>
      <c r="K225" s="31" t="n">
        <v>27167</v>
      </c>
      <c r="L225" s="30" t="n">
        <v>69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68.16</v>
      </c>
      <c r="P225" s="31" t="n">
        <v>43.04</v>
      </c>
      <c r="Q225" s="31" t="n">
        <v>277.15</v>
      </c>
      <c r="R225" s="30" t="inlineStr">
        <is>
          <t>Near 52W High Breakout</t>
        </is>
      </c>
      <c r="S225" s="30" t="inlineStr">
        <is>
          <t>Nifty 50</t>
        </is>
      </c>
      <c r="T225" s="31" t="n">
        <v>-6.7</v>
      </c>
      <c r="U225" s="31" t="n">
        <v>82.58</v>
      </c>
      <c r="V225" s="31" t="n">
        <v>95.69</v>
      </c>
      <c r="W225" s="31" t="n">
        <v>21.12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Above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Between 0.7 to 1.2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IF(B226=0,"",RANK(B226,$B$2:$B$371,0))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KAMDHENU</t>
        </is>
      </c>
      <c r="D226" s="32" t="inlineStr">
        <is>
          <t>Kamdhenu Limited</t>
        </is>
      </c>
      <c r="E226" s="30" t="inlineStr">
        <is>
          <t>metals &amp; mining</t>
        </is>
      </c>
      <c r="F226" s="30" t="inlineStr">
        <is>
          <t>steel - medium / small</t>
        </is>
      </c>
      <c r="G226" s="30" t="inlineStr">
        <is>
          <t>smallcap</t>
        </is>
      </c>
      <c r="H226" s="31" t="n">
        <v>1134.58</v>
      </c>
      <c r="I226" s="31" t="n">
        <v>39.38</v>
      </c>
      <c r="J226" s="31" t="n">
        <v>-2.16</v>
      </c>
      <c r="K226" s="31" t="n">
        <v>732140</v>
      </c>
      <c r="L226" s="30" t="n">
        <v>78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74.44</v>
      </c>
      <c r="P226" s="31" t="n">
        <v>50.88</v>
      </c>
      <c r="Q226" s="31" t="n">
        <v>29.72</v>
      </c>
      <c r="R226" s="30" t="inlineStr">
        <is>
          <t>Near 52W High Breakout</t>
        </is>
      </c>
      <c r="S226" s="30" t="inlineStr">
        <is>
          <t>Nifty Metal</t>
        </is>
      </c>
      <c r="T226" s="31" t="n">
        <v>42.08</v>
      </c>
      <c r="U226" s="31" t="n">
        <v>33.06</v>
      </c>
      <c r="V226" s="31" t="n">
        <v>-6.35</v>
      </c>
      <c r="W226" s="31" t="n">
        <v>26.82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Cyclical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Volatile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Above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IF(B227=0,"",RANK(B227,$B$2:$B$371,0))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ENGINERSIN</t>
        </is>
      </c>
      <c r="D227" s="30" t="inlineStr">
        <is>
          <t>Engineers India Limited</t>
        </is>
      </c>
      <c r="E227" s="30" t="inlineStr">
        <is>
          <t>realty</t>
        </is>
      </c>
      <c r="F227" s="30" t="inlineStr">
        <is>
          <t>engineering - turnkey services</t>
        </is>
      </c>
      <c r="G227" s="30" t="inlineStr">
        <is>
          <t>midcap</t>
        </is>
      </c>
      <c r="H227" s="31" t="n">
        <v>15692.22</v>
      </c>
      <c r="I227" s="31" t="n">
        <v>273.1</v>
      </c>
      <c r="J227" s="31" t="n">
        <v>-2.18</v>
      </c>
      <c r="K227" s="31" t="n">
        <v>2222424</v>
      </c>
      <c r="L227" s="30" t="n">
        <v>32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64.84</v>
      </c>
      <c r="P227" s="31" t="n">
        <v>15.81</v>
      </c>
      <c r="Q227" s="31" t="n">
        <v>222.83</v>
      </c>
      <c r="R227" s="30" t="inlineStr">
        <is>
          <t>Near 52W High Breakout</t>
        </is>
      </c>
      <c r="S227" s="30" t="inlineStr">
        <is>
          <t>Nifty Realty</t>
        </is>
      </c>
      <c r="T227" s="31" t="n">
        <v>-8.25</v>
      </c>
      <c r="U227" s="31" t="n">
        <v>21.76</v>
      </c>
      <c r="V227" s="31" t="n">
        <v>32.71</v>
      </c>
      <c r="W227" s="31" t="n">
        <v>8.67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IF(B228=0,"",RANK(B228,$B$2:$B$371,0))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VOLTAMP</t>
        </is>
      </c>
      <c r="D228" s="30" t="inlineStr">
        <is>
          <t>Voltamp Transformers Limited</t>
        </is>
      </c>
      <c r="E228" s="30" t="inlineStr">
        <is>
          <t>industrials</t>
        </is>
      </c>
      <c r="F228" s="30" t="inlineStr">
        <is>
          <t>electric equipment</t>
        </is>
      </c>
      <c r="G228" s="30" t="inlineStr">
        <is>
          <t>midcap</t>
        </is>
      </c>
      <c r="H228" s="31" t="n">
        <v>11498.11</v>
      </c>
      <c r="I228" s="31" t="n">
        <v>11069</v>
      </c>
      <c r="J228" s="31" t="n">
        <v>-2.6</v>
      </c>
      <c r="K228" s="31" t="n">
        <v>17603</v>
      </c>
      <c r="L228" s="30" t="n">
        <v>42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62.94</v>
      </c>
      <c r="P228" s="31" t="n">
        <v>32.08</v>
      </c>
      <c r="Q228" s="31" t="n">
        <v>9026.27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-6.7</v>
      </c>
      <c r="U228" s="31" t="n">
        <v>53.49</v>
      </c>
      <c r="V228" s="31" t="n">
        <v>64.51000000000001</v>
      </c>
      <c r="W228" s="31" t="n">
        <v>12.13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Between 12 to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IF(B229=0,"",RANK(B229,$B$2:$B$371,0))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XPROINDIA</t>
        </is>
      </c>
      <c r="D229" s="30" t="inlineStr">
        <is>
          <t>Xpro India Limited</t>
        </is>
      </c>
      <c r="E229" s="30" t="inlineStr">
        <is>
          <t>industrials</t>
        </is>
      </c>
      <c r="F229" s="30" t="inlineStr">
        <is>
          <t>packaging</t>
        </is>
      </c>
      <c r="G229" s="30" t="inlineStr">
        <is>
          <t>smallcap</t>
        </is>
      </c>
      <c r="H229" s="31" t="n">
        <v>3261.68</v>
      </c>
      <c r="I229" s="31" t="n">
        <v>1301.4</v>
      </c>
      <c r="J229" s="31" t="n">
        <v>-6.35</v>
      </c>
      <c r="K229" s="31" t="n">
        <v>85041</v>
      </c>
      <c r="L229" s="30" t="n">
        <v>16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54.96</v>
      </c>
      <c r="P229" s="31" t="n">
        <v>40.43</v>
      </c>
      <c r="Q229" s="31" t="n">
        <v>1069.58</v>
      </c>
      <c r="R229" s="30" t="inlineStr">
        <is>
          <t>Earnings / Momentum Support</t>
        </is>
      </c>
      <c r="S229" s="30" t="inlineStr">
        <is>
          <t>Nifty 50</t>
        </is>
      </c>
      <c r="T229" s="31" t="n">
        <v>-6.7</v>
      </c>
      <c r="U229" s="31" t="n">
        <v>5.41</v>
      </c>
      <c r="V229" s="31" t="n">
        <v>12.98</v>
      </c>
      <c r="W229" s="31" t="n">
        <v>5.34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Above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IF(B230=0,"",RANK(B230,$B$2:$B$371,0))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ARTEMISMED</t>
        </is>
      </c>
      <c r="D230" s="30" t="inlineStr">
        <is>
          <t>Artemis Medicare Services Ltd</t>
        </is>
      </c>
      <c r="E230" s="30" t="inlineStr">
        <is>
          <t>healthcare</t>
        </is>
      </c>
      <c r="F230" s="30" t="inlineStr">
        <is>
          <t>healthcare</t>
        </is>
      </c>
      <c r="G230" s="30" t="inlineStr">
        <is>
          <t>midcap</t>
        </is>
      </c>
      <c r="H230" s="31" t="n">
        <v>5414.87</v>
      </c>
      <c r="I230" s="31" t="n">
        <v>354.3</v>
      </c>
      <c r="J230" s="31" t="n">
        <v>3.58</v>
      </c>
      <c r="K230" s="31" t="n">
        <v>813189</v>
      </c>
      <c r="L230" s="30" t="n">
        <v>56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76.48</v>
      </c>
      <c r="P230" s="31" t="n">
        <v>38.05</v>
      </c>
      <c r="Q230" s="31" t="n">
        <v>291.83</v>
      </c>
      <c r="R230" s="30" t="inlineStr">
        <is>
          <t>Near 52W High Breakout</t>
        </is>
      </c>
      <c r="S230" s="30" t="inlineStr">
        <is>
          <t>Nifty Pharma</t>
        </is>
      </c>
      <c r="T230" s="31" t="n">
        <v>19.47</v>
      </c>
      <c r="U230" s="31" t="n">
        <v>48.4</v>
      </c>
      <c r="V230" s="31" t="n">
        <v>24.21</v>
      </c>
      <c r="W230" s="31" t="n">
        <v>16.88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Yes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Annuity, Lower One Time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Above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Blue sky scenario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IF(B231=0,"",RANK(B231,$B$2:$B$371,0))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SMSPHARMA</t>
        </is>
      </c>
      <c r="D231" s="30" t="inlineStr">
        <is>
          <t>Sms Pharmaceuticals Limited</t>
        </is>
      </c>
      <c r="E231" s="30" t="inlineStr">
        <is>
          <t>healthcare</t>
        </is>
      </c>
      <c r="F231" s="30" t="inlineStr">
        <is>
          <t>pharmaceuticals - indian - bulk drugs</t>
        </is>
      </c>
      <c r="G231" s="30" t="inlineStr">
        <is>
          <t>smallcap</t>
        </is>
      </c>
      <c r="H231" s="31" t="n">
        <v>3738.12</v>
      </c>
      <c r="I231" s="31" t="n">
        <v>407.3</v>
      </c>
      <c r="J231" s="31" t="n">
        <v>2.04</v>
      </c>
      <c r="K231" s="31" t="n">
        <v>523724</v>
      </c>
      <c r="L231" s="30" t="n">
        <v>30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59.19</v>
      </c>
      <c r="P231" s="31" t="n">
        <v>30.87</v>
      </c>
      <c r="Q231" s="31" t="n">
        <v>320.41</v>
      </c>
      <c r="R231" s="30" t="inlineStr">
        <is>
          <t>Volume Spike / Accumulation</t>
        </is>
      </c>
      <c r="S231" s="30" t="inlineStr">
        <is>
          <t>Nifty Pharma</t>
        </is>
      </c>
      <c r="T231" s="31" t="n">
        <v>19.47</v>
      </c>
      <c r="U231" s="31" t="n">
        <v>40.03</v>
      </c>
      <c r="V231" s="31" t="n">
        <v>17.2</v>
      </c>
      <c r="W231" s="31" t="n">
        <v>8.33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Yes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Annuity, Lower One Time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IF(B232=0,"",RANK(B232,$B$2:$B$371,0))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ANUHPHR</t>
        </is>
      </c>
      <c r="D232" s="32" t="inlineStr">
        <is>
          <t>Anuh Pharma Ltd</t>
        </is>
      </c>
      <c r="E232" s="30" t="inlineStr">
        <is>
          <t>healthcare</t>
        </is>
      </c>
      <c r="F232" s="30" t="inlineStr">
        <is>
          <t>pharmaceuticals - indian - bulk drugs</t>
        </is>
      </c>
      <c r="G232" s="30" t="inlineStr">
        <is>
          <t>smallcap</t>
        </is>
      </c>
      <c r="H232" s="31" t="n">
        <v>957.4400000000001</v>
      </c>
      <c r="I232" s="31" t="n">
        <v>96.73999999999999</v>
      </c>
      <c r="J232" s="31" t="n">
        <v>1.27</v>
      </c>
      <c r="K232" s="31" t="n">
        <v>626549</v>
      </c>
      <c r="L232" s="30" t="n">
        <v>27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70.52</v>
      </c>
      <c r="P232" s="31" t="n">
        <v>13.01</v>
      </c>
      <c r="Q232" s="31" t="n">
        <v>77.67</v>
      </c>
      <c r="R232" s="30" t="inlineStr">
        <is>
          <t>Volume Spike &amp; Near 52W High Breakout</t>
        </is>
      </c>
      <c r="S232" s="30" t="inlineStr">
        <is>
          <t>Nifty Pharma</t>
        </is>
      </c>
      <c r="T232" s="31" t="n">
        <v>19.47</v>
      </c>
      <c r="U232" s="31" t="n">
        <v>11.83</v>
      </c>
      <c r="V232" s="31" t="n">
        <v>-6.4</v>
      </c>
      <c r="W232" s="31" t="n">
        <v>7.62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Annuity, Lower One Time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IF(B233=0,"",RANK(B233,$B$2:$B$371,0))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SOFTTECH</t>
        </is>
      </c>
      <c r="D233" s="30" t="inlineStr">
        <is>
          <t>Softtech Engineers Ltd</t>
        </is>
      </c>
      <c r="E233" s="30" t="inlineStr">
        <is>
          <t>i.t</t>
        </is>
      </c>
      <c r="F233" s="30" t="inlineStr">
        <is>
          <t>computers - software - medium / small</t>
        </is>
      </c>
      <c r="G233" s="30" t="inlineStr">
        <is>
          <t>smallcap</t>
        </is>
      </c>
      <c r="H233" s="31" t="n">
        <v>606.29</v>
      </c>
      <c r="I233" s="31" t="n">
        <v>441.65</v>
      </c>
      <c r="J233" s="31" t="n">
        <v>0.83</v>
      </c>
      <c r="K233" s="31" t="n">
        <v>2570</v>
      </c>
      <c r="L233" s="30" t="n">
        <v>27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62.18</v>
      </c>
      <c r="P233" s="31" t="n">
        <v>26.95</v>
      </c>
      <c r="Q233" s="31" t="n">
        <v>350.04</v>
      </c>
      <c r="R233" s="30" t="inlineStr">
        <is>
          <t>Near 52W High Breakout</t>
        </is>
      </c>
      <c r="S233" s="30" t="inlineStr">
        <is>
          <t>Nifty IT</t>
        </is>
      </c>
      <c r="T233" s="31" t="n">
        <v>-19.93</v>
      </c>
      <c r="U233" s="31" t="n">
        <v>13.67</v>
      </c>
      <c r="V233" s="31" t="n">
        <v>41.96</v>
      </c>
      <c r="W233" s="31" t="n">
        <v>7.59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IF(B234=0,"",RANK(B234,$B$2:$B$371,0))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SUPRIYA</t>
        </is>
      </c>
      <c r="D234" s="30" t="inlineStr">
        <is>
          <t>Supriya Lifescience Ltd</t>
        </is>
      </c>
      <c r="E234" s="30" t="inlineStr">
        <is>
          <t>healthcare</t>
        </is>
      </c>
      <c r="F234" s="30" t="inlineStr">
        <is>
          <t>pharmaceuticals - indian - bulk drugs &amp; formln</t>
        </is>
      </c>
      <c r="G234" s="30" t="inlineStr">
        <is>
          <t>midcap</t>
        </is>
      </c>
      <c r="H234" s="31" t="n">
        <v>7369.41</v>
      </c>
      <c r="I234" s="31" t="n">
        <v>911.4</v>
      </c>
      <c r="J234" s="31" t="n">
        <v>-0.46</v>
      </c>
      <c r="K234" s="31" t="n">
        <v>196499</v>
      </c>
      <c r="L234" s="30" t="n">
        <v>35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58.94</v>
      </c>
      <c r="P234" s="31" t="n">
        <v>41.43</v>
      </c>
      <c r="Q234" s="31" t="n">
        <v>728.23</v>
      </c>
      <c r="R234" s="30" t="inlineStr">
        <is>
          <t>Earnings / Momentum Support</t>
        </is>
      </c>
      <c r="S234" s="30" t="inlineStr">
        <is>
          <t>Nifty Pharma</t>
        </is>
      </c>
      <c r="T234" s="31" t="n">
        <v>19.47</v>
      </c>
      <c r="U234" s="31" t="n">
        <v>40.9</v>
      </c>
      <c r="V234" s="31" t="n">
        <v>17.94</v>
      </c>
      <c r="W234" s="31" t="n">
        <v>9.720000000000001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Yes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Above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IF(B235=0,"",RANK(B235,$B$2:$B$371,0))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ASKAUTOLTD</t>
        </is>
      </c>
      <c r="D235" s="30" t="inlineStr">
        <is>
          <t>ASK Automotive Ltd</t>
        </is>
      </c>
      <c r="E235" s="30" t="inlineStr">
        <is>
          <t>auto</t>
        </is>
      </c>
      <c r="F235" s="30" t="inlineStr">
        <is>
          <t>auto ancillaries</t>
        </is>
      </c>
      <c r="G235" s="30" t="inlineStr">
        <is>
          <t>midcap</t>
        </is>
      </c>
      <c r="H235" s="31" t="n">
        <v>12028.66</v>
      </c>
      <c r="I235" s="31" t="n">
        <v>627.25</v>
      </c>
      <c r="J235" s="31" t="n">
        <v>2.8</v>
      </c>
      <c r="K235" s="31" t="n">
        <v>288722</v>
      </c>
      <c r="L235" s="30" t="n">
        <v>53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71.77</v>
      </c>
      <c r="P235" s="31" t="n">
        <v>30.34</v>
      </c>
      <c r="Q235" s="31" t="n">
        <v>520.83</v>
      </c>
      <c r="R235" s="30" t="inlineStr">
        <is>
          <t>Near 52W High Breakout</t>
        </is>
      </c>
      <c r="S235" s="30" t="inlineStr">
        <is>
          <t>Nifty Auto</t>
        </is>
      </c>
      <c r="T235" s="31" t="n">
        <v>16.28</v>
      </c>
      <c r="U235" s="31" t="n">
        <v>23.85</v>
      </c>
      <c r="V235" s="31" t="n">
        <v>6.51</v>
      </c>
      <c r="W235" s="31" t="n">
        <v>15.57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Blue sky scenario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IF(B236=0,"",RANK(B236,$B$2:$B$371,0))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MAHASTEEL</t>
        </is>
      </c>
      <c r="D236" s="30" t="inlineStr">
        <is>
          <t>Mahamaya Steel Industries Limited</t>
        </is>
      </c>
      <c r="E236" s="30" t="inlineStr">
        <is>
          <t>metals &amp; mining</t>
        </is>
      </c>
      <c r="F236" s="30" t="inlineStr">
        <is>
          <t>steel - medium / small</t>
        </is>
      </c>
      <c r="G236" s="30" t="inlineStr">
        <is>
          <t>smallcap</t>
        </is>
      </c>
      <c r="H236" s="31" t="n">
        <v>2122.34</v>
      </c>
      <c r="I236" s="31" t="n">
        <v>1325.6</v>
      </c>
      <c r="J236" s="31" t="n">
        <v>2.65</v>
      </c>
      <c r="K236" s="31" t="n">
        <v>4953</v>
      </c>
      <c r="L236" s="30" t="n">
        <v>92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72.23999999999999</v>
      </c>
      <c r="P236" s="31" t="n">
        <v>23.38</v>
      </c>
      <c r="Q236" s="31" t="n">
        <v>974.39</v>
      </c>
      <c r="R236" s="30" t="inlineStr">
        <is>
          <t>Near 52W High Breakout</t>
        </is>
      </c>
      <c r="S236" s="30" t="inlineStr">
        <is>
          <t>Nifty Metal</t>
        </is>
      </c>
      <c r="T236" s="31" t="n">
        <v>42.08</v>
      </c>
      <c r="U236" s="31" t="n">
        <v>268.22</v>
      </c>
      <c r="V236" s="31" t="n">
        <v>159.16</v>
      </c>
      <c r="W236" s="31" t="n">
        <v>43.75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Cyclical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Volatile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IF(B237=0,"",RANK(B237,$B$2:$B$371,0))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OAL</t>
        </is>
      </c>
      <c r="D237" s="30" t="inlineStr">
        <is>
          <t>Oriental Aromatics Ltd</t>
        </is>
      </c>
      <c r="E237" s="30" t="inlineStr">
        <is>
          <t>chemicals</t>
        </is>
      </c>
      <c r="F237" s="30" t="inlineStr">
        <is>
          <t>chemicals</t>
        </is>
      </c>
      <c r="G237" s="30" t="inlineStr">
        <is>
          <t>smallcap</t>
        </is>
      </c>
      <c r="H237" s="31" t="n">
        <v>1786.84</v>
      </c>
      <c r="I237" s="31" t="n">
        <v>540.3</v>
      </c>
      <c r="J237" s="31" t="n">
        <v>1.76</v>
      </c>
      <c r="K237" s="31" t="n">
        <v>79289</v>
      </c>
      <c r="L237" s="30" t="n">
        <v>78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77.81</v>
      </c>
      <c r="P237" s="31" t="n">
        <v>33.6</v>
      </c>
      <c r="Q237" s="31" t="n">
        <v>401.74</v>
      </c>
      <c r="R237" s="30" t="inlineStr">
        <is>
          <t>Near 52W High Breakout</t>
        </is>
      </c>
      <c r="S237" s="30" t="inlineStr">
        <is>
          <t>Nifty 50</t>
        </is>
      </c>
      <c r="T237" s="31" t="n">
        <v>-6.7</v>
      </c>
      <c r="U237" s="31" t="n">
        <v>60.44</v>
      </c>
      <c r="V237" s="31" t="n">
        <v>71.95999999999999</v>
      </c>
      <c r="W237" s="31" t="n">
        <v>26.84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Above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IF(B238=0,"",RANK(B238,$B$2:$B$371,0))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AGI</t>
        </is>
      </c>
      <c r="D238" s="30" t="inlineStr">
        <is>
          <t>AGI Greenpac Ltd</t>
        </is>
      </c>
      <c r="E238" s="30" t="inlineStr">
        <is>
          <t>industrials</t>
        </is>
      </c>
      <c r="F238" s="30" t="inlineStr">
        <is>
          <t>packaging</t>
        </is>
      </c>
      <c r="G238" s="30" t="inlineStr">
        <is>
          <t>midcap</t>
        </is>
      </c>
      <c r="H238" s="31" t="n">
        <v>5070.98</v>
      </c>
      <c r="I238" s="31" t="n">
        <v>796.15</v>
      </c>
      <c r="J238" s="31" t="n">
        <v>1.58</v>
      </c>
      <c r="K238" s="31" t="n">
        <v>303157</v>
      </c>
      <c r="L238" s="30" t="n">
        <v>20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63.99</v>
      </c>
      <c r="P238" s="31" t="n">
        <v>31.3</v>
      </c>
      <c r="Q238" s="31" t="n">
        <v>629.79</v>
      </c>
      <c r="R238" s="30" t="inlineStr">
        <is>
          <t>Earnings / Momentum Support</t>
        </is>
      </c>
      <c r="S238" s="30" t="inlineStr">
        <is>
          <t>Nifty 50</t>
        </is>
      </c>
      <c r="T238" s="31" t="n">
        <v>-6.7</v>
      </c>
      <c r="U238" s="31" t="n">
        <v>-5.09</v>
      </c>
      <c r="V238" s="31" t="n">
        <v>1.72</v>
      </c>
      <c r="W238" s="31" t="n">
        <v>5.97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IF(B239=0,"",RANK(B239,$B$2:$B$371,0))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SAMBHV</t>
        </is>
      </c>
      <c r="D239" s="32" t="inlineStr">
        <is>
          <t>Sambhv Steel Tubes Ltd</t>
        </is>
      </c>
      <c r="E239" s="30" t="inlineStr">
        <is>
          <t>metals &amp; mining</t>
        </is>
      </c>
      <c r="F239" s="30" t="inlineStr">
        <is>
          <t>steel - medium / small</t>
        </is>
      </c>
      <c r="G239" s="30" t="inlineStr">
        <is>
          <t>smallcap</t>
        </is>
      </c>
      <c r="H239" s="31" t="n">
        <v>3791.54</v>
      </c>
      <c r="I239" s="31" t="n">
        <v>130.44</v>
      </c>
      <c r="J239" s="31" t="n">
        <v>1.38</v>
      </c>
      <c r="K239" s="31" t="n">
        <v>2972046</v>
      </c>
      <c r="L239" s="30" t="n">
        <v>12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66.28</v>
      </c>
      <c r="P239" s="31" t="n">
        <v>34.29</v>
      </c>
      <c r="Q239" s="31" t="n">
        <v>100.23</v>
      </c>
      <c r="R239" s="30" t="inlineStr">
        <is>
          <t>Near 52W High Breakout</t>
        </is>
      </c>
      <c r="S239" s="30" t="inlineStr">
        <is>
          <t>Nifty Metal</t>
        </is>
      </c>
      <c r="T239" s="31" t="n">
        <v>42.08</v>
      </c>
      <c r="U239" s="31" t="n">
        <v>-1.66</v>
      </c>
      <c r="V239" s="31" t="n">
        <v>-30.79</v>
      </c>
      <c r="W239" s="31" t="n">
        <v>3.85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Cyclical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Volatile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IF(B240=0,"",RANK(B240,$B$2:$B$371,0))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ASAHIINDIA</t>
        </is>
      </c>
      <c r="D240" s="30" t="inlineStr">
        <is>
          <t>Asahi India Glass Limited</t>
        </is>
      </c>
      <c r="E240" s="30" t="inlineStr">
        <is>
          <t>building materials</t>
        </is>
      </c>
      <c r="F240" s="30" t="inlineStr">
        <is>
          <t>glass &amp; glass products</t>
        </is>
      </c>
      <c r="G240" s="30" t="inlineStr">
        <is>
          <t>largecap</t>
        </is>
      </c>
      <c r="H240" s="31" t="n">
        <v>24360.84</v>
      </c>
      <c r="I240" s="31" t="n">
        <v>968.75</v>
      </c>
      <c r="J240" s="31" t="n">
        <v>1.38</v>
      </c>
      <c r="K240" s="31" t="n">
        <v>220637</v>
      </c>
      <c r="L240" s="30" t="n">
        <v>22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61.25</v>
      </c>
      <c r="P240" s="31" t="n">
        <v>26.77</v>
      </c>
      <c r="Q240" s="31" t="n">
        <v>799.66</v>
      </c>
      <c r="R240" s="30" t="inlineStr">
        <is>
          <t>Earnings / Momentum Support</t>
        </is>
      </c>
      <c r="S240" s="30" t="inlineStr">
        <is>
          <t>Nifty Infra</t>
        </is>
      </c>
      <c r="T240" s="31" t="n">
        <v>0.58</v>
      </c>
      <c r="U240" s="31" t="n">
        <v>16.11</v>
      </c>
      <c r="V240" s="31" t="n">
        <v>15.44</v>
      </c>
      <c r="W240" s="31" t="n">
        <v>6.76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IF(B241=0,"",RANK(B241,$B$2:$B$371,0))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PVP</t>
        </is>
      </c>
      <c r="D241" s="30" t="inlineStr">
        <is>
          <t>Pvp Ventures Limited</t>
        </is>
      </c>
      <c r="E241" s="30" t="inlineStr">
        <is>
          <t>realty</t>
        </is>
      </c>
      <c r="F241" s="30" t="inlineStr">
        <is>
          <t>construction</t>
        </is>
      </c>
      <c r="G241" s="30" t="inlineStr">
        <is>
          <t>smallcap</t>
        </is>
      </c>
      <c r="H241" s="31" t="n">
        <v>1668.41</v>
      </c>
      <c r="I241" s="31" t="n">
        <v>64.54000000000001</v>
      </c>
      <c r="J241" s="31" t="n">
        <v>0.73</v>
      </c>
      <c r="K241" s="31" t="n">
        <v>2883236</v>
      </c>
      <c r="L241" s="30" t="n">
        <v>94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77.8</v>
      </c>
      <c r="P241" s="31" t="n">
        <v>28.9</v>
      </c>
      <c r="Q241" s="31" t="n">
        <v>48.89</v>
      </c>
      <c r="R241" s="30" t="inlineStr">
        <is>
          <t>Earnings / Momentum Support</t>
        </is>
      </c>
      <c r="S241" s="30" t="inlineStr">
        <is>
          <t>Nifty Realty</t>
        </is>
      </c>
      <c r="T241" s="31" t="n">
        <v>-8.25</v>
      </c>
      <c r="U241" s="31" t="n">
        <v>205.59</v>
      </c>
      <c r="V241" s="31" t="n">
        <v>233.06</v>
      </c>
      <c r="W241" s="31" t="n">
        <v>49.4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Above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IF(B242=0,"",RANK(B242,$B$2:$B$371,0))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GANDHAR</t>
        </is>
      </c>
      <c r="D242" s="30" t="inlineStr">
        <is>
          <t>Gandhar Oil Refinery (India) Ltd</t>
        </is>
      </c>
      <c r="E242" s="30" t="inlineStr">
        <is>
          <t>energy</t>
        </is>
      </c>
      <c r="F242" s="30" t="inlineStr">
        <is>
          <t>refineries</t>
        </is>
      </c>
      <c r="G242" s="30" t="inlineStr">
        <is>
          <t>smallcap</t>
        </is>
      </c>
      <c r="H242" s="31" t="n">
        <v>2584.51</v>
      </c>
      <c r="I242" s="31" t="n">
        <v>265.85</v>
      </c>
      <c r="J242" s="31" t="n">
        <v>0.68</v>
      </c>
      <c r="K242" s="31" t="n">
        <v>926450</v>
      </c>
      <c r="L242" s="30" t="n">
        <v>88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69.29000000000001</v>
      </c>
      <c r="P242" s="31" t="n">
        <v>73.75</v>
      </c>
      <c r="Q242" s="31" t="n">
        <v>215.5</v>
      </c>
      <c r="R242" s="30" t="inlineStr">
        <is>
          <t>Earnings / Momentum Support</t>
        </is>
      </c>
      <c r="S242" s="30" t="inlineStr">
        <is>
          <t>Nifty Energy</t>
        </is>
      </c>
      <c r="T242" s="31" t="n">
        <v>8.75</v>
      </c>
      <c r="U242" s="31" t="n">
        <v>61.55</v>
      </c>
      <c r="V242" s="31" t="n">
        <v>48.56</v>
      </c>
      <c r="W242" s="31" t="n">
        <v>35.37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Oligopoly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Yes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Cyclical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Volatile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Above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IF(B243=0,"",RANK(B243,$B$2:$B$371,0))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JASH</t>
        </is>
      </c>
      <c r="D243" s="30" t="inlineStr">
        <is>
          <t>Jash Engineering Ltd</t>
        </is>
      </c>
      <c r="E243" s="30" t="inlineStr">
        <is>
          <t>industrials</t>
        </is>
      </c>
      <c r="F243" s="30" t="inlineStr">
        <is>
          <t>engineering</t>
        </is>
      </c>
      <c r="G243" s="30" t="inlineStr">
        <is>
          <t>smallcap</t>
        </is>
      </c>
      <c r="H243" s="31" t="n">
        <v>3277.86</v>
      </c>
      <c r="I243" s="31" t="n">
        <v>518.75</v>
      </c>
      <c r="J243" s="31" t="n">
        <v>0.01</v>
      </c>
      <c r="K243" s="31" t="n">
        <v>167761</v>
      </c>
      <c r="L243" s="30" t="n">
        <v>11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60.01</v>
      </c>
      <c r="P243" s="31" t="n">
        <v>21.25</v>
      </c>
      <c r="Q243" s="31" t="n">
        <v>428.37</v>
      </c>
      <c r="R243" s="30" t="inlineStr">
        <is>
          <t>Earnings / Momentum Support</t>
        </is>
      </c>
      <c r="S243" s="30" t="inlineStr">
        <is>
          <t>Nifty 50</t>
        </is>
      </c>
      <c r="T243" s="31" t="n">
        <v>-6.7</v>
      </c>
      <c r="U243" s="31" t="n">
        <v>0.54</v>
      </c>
      <c r="V243" s="31" t="n">
        <v>7.76</v>
      </c>
      <c r="W243" s="31" t="n">
        <v>3.76</v>
      </c>
      <c r="X243" s="30" t="inlineStr">
        <is>
          <t>Cyclical in an Upturn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IF(B244=0,"",RANK(B244,$B$2:$B$371,0))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FOSECOIND</t>
        </is>
      </c>
      <c r="D244" s="30" t="inlineStr">
        <is>
          <t>Foseco India Limited</t>
        </is>
      </c>
      <c r="E244" s="30" t="inlineStr">
        <is>
          <t>chemicals</t>
        </is>
      </c>
      <c r="F244" s="30" t="inlineStr">
        <is>
          <t>chemicals</t>
        </is>
      </c>
      <c r="G244" s="30" t="inlineStr">
        <is>
          <t>smallcap</t>
        </is>
      </c>
      <c r="H244" s="31" t="n">
        <v>4594.34</v>
      </c>
      <c r="I244" s="31" t="n">
        <v>6080</v>
      </c>
      <c r="J244" s="31" t="n">
        <v>-0.25</v>
      </c>
      <c r="K244" s="31" t="n">
        <v>5173</v>
      </c>
      <c r="L244" s="30" t="n">
        <v>18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63.7</v>
      </c>
      <c r="P244" s="31" t="n">
        <v>26.6</v>
      </c>
      <c r="Q244" s="31" t="n">
        <v>5019.98</v>
      </c>
      <c r="R244" s="30" t="inlineStr">
        <is>
          <t>Near 52W High Breakout</t>
        </is>
      </c>
      <c r="S244" s="30" t="inlineStr">
        <is>
          <t>Nifty 50</t>
        </is>
      </c>
      <c r="T244" s="31" t="n">
        <v>-6.7</v>
      </c>
      <c r="U244" s="31" t="n">
        <v>-0.02</v>
      </c>
      <c r="V244" s="31" t="n">
        <v>7.16</v>
      </c>
      <c r="W244" s="31" t="n">
        <v>5.46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IF(B245=0,"",RANK(B245,$B$2:$B$371,0))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QPOWER</t>
        </is>
      </c>
      <c r="D245" s="30" t="inlineStr">
        <is>
          <t>Quality Power Electrical Equipments Ltd</t>
        </is>
      </c>
      <c r="E245" s="30" t="inlineStr">
        <is>
          <t>industrials</t>
        </is>
      </c>
      <c r="F245" s="30" t="inlineStr">
        <is>
          <t>electric equipment</t>
        </is>
      </c>
      <c r="G245" s="30" t="inlineStr">
        <is>
          <t>midcap</t>
        </is>
      </c>
      <c r="H245" s="31" t="n">
        <v>11769.18</v>
      </c>
      <c r="I245" s="31" t="n">
        <v>1513.2</v>
      </c>
      <c r="J245" s="31" t="n">
        <v>-0.43</v>
      </c>
      <c r="K245" s="31" t="n">
        <v>176606</v>
      </c>
      <c r="L245" s="30" t="n">
        <v>60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68.36</v>
      </c>
      <c r="P245" s="31" t="n">
        <v>19.01</v>
      </c>
      <c r="Q245" s="31" t="n">
        <v>1121.28</v>
      </c>
      <c r="R245" s="30" t="inlineStr">
        <is>
          <t>Near 52W High Breakout</t>
        </is>
      </c>
      <c r="S245" s="30" t="inlineStr">
        <is>
          <t>Nifty 50</t>
        </is>
      </c>
      <c r="T245" s="31" t="n">
        <v>-6.7</v>
      </c>
      <c r="U245" s="31" t="n">
        <v>60.41</v>
      </c>
      <c r="V245" s="31" t="n">
        <v>71.93000000000001</v>
      </c>
      <c r="W245" s="31" t="n">
        <v>18.03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Blue sky scenario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Between 1.5 to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IF(B246=0,"",RANK(B246,$B$2:$B$371,0))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GLOBAL</t>
        </is>
      </c>
      <c r="D246" s="30" t="inlineStr">
        <is>
          <t>Global Education Ltd</t>
        </is>
      </c>
      <c r="E246" s="30" t="inlineStr">
        <is>
          <t>services</t>
        </is>
      </c>
      <c r="F246" s="30" t="inlineStr">
        <is>
          <t>miscellaneous</t>
        </is>
      </c>
      <c r="G246" s="30" t="inlineStr">
        <is>
          <t>smallcap</t>
        </is>
      </c>
      <c r="H246" s="31" t="n">
        <v>644.51</v>
      </c>
      <c r="I246" s="31" t="n">
        <v>125.94</v>
      </c>
      <c r="J246" s="31" t="n">
        <v>-0.54</v>
      </c>
      <c r="K246" s="31" t="n">
        <v>118903</v>
      </c>
      <c r="L246" s="30" t="n">
        <v>67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70.76000000000001</v>
      </c>
      <c r="P246" s="31" t="n">
        <v>37.32</v>
      </c>
      <c r="Q246" s="31" t="n">
        <v>94.52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-6.7</v>
      </c>
      <c r="U246" s="31" t="n">
        <v>99.33</v>
      </c>
      <c r="V246" s="31" t="n">
        <v>113.64</v>
      </c>
      <c r="W246" s="31" t="n">
        <v>20.24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Less than 50%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IF(B247=0,"",RANK(B247,$B$2:$B$371,0))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SHYAMMETL</t>
        </is>
      </c>
      <c r="D247" s="32" t="inlineStr">
        <is>
          <t>Shyam Metalics &amp; Energy Ltd</t>
        </is>
      </c>
      <c r="E247" s="30" t="inlineStr">
        <is>
          <t>metals &amp; mining</t>
        </is>
      </c>
      <c r="F247" s="30" t="inlineStr">
        <is>
          <t>steel - large</t>
        </is>
      </c>
      <c r="G247" s="30" t="inlineStr">
        <is>
          <t>largecap</t>
        </is>
      </c>
      <c r="H247" s="31" t="n">
        <v>30199.28</v>
      </c>
      <c r="I247" s="31" t="n">
        <v>1073.7</v>
      </c>
      <c r="J247" s="31" t="n">
        <v>-0.76</v>
      </c>
      <c r="K247" s="31" t="n">
        <v>153996</v>
      </c>
      <c r="L247" s="30" t="n">
        <v>34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64.7</v>
      </c>
      <c r="P247" s="31" t="n">
        <v>26.05</v>
      </c>
      <c r="Q247" s="31" t="n">
        <v>919.3099999999999</v>
      </c>
      <c r="R247" s="30" t="inlineStr">
        <is>
          <t>Near 52W High Breakout</t>
        </is>
      </c>
      <c r="S247" s="30" t="inlineStr">
        <is>
          <t>Nifty Metal</t>
        </is>
      </c>
      <c r="T247" s="31" t="n">
        <v>42.08</v>
      </c>
      <c r="U247" s="31" t="n">
        <v>11.76</v>
      </c>
      <c r="V247" s="31" t="n">
        <v>-21.34</v>
      </c>
      <c r="W247" s="31" t="n">
        <v>9.6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Cyclical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Volatile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Blue sky scenario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IF(B248=0,"",RANK(B248,$B$2:$B$371,0))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MANGLMCEM</t>
        </is>
      </c>
      <c r="D248" s="30" t="inlineStr">
        <is>
          <t>Mangalam Cement Limited</t>
        </is>
      </c>
      <c r="E248" s="30" t="inlineStr">
        <is>
          <t>building materials</t>
        </is>
      </c>
      <c r="F248" s="30" t="inlineStr">
        <is>
          <t>cement - north india</t>
        </is>
      </c>
      <c r="G248" s="30" t="inlineStr">
        <is>
          <t>smallcap</t>
        </is>
      </c>
      <c r="H248" s="31" t="n">
        <v>2921.59</v>
      </c>
      <c r="I248" s="31" t="n">
        <v>1049.6</v>
      </c>
      <c r="J248" s="31" t="n">
        <v>-1.21</v>
      </c>
      <c r="K248" s="31" t="n">
        <v>86283</v>
      </c>
      <c r="L248" s="30" t="n">
        <v>40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63.48</v>
      </c>
      <c r="P248" s="31" t="n">
        <v>29.55</v>
      </c>
      <c r="Q248" s="31" t="n">
        <v>896.75</v>
      </c>
      <c r="R248" s="30" t="inlineStr">
        <is>
          <t>Near 52W High Breakout</t>
        </is>
      </c>
      <c r="S248" s="30" t="inlineStr">
        <is>
          <t>Nifty Infra</t>
        </is>
      </c>
      <c r="T248" s="31" t="n">
        <v>0.58</v>
      </c>
      <c r="U248" s="31" t="n">
        <v>45.54</v>
      </c>
      <c r="V248" s="31" t="n">
        <v>44.69</v>
      </c>
      <c r="W248" s="31" t="n">
        <v>11.24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Between 0.7 to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IF(B249=0,"",RANK(B249,$B$2:$B$371,0))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PRECWIRE</t>
        </is>
      </c>
      <c r="D249" s="30" t="inlineStr">
        <is>
          <t>Precision Wires India Limited</t>
        </is>
      </c>
      <c r="E249" s="30" t="inlineStr">
        <is>
          <t>metals &amp; mining</t>
        </is>
      </c>
      <c r="F249" s="30" t="inlineStr">
        <is>
          <t>mining / minerals / metals</t>
        </is>
      </c>
      <c r="G249" s="30" t="inlineStr">
        <is>
          <t>midcap</t>
        </is>
      </c>
      <c r="H249" s="31" t="n">
        <v>8778.440000000001</v>
      </c>
      <c r="I249" s="31" t="n">
        <v>474.35</v>
      </c>
      <c r="J249" s="31" t="n">
        <v>-1.22</v>
      </c>
      <c r="K249" s="31" t="n">
        <v>390910</v>
      </c>
      <c r="L249" s="30" t="n">
        <v>80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63.82</v>
      </c>
      <c r="P249" s="31" t="n">
        <v>41.21</v>
      </c>
      <c r="Q249" s="31" t="n">
        <v>374.43</v>
      </c>
      <c r="R249" s="30" t="inlineStr">
        <is>
          <t>Earnings / Momentum Support</t>
        </is>
      </c>
      <c r="S249" s="30" t="inlineStr">
        <is>
          <t>Nifty Metal</t>
        </is>
      </c>
      <c r="T249" s="31" t="n">
        <v>42.08</v>
      </c>
      <c r="U249" s="31" t="n">
        <v>161.81</v>
      </c>
      <c r="V249" s="31" t="n">
        <v>84.27</v>
      </c>
      <c r="W249" s="31" t="n">
        <v>28.58</v>
      </c>
      <c r="X249" s="30" t="inlineStr">
        <is>
          <t>Cyclical in an Upturn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Cyclical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Volatile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Above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IF(B250=0,"",RANK(B250,$B$2:$B$371,0))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INOXINDIA</t>
        </is>
      </c>
      <c r="D250" s="30" t="inlineStr">
        <is>
          <t>Inox India Ltd</t>
        </is>
      </c>
      <c r="E250" s="30" t="inlineStr">
        <is>
          <t>industrials</t>
        </is>
      </c>
      <c r="F250" s="30" t="inlineStr">
        <is>
          <t>packaging</t>
        </is>
      </c>
      <c r="G250" s="30" t="inlineStr">
        <is>
          <t>largecap</t>
        </is>
      </c>
      <c r="H250" s="31" t="n">
        <v>20112.28</v>
      </c>
      <c r="I250" s="31" t="n">
        <v>2185.5</v>
      </c>
      <c r="J250" s="31" t="n">
        <v>-1.37</v>
      </c>
      <c r="K250" s="31" t="n">
        <v>100850</v>
      </c>
      <c r="L250" s="30" t="n">
        <v>65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75.45999999999999</v>
      </c>
      <c r="P250" s="31" t="n">
        <v>64.87</v>
      </c>
      <c r="Q250" s="31" t="n">
        <v>1733.9</v>
      </c>
      <c r="R250" s="30" t="inlineStr">
        <is>
          <t>Near 52W High Breakout</t>
        </is>
      </c>
      <c r="S250" s="30" t="inlineStr">
        <is>
          <t>Nifty 50</t>
        </is>
      </c>
      <c r="T250" s="31" t="n">
        <v>-6.7</v>
      </c>
      <c r="U250" s="31" t="n">
        <v>87.06999999999999</v>
      </c>
      <c r="V250" s="31" t="n">
        <v>100.5</v>
      </c>
      <c r="W250" s="31" t="n">
        <v>19.64</v>
      </c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Above 40</t>
        </is>
      </c>
      <c r="AY250" s="30">
        <f>IF(AX250="Above 40",20,IF(AX250="20 to 40",10,IF(AX250="0 to 20",-5,0)))</f>
        <v/>
      </c>
      <c r="AZ250" s="30" t="inlineStr">
        <is>
          <t>Above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IF(B251=0,"",RANK(B251,$B$2:$B$371,0))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HARSHA</t>
        </is>
      </c>
      <c r="D251" s="30" t="inlineStr">
        <is>
          <t>Harsha Engineers International Ltd</t>
        </is>
      </c>
      <c r="E251" s="30" t="inlineStr">
        <is>
          <t>industrials</t>
        </is>
      </c>
      <c r="F251" s="30" t="inlineStr">
        <is>
          <t>engineering</t>
        </is>
      </c>
      <c r="G251" s="30" t="inlineStr">
        <is>
          <t>smallcap</t>
        </is>
      </c>
      <c r="H251" s="31" t="n">
        <v>4249.94</v>
      </c>
      <c r="I251" s="31" t="n">
        <v>453.4</v>
      </c>
      <c r="J251" s="31" t="n">
        <v>-2.87</v>
      </c>
      <c r="K251" s="31" t="n">
        <v>175392</v>
      </c>
      <c r="L251" s="30" t="n">
        <v>16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62.8</v>
      </c>
      <c r="P251" s="31" t="n">
        <v>38.35</v>
      </c>
      <c r="Q251" s="31" t="n">
        <v>364.7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-6.7</v>
      </c>
      <c r="U251" s="31" t="n">
        <v>11.77</v>
      </c>
      <c r="V251" s="31" t="n">
        <v>19.8</v>
      </c>
      <c r="W251" s="31" t="n">
        <v>5.3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IF(B252=0,"",RANK(B252,$B$2:$B$371,0))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DEEDEV</t>
        </is>
      </c>
      <c r="D252" s="30" t="inlineStr">
        <is>
          <t>DEE Development Engineers Ltd</t>
        </is>
      </c>
      <c r="E252" s="30" t="inlineStr">
        <is>
          <t>metals &amp; mining</t>
        </is>
      </c>
      <c r="F252" s="30" t="inlineStr">
        <is>
          <t>steel - medium / small</t>
        </is>
      </c>
      <c r="G252" s="30" t="inlineStr">
        <is>
          <t>midcap</t>
        </is>
      </c>
      <c r="H252" s="31" t="n">
        <v>5278.8</v>
      </c>
      <c r="I252" s="31" t="n">
        <v>674.75</v>
      </c>
      <c r="J252" s="31" t="n">
        <v>-3.83</v>
      </c>
      <c r="K252" s="31" t="n">
        <v>340451</v>
      </c>
      <c r="L252" s="30" t="n">
        <v>90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65.62</v>
      </c>
      <c r="P252" s="31" t="n">
        <v>49.07</v>
      </c>
      <c r="Q252" s="31" t="n">
        <v>509.79</v>
      </c>
      <c r="R252" s="30" t="inlineStr">
        <is>
          <t>Near 52W High Breakout</t>
        </is>
      </c>
      <c r="S252" s="30" t="inlineStr">
        <is>
          <t>Nifty Metal</t>
        </is>
      </c>
      <c r="T252" s="31" t="n">
        <v>42.08</v>
      </c>
      <c r="U252" s="31" t="n">
        <v>125.93</v>
      </c>
      <c r="V252" s="31" t="n">
        <v>59.02</v>
      </c>
      <c r="W252" s="31" t="n">
        <v>39.94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Cyclical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Volatile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Above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Between 0.7 to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IF(B253=0,"",RANK(B253,$B$2:$B$371,0))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TEXINFRA</t>
        </is>
      </c>
      <c r="D253" s="30" t="inlineStr">
        <is>
          <t>Texmaco Infrastructure &amp; Holdings Limited</t>
        </is>
      </c>
      <c r="E253" s="30" t="inlineStr">
        <is>
          <t>realty</t>
        </is>
      </c>
      <c r="F253" s="30" t="inlineStr">
        <is>
          <t>construction</t>
        </is>
      </c>
      <c r="G253" s="30" t="inlineStr">
        <is>
          <t>smallcap</t>
        </is>
      </c>
      <c r="H253" s="31" t="n">
        <v>1529.5</v>
      </c>
      <c r="I253" s="31" t="n">
        <v>115.23</v>
      </c>
      <c r="J253" s="31" t="n">
        <v>-4</v>
      </c>
      <c r="K253" s="31" t="n">
        <v>380617</v>
      </c>
      <c r="L253" s="30" t="n">
        <v>27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63.98</v>
      </c>
      <c r="P253" s="31" t="n">
        <v>39.46</v>
      </c>
      <c r="Q253" s="31" t="n">
        <v>94.64</v>
      </c>
      <c r="R253" s="30" t="inlineStr">
        <is>
          <t>Volume Spike &amp; Near 52W High Breakout</t>
        </is>
      </c>
      <c r="S253" s="30" t="inlineStr">
        <is>
          <t>Nifty Realty</t>
        </is>
      </c>
      <c r="T253" s="31" t="n">
        <v>-8.25</v>
      </c>
      <c r="U253" s="31" t="n">
        <v>17.35</v>
      </c>
      <c r="V253" s="31" t="n">
        <v>27.9</v>
      </c>
      <c r="W253" s="31" t="n">
        <v>7.59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IF(B254=0,"",RANK(B254,$B$2:$B$371,0))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RAYMOND</t>
        </is>
      </c>
      <c r="D254" s="30" t="inlineStr">
        <is>
          <t>Raymond Limited</t>
        </is>
      </c>
      <c r="E254" s="30" t="inlineStr">
        <is>
          <t>transportation</t>
        </is>
      </c>
      <c r="F254" s="30" t="inlineStr">
        <is>
          <t>transport - airlines</t>
        </is>
      </c>
      <c r="G254" s="30" t="inlineStr">
        <is>
          <t>midcap</t>
        </is>
      </c>
      <c r="H254" s="31" t="n">
        <v>5710.69</v>
      </c>
      <c r="I254" s="31" t="n">
        <v>808.45</v>
      </c>
      <c r="J254" s="31" t="n">
        <v>-5.75</v>
      </c>
      <c r="K254" s="31" t="n">
        <v>5497465</v>
      </c>
      <c r="L254" s="30" t="n">
        <v>79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75.76000000000001</v>
      </c>
      <c r="P254" s="31" t="n">
        <v>46.16</v>
      </c>
      <c r="Q254" s="31" t="n">
        <v>627.79</v>
      </c>
      <c r="R254" s="30" t="inlineStr">
        <is>
          <t>Volume Spike &amp; Near 52W High Breakout</t>
        </is>
      </c>
      <c r="S254" s="30" t="inlineStr">
        <is>
          <t>Nifty Infra</t>
        </is>
      </c>
      <c r="T254" s="31" t="n">
        <v>0.58</v>
      </c>
      <c r="U254" s="31" t="n">
        <v>14.98</v>
      </c>
      <c r="V254" s="31" t="n">
        <v>14.32</v>
      </c>
      <c r="W254" s="31" t="n">
        <v>27.19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Above 40</t>
        </is>
      </c>
      <c r="AY254" s="30">
        <f>IF(AX254="Above 40",20,IF(AX254="20 to 40",10,IF(AX254="0 to 20",-5,0)))</f>
        <v/>
      </c>
      <c r="AZ254" s="30" t="inlineStr">
        <is>
          <t>Above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IF(B255=0,"",RANK(B255,$B$2:$B$371,0))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VALIANTLAB</t>
        </is>
      </c>
      <c r="D255" s="30" t="inlineStr">
        <is>
          <t>Valiant Laboratories Ltd</t>
        </is>
      </c>
      <c r="E255" s="30" t="inlineStr">
        <is>
          <t>healthcare</t>
        </is>
      </c>
      <c r="F255" s="30" t="inlineStr">
        <is>
          <t>pharmaceuticals - indian - bulk drugs &amp; formln</t>
        </is>
      </c>
      <c r="G255" s="30" t="inlineStr">
        <is>
          <t>smallcap</t>
        </is>
      </c>
      <c r="H255" s="31" t="n">
        <v>619.87</v>
      </c>
      <c r="I255" s="31" t="n">
        <v>119.83</v>
      </c>
      <c r="J255" s="31" t="n">
        <v>4.99</v>
      </c>
      <c r="K255" s="31" t="n">
        <v>118328</v>
      </c>
      <c r="L255" s="30" t="n">
        <v>79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80.17</v>
      </c>
      <c r="P255" s="31" t="n">
        <v>21.61</v>
      </c>
      <c r="Q255" s="31" t="n">
        <v>91.78</v>
      </c>
      <c r="R255" s="30" t="inlineStr">
        <is>
          <t>Near 52W High Breakout</t>
        </is>
      </c>
      <c r="S255" s="30" t="inlineStr">
        <is>
          <t>Nifty Pharma</t>
        </is>
      </c>
      <c r="T255" s="31" t="n">
        <v>19.47</v>
      </c>
      <c r="U255" s="31" t="n">
        <v>38.08</v>
      </c>
      <c r="V255" s="31" t="n">
        <v>15.58</v>
      </c>
      <c r="W255" s="31" t="n">
        <v>27.65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Yes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Annuity, Lower One Time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IF(B256=0,"",RANK(B256,$B$2:$B$371,0))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MEDANTA</t>
        </is>
      </c>
      <c r="D256" s="32" t="inlineStr">
        <is>
          <t>Global Health Ltd</t>
        </is>
      </c>
      <c r="E256" s="30" t="inlineStr">
        <is>
          <t>healthcare</t>
        </is>
      </c>
      <c r="F256" s="30" t="inlineStr">
        <is>
          <t>healthcare</t>
        </is>
      </c>
      <c r="G256" s="30" t="inlineStr">
        <is>
          <t>largecap</t>
        </is>
      </c>
      <c r="H256" s="31" t="n">
        <v>38411.02</v>
      </c>
      <c r="I256" s="31" t="n">
        <v>1480.4</v>
      </c>
      <c r="J256" s="31" t="n">
        <v>3.63</v>
      </c>
      <c r="K256" s="31" t="n">
        <v>565564</v>
      </c>
      <c r="L256" s="30" t="n">
        <v>23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70.04000000000001</v>
      </c>
      <c r="P256" s="31" t="n">
        <v>32.3</v>
      </c>
      <c r="Q256" s="31" t="n">
        <v>1231.01</v>
      </c>
      <c r="R256" s="30" t="inlineStr">
        <is>
          <t>Near 52W High Breakout</t>
        </is>
      </c>
      <c r="S256" s="30" t="inlineStr">
        <is>
          <t>Nifty Pharma</t>
        </is>
      </c>
      <c r="T256" s="31" t="n">
        <v>19.47</v>
      </c>
      <c r="U256" s="31" t="n">
        <v>12</v>
      </c>
      <c r="V256" s="31" t="n">
        <v>-6.26</v>
      </c>
      <c r="W256" s="31" t="n">
        <v>7.04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Yes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Annuity, Lower One Time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IF(B257=0,"",RANK(B257,$B$2:$B$371,0))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MPSLTD</t>
        </is>
      </c>
      <c r="D257" s="30" t="inlineStr">
        <is>
          <t>Mps Limited</t>
        </is>
      </c>
      <c r="E257" s="30" t="inlineStr">
        <is>
          <t>i.t</t>
        </is>
      </c>
      <c r="F257" s="30" t="inlineStr">
        <is>
          <t>computers - software - medium / small</t>
        </is>
      </c>
      <c r="G257" s="30" t="inlineStr">
        <is>
          <t>smallcap</t>
        </is>
      </c>
      <c r="H257" s="31" t="n">
        <v>4702.56</v>
      </c>
      <c r="I257" s="31" t="n">
        <v>2783.4</v>
      </c>
      <c r="J257" s="31" t="n">
        <v>1.25</v>
      </c>
      <c r="K257" s="31" t="n">
        <v>31308</v>
      </c>
      <c r="L257" s="30" t="n">
        <v>64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66.93000000000001</v>
      </c>
      <c r="P257" s="31" t="n">
        <v>46.48</v>
      </c>
      <c r="Q257" s="31" t="n">
        <v>2303.4</v>
      </c>
      <c r="R257" s="30" t="inlineStr">
        <is>
          <t>Earnings / Momentum Support</t>
        </is>
      </c>
      <c r="S257" s="30" t="inlineStr">
        <is>
          <t>Nifty IT</t>
        </is>
      </c>
      <c r="T257" s="31" t="n">
        <v>-19.93</v>
      </c>
      <c r="U257" s="31" t="n">
        <v>27.7</v>
      </c>
      <c r="V257" s="31" t="n">
        <v>59.49</v>
      </c>
      <c r="W257" s="31" t="n">
        <v>19.12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Annuity, Lower One Time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Less than 1.5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IF(B258=0,"",RANK(B258,$B$2:$B$371,0))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INDGN</t>
        </is>
      </c>
      <c r="D258" s="32" t="inlineStr">
        <is>
          <t>Indegene Ltd</t>
        </is>
      </c>
      <c r="E258" s="30" t="inlineStr">
        <is>
          <t>healthcare</t>
        </is>
      </c>
      <c r="F258" s="30" t="inlineStr">
        <is>
          <t>miscellaneous</t>
        </is>
      </c>
      <c r="G258" s="30" t="inlineStr">
        <is>
          <t>midcap</t>
        </is>
      </c>
      <c r="H258" s="31" t="n">
        <v>14197.03</v>
      </c>
      <c r="I258" s="31" t="n">
        <v>586.35</v>
      </c>
      <c r="J258" s="31" t="n">
        <v>-0.48</v>
      </c>
      <c r="K258" s="31" t="n">
        <v>239296</v>
      </c>
      <c r="L258" s="30" t="n">
        <v>14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65.02</v>
      </c>
      <c r="P258" s="31" t="n">
        <v>22.71</v>
      </c>
      <c r="Q258" s="31" t="n">
        <v>503.7</v>
      </c>
      <c r="R258" s="30" t="inlineStr">
        <is>
          <t>Near 52W High Breakout</t>
        </is>
      </c>
      <c r="S258" s="30" t="inlineStr">
        <is>
          <t>Nifty Pharma</t>
        </is>
      </c>
      <c r="T258" s="31" t="n">
        <v>19.47</v>
      </c>
      <c r="U258" s="31" t="n">
        <v>2.41</v>
      </c>
      <c r="V258" s="31" t="n">
        <v>-14.28</v>
      </c>
      <c r="W258" s="31" t="n">
        <v>4.55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Yes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Annuity, Lower One Time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IF(B259=0,"",RANK(B259,$B$2:$B$371,0))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SURAKSHA</t>
        </is>
      </c>
      <c r="D259" s="32" t="inlineStr">
        <is>
          <t>Suraksha Diagnostic Ltd</t>
        </is>
      </c>
      <c r="E259" s="30" t="inlineStr">
        <is>
          <t>healthcare</t>
        </is>
      </c>
      <c r="F259" s="30" t="inlineStr">
        <is>
          <t>healthcare</t>
        </is>
      </c>
      <c r="G259" s="30" t="inlineStr">
        <is>
          <t>smallcap</t>
        </is>
      </c>
      <c r="H259" s="31" t="n">
        <v>1771.27</v>
      </c>
      <c r="I259" s="31" t="n">
        <v>335.65</v>
      </c>
      <c r="J259" s="31" t="n">
        <v>-1.31</v>
      </c>
      <c r="K259" s="31" t="n">
        <v>117233</v>
      </c>
      <c r="L259" s="30" t="n">
        <v>26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66.48</v>
      </c>
      <c r="P259" s="31" t="n">
        <v>19.65</v>
      </c>
      <c r="Q259" s="31" t="n">
        <v>268.94</v>
      </c>
      <c r="R259" s="30" t="inlineStr">
        <is>
          <t>Near 52W High Breakout</t>
        </is>
      </c>
      <c r="S259" s="30" t="inlineStr">
        <is>
          <t>Nifty Pharma</t>
        </is>
      </c>
      <c r="T259" s="31" t="n">
        <v>19.47</v>
      </c>
      <c r="U259" s="31" t="n">
        <v>8.17</v>
      </c>
      <c r="V259" s="31" t="n">
        <v>-9.460000000000001</v>
      </c>
      <c r="W259" s="31" t="n">
        <v>7.32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Yes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Annuity, Lower One Time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IF(B260=0,"",RANK(B260,$B$2:$B$371,0))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GLENMARK</t>
        </is>
      </c>
      <c r="D260" s="32" t="inlineStr">
        <is>
          <t>Glenmark Pharmaceuticals Limited</t>
        </is>
      </c>
      <c r="E260" s="30" t="inlineStr">
        <is>
          <t>healthcare</t>
        </is>
      </c>
      <c r="F260" s="30" t="inlineStr">
        <is>
          <t>pharmaceuticals - indian - bulk drugs &amp; formln</t>
        </is>
      </c>
      <c r="G260" s="30" t="inlineStr">
        <is>
          <t>largecap</t>
        </is>
      </c>
      <c r="H260" s="31" t="n">
        <v>69830.59</v>
      </c>
      <c r="I260" s="31" t="n">
        <v>2435</v>
      </c>
      <c r="J260" s="31" t="n">
        <v>-1.6</v>
      </c>
      <c r="K260" s="31" t="n">
        <v>424753</v>
      </c>
      <c r="L260" s="30" t="n">
        <v>17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62.99</v>
      </c>
      <c r="P260" s="31" t="n">
        <v>19.16</v>
      </c>
      <c r="Q260" s="31" t="n">
        <v>2128.9</v>
      </c>
      <c r="R260" s="30" t="inlineStr">
        <is>
          <t>Near 52W High Breakout</t>
        </is>
      </c>
      <c r="S260" s="30" t="inlineStr">
        <is>
          <t>Nifty Pharma</t>
        </is>
      </c>
      <c r="T260" s="31" t="n">
        <v>19.47</v>
      </c>
      <c r="U260" s="31" t="n">
        <v>14.58</v>
      </c>
      <c r="V260" s="31" t="n">
        <v>-4.1</v>
      </c>
      <c r="W260" s="31" t="n">
        <v>5.43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Yes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Annuity, Lower One Time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Blue sky scenario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IF(B261=0,"",RANK(B261,$B$2:$B$371,0))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MARKSANS</t>
        </is>
      </c>
      <c r="D261" s="30" t="inlineStr">
        <is>
          <t>Marksans Pharma Limited</t>
        </is>
      </c>
      <c r="E261" s="30" t="inlineStr">
        <is>
          <t>healthcare</t>
        </is>
      </c>
      <c r="F261" s="30" t="inlineStr">
        <is>
          <t>pharmaceuticals - indian - formulations</t>
        </is>
      </c>
      <c r="G261" s="30" t="inlineStr">
        <is>
          <t>midcap</t>
        </is>
      </c>
      <c r="H261" s="31" t="n">
        <v>15221.77</v>
      </c>
      <c r="I261" s="31" t="n">
        <v>330.15</v>
      </c>
      <c r="J261" s="31" t="n">
        <v>-1.71</v>
      </c>
      <c r="K261" s="31" t="n">
        <v>1784442</v>
      </c>
      <c r="L261" s="30" t="n">
        <v>71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73.93000000000001</v>
      </c>
      <c r="P261" s="31" t="n">
        <v>59.51</v>
      </c>
      <c r="Q261" s="31" t="n">
        <v>258.8</v>
      </c>
      <c r="R261" s="30" t="inlineStr">
        <is>
          <t>Near 52W High Breakout</t>
        </is>
      </c>
      <c r="S261" s="30" t="inlineStr">
        <is>
          <t>Nifty Pharma</t>
        </is>
      </c>
      <c r="T261" s="31" t="n">
        <v>19.47</v>
      </c>
      <c r="U261" s="31" t="n">
        <v>91.44</v>
      </c>
      <c r="V261" s="31" t="n">
        <v>60.24</v>
      </c>
      <c r="W261" s="31" t="n">
        <v>22.35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Yes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Annuity, Lower One Time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Above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IF(B262=0,"",RANK(B262,$B$2:$B$371,0))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MUKKA</t>
        </is>
      </c>
      <c r="D262" s="30" t="inlineStr">
        <is>
          <t>Mukka Proteins Ltd</t>
        </is>
      </c>
      <c r="E262" s="30" t="inlineStr">
        <is>
          <t>fmcg</t>
        </is>
      </c>
      <c r="F262" s="30" t="inlineStr">
        <is>
          <t>food - processing - indian</t>
        </is>
      </c>
      <c r="G262" s="30" t="inlineStr">
        <is>
          <t>smallcap</t>
        </is>
      </c>
      <c r="H262" s="31" t="n">
        <v>921.6</v>
      </c>
      <c r="I262" s="31" t="n">
        <v>29.86</v>
      </c>
      <c r="J262" s="31" t="n">
        <v>-2.8</v>
      </c>
      <c r="K262" s="31" t="n">
        <v>1716557</v>
      </c>
      <c r="L262" s="30" t="n">
        <v>20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65.48</v>
      </c>
      <c r="P262" s="31" t="n">
        <v>14.98</v>
      </c>
      <c r="Q262" s="31" t="n">
        <v>23.32</v>
      </c>
      <c r="R262" s="30" t="inlineStr">
        <is>
          <t>Volume Spike &amp; Near 52W High Breakout</t>
        </is>
      </c>
      <c r="S262" s="30" t="inlineStr">
        <is>
          <t>Nifty FMCG</t>
        </is>
      </c>
      <c r="T262" s="31" t="n">
        <v>-16.99</v>
      </c>
      <c r="U262" s="31" t="n">
        <v>2.68</v>
      </c>
      <c r="V262" s="31" t="n">
        <v>23.69</v>
      </c>
      <c r="W262" s="31" t="n">
        <v>6.34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B2C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Annuity, Lower One Time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More than 1.2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IF(B263=0,"",RANK(B263,$B$2:$B$371,0))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BIL</t>
        </is>
      </c>
      <c r="D263" s="30" t="inlineStr">
        <is>
          <t>Bhartiya International Limited</t>
        </is>
      </c>
      <c r="E263" s="30" t="inlineStr">
        <is>
          <t>consumer discretionary</t>
        </is>
      </c>
      <c r="F263" s="30" t="inlineStr">
        <is>
          <t>leather / leather products</t>
        </is>
      </c>
      <c r="G263" s="30" t="inlineStr">
        <is>
          <t>smallcap</t>
        </is>
      </c>
      <c r="H263" s="31" t="n">
        <v>1256.35</v>
      </c>
      <c r="I263" s="31" t="n">
        <v>1108.2</v>
      </c>
      <c r="J263" s="31" t="n">
        <v>18.29</v>
      </c>
      <c r="K263" s="31" t="n">
        <v>191572</v>
      </c>
      <c r="L263" s="30" t="n">
        <v>65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76.5</v>
      </c>
      <c r="P263" s="31" t="n">
        <v>21.68</v>
      </c>
      <c r="Q263" s="31" t="n">
        <v>836.73</v>
      </c>
      <c r="R263" s="30" t="inlineStr">
        <is>
          <t>Volume Spike &amp; Near 52W High Breakout</t>
        </is>
      </c>
      <c r="S263" s="30" t="inlineStr">
        <is>
          <t>Nifty 50</t>
        </is>
      </c>
      <c r="T263" s="31" t="n">
        <v>-6.7</v>
      </c>
      <c r="U263" s="31" t="n">
        <v>27.89</v>
      </c>
      <c r="V263" s="31" t="n">
        <v>37.07</v>
      </c>
      <c r="W263" s="31" t="n">
        <v>19.64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Above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IF(B264=0,"",RANK(B264,$B$2:$B$371,0))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GRAPHITE</t>
        </is>
      </c>
      <c r="D264" s="30" t="inlineStr">
        <is>
          <t>Graphite India Limited</t>
        </is>
      </c>
      <c r="E264" s="30" t="inlineStr">
        <is>
          <t>industrials</t>
        </is>
      </c>
      <c r="F264" s="30" t="inlineStr">
        <is>
          <t>electrodes - graphites</t>
        </is>
      </c>
      <c r="G264" s="30" t="inlineStr">
        <is>
          <t>midcap</t>
        </is>
      </c>
      <c r="H264" s="31" t="n">
        <v>14345.45</v>
      </c>
      <c r="I264" s="31" t="n">
        <v>844.65</v>
      </c>
      <c r="J264" s="31" t="n">
        <v>15.04</v>
      </c>
      <c r="K264" s="31" t="n">
        <v>36292952</v>
      </c>
      <c r="L264" s="30" t="n">
        <v>57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69.88</v>
      </c>
      <c r="P264" s="31" t="n">
        <v>13.61</v>
      </c>
      <c r="Q264" s="31" t="n">
        <v>649.46</v>
      </c>
      <c r="R264" s="30" t="inlineStr">
        <is>
          <t>Volume Spike &amp; Near 52W High Breakout</t>
        </is>
      </c>
      <c r="S264" s="30" t="inlineStr">
        <is>
          <t>Nifty 50</t>
        </is>
      </c>
      <c r="T264" s="31" t="n">
        <v>-6.7</v>
      </c>
      <c r="U264" s="31" t="n">
        <v>60.09</v>
      </c>
      <c r="V264" s="31" t="n">
        <v>71.59</v>
      </c>
      <c r="W264" s="31" t="n">
        <v>17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IF(B265=0,"",RANK(B265,$B$2:$B$371,0))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ANTELOPUS</t>
        </is>
      </c>
      <c r="D265" s="30" t="inlineStr">
        <is>
          <t>Antelopus Selan Energy Ltd</t>
        </is>
      </c>
      <c r="E265" s="30" t="inlineStr">
        <is>
          <t>energy</t>
        </is>
      </c>
      <c r="F265" s="30" t="inlineStr">
        <is>
          <t>oil drilling / allied services</t>
        </is>
      </c>
      <c r="G265" s="30" t="inlineStr">
        <is>
          <t>smallcap</t>
        </is>
      </c>
      <c r="H265" s="31" t="n">
        <v>3864.87</v>
      </c>
      <c r="I265" s="31" t="n">
        <v>1169.4</v>
      </c>
      <c r="J265" s="31" t="n">
        <v>6.39</v>
      </c>
      <c r="K265" s="31" t="n">
        <v>13072209</v>
      </c>
      <c r="L265" s="30" t="n">
        <v>89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75.2</v>
      </c>
      <c r="P265" s="31" t="n">
        <v>45.48</v>
      </c>
      <c r="Q265" s="31" t="n">
        <v>826.7</v>
      </c>
      <c r="R265" s="30" t="inlineStr">
        <is>
          <t>Volume Spike &amp; Near 52W High Breakout</t>
        </is>
      </c>
      <c r="S265" s="30" t="inlineStr">
        <is>
          <t>Nifty Energy</t>
        </is>
      </c>
      <c r="T265" s="31" t="n">
        <v>8.75</v>
      </c>
      <c r="U265" s="31" t="n">
        <v>87.56999999999999</v>
      </c>
      <c r="V265" s="31" t="n">
        <v>72.48</v>
      </c>
      <c r="W265" s="31" t="n">
        <v>36.17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Oligopoly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Cyclical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Volatile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Above 40</t>
        </is>
      </c>
      <c r="AY265" s="30">
        <f>IF(AX265="Above 40",20,IF(AX265="20 to 40",10,IF(AX265="0 to 20",-5,0)))</f>
        <v/>
      </c>
      <c r="AZ265" s="30" t="inlineStr">
        <is>
          <t>Above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IF(B266=0,"",RANK(B266,$B$2:$B$371,0))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RBA</t>
        </is>
      </c>
      <c r="D266" s="30" t="inlineStr">
        <is>
          <t>Restaurant Brands Asia Ltd</t>
        </is>
      </c>
      <c r="E266" s="30" t="inlineStr">
        <is>
          <t>consumer discretionary</t>
        </is>
      </c>
      <c r="F266" s="30" t="inlineStr">
        <is>
          <t>hotels</t>
        </is>
      </c>
      <c r="G266" s="30" t="inlineStr">
        <is>
          <t>midcap</t>
        </is>
      </c>
      <c r="H266" s="31" t="n">
        <v>6799.76</v>
      </c>
      <c r="I266" s="31" t="n">
        <v>100.5</v>
      </c>
      <c r="J266" s="31" t="n">
        <v>5.19</v>
      </c>
      <c r="K266" s="31" t="n">
        <v>7327768</v>
      </c>
      <c r="L266" s="30" t="n">
        <v>53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70.11</v>
      </c>
      <c r="P266" s="31" t="n">
        <v>39.97</v>
      </c>
      <c r="Q266" s="31" t="n">
        <v>82.5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-6.7</v>
      </c>
      <c r="U266" s="31" t="n">
        <v>23.8</v>
      </c>
      <c r="V266" s="31" t="n">
        <v>32.69</v>
      </c>
      <c r="W266" s="31" t="n">
        <v>15.65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More than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IF(B267=0,"",RANK(B267,$B$2:$B$371,0))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MANAKSTEEL</t>
        </is>
      </c>
      <c r="D267" s="30" t="inlineStr">
        <is>
          <t>Manaksia Steels Limited</t>
        </is>
      </c>
      <c r="E267" s="30" t="inlineStr">
        <is>
          <t>metals &amp; mining</t>
        </is>
      </c>
      <c r="F267" s="30" t="inlineStr">
        <is>
          <t>steel - medium / small</t>
        </is>
      </c>
      <c r="G267" s="30" t="inlineStr">
        <is>
          <t>smallcap</t>
        </is>
      </c>
      <c r="H267" s="31" t="n">
        <v>683.72</v>
      </c>
      <c r="I267" s="31" t="n">
        <v>109.54</v>
      </c>
      <c r="J267" s="31" t="n">
        <v>4.99</v>
      </c>
      <c r="K267" s="31" t="n">
        <v>59230</v>
      </c>
      <c r="L267" s="30" t="n">
        <v>72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77.77</v>
      </c>
      <c r="P267" s="31" t="n">
        <v>44.29</v>
      </c>
      <c r="Q267" s="31" t="n">
        <v>82.5</v>
      </c>
      <c r="R267" s="30" t="inlineStr">
        <is>
          <t>Near 52W High Breakout</t>
        </is>
      </c>
      <c r="S267" s="30" t="inlineStr">
        <is>
          <t>Nifty Metal</t>
        </is>
      </c>
      <c r="T267" s="31" t="n">
        <v>42.08</v>
      </c>
      <c r="U267" s="31" t="n">
        <v>77.54000000000001</v>
      </c>
      <c r="V267" s="31" t="n">
        <v>24.95</v>
      </c>
      <c r="W267" s="31" t="n">
        <v>22.72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Above 40</t>
        </is>
      </c>
      <c r="AY267" s="30">
        <f>IF(AX267="Above 40",20,IF(AX267="20 to 40",10,IF(AX267="0 to 20",-5,0)))</f>
        <v/>
      </c>
      <c r="AZ267" s="30" t="inlineStr">
        <is>
          <t>Above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IF(B268=0,"",RANK(B268,$B$2:$B$371,0))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RAJRATAN</t>
        </is>
      </c>
      <c r="D268" s="32" t="inlineStr">
        <is>
          <t>Rajratan Global Wire Ltd</t>
        </is>
      </c>
      <c r="E268" s="30" t="inlineStr">
        <is>
          <t>metals &amp; mining</t>
        </is>
      </c>
      <c r="F268" s="30" t="inlineStr">
        <is>
          <t>steel - medium / small</t>
        </is>
      </c>
      <c r="G268" s="30" t="inlineStr">
        <is>
          <t>smallcap</t>
        </is>
      </c>
      <c r="H268" s="31" t="n">
        <v>2522.3</v>
      </c>
      <c r="I268" s="31" t="n">
        <v>520.85</v>
      </c>
      <c r="J268" s="31" t="n">
        <v>4.84</v>
      </c>
      <c r="K268" s="31" t="n">
        <v>285802</v>
      </c>
      <c r="L268" s="30" t="n">
        <v>40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63.89</v>
      </c>
      <c r="P268" s="31" t="n">
        <v>26.44</v>
      </c>
      <c r="Q268" s="31" t="n">
        <v>402.63</v>
      </c>
      <c r="R268" s="30" t="inlineStr">
        <is>
          <t>Near 52W High Breakout</t>
        </is>
      </c>
      <c r="S268" s="30" t="inlineStr">
        <is>
          <t>Nifty Metal</t>
        </is>
      </c>
      <c r="T268" s="31" t="n">
        <v>42.08</v>
      </c>
      <c r="U268" s="31" t="n">
        <v>30.32</v>
      </c>
      <c r="V268" s="31" t="n">
        <v>-8.279999999999999</v>
      </c>
      <c r="W268" s="31" t="n">
        <v>11.05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Cyclical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Volatile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Less than 1.5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IF(B269=0,"",RANK(B269,$B$2:$B$371,0))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MGEL</t>
        </is>
      </c>
      <c r="D269" s="30" t="inlineStr">
        <is>
          <t>Mangalam Global Enterprise Ltd</t>
        </is>
      </c>
      <c r="E269" s="30" t="inlineStr">
        <is>
          <t>services</t>
        </is>
      </c>
      <c r="F269" s="30" t="inlineStr">
        <is>
          <t>trading</t>
        </is>
      </c>
      <c r="G269" s="30" t="inlineStr">
        <is>
          <t>smallcap</t>
        </is>
      </c>
      <c r="H269" s="31" t="n">
        <v>510.81</v>
      </c>
      <c r="I269" s="31" t="n">
        <v>15.84</v>
      </c>
      <c r="J269" s="31" t="n">
        <v>2.19</v>
      </c>
      <c r="K269" s="31" t="n">
        <v>14242508</v>
      </c>
      <c r="L269" s="30" t="n">
        <v>13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57.55</v>
      </c>
      <c r="P269" s="31" t="n">
        <v>34.31</v>
      </c>
      <c r="Q269" s="31" t="n">
        <v>12.36</v>
      </c>
      <c r="R269" s="30" t="inlineStr">
        <is>
          <t>Volume Spike / Accumulation</t>
        </is>
      </c>
      <c r="S269" s="30" t="inlineStr">
        <is>
          <t>Nifty 50</t>
        </is>
      </c>
      <c r="T269" s="31" t="n">
        <v>-6.7</v>
      </c>
      <c r="U269" s="31" t="n">
        <v>5.04</v>
      </c>
      <c r="V269" s="31" t="n">
        <v>12.58</v>
      </c>
      <c r="W269" s="31" t="n">
        <v>4.08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1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Between 0.7 to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IF(B270=0,"",RANK(B270,$B$2:$B$371,0))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VSSL</t>
        </is>
      </c>
      <c r="D270" s="30" t="inlineStr">
        <is>
          <t>Vardhman Special Steels Limited</t>
        </is>
      </c>
      <c r="E270" s="30" t="inlineStr">
        <is>
          <t>metals &amp; mining</t>
        </is>
      </c>
      <c r="F270" s="30" t="inlineStr">
        <is>
          <t>steel - medium / small</t>
        </is>
      </c>
      <c r="G270" s="30" t="inlineStr">
        <is>
          <t>smallcap</t>
        </is>
      </c>
      <c r="H270" s="31" t="n">
        <v>3447.81</v>
      </c>
      <c r="I270" s="31" t="n">
        <v>362.75</v>
      </c>
      <c r="J270" s="31" t="n">
        <v>1.72</v>
      </c>
      <c r="K270" s="31" t="n">
        <v>78919</v>
      </c>
      <c r="L270" s="30" t="n">
        <v>56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76.83</v>
      </c>
      <c r="P270" s="31" t="n">
        <v>37.76</v>
      </c>
      <c r="Q270" s="31" t="n">
        <v>292.21</v>
      </c>
      <c r="R270" s="30" t="inlineStr">
        <is>
          <t>Near 52W High Breakout</t>
        </is>
      </c>
      <c r="S270" s="30" t="inlineStr">
        <is>
          <t>Nifty Metal</t>
        </is>
      </c>
      <c r="T270" s="31" t="n">
        <v>42.08</v>
      </c>
      <c r="U270" s="31" t="n">
        <v>43.56</v>
      </c>
      <c r="V270" s="31" t="n">
        <v>1.04</v>
      </c>
      <c r="W270" s="31" t="n">
        <v>16.99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Cyclical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Volatile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Above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Blue sky scenario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Less than 1.5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IF(B271=0,"",RANK(B271,$B$2:$B$371,0))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TIIL</t>
        </is>
      </c>
      <c r="D271" s="32" t="inlineStr">
        <is>
          <t>Technocraft Industries (india) Limited</t>
        </is>
      </c>
      <c r="E271" s="30" t="inlineStr">
        <is>
          <t>metals &amp; mining</t>
        </is>
      </c>
      <c r="F271" s="30" t="inlineStr">
        <is>
          <t>steel - medium / small</t>
        </is>
      </c>
      <c r="G271" s="30" t="inlineStr">
        <is>
          <t>midcap</t>
        </is>
      </c>
      <c r="H271" s="31" t="n">
        <v>7121.53</v>
      </c>
      <c r="I271" s="31" t="n">
        <v>3170.2</v>
      </c>
      <c r="J271" s="31" t="n">
        <v>0.93</v>
      </c>
      <c r="K271" s="31" t="n">
        <v>63318</v>
      </c>
      <c r="L271" s="30" t="n">
        <v>26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68.67</v>
      </c>
      <c r="P271" s="31" t="n">
        <v>37.33</v>
      </c>
      <c r="Q271" s="31" t="n">
        <v>2643.47</v>
      </c>
      <c r="R271" s="30" t="inlineStr">
        <is>
          <t>Near 52W High Breakout</t>
        </is>
      </c>
      <c r="S271" s="30" t="inlineStr">
        <is>
          <t>Nifty Metal</t>
        </is>
      </c>
      <c r="T271" s="31" t="n">
        <v>42.08</v>
      </c>
      <c r="U271" s="31" t="n">
        <v>-3.75</v>
      </c>
      <c r="V271" s="31" t="n">
        <v>-32.26</v>
      </c>
      <c r="W271" s="31" t="n">
        <v>7.32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Cyclical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Volatile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IF(B272=0,"",RANK(B272,$B$2:$B$371,0))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RATNAVEER</t>
        </is>
      </c>
      <c r="D272" s="30" t="inlineStr">
        <is>
          <t>Ratnaveer Precision Engineering Ltd</t>
        </is>
      </c>
      <c r="E272" s="30" t="inlineStr">
        <is>
          <t>metals &amp; mining</t>
        </is>
      </c>
      <c r="F272" s="30" t="inlineStr">
        <is>
          <t>steel - medium / small</t>
        </is>
      </c>
      <c r="G272" s="30" t="inlineStr">
        <is>
          <t>smallcap</t>
        </is>
      </c>
      <c r="H272" s="31" t="n">
        <v>2127.09</v>
      </c>
      <c r="I272" s="31" t="n">
        <v>299.9</v>
      </c>
      <c r="J272" s="31" t="n">
        <v>0.71</v>
      </c>
      <c r="K272" s="31" t="n">
        <v>2550769</v>
      </c>
      <c r="L272" s="30" t="n">
        <v>92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80.73999999999999</v>
      </c>
      <c r="P272" s="31" t="n">
        <v>57.44</v>
      </c>
      <c r="Q272" s="31" t="n">
        <v>227.92</v>
      </c>
      <c r="R272" s="30" t="inlineStr">
        <is>
          <t>Near 52W High Breakout</t>
        </is>
      </c>
      <c r="S272" s="30" t="inlineStr">
        <is>
          <t>Nifty Metal</t>
        </is>
      </c>
      <c r="T272" s="31" t="n">
        <v>42.08</v>
      </c>
      <c r="U272" s="31" t="n">
        <v>93.31</v>
      </c>
      <c r="V272" s="31" t="n">
        <v>36.05</v>
      </c>
      <c r="W272" s="31" t="n">
        <v>41.56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Cyclical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Volatile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Above 40</t>
        </is>
      </c>
      <c r="AY272" s="30">
        <f>IF(AX272="Above 40",20,IF(AX272="20 to 40",10,IF(AX272="0 to 20",-5,0)))</f>
        <v/>
      </c>
      <c r="AZ272" s="30" t="inlineStr">
        <is>
          <t>Above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Blue sky scenario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IF(B273=0,"",RANK(B273,$B$2:$B$371,0))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DYNAMATECH</t>
        </is>
      </c>
      <c r="D273" s="30" t="inlineStr">
        <is>
          <t>Dynamatic Technologies Limited</t>
        </is>
      </c>
      <c r="E273" s="30" t="inlineStr">
        <is>
          <t>aerospace &amp; defence</t>
        </is>
      </c>
      <c r="F273" s="30" t="inlineStr">
        <is>
          <t>engineering</t>
        </is>
      </c>
      <c r="G273" s="30" t="inlineStr">
        <is>
          <t>midcap</t>
        </is>
      </c>
      <c r="H273" s="31" t="n">
        <v>7867.21</v>
      </c>
      <c r="I273" s="31" t="n">
        <v>11625</v>
      </c>
      <c r="J273" s="31" t="n">
        <v>0.35</v>
      </c>
      <c r="K273" s="31" t="n">
        <v>15961</v>
      </c>
      <c r="L273" s="30" t="n">
        <v>52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58.88</v>
      </c>
      <c r="P273" s="31" t="n">
        <v>22.78</v>
      </c>
      <c r="Q273" s="31" t="n">
        <v>8657.959999999999</v>
      </c>
      <c r="R273" s="30" t="inlineStr">
        <is>
          <t>Earnings / Momentum Support</t>
        </is>
      </c>
      <c r="S273" s="30" t="inlineStr">
        <is>
          <t>Nifty 50</t>
        </is>
      </c>
      <c r="T273" s="31" t="n">
        <v>-6.7</v>
      </c>
      <c r="U273" s="31" t="n">
        <v>72.81</v>
      </c>
      <c r="V273" s="31" t="n">
        <v>85.20999999999999</v>
      </c>
      <c r="W273" s="31" t="n">
        <v>15.27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Between 1.5 to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Between 0.7 to 1.2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IF(B274=0,"",RANK(B274,$B$2:$B$371,0))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ARROWGREEN</t>
        </is>
      </c>
      <c r="D274" s="30" t="inlineStr">
        <is>
          <t>Arrow Greentech Limited</t>
        </is>
      </c>
      <c r="E274" s="30" t="inlineStr">
        <is>
          <t>plastic products</t>
        </is>
      </c>
      <c r="F274" s="30" t="inlineStr">
        <is>
          <t>plastics products</t>
        </is>
      </c>
      <c r="G274" s="30" t="inlineStr">
        <is>
          <t>smallcap</t>
        </is>
      </c>
      <c r="H274" s="31" t="n">
        <v>1208.09</v>
      </c>
      <c r="I274" s="31" t="n">
        <v>803</v>
      </c>
      <c r="J274" s="31" t="n">
        <v>0.29</v>
      </c>
      <c r="K274" s="31" t="n">
        <v>9843</v>
      </c>
      <c r="L274" s="30" t="n">
        <v>68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65.22</v>
      </c>
      <c r="P274" s="31" t="n">
        <v>43.4</v>
      </c>
      <c r="Q274" s="31" t="n">
        <v>599.4400000000001</v>
      </c>
      <c r="R274" s="30" t="inlineStr">
        <is>
          <t>Near 52W High Breakout</t>
        </is>
      </c>
      <c r="S274" s="30" t="inlineStr">
        <is>
          <t>Nifty 50</t>
        </is>
      </c>
      <c r="T274" s="31" t="n">
        <v>-6.7</v>
      </c>
      <c r="U274" s="31" t="n">
        <v>42.75</v>
      </c>
      <c r="V274" s="31" t="n">
        <v>53</v>
      </c>
      <c r="W274" s="31" t="n">
        <v>20.43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Above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IF(B275=0,"",RANK(B275,$B$2:$B$371,0))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JSWDULUX</t>
        </is>
      </c>
      <c r="D275" s="32" t="inlineStr">
        <is>
          <t>JSW Dulux Ltd</t>
        </is>
      </c>
      <c r="E275" s="30" t="inlineStr">
        <is>
          <t>building materials</t>
        </is>
      </c>
      <c r="F275" s="30" t="inlineStr">
        <is>
          <t>paints / varnishes</t>
        </is>
      </c>
      <c r="G275" s="30" t="inlineStr">
        <is>
          <t>midcap</t>
        </is>
      </c>
      <c r="H275" s="31" t="n">
        <v>14456.32</v>
      </c>
      <c r="I275" s="31" t="n">
        <v>3179.2</v>
      </c>
      <c r="J275" s="31" t="n">
        <v>0.15</v>
      </c>
      <c r="K275" s="31" t="n">
        <v>37589</v>
      </c>
      <c r="L275" s="30" t="n">
        <v>3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55.65</v>
      </c>
      <c r="P275" s="31" t="n">
        <v>14.21</v>
      </c>
      <c r="Q275" s="31" t="n">
        <v>2762.62</v>
      </c>
      <c r="R275" s="30" t="inlineStr">
        <is>
          <t>Earnings / Momentum Support</t>
        </is>
      </c>
      <c r="S275" s="30" t="inlineStr">
        <is>
          <t>Nifty Infra</t>
        </is>
      </c>
      <c r="T275" s="31" t="n">
        <v>0.58</v>
      </c>
      <c r="U275" s="31" t="n">
        <v>-10.45</v>
      </c>
      <c r="V275" s="31" t="n">
        <v>-10.97</v>
      </c>
      <c r="W275" s="31" t="n">
        <v>-0.01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IF(B276=0,"",RANK(B276,$B$2:$B$371,0))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PITTIENG</t>
        </is>
      </c>
      <c r="D276" s="30" t="inlineStr">
        <is>
          <t>Pitti Engineering Ltd</t>
        </is>
      </c>
      <c r="E276" s="30" t="inlineStr">
        <is>
          <t>industrials</t>
        </is>
      </c>
      <c r="F276" s="30" t="inlineStr">
        <is>
          <t>engineering</t>
        </is>
      </c>
      <c r="G276" s="30" t="inlineStr">
        <is>
          <t>smallcap</t>
        </is>
      </c>
      <c r="H276" s="31" t="n">
        <v>4410.36</v>
      </c>
      <c r="I276" s="31" t="n">
        <v>1171.6</v>
      </c>
      <c r="J276" s="31" t="n">
        <v>0.03</v>
      </c>
      <c r="K276" s="31" t="n">
        <v>132385</v>
      </c>
      <c r="L276" s="30" t="n">
        <v>35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69.03</v>
      </c>
      <c r="P276" s="31" t="n">
        <v>17.68</v>
      </c>
      <c r="Q276" s="31" t="n">
        <v>922.02</v>
      </c>
      <c r="R276" s="30" t="inlineStr">
        <is>
          <t>Near 52W High Breakout</t>
        </is>
      </c>
      <c r="S276" s="30" t="inlineStr">
        <is>
          <t>Nifty 50</t>
        </is>
      </c>
      <c r="T276" s="31" t="n">
        <v>-6.7</v>
      </c>
      <c r="U276" s="31" t="n">
        <v>27.74</v>
      </c>
      <c r="V276" s="31" t="n">
        <v>36.91</v>
      </c>
      <c r="W276" s="31" t="n">
        <v>9.640000000000001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Between 0.7 to 1.2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IF(B277=0,"",RANK(B277,$B$2:$B$371,0))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SEAMECLTD</t>
        </is>
      </c>
      <c r="D277" s="30" t="inlineStr">
        <is>
          <t>Seamec Limited</t>
        </is>
      </c>
      <c r="E277" s="30" t="inlineStr">
        <is>
          <t>miscellaneous</t>
        </is>
      </c>
      <c r="F277" s="30" t="inlineStr">
        <is>
          <t>miscellaneous</t>
        </is>
      </c>
      <c r="G277" s="30" t="inlineStr">
        <is>
          <t>smallcap</t>
        </is>
      </c>
      <c r="H277" s="31" t="n">
        <v>4532.26</v>
      </c>
      <c r="I277" s="31" t="n">
        <v>1772.6</v>
      </c>
      <c r="J277" s="31" t="n">
        <v>-0.5600000000000001</v>
      </c>
      <c r="K277" s="31" t="n">
        <v>97645</v>
      </c>
      <c r="L277" s="30" t="n">
        <v>55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69.58</v>
      </c>
      <c r="P277" s="31" t="n">
        <v>17.83</v>
      </c>
      <c r="Q277" s="31" t="n">
        <v>1419.16</v>
      </c>
      <c r="R277" s="30" t="inlineStr">
        <is>
          <t>Near 52W High Breakout</t>
        </is>
      </c>
      <c r="S277" s="30" t="inlineStr">
        <is>
          <t>Nifty 50</t>
        </is>
      </c>
      <c r="T277" s="31" t="n">
        <v>-6.7</v>
      </c>
      <c r="U277" s="31" t="n">
        <v>90.91</v>
      </c>
      <c r="V277" s="31" t="n">
        <v>104.62</v>
      </c>
      <c r="W277" s="31" t="n">
        <v>16.63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IF(B278=0,"",RANK(B278,$B$2:$B$371,0))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SVLL</t>
        </is>
      </c>
      <c r="D278" s="30" t="inlineStr">
        <is>
          <t>Shree Vasu Logistics Ltd</t>
        </is>
      </c>
      <c r="E278" s="30" t="inlineStr">
        <is>
          <t>transportation</t>
        </is>
      </c>
      <c r="F278" s="30" t="inlineStr">
        <is>
          <t>miscellaneous</t>
        </is>
      </c>
      <c r="G278" s="30" t="inlineStr">
        <is>
          <t>smallcap</t>
        </is>
      </c>
      <c r="H278" s="31" t="n">
        <v>919.73</v>
      </c>
      <c r="I278" s="31" t="n">
        <v>790.5</v>
      </c>
      <c r="J278" s="31" t="n">
        <v>-1.21</v>
      </c>
      <c r="K278" s="31" t="n">
        <v>661</v>
      </c>
      <c r="L278" s="30" t="n">
        <v>17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61.97</v>
      </c>
      <c r="P278" s="31" t="n">
        <v>38.91</v>
      </c>
      <c r="Q278" s="31" t="n">
        <v>602.16</v>
      </c>
      <c r="R278" s="30" t="inlineStr">
        <is>
          <t>Near 52W High Breakout</t>
        </is>
      </c>
      <c r="S278" s="30" t="inlineStr">
        <is>
          <t>Nifty 50</t>
        </is>
      </c>
      <c r="T278" s="31" t="n">
        <v>-6.7</v>
      </c>
      <c r="U278" s="31" t="n">
        <v>3.88</v>
      </c>
      <c r="V278" s="31" t="n">
        <v>11.34</v>
      </c>
      <c r="W278" s="31" t="n">
        <v>5.37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Blue sky scenario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More than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IF(B279=0,"",RANK(B279,$B$2:$B$371,0))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GVT&amp;D</t>
        </is>
      </c>
      <c r="D279" s="30" t="inlineStr">
        <is>
          <t>GE Vernova T&amp;D India Ltd</t>
        </is>
      </c>
      <c r="E279" s="30" t="inlineStr">
        <is>
          <t>industrials</t>
        </is>
      </c>
      <c r="F279" s="30" t="inlineStr">
        <is>
          <t>electric equipment</t>
        </is>
      </c>
      <c r="G279" s="30" t="inlineStr">
        <is>
          <t>largecap</t>
        </is>
      </c>
      <c r="H279" s="31" t="n">
        <v>121622.1</v>
      </c>
      <c r="I279" s="31" t="n">
        <v>4673</v>
      </c>
      <c r="J279" s="31" t="n">
        <v>-1.62</v>
      </c>
      <c r="K279" s="31" t="n">
        <v>1094528</v>
      </c>
      <c r="L279" s="30" t="n">
        <v>39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56.86</v>
      </c>
      <c r="P279" s="31" t="n">
        <v>27.57</v>
      </c>
      <c r="Q279" s="31" t="n">
        <v>4178.14</v>
      </c>
      <c r="R279" s="30" t="inlineStr">
        <is>
          <t>Earnings / Momentum Support</t>
        </is>
      </c>
      <c r="S279" s="30" t="inlineStr">
        <is>
          <t>Nifty 50</t>
        </is>
      </c>
      <c r="T279" s="31" t="n">
        <v>-6.7</v>
      </c>
      <c r="U279" s="31" t="n">
        <v>68.01000000000001</v>
      </c>
      <c r="V279" s="31" t="n">
        <v>80.08</v>
      </c>
      <c r="W279" s="31" t="n">
        <v>10.85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IF(B280=0,"",RANK(B280,$B$2:$B$371,0))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ROSSTECH</t>
        </is>
      </c>
      <c r="D280" s="30" t="inlineStr">
        <is>
          <t>Rossell Techsys Ltd</t>
        </is>
      </c>
      <c r="E280" s="30" t="inlineStr">
        <is>
          <t>aerospace &amp; defence</t>
        </is>
      </c>
      <c r="F280" s="30" t="inlineStr">
        <is>
          <t>engineering</t>
        </is>
      </c>
      <c r="G280" s="30" t="inlineStr">
        <is>
          <t>smallcap</t>
        </is>
      </c>
      <c r="H280" s="31" t="n">
        <v>4591.43</v>
      </c>
      <c r="I280" s="31" t="n">
        <v>1193.7</v>
      </c>
      <c r="J280" s="31" t="n">
        <v>-2</v>
      </c>
      <c r="K280" s="31" t="n">
        <v>189157</v>
      </c>
      <c r="L280" s="30" t="n">
        <v>52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69.09999999999999</v>
      </c>
      <c r="P280" s="31" t="n">
        <v>26.76</v>
      </c>
      <c r="Q280" s="31" t="n">
        <v>866.49</v>
      </c>
      <c r="R280" s="30" t="inlineStr">
        <is>
          <t>Near 52W High Breakout</t>
        </is>
      </c>
      <c r="S280" s="30" t="inlineStr">
        <is>
          <t>Nifty 50</t>
        </is>
      </c>
      <c r="T280" s="31" t="n">
        <v>-6.7</v>
      </c>
      <c r="U280" s="31" t="n">
        <v>60.08</v>
      </c>
      <c r="V280" s="31" t="n">
        <v>71.56999999999999</v>
      </c>
      <c r="W280" s="31" t="n">
        <v>15.44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Blue sky scenario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More than 1.2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IF(B281=0,"",RANK(B281,$B$2:$B$371,0))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ALEMBICLTD</t>
        </is>
      </c>
      <c r="D281" s="30" t="inlineStr">
        <is>
          <t>Alembic Limited</t>
        </is>
      </c>
      <c r="E281" s="30" t="inlineStr">
        <is>
          <t>realty</t>
        </is>
      </c>
      <c r="F281" s="30" t="inlineStr">
        <is>
          <t>construction</t>
        </is>
      </c>
      <c r="G281" s="30" t="inlineStr">
        <is>
          <t>smallcap</t>
        </is>
      </c>
      <c r="H281" s="31" t="n">
        <v>2817.67</v>
      </c>
      <c r="I281" s="31" t="n">
        <v>106.95</v>
      </c>
      <c r="J281" s="31" t="n">
        <v>-2.53</v>
      </c>
      <c r="K281" s="31" t="n">
        <v>694090</v>
      </c>
      <c r="L281" s="30" t="n">
        <v>13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65.94</v>
      </c>
      <c r="P281" s="31" t="n">
        <v>17.05</v>
      </c>
      <c r="Q281" s="31" t="n">
        <v>90.06</v>
      </c>
      <c r="R281" s="30" t="inlineStr">
        <is>
          <t>Near 52W High Breakout</t>
        </is>
      </c>
      <c r="S281" s="30" t="inlineStr">
        <is>
          <t>Nifty Realty</t>
        </is>
      </c>
      <c r="T281" s="31" t="n">
        <v>-8.25</v>
      </c>
      <c r="U281" s="31" t="n">
        <v>-2.46</v>
      </c>
      <c r="V281" s="31" t="n">
        <v>6.31</v>
      </c>
      <c r="W281" s="31" t="n">
        <v>4.09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Between 1.5 to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IF(B282=0,"",RANK(B282,$B$2:$B$371,0))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SUNDRMFAST</t>
        </is>
      </c>
      <c r="D282" s="30" t="inlineStr">
        <is>
          <t>Sundram Fasteners Limited</t>
        </is>
      </c>
      <c r="E282" s="30" t="inlineStr">
        <is>
          <t>auto</t>
        </is>
      </c>
      <c r="F282" s="30" t="inlineStr">
        <is>
          <t>auto ancillaries</t>
        </is>
      </c>
      <c r="G282" s="30" t="inlineStr">
        <is>
          <t>largecap</t>
        </is>
      </c>
      <c r="H282" s="31" t="n">
        <v>26371.11</v>
      </c>
      <c r="I282" s="31" t="n">
        <v>1219.4</v>
      </c>
      <c r="J282" s="31" t="n">
        <v>-2.84</v>
      </c>
      <c r="K282" s="31" t="n">
        <v>99959</v>
      </c>
      <c r="L282" s="30" t="n">
        <v>56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78.08</v>
      </c>
      <c r="P282" s="31" t="n">
        <v>39.05</v>
      </c>
      <c r="Q282" s="31" t="n">
        <v>1047.11</v>
      </c>
      <c r="R282" s="30" t="inlineStr">
        <is>
          <t>Near 52W High Breakout</t>
        </is>
      </c>
      <c r="S282" s="30" t="inlineStr">
        <is>
          <t>Nifty Auto</t>
        </is>
      </c>
      <c r="T282" s="31" t="n">
        <v>16.28</v>
      </c>
      <c r="U282" s="31" t="n">
        <v>22.58</v>
      </c>
      <c r="V282" s="31" t="n">
        <v>5.42</v>
      </c>
      <c r="W282" s="31" t="n">
        <v>16.94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Above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Between 12 to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IF(B283=0,"",RANK(B283,$B$2:$B$371,0))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DEEPINDS</t>
        </is>
      </c>
      <c r="D283" s="30" t="inlineStr">
        <is>
          <t>Deep Industries Ltd</t>
        </is>
      </c>
      <c r="E283" s="30" t="inlineStr">
        <is>
          <t>energy</t>
        </is>
      </c>
      <c r="F283" s="30" t="inlineStr">
        <is>
          <t>oil drilling / allied services</t>
        </is>
      </c>
      <c r="G283" s="30" t="inlineStr">
        <is>
          <t>midcap</t>
        </is>
      </c>
      <c r="H283" s="31" t="n">
        <v>5239.68</v>
      </c>
      <c r="I283" s="31" t="n">
        <v>792.7</v>
      </c>
      <c r="J283" s="31" t="n">
        <v>-3.18</v>
      </c>
      <c r="K283" s="31" t="n">
        <v>624713</v>
      </c>
      <c r="L283" s="30" t="n">
        <v>81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80.77</v>
      </c>
      <c r="P283" s="31" t="n">
        <v>33.06</v>
      </c>
      <c r="Q283" s="31" t="n">
        <v>616.85</v>
      </c>
      <c r="R283" s="30" t="inlineStr">
        <is>
          <t>Near 52W High Breakout</t>
        </is>
      </c>
      <c r="S283" s="30" t="inlineStr">
        <is>
          <t>Nifty Energy</t>
        </is>
      </c>
      <c r="T283" s="31" t="n">
        <v>8.75</v>
      </c>
      <c r="U283" s="31" t="n">
        <v>77.47</v>
      </c>
      <c r="V283" s="31" t="n">
        <v>63.19</v>
      </c>
      <c r="W283" s="31" t="n">
        <v>28.66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Oligopoly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Yes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Cyclical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Volatile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Above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IF(B284=0,"",RANK(B284,$B$2:$B$371,0))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MANINDS</t>
        </is>
      </c>
      <c r="D284" s="30" t="inlineStr">
        <is>
          <t>Man Industries (india) Limited</t>
        </is>
      </c>
      <c r="E284" s="30" t="inlineStr">
        <is>
          <t>metals &amp; mining</t>
        </is>
      </c>
      <c r="F284" s="30" t="inlineStr">
        <is>
          <t>steel - medium / small</t>
        </is>
      </c>
      <c r="G284" s="30" t="inlineStr">
        <is>
          <t>midcap</t>
        </is>
      </c>
      <c r="H284" s="31" t="n">
        <v>6163.54</v>
      </c>
      <c r="I284" s="31" t="n">
        <v>792.55</v>
      </c>
      <c r="J284" s="31" t="n">
        <v>-3.55</v>
      </c>
      <c r="K284" s="31" t="n">
        <v>469853</v>
      </c>
      <c r="L284" s="30" t="n">
        <v>78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76.44</v>
      </c>
      <c r="P284" s="31" t="n">
        <v>35.26</v>
      </c>
      <c r="Q284" s="31" t="n">
        <v>605.02</v>
      </c>
      <c r="R284" s="30" t="inlineStr">
        <is>
          <t>Near 52W High Breakout</t>
        </is>
      </c>
      <c r="S284" s="30" t="inlineStr">
        <is>
          <t>Nifty Metal</t>
        </is>
      </c>
      <c r="T284" s="31" t="n">
        <v>42.08</v>
      </c>
      <c r="U284" s="31" t="n">
        <v>86.02</v>
      </c>
      <c r="V284" s="31" t="n">
        <v>30.93</v>
      </c>
      <c r="W284" s="31" t="n">
        <v>27.17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Above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Blue sky scenario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Less than 1.5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IF(B285=0,"",RANK(B285,$B$2:$B$371,0))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TNPL</t>
        </is>
      </c>
      <c r="D285" s="32" t="inlineStr">
        <is>
          <t>Tamil Nadu Newsprint &amp; Papers Limited</t>
        </is>
      </c>
      <c r="E285" s="30" t="inlineStr">
        <is>
          <t>building materials</t>
        </is>
      </c>
      <c r="F285" s="30" t="inlineStr">
        <is>
          <t>paper</t>
        </is>
      </c>
      <c r="G285" s="30" t="inlineStr">
        <is>
          <t>smallcap</t>
        </is>
      </c>
      <c r="H285" s="31" t="n">
        <v>1117.13</v>
      </c>
      <c r="I285" s="31" t="n">
        <v>155.34</v>
      </c>
      <c r="J285" s="31" t="n">
        <v>-3.76</v>
      </c>
      <c r="K285" s="31" t="n">
        <v>188419</v>
      </c>
      <c r="L285" s="30" t="n">
        <v>7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58.31</v>
      </c>
      <c r="P285" s="31" t="n">
        <v>12.29</v>
      </c>
      <c r="Q285" s="31" t="n">
        <v>126.37</v>
      </c>
      <c r="R285" s="30" t="inlineStr">
        <is>
          <t>Near 52W High Breakout</t>
        </is>
      </c>
      <c r="S285" s="30" t="inlineStr">
        <is>
          <t>Nifty Infra</t>
        </is>
      </c>
      <c r="T285" s="31" t="n">
        <v>0.58</v>
      </c>
      <c r="U285" s="31" t="n">
        <v>-4.07</v>
      </c>
      <c r="V285" s="31" t="n">
        <v>-4.62</v>
      </c>
      <c r="W285" s="31" t="n">
        <v>1.66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IF(B286=0,"",RANK(B286,$B$2:$B$371,0))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APOLLO</t>
        </is>
      </c>
      <c r="D286" s="30" t="inlineStr">
        <is>
          <t>Apollo Micro Systems Ltd</t>
        </is>
      </c>
      <c r="E286" s="30" t="inlineStr">
        <is>
          <t>aerospace &amp; defence</t>
        </is>
      </c>
      <c r="F286" s="30" t="inlineStr">
        <is>
          <t>electronics - components</t>
        </is>
      </c>
      <c r="G286" s="30" t="inlineStr">
        <is>
          <t>midcap</t>
        </is>
      </c>
      <c r="H286" s="31" t="n">
        <v>15529.14</v>
      </c>
      <c r="I286" s="31" t="n">
        <v>422.45</v>
      </c>
      <c r="J286" s="31" t="n">
        <v>1.09</v>
      </c>
      <c r="K286" s="31" t="n">
        <v>10424699</v>
      </c>
      <c r="L286" s="30" t="n">
        <v>48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62.73</v>
      </c>
      <c r="P286" s="31" t="n">
        <v>38.14</v>
      </c>
      <c r="Q286" s="31" t="n">
        <v>342.8</v>
      </c>
      <c r="R286" s="30" t="inlineStr">
        <is>
          <t>Earnings / Momentum Support</t>
        </is>
      </c>
      <c r="S286" s="30" t="inlineStr">
        <is>
          <t>Nifty 50</t>
        </is>
      </c>
      <c r="T286" s="31" t="n">
        <v>-6.7</v>
      </c>
      <c r="U286" s="31" t="n">
        <v>31.05</v>
      </c>
      <c r="V286" s="31" t="n">
        <v>40.46</v>
      </c>
      <c r="W286" s="31" t="n">
        <v>13.73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Cyclical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B2C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Fully One Time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Above 40</t>
        </is>
      </c>
      <c r="AY286" s="30">
        <f>IF(AX286="Above 40",20,IF(AX286="20 to 40",10,IF(AX286="0 to 20",-5,0)))</f>
        <v/>
      </c>
      <c r="AZ286" s="30" t="inlineStr">
        <is>
          <t>Above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Yes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Between 1.5 to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IF(B287=0,"",RANK(B287,$B$2:$B$371,0))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HATSUN</t>
        </is>
      </c>
      <c r="D287" s="30" t="inlineStr">
        <is>
          <t>Hatsun Agro Product Limited</t>
        </is>
      </c>
      <c r="E287" s="30" t="inlineStr">
        <is>
          <t>fmcg</t>
        </is>
      </c>
      <c r="F287" s="30" t="inlineStr">
        <is>
          <t>food - processing - indian</t>
        </is>
      </c>
      <c r="G287" s="30" t="inlineStr">
        <is>
          <t>largecap</t>
        </is>
      </c>
      <c r="H287" s="31" t="n">
        <v>26685.24</v>
      </c>
      <c r="I287" s="31" t="n">
        <v>1199.1</v>
      </c>
      <c r="J287" s="31" t="n">
        <v>0.09</v>
      </c>
      <c r="K287" s="31" t="n">
        <v>122744</v>
      </c>
      <c r="L287" s="30" t="n">
        <v>38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76.40000000000001</v>
      </c>
      <c r="P287" s="31" t="n">
        <v>22.35</v>
      </c>
      <c r="Q287" s="31" t="n">
        <v>983.74</v>
      </c>
      <c r="R287" s="30" t="inlineStr">
        <is>
          <t>Near 52W High Breakout</t>
        </is>
      </c>
      <c r="S287" s="30" t="inlineStr">
        <is>
          <t>Nifty FMCG</t>
        </is>
      </c>
      <c r="T287" s="31" t="n">
        <v>-16.99</v>
      </c>
      <c r="U287" s="31" t="n">
        <v>31.36</v>
      </c>
      <c r="V287" s="31" t="n">
        <v>58.24</v>
      </c>
      <c r="W287" s="31" t="n">
        <v>10.51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B2C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Annuity, Lower One Time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Above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Blue sky scenario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Between 0.7 to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IF(B288=0,"",RANK(B288,$B$2:$B$371,0))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2" t="inlineStr">
        <is>
          <t>WINDLAS</t>
        </is>
      </c>
      <c r="D288" s="32" t="inlineStr">
        <is>
          <t>Windlas Biotech Ltd</t>
        </is>
      </c>
      <c r="E288" s="30" t="inlineStr">
        <is>
          <t>healthcare</t>
        </is>
      </c>
      <c r="F288" s="30" t="inlineStr">
        <is>
          <t>pharmaceuticals - indian - formulations</t>
        </is>
      </c>
      <c r="G288" s="30" t="inlineStr">
        <is>
          <t>smallcap</t>
        </is>
      </c>
      <c r="H288" s="31" t="n">
        <v>2365.12</v>
      </c>
      <c r="I288" s="31" t="n">
        <v>1142.45</v>
      </c>
      <c r="J288" s="31" t="n">
        <v>-0.32</v>
      </c>
      <c r="K288" s="31" t="n">
        <v>145841</v>
      </c>
      <c r="L288" s="30" t="n">
        <v>44</v>
      </c>
      <c r="M288" s="30" t="inlineStr">
        <is>
          <t>Underperforming</t>
        </is>
      </c>
      <c r="N288" s="31">
        <f>IF(M288="Underperforming",-5,IF(L288&gt;=95,15,IF(L288&gt;=90,10,IF(L288&gt;=80,5,0))))</f>
        <v/>
      </c>
      <c r="O288" s="31" t="n">
        <v>79.23</v>
      </c>
      <c r="P288" s="31" t="n">
        <v>30.45</v>
      </c>
      <c r="Q288" s="31" t="n">
        <v>918.72</v>
      </c>
      <c r="R288" s="30" t="inlineStr">
        <is>
          <t>Near 52W High Breakout</t>
        </is>
      </c>
      <c r="S288" s="30" t="inlineStr">
        <is>
          <t>Nifty Pharma</t>
        </is>
      </c>
      <c r="T288" s="31" t="n">
        <v>19.47</v>
      </c>
      <c r="U288" s="31" t="n">
        <v>15.88</v>
      </c>
      <c r="V288" s="31" t="n">
        <v>-3</v>
      </c>
      <c r="W288" s="31" t="n">
        <v>12.89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Yes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Annuity, Lower One Time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Above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IF(B289=0,"",RANK(B289,$B$2:$B$371,0))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NEULANDLAB</t>
        </is>
      </c>
      <c r="D289" s="30" t="inlineStr">
        <is>
          <t>Neuland Laboratories Limited</t>
        </is>
      </c>
      <c r="E289" s="30" t="inlineStr">
        <is>
          <t>healthcare</t>
        </is>
      </c>
      <c r="F289" s="30" t="inlineStr">
        <is>
          <t>pharmaceuticals - indian - bulk drugs</t>
        </is>
      </c>
      <c r="G289" s="30" t="inlineStr">
        <is>
          <t>largecap</t>
        </is>
      </c>
      <c r="H289" s="31" t="n">
        <v>30785.32</v>
      </c>
      <c r="I289" s="31" t="n">
        <v>23195</v>
      </c>
      <c r="J289" s="31" t="n">
        <v>-3.33</v>
      </c>
      <c r="K289" s="31" t="n">
        <v>57976</v>
      </c>
      <c r="L289" s="30" t="n">
        <v>58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73.98</v>
      </c>
      <c r="P289" s="31" t="n">
        <v>58.51</v>
      </c>
      <c r="Q289" s="31" t="n">
        <v>19030.17</v>
      </c>
      <c r="R289" s="30" t="inlineStr">
        <is>
          <t>Near 52W High Breakout</t>
        </is>
      </c>
      <c r="S289" s="30" t="inlineStr">
        <is>
          <t>Nifty Pharma</t>
        </is>
      </c>
      <c r="T289" s="31" t="n">
        <v>19.47</v>
      </c>
      <c r="U289" s="31" t="n">
        <v>44.79</v>
      </c>
      <c r="V289" s="31" t="n">
        <v>21.19</v>
      </c>
      <c r="W289" s="31" t="n">
        <v>17.51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Yes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Annuity, Lower One Time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Above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IF(B290=0,"",RANK(B290,$B$2:$B$371,0))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RATNAMANI</t>
        </is>
      </c>
      <c r="D290" s="32" t="inlineStr">
        <is>
          <t>Ratnamani Metals &amp; Tubes Limited</t>
        </is>
      </c>
      <c r="E290" s="30" t="inlineStr">
        <is>
          <t>industrials</t>
        </is>
      </c>
      <c r="F290" s="30" t="inlineStr">
        <is>
          <t>steel - medium / small</t>
        </is>
      </c>
      <c r="G290" s="30" t="inlineStr">
        <is>
          <t>midcap</t>
        </is>
      </c>
      <c r="H290" s="31" t="n">
        <v>19652.4</v>
      </c>
      <c r="I290" s="31" t="n">
        <v>2859.2</v>
      </c>
      <c r="J290" s="31" t="n">
        <v>1.98</v>
      </c>
      <c r="K290" s="31" t="n">
        <v>126387</v>
      </c>
      <c r="L290" s="30" t="n">
        <v>14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61.17</v>
      </c>
      <c r="P290" s="31" t="n">
        <v>24.54</v>
      </c>
      <c r="Q290" s="31" t="n">
        <v>2175.26</v>
      </c>
      <c r="R290" s="30" t="inlineStr">
        <is>
          <t>Near 52W High Breakout</t>
        </is>
      </c>
      <c r="S290" s="30" t="inlineStr">
        <is>
          <t>Nifty Metal</t>
        </is>
      </c>
      <c r="T290" s="31" t="n">
        <v>42.08</v>
      </c>
      <c r="U290" s="31" t="n">
        <v>6.61</v>
      </c>
      <c r="V290" s="31" t="n">
        <v>-24.96</v>
      </c>
      <c r="W290" s="31" t="n">
        <v>4.62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IF(B291=0,"",RANK(B291,$B$2:$B$371,0))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MAXESTATES</t>
        </is>
      </c>
      <c r="D291" s="30" t="inlineStr">
        <is>
          <t>Max Estates Ltd</t>
        </is>
      </c>
      <c r="E291" s="30" t="inlineStr">
        <is>
          <t>realty</t>
        </is>
      </c>
      <c r="F291" s="30" t="inlineStr">
        <is>
          <t>construction</t>
        </is>
      </c>
      <c r="G291" s="30" t="inlineStr">
        <is>
          <t>midcap</t>
        </is>
      </c>
      <c r="H291" s="31" t="n">
        <v>8798.610000000001</v>
      </c>
      <c r="I291" s="31" t="n">
        <v>546.1</v>
      </c>
      <c r="J291" s="31" t="n">
        <v>1.48</v>
      </c>
      <c r="K291" s="31" t="n">
        <v>63029</v>
      </c>
      <c r="L291" s="30" t="n">
        <v>39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70.11</v>
      </c>
      <c r="P291" s="31" t="n">
        <v>24.82</v>
      </c>
      <c r="Q291" s="31" t="n">
        <v>418.05</v>
      </c>
      <c r="R291" s="30" t="inlineStr">
        <is>
          <t>Near 52W High Breakout</t>
        </is>
      </c>
      <c r="S291" s="30" t="inlineStr">
        <is>
          <t>Nifty Realty</t>
        </is>
      </c>
      <c r="T291" s="31" t="n">
        <v>-8.25</v>
      </c>
      <c r="U291" s="31" t="n">
        <v>6.84</v>
      </c>
      <c r="V291" s="31" t="n">
        <v>16.44</v>
      </c>
      <c r="W291" s="31" t="n">
        <v>10.82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Between 0.7 to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IF(B292=0,"",RANK(B292,$B$2:$B$371,0))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SHANTIGEAR</t>
        </is>
      </c>
      <c r="D292" s="30" t="inlineStr">
        <is>
          <t>Shanthi Gears Limited</t>
        </is>
      </c>
      <c r="E292" s="30" t="inlineStr">
        <is>
          <t>industrials</t>
        </is>
      </c>
      <c r="F292" s="30" t="inlineStr">
        <is>
          <t>engineering</t>
        </is>
      </c>
      <c r="G292" s="30" t="inlineStr">
        <is>
          <t>midcap</t>
        </is>
      </c>
      <c r="H292" s="31" t="n">
        <v>5400.8</v>
      </c>
      <c r="I292" s="31" t="n">
        <v>707.75</v>
      </c>
      <c r="J292" s="31" t="n">
        <v>0.53</v>
      </c>
      <c r="K292" s="31" t="n">
        <v>936332</v>
      </c>
      <c r="L292" s="30" t="n">
        <v>66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83.83</v>
      </c>
      <c r="P292" s="31" t="n">
        <v>26.36</v>
      </c>
      <c r="Q292" s="31" t="n">
        <v>566.27</v>
      </c>
      <c r="R292" s="30" t="inlineStr">
        <is>
          <t>Near 52W High Breakout</t>
        </is>
      </c>
      <c r="S292" s="30" t="inlineStr">
        <is>
          <t>Nifty 50</t>
        </is>
      </c>
      <c r="T292" s="31" t="n">
        <v>-6.7</v>
      </c>
      <c r="U292" s="31" t="n">
        <v>28.03</v>
      </c>
      <c r="V292" s="31" t="n">
        <v>37.22</v>
      </c>
      <c r="W292" s="31" t="n">
        <v>20.15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Above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Blue sky scenario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IF(B293=0,"",RANK(B293,$B$2:$B$371,0))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DOLPHIN</t>
        </is>
      </c>
      <c r="D293" s="30" t="inlineStr">
        <is>
          <t>Dolphin Offshore Enterprises (India) Ltd</t>
        </is>
      </c>
      <c r="E293" s="30" t="inlineStr">
        <is>
          <t>energy</t>
        </is>
      </c>
      <c r="F293" s="30" t="inlineStr">
        <is>
          <t>oil drilling / allied services</t>
        </is>
      </c>
      <c r="G293" s="30" t="inlineStr">
        <is>
          <t>smallcap</t>
        </is>
      </c>
      <c r="H293" s="31" t="n">
        <v>2751.32</v>
      </c>
      <c r="I293" s="31" t="n">
        <v>685</v>
      </c>
      <c r="J293" s="31" t="n">
        <v>-0.4</v>
      </c>
      <c r="K293" s="31" t="n">
        <v>70925</v>
      </c>
      <c r="L293" s="30" t="n">
        <v>76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79.47</v>
      </c>
      <c r="P293" s="31" t="n">
        <v>36.77</v>
      </c>
      <c r="Q293" s="31" t="n">
        <v>508.51</v>
      </c>
      <c r="R293" s="30" t="inlineStr">
        <is>
          <t>Near 52W High Breakout</t>
        </is>
      </c>
      <c r="S293" s="30" t="inlineStr">
        <is>
          <t>Nifty Energy</t>
        </is>
      </c>
      <c r="T293" s="31" t="n">
        <v>8.75</v>
      </c>
      <c r="U293" s="31" t="n">
        <v>55.03</v>
      </c>
      <c r="V293" s="31" t="n">
        <v>42.56</v>
      </c>
      <c r="W293" s="31" t="n">
        <v>25.45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Oligopoly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Yes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Cyclical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Volatile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Above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Blue sky scenario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IF(B294=0,"",RANK(B294,$B$2:$B$371,0))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LGBBROSLTD</t>
        </is>
      </c>
      <c r="D294" s="30" t="inlineStr">
        <is>
          <t>Lg Balakrishnan &amp; Bros Limited</t>
        </is>
      </c>
      <c r="E294" s="30" t="inlineStr">
        <is>
          <t>auto</t>
        </is>
      </c>
      <c r="F294" s="30" t="inlineStr">
        <is>
          <t>bearings</t>
        </is>
      </c>
      <c r="G294" s="30" t="inlineStr">
        <is>
          <t>midcap</t>
        </is>
      </c>
      <c r="H294" s="31" t="n">
        <v>5538.76</v>
      </c>
      <c r="I294" s="31" t="n">
        <v>1729.7</v>
      </c>
      <c r="J294" s="31" t="n">
        <v>-0.4</v>
      </c>
      <c r="K294" s="31" t="n">
        <v>22866</v>
      </c>
      <c r="L294" s="30" t="n">
        <v>25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59.35</v>
      </c>
      <c r="P294" s="31" t="n">
        <v>10.7</v>
      </c>
      <c r="Q294" s="31" t="n">
        <v>1437.18</v>
      </c>
      <c r="R294" s="30" t="inlineStr">
        <is>
          <t>Earnings / Momentum Support</t>
        </is>
      </c>
      <c r="S294" s="30" t="inlineStr">
        <is>
          <t>Nifty Auto</t>
        </is>
      </c>
      <c r="T294" s="31" t="n">
        <v>16.28</v>
      </c>
      <c r="U294" s="31" t="n">
        <v>37.91</v>
      </c>
      <c r="V294" s="31" t="n">
        <v>18.6</v>
      </c>
      <c r="W294" s="31" t="n">
        <v>7.18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IF(B295=0,"",RANK(B295,$B$2:$B$371,0))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UFLEX</t>
        </is>
      </c>
      <c r="D295" s="30" t="inlineStr">
        <is>
          <t>Uflex Limited</t>
        </is>
      </c>
      <c r="E295" s="30" t="inlineStr">
        <is>
          <t>industrials</t>
        </is>
      </c>
      <c r="F295" s="30" t="inlineStr">
        <is>
          <t>packaging</t>
        </is>
      </c>
      <c r="G295" s="30" t="inlineStr">
        <is>
          <t>smallcap</t>
        </is>
      </c>
      <c r="H295" s="31" t="n">
        <v>4959.12</v>
      </c>
      <c r="I295" s="31" t="n">
        <v>680.15</v>
      </c>
      <c r="J295" s="31" t="n">
        <v>-0.96</v>
      </c>
      <c r="K295" s="31" t="n">
        <v>154643</v>
      </c>
      <c r="L295" s="30" t="n">
        <v>72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79.94</v>
      </c>
      <c r="P295" s="31" t="n">
        <v>30.94</v>
      </c>
      <c r="Q295" s="31" t="n">
        <v>539.3099999999999</v>
      </c>
      <c r="R295" s="30" t="inlineStr">
        <is>
          <t>Near 52W High Breakout</t>
        </is>
      </c>
      <c r="S295" s="30" t="inlineStr">
        <is>
          <t>Nifty Infra</t>
        </is>
      </c>
      <c r="T295" s="31" t="n">
        <v>0.58</v>
      </c>
      <c r="U295" s="31" t="n">
        <v>16.5</v>
      </c>
      <c r="V295" s="31" t="n">
        <v>15.82</v>
      </c>
      <c r="W295" s="31" t="n">
        <v>22.55</v>
      </c>
      <c r="X295" s="30" t="inlineStr">
        <is>
          <t>Cyclical in an Upturn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Above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More than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IF(B296=0,"",RANK(B296,$B$2:$B$371,0))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TEJASNET</t>
        </is>
      </c>
      <c r="D296" s="30" t="inlineStr">
        <is>
          <t>Tejas Networks Ltd</t>
        </is>
      </c>
      <c r="E296" s="30" t="inlineStr">
        <is>
          <t>telecom</t>
        </is>
      </c>
      <c r="F296" s="30" t="inlineStr">
        <is>
          <t>telecommunications - equipment</t>
        </is>
      </c>
      <c r="G296" s="30" t="inlineStr">
        <is>
          <t>midcap</t>
        </is>
      </c>
      <c r="H296" s="31" t="n">
        <v>10501.35</v>
      </c>
      <c r="I296" s="31" t="n">
        <v>575.9</v>
      </c>
      <c r="J296" s="31" t="n">
        <v>-2.4</v>
      </c>
      <c r="K296" s="31" t="n">
        <v>2049808</v>
      </c>
      <c r="L296" s="30" t="n">
        <v>4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55.95</v>
      </c>
      <c r="P296" s="31" t="n">
        <v>27.95</v>
      </c>
      <c r="Q296" s="31" t="n">
        <v>463.6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-6.7</v>
      </c>
      <c r="U296" s="31" t="n">
        <v>-2.84</v>
      </c>
      <c r="V296" s="31" t="n">
        <v>4.13</v>
      </c>
      <c r="W296" s="31" t="n">
        <v>0.57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Oligopoly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Yes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Less than 1.5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More than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IF(B297=0,"",RANK(B297,$B$2:$B$371,0))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MANALIPETC</t>
        </is>
      </c>
      <c r="D297" s="30" t="inlineStr">
        <is>
          <t>Manali Petrochemicals Limited</t>
        </is>
      </c>
      <c r="E297" s="30" t="inlineStr">
        <is>
          <t>energy</t>
        </is>
      </c>
      <c r="F297" s="30" t="inlineStr">
        <is>
          <t>petrochemicals</t>
        </is>
      </c>
      <c r="G297" s="30" t="inlineStr">
        <is>
          <t>smallcap</t>
        </is>
      </c>
      <c r="H297" s="31" t="n">
        <v>1549.37</v>
      </c>
      <c r="I297" s="31" t="n">
        <v>87.15000000000001</v>
      </c>
      <c r="J297" s="31" t="n">
        <v>-3.25</v>
      </c>
      <c r="K297" s="31" t="n">
        <v>3298224</v>
      </c>
      <c r="L297" s="30" t="n">
        <v>67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76.26000000000001</v>
      </c>
      <c r="P297" s="31" t="n">
        <v>41.37</v>
      </c>
      <c r="Q297" s="31" t="n">
        <v>65.11</v>
      </c>
      <c r="R297" s="30" t="inlineStr">
        <is>
          <t>Near 52W High Breakout</t>
        </is>
      </c>
      <c r="S297" s="30" t="inlineStr">
        <is>
          <t>Nifty Energy</t>
        </is>
      </c>
      <c r="T297" s="31" t="n">
        <v>8.75</v>
      </c>
      <c r="U297" s="31" t="n">
        <v>20.38</v>
      </c>
      <c r="V297" s="31" t="n">
        <v>10.7</v>
      </c>
      <c r="W297" s="31" t="n">
        <v>20.3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Oligopoly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Yes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Cyclical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Volatile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Above 40</t>
        </is>
      </c>
      <c r="AY297" s="30">
        <f>IF(AX297="Above 40",20,IF(AX297="20 to 40",10,IF(AX297="0 to 20",-5,0)))</f>
        <v/>
      </c>
      <c r="AZ297" s="30" t="inlineStr">
        <is>
          <t>Above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Blue sky scenario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IF(B298=0,"",RANK(B298,$B$2:$B$371,0))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ORCHPHARMA</t>
        </is>
      </c>
      <c r="D298" s="30" t="inlineStr">
        <is>
          <t>Orchid Pharma Ltd</t>
        </is>
      </c>
      <c r="E298" s="30" t="inlineStr">
        <is>
          <t>healthcare</t>
        </is>
      </c>
      <c r="F298" s="30" t="inlineStr">
        <is>
          <t>pharmaceuticals - indian - bulk drugs &amp; formln</t>
        </is>
      </c>
      <c r="G298" s="30" t="inlineStr">
        <is>
          <t>smallcap</t>
        </is>
      </c>
      <c r="H298" s="31" t="n">
        <v>4898.45</v>
      </c>
      <c r="I298" s="31" t="n">
        <v>1024.85</v>
      </c>
      <c r="J298" s="31" t="n">
        <v>6.11</v>
      </c>
      <c r="K298" s="31" t="n">
        <v>161851</v>
      </c>
      <c r="L298" s="30" t="n">
        <v>55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64.81999999999999</v>
      </c>
      <c r="P298" s="31" t="n">
        <v>54.19</v>
      </c>
      <c r="Q298" s="31" t="n">
        <v>764.76</v>
      </c>
      <c r="R298" s="30" t="inlineStr">
        <is>
          <t>Near 52W High Breakout</t>
        </is>
      </c>
      <c r="S298" s="30" t="inlineStr">
        <is>
          <t>Nifty Pharma</t>
        </is>
      </c>
      <c r="T298" s="31" t="n">
        <v>19.47</v>
      </c>
      <c r="U298" s="31" t="n">
        <v>44.19</v>
      </c>
      <c r="V298" s="31" t="n">
        <v>20.69</v>
      </c>
      <c r="W298" s="31" t="n">
        <v>16.48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Yes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Annuity, Lower One Time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Above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IF(B299=0,"",RANK(B299,$B$2:$B$371,0))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APOLLOHOSP</t>
        </is>
      </c>
      <c r="D299" s="32" t="inlineStr">
        <is>
          <t>Apollo Hospitals Enterprise Limited</t>
        </is>
      </c>
      <c r="E299" s="30" t="inlineStr">
        <is>
          <t>healthcare</t>
        </is>
      </c>
      <c r="F299" s="30" t="inlineStr">
        <is>
          <t>healthcare</t>
        </is>
      </c>
      <c r="G299" s="30" t="inlineStr">
        <is>
          <t>largecap</t>
        </is>
      </c>
      <c r="H299" s="31" t="n">
        <v>127069.69</v>
      </c>
      <c r="I299" s="31" t="n">
        <v>8967</v>
      </c>
      <c r="J299" s="31" t="n">
        <v>1.47</v>
      </c>
      <c r="K299" s="31" t="n">
        <v>375525</v>
      </c>
      <c r="L299" s="30" t="n">
        <v>13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64.64</v>
      </c>
      <c r="P299" s="31" t="n">
        <v>28.97</v>
      </c>
      <c r="Q299" s="31" t="n">
        <v>7983.12</v>
      </c>
      <c r="R299" s="30" t="inlineStr">
        <is>
          <t>Near 52W High Breakout</t>
        </is>
      </c>
      <c r="S299" s="30" t="inlineStr">
        <is>
          <t>Nifty Pharma</t>
        </is>
      </c>
      <c r="T299" s="31" t="n">
        <v>19.47</v>
      </c>
      <c r="U299" s="31" t="n">
        <v>14.16</v>
      </c>
      <c r="V299" s="31" t="n">
        <v>-4.45</v>
      </c>
      <c r="W299" s="31" t="n">
        <v>4.1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Oligopoly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Cyclical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B2C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Fully One Time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Above 40</t>
        </is>
      </c>
      <c r="AY299" s="30">
        <f>IF(AX299="Above 40",20,IF(AX299="20 to 40",10,IF(AX299="0 to 20",-5,0)))</f>
        <v/>
      </c>
      <c r="AZ299" s="30" t="inlineStr">
        <is>
          <t>Above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Yes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Between 1.5 to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IF(B300=0,"",RANK(B300,$B$2:$B$371,0))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AXISCADES</t>
        </is>
      </c>
      <c r="D300" s="30" t="inlineStr">
        <is>
          <t>AXISCADES Technologies Ltd</t>
        </is>
      </c>
      <c r="E300" s="30" t="inlineStr">
        <is>
          <t>aerospace &amp; defence</t>
        </is>
      </c>
      <c r="F300" s="30" t="inlineStr">
        <is>
          <t>computers - software - medium / small</t>
        </is>
      </c>
      <c r="G300" s="30" t="inlineStr">
        <is>
          <t>midcap</t>
        </is>
      </c>
      <c r="H300" s="31" t="n">
        <v>7862.28</v>
      </c>
      <c r="I300" s="31" t="n">
        <v>1875.7</v>
      </c>
      <c r="J300" s="31" t="n">
        <v>1.47</v>
      </c>
      <c r="K300" s="31" t="n">
        <v>347063</v>
      </c>
      <c r="L300" s="30" t="n">
        <v>16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59.46</v>
      </c>
      <c r="P300" s="31" t="n">
        <v>12.12</v>
      </c>
      <c r="Q300" s="31" t="n">
        <v>1428.03</v>
      </c>
      <c r="R300" s="30" t="inlineStr">
        <is>
          <t>Earnings / Momentum Support</t>
        </is>
      </c>
      <c r="S300" s="30" t="inlineStr">
        <is>
          <t>Nifty IT</t>
        </is>
      </c>
      <c r="T300" s="31" t="n">
        <v>-19.93</v>
      </c>
      <c r="U300" s="31" t="n">
        <v>18.8</v>
      </c>
      <c r="V300" s="31" t="n">
        <v>48.37</v>
      </c>
      <c r="W300" s="31" t="n">
        <v>4.84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No</t>
        </is>
      </c>
      <c r="AQ300" s="30">
        <f>IF(AP300="Yes",10,0)</f>
        <v/>
      </c>
      <c r="AR300" s="30" t="inlineStr">
        <is>
          <t>Higher Annuity, Lower One Time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IF(B301=0,"",RANK(B301,$B$2:$B$371,0))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APLAPOLLO</t>
        </is>
      </c>
      <c r="D301" s="32" t="inlineStr">
        <is>
          <t>Apl Apollo Tubes Limited</t>
        </is>
      </c>
      <c r="E301" s="30" t="inlineStr">
        <is>
          <t>industrials</t>
        </is>
      </c>
      <c r="F301" s="30" t="inlineStr">
        <is>
          <t>steel - large</t>
        </is>
      </c>
      <c r="G301" s="30" t="inlineStr">
        <is>
          <t>largecap</t>
        </is>
      </c>
      <c r="H301" s="31" t="n">
        <v>60668.36</v>
      </c>
      <c r="I301" s="31" t="n">
        <v>2168</v>
      </c>
      <c r="J301" s="31" t="n">
        <v>-0.78</v>
      </c>
      <c r="K301" s="31" t="n">
        <v>270373</v>
      </c>
      <c r="L301" s="30" t="n">
        <v>33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62.51</v>
      </c>
      <c r="P301" s="31" t="n">
        <v>21.69</v>
      </c>
      <c r="Q301" s="31" t="n">
        <v>1913.44</v>
      </c>
      <c r="R301" s="30" t="inlineStr">
        <is>
          <t>Near 52W High Breakout</t>
        </is>
      </c>
      <c r="S301" s="30" t="inlineStr">
        <is>
          <t>Nifty Metal</t>
        </is>
      </c>
      <c r="T301" s="31" t="n">
        <v>42.08</v>
      </c>
      <c r="U301" s="31" t="n">
        <v>41.53</v>
      </c>
      <c r="V301" s="31" t="n">
        <v>-0.39</v>
      </c>
      <c r="W301" s="31" t="n">
        <v>9.09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Oligopoly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Cyclical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B2C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Fully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Above 40</t>
        </is>
      </c>
      <c r="AY301" s="30">
        <f>IF(AX301="Above 40",20,IF(AX301="20 to 40",10,IF(AX301="0 to 20",-5,0)))</f>
        <v/>
      </c>
      <c r="AZ301" s="30" t="inlineStr">
        <is>
          <t>Above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Yes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Between 1.5 to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IF(B302=0,"",RANK(B302,$B$2:$B$371,0))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SBC</t>
        </is>
      </c>
      <c r="D302" s="30" t="inlineStr">
        <is>
          <t>SBC Exports Ltd</t>
        </is>
      </c>
      <c r="E302" s="30" t="inlineStr">
        <is>
          <t>textiles</t>
        </is>
      </c>
      <c r="F302" s="30" t="inlineStr">
        <is>
          <t>textiles - products</t>
        </is>
      </c>
      <c r="G302" s="30" t="inlineStr">
        <is>
          <t>smallcap</t>
        </is>
      </c>
      <c r="H302" s="31" t="n">
        <v>2227.14</v>
      </c>
      <c r="I302" s="31" t="n">
        <v>48.68</v>
      </c>
      <c r="J302" s="31" t="n">
        <v>4.08</v>
      </c>
      <c r="K302" s="31" t="n">
        <v>12797508</v>
      </c>
      <c r="L302" s="30" t="n">
        <v>74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75.76000000000001</v>
      </c>
      <c r="P302" s="31" t="n">
        <v>33.52</v>
      </c>
      <c r="Q302" s="31" t="n">
        <v>39.95</v>
      </c>
      <c r="R302" s="30" t="inlineStr">
        <is>
          <t>Near 52W High Breakout</t>
        </is>
      </c>
      <c r="S302" s="30" t="inlineStr">
        <is>
          <t>Nifty 50</t>
        </is>
      </c>
      <c r="T302" s="31" t="n">
        <v>-6.7</v>
      </c>
      <c r="U302" s="31" t="n">
        <v>122.89</v>
      </c>
      <c r="V302" s="31" t="n">
        <v>138.9</v>
      </c>
      <c r="W302" s="31" t="n">
        <v>24.1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Above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Blue sky scenario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More than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IF(B303=0,"",RANK(B303,$B$2:$B$371,0))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GMMPFAUDLR</t>
        </is>
      </c>
      <c r="D303" s="30" t="inlineStr">
        <is>
          <t>GMM Pfaudler Ltd</t>
        </is>
      </c>
      <c r="E303" s="30" t="inlineStr">
        <is>
          <t>industrials</t>
        </is>
      </c>
      <c r="F303" s="30" t="inlineStr">
        <is>
          <t>engineering</t>
        </is>
      </c>
      <c r="G303" s="30" t="inlineStr">
        <is>
          <t>midcap</t>
        </is>
      </c>
      <c r="H303" s="31" t="n">
        <v>5777.9</v>
      </c>
      <c r="I303" s="31" t="n">
        <v>1305.4</v>
      </c>
      <c r="J303" s="31" t="n">
        <v>1.57</v>
      </c>
      <c r="K303" s="31" t="n">
        <v>875591</v>
      </c>
      <c r="L303" s="30" t="n">
        <v>70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76.90000000000001</v>
      </c>
      <c r="P303" s="31" t="n">
        <v>31.49</v>
      </c>
      <c r="Q303" s="31" t="n">
        <v>1049.76</v>
      </c>
      <c r="R303" s="30" t="inlineStr">
        <is>
          <t>Near 52W High Breakout</t>
        </is>
      </c>
      <c r="S303" s="30" t="inlineStr">
        <is>
          <t>Nifty 50</t>
        </is>
      </c>
      <c r="T303" s="31" t="n">
        <v>-6.7</v>
      </c>
      <c r="U303" s="31" t="n">
        <v>14.33</v>
      </c>
      <c r="V303" s="31" t="n">
        <v>22.54</v>
      </c>
      <c r="W303" s="31" t="n">
        <v>21.24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Above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Yes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Between 0.7 to 1.2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IF(B304=0,"",RANK(B304,$B$2:$B$371,0))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MUKANDLTD</t>
        </is>
      </c>
      <c r="D304" s="32" t="inlineStr">
        <is>
          <t>Mukand Limited</t>
        </is>
      </c>
      <c r="E304" s="30" t="inlineStr">
        <is>
          <t>metals &amp; mining</t>
        </is>
      </c>
      <c r="F304" s="30" t="inlineStr">
        <is>
          <t>steel - medium / small</t>
        </is>
      </c>
      <c r="G304" s="30" t="inlineStr">
        <is>
          <t>smallcap</t>
        </is>
      </c>
      <c r="H304" s="31" t="n">
        <v>1989.13</v>
      </c>
      <c r="I304" s="31" t="n">
        <v>139.69</v>
      </c>
      <c r="J304" s="31" t="n">
        <v>1.47</v>
      </c>
      <c r="K304" s="31" t="n">
        <v>172124</v>
      </c>
      <c r="L304" s="30" t="n">
        <v>6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55.52</v>
      </c>
      <c r="P304" s="31" t="n">
        <v>35.69</v>
      </c>
      <c r="Q304" s="31" t="n">
        <v>116.16</v>
      </c>
      <c r="R304" s="30" t="inlineStr">
        <is>
          <t>Near 52W High Breakout</t>
        </is>
      </c>
      <c r="S304" s="30" t="inlineStr">
        <is>
          <t>Nifty Metal</t>
        </is>
      </c>
      <c r="T304" s="31" t="n">
        <v>42.08</v>
      </c>
      <c r="U304" s="31" t="n">
        <v>2.37</v>
      </c>
      <c r="V304" s="31" t="n">
        <v>-27.95</v>
      </c>
      <c r="W304" s="31" t="n">
        <v>1.29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Cyclical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Volatile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Less than 1.5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Between 0.7 to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IF(B305=0,"",RANK(B305,$B$2:$B$371,0))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NAVINFLUOR</t>
        </is>
      </c>
      <c r="D305" s="30" t="inlineStr">
        <is>
          <t>Navin Fluorine International Limited</t>
        </is>
      </c>
      <c r="E305" s="30" t="inlineStr">
        <is>
          <t>chemicals</t>
        </is>
      </c>
      <c r="F305" s="30" t="inlineStr">
        <is>
          <t>chemicals</t>
        </is>
      </c>
      <c r="G305" s="30" t="inlineStr">
        <is>
          <t>largecap</t>
        </is>
      </c>
      <c r="H305" s="31" t="n">
        <v>44782.31</v>
      </c>
      <c r="I305" s="31" t="n">
        <v>8775.5</v>
      </c>
      <c r="J305" s="31" t="n">
        <v>0.51</v>
      </c>
      <c r="K305" s="31" t="n">
        <v>294169</v>
      </c>
      <c r="L305" s="30" t="n">
        <v>58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80.05</v>
      </c>
      <c r="P305" s="31" t="n">
        <v>60.77</v>
      </c>
      <c r="Q305" s="31" t="n">
        <v>7365.22</v>
      </c>
      <c r="R305" s="30" t="inlineStr">
        <is>
          <t>Near 52W High Breakout</t>
        </is>
      </c>
      <c r="S305" s="30" t="inlineStr">
        <is>
          <t>Nifty 50</t>
        </is>
      </c>
      <c r="T305" s="31" t="n">
        <v>-6.7</v>
      </c>
      <c r="U305" s="31" t="n">
        <v>83.58</v>
      </c>
      <c r="V305" s="31" t="n">
        <v>96.77</v>
      </c>
      <c r="W305" s="31" t="n">
        <v>17.51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Oligopoly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Shallow Cyclical (2 to 3 Years Growth)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3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Between 50% to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IF(B306=0,"",RANK(B306,$B$2:$B$371,0))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RITCO</t>
        </is>
      </c>
      <c r="D306" s="30" t="inlineStr">
        <is>
          <t>Ritco Logistics Ltd</t>
        </is>
      </c>
      <c r="E306" s="30" t="inlineStr">
        <is>
          <t>transportation</t>
        </is>
      </c>
      <c r="F306" s="30" t="inlineStr">
        <is>
          <t>miscellaneous</t>
        </is>
      </c>
      <c r="G306" s="30" t="inlineStr">
        <is>
          <t>smallcap</t>
        </is>
      </c>
      <c r="H306" s="31" t="n">
        <v>911.49</v>
      </c>
      <c r="I306" s="31" t="n">
        <v>317.45</v>
      </c>
      <c r="J306" s="31" t="n">
        <v>-0.31</v>
      </c>
      <c r="K306" s="31" t="n">
        <v>142503</v>
      </c>
      <c r="L306" s="30" t="n">
        <v>36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64.87</v>
      </c>
      <c r="P306" s="31" t="n">
        <v>36.45</v>
      </c>
      <c r="Q306" s="31" t="n">
        <v>240.16</v>
      </c>
      <c r="R306" s="30" t="inlineStr">
        <is>
          <t>Near 52W High Breakout</t>
        </is>
      </c>
      <c r="S306" s="30" t="inlineStr">
        <is>
          <t>Nifty 50</t>
        </is>
      </c>
      <c r="T306" s="31" t="n">
        <v>-6.7</v>
      </c>
      <c r="U306" s="31" t="n">
        <v>17.62</v>
      </c>
      <c r="V306" s="31" t="n">
        <v>26.06</v>
      </c>
      <c r="W306" s="31" t="n">
        <v>10.22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More than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IF(B307=0,"",RANK(B307,$B$2:$B$371,0))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BEML</t>
        </is>
      </c>
      <c r="D307" s="30" t="inlineStr">
        <is>
          <t>Beml Limited</t>
        </is>
      </c>
      <c r="E307" s="30" t="inlineStr">
        <is>
          <t>aerospace &amp; defence</t>
        </is>
      </c>
      <c r="F307" s="30" t="inlineStr">
        <is>
          <t>engineering</t>
        </is>
      </c>
      <c r="G307" s="30" t="inlineStr">
        <is>
          <t>midcap</t>
        </is>
      </c>
      <c r="H307" s="31" t="n">
        <v>17537.33</v>
      </c>
      <c r="I307" s="31" t="n">
        <v>2097.8</v>
      </c>
      <c r="J307" s="31" t="n">
        <v>-0.37</v>
      </c>
      <c r="K307" s="31" t="n">
        <v>465000</v>
      </c>
      <c r="L307" s="30" t="n">
        <v>12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66.18000000000001</v>
      </c>
      <c r="P307" s="31" t="n">
        <v>17.04</v>
      </c>
      <c r="Q307" s="31" t="n">
        <v>1674.33</v>
      </c>
      <c r="R307" s="30" t="inlineStr">
        <is>
          <t>Earnings / Momentum Support</t>
        </is>
      </c>
      <c r="S307" s="30" t="inlineStr">
        <is>
          <t>Nifty 50</t>
        </is>
      </c>
      <c r="T307" s="31" t="n">
        <v>-6.7</v>
      </c>
      <c r="U307" s="31" t="n">
        <v>-4.8</v>
      </c>
      <c r="V307" s="31" t="n">
        <v>2.04</v>
      </c>
      <c r="W307" s="31" t="n">
        <v>3.94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IF(B308=0,"",RANK(B308,$B$2:$B$371,0))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SALSTEEL</t>
        </is>
      </c>
      <c r="D308" s="30" t="inlineStr">
        <is>
          <t>SAL Steel</t>
        </is>
      </c>
      <c r="E308" s="30" t="inlineStr">
        <is>
          <t>metals &amp; mining</t>
        </is>
      </c>
      <c r="F308" s="30" t="inlineStr">
        <is>
          <t>steel - sponge iron</t>
        </is>
      </c>
      <c r="G308" s="30" t="inlineStr">
        <is>
          <t>smallcap</t>
        </is>
      </c>
      <c r="H308" s="31" t="n">
        <v>1152.78</v>
      </c>
      <c r="I308" s="31" t="n">
        <v>79.19</v>
      </c>
      <c r="J308" s="31" t="n">
        <v>-0.55</v>
      </c>
      <c r="K308" s="31" t="n">
        <v>697277</v>
      </c>
      <c r="L308" s="30" t="n">
        <v>95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71.53</v>
      </c>
      <c r="P308" s="31" t="n">
        <v>30.2</v>
      </c>
      <c r="Q308" s="31" t="n">
        <v>57.03</v>
      </c>
      <c r="R308" s="30" t="inlineStr">
        <is>
          <t>Near 52W High Breakout</t>
        </is>
      </c>
      <c r="S308" s="30" t="inlineStr">
        <is>
          <t>Nifty Metal</t>
        </is>
      </c>
      <c r="T308" s="31" t="n">
        <v>42.08</v>
      </c>
      <c r="U308" s="31" t="n">
        <v>397.11</v>
      </c>
      <c r="V308" s="31" t="n">
        <v>249.88</v>
      </c>
      <c r="W308" s="31" t="n">
        <v>51.67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Cyclical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Volatile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Blue sky scenario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More than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IF(B309=0,"",RANK(B309,$B$2:$B$371,0))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HAL</t>
        </is>
      </c>
      <c r="D309" s="30" t="inlineStr">
        <is>
          <t>Hindustan Aeronautics Ltd</t>
        </is>
      </c>
      <c r="E309" s="30" t="inlineStr">
        <is>
          <t>aerospace &amp; defence</t>
        </is>
      </c>
      <c r="F309" s="30" t="inlineStr">
        <is>
          <t>engineering</t>
        </is>
      </c>
      <c r="G309" s="30" t="inlineStr">
        <is>
          <t>largecap</t>
        </is>
      </c>
      <c r="H309" s="31" t="n">
        <v>336467.39</v>
      </c>
      <c r="I309" s="31" t="n">
        <v>5000.5</v>
      </c>
      <c r="J309" s="31" t="n">
        <v>-0.61</v>
      </c>
      <c r="K309" s="31" t="n">
        <v>1669937</v>
      </c>
      <c r="L309" s="30" t="n">
        <v>19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64.43000000000001</v>
      </c>
      <c r="P309" s="31" t="n">
        <v>28.07</v>
      </c>
      <c r="Q309" s="31" t="n">
        <v>4314.63</v>
      </c>
      <c r="R309" s="30" t="inlineStr">
        <is>
          <t>Near 52W High Breakout</t>
        </is>
      </c>
      <c r="S309" s="30" t="inlineStr">
        <is>
          <t>Nifty 50</t>
        </is>
      </c>
      <c r="T309" s="31" t="n">
        <v>-6.7</v>
      </c>
      <c r="U309" s="31" t="n">
        <v>6.46</v>
      </c>
      <c r="V309" s="31" t="n">
        <v>14.11</v>
      </c>
      <c r="W309" s="31" t="n">
        <v>5.71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Blue sky scenario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Between 12 to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IF(B310=0,"",RANK(B310,$B$2:$B$371,0))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BRIGADE</t>
        </is>
      </c>
      <c r="D310" s="32" t="inlineStr">
        <is>
          <t>Brigade Enterprises Limited</t>
        </is>
      </c>
      <c r="E310" s="30" t="inlineStr">
        <is>
          <t>realty</t>
        </is>
      </c>
      <c r="F310" s="30" t="inlineStr">
        <is>
          <t>construction</t>
        </is>
      </c>
      <c r="G310" s="30" t="inlineStr">
        <is>
          <t>largecap</t>
        </is>
      </c>
      <c r="H310" s="31" t="n">
        <v>22407.36</v>
      </c>
      <c r="I310" s="31" t="n">
        <v>662.9</v>
      </c>
      <c r="J310" s="31" t="n">
        <v>-3.51</v>
      </c>
      <c r="K310" s="31" t="n">
        <v>347995</v>
      </c>
      <c r="L310" s="30" t="n">
        <v>3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61.33</v>
      </c>
      <c r="P310" s="31" t="n">
        <v>18.77</v>
      </c>
      <c r="Q310" s="31" t="n">
        <v>544.46</v>
      </c>
      <c r="R310" s="30" t="inlineStr">
        <is>
          <t>Earnings / Momentum Support</t>
        </is>
      </c>
      <c r="S310" s="30" t="inlineStr">
        <is>
          <t>Nifty Realty</t>
        </is>
      </c>
      <c r="T310" s="31" t="n">
        <v>-8.25</v>
      </c>
      <c r="U310" s="31" t="n">
        <v>-15.92</v>
      </c>
      <c r="V310" s="31" t="n">
        <v>-8.359999999999999</v>
      </c>
      <c r="W310" s="31" t="n">
        <v>0.31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Between 0.7 to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IF(B311=0,"",RANK(B311,$B$2:$B$371,0))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CYIENT</t>
        </is>
      </c>
      <c r="D311" s="30" t="inlineStr">
        <is>
          <t>Cyient Limited</t>
        </is>
      </c>
      <c r="E311" s="30" t="inlineStr">
        <is>
          <t>i.t</t>
        </is>
      </c>
      <c r="F311" s="30" t="inlineStr">
        <is>
          <t>computers - software - medium / small</t>
        </is>
      </c>
      <c r="G311" s="30" t="inlineStr">
        <is>
          <t>midcap</t>
        </is>
      </c>
      <c r="H311" s="31" t="n">
        <v>11378.1</v>
      </c>
      <c r="I311" s="31" t="n">
        <v>1075.1</v>
      </c>
      <c r="J311" s="31" t="n">
        <v>-1.03</v>
      </c>
      <c r="K311" s="31" t="n">
        <v>323893</v>
      </c>
      <c r="L311" s="30" t="n">
        <v>10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63.47</v>
      </c>
      <c r="P311" s="31" t="n">
        <v>16.17</v>
      </c>
      <c r="Q311" s="31" t="n">
        <v>878.63</v>
      </c>
      <c r="R311" s="30" t="inlineStr">
        <is>
          <t>Earnings / Momentum Support</t>
        </is>
      </c>
      <c r="S311" s="30" t="inlineStr">
        <is>
          <t>Nifty IT</t>
        </is>
      </c>
      <c r="T311" s="31" t="n">
        <v>-19.93</v>
      </c>
      <c r="U311" s="31" t="n">
        <v>-11.21</v>
      </c>
      <c r="V311" s="31" t="n">
        <v>10.89</v>
      </c>
      <c r="W311" s="31" t="n">
        <v>3.35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Annuity, Lower One Time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IF(B312=0,"",RANK(B312,$B$2:$B$371,0))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ADANIPORTS</t>
        </is>
      </c>
      <c r="D312" s="30" t="inlineStr">
        <is>
          <t>Adani Ports And Special Economic Zone Limited</t>
        </is>
      </c>
      <c r="E312" s="30" t="inlineStr">
        <is>
          <t>transportation</t>
        </is>
      </c>
      <c r="F312" s="30" t="inlineStr">
        <is>
          <t>miscellaneous</t>
        </is>
      </c>
      <c r="G312" s="30" t="inlineStr">
        <is>
          <t>largecap</t>
        </is>
      </c>
      <c r="H312" s="31" t="n">
        <v>393977.01</v>
      </c>
      <c r="I312" s="31" t="n">
        <v>1775</v>
      </c>
      <c r="J312" s="31" t="n">
        <v>3.8</v>
      </c>
      <c r="K312" s="31" t="n">
        <v>5527528</v>
      </c>
      <c r="L312" s="30" t="n">
        <v>19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59.99</v>
      </c>
      <c r="P312" s="31" t="n">
        <v>19.78</v>
      </c>
      <c r="Q312" s="31" t="n">
        <v>1616.44</v>
      </c>
      <c r="R312" s="30" t="inlineStr">
        <is>
          <t>Earnings / Momentum Support</t>
        </is>
      </c>
      <c r="S312" s="30" t="inlineStr">
        <is>
          <t>Nifty 50</t>
        </is>
      </c>
      <c r="T312" s="31" t="n">
        <v>-6.7</v>
      </c>
      <c r="U312" s="31" t="n">
        <v>27.95</v>
      </c>
      <c r="V312" s="31" t="n">
        <v>37.14</v>
      </c>
      <c r="W312" s="31" t="n">
        <v>5.64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IF(B313=0,"",RANK(B313,$B$2:$B$371,0))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AVL</t>
        </is>
      </c>
      <c r="D313" s="30" t="inlineStr">
        <is>
          <t>Aditya Vision Ltd</t>
        </is>
      </c>
      <c r="E313" s="30" t="inlineStr">
        <is>
          <t>consumer discretionary</t>
        </is>
      </c>
      <c r="F313" s="30" t="inlineStr">
        <is>
          <t>trading</t>
        </is>
      </c>
      <c r="G313" s="30" t="inlineStr">
        <is>
          <t>midcap</t>
        </is>
      </c>
      <c r="H313" s="31" t="n">
        <v>7936.82</v>
      </c>
      <c r="I313" s="31" t="n">
        <v>623.1</v>
      </c>
      <c r="J313" s="31" t="n">
        <v>1.38</v>
      </c>
      <c r="K313" s="31" t="n">
        <v>930980</v>
      </c>
      <c r="L313" s="30" t="n">
        <v>31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59.39</v>
      </c>
      <c r="P313" s="31" t="n">
        <v>46.23</v>
      </c>
      <c r="Q313" s="31" t="n">
        <v>532.6</v>
      </c>
      <c r="R313" s="30" t="inlineStr">
        <is>
          <t>Earnings / Momentum Support</t>
        </is>
      </c>
      <c r="S313" s="30" t="inlineStr">
        <is>
          <t>Nifty 50</t>
        </is>
      </c>
      <c r="T313" s="31" t="n">
        <v>-6.7</v>
      </c>
      <c r="U313" s="31" t="n">
        <v>26.17</v>
      </c>
      <c r="V313" s="31" t="n">
        <v>35.23</v>
      </c>
      <c r="W313" s="31" t="n">
        <v>8.619999999999999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Above 40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Negative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Less than 1.5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Between 0.7 to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IF(B314=0,"",RANK(B314,$B$2:$B$371,0))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HINDOILEXP</t>
        </is>
      </c>
      <c r="D314" s="30" t="inlineStr">
        <is>
          <t>Hindustan Oil Exploration Company Limited</t>
        </is>
      </c>
      <c r="E314" s="30" t="inlineStr">
        <is>
          <t>energy</t>
        </is>
      </c>
      <c r="F314" s="30" t="inlineStr">
        <is>
          <t>oil drilling / allied services</t>
        </is>
      </c>
      <c r="G314" s="30" t="inlineStr">
        <is>
          <t>smallcap</t>
        </is>
      </c>
      <c r="H314" s="31" t="n">
        <v>2561.02</v>
      </c>
      <c r="I314" s="31" t="n">
        <v>195.83</v>
      </c>
      <c r="J314" s="31" t="n">
        <v>1.12</v>
      </c>
      <c r="K314" s="31" t="n">
        <v>3991694</v>
      </c>
      <c r="L314" s="30" t="n">
        <v>39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68.12</v>
      </c>
      <c r="P314" s="31" t="n">
        <v>41</v>
      </c>
      <c r="Q314" s="31" t="n">
        <v>151.41</v>
      </c>
      <c r="R314" s="30" t="inlineStr">
        <is>
          <t>Near 52W High Breakout</t>
        </is>
      </c>
      <c r="S314" s="30" t="inlineStr">
        <is>
          <t>Nifty Energy</t>
        </is>
      </c>
      <c r="T314" s="31" t="n">
        <v>8.75</v>
      </c>
      <c r="U314" s="31" t="n">
        <v>20.94</v>
      </c>
      <c r="V314" s="31" t="n">
        <v>11.22</v>
      </c>
      <c r="W314" s="31" t="n">
        <v>10.92</v>
      </c>
      <c r="X314" s="30" t="inlineStr">
        <is>
          <t>Cyclical in an Upturn</t>
        </is>
      </c>
      <c r="Y314" s="30">
        <f>IF(X314="Growing Industry",10,IF(X314="Cyclical in an Upturn",5,0))</f>
        <v/>
      </c>
      <c r="Z314" s="30" t="inlineStr">
        <is>
          <t>Oligopoly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Yes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Cyclical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Volatile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Above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IF(B315=0,"",RANK(B315,$B$2:$B$371,0))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OIL</t>
        </is>
      </c>
      <c r="D315" s="30" t="inlineStr">
        <is>
          <t>Oil India Limited</t>
        </is>
      </c>
      <c r="E315" s="30" t="inlineStr">
        <is>
          <t>energy</t>
        </is>
      </c>
      <c r="F315" s="30" t="inlineStr">
        <is>
          <t>oil drilling / allied services</t>
        </is>
      </c>
      <c r="G315" s="30" t="inlineStr">
        <is>
          <t>largecap</t>
        </is>
      </c>
      <c r="H315" s="31" t="n">
        <v>80582.14999999999</v>
      </c>
      <c r="I315" s="31" t="n">
        <v>498.95</v>
      </c>
      <c r="J315" s="31" t="n">
        <v>0.72</v>
      </c>
      <c r="K315" s="31" t="n">
        <v>2471923</v>
      </c>
      <c r="L315" s="30" t="n">
        <v>14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60.64</v>
      </c>
      <c r="P315" s="31" t="n">
        <v>14.78</v>
      </c>
      <c r="Q315" s="31" t="n">
        <v>414.28</v>
      </c>
      <c r="R315" s="30" t="inlineStr">
        <is>
          <t>Near 52W High Breakout</t>
        </is>
      </c>
      <c r="S315" s="30" t="inlineStr">
        <is>
          <t>Nifty Energy</t>
        </is>
      </c>
      <c r="T315" s="31" t="n">
        <v>8.75</v>
      </c>
      <c r="U315" s="31" t="n">
        <v>18.15</v>
      </c>
      <c r="V315" s="31" t="n">
        <v>8.640000000000001</v>
      </c>
      <c r="W315" s="31" t="n">
        <v>4.61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Oligopoly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Yes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Less than 1.5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IF(B316=0,"",RANK(B316,$B$2:$B$371,0))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IMAGICAA</t>
        </is>
      </c>
      <c r="D316" s="32" t="inlineStr">
        <is>
          <t>Imagicaaworld Entertainment Ltd</t>
        </is>
      </c>
      <c r="E316" s="30" t="inlineStr">
        <is>
          <t>media</t>
        </is>
      </c>
      <c r="F316" s="30" t="inlineStr">
        <is>
          <t>recreation / amusement parks</t>
        </is>
      </c>
      <c r="G316" s="30" t="inlineStr">
        <is>
          <t>smallcap</t>
        </is>
      </c>
      <c r="H316" s="31" t="n">
        <v>3079.98</v>
      </c>
      <c r="I316" s="31" t="n">
        <v>54.8</v>
      </c>
      <c r="J316" s="31" t="n">
        <v>0.68</v>
      </c>
      <c r="K316" s="31" t="n">
        <v>1005224</v>
      </c>
      <c r="L316" s="30" t="n">
        <v>4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59.03</v>
      </c>
      <c r="P316" s="31" t="n">
        <v>18.77</v>
      </c>
      <c r="Q316" s="31" t="n">
        <v>42.76</v>
      </c>
      <c r="R316" s="30" t="inlineStr">
        <is>
          <t>Earnings / Momentum Support</t>
        </is>
      </c>
      <c r="S316" s="30" t="inlineStr">
        <is>
          <t>Nifty Media</t>
        </is>
      </c>
      <c r="T316" s="31" t="n">
        <v>-8.57</v>
      </c>
      <c r="U316" s="31" t="n">
        <v>-15.94</v>
      </c>
      <c r="V316" s="31" t="n">
        <v>-8.050000000000001</v>
      </c>
      <c r="W316" s="31" t="n">
        <v>0.59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IF(B317=0,"",RANK(B317,$B$2:$B$371,0))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SHALPAINTS</t>
        </is>
      </c>
      <c r="D317" s="32" t="inlineStr">
        <is>
          <t>Shalimar Paints Limited</t>
        </is>
      </c>
      <c r="E317" s="30" t="inlineStr">
        <is>
          <t>building materials</t>
        </is>
      </c>
      <c r="F317" s="30" t="inlineStr">
        <is>
          <t>paints / varnishes</t>
        </is>
      </c>
      <c r="G317" s="30" t="inlineStr">
        <is>
          <t>smallcap</t>
        </is>
      </c>
      <c r="H317" s="31" t="n">
        <v>704.1799999999999</v>
      </c>
      <c r="I317" s="31" t="n">
        <v>83.86</v>
      </c>
      <c r="J317" s="31" t="n">
        <v>-0.31</v>
      </c>
      <c r="K317" s="31" t="n">
        <v>110746</v>
      </c>
      <c r="L317" s="30" t="n">
        <v>58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63.47</v>
      </c>
      <c r="P317" s="31" t="n">
        <v>29.49</v>
      </c>
      <c r="Q317" s="31" t="n">
        <v>66.06</v>
      </c>
      <c r="R317" s="30" t="inlineStr">
        <is>
          <t>Earnings / Momentum Support</t>
        </is>
      </c>
      <c r="S317" s="30" t="inlineStr">
        <is>
          <t>Nifty Infra</t>
        </is>
      </c>
      <c r="T317" s="31" t="n">
        <v>0.58</v>
      </c>
      <c r="U317" s="31" t="n">
        <v>-0.78</v>
      </c>
      <c r="V317" s="31" t="n">
        <v>-1.36</v>
      </c>
      <c r="W317" s="31" t="n">
        <v>17.54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IF(B318=0,"",RANK(B318,$B$2:$B$371,0))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JINDRILL</t>
        </is>
      </c>
      <c r="D318" s="32" t="inlineStr">
        <is>
          <t>Jindal Drilling And Industries Limited</t>
        </is>
      </c>
      <c r="E318" s="30" t="inlineStr">
        <is>
          <t>energy</t>
        </is>
      </c>
      <c r="F318" s="30" t="inlineStr">
        <is>
          <t>oil drilling / allied services</t>
        </is>
      </c>
      <c r="G318" s="30" t="inlineStr">
        <is>
          <t>smallcap</t>
        </is>
      </c>
      <c r="H318" s="31" t="n">
        <v>1964.92</v>
      </c>
      <c r="I318" s="31" t="n">
        <v>673.75</v>
      </c>
      <c r="J318" s="31" t="n">
        <v>-0.63</v>
      </c>
      <c r="K318" s="31" t="n">
        <v>656825</v>
      </c>
      <c r="L318" s="30" t="n">
        <v>26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61.12</v>
      </c>
      <c r="P318" s="31" t="n">
        <v>45.35</v>
      </c>
      <c r="Q318" s="31" t="n">
        <v>497.65</v>
      </c>
      <c r="R318" s="30" t="inlineStr">
        <is>
          <t>Near 52W High Breakout</t>
        </is>
      </c>
      <c r="S318" s="30" t="inlineStr">
        <is>
          <t>Nifty Energy</t>
        </is>
      </c>
      <c r="T318" s="31" t="n">
        <v>8.75</v>
      </c>
      <c r="U318" s="31" t="n">
        <v>8.17</v>
      </c>
      <c r="V318" s="31" t="n">
        <v>-0.53</v>
      </c>
      <c r="W318" s="31" t="n">
        <v>7.49</v>
      </c>
      <c r="X318" s="30" t="inlineStr">
        <is>
          <t>Cyclical in an Upturn</t>
        </is>
      </c>
      <c r="Y318" s="30">
        <f>IF(X318="Growing Industry",10,IF(X318="Cyclical in an Upturn",5,0))</f>
        <v/>
      </c>
      <c r="Z318" s="30" t="inlineStr">
        <is>
          <t>Oligopoly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Yes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Cyclical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Volatile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Above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IF(B319=0,"",RANK(B319,$B$2:$B$371,0))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RAMRAT</t>
        </is>
      </c>
      <c r="D319" s="30" t="inlineStr">
        <is>
          <t>Ram Ratna Wires Ltd</t>
        </is>
      </c>
      <c r="E319" s="30" t="inlineStr">
        <is>
          <t>metals &amp; mining</t>
        </is>
      </c>
      <c r="F319" s="30" t="inlineStr">
        <is>
          <t>mining / minerals / metals</t>
        </is>
      </c>
      <c r="G319" s="30" t="inlineStr">
        <is>
          <t>smallcap</t>
        </is>
      </c>
      <c r="H319" s="31" t="n">
        <v>4959.17</v>
      </c>
      <c r="I319" s="31" t="n">
        <v>527.35</v>
      </c>
      <c r="J319" s="31" t="n">
        <v>-0.73</v>
      </c>
      <c r="K319" s="31" t="n">
        <v>184999</v>
      </c>
      <c r="L319" s="30" t="n">
        <v>61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65.73</v>
      </c>
      <c r="P319" s="31" t="n">
        <v>44.82</v>
      </c>
      <c r="Q319" s="31" t="n">
        <v>447.03</v>
      </c>
      <c r="R319" s="30" t="inlineStr">
        <is>
          <t>Earnings / Momentum Support</t>
        </is>
      </c>
      <c r="S319" s="30" t="inlineStr">
        <is>
          <t>Nifty Metal</t>
        </is>
      </c>
      <c r="T319" s="31" t="n">
        <v>42.08</v>
      </c>
      <c r="U319" s="31" t="n">
        <v>51.56</v>
      </c>
      <c r="V319" s="31" t="n">
        <v>6.67</v>
      </c>
      <c r="W319" s="31" t="n">
        <v>18.13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Above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Between 0.7 to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IF(B320=0,"",RANK(B320,$B$2:$B$371,0))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KALYANKJIL</t>
        </is>
      </c>
      <c r="D320" s="30" t="inlineStr">
        <is>
          <t>Kalyan Jewellers India Ltd</t>
        </is>
      </c>
      <c r="E320" s="30" t="inlineStr">
        <is>
          <t>consumer discretionary</t>
        </is>
      </c>
      <c r="F320" s="30" t="inlineStr">
        <is>
          <t>diamond cutting / jewellery</t>
        </is>
      </c>
      <c r="G320" s="30" t="inlineStr">
        <is>
          <t>largecap</t>
        </is>
      </c>
      <c r="H320" s="31" t="n">
        <v>63265.67</v>
      </c>
      <c r="I320" s="31" t="n">
        <v>607.6</v>
      </c>
      <c r="J320" s="31" t="n">
        <v>-0.82</v>
      </c>
      <c r="K320" s="31" t="n">
        <v>7297816</v>
      </c>
      <c r="L320" s="30" t="n">
        <v>73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68.94</v>
      </c>
      <c r="P320" s="31" t="n">
        <v>37.98</v>
      </c>
      <c r="Q320" s="31" t="n">
        <v>474.68</v>
      </c>
      <c r="R320" s="30" t="inlineStr">
        <is>
          <t>Near 52W High Breakout</t>
        </is>
      </c>
      <c r="S320" s="30" t="inlineStr">
        <is>
          <t>Nifty 50</t>
        </is>
      </c>
      <c r="T320" s="31" t="n">
        <v>-6.7</v>
      </c>
      <c r="U320" s="31" t="n">
        <v>20.86</v>
      </c>
      <c r="V320" s="31" t="n">
        <v>29.53</v>
      </c>
      <c r="W320" s="31" t="n">
        <v>23.57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Negative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Between 0.7 to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IF(B321=0,"",RANK(B321,$B$2:$B$371,0))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DICIND</t>
        </is>
      </c>
      <c r="D321" s="30" t="inlineStr">
        <is>
          <t>Dic India Limited</t>
        </is>
      </c>
      <c r="E321" s="30" t="inlineStr">
        <is>
          <t>chemicals</t>
        </is>
      </c>
      <c r="F321" s="30" t="inlineStr">
        <is>
          <t>chemicals</t>
        </is>
      </c>
      <c r="G321" s="30" t="inlineStr">
        <is>
          <t>smallcap</t>
        </is>
      </c>
      <c r="H321" s="31" t="n">
        <v>571.71</v>
      </c>
      <c r="I321" s="31" t="n">
        <v>617.6</v>
      </c>
      <c r="J321" s="31" t="n">
        <v>-0.84</v>
      </c>
      <c r="K321" s="31" t="n">
        <v>6544</v>
      </c>
      <c r="L321" s="30" t="n">
        <v>28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70.72</v>
      </c>
      <c r="P321" s="31" t="n">
        <v>15.72</v>
      </c>
      <c r="Q321" s="31" t="n">
        <v>474.77</v>
      </c>
      <c r="R321" s="30" t="inlineStr">
        <is>
          <t>Near 52W High Breakout</t>
        </is>
      </c>
      <c r="S321" s="30" t="inlineStr">
        <is>
          <t>Nifty 50</t>
        </is>
      </c>
      <c r="T321" s="31" t="n">
        <v>-6.7</v>
      </c>
      <c r="U321" s="31" t="n">
        <v>10.05</v>
      </c>
      <c r="V321" s="31" t="n">
        <v>17.95</v>
      </c>
      <c r="W321" s="31" t="n">
        <v>7.64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Negative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IF(B322=0,"",RANK(B322,$B$2:$B$371,0))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SMARTWORKS</t>
        </is>
      </c>
      <c r="D322" s="30" t="inlineStr">
        <is>
          <t>Smartworks Coworking Spaces Ltd</t>
        </is>
      </c>
      <c r="E322" s="30" t="inlineStr">
        <is>
          <t>co-working</t>
        </is>
      </c>
      <c r="F322" s="30" t="inlineStr">
        <is>
          <t>miscellaneous</t>
        </is>
      </c>
      <c r="G322" s="30" t="inlineStr">
        <is>
          <t>midcap</t>
        </is>
      </c>
      <c r="H322" s="31" t="n">
        <v>6314.69</v>
      </c>
      <c r="I322" s="31" t="n">
        <v>547.95</v>
      </c>
      <c r="J322" s="31" t="n">
        <v>-0.85</v>
      </c>
      <c r="K322" s="31" t="n">
        <v>63358</v>
      </c>
      <c r="L322" s="30" t="n">
        <v>23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65.27</v>
      </c>
      <c r="P322" s="31" t="n">
        <v>37.52</v>
      </c>
      <c r="Q322" s="31" t="n">
        <v>436.1</v>
      </c>
      <c r="R322" s="30" t="inlineStr">
        <is>
          <t>Earnings / Momentum Support</t>
        </is>
      </c>
      <c r="S322" s="30" t="inlineStr">
        <is>
          <t>Nifty 50</t>
        </is>
      </c>
      <c r="T322" s="31" t="n">
        <v>-6.7</v>
      </c>
      <c r="U322" s="31" t="n">
        <v>6.16</v>
      </c>
      <c r="V322" s="31" t="n">
        <v>13.78</v>
      </c>
      <c r="W322" s="31" t="n">
        <v>6.88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More than 1.2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IF(B323=0,"",RANK(B323,$B$2:$B$371,0))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TNPETRO</t>
        </is>
      </c>
      <c r="D323" s="30" t="inlineStr">
        <is>
          <t>Tamilnadu Petroproducts Limited</t>
        </is>
      </c>
      <c r="E323" s="30" t="inlineStr">
        <is>
          <t>energy</t>
        </is>
      </c>
      <c r="F323" s="30" t="inlineStr">
        <is>
          <t>petrochemicals</t>
        </is>
      </c>
      <c r="G323" s="30" t="inlineStr">
        <is>
          <t>smallcap</t>
        </is>
      </c>
      <c r="H323" s="31" t="n">
        <v>1252.22</v>
      </c>
      <c r="I323" s="31" t="n">
        <v>137.6</v>
      </c>
      <c r="J323" s="31" t="n">
        <v>-1.14</v>
      </c>
      <c r="K323" s="31" t="n">
        <v>1993687</v>
      </c>
      <c r="L323" s="30" t="n">
        <v>68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79.8</v>
      </c>
      <c r="P323" s="31" t="n">
        <v>37</v>
      </c>
      <c r="Q323" s="31" t="n">
        <v>106.28</v>
      </c>
      <c r="R323" s="30" t="inlineStr">
        <is>
          <t>Near 52W High Breakout</t>
        </is>
      </c>
      <c r="S323" s="30" t="inlineStr">
        <is>
          <t>Nifty Energy</t>
        </is>
      </c>
      <c r="T323" s="31" t="n">
        <v>8.75</v>
      </c>
      <c r="U323" s="31" t="n">
        <v>35.85</v>
      </c>
      <c r="V323" s="31" t="n">
        <v>24.93</v>
      </c>
      <c r="W323" s="31" t="n">
        <v>20.39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Oligopoly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Yes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Cyclical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Volatile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Above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Blue sky scenario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IF(B324=0,"",RANK(B324,$B$2:$B$371,0))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KAPSTON</t>
        </is>
      </c>
      <c r="D324" s="30" t="inlineStr">
        <is>
          <t>Kapston Services Ltd</t>
        </is>
      </c>
      <c r="E324" s="30" t="inlineStr">
        <is>
          <t>miscellaneous</t>
        </is>
      </c>
      <c r="F324" s="30" t="inlineStr">
        <is>
          <t>miscellaneous</t>
        </is>
      </c>
      <c r="G324" s="30" t="inlineStr">
        <is>
          <t>smallcap</t>
        </is>
      </c>
      <c r="H324" s="31" t="n">
        <v>1745.74</v>
      </c>
      <c r="I324" s="31" t="n">
        <v>564.3</v>
      </c>
      <c r="J324" s="31" t="n">
        <v>-1.63</v>
      </c>
      <c r="K324" s="31" t="n">
        <v>22942</v>
      </c>
      <c r="L324" s="30" t="n">
        <v>87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70.25</v>
      </c>
      <c r="P324" s="31" t="n">
        <v>38.7</v>
      </c>
      <c r="Q324" s="31" t="n">
        <v>453.71</v>
      </c>
      <c r="R324" s="30" t="inlineStr">
        <is>
          <t>Near 52W High Breakout</t>
        </is>
      </c>
      <c r="S324" s="30" t="inlineStr">
        <is>
          <t>Nifty 50</t>
        </is>
      </c>
      <c r="T324" s="31" t="n">
        <v>-6.7</v>
      </c>
      <c r="U324" s="31" t="n">
        <v>132.19</v>
      </c>
      <c r="V324" s="31" t="n">
        <v>148.87</v>
      </c>
      <c r="W324" s="31" t="n">
        <v>34.31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Negative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Blue sky scenario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Less than 1.5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More than 1.2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IF(B325=0,"",RANK(B325,$B$2:$B$371,0))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JYOTICNC</t>
        </is>
      </c>
      <c r="D325" s="30" t="inlineStr">
        <is>
          <t>Jyoti CNC Automation Ltd</t>
        </is>
      </c>
      <c r="E325" s="30" t="inlineStr">
        <is>
          <t>industrials</t>
        </is>
      </c>
      <c r="F325" s="30" t="inlineStr">
        <is>
          <t>engineering</t>
        </is>
      </c>
      <c r="G325" s="30" t="inlineStr">
        <is>
          <t>largecap</t>
        </is>
      </c>
      <c r="H325" s="31" t="n">
        <v>23588.32</v>
      </c>
      <c r="I325" s="31" t="n">
        <v>1009.05</v>
      </c>
      <c r="J325" s="31" t="n">
        <v>-2.71</v>
      </c>
      <c r="K325" s="31" t="n">
        <v>510588</v>
      </c>
      <c r="L325" s="30" t="n">
        <v>50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66.44</v>
      </c>
      <c r="P325" s="31" t="n">
        <v>14.73</v>
      </c>
      <c r="Q325" s="31" t="n">
        <v>805.74</v>
      </c>
      <c r="R325" s="30" t="inlineStr">
        <is>
          <t>Near 52W High Breakout</t>
        </is>
      </c>
      <c r="S325" s="30" t="inlineStr">
        <is>
          <t>Nifty 50</t>
        </is>
      </c>
      <c r="T325" s="31" t="n">
        <v>-6.7</v>
      </c>
      <c r="U325" s="31" t="n">
        <v>12.1</v>
      </c>
      <c r="V325" s="31" t="n">
        <v>20.15</v>
      </c>
      <c r="W325" s="31" t="n">
        <v>14.48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Yes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IF(B326=0,"",RANK(B326,$B$2:$B$371,0))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ASIANENE</t>
        </is>
      </c>
      <c r="D326" s="30" t="inlineStr">
        <is>
          <t>Asian Energy Services Ltd</t>
        </is>
      </c>
      <c r="E326" s="30" t="inlineStr">
        <is>
          <t>energy</t>
        </is>
      </c>
      <c r="F326" s="30" t="inlineStr">
        <is>
          <t>oil drilling / allied services</t>
        </is>
      </c>
      <c r="G326" s="30" t="inlineStr">
        <is>
          <t>smallcap</t>
        </is>
      </c>
      <c r="H326" s="31" t="n">
        <v>2691.89</v>
      </c>
      <c r="I326" s="31" t="n">
        <v>535.5</v>
      </c>
      <c r="J326" s="31" t="n">
        <v>-3.26</v>
      </c>
      <c r="K326" s="31" t="n">
        <v>475711</v>
      </c>
      <c r="L326" s="30" t="n">
        <v>86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75.61</v>
      </c>
      <c r="P326" s="31" t="n">
        <v>24.85</v>
      </c>
      <c r="Q326" s="31" t="n">
        <v>391.91</v>
      </c>
      <c r="R326" s="30" t="inlineStr">
        <is>
          <t>Near 52W High Breakout</t>
        </is>
      </c>
      <c r="S326" s="30" t="inlineStr">
        <is>
          <t>Nifty Energy</t>
        </is>
      </c>
      <c r="T326" s="31" t="n">
        <v>8.75</v>
      </c>
      <c r="U326" s="31" t="n">
        <v>88.33</v>
      </c>
      <c r="V326" s="31" t="n">
        <v>73.18000000000001</v>
      </c>
      <c r="W326" s="31" t="n">
        <v>33.39</v>
      </c>
      <c r="X326" s="30" t="inlineStr">
        <is>
          <t>Cyclical in an Upturn</t>
        </is>
      </c>
      <c r="Y326" s="30">
        <f>IF(X326="Growing Industry",10,IF(X326="Cyclical in an Upturn",5,0))</f>
        <v/>
      </c>
      <c r="Z326" s="30" t="inlineStr">
        <is>
          <t>Oligopoly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Yes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Cyclical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Volatile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Above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Blue sky scenario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IF(B327=0,"",RANK(B327,$B$2:$B$371,0))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KILITCH</t>
        </is>
      </c>
      <c r="D327" s="32" t="inlineStr">
        <is>
          <t>Kilitch Drugs (india) Limited</t>
        </is>
      </c>
      <c r="E327" s="30" t="inlineStr">
        <is>
          <t>healthcare</t>
        </is>
      </c>
      <c r="F327" s="30" t="inlineStr">
        <is>
          <t>pharmaceuticals - indian - formulations</t>
        </is>
      </c>
      <c r="G327" s="30" t="inlineStr">
        <is>
          <t>smallcap</t>
        </is>
      </c>
      <c r="H327" s="31" t="n">
        <v>656.86</v>
      </c>
      <c r="I327" s="31" t="n">
        <v>188.45</v>
      </c>
      <c r="J327" s="31" t="n">
        <v>0.3</v>
      </c>
      <c r="K327" s="31" t="n">
        <v>16972</v>
      </c>
      <c r="L327" s="30" t="n">
        <v>7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56.1</v>
      </c>
      <c r="P327" s="31" t="n">
        <v>26.82</v>
      </c>
      <c r="Q327" s="31" t="n">
        <v>139.28</v>
      </c>
      <c r="R327" s="30" t="inlineStr">
        <is>
          <t>Near 52W High Breakout</t>
        </is>
      </c>
      <c r="S327" s="30" t="inlineStr">
        <is>
          <t>Nifty Pharma</t>
        </is>
      </c>
      <c r="T327" s="31" t="n">
        <v>19.47</v>
      </c>
      <c r="U327" s="31" t="n">
        <v>4.68</v>
      </c>
      <c r="V327" s="31" t="n">
        <v>-12.38</v>
      </c>
      <c r="W327" s="31" t="n">
        <v>1.38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Yes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Annuity, Lower One Time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1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IF(B328=0,"",RANK(B328,$B$2:$B$371,0))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GODREJAGRO</t>
        </is>
      </c>
      <c r="D328" s="30" t="inlineStr">
        <is>
          <t>Godrej Agrovet Ltd</t>
        </is>
      </c>
      <c r="E328" s="30" t="inlineStr">
        <is>
          <t>fmcg</t>
        </is>
      </c>
      <c r="F328" s="30" t="inlineStr">
        <is>
          <t>food - processing - indian</t>
        </is>
      </c>
      <c r="G328" s="30" t="inlineStr">
        <is>
          <t>midcap</t>
        </is>
      </c>
      <c r="H328" s="31" t="n">
        <v>12957.37</v>
      </c>
      <c r="I328" s="31" t="n">
        <v>674.65</v>
      </c>
      <c r="J328" s="31" t="n">
        <v>0.16</v>
      </c>
      <c r="K328" s="31" t="n">
        <v>322590</v>
      </c>
      <c r="L328" s="30" t="n">
        <v>5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69.04000000000001</v>
      </c>
      <c r="P328" s="31" t="n">
        <v>19.57</v>
      </c>
      <c r="Q328" s="31" t="n">
        <v>557.88</v>
      </c>
      <c r="R328" s="30" t="inlineStr">
        <is>
          <t>Earnings / Momentum Support</t>
        </is>
      </c>
      <c r="S328" s="30" t="inlineStr">
        <is>
          <t>Nifty FMCG</t>
        </is>
      </c>
      <c r="T328" s="31" t="n">
        <v>-16.99</v>
      </c>
      <c r="U328" s="31" t="n">
        <v>-16.95</v>
      </c>
      <c r="V328" s="31" t="n">
        <v>0.05</v>
      </c>
      <c r="W328" s="31" t="n">
        <v>0.83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B2C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Annuity, Lower One Time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Between 0.7 to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IF(B329=0,"",RANK(B329,$B$2:$B$371,0))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STEELXIND</t>
        </is>
      </c>
      <c r="D329" s="32" t="inlineStr">
        <is>
          <t>Steel Exchange India Ltd</t>
        </is>
      </c>
      <c r="E329" s="30" t="inlineStr">
        <is>
          <t>metals &amp; mining</t>
        </is>
      </c>
      <c r="F329" s="30" t="inlineStr">
        <is>
          <t>steel - medium / small</t>
        </is>
      </c>
      <c r="G329" s="30" t="inlineStr">
        <is>
          <t>smallcap</t>
        </is>
      </c>
      <c r="H329" s="31" t="n">
        <v>1470.67</v>
      </c>
      <c r="I329" s="31" t="n">
        <v>12</v>
      </c>
      <c r="J329" s="31" t="n">
        <v>4.08</v>
      </c>
      <c r="K329" s="31" t="n">
        <v>57173683</v>
      </c>
      <c r="L329" s="30" t="n">
        <v>28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58.8</v>
      </c>
      <c r="P329" s="31" t="n">
        <v>13.71</v>
      </c>
      <c r="Q329" s="31" t="n">
        <v>9.75</v>
      </c>
      <c r="R329" s="30" t="inlineStr">
        <is>
          <t>Volume Spike / Accumulation</t>
        </is>
      </c>
      <c r="S329" s="30" t="inlineStr">
        <is>
          <t>Nifty Metal</t>
        </is>
      </c>
      <c r="T329" s="31" t="n">
        <v>42.08</v>
      </c>
      <c r="U329" s="31" t="n">
        <v>12.99</v>
      </c>
      <c r="V329" s="31" t="n">
        <v>-20.47</v>
      </c>
      <c r="W329" s="31" t="n">
        <v>7.93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Cyclical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IF(B330=0,"",RANK(B330,$B$2:$B$371,0))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LUMAXTECH</t>
        </is>
      </c>
      <c r="D330" s="30" t="inlineStr">
        <is>
          <t>Lumax Auto Technologies Limited</t>
        </is>
      </c>
      <c r="E330" s="30" t="inlineStr">
        <is>
          <t>auto</t>
        </is>
      </c>
      <c r="F330" s="30" t="inlineStr">
        <is>
          <t>auto ancillaries</t>
        </is>
      </c>
      <c r="G330" s="30" t="inlineStr">
        <is>
          <t>midcap</t>
        </is>
      </c>
      <c r="H330" s="31" t="n">
        <v>13330.97</v>
      </c>
      <c r="I330" s="31" t="n">
        <v>1990.6</v>
      </c>
      <c r="J330" s="31" t="n">
        <v>1.77</v>
      </c>
      <c r="K330" s="31" t="n">
        <v>117985</v>
      </c>
      <c r="L330" s="30" t="n">
        <v>58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64.84999999999999</v>
      </c>
      <c r="P330" s="31" t="n">
        <v>20.54</v>
      </c>
      <c r="Q330" s="31" t="n">
        <v>1547.16</v>
      </c>
      <c r="R330" s="30" t="inlineStr">
        <is>
          <t>Near 52W High Breakout</t>
        </is>
      </c>
      <c r="S330" s="30" t="inlineStr">
        <is>
          <t>Nifty Auto</t>
        </is>
      </c>
      <c r="T330" s="31" t="n">
        <v>16.28</v>
      </c>
      <c r="U330" s="31" t="n">
        <v>93.43000000000001</v>
      </c>
      <c r="V330" s="31" t="n">
        <v>66.34999999999999</v>
      </c>
      <c r="W330" s="31" t="n">
        <v>17.57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Negative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Blue sky scenario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Between 0.7 to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IF(B331=0,"",RANK(B331,$B$2:$B$371,0))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GALAXYSURF</t>
        </is>
      </c>
      <c r="D331" s="30" t="inlineStr">
        <is>
          <t>Galaxy Surfactants Ltd</t>
        </is>
      </c>
      <c r="E331" s="30" t="inlineStr">
        <is>
          <t>chemicals</t>
        </is>
      </c>
      <c r="F331" s="30" t="inlineStr">
        <is>
          <t>chemicals</t>
        </is>
      </c>
      <c r="G331" s="30" t="inlineStr">
        <is>
          <t>midcap</t>
        </is>
      </c>
      <c r="H331" s="31" t="n">
        <v>7984.06</v>
      </c>
      <c r="I331" s="31" t="n">
        <v>2288.9</v>
      </c>
      <c r="J331" s="31" t="n">
        <v>1.64</v>
      </c>
      <c r="K331" s="31" t="n">
        <v>49913</v>
      </c>
      <c r="L331" s="30" t="n">
        <v>29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60.22</v>
      </c>
      <c r="P331" s="31" t="n">
        <v>25.72</v>
      </c>
      <c r="Q331" s="31" t="n">
        <v>2017.94</v>
      </c>
      <c r="R331" s="30" t="inlineStr">
        <is>
          <t>Earnings / Momentum Support</t>
        </is>
      </c>
      <c r="S331" s="30" t="inlineStr">
        <is>
          <t>Nifty 50</t>
        </is>
      </c>
      <c r="T331" s="31" t="n">
        <v>-6.7</v>
      </c>
      <c r="U331" s="31" t="n">
        <v>-3.1</v>
      </c>
      <c r="V331" s="31" t="n">
        <v>3.86</v>
      </c>
      <c r="W331" s="31" t="n">
        <v>8.029999999999999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Negative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IF(B332=0,"",RANK(B332,$B$2:$B$371,0))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MAITHANALL</t>
        </is>
      </c>
      <c r="D332" s="32" t="inlineStr">
        <is>
          <t>Maithan Alloys Limited</t>
        </is>
      </c>
      <c r="E332" s="30" t="inlineStr">
        <is>
          <t>metals &amp; mining</t>
        </is>
      </c>
      <c r="F332" s="30" t="inlineStr">
        <is>
          <t>mining / minerals / metals</t>
        </is>
      </c>
      <c r="G332" s="30" t="inlineStr">
        <is>
          <t>smallcap</t>
        </is>
      </c>
      <c r="H332" s="31" t="n">
        <v>3089.32</v>
      </c>
      <c r="I332" s="31" t="n">
        <v>1077</v>
      </c>
      <c r="J332" s="31" t="n">
        <v>1.49</v>
      </c>
      <c r="K332" s="31" t="n">
        <v>283553</v>
      </c>
      <c r="L332" s="30" t="n">
        <v>6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57.94</v>
      </c>
      <c r="P332" s="31" t="n">
        <v>26.11</v>
      </c>
      <c r="Q332" s="31" t="n">
        <v>873.73</v>
      </c>
      <c r="R332" s="30" t="inlineStr">
        <is>
          <t>Volume Spike / Accumulation</t>
        </is>
      </c>
      <c r="S332" s="30" t="inlineStr">
        <is>
          <t>Nifty Metal</t>
        </is>
      </c>
      <c r="T332" s="31" t="n">
        <v>42.08</v>
      </c>
      <c r="U332" s="31" t="n">
        <v>-3.9</v>
      </c>
      <c r="V332" s="31" t="n">
        <v>-32.37</v>
      </c>
      <c r="W332" s="31" t="n">
        <v>1.23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Cyclical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Volatile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IF(B333=0,"",RANK(B333,$B$2:$B$371,0))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JAMNAAUTO</t>
        </is>
      </c>
      <c r="D333" s="30" t="inlineStr">
        <is>
          <t>Jamna Auto Industries Limited</t>
        </is>
      </c>
      <c r="E333" s="30" t="inlineStr">
        <is>
          <t>auto</t>
        </is>
      </c>
      <c r="F333" s="30" t="inlineStr">
        <is>
          <t>auto ancillaries</t>
        </is>
      </c>
      <c r="G333" s="30" t="inlineStr">
        <is>
          <t>midcap</t>
        </is>
      </c>
      <c r="H333" s="31" t="n">
        <v>5154.05</v>
      </c>
      <c r="I333" s="31" t="n">
        <v>128.93</v>
      </c>
      <c r="J333" s="31" t="n">
        <v>0.01</v>
      </c>
      <c r="K333" s="31" t="n">
        <v>1789554</v>
      </c>
      <c r="L333" s="30" t="n">
        <v>30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51.89</v>
      </c>
      <c r="P333" s="31" t="n">
        <v>30.22</v>
      </c>
      <c r="Q333" s="31" t="n">
        <v>112.8</v>
      </c>
      <c r="R333" s="30" t="inlineStr">
        <is>
          <t>Earnings / Momentum Support</t>
        </is>
      </c>
      <c r="S333" s="30" t="inlineStr">
        <is>
          <t>Nifty Auto</t>
        </is>
      </c>
      <c r="T333" s="31" t="n">
        <v>16.28</v>
      </c>
      <c r="U333" s="31" t="n">
        <v>40.75</v>
      </c>
      <c r="V333" s="31" t="n">
        <v>21.04</v>
      </c>
      <c r="W333" s="31" t="n">
        <v>8.369999999999999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1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IF(B334=0,"",RANK(B334,$B$2:$B$371,0))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MAHSEAMLES</t>
        </is>
      </c>
      <c r="D334" s="32" t="inlineStr">
        <is>
          <t>Maharashtra Seamless Limited</t>
        </is>
      </c>
      <c r="E334" s="30" t="inlineStr">
        <is>
          <t>metals &amp; mining</t>
        </is>
      </c>
      <c r="F334" s="30" t="inlineStr">
        <is>
          <t>steel - medium / small</t>
        </is>
      </c>
      <c r="G334" s="30" t="inlineStr">
        <is>
          <t>midcap</t>
        </is>
      </c>
      <c r="H334" s="31" t="n">
        <v>9120.66</v>
      </c>
      <c r="I334" s="31" t="n">
        <v>676.2</v>
      </c>
      <c r="J334" s="31" t="n">
        <v>-0.65</v>
      </c>
      <c r="K334" s="31" t="n">
        <v>167344</v>
      </c>
      <c r="L334" s="30" t="n">
        <v>8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66.56</v>
      </c>
      <c r="P334" s="31" t="n">
        <v>19.82</v>
      </c>
      <c r="Q334" s="31" t="n">
        <v>581.17</v>
      </c>
      <c r="R334" s="30" t="inlineStr">
        <is>
          <t>Near 52W High Breakout</t>
        </is>
      </c>
      <c r="S334" s="30" t="inlineStr">
        <is>
          <t>Nifty Metal</t>
        </is>
      </c>
      <c r="T334" s="31" t="n">
        <v>42.08</v>
      </c>
      <c r="U334" s="31" t="n">
        <v>-1.32</v>
      </c>
      <c r="V334" s="31" t="n">
        <v>-30.55</v>
      </c>
      <c r="W334" s="31" t="n">
        <v>2.24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Between 12 to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IF(B335=0,"",RANK(B335,$B$2:$B$371,0))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CHALET</t>
        </is>
      </c>
      <c r="D335" s="32" t="inlineStr">
        <is>
          <t>Chalet Hotels Ltd</t>
        </is>
      </c>
      <c r="E335" s="30" t="inlineStr">
        <is>
          <t>services</t>
        </is>
      </c>
      <c r="F335" s="30" t="inlineStr">
        <is>
          <t>hotels</t>
        </is>
      </c>
      <c r="G335" s="30" t="inlineStr">
        <is>
          <t>midcap</t>
        </is>
      </c>
      <c r="H335" s="31" t="n">
        <v>19660.2</v>
      </c>
      <c r="I335" s="31" t="n">
        <v>889.7</v>
      </c>
      <c r="J335" s="31" t="n">
        <v>-0.9</v>
      </c>
      <c r="K335" s="31" t="n">
        <v>87296</v>
      </c>
      <c r="L335" s="30" t="n">
        <v>9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58.56</v>
      </c>
      <c r="P335" s="31" t="n">
        <v>11.71</v>
      </c>
      <c r="Q335" s="31" t="n">
        <v>740.1900000000001</v>
      </c>
      <c r="R335" s="30" t="inlineStr">
        <is>
          <t>Earnings / Momentum Support</t>
        </is>
      </c>
      <c r="S335" s="30" t="inlineStr">
        <is>
          <t>Nifty 50</t>
        </is>
      </c>
      <c r="T335" s="31" t="n">
        <v>-6.7</v>
      </c>
      <c r="U335" s="31" t="n">
        <v>-12.83</v>
      </c>
      <c r="V335" s="31" t="n">
        <v>-6.57</v>
      </c>
      <c r="W335" s="31" t="n">
        <v>2.56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IF(B336=0,"",RANK(B336,$B$2:$B$371,0))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VENUSPIPES</t>
        </is>
      </c>
      <c r="D336" s="32" t="inlineStr">
        <is>
          <t>Venus Pipes &amp; Tubes Ltd</t>
        </is>
      </c>
      <c r="E336" s="30" t="inlineStr">
        <is>
          <t>metals &amp; mining</t>
        </is>
      </c>
      <c r="F336" s="30" t="inlineStr">
        <is>
          <t>steel - medium / small</t>
        </is>
      </c>
      <c r="G336" s="30" t="inlineStr">
        <is>
          <t>smallcap</t>
        </is>
      </c>
      <c r="H336" s="31" t="n">
        <v>4039.43</v>
      </c>
      <c r="I336" s="31" t="n">
        <v>1930.1</v>
      </c>
      <c r="J336" s="31" t="n">
        <v>-1.02</v>
      </c>
      <c r="K336" s="31" t="n">
        <v>287398</v>
      </c>
      <c r="L336" s="30" t="n">
        <v>57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71.59</v>
      </c>
      <c r="P336" s="31" t="n">
        <v>31.88</v>
      </c>
      <c r="Q336" s="31" t="n">
        <v>1487.97</v>
      </c>
      <c r="R336" s="30" t="inlineStr">
        <is>
          <t>Volume Spike &amp; Near 52W High Breakout</t>
        </is>
      </c>
      <c r="S336" s="30" t="inlineStr">
        <is>
          <t>Nifty Metal</t>
        </is>
      </c>
      <c r="T336" s="31" t="n">
        <v>42.08</v>
      </c>
      <c r="U336" s="31" t="n">
        <v>31.53</v>
      </c>
      <c r="V336" s="31" t="n">
        <v>-7.43</v>
      </c>
      <c r="W336" s="31" t="n">
        <v>17.29</v>
      </c>
      <c r="X336" s="30" t="inlineStr">
        <is>
          <t>Cyclical in an Upturn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Cyclical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Volatile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Yes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20 to 40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IF(B337=0,"",RANK(B337,$B$2:$B$371,0))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VARROC</t>
        </is>
      </c>
      <c r="D337" s="30" t="inlineStr">
        <is>
          <t>Varroc Engineering Ltd</t>
        </is>
      </c>
      <c r="E337" s="30" t="inlineStr">
        <is>
          <t>auto</t>
        </is>
      </c>
      <c r="F337" s="30" t="inlineStr">
        <is>
          <t>auto ancillaries</t>
        </is>
      </c>
      <c r="G337" s="30" t="inlineStr">
        <is>
          <t>midcap</t>
        </is>
      </c>
      <c r="H337" s="31" t="n">
        <v>12978.44</v>
      </c>
      <c r="I337" s="31" t="n">
        <v>839.4</v>
      </c>
      <c r="J337" s="31" t="n">
        <v>-1.18</v>
      </c>
      <c r="K337" s="31" t="n">
        <v>163818</v>
      </c>
      <c r="L337" s="30" t="n">
        <v>75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76.2</v>
      </c>
      <c r="P337" s="31" t="n">
        <v>53.28</v>
      </c>
      <c r="Q337" s="31" t="n">
        <v>683.62</v>
      </c>
      <c r="R337" s="30" t="inlineStr">
        <is>
          <t>Near 52W High Breakout</t>
        </is>
      </c>
      <c r="S337" s="30" t="inlineStr">
        <is>
          <t>Nifty Auto</t>
        </is>
      </c>
      <c r="T337" s="31" t="n">
        <v>16.28</v>
      </c>
      <c r="U337" s="31" t="n">
        <v>56.51</v>
      </c>
      <c r="V337" s="31" t="n">
        <v>34.59</v>
      </c>
      <c r="W337" s="31" t="n">
        <v>25.02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Above 40</t>
        </is>
      </c>
      <c r="AY337" s="30">
        <f>IF(AX337="Above 40",20,IF(AX337="20 to 40",10,IF(AX337="0 to 20",-5,0)))</f>
        <v/>
      </c>
      <c r="AZ337" s="30" t="inlineStr">
        <is>
          <t>Above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Blue sky scenario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IF(B338=0,"",RANK(B338,$B$2:$B$371,0))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ALLCARGO</t>
        </is>
      </c>
      <c r="D338" s="32" t="inlineStr">
        <is>
          <t>Allcargo Logistics Limited</t>
        </is>
      </c>
      <c r="E338" s="30" t="inlineStr">
        <is>
          <t>transportation</t>
        </is>
      </c>
      <c r="F338" s="30" t="inlineStr">
        <is>
          <t>miscellaneous</t>
        </is>
      </c>
      <c r="G338" s="30" t="inlineStr">
        <is>
          <t>smallcap</t>
        </is>
      </c>
      <c r="H338" s="31" t="n">
        <v>1950.11</v>
      </c>
      <c r="I338" s="31" t="n">
        <v>12.75</v>
      </c>
      <c r="J338" s="31" t="n">
        <v>-2.07</v>
      </c>
      <c r="K338" s="31" t="n">
        <v>22061311</v>
      </c>
      <c r="L338" s="30" t="n">
        <v>5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62.54</v>
      </c>
      <c r="P338" s="31" t="n">
        <v>26.67</v>
      </c>
      <c r="Q338" s="31" t="n">
        <v>8.859999999999999</v>
      </c>
      <c r="R338" s="30" t="inlineStr">
        <is>
          <t>Earnings / Momentum Support</t>
        </is>
      </c>
      <c r="S338" s="30" t="inlineStr">
        <is>
          <t>Nifty 50</t>
        </is>
      </c>
      <c r="T338" s="31" t="n">
        <v>-6.7</v>
      </c>
      <c r="U338" s="31" t="n">
        <v>-59.41</v>
      </c>
      <c r="V338" s="31" t="n">
        <v>-56.49</v>
      </c>
      <c r="W338" s="31" t="n">
        <v>0.96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20 to 40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More than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IF(B339=0,"",RANK(B339,$B$2:$B$371,0))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PRABHA</t>
        </is>
      </c>
      <c r="D339" s="32" t="inlineStr">
        <is>
          <t>Prabha Energy Ltd</t>
        </is>
      </c>
      <c r="E339" s="30" t="inlineStr">
        <is>
          <t>energy</t>
        </is>
      </c>
      <c r="F339" s="30" t="inlineStr">
        <is>
          <t>oil drilling / allied services</t>
        </is>
      </c>
      <c r="G339" s="30" t="inlineStr">
        <is>
          <t>smallcap</t>
        </is>
      </c>
      <c r="H339" s="31" t="n">
        <v>3716.35</v>
      </c>
      <c r="I339" s="31" t="n">
        <v>246.58</v>
      </c>
      <c r="J339" s="31" t="n">
        <v>-2.75</v>
      </c>
      <c r="K339" s="31" t="n">
        <v>597234</v>
      </c>
      <c r="L339" s="30" t="n">
        <v>44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73.81999999999999</v>
      </c>
      <c r="P339" s="31" t="n">
        <v>24.78</v>
      </c>
      <c r="Q339" s="31" t="n">
        <v>179.91</v>
      </c>
      <c r="R339" s="30" t="inlineStr">
        <is>
          <t>Near 52W High Breakout</t>
        </is>
      </c>
      <c r="S339" s="30" t="inlineStr">
        <is>
          <t>Nifty Energy</t>
        </is>
      </c>
      <c r="T339" s="31" t="n">
        <v>8.75</v>
      </c>
      <c r="U339" s="31" t="n">
        <v>-5.99</v>
      </c>
      <c r="V339" s="31" t="n">
        <v>-13.55</v>
      </c>
      <c r="W339" s="31" t="n">
        <v>12.81</v>
      </c>
      <c r="X339" s="30" t="inlineStr">
        <is>
          <t>Cyclical in an Upturn</t>
        </is>
      </c>
      <c r="Y339" s="30">
        <f>IF(X339="Growing Industry",10,IF(X339="Cyclical in an Upturn",5,0))</f>
        <v/>
      </c>
      <c r="Z339" s="30" t="inlineStr">
        <is>
          <t>Oligopoly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Yes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Cyclical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Volatile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Yes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20 to 40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IF(B340=0,"",RANK(B340,$B$2:$B$371,0))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ONEPOINT</t>
        </is>
      </c>
      <c r="D340" s="30" t="inlineStr">
        <is>
          <t>One Point One Solutions Ltd</t>
        </is>
      </c>
      <c r="E340" s="30" t="inlineStr">
        <is>
          <t>i.t</t>
        </is>
      </c>
      <c r="F340" s="30" t="inlineStr">
        <is>
          <t>computers - software - medium / small</t>
        </is>
      </c>
      <c r="G340" s="30" t="inlineStr">
        <is>
          <t>smallcap</t>
        </is>
      </c>
      <c r="H340" s="31" t="n">
        <v>1481.91</v>
      </c>
      <c r="I340" s="31" t="n">
        <v>58.07</v>
      </c>
      <c r="J340" s="31" t="n">
        <v>3.03</v>
      </c>
      <c r="K340" s="31" t="n">
        <v>847505</v>
      </c>
      <c r="L340" s="30" t="n">
        <v>23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54.54</v>
      </c>
      <c r="P340" s="31" t="n">
        <v>11.02</v>
      </c>
      <c r="Q340" s="31" t="n">
        <v>46.29</v>
      </c>
      <c r="R340" s="30" t="inlineStr">
        <is>
          <t>Earnings / Momentum Support</t>
        </is>
      </c>
      <c r="S340" s="30" t="inlineStr">
        <is>
          <t>Nifty IT</t>
        </is>
      </c>
      <c r="T340" s="31" t="n">
        <v>-19.93</v>
      </c>
      <c r="U340" s="31" t="n">
        <v>31.41</v>
      </c>
      <c r="V340" s="31" t="n">
        <v>64.12</v>
      </c>
      <c r="W340" s="31" t="n">
        <v>6.93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Annuity, Lower One Time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Negative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More than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Less than 1.5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IF(B341=0,"",RANK(B341,$B$2:$B$371,0))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KOTHARIPET</t>
        </is>
      </c>
      <c r="D341" s="32" t="inlineStr">
        <is>
          <t>Kothari Petrochemicals Limited</t>
        </is>
      </c>
      <c r="E341" s="30" t="inlineStr">
        <is>
          <t>energy</t>
        </is>
      </c>
      <c r="F341" s="30" t="inlineStr">
        <is>
          <t>petrochemicals</t>
        </is>
      </c>
      <c r="G341" s="30" t="inlineStr">
        <is>
          <t>smallcap</t>
        </is>
      </c>
      <c r="H341" s="31" t="n">
        <v>849.09</v>
      </c>
      <c r="I341" s="31" t="n">
        <v>148.9</v>
      </c>
      <c r="J341" s="31" t="n">
        <v>3.2</v>
      </c>
      <c r="K341" s="31" t="n">
        <v>251482</v>
      </c>
      <c r="L341" s="30" t="n">
        <v>6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61.1</v>
      </c>
      <c r="P341" s="31" t="n">
        <v>24.16</v>
      </c>
      <c r="Q341" s="31" t="n">
        <v>113.29</v>
      </c>
      <c r="R341" s="30" t="inlineStr">
        <is>
          <t>Volume Spike &amp; Near 52W High Breakout</t>
        </is>
      </c>
      <c r="S341" s="30" t="inlineStr">
        <is>
          <t>Nifty Energy</t>
        </is>
      </c>
      <c r="T341" s="31" t="n">
        <v>8.75</v>
      </c>
      <c r="U341" s="31" t="n">
        <v>-10.43</v>
      </c>
      <c r="V341" s="31" t="n">
        <v>-17.63</v>
      </c>
      <c r="W341" s="31" t="n">
        <v>1.02</v>
      </c>
      <c r="X341" s="30" t="inlineStr">
        <is>
          <t>Cyclical in an Upturn</t>
        </is>
      </c>
      <c r="Y341" s="30">
        <f>IF(X341="Growing Industry",10,IF(X341="Cyclical in an Upturn",5,0))</f>
        <v/>
      </c>
      <c r="Z341" s="30" t="inlineStr">
        <is>
          <t>Oligopoly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Cyclical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Volatile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IF(B342=0,"",RANK(B342,$B$2:$B$371,0))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0" t="inlineStr">
        <is>
          <t>STYLEBAAZA</t>
        </is>
      </c>
      <c r="D342" s="30" t="inlineStr">
        <is>
          <t>Baazar Style Retail Ltd</t>
        </is>
      </c>
      <c r="E342" s="30" t="inlineStr">
        <is>
          <t>consumer discretionary</t>
        </is>
      </c>
      <c r="F342" s="30" t="inlineStr">
        <is>
          <t>trading</t>
        </is>
      </c>
      <c r="G342" s="30" t="inlineStr">
        <is>
          <t>smallcap</t>
        </is>
      </c>
      <c r="H342" s="31" t="n">
        <v>2948.03</v>
      </c>
      <c r="I342" s="31" t="n">
        <v>397.7</v>
      </c>
      <c r="J342" s="31" t="n">
        <v>2.69</v>
      </c>
      <c r="K342" s="31" t="n">
        <v>821639</v>
      </c>
      <c r="L342" s="30" t="n">
        <v>26</v>
      </c>
      <c r="M342" s="30" t="inlineStr">
        <is>
          <t>Outperforming</t>
        </is>
      </c>
      <c r="N342" s="31">
        <f>IF(M342="Underperforming",-5,IF(L342&gt;=95,15,IF(L342&gt;=90,10,IF(L342&gt;=80,5,0))))</f>
        <v/>
      </c>
      <c r="O342" s="31" t="n">
        <v>59.56</v>
      </c>
      <c r="P342" s="31" t="n">
        <v>17.19</v>
      </c>
      <c r="Q342" s="31" t="n">
        <v>291.97</v>
      </c>
      <c r="R342" s="30" t="inlineStr">
        <is>
          <t>Near 52W High Breakout</t>
        </is>
      </c>
      <c r="S342" s="30" t="inlineStr">
        <is>
          <t>Nifty 50</t>
        </is>
      </c>
      <c r="T342" s="31" t="n">
        <v>-6.7</v>
      </c>
      <c r="U342" s="31" t="n">
        <v>7.43</v>
      </c>
      <c r="V342" s="31" t="n">
        <v>15.14</v>
      </c>
      <c r="W342" s="31" t="n">
        <v>7.55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Yes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Blue sky scenario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More than 1.2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IF(B343=0,"",RANK(B343,$B$2:$B$371,0))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SANATHAN</t>
        </is>
      </c>
      <c r="D343" s="32" t="inlineStr">
        <is>
          <t>Sanathan Textiles Ltd</t>
        </is>
      </c>
      <c r="E343" s="30" t="inlineStr">
        <is>
          <t>textiles</t>
        </is>
      </c>
      <c r="F343" s="30" t="inlineStr">
        <is>
          <t>textiles - cotton/blended</t>
        </is>
      </c>
      <c r="G343" s="30" t="inlineStr">
        <is>
          <t>smallcap</t>
        </is>
      </c>
      <c r="H343" s="31" t="n">
        <v>3971.21</v>
      </c>
      <c r="I343" s="31" t="n">
        <v>480.35</v>
      </c>
      <c r="J343" s="31" t="n">
        <v>2.09</v>
      </c>
      <c r="K343" s="31" t="n">
        <v>243757</v>
      </c>
      <c r="L343" s="30" t="n">
        <v>10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60.32</v>
      </c>
      <c r="P343" s="31" t="n">
        <v>18.38</v>
      </c>
      <c r="Q343" s="31" t="n">
        <v>372.08</v>
      </c>
      <c r="R343" s="30" t="inlineStr">
        <is>
          <t>Volume Spike / Accumulation</t>
        </is>
      </c>
      <c r="S343" s="30" t="inlineStr">
        <is>
          <t>Nifty 50</t>
        </is>
      </c>
      <c r="T343" s="31" t="n">
        <v>-6.7</v>
      </c>
      <c r="U343" s="31" t="n">
        <v>-6.98</v>
      </c>
      <c r="V343" s="31" t="n">
        <v>-0.3</v>
      </c>
      <c r="W343" s="31" t="n">
        <v>2.82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Yes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Between 0.7 to 1.2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IF(B344=0,"",RANK(B344,$B$2:$B$371,0))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TATVA</t>
        </is>
      </c>
      <c r="D344" s="30" t="inlineStr">
        <is>
          <t>Tatva Chintan Pharma Chem Ltd</t>
        </is>
      </c>
      <c r="E344" s="30" t="inlineStr">
        <is>
          <t>chemicals</t>
        </is>
      </c>
      <c r="F344" s="30" t="inlineStr">
        <is>
          <t>chemicals</t>
        </is>
      </c>
      <c r="G344" s="30" t="inlineStr">
        <is>
          <t>smallcap</t>
        </is>
      </c>
      <c r="H344" s="31" t="n">
        <v>3930.33</v>
      </c>
      <c r="I344" s="31" t="n">
        <v>1688.4</v>
      </c>
      <c r="J344" s="31" t="n">
        <v>0.49</v>
      </c>
      <c r="K344" s="31" t="n">
        <v>32908</v>
      </c>
      <c r="L344" s="30" t="n">
        <v>70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65.94</v>
      </c>
      <c r="P344" s="31" t="n">
        <v>33.87</v>
      </c>
      <c r="Q344" s="31" t="n">
        <v>1374.05</v>
      </c>
      <c r="R344" s="30" t="inlineStr">
        <is>
          <t>Earnings / Momentum Support</t>
        </is>
      </c>
      <c r="S344" s="30" t="inlineStr">
        <is>
          <t>Nifty 50</t>
        </is>
      </c>
      <c r="T344" s="31" t="n">
        <v>-6.7</v>
      </c>
      <c r="U344" s="31" t="n">
        <v>65.95</v>
      </c>
      <c r="V344" s="31" t="n">
        <v>77.87</v>
      </c>
      <c r="W344" s="31" t="n">
        <v>21.16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IF(B345=0,"",RANK(B345,$B$2:$B$371,0))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SPLPETRO</t>
        </is>
      </c>
      <c r="D345" s="32" t="inlineStr">
        <is>
          <t>Supreme Petrochem Ltd</t>
        </is>
      </c>
      <c r="E345" s="30" t="inlineStr">
        <is>
          <t>energy</t>
        </is>
      </c>
      <c r="F345" s="30" t="inlineStr">
        <is>
          <t>petrochemicals</t>
        </is>
      </c>
      <c r="G345" s="30" t="inlineStr">
        <is>
          <t>midcap</t>
        </is>
      </c>
      <c r="H345" s="31" t="n">
        <v>15577.34</v>
      </c>
      <c r="I345" s="31" t="n">
        <v>813.55</v>
      </c>
      <c r="J345" s="31" t="n">
        <v>-1.79</v>
      </c>
      <c r="K345" s="31" t="n">
        <v>196496</v>
      </c>
      <c r="L345" s="30" t="n">
        <v>18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62.41</v>
      </c>
      <c r="P345" s="31" t="n">
        <v>26.9</v>
      </c>
      <c r="Q345" s="31" t="n">
        <v>639.55</v>
      </c>
      <c r="R345" s="30" t="inlineStr">
        <is>
          <t>Earnings / Momentum Support</t>
        </is>
      </c>
      <c r="S345" s="30" t="inlineStr">
        <is>
          <t>Nifty Energy</t>
        </is>
      </c>
      <c r="T345" s="31" t="n">
        <v>8.75</v>
      </c>
      <c r="U345" s="31" t="n">
        <v>3.15</v>
      </c>
      <c r="V345" s="31" t="n">
        <v>-5.15</v>
      </c>
      <c r="W345" s="31" t="n">
        <v>5.56</v>
      </c>
      <c r="X345" s="30" t="inlineStr">
        <is>
          <t>Cyclical in an Upturn</t>
        </is>
      </c>
      <c r="Y345" s="30">
        <f>IF(X345="Growing Industry",10,IF(X345="Cyclical in an Upturn",5,0))</f>
        <v/>
      </c>
      <c r="Z345" s="30" t="inlineStr">
        <is>
          <t>Oligopoly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Yes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Cyclical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Volatile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20 to 40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IF(B346=0,"",RANK(B346,$B$2:$B$371,0))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JTLIND</t>
        </is>
      </c>
      <c r="D346" s="32" t="inlineStr">
        <is>
          <t>JTL Industries Ltd</t>
        </is>
      </c>
      <c r="E346" s="30" t="inlineStr">
        <is>
          <t>metals &amp; mining</t>
        </is>
      </c>
      <c r="F346" s="30" t="inlineStr">
        <is>
          <t>steel - medium / small</t>
        </is>
      </c>
      <c r="G346" s="30" t="inlineStr">
        <is>
          <t>smallcap</t>
        </is>
      </c>
      <c r="H346" s="31" t="n">
        <v>3520.05</v>
      </c>
      <c r="I346" s="31" t="n">
        <v>87.8</v>
      </c>
      <c r="J346" s="31" t="n">
        <v>-1.95</v>
      </c>
      <c r="K346" s="31" t="n">
        <v>3517545</v>
      </c>
      <c r="L346" s="30" t="n">
        <v>14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61.06</v>
      </c>
      <c r="P346" s="31" t="n">
        <v>14.47</v>
      </c>
      <c r="Q346" s="31" t="n">
        <v>67.19</v>
      </c>
      <c r="R346" s="30" t="inlineStr">
        <is>
          <t>Near 52W High Breakout</t>
        </is>
      </c>
      <c r="S346" s="30" t="inlineStr">
        <is>
          <t>Nifty Metal</t>
        </is>
      </c>
      <c r="T346" s="31" t="n">
        <v>42.08</v>
      </c>
      <c r="U346" s="31" t="n">
        <v>14.25</v>
      </c>
      <c r="V346" s="31" t="n">
        <v>-19.59</v>
      </c>
      <c r="W346" s="31" t="n">
        <v>4.63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Cyclical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Volatile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IF(B347=0,"",RANK(B347,$B$2:$B$371,0))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ASTEC</t>
        </is>
      </c>
      <c r="D347" s="32" t="inlineStr">
        <is>
          <t>Astec Lifesciences Limited</t>
        </is>
      </c>
      <c r="E347" s="30" t="inlineStr">
        <is>
          <t>chemicals</t>
        </is>
      </c>
      <c r="F347" s="30" t="inlineStr">
        <is>
          <t>pesticides / agrochemicals - indian</t>
        </is>
      </c>
      <c r="G347" s="30" t="inlineStr">
        <is>
          <t>smallcap</t>
        </is>
      </c>
      <c r="H347" s="31" t="n">
        <v>1476.91</v>
      </c>
      <c r="I347" s="31" t="n">
        <v>761</v>
      </c>
      <c r="J347" s="31" t="n">
        <v>14.82</v>
      </c>
      <c r="K347" s="31" t="n">
        <v>5356635</v>
      </c>
      <c r="L347" s="30" t="n">
        <v>2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58.6</v>
      </c>
      <c r="P347" s="31" t="n">
        <v>17.92</v>
      </c>
      <c r="Q347" s="31" t="n">
        <v>559.62</v>
      </c>
      <c r="R347" s="30" t="inlineStr">
        <is>
          <t>Volume Spike / Accumulation</t>
        </is>
      </c>
      <c r="S347" s="30" t="inlineStr">
        <is>
          <t>Nifty 50</t>
        </is>
      </c>
      <c r="T347" s="31" t="n">
        <v>-6.7</v>
      </c>
      <c r="U347" s="31" t="n">
        <v>-10.53</v>
      </c>
      <c r="V347" s="31" t="n">
        <v>-4.1</v>
      </c>
      <c r="W347" s="31" t="n">
        <v>-1.51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Yes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1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Between 0.7 to 1.2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IF(B348=0,"",RANK(B348,$B$2:$B$371,0))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LIKHITHA</t>
        </is>
      </c>
      <c r="D348" s="32" t="inlineStr">
        <is>
          <t>Likhitha Infrastructure Ltd</t>
        </is>
      </c>
      <c r="E348" s="30" t="inlineStr">
        <is>
          <t>realty</t>
        </is>
      </c>
      <c r="F348" s="30" t="inlineStr">
        <is>
          <t>construction</t>
        </is>
      </c>
      <c r="G348" s="30" t="inlineStr">
        <is>
          <t>smallcap</t>
        </is>
      </c>
      <c r="H348" s="31" t="n">
        <v>803.87</v>
      </c>
      <c r="I348" s="31" t="n">
        <v>221.61</v>
      </c>
      <c r="J348" s="31" t="n">
        <v>8.76</v>
      </c>
      <c r="K348" s="31" t="n">
        <v>1147269</v>
      </c>
      <c r="L348" s="30" t="n">
        <v>1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52.28</v>
      </c>
      <c r="P348" s="31" t="n">
        <v>19.21</v>
      </c>
      <c r="Q348" s="31" t="n">
        <v>196.2</v>
      </c>
      <c r="R348" s="30" t="inlineStr">
        <is>
          <t>Volume Spike / Accumulation</t>
        </is>
      </c>
      <c r="S348" s="30" t="inlineStr">
        <is>
          <t>Nifty Realty</t>
        </is>
      </c>
      <c r="T348" s="31" t="n">
        <v>-8.25</v>
      </c>
      <c r="U348" s="31" t="n">
        <v>-18.69</v>
      </c>
      <c r="V348" s="31" t="n">
        <v>-11.38</v>
      </c>
      <c r="W348" s="31" t="n">
        <v>-1.83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Yes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1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IF(B349=0,"",RANK(B349,$B$2:$B$371,0))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IONEXCHANG</t>
        </is>
      </c>
      <c r="D349" s="30" t="inlineStr">
        <is>
          <t>Ion Exchange (India) Ltd</t>
        </is>
      </c>
      <c r="E349" s="30" t="inlineStr">
        <is>
          <t>realty</t>
        </is>
      </c>
      <c r="F349" s="30" t="inlineStr">
        <is>
          <t>engineering - turnkey services</t>
        </is>
      </c>
      <c r="G349" s="30" t="inlineStr">
        <is>
          <t>midcap</t>
        </is>
      </c>
      <c r="H349" s="31" t="n">
        <v>6332.33</v>
      </c>
      <c r="I349" s="31" t="n">
        <v>437.45</v>
      </c>
      <c r="J349" s="31" t="n">
        <v>1.32</v>
      </c>
      <c r="K349" s="31" t="n">
        <v>786019</v>
      </c>
      <c r="L349" s="30" t="n">
        <v>7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59.06</v>
      </c>
      <c r="P349" s="31" t="n">
        <v>19.76</v>
      </c>
      <c r="Q349" s="31" t="n">
        <v>355.25</v>
      </c>
      <c r="R349" s="30" t="inlineStr">
        <is>
          <t>Volume Spike / Accumulation</t>
        </is>
      </c>
      <c r="S349" s="30" t="inlineStr">
        <is>
          <t>Nifty Realty</t>
        </is>
      </c>
      <c r="T349" s="31" t="n">
        <v>-8.25</v>
      </c>
      <c r="U349" s="31" t="n">
        <v>-5.54</v>
      </c>
      <c r="V349" s="31" t="n">
        <v>2.96</v>
      </c>
      <c r="W349" s="31" t="n">
        <v>1.62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Yes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1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IF(B350=0,"",RANK(B350,$B$2:$B$371,0))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PFOCUS</t>
        </is>
      </c>
      <c r="D350" s="30" t="inlineStr">
        <is>
          <t>Prime Focus Limited</t>
        </is>
      </c>
      <c r="E350" s="30" t="inlineStr">
        <is>
          <t>realty</t>
        </is>
      </c>
      <c r="F350" s="30" t="inlineStr">
        <is>
          <t>miscellaneous</t>
        </is>
      </c>
      <c r="G350" s="30" t="inlineStr">
        <is>
          <t>largecap</t>
        </is>
      </c>
      <c r="H350" s="31" t="n">
        <v>24315.8</v>
      </c>
      <c r="I350" s="31" t="n">
        <v>316.3</v>
      </c>
      <c r="J350" s="31" t="n">
        <v>1.01</v>
      </c>
      <c r="K350" s="31" t="n">
        <v>761243</v>
      </c>
      <c r="L350" s="30" t="n">
        <v>60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62.94</v>
      </c>
      <c r="P350" s="31" t="n">
        <v>14.32</v>
      </c>
      <c r="Q350" s="31" t="n">
        <v>226.08</v>
      </c>
      <c r="R350" s="30" t="inlineStr">
        <is>
          <t>Earnings / Momentum Support</t>
        </is>
      </c>
      <c r="S350" s="30" t="inlineStr">
        <is>
          <t>Nifty Realty</t>
        </is>
      </c>
      <c r="T350" s="31" t="n">
        <v>-8.25</v>
      </c>
      <c r="U350" s="31" t="n">
        <v>114.18</v>
      </c>
      <c r="V350" s="31" t="n">
        <v>133.43</v>
      </c>
      <c r="W350" s="31" t="n">
        <v>17.99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More than 20%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More than 1.2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IF(B351=0,"",RANK(B351,$B$2:$B$371,0))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SRHHYPOLTD</t>
        </is>
      </c>
      <c r="D351" s="32" t="inlineStr">
        <is>
          <t>Sree Rayalaseema Hi-strength Hypo Limited</t>
        </is>
      </c>
      <c r="E351" s="30" t="inlineStr">
        <is>
          <t>chemicals</t>
        </is>
      </c>
      <c r="F351" s="30" t="inlineStr">
        <is>
          <t>chemicals</t>
        </is>
      </c>
      <c r="G351" s="30" t="inlineStr">
        <is>
          <t>smallcap</t>
        </is>
      </c>
      <c r="H351" s="31" t="n">
        <v>906.13</v>
      </c>
      <c r="I351" s="31" t="n">
        <v>531.9</v>
      </c>
      <c r="J351" s="31" t="n">
        <v>0.76</v>
      </c>
      <c r="K351" s="31" t="n">
        <v>14320</v>
      </c>
      <c r="L351" s="30" t="n">
        <v>3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57.03</v>
      </c>
      <c r="P351" s="31" t="n">
        <v>8.779999999999999</v>
      </c>
      <c r="Q351" s="31" t="n">
        <v>426.11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-6.7</v>
      </c>
      <c r="U351" s="31" t="n">
        <v>-11.38</v>
      </c>
      <c r="V351" s="31" t="n">
        <v>-5.02</v>
      </c>
      <c r="W351" s="31" t="n">
        <v>-0.33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1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Less than 12%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Less than 1.5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IF(B352=0,"",RANK(B352,$B$2:$B$371,0))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INDIQUBE</t>
        </is>
      </c>
      <c r="D352" s="32" t="inlineStr">
        <is>
          <t>Indiqube Spaces Ltd</t>
        </is>
      </c>
      <c r="E352" s="30" t="inlineStr">
        <is>
          <t>co-working</t>
        </is>
      </c>
      <c r="F352" s="30" t="inlineStr">
        <is>
          <t>miscellaneous</t>
        </is>
      </c>
      <c r="G352" s="30" t="inlineStr">
        <is>
          <t>smallcap</t>
        </is>
      </c>
      <c r="H352" s="31" t="n">
        <v>4347.86</v>
      </c>
      <c r="I352" s="31" t="n">
        <v>204.34</v>
      </c>
      <c r="J352" s="31" t="n">
        <v>-0.37</v>
      </c>
      <c r="K352" s="31" t="n">
        <v>37014</v>
      </c>
      <c r="L352" s="30" t="n">
        <v>21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62.6</v>
      </c>
      <c r="P352" s="31" t="n">
        <v>16.89</v>
      </c>
      <c r="Q352" s="31" t="n">
        <v>153.97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-6.7</v>
      </c>
      <c r="U352" s="31" t="n">
        <v>-9.4</v>
      </c>
      <c r="V352" s="31" t="n">
        <v>-2.89</v>
      </c>
      <c r="W352" s="31" t="n">
        <v>6.64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More than 1.2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IF(B353=0,"",RANK(B353,$B$2:$B$371,0))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EMIL</t>
        </is>
      </c>
      <c r="D353" s="30" t="inlineStr">
        <is>
          <t>Electronics Mart India Ltd</t>
        </is>
      </c>
      <c r="E353" s="30" t="inlineStr">
        <is>
          <t>consumer discretionary</t>
        </is>
      </c>
      <c r="F353" s="30" t="inlineStr">
        <is>
          <t>trading</t>
        </is>
      </c>
      <c r="G353" s="30" t="inlineStr">
        <is>
          <t>midcap</t>
        </is>
      </c>
      <c r="H353" s="31" t="n">
        <v>7157.1</v>
      </c>
      <c r="I353" s="31" t="n">
        <v>182.65</v>
      </c>
      <c r="J353" s="31" t="n">
        <v>-1.81</v>
      </c>
      <c r="K353" s="31" t="n">
        <v>1903526</v>
      </c>
      <c r="L353" s="30" t="n">
        <v>73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70.01000000000001</v>
      </c>
      <c r="P353" s="31" t="n">
        <v>35.92</v>
      </c>
      <c r="Q353" s="31" t="n">
        <v>145.01</v>
      </c>
      <c r="R353" s="30" t="inlineStr">
        <is>
          <t>Near 52W High Breakout</t>
        </is>
      </c>
      <c r="S353" s="30" t="inlineStr">
        <is>
          <t>Nifty 50</t>
        </is>
      </c>
      <c r="T353" s="31" t="n">
        <v>-6.7</v>
      </c>
      <c r="U353" s="31" t="n">
        <v>22.7</v>
      </c>
      <c r="V353" s="31" t="n">
        <v>31.51</v>
      </c>
      <c r="W353" s="31" t="n">
        <v>23.68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Yes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Negative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More than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IF(B354=0,"",RANK(B354,$B$2:$B$371,0))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HINDZINC</t>
        </is>
      </c>
      <c r="D354" s="32" t="inlineStr">
        <is>
          <t>Hindustan Zinc Limited</t>
        </is>
      </c>
      <c r="E354" s="30" t="inlineStr">
        <is>
          <t>metals &amp; mining</t>
        </is>
      </c>
      <c r="F354" s="30" t="inlineStr">
        <is>
          <t>mining / minerals / metals</t>
        </is>
      </c>
      <c r="G354" s="30" t="inlineStr">
        <is>
          <t>largecap</t>
        </is>
      </c>
      <c r="H354" s="31" t="n">
        <v>251617.75</v>
      </c>
      <c r="I354" s="31" t="n">
        <v>605.4</v>
      </c>
      <c r="J354" s="31" t="n">
        <v>1.66</v>
      </c>
      <c r="K354" s="31" t="n">
        <v>6313228</v>
      </c>
      <c r="L354" s="30" t="n">
        <v>35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55.81</v>
      </c>
      <c r="P354" s="31" t="n">
        <v>11.56</v>
      </c>
      <c r="Q354" s="31" t="n">
        <v>499.24</v>
      </c>
      <c r="R354" s="30" t="inlineStr">
        <is>
          <t>Earnings / Momentum Support</t>
        </is>
      </c>
      <c r="S354" s="30" t="inlineStr">
        <is>
          <t>Nifty Metal</t>
        </is>
      </c>
      <c r="T354" s="31" t="n">
        <v>42.08</v>
      </c>
      <c r="U354" s="31" t="n">
        <v>40.36</v>
      </c>
      <c r="V354" s="31" t="n">
        <v>-1.21</v>
      </c>
      <c r="W354" s="31" t="n">
        <v>9.619999999999999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Cyclical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Volatile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IF(B355=0,"",RANK(B355,$B$2:$B$371,0))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20MICRONS</t>
        </is>
      </c>
      <c r="D355" s="32" t="inlineStr">
        <is>
          <t>20 Microns Limited</t>
        </is>
      </c>
      <c r="E355" s="30" t="inlineStr">
        <is>
          <t>metals &amp; mining</t>
        </is>
      </c>
      <c r="F355" s="30" t="inlineStr">
        <is>
          <t>mining / minerals / metals</t>
        </is>
      </c>
      <c r="G355" s="30" t="inlineStr">
        <is>
          <t>smallcap</t>
        </is>
      </c>
      <c r="H355" s="31" t="n">
        <v>773.76</v>
      </c>
      <c r="I355" s="31" t="n">
        <v>218.06</v>
      </c>
      <c r="J355" s="31" t="n">
        <v>-0.5600000000000001</v>
      </c>
      <c r="K355" s="31" t="n">
        <v>78133</v>
      </c>
      <c r="L355" s="30" t="n">
        <v>9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61.69</v>
      </c>
      <c r="P355" s="31" t="n">
        <v>18.92</v>
      </c>
      <c r="Q355" s="31" t="n">
        <v>167.73</v>
      </c>
      <c r="R355" s="30" t="inlineStr">
        <is>
          <t>Near 52W High Breakout</t>
        </is>
      </c>
      <c r="S355" s="30" t="inlineStr">
        <is>
          <t>Nifty Metal</t>
        </is>
      </c>
      <c r="T355" s="31" t="n">
        <v>42.08</v>
      </c>
      <c r="U355" s="31" t="n">
        <v>-18.31</v>
      </c>
      <c r="V355" s="31" t="n">
        <v>-42.5</v>
      </c>
      <c r="W355" s="31" t="n">
        <v>2.28</v>
      </c>
      <c r="X355" s="30" t="inlineStr">
        <is>
          <t>Cyclical in an Upturn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Cyclical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Volatile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Yes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IF(B356=0,"",RANK(B356,$B$2:$B$371,0))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2" t="inlineStr">
        <is>
          <t>JUBLPHARMA</t>
        </is>
      </c>
      <c r="D356" s="32" t="inlineStr">
        <is>
          <t>Jubilant Pharmova Ltd</t>
        </is>
      </c>
      <c r="E356" s="30" t="inlineStr">
        <is>
          <t>healthcare</t>
        </is>
      </c>
      <c r="F356" s="30" t="inlineStr">
        <is>
          <t>pharmaceuticals - indian - bulk drugs</t>
        </is>
      </c>
      <c r="G356" s="30" t="inlineStr">
        <is>
          <t>midcap</t>
        </is>
      </c>
      <c r="H356" s="31" t="n">
        <v>15892.28</v>
      </c>
      <c r="I356" s="31" t="n">
        <v>1019</v>
      </c>
      <c r="J356" s="31" t="n">
        <v>2.13</v>
      </c>
      <c r="K356" s="31" t="n">
        <v>452808</v>
      </c>
      <c r="L356" s="30" t="n">
        <v>3</v>
      </c>
      <c r="M356" s="30" t="inlineStr">
        <is>
          <t>Underperforming</t>
        </is>
      </c>
      <c r="N356" s="31">
        <f>IF(M356="Underperforming",-5,IF(L356&gt;=95,15,IF(L356&gt;=90,10,IF(L356&gt;=80,5,0))))</f>
        <v/>
      </c>
      <c r="O356" s="31" t="n">
        <v>58.93</v>
      </c>
      <c r="P356" s="31" t="n">
        <v>9.140000000000001</v>
      </c>
      <c r="Q356" s="31" t="n">
        <v>822.26</v>
      </c>
      <c r="R356" s="30" t="inlineStr">
        <is>
          <t>Volume Spike / Accumulation</t>
        </is>
      </c>
      <c r="S356" s="30" t="inlineStr">
        <is>
          <t>Nifty Pharma</t>
        </is>
      </c>
      <c r="T356" s="31" t="n">
        <v>19.47</v>
      </c>
      <c r="U356" s="31" t="n">
        <v>-8.73</v>
      </c>
      <c r="V356" s="31" t="n">
        <v>-23.61</v>
      </c>
      <c r="W356" s="31" t="n">
        <v>-0.01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Yes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Annuity, Lower One Time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1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IF(B357=0,"",RANK(B357,$B$2:$B$371,0))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MRPL</t>
        </is>
      </c>
      <c r="D357" s="30" t="inlineStr">
        <is>
          <t>Mangalore Refinery And Petrochemicals Limited</t>
        </is>
      </c>
      <c r="E357" s="30" t="inlineStr">
        <is>
          <t>energy</t>
        </is>
      </c>
      <c r="F357" s="30" t="inlineStr">
        <is>
          <t>refineries</t>
        </is>
      </c>
      <c r="G357" s="30" t="inlineStr">
        <is>
          <t>largecap</t>
        </is>
      </c>
      <c r="H357" s="31" t="n">
        <v>30312.95</v>
      </c>
      <c r="I357" s="31" t="n">
        <v>184.46</v>
      </c>
      <c r="J357" s="31" t="n">
        <v>6.65</v>
      </c>
      <c r="K357" s="31" t="n">
        <v>47490869</v>
      </c>
      <c r="L357" s="30" t="n">
        <v>20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59.64</v>
      </c>
      <c r="P357" s="31" t="n">
        <v>23.15</v>
      </c>
      <c r="Q357" s="31" t="n">
        <v>136.81</v>
      </c>
      <c r="R357" s="30" t="inlineStr">
        <is>
          <t>Earnings / Momentum Support</t>
        </is>
      </c>
      <c r="S357" s="30" t="inlineStr">
        <is>
          <t>Nifty Energy</t>
        </is>
      </c>
      <c r="T357" s="31" t="n">
        <v>8.75</v>
      </c>
      <c r="U357" s="31" t="n">
        <v>33.75</v>
      </c>
      <c r="V357" s="31" t="n">
        <v>23</v>
      </c>
      <c r="W357" s="31" t="n">
        <v>6.11</v>
      </c>
      <c r="X357" s="30" t="inlineStr">
        <is>
          <t>Cyclical in an Upturn</t>
        </is>
      </c>
      <c r="Y357" s="30">
        <f>IF(X357="Growing Industry",10,IF(X357="Cyclical in an Upturn",5,0))</f>
        <v/>
      </c>
      <c r="Z357" s="30" t="inlineStr">
        <is>
          <t>Oligopoly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Yes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Cyclical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Volatile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20 to 40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Between 0.7 to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IF(B358=0,"",RANK(B358,$B$2:$B$371,0))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2" t="inlineStr">
        <is>
          <t>SESHAPAPER</t>
        </is>
      </c>
      <c r="D358" s="32" t="inlineStr">
        <is>
          <t>Seshasayee Paper And Boards Limited</t>
        </is>
      </c>
      <c r="E358" s="30" t="inlineStr">
        <is>
          <t>building materials</t>
        </is>
      </c>
      <c r="F358" s="30" t="inlineStr">
        <is>
          <t>paper</t>
        </is>
      </c>
      <c r="G358" s="30" t="inlineStr">
        <is>
          <t>smallcap</t>
        </is>
      </c>
      <c r="H358" s="31" t="n">
        <v>1538.74</v>
      </c>
      <c r="I358" s="31" t="n">
        <v>243.68</v>
      </c>
      <c r="J358" s="31" t="n">
        <v>-0.12</v>
      </c>
      <c r="K358" s="31" t="n">
        <v>74510</v>
      </c>
      <c r="L358" s="30" t="n">
        <v>1</v>
      </c>
      <c r="M358" s="30" t="inlineStr">
        <is>
          <t>Underperforming</t>
        </is>
      </c>
      <c r="N358" s="31">
        <f>IF(M358="Underperforming",-5,IF(L358&gt;=95,15,IF(L358&gt;=90,10,IF(L358&gt;=80,5,0))))</f>
        <v/>
      </c>
      <c r="O358" s="31" t="n">
        <v>53.41</v>
      </c>
      <c r="P358" s="31" t="n">
        <v>19.77</v>
      </c>
      <c r="Q358" s="31" t="n">
        <v>192.98</v>
      </c>
      <c r="R358" s="30" t="inlineStr">
        <is>
          <t>Earnings / Momentum Support</t>
        </is>
      </c>
      <c r="S358" s="30" t="inlineStr">
        <is>
          <t>Nifty Infra</t>
        </is>
      </c>
      <c r="T358" s="31" t="n">
        <v>0.58</v>
      </c>
      <c r="U358" s="31" t="n">
        <v>-13.78</v>
      </c>
      <c r="V358" s="31" t="n">
        <v>-14.28</v>
      </c>
      <c r="W358" s="31" t="n">
        <v>-3.81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1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Above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IF(B359=0,"",RANK(B359,$B$2:$B$371,0))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KIRLFER</t>
        </is>
      </c>
      <c r="D359" s="32" t="inlineStr">
        <is>
          <t>Kirloskar Ferrous Industries Ltd</t>
        </is>
      </c>
      <c r="E359" s="30" t="inlineStr">
        <is>
          <t>metals &amp; mining</t>
        </is>
      </c>
      <c r="F359" s="30" t="inlineStr">
        <is>
          <t>steel - large</t>
        </is>
      </c>
      <c r="G359" s="30" t="inlineStr">
        <is>
          <t>midcap</t>
        </is>
      </c>
      <c r="H359" s="31" t="n">
        <v>7588</v>
      </c>
      <c r="I359" s="31" t="n">
        <v>467.25</v>
      </c>
      <c r="J359" s="31" t="n">
        <v>1.6</v>
      </c>
      <c r="K359" s="31" t="n">
        <v>690407</v>
      </c>
      <c r="L359" s="30" t="n">
        <v>1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55.07</v>
      </c>
      <c r="P359" s="31" t="n">
        <v>12.98</v>
      </c>
      <c r="Q359" s="31" t="n">
        <v>389.89</v>
      </c>
      <c r="R359" s="30" t="inlineStr">
        <is>
          <t>Earnings / Momentum Support</t>
        </is>
      </c>
      <c r="S359" s="30" t="inlineStr">
        <is>
          <t>Nifty Metal</t>
        </is>
      </c>
      <c r="T359" s="31" t="n">
        <v>42.08</v>
      </c>
      <c r="U359" s="31" t="n">
        <v>-17.09</v>
      </c>
      <c r="V359" s="31" t="n">
        <v>-41.65</v>
      </c>
      <c r="W359" s="31" t="n">
        <v>-1.54</v>
      </c>
      <c r="X359" s="30" t="inlineStr">
        <is>
          <t>Cyclical in an Upturn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Cyclical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Volatile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1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More than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Less than 1.5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IF(B360=0,"",RANK(B360,$B$2:$B$371,0))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2" t="inlineStr">
        <is>
          <t>MAMATA</t>
        </is>
      </c>
      <c r="D360" s="32" t="inlineStr">
        <is>
          <t>Mamata Machinery Ltd</t>
        </is>
      </c>
      <c r="E360" s="30" t="inlineStr">
        <is>
          <t>industrials</t>
        </is>
      </c>
      <c r="F360" s="30" t="inlineStr">
        <is>
          <t>engineering</t>
        </is>
      </c>
      <c r="G360" s="30" t="inlineStr">
        <is>
          <t>smallcap</t>
        </is>
      </c>
      <c r="H360" s="31" t="n">
        <v>1047.55</v>
      </c>
      <c r="I360" s="31" t="n">
        <v>419.4</v>
      </c>
      <c r="J360" s="31" t="n">
        <v>-1.48</v>
      </c>
      <c r="K360" s="31" t="n">
        <v>100223</v>
      </c>
      <c r="L360" s="30" t="n">
        <v>1</v>
      </c>
      <c r="M360" s="30" t="inlineStr">
        <is>
          <t>Underperforming</t>
        </is>
      </c>
      <c r="N360" s="31">
        <f>IF(M360="Underperforming",-5,IF(L360&gt;=95,15,IF(L360&gt;=90,10,IF(L360&gt;=80,5,0))))</f>
        <v/>
      </c>
      <c r="O360" s="31" t="n">
        <v>53.57</v>
      </c>
      <c r="P360" s="31" t="n">
        <v>7.83</v>
      </c>
      <c r="Q360" s="31" t="n">
        <v>336.11</v>
      </c>
      <c r="R360" s="30" t="inlineStr">
        <is>
          <t>Earnings / Momentum Support</t>
        </is>
      </c>
      <c r="S360" s="30" t="inlineStr">
        <is>
          <t>Nifty Infra</t>
        </is>
      </c>
      <c r="T360" s="31" t="n">
        <v>0.58</v>
      </c>
      <c r="U360" s="31" t="n">
        <v>-18.62</v>
      </c>
      <c r="V360" s="31" t="n">
        <v>-19.1</v>
      </c>
      <c r="W360" s="31" t="n">
        <v>-2.32</v>
      </c>
      <c r="X360" s="30" t="inlineStr">
        <is>
          <t>Cyclical in an Upturn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Above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IF(B361=0,"",RANK(B361,$B$2:$B$371,0))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SOUTHWEST</t>
        </is>
      </c>
      <c r="D361" s="30" t="inlineStr">
        <is>
          <t>South West Pinnacle Exploration Ltd</t>
        </is>
      </c>
      <c r="E361" s="30" t="inlineStr">
        <is>
          <t>metals &amp; mining</t>
        </is>
      </c>
      <c r="F361" s="30" t="inlineStr">
        <is>
          <t>mining / minerals / metals</t>
        </is>
      </c>
      <c r="G361" s="30" t="inlineStr">
        <is>
          <t>smallcap</t>
        </is>
      </c>
      <c r="H361" s="31" t="n">
        <v>752.22</v>
      </c>
      <c r="I361" s="31" t="n">
        <v>226.81</v>
      </c>
      <c r="J361" s="31" t="n">
        <v>-1.55</v>
      </c>
      <c r="K361" s="31" t="n">
        <v>1192055</v>
      </c>
      <c r="L361" s="30" t="n">
        <v>39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52.34</v>
      </c>
      <c r="P361" s="31" t="n">
        <v>16.26</v>
      </c>
      <c r="Q361" s="31" t="n">
        <v>166.6</v>
      </c>
      <c r="R361" s="30" t="inlineStr">
        <is>
          <t>Earnings / Momentum Support</t>
        </is>
      </c>
      <c r="S361" s="30" t="inlineStr">
        <is>
          <t>Nifty Metal</t>
        </is>
      </c>
      <c r="T361" s="31" t="n">
        <v>42.08</v>
      </c>
      <c r="U361" s="31" t="n">
        <v>59.59</v>
      </c>
      <c r="V361" s="31" t="n">
        <v>12.32</v>
      </c>
      <c r="W361" s="31" t="n">
        <v>10.96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1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IF(B362=0,"",RANK(B362,$B$2:$B$371,0))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2" t="inlineStr">
        <is>
          <t>JSL</t>
        </is>
      </c>
      <c r="D362" s="32" t="inlineStr">
        <is>
          <t>Jindal Stainless Limited</t>
        </is>
      </c>
      <c r="E362" s="30" t="inlineStr">
        <is>
          <t>metals &amp; mining</t>
        </is>
      </c>
      <c r="F362" s="30" t="inlineStr">
        <is>
          <t>steel - large</t>
        </is>
      </c>
      <c r="G362" s="30" t="inlineStr">
        <is>
          <t>largecap</t>
        </is>
      </c>
      <c r="H362" s="31" t="n">
        <v>60904</v>
      </c>
      <c r="I362" s="31" t="n">
        <v>783.3</v>
      </c>
      <c r="J362" s="31" t="n">
        <v>6.03</v>
      </c>
      <c r="K362" s="31" t="n">
        <v>6366585</v>
      </c>
      <c r="L362" s="30" t="n">
        <v>15</v>
      </c>
      <c r="M362" s="30" t="inlineStr">
        <is>
          <t>Underperforming</t>
        </is>
      </c>
      <c r="N362" s="31">
        <f>IF(M362="Underperforming",-5,IF(L362&gt;=95,15,IF(L362&gt;=90,10,IF(L362&gt;=80,5,0))))</f>
        <v/>
      </c>
      <c r="O362" s="31" t="n">
        <v>60.67</v>
      </c>
      <c r="P362" s="31" t="n">
        <v>11.8</v>
      </c>
      <c r="Q362" s="31" t="n">
        <v>651.79</v>
      </c>
      <c r="R362" s="30" t="inlineStr">
        <is>
          <t>Volume Spike / Accumulation</t>
        </is>
      </c>
      <c r="S362" s="30" t="inlineStr">
        <is>
          <t>Nifty Metal</t>
        </is>
      </c>
      <c r="T362" s="31" t="n">
        <v>42.08</v>
      </c>
      <c r="U362" s="31" t="n">
        <v>20.36</v>
      </c>
      <c r="V362" s="31" t="n">
        <v>-15.29</v>
      </c>
      <c r="W362" s="31" t="n">
        <v>4.75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Cyclical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Volatile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Yes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1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IF(B363=0,"",RANK(B363,$B$2:$B$371,0))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INDOAMIN</t>
        </is>
      </c>
      <c r="D363" s="30" t="inlineStr">
        <is>
          <t>Indo Amines Ltd</t>
        </is>
      </c>
      <c r="E363" s="30" t="inlineStr">
        <is>
          <t>chemicals</t>
        </is>
      </c>
      <c r="F363" s="30" t="inlineStr">
        <is>
          <t>chemicals</t>
        </is>
      </c>
      <c r="G363" s="30" t="inlineStr">
        <is>
          <t>smallcap</t>
        </is>
      </c>
      <c r="H363" s="31" t="n">
        <v>922.3</v>
      </c>
      <c r="I363" s="31" t="n">
        <v>127.25</v>
      </c>
      <c r="J363" s="31" t="n">
        <v>0.15</v>
      </c>
      <c r="K363" s="31" t="n">
        <v>67298</v>
      </c>
      <c r="L363" s="30" t="n">
        <v>2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51.94</v>
      </c>
      <c r="P363" s="31" t="n">
        <v>26.95</v>
      </c>
      <c r="Q363" s="31" t="n">
        <v>111.13</v>
      </c>
      <c r="R363" s="30" t="inlineStr">
        <is>
          <t>Earnings / Momentum Support</t>
        </is>
      </c>
      <c r="S363" s="30" t="inlineStr">
        <is>
          <t>Nifty IT</t>
        </is>
      </c>
      <c r="T363" s="31" t="n">
        <v>-19.93</v>
      </c>
      <c r="U363" s="31" t="n">
        <v>-10.49</v>
      </c>
      <c r="V363" s="31" t="n">
        <v>11.79</v>
      </c>
      <c r="W363" s="31" t="n">
        <v>-0.9399999999999999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Tailwind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20 to 40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1</t>
        </is>
      </c>
      <c r="BC363" s="30">
        <f>IF(BB363="Stage 2",20,IF(BB363="Stage 1",0,IF(BB363="Stage 3",5,IF(BB363="Stage 4",-5,0))))</f>
        <v/>
      </c>
      <c r="BD363" s="30" t="inlineStr">
        <is>
          <t>Negative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Between 1.5 to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Between 0.7 to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IF(B364=0,"",RANK(B364,$B$2:$B$371,0))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2" t="inlineStr">
        <is>
          <t>SARDAEN</t>
        </is>
      </c>
      <c r="D364" s="32" t="inlineStr">
        <is>
          <t>Sarda Energy &amp; Minerals Limited</t>
        </is>
      </c>
      <c r="E364" s="30" t="inlineStr">
        <is>
          <t>metals &amp; mining</t>
        </is>
      </c>
      <c r="F364" s="30" t="inlineStr">
        <is>
          <t>steel - medium / small</t>
        </is>
      </c>
      <c r="G364" s="30" t="inlineStr">
        <is>
          <t>midcap</t>
        </is>
      </c>
      <c r="H364" s="31" t="n">
        <v>18318.54</v>
      </c>
      <c r="I364" s="31" t="n">
        <v>545.85</v>
      </c>
      <c r="J364" s="31" t="n">
        <v>5</v>
      </c>
      <c r="K364" s="31" t="n">
        <v>5268817</v>
      </c>
      <c r="L364" s="30" t="n">
        <v>15</v>
      </c>
      <c r="M364" s="30" t="inlineStr">
        <is>
          <t>Underperforming</t>
        </is>
      </c>
      <c r="N364" s="31">
        <f>IF(M364="Underperforming",-5,IF(L364&gt;=95,15,IF(L364&gt;=90,10,IF(L364&gt;=80,5,0))))</f>
        <v/>
      </c>
      <c r="O364" s="31" t="n">
        <v>55.37</v>
      </c>
      <c r="P364" s="31" t="n">
        <v>7.67</v>
      </c>
      <c r="Q364" s="31" t="n">
        <v>439.4</v>
      </c>
      <c r="R364" s="30" t="inlineStr">
        <is>
          <t>Earnings / Momentum Support</t>
        </is>
      </c>
      <c r="S364" s="30" t="inlineStr">
        <is>
          <t>Nifty Metal</t>
        </is>
      </c>
      <c r="T364" s="31" t="n">
        <v>42.08</v>
      </c>
      <c r="U364" s="31" t="n">
        <v>25.98</v>
      </c>
      <c r="V364" s="31" t="n">
        <v>-11.34</v>
      </c>
      <c r="W364" s="31" t="n">
        <v>4.76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Cyclical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Volatile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1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IF(B365=0,"",RANK(B365,$B$2:$B$371,0))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TATACOMM</t>
        </is>
      </c>
      <c r="D365" s="30" t="inlineStr">
        <is>
          <t>Tata Communications Limited</t>
        </is>
      </c>
      <c r="E365" s="30" t="inlineStr">
        <is>
          <t>telecom-service</t>
        </is>
      </c>
      <c r="F365" s="30" t="inlineStr">
        <is>
          <t>telecommunications - service provider</t>
        </is>
      </c>
      <c r="G365" s="30" t="inlineStr">
        <is>
          <t>largecap</t>
        </is>
      </c>
      <c r="H365" s="31" t="n">
        <v>49957.74</v>
      </c>
      <c r="I365" s="31" t="n">
        <v>1772.8</v>
      </c>
      <c r="J365" s="31" t="n">
        <v>1.14</v>
      </c>
      <c r="K365" s="31" t="n">
        <v>207805</v>
      </c>
      <c r="L365" s="30" t="n">
        <v>9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52.53</v>
      </c>
      <c r="P365" s="31" t="n">
        <v>16.4</v>
      </c>
      <c r="Q365" s="31" t="n">
        <v>1661.08</v>
      </c>
      <c r="R365" s="30" t="inlineStr">
        <is>
          <t>Earnings / Momentum Support</t>
        </is>
      </c>
      <c r="S365" s="30" t="inlineStr">
        <is>
          <t>Nifty 50</t>
        </is>
      </c>
      <c r="T365" s="31" t="n">
        <v>-6.7</v>
      </c>
      <c r="U365" s="31" t="n">
        <v>10.84</v>
      </c>
      <c r="V365" s="31" t="n">
        <v>18.8</v>
      </c>
      <c r="W365" s="31" t="n">
        <v>2.35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Oligopoly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Yes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1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More than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IF(B366=0,"",RANK(B366,$B$2:$B$371,0))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FLUOROCHEM</t>
        </is>
      </c>
      <c r="D366" s="30" t="inlineStr">
        <is>
          <t>Gujarat Fluorochemicals Ltd</t>
        </is>
      </c>
      <c r="E366" s="30" t="inlineStr">
        <is>
          <t>chemicals</t>
        </is>
      </c>
      <c r="F366" s="30" t="inlineStr">
        <is>
          <t>chemicals</t>
        </is>
      </c>
      <c r="G366" s="30" t="inlineStr">
        <is>
          <t>largecap</t>
        </is>
      </c>
      <c r="H366" s="31" t="n">
        <v>51372.45</v>
      </c>
      <c r="I366" s="31" t="n">
        <v>4754.8</v>
      </c>
      <c r="J366" s="31" t="n">
        <v>1.67</v>
      </c>
      <c r="K366" s="31" t="n">
        <v>119098</v>
      </c>
      <c r="L366" s="30" t="n">
        <v>43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66.68000000000001</v>
      </c>
      <c r="P366" s="31" t="n">
        <v>40.03</v>
      </c>
      <c r="Q366" s="31" t="n">
        <v>3910.87</v>
      </c>
      <c r="R366" s="30" t="inlineStr">
        <is>
          <t>Near 52W High Breakout</t>
        </is>
      </c>
      <c r="S366" s="30" t="inlineStr">
        <is>
          <t>Nifty 500</t>
        </is>
      </c>
      <c r="T366" s="31" t="n">
        <v>-1</v>
      </c>
      <c r="U366" s="31" t="n">
        <v>28.07</v>
      </c>
      <c r="V366" s="31" t="n">
        <v>29.36</v>
      </c>
      <c r="W366" s="31" t="n">
        <v>12.23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Oligopoly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Shallow Cyclical (2 to 3 Years Growth)</t>
        </is>
      </c>
      <c r="AG366" s="30">
        <f>IF(AF366="Structural (10 Years Consistency)",10,IF(AF366="Shallow Cyclical (2 to 3 years growth)",5,0))</f>
        <v/>
      </c>
      <c r="AH366" s="30" t="inlineStr">
        <is>
          <t>Yes due to Product Mix change or Operating Leverage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Volatile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Yes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Allocated capital in Non-core Areas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Above 40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3</t>
        </is>
      </c>
      <c r="BC366" s="30">
        <f>IF(BB366="Stage 2",20,IF(BB366="Stage 1",0,IF(BB366="Stage 3",5,IF(BB366="Stage 4",-5,0))))</f>
        <v/>
      </c>
      <c r="BD366" s="30" t="inlineStr">
        <is>
          <t>Negative Trend</t>
        </is>
      </c>
      <c r="BE366" s="30">
        <f>IF(BD366="Positive Trend",20,IF(BD366="Negative Trend",-10,0))</f>
        <v/>
      </c>
      <c r="BF366" s="30" t="inlineStr">
        <is>
          <t>Sideways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Overhead supply in last 2 years in last 2 years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More than 15%</t>
        </is>
      </c>
      <c r="CC366" s="30">
        <f>IF(CB366="More than 15%",-10,IF(CB366="Less than 15%",10,0))</f>
        <v/>
      </c>
      <c r="CD366" s="30" t="inlineStr">
        <is>
          <t>Yes Upto 10%</t>
        </is>
      </c>
      <c r="CE366" s="30">
        <f>IF(CD366="Yes, more than 10%",-10,IF(CD366="No",10,0))</f>
        <v/>
      </c>
    </row>
    <row r="367">
      <c r="A367" s="30">
        <f>IF(B367=0,"",RANK(B367,$B$2:$B$371,0))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UNITEDPOLY</t>
        </is>
      </c>
      <c r="D367" s="30" t="inlineStr">
        <is>
          <t>United Polyfab Gujarat Ltd</t>
        </is>
      </c>
      <c r="E367" s="30" t="inlineStr">
        <is>
          <t>textiles</t>
        </is>
      </c>
      <c r="F367" s="30" t="inlineStr">
        <is>
          <t>textiles - products</t>
        </is>
      </c>
      <c r="G367" s="30" t="inlineStr">
        <is>
          <t>smallcap</t>
        </is>
      </c>
      <c r="H367" s="31" t="n">
        <v>981.87</v>
      </c>
      <c r="I367" s="31" t="n">
        <v>42.93</v>
      </c>
      <c r="J367" s="31" t="n">
        <v>0.35</v>
      </c>
      <c r="K367" s="31" t="n">
        <v>110087</v>
      </c>
      <c r="L367" s="30" t="n">
        <v>40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70.77</v>
      </c>
      <c r="P367" s="31" t="n">
        <v>18.72</v>
      </c>
      <c r="Q367" s="31" t="n">
        <v>31.11</v>
      </c>
      <c r="R367" s="30" t="inlineStr">
        <is>
          <t>Earnings / Momentum Support</t>
        </is>
      </c>
      <c r="S367" s="30" t="inlineStr">
        <is>
          <t>Nifty 50</t>
        </is>
      </c>
      <c r="T367" s="31" t="n">
        <v>-6.7</v>
      </c>
      <c r="U367" s="31" t="n">
        <v>18.13</v>
      </c>
      <c r="V367" s="31" t="n">
        <v>26.62</v>
      </c>
      <c r="W367" s="31" t="n">
        <v>11.32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Oligopoly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Shallow Cyclical (2 to 3 Years Growth)</t>
        </is>
      </c>
      <c r="AG367" s="30">
        <f>IF(AF367="Structural (10 Years Consistency)",10,IF(AF367="Shallow Cyclical (2 to 3 years growth)",5,0))</f>
        <v/>
      </c>
      <c r="AH367" s="30" t="inlineStr">
        <is>
          <t>Yes due to Product Mix change or Operating Leverage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Volatile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Yes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Allocated capital in Non-core Areas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Above 40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3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Sideways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Overhead supply in last 2 years in last 2 years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Less than 1.5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More than 15%</t>
        </is>
      </c>
      <c r="CC367" s="30">
        <f>IF(CB367="More than 15%",-10,IF(CB367="Less than 15%",10,0))</f>
        <v/>
      </c>
      <c r="CD367" s="30" t="inlineStr">
        <is>
          <t>Yes Upto 10%</t>
        </is>
      </c>
      <c r="CE367" s="30">
        <f>IF(CD367="Yes, more than 10%",-10,IF(CD367="No",10,0))</f>
        <v/>
      </c>
    </row>
    <row r="368">
      <c r="A368" s="30">
        <f>IF(B368=0,"",RANK(B368,$B$2:$B$371,0))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GIPCL</t>
        </is>
      </c>
      <c r="D368" s="30" t="inlineStr">
        <is>
          <t>Gujarat Industries Power Company Limited</t>
        </is>
      </c>
      <c r="E368" s="30" t="inlineStr">
        <is>
          <t>power &amp; utilities</t>
        </is>
      </c>
      <c r="F368" s="30" t="inlineStr">
        <is>
          <t>power generation and supply</t>
        </is>
      </c>
      <c r="G368" s="30" t="inlineStr">
        <is>
          <t>smallcap</t>
        </is>
      </c>
      <c r="H368" s="31" t="n">
        <v>3121.39</v>
      </c>
      <c r="I368" s="31" t="n">
        <v>201.04</v>
      </c>
      <c r="J368" s="31" t="n">
        <v>-0.03</v>
      </c>
      <c r="K368" s="31" t="n">
        <v>368579</v>
      </c>
      <c r="L368" s="30" t="n">
        <v>29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68.66</v>
      </c>
      <c r="P368" s="31" t="n">
        <v>21.28</v>
      </c>
      <c r="Q368" s="31" t="n">
        <v>167.51</v>
      </c>
      <c r="R368" s="30" t="inlineStr">
        <is>
          <t>Near 52W High Breakout</t>
        </is>
      </c>
      <c r="S368" s="30" t="inlineStr">
        <is>
          <t>Nifty IT</t>
        </is>
      </c>
      <c r="T368" s="31" t="n">
        <v>-19.93</v>
      </c>
      <c r="U368" s="31" t="n">
        <v>7.64</v>
      </c>
      <c r="V368" s="31" t="n">
        <v>34.43</v>
      </c>
      <c r="W368" s="31" t="n">
        <v>8.130000000000001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Oligopoly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Shallow Cyclical (2 to 3 Years Growth)</t>
        </is>
      </c>
      <c r="AG368" s="30">
        <f>IF(AF368="Structural (10 Years Consistency)",10,IF(AF368="Shallow Cyclical (2 to 3 years growth)",5,0))</f>
        <v/>
      </c>
      <c r="AH368" s="30" t="inlineStr">
        <is>
          <t>Yes due to Product Mix change or Operating Leverage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Volatile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Allocated capital in Non-core Areas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Above 40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3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Sideways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Overhead supply in last 2 years in last 2 years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More than 20%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Less than 1.5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More than 15%</t>
        </is>
      </c>
      <c r="CC368" s="30">
        <f>IF(CB368="More than 15%",-10,IF(CB368="Less than 15%",10,0))</f>
        <v/>
      </c>
      <c r="CD368" s="30" t="inlineStr">
        <is>
          <t>Yes Upto 10%</t>
        </is>
      </c>
      <c r="CE368" s="30">
        <f>IF(CD368="Yes, more than 10%",-10,IF(CD368="No",10,0))</f>
        <v/>
      </c>
    </row>
    <row r="369">
      <c r="A369" s="30">
        <f>IF(B369=0,"",RANK(B369,$B$2:$B$371,0))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GUJALKALI</t>
        </is>
      </c>
      <c r="D369" s="30" t="inlineStr">
        <is>
          <t>Gujarat Alkalies And Chemicals Limited</t>
        </is>
      </c>
      <c r="E369" s="30" t="inlineStr">
        <is>
          <t>chemicals</t>
        </is>
      </c>
      <c r="F369" s="30" t="inlineStr">
        <is>
          <t>chemicals</t>
        </is>
      </c>
      <c r="G369" s="30" t="inlineStr">
        <is>
          <t>midcap</t>
        </is>
      </c>
      <c r="H369" s="31" t="n">
        <v>5278.28</v>
      </c>
      <c r="I369" s="31" t="n">
        <v>712.55</v>
      </c>
      <c r="J369" s="31" t="n">
        <v>-0.86</v>
      </c>
      <c r="K369" s="31" t="n">
        <v>63316</v>
      </c>
      <c r="L369" s="30" t="n">
        <v>31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61.25</v>
      </c>
      <c r="P369" s="31" t="n">
        <v>29.3</v>
      </c>
      <c r="Q369" s="31" t="n">
        <v>550.67</v>
      </c>
      <c r="R369" s="30" t="inlineStr">
        <is>
          <t>Earnings / Momentum Support</t>
        </is>
      </c>
      <c r="S369" s="30" t="inlineStr">
        <is>
          <t>Nifty IT</t>
        </is>
      </c>
      <c r="T369" s="31" t="n">
        <v>-19.93</v>
      </c>
      <c r="U369" s="31" t="n">
        <v>20.17</v>
      </c>
      <c r="V369" s="31" t="n">
        <v>50.08</v>
      </c>
      <c r="W369" s="31" t="n">
        <v>8.49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Oligopoly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Shallow Cyclical (2 to 3 Years Growth)</t>
        </is>
      </c>
      <c r="AG369" s="30">
        <f>IF(AF369="Structural (10 Years Consistency)",10,IF(AF369="Shallow Cyclical (2 to 3 years growth)",5,0))</f>
        <v/>
      </c>
      <c r="AH369" s="30" t="inlineStr">
        <is>
          <t>Yes due to Product Mix change or Operating Leverage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Volatile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Yes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Allocated capital in Non-core Areas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Above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3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Sideways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Overhead supply in last 2 years in last 2 years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Less than 1.5</t>
        </is>
      </c>
      <c r="BU369" s="30">
        <f>IF(BT369="Above 2",0,IF(BT369="Between 1.5 to 2",5,IF(BT369="Less than 1.5",10,0)))</f>
        <v/>
      </c>
      <c r="BV369" s="30" t="inlineStr">
        <is>
          <t>Above 70%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More than 15%</t>
        </is>
      </c>
      <c r="CC369" s="30">
        <f>IF(CB369="More than 15%",-10,IF(CB369="Less than 15%",10,0))</f>
        <v/>
      </c>
      <c r="CD369" s="30" t="inlineStr">
        <is>
          <t>Yes Upto 10%</t>
        </is>
      </c>
      <c r="CE369" s="30">
        <f>IF(CD369="Yes, more than 10%",-10,IF(CD369="No",10,0))</f>
        <v/>
      </c>
    </row>
    <row r="370">
      <c r="A370" s="30">
        <f>IF(B370=0,"",RANK(B370,$B$2:$B$371,0))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COALINDIA</t>
        </is>
      </c>
      <c r="D370" s="32" t="inlineStr">
        <is>
          <t>Coal India Limited</t>
        </is>
      </c>
      <c r="E370" s="30" t="inlineStr">
        <is>
          <t>metals &amp; mining</t>
        </is>
      </c>
      <c r="F370" s="30" t="inlineStr">
        <is>
          <t>mining / minerals / metals</t>
        </is>
      </c>
      <c r="G370" s="30" t="inlineStr">
        <is>
          <t>largecap</t>
        </is>
      </c>
      <c r="H370" s="31" t="n">
        <v>258988.66</v>
      </c>
      <c r="I370" s="31" t="n">
        <v>431</v>
      </c>
      <c r="J370" s="31" t="n">
        <v>2.56</v>
      </c>
      <c r="K370" s="31" t="n">
        <v>22791556</v>
      </c>
      <c r="L370" s="30" t="n">
        <v>12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55.02</v>
      </c>
      <c r="P370" s="31" t="n">
        <v>10.56</v>
      </c>
      <c r="Q370" s="31" t="n">
        <v>378.18</v>
      </c>
      <c r="R370" s="30" t="inlineStr">
        <is>
          <t>Earnings / Momentum Support</t>
        </is>
      </c>
      <c r="S370" s="30" t="inlineStr">
        <is>
          <t>Nifty Metal</t>
        </is>
      </c>
      <c r="T370" s="31" t="n">
        <v>42.08</v>
      </c>
      <c r="U370" s="31" t="n">
        <v>24.31</v>
      </c>
      <c r="V370" s="31" t="n">
        <v>-12.51</v>
      </c>
      <c r="W370" s="31" t="n">
        <v>3.98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Headwind</t>
        </is>
      </c>
      <c r="AE370" s="30">
        <f>IF(AD370="Tailwind",10,0)</f>
        <v/>
      </c>
      <c r="AF370" s="30" t="inlineStr">
        <is>
          <t>Cyclical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Volatile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1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IF(B371=0,"",RANK(B371,$B$2:$B$371,0))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GUJTHEM</t>
        </is>
      </c>
      <c r="D371" s="32" t="inlineStr">
        <is>
          <t>Gujarat Themis Biosyn Ltd</t>
        </is>
      </c>
      <c r="E371" s="30" t="inlineStr">
        <is>
          <t>healthcare</t>
        </is>
      </c>
      <c r="F371" s="30" t="inlineStr">
        <is>
          <t>pharmaceuticals - indian - bulk drugs</t>
        </is>
      </c>
      <c r="G371" s="30" t="inlineStr">
        <is>
          <t>smallcap</t>
        </is>
      </c>
      <c r="H371" s="31" t="n">
        <v>4938.85</v>
      </c>
      <c r="I371" s="31" t="n">
        <v>430.75</v>
      </c>
      <c r="J371" s="31" t="n">
        <v>-4.96</v>
      </c>
      <c r="K371" s="31" t="n">
        <v>618616</v>
      </c>
      <c r="L371" s="30" t="n">
        <v>24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64.65000000000001</v>
      </c>
      <c r="P371" s="31" t="n">
        <v>24.88</v>
      </c>
      <c r="Q371" s="31" t="n">
        <v>313.9</v>
      </c>
      <c r="R371" s="30" t="inlineStr">
        <is>
          <t>Volume Spike / Accumulation</t>
        </is>
      </c>
      <c r="S371" s="30" t="inlineStr">
        <is>
          <t>Nifty Pharma</t>
        </is>
      </c>
      <c r="T371" s="31" t="n">
        <v>19.47</v>
      </c>
      <c r="U371" s="31" t="n">
        <v>14.15</v>
      </c>
      <c r="V371" s="31" t="n">
        <v>-4.45</v>
      </c>
      <c r="W371" s="31" t="n">
        <v>7.14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Oligopoly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Shallow Cyclical (2 to 3 Years Growth)</t>
        </is>
      </c>
      <c r="AG371" s="30">
        <f>IF(AF371="Structural (10 Years Consistency)",10,IF(AF371="Shallow Cyclical (2 to 3 years growth)",5,0))</f>
        <v/>
      </c>
      <c r="AH371" s="30" t="inlineStr">
        <is>
          <t>Yes due to Product Mix change or Operating Leverage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Yes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Allocated capital in Non-core Areas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Above 40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3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Sideways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Overhead supply in last 2 years in last 2 years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Less than 1.5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More than 15%</t>
        </is>
      </c>
      <c r="CC371" s="30">
        <f>IF(CB371="More than 15%",-10,IF(CB371="Less than 15%",10,0))</f>
        <v/>
      </c>
      <c r="CD371" s="30" t="inlineStr">
        <is>
          <t>Yes Upto 10%</t>
        </is>
      </c>
      <c r="CE371" s="30">
        <f>IF(CD371="Yes, more than 10%",-10,IF(CD371="No",10,0))</f>
        <v/>
      </c>
    </row>
  </sheetData>
  <autoFilter ref="A1:CE371"/>
  <conditionalFormatting sqref="B2:B37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1">
    <cfRule type="cellIs" priority="36" operator="equal" dxfId="3" stopIfTrue="1">
      <formula>"Underperforming"</formula>
    </cfRule>
  </conditionalFormatting>
  <conditionalFormatting sqref="N2:N371">
    <cfRule type="cellIs" priority="37" operator="equal" dxfId="3" stopIfTrue="1">
      <formula>-5</formula>
    </cfRule>
  </conditionalFormatting>
  <conditionalFormatting sqref="Q2:Q37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1" showDropDown="0" showInputMessage="0" showErrorMessage="0" allowBlank="1" type="list">
      <formula1>"Growing Industry,Stagnant Industry,Cyclical in an Upturn"</formula1>
    </dataValidation>
    <dataValidation sqref="Z2:Z37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1" showDropDown="0" showInputMessage="0" showErrorMessage="0" allowBlank="1" type="list">
      <formula1>"Yes,No"</formula1>
    </dataValidation>
    <dataValidation sqref="AD2:AD371" showDropDown="0" showInputMessage="0" showErrorMessage="0" allowBlank="1" type="list">
      <formula1>"Tailwind,Headwind"</formula1>
    </dataValidation>
    <dataValidation sqref="AF2:AF371" showDropDown="0" showInputMessage="0" showErrorMessage="0" allowBlank="1" type="list">
      <formula1>"Structural (10 Years Consistency),Shallow Cyclical (2 to 3 Years Growth),Cyclical"</formula1>
    </dataValidation>
    <dataValidation sqref="AH2:AH371" showDropDown="0" showInputMessage="0" showErrorMessage="0" allowBlank="1" type="list">
      <formula1>"Yes due to Product Mix change or Operating Leverage,Yes, these are peak margins,No"</formula1>
    </dataValidation>
    <dataValidation sqref="AJ2:AJ371" showDropDown="0" showInputMessage="0" showErrorMessage="0" allowBlank="1" type="list">
      <formula1>"Stable,Volatile"</formula1>
    </dataValidation>
    <dataValidation sqref="AL2:AL371" showDropDown="0" showInputMessage="0" showErrorMessage="0" allowBlank="1" type="list">
      <formula1>"Yes,No"</formula1>
    </dataValidation>
    <dataValidation sqref="AN2:AN371" showDropDown="0" showInputMessage="0" showErrorMessage="0" allowBlank="1" type="list">
      <formula1>"B2C,B2B,B2G"</formula1>
    </dataValidation>
    <dataValidation sqref="AP2:AP371" showDropDown="0" showInputMessage="0" showErrorMessage="0" allowBlank="1" type="list">
      <formula1>"Yes,No"</formula1>
    </dataValidation>
    <dataValidation sqref="AR2:AR371" showDropDown="0" showInputMessage="0" showErrorMessage="0" allowBlank="1" type="list">
      <formula1>"Fully Annuity,Higher Annuity, Lower One time,Higher One Time, Lower Annuity,Fully One Time"</formula1>
    </dataValidation>
    <dataValidation sqref="AT2:AT371" showDropDown="0" showInputMessage="0" showErrorMessage="0" allowBlank="1" type="list">
      <formula1>"Good,Allocated capital in Non-core Areas"</formula1>
    </dataValidation>
    <dataValidation sqref="AV2:AV371" showDropDown="0" showInputMessage="0" showErrorMessage="0" allowBlank="1" type="list">
      <formula1>"Yes for more than 2 years,Yes only for next 1 to 2 years,No"</formula1>
    </dataValidation>
    <dataValidation sqref="AX2:AX371" showDropDown="0" showInputMessage="0" showErrorMessage="0" allowBlank="1" type="list">
      <formula1>"Above 40,20 to 40,0 to 20"</formula1>
    </dataValidation>
    <dataValidation sqref="AZ2:AZ371" showDropDown="0" showInputMessage="0" showErrorMessage="0" allowBlank="1" type="list">
      <formula1>"Between 50 to 75,Above 75,Below 45"</formula1>
    </dataValidation>
    <dataValidation sqref="BB2:BB371" showDropDown="0" showInputMessage="0" showErrorMessage="0" allowBlank="1" type="list">
      <formula1>"Stage 1,Stage 2,Stage 3,Stage 4"</formula1>
    </dataValidation>
    <dataValidation sqref="BD2:BD371" showDropDown="0" showInputMessage="0" showErrorMessage="0" allowBlank="1" type="list">
      <formula1>"Positive Trend,Negative Trend"</formula1>
    </dataValidation>
    <dataValidation sqref="BF2:BF371" showDropDown="0" showInputMessage="0" showErrorMessage="0" allowBlank="1" type="list">
      <formula1>"Uptrend,Sideways,Downtrend"</formula1>
    </dataValidation>
    <dataValidation sqref="BH2:BH371" showDropDown="0" showInputMessage="0" showErrorMessage="0" allowBlank="1" type="list">
      <formula1>"Uptrend,Sideways,Downtrend"</formula1>
    </dataValidation>
    <dataValidation sqref="BJ2:BJ37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1" showDropDown="0" showInputMessage="0" showErrorMessage="0" allowBlank="1" type="list">
      <formula1>"Yes,No"</formula1>
    </dataValidation>
    <dataValidation sqref="BN2:BN371" showDropDown="0" showInputMessage="0" showErrorMessage="0" allowBlank="1" type="list">
      <formula1>"More than 20%,Between 12 to 20%,Less than 12%"</formula1>
    </dataValidation>
    <dataValidation sqref="BP2:BP371" showDropDown="0" showInputMessage="0" showErrorMessage="0" allowBlank="1" type="list">
      <formula1>"Yes,No"</formula1>
    </dataValidation>
    <dataValidation sqref="BR2:BR371" showDropDown="0" showInputMessage="0" showErrorMessage="0" allowBlank="1" type="list">
      <formula1>"Yes,No"</formula1>
    </dataValidation>
    <dataValidation sqref="BT2:BT371" showDropDown="0" showInputMessage="0" showErrorMessage="0" allowBlank="1" type="list">
      <formula1>"Above 2,Between 1.5 to 2,Less than 1.5"</formula1>
    </dataValidation>
    <dataValidation sqref="BV2:BV371" showDropDown="0" showInputMessage="0" showErrorMessage="0" allowBlank="1" type="list">
      <formula1>"Above 70%,Between 50% to 70%,Less than 50%,Less than 50% and Borrowings are increasing,Negative"</formula1>
    </dataValidation>
    <dataValidation sqref="BX2:BX371" showDropDown="0" showInputMessage="0" showErrorMessage="0" allowBlank="1" type="list">
      <formula1>"More than 1.2,Between 0.7 to 1.2,Less than 0.7"</formula1>
    </dataValidation>
    <dataValidation sqref="BZ2:BZ371" showDropDown="0" showInputMessage="0" showErrorMessage="0" allowBlank="1" type="list">
      <formula1>"Yes,No"</formula1>
    </dataValidation>
    <dataValidation sqref="CB2:CB371" showDropDown="0" showInputMessage="0" showErrorMessage="0" allowBlank="1" type="list">
      <formula1>"More than 15%,Less than 15%"</formula1>
    </dataValidation>
    <dataValidation sqref="CD2:CD37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IF(B2=0,"",RANK(B2,$B$2:$B$28,0))</f>
        <v/>
      </c>
      <c r="B2" s="31">
        <f>SUM(N2,Y2,AA2,AC2,AE2,AG2,AI2,AK2,AM2,AO2,AQ2,AS2,AU2,AW2,AY2,BA2,BC2,BE2,BG2,BI2,BK2,BM2,BO2,BQ2,BS2,BU2,BW2,BY2,CA2)</f>
        <v/>
      </c>
      <c r="C2" s="30" t="inlineStr">
        <is>
          <t>TMB</t>
        </is>
      </c>
      <c r="D2" s="30" t="inlineStr">
        <is>
          <t>Tamilnad Mercantile Bank Ltd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14676.01</v>
      </c>
      <c r="I2" s="31" t="n">
        <v>922.25</v>
      </c>
      <c r="J2" s="31" t="n">
        <v>-0.49</v>
      </c>
      <c r="K2" s="31" t="n">
        <v>68604</v>
      </c>
      <c r="L2" s="30" t="n">
        <v>70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72.76000000000001</v>
      </c>
      <c r="P2" s="31" t="n">
        <v>44.03</v>
      </c>
      <c r="Q2" s="31" t="n">
        <v>768.08</v>
      </c>
      <c r="R2" s="30" t="inlineStr">
        <is>
          <t>Near 52W High Breakout</t>
        </is>
      </c>
      <c r="S2" s="30" t="inlineStr">
        <is>
          <t>Nifty Bank</t>
        </is>
      </c>
      <c r="T2" s="31" t="n">
        <v>2.71</v>
      </c>
      <c r="U2" s="31" t="n">
        <v>117.02</v>
      </c>
      <c r="V2" s="31" t="n">
        <v>111.29</v>
      </c>
      <c r="W2" s="31" t="n">
        <v>21.22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IF(B3=0,"",RANK(B3,$B$2:$B$28,0))</f>
        <v/>
      </c>
      <c r="B3" s="31">
        <f>SUM(N3,Y3,AA3,AC3,AE3,AG3,AI3,AK3,AM3,AO3,AQ3,AS3,AU3,AW3,AY3,BA3,BC3,BE3,BG3,BI3,BK3,BM3,BO3,BQ3,BS3,BU3,BW3,BY3,CA3)</f>
        <v/>
      </c>
      <c r="C3" s="30" t="inlineStr">
        <is>
          <t>CUB</t>
        </is>
      </c>
      <c r="D3" s="30" t="inlineStr">
        <is>
          <t>City Union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largecap</t>
        </is>
      </c>
      <c r="H3" s="31" t="n">
        <v>23082.37</v>
      </c>
      <c r="I3" s="31" t="n">
        <v>231.67</v>
      </c>
      <c r="J3" s="31" t="n">
        <v>-0.5600000000000001</v>
      </c>
      <c r="K3" s="31" t="n">
        <v>1015686</v>
      </c>
      <c r="L3" s="30" t="n">
        <v>46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62.56</v>
      </c>
      <c r="P3" s="31" t="n">
        <v>40.07</v>
      </c>
      <c r="Q3" s="31" t="n">
        <v>182.73</v>
      </c>
      <c r="R3" s="30" t="inlineStr">
        <is>
          <t>Near 52W High Breakout</t>
        </is>
      </c>
      <c r="S3" s="30" t="inlineStr">
        <is>
          <t>Nifty Bank</t>
        </is>
      </c>
      <c r="T3" s="31" t="n">
        <v>2.71</v>
      </c>
      <c r="U3" s="31" t="n">
        <v>52.56</v>
      </c>
      <c r="V3" s="31" t="n">
        <v>48.53</v>
      </c>
      <c r="W3" s="31" t="n">
        <v>13.3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IF(B4=0,"",RANK(B4,$B$2:$B$28,0))</f>
        <v/>
      </c>
      <c r="B4" s="31">
        <f>SUM(N4,Y4,AA4,AC4,AE4,AG4,AI4,AK4,AM4,AO4,AQ4,AS4,AU4,AW4,AY4,BA4,BC4,BE4,BG4,BI4,BK4,BM4,BO4,BQ4,BS4,BU4,BW4,BY4,CA4)</f>
        <v/>
      </c>
      <c r="C4" s="30" t="inlineStr">
        <is>
          <t>KTKBANK</t>
        </is>
      </c>
      <c r="D4" s="30" t="inlineStr">
        <is>
          <t>The Karnataka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12641.45</v>
      </c>
      <c r="I4" s="31" t="n">
        <v>331.25</v>
      </c>
      <c r="J4" s="31" t="n">
        <v>-0.9</v>
      </c>
      <c r="K4" s="31" t="n">
        <v>1849893</v>
      </c>
      <c r="L4" s="30" t="n">
        <v>60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74.40000000000001</v>
      </c>
      <c r="P4" s="31" t="n">
        <v>50.7</v>
      </c>
      <c r="Q4" s="31" t="n">
        <v>282.92</v>
      </c>
      <c r="R4" s="30" t="inlineStr">
        <is>
          <t>Near 52W High Breakout</t>
        </is>
      </c>
      <c r="S4" s="30" t="inlineStr">
        <is>
          <t>Nifty Bank</t>
        </is>
      </c>
      <c r="T4" s="31" t="n">
        <v>2.71</v>
      </c>
      <c r="U4" s="31" t="n">
        <v>90.31999999999999</v>
      </c>
      <c r="V4" s="31" t="n">
        <v>85.3</v>
      </c>
      <c r="W4" s="31" t="n">
        <v>18.07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IF(B5=0,"",RANK(B5,$B$2:$B$28,0))</f>
        <v/>
      </c>
      <c r="B5" s="31">
        <f>SUM(N5,Y5,AA5,AC5,AE5,AG5,AI5,AK5,AM5,AO5,AQ5,AS5,AU5,AW5,AY5,BA5,BC5,BE5,BG5,BI5,BK5,BM5,BO5,BQ5,BS5,BU5,BW5,BY5,CA5)</f>
        <v/>
      </c>
      <c r="C5" s="30" t="inlineStr">
        <is>
          <t>WELINV</t>
        </is>
      </c>
      <c r="D5" s="30" t="inlineStr">
        <is>
          <t>Welspun Investments And Commercials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848.09</v>
      </c>
      <c r="I5" s="31" t="n">
        <v>2339</v>
      </c>
      <c r="J5" s="31" t="n">
        <v>0.79</v>
      </c>
      <c r="K5" s="31" t="n">
        <v>129</v>
      </c>
      <c r="L5" s="30" t="n">
        <v>77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82.59999999999999</v>
      </c>
      <c r="P5" s="31" t="n">
        <v>57.07</v>
      </c>
      <c r="Q5" s="31" t="n">
        <v>1821.77</v>
      </c>
      <c r="R5" s="30" t="inlineStr">
        <is>
          <t>Near 52W High Breakout</t>
        </is>
      </c>
      <c r="S5" s="30" t="inlineStr">
        <is>
          <t>Nifty Bank</t>
        </is>
      </c>
      <c r="T5" s="31" t="n">
        <v>2.71</v>
      </c>
      <c r="U5" s="31" t="n">
        <v>133.9</v>
      </c>
      <c r="V5" s="31" t="n">
        <v>127.72</v>
      </c>
      <c r="W5" s="31" t="n">
        <v>26.66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IF(B6=0,"",RANK(B6,$B$2:$B$28,0))</f>
        <v/>
      </c>
      <c r="B6" s="31">
        <f>SUM(N6,Y6,AA6,AC6,AE6,AG6,AI6,AK6,AM6,AO6,AQ6,AS6,AU6,AW6,AY6,BA6,BC6,BE6,BG6,BI6,BK6,BM6,BO6,BQ6,BS6,BU6,BW6,BY6,CA6)</f>
        <v/>
      </c>
      <c r="C6" s="30" t="inlineStr">
        <is>
          <t>CGCL</t>
        </is>
      </c>
      <c r="D6" s="30" t="inlineStr">
        <is>
          <t>Capri Global Capital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largecap</t>
        </is>
      </c>
      <c r="H6" s="31" t="n">
        <v>26050.32</v>
      </c>
      <c r="I6" s="31" t="n">
        <v>272.4</v>
      </c>
      <c r="J6" s="31" t="n">
        <v>0.61</v>
      </c>
      <c r="K6" s="31" t="n">
        <v>3036249</v>
      </c>
      <c r="L6" s="30" t="n">
        <v>51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70.05</v>
      </c>
      <c r="P6" s="31" t="n">
        <v>40.5</v>
      </c>
      <c r="Q6" s="31" t="n">
        <v>220.06</v>
      </c>
      <c r="R6" s="30" t="inlineStr">
        <is>
          <t>Near 52W High Breakout</t>
        </is>
      </c>
      <c r="S6" s="30" t="inlineStr">
        <is>
          <t>Nifty Bank</t>
        </is>
      </c>
      <c r="T6" s="31" t="n">
        <v>2.71</v>
      </c>
      <c r="U6" s="31" t="n">
        <v>46.53</v>
      </c>
      <c r="V6" s="31" t="n">
        <v>42.66</v>
      </c>
      <c r="W6" s="31" t="n">
        <v>15.09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IF(B7=0,"",RANK(B7,$B$2:$B$28,0))</f>
        <v/>
      </c>
      <c r="B7" s="31">
        <f>SUM(N7,Y7,AA7,AC7,AE7,AG7,AI7,AK7,AM7,AO7,AQ7,AS7,AU7,AW7,AY7,BA7,BC7,BE7,BG7,BI7,BK7,BM7,BO7,BQ7,BS7,BU7,BW7,BY7,CA7)</f>
        <v/>
      </c>
      <c r="C7" s="30" t="inlineStr">
        <is>
          <t>RBLBANK</t>
        </is>
      </c>
      <c r="D7" s="30" t="inlineStr">
        <is>
          <t>Rbl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64807.15</v>
      </c>
      <c r="I7" s="31" t="n">
        <v>416</v>
      </c>
      <c r="J7" s="31" t="n">
        <v>-0.6</v>
      </c>
      <c r="K7" s="31" t="n">
        <v>3908840</v>
      </c>
      <c r="L7" s="30" t="n">
        <v>43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68.55</v>
      </c>
      <c r="P7" s="31" t="n">
        <v>36.51</v>
      </c>
      <c r="Q7" s="31" t="n">
        <v>355.33</v>
      </c>
      <c r="R7" s="30" t="inlineStr">
        <is>
          <t>Near 52W High Breakout</t>
        </is>
      </c>
      <c r="S7" s="30" t="inlineStr">
        <is>
          <t>Nifty Bank</t>
        </is>
      </c>
      <c r="T7" s="31" t="n">
        <v>2.71</v>
      </c>
      <c r="U7" s="31" t="n">
        <v>53</v>
      </c>
      <c r="V7" s="31" t="n">
        <v>48.96</v>
      </c>
      <c r="W7" s="31" t="n">
        <v>12.16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IF(B8=0,"",RANK(B8,$B$2:$B$28,0))</f>
        <v/>
      </c>
      <c r="B8" s="31">
        <f>SUM(N8,Y8,AA8,AC8,AE8,AG8,AI8,AK8,AM8,AO8,AQ8,AS8,AU8,AW8,AY8,BA8,BC8,BE8,BG8,BI8,BK8,BM8,BO8,BQ8,BS8,BU8,BW8,BY8,CA8)</f>
        <v/>
      </c>
      <c r="C8" s="30" t="inlineStr">
        <is>
          <t>DCBBANK</t>
        </is>
      </c>
      <c r="D8" s="30" t="inlineStr">
        <is>
          <t>Dcb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7393.29</v>
      </c>
      <c r="I8" s="31" t="n">
        <v>228.1</v>
      </c>
      <c r="J8" s="31" t="n">
        <v>-0.63</v>
      </c>
      <c r="K8" s="31" t="n">
        <v>2269401</v>
      </c>
      <c r="L8" s="30" t="n">
        <v>63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73.89</v>
      </c>
      <c r="P8" s="31" t="n">
        <v>32.3</v>
      </c>
      <c r="Q8" s="31" t="n">
        <v>185.01</v>
      </c>
      <c r="R8" s="30" t="inlineStr">
        <is>
          <t>Near 52W High Breakout</t>
        </is>
      </c>
      <c r="S8" s="30" t="inlineStr">
        <is>
          <t>Nifty Bank</t>
        </is>
      </c>
      <c r="T8" s="31" t="n">
        <v>2.71</v>
      </c>
      <c r="U8" s="31" t="n">
        <v>81.03</v>
      </c>
      <c r="V8" s="31" t="n">
        <v>76.25</v>
      </c>
      <c r="W8" s="31" t="n">
        <v>18.88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IF(B9=0,"",RANK(B9,$B$2:$B$28,0))</f>
        <v/>
      </c>
      <c r="B9" s="31">
        <f>SUM(N9,Y9,AA9,AC9,AE9,AG9,AI9,AK9,AM9,AO9,AQ9,AS9,AU9,AW9,AY9,BA9,BC9,BE9,BG9,BI9,BK9,BM9,BO9,BQ9,BS9,BU9,BW9,BY9,CA9)</f>
        <v/>
      </c>
      <c r="C9" s="30" t="inlineStr">
        <is>
          <t>SHAREINDIA</t>
        </is>
      </c>
      <c r="D9" s="30" t="inlineStr">
        <is>
          <t>Share India Securities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3739.95</v>
      </c>
      <c r="I9" s="31" t="n">
        <v>189.46</v>
      </c>
      <c r="J9" s="31" t="n">
        <v>10.85</v>
      </c>
      <c r="K9" s="31" t="n">
        <v>28867559</v>
      </c>
      <c r="L9" s="30" t="n">
        <v>53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64.17</v>
      </c>
      <c r="P9" s="31" t="n">
        <v>30.62</v>
      </c>
      <c r="Q9" s="31" t="n">
        <v>143.48</v>
      </c>
      <c r="R9" s="30" t="inlineStr">
        <is>
          <t>Near 52W High Breakout</t>
        </is>
      </c>
      <c r="S9" s="30" t="inlineStr">
        <is>
          <t>Nifty Bank</t>
        </is>
      </c>
      <c r="T9" s="31" t="n">
        <v>2.71</v>
      </c>
      <c r="U9" s="31" t="n">
        <v>31.34</v>
      </c>
      <c r="V9" s="31" t="n">
        <v>27.87</v>
      </c>
      <c r="W9" s="31" t="n">
        <v>15.76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IF(B10=0,"",RANK(B10,$B$2:$B$28,0))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PAISALO</t>
        </is>
      </c>
      <c r="D10" s="30" t="inlineStr">
        <is>
          <t>Paisalo Digital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midcap</t>
        </is>
      </c>
      <c r="H10" s="31" t="n">
        <v>7068.8</v>
      </c>
      <c r="I10" s="31" t="n">
        <v>79.92</v>
      </c>
      <c r="J10" s="31" t="n">
        <v>2.83</v>
      </c>
      <c r="K10" s="31" t="n">
        <v>21010428</v>
      </c>
      <c r="L10" s="30" t="n">
        <v>80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78</v>
      </c>
      <c r="P10" s="31" t="n">
        <v>67.12</v>
      </c>
      <c r="Q10" s="31" t="n">
        <v>63.52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2.71</v>
      </c>
      <c r="U10" s="31" t="n">
        <v>110.63</v>
      </c>
      <c r="V10" s="31" t="n">
        <v>105.07</v>
      </c>
      <c r="W10" s="31" t="n">
        <v>28.52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Above 40</t>
        </is>
      </c>
      <c r="BM10" s="30">
        <f>IF(BL10="Above 40",20,IF(BL10="20 to 40",10,IF(BL10="0 to 20",-5,0)))</f>
        <v/>
      </c>
      <c r="BN10" s="30" t="inlineStr">
        <is>
          <t>Above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IF(B11=0,"",RANK(B11,$B$2:$B$28,0))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MAHABANK</t>
        </is>
      </c>
      <c r="D11" s="30" t="inlineStr">
        <is>
          <t>Bank Of Maharashtra Ltd</t>
        </is>
      </c>
      <c r="E11" s="30" t="inlineStr">
        <is>
          <t>bank</t>
        </is>
      </c>
      <c r="F11" s="30" t="inlineStr">
        <is>
          <t>banks - public sector</t>
        </is>
      </c>
      <c r="G11" s="30" t="inlineStr">
        <is>
          <t>largecap</t>
        </is>
      </c>
      <c r="H11" s="31" t="n">
        <v>65216.69</v>
      </c>
      <c r="I11" s="31" t="n">
        <v>84.56</v>
      </c>
      <c r="J11" s="31" t="n">
        <v>-0.27</v>
      </c>
      <c r="K11" s="31" t="n">
        <v>11713367</v>
      </c>
      <c r="L11" s="30" t="n">
        <v>37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60.23</v>
      </c>
      <c r="P11" s="31" t="n">
        <v>40.65</v>
      </c>
      <c r="Q11" s="31" t="n">
        <v>74.45</v>
      </c>
      <c r="R11" s="30" t="inlineStr">
        <is>
          <t>Earnings / Momentum Support</t>
        </is>
      </c>
      <c r="S11" s="30" t="inlineStr">
        <is>
          <t>Nifty Bank</t>
        </is>
      </c>
      <c r="T11" s="31" t="n">
        <v>2.71</v>
      </c>
      <c r="U11" s="31" t="n">
        <v>61.25</v>
      </c>
      <c r="V11" s="31" t="n">
        <v>56.99</v>
      </c>
      <c r="W11" s="31" t="n">
        <v>10.32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IF(B12=0,"",RANK(B12,$B$2:$B$28,0))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RANEHOLDIN</t>
        </is>
      </c>
      <c r="D12" s="30" t="inlineStr">
        <is>
          <t>Rane Holdings Limited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2415.52</v>
      </c>
      <c r="I12" s="31" t="n">
        <v>1686.4</v>
      </c>
      <c r="J12" s="31" t="n">
        <v>-0.32</v>
      </c>
      <c r="K12" s="31" t="n">
        <v>15103</v>
      </c>
      <c r="L12" s="30" t="n">
        <v>29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61.86</v>
      </c>
      <c r="P12" s="31" t="n">
        <v>43.69</v>
      </c>
      <c r="Q12" s="31" t="n">
        <v>1364.45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2.71</v>
      </c>
      <c r="U12" s="31" t="n">
        <v>15.16</v>
      </c>
      <c r="V12" s="31" t="n">
        <v>12.12</v>
      </c>
      <c r="W12" s="31" t="n">
        <v>8.09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less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Above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IF(B13=0,"",RANK(B13,$B$2:$B$28,0))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NORTHARC</t>
        </is>
      </c>
      <c r="D13" s="30" t="inlineStr">
        <is>
          <t>Northern ARC Capital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midcap</t>
        </is>
      </c>
      <c r="H13" s="31" t="n">
        <v>5023.72</v>
      </c>
      <c r="I13" s="31" t="n">
        <v>308.35</v>
      </c>
      <c r="J13" s="31" t="n">
        <v>-0.8</v>
      </c>
      <c r="K13" s="31" t="n">
        <v>1054140</v>
      </c>
      <c r="L13" s="30" t="n">
        <v>22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60.24</v>
      </c>
      <c r="P13" s="31" t="n">
        <v>32.8</v>
      </c>
      <c r="Q13" s="31" t="n">
        <v>254.66</v>
      </c>
      <c r="R13" s="30" t="inlineStr">
        <is>
          <t>Earnings / Momentum Support</t>
        </is>
      </c>
      <c r="S13" s="30" t="inlineStr">
        <is>
          <t>Nifty Bank</t>
        </is>
      </c>
      <c r="T13" s="31" t="n">
        <v>2.71</v>
      </c>
      <c r="U13" s="31" t="n">
        <v>25.13</v>
      </c>
      <c r="V13" s="31" t="n">
        <v>21.83</v>
      </c>
      <c r="W13" s="31" t="n">
        <v>6.83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No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IF(B14=0,"",RANK(B14,$B$2:$B$28,0))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SMCGLOBAL</t>
        </is>
      </c>
      <c r="D14" s="30" t="inlineStr">
        <is>
          <t>SMC Global Securities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1786.39</v>
      </c>
      <c r="I14" s="31" t="n">
        <v>83.93000000000001</v>
      </c>
      <c r="J14" s="31" t="n">
        <v>-1.62</v>
      </c>
      <c r="K14" s="31" t="n">
        <v>804605</v>
      </c>
      <c r="L14" s="30" t="n">
        <v>34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61.83</v>
      </c>
      <c r="P14" s="31" t="n">
        <v>20.85</v>
      </c>
      <c r="Q14" s="31" t="n">
        <v>66.05</v>
      </c>
      <c r="R14" s="30" t="inlineStr">
        <is>
          <t>Earnings / Momentum Support</t>
        </is>
      </c>
      <c r="S14" s="30" t="inlineStr">
        <is>
          <t>Nifty Bank</t>
        </is>
      </c>
      <c r="T14" s="31" t="n">
        <v>2.71</v>
      </c>
      <c r="U14" s="31" t="n">
        <v>23.93</v>
      </c>
      <c r="V14" s="31" t="n">
        <v>20.66</v>
      </c>
      <c r="W14" s="31" t="n">
        <v>9.300000000000001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IF(B15=0,"",RANK(B15,$B$2:$B$28,0))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CONSOFINVT</t>
        </is>
      </c>
      <c r="D15" s="30" t="inlineStr">
        <is>
          <t>Consolidated Finvest &amp; Holdings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1026.2</v>
      </c>
      <c r="I15" s="31" t="n">
        <v>305.05</v>
      </c>
      <c r="J15" s="31" t="n">
        <v>-3.91</v>
      </c>
      <c r="K15" s="31" t="n">
        <v>9735</v>
      </c>
      <c r="L15" s="30" t="n">
        <v>63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70.56</v>
      </c>
      <c r="P15" s="31" t="n">
        <v>36.2</v>
      </c>
      <c r="Q15" s="31" t="n">
        <v>237.61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2.71</v>
      </c>
      <c r="U15" s="31" t="n">
        <v>56.43</v>
      </c>
      <c r="V15" s="31" t="n">
        <v>52.3</v>
      </c>
      <c r="W15" s="31" t="n">
        <v>18.91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IF(B16=0,"",RANK(B16,$B$2:$B$28,0))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TFCILTD</t>
        </is>
      </c>
      <c r="D16" s="30" t="inlineStr">
        <is>
          <t>Tourism Finance Corporation Of India Limited</t>
        </is>
      </c>
      <c r="E16" s="30" t="inlineStr">
        <is>
          <t>financials</t>
        </is>
      </c>
      <c r="F16" s="30" t="inlineStr">
        <is>
          <t>finance - term-lending institutions</t>
        </is>
      </c>
      <c r="G16" s="30" t="inlineStr">
        <is>
          <t>midcap</t>
        </is>
      </c>
      <c r="H16" s="31" t="n">
        <v>6522.89</v>
      </c>
      <c r="I16" s="31" t="n">
        <v>141.69</v>
      </c>
      <c r="J16" s="31" t="n">
        <v>0.57</v>
      </c>
      <c r="K16" s="31" t="n">
        <v>5715933</v>
      </c>
      <c r="L16" s="30" t="n">
        <v>89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84.15000000000001</v>
      </c>
      <c r="P16" s="31" t="n">
        <v>65.98999999999999</v>
      </c>
      <c r="Q16" s="31" t="n">
        <v>114.99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2.71</v>
      </c>
      <c r="U16" s="31" t="n">
        <v>95.48999999999999</v>
      </c>
      <c r="V16" s="31" t="n">
        <v>90.33</v>
      </c>
      <c r="W16" s="31" t="n">
        <v>37.21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above 5x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Above 40</t>
        </is>
      </c>
      <c r="BM16" s="30">
        <f>IF(BL16="Above 40",20,IF(BL16="20 to 40",10,IF(BL16="0 to 20",-5,0)))</f>
        <v/>
      </c>
      <c r="BN16" s="30" t="inlineStr">
        <is>
          <t>Above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IF(B17=0,"",RANK(B17,$B$2:$B$28,0))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NIACL</t>
        </is>
      </c>
      <c r="D17" s="30" t="inlineStr">
        <is>
          <t>New India Assurance Company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largecap</t>
        </is>
      </c>
      <c r="H17" s="31" t="n">
        <v>33820.26</v>
      </c>
      <c r="I17" s="31" t="n">
        <v>205.51</v>
      </c>
      <c r="J17" s="31" t="n">
        <v>0.14</v>
      </c>
      <c r="K17" s="31" t="n">
        <v>10799389</v>
      </c>
      <c r="L17" s="30" t="n">
        <v>37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61.3</v>
      </c>
      <c r="P17" s="31" t="n">
        <v>33.35</v>
      </c>
      <c r="Q17" s="31" t="n">
        <v>172.29</v>
      </c>
      <c r="R17" s="30" t="inlineStr">
        <is>
          <t>Volume Spike / Accumulation</t>
        </is>
      </c>
      <c r="S17" s="30" t="inlineStr">
        <is>
          <t>Nifty Bank</t>
        </is>
      </c>
      <c r="T17" s="31" t="n">
        <v>2.71</v>
      </c>
      <c r="U17" s="31" t="n">
        <v>7.64</v>
      </c>
      <c r="V17" s="31" t="n">
        <v>4.8</v>
      </c>
      <c r="W17" s="31" t="n">
        <v>10.47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IF(B18=0,"",RANK(B18,$B$2:$B$28,0))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MCX</t>
        </is>
      </c>
      <c r="D18" s="30" t="inlineStr">
        <is>
          <t>Multi Commodity Exchange Of India Limited</t>
        </is>
      </c>
      <c r="E18" s="30" t="inlineStr">
        <is>
          <t>financials</t>
        </is>
      </c>
      <c r="F18" s="30" t="inlineStr">
        <is>
          <t>miscellaneous</t>
        </is>
      </c>
      <c r="G18" s="30" t="inlineStr">
        <is>
          <t>largecap</t>
        </is>
      </c>
      <c r="H18" s="31" t="n">
        <v>85218.27</v>
      </c>
      <c r="I18" s="31" t="n">
        <v>3350</v>
      </c>
      <c r="J18" s="31" t="n">
        <v>0.24</v>
      </c>
      <c r="K18" s="31" t="n">
        <v>2174879</v>
      </c>
      <c r="L18" s="30" t="n">
        <v>69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68.81</v>
      </c>
      <c r="P18" s="31" t="n">
        <v>22.28</v>
      </c>
      <c r="Q18" s="31" t="n">
        <v>2697.23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2.71</v>
      </c>
      <c r="U18" s="31" t="n">
        <v>117.26</v>
      </c>
      <c r="V18" s="31" t="n">
        <v>111.53</v>
      </c>
      <c r="W18" s="31" t="n">
        <v>20.81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IF(B19=0,"",RANK(B19,$B$2:$B$28,0))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EDELWEISS</t>
        </is>
      </c>
      <c r="D19" s="30" t="inlineStr">
        <is>
          <t>Edelweiss Financial Services Limited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midcap</t>
        </is>
      </c>
      <c r="H19" s="31" t="n">
        <v>13137.86</v>
      </c>
      <c r="I19" s="31" t="n">
        <v>133.63</v>
      </c>
      <c r="J19" s="31" t="n">
        <v>-3.72</v>
      </c>
      <c r="K19" s="31" t="n">
        <v>7709484</v>
      </c>
      <c r="L19" s="30" t="n">
        <v>28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61.83</v>
      </c>
      <c r="P19" s="31" t="n">
        <v>17.31</v>
      </c>
      <c r="Q19" s="31" t="n">
        <v>104.1</v>
      </c>
      <c r="R19" s="30" t="inlineStr">
        <is>
          <t>Volume Spike &amp; Near 52W High Breakout</t>
        </is>
      </c>
      <c r="S19" s="30" t="inlineStr">
        <is>
          <t>Nifty Bank</t>
        </is>
      </c>
      <c r="T19" s="31" t="n">
        <v>2.71</v>
      </c>
      <c r="U19" s="31" t="n">
        <v>15.83</v>
      </c>
      <c r="V19" s="31" t="n">
        <v>12.77</v>
      </c>
      <c r="W19" s="31" t="n">
        <v>7.79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IF(B20=0,"",RANK(B20,$B$2:$B$28,0))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KOTAKBANK</t>
        </is>
      </c>
      <c r="D20" s="30" t="inlineStr">
        <is>
          <t>Kotak Mahindra Bank Limited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largecap</t>
        </is>
      </c>
      <c r="H20" s="31" t="n">
        <v>417015.78</v>
      </c>
      <c r="I20" s="31" t="n">
        <v>414</v>
      </c>
      <c r="J20" s="31" t="n">
        <v>-1.25</v>
      </c>
      <c r="K20" s="31" t="n">
        <v>10886349</v>
      </c>
      <c r="L20" s="30" t="n">
        <v>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56.89</v>
      </c>
      <c r="P20" s="31" t="n">
        <v>11.77</v>
      </c>
      <c r="Q20" s="31" t="n">
        <v>373.75</v>
      </c>
      <c r="R20" s="30" t="inlineStr">
        <is>
          <t>Earnings / Momentum Support</t>
        </is>
      </c>
      <c r="S20" s="30" t="inlineStr">
        <is>
          <t>Nifty Bank</t>
        </is>
      </c>
      <c r="T20" s="31" t="n">
        <v>2.71</v>
      </c>
      <c r="U20" s="31" t="n">
        <v>5.13</v>
      </c>
      <c r="V20" s="31" t="n">
        <v>2.36</v>
      </c>
      <c r="W20" s="31" t="n">
        <v>2.05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IF(B21=0,"",RANK(B21,$B$2:$B$28,0))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ABSLAMC</t>
        </is>
      </c>
      <c r="D21" s="30" t="inlineStr">
        <is>
          <t>Aditya Birla Sun Life AMC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largecap</t>
        </is>
      </c>
      <c r="H21" s="31" t="n">
        <v>29972.31</v>
      </c>
      <c r="I21" s="31" t="n">
        <v>1066.5</v>
      </c>
      <c r="J21" s="31" t="n">
        <v>2.77</v>
      </c>
      <c r="K21" s="31" t="n">
        <v>233592</v>
      </c>
      <c r="L21" s="30" t="n">
        <v>19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57.43</v>
      </c>
      <c r="P21" s="31" t="n">
        <v>33.29</v>
      </c>
      <c r="Q21" s="31" t="n">
        <v>939.29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2.71</v>
      </c>
      <c r="U21" s="31" t="n">
        <v>29.05</v>
      </c>
      <c r="V21" s="31" t="n">
        <v>25.64</v>
      </c>
      <c r="W21" s="31" t="n">
        <v>5.88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above 5x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IF(B22=0,"",RANK(B22,$B$2:$B$28,0))</f>
        <v/>
      </c>
      <c r="B22" s="31">
        <f>SUM(N22,Y22,AA22,AC22,AE22,AG22,AI22,AK22,AM22,AO22,AQ22,AS22,AU22,AW22,AY22,BA22,BC22,BE22,BG22,BI22,BK22,BM22,BO22,BQ22,BS22,BU22,BW22,BY22,CA22)</f>
        <v/>
      </c>
      <c r="C22" s="32" t="inlineStr">
        <is>
          <t>LICHSGFIN</t>
        </is>
      </c>
      <c r="D22" s="32" t="inlineStr">
        <is>
          <t>Lic Housing Finance Limited</t>
        </is>
      </c>
      <c r="E22" s="30" t="inlineStr">
        <is>
          <t>financials</t>
        </is>
      </c>
      <c r="F22" s="30" t="inlineStr">
        <is>
          <t>finance - housing</t>
        </is>
      </c>
      <c r="G22" s="30" t="inlineStr">
        <is>
          <t>largecap</t>
        </is>
      </c>
      <c r="H22" s="31" t="n">
        <v>30968.55</v>
      </c>
      <c r="I22" s="31" t="n">
        <v>555</v>
      </c>
      <c r="J22" s="31" t="n">
        <v>-1.42</v>
      </c>
      <c r="K22" s="31" t="n">
        <v>2616014</v>
      </c>
      <c r="L22" s="30" t="n">
        <v>4</v>
      </c>
      <c r="M22" s="30" t="inlineStr">
        <is>
          <t>Underperforming</t>
        </is>
      </c>
      <c r="N22" s="31">
        <f>IF(M22="Underperforming",-5,IF(L22&gt;=95,15,IF(L22&gt;=90,10,IF(L22&gt;=80,5,0))))</f>
        <v/>
      </c>
      <c r="O22" s="31" t="n">
        <v>57.61</v>
      </c>
      <c r="P22" s="31" t="n">
        <v>14.34</v>
      </c>
      <c r="Q22" s="31" t="n">
        <v>473.28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2.71</v>
      </c>
      <c r="U22" s="31" t="n">
        <v>-0.17</v>
      </c>
      <c r="V22" s="31" t="n">
        <v>-2.8</v>
      </c>
      <c r="W22" s="31" t="n">
        <v>0.44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IF(B23=0,"",RANK(B23,$B$2:$B$28,0))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MOTILALOFS</t>
        </is>
      </c>
      <c r="D23" s="30" t="inlineStr">
        <is>
          <t>Motilal Oswal Financial Services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largecap</t>
        </is>
      </c>
      <c r="H23" s="31" t="n">
        <v>63315.73</v>
      </c>
      <c r="I23" s="31" t="n">
        <v>1025</v>
      </c>
      <c r="J23" s="31" t="n">
        <v>-2.52</v>
      </c>
      <c r="K23" s="31" t="n">
        <v>489071</v>
      </c>
      <c r="L23" s="30" t="n">
        <v>23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63.9</v>
      </c>
      <c r="P23" s="31" t="n">
        <v>18</v>
      </c>
      <c r="Q23" s="31" t="n">
        <v>850.62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2.71</v>
      </c>
      <c r="U23" s="31" t="n">
        <v>12.56</v>
      </c>
      <c r="V23" s="31" t="n">
        <v>9.59</v>
      </c>
      <c r="W23" s="31" t="n">
        <v>6.97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between 2.5x to 5x and Growth less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IF(B24=0,"",RANK(B24,$B$2:$B$28,0))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SBFC</t>
        </is>
      </c>
      <c r="D24" s="32" t="inlineStr">
        <is>
          <t>SBFC Finance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midcap</t>
        </is>
      </c>
      <c r="H24" s="31" t="n">
        <v>10779.63</v>
      </c>
      <c r="I24" s="31" t="n">
        <v>99.59</v>
      </c>
      <c r="J24" s="31" t="n">
        <v>2.3</v>
      </c>
      <c r="K24" s="31" t="n">
        <v>1121688</v>
      </c>
      <c r="L24" s="30" t="n">
        <v>5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56.71</v>
      </c>
      <c r="P24" s="31" t="n">
        <v>14.35</v>
      </c>
      <c r="Q24" s="31" t="n">
        <v>81.48999999999999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2.71</v>
      </c>
      <c r="U24" s="31" t="n">
        <v>-6.64</v>
      </c>
      <c r="V24" s="31" t="n">
        <v>-9.1</v>
      </c>
      <c r="W24" s="31" t="n">
        <v>0.91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IF(B25=0,"",RANK(B25,$B$2:$B$28,0))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ARMANFIN</t>
        </is>
      </c>
      <c r="D25" s="30" t="inlineStr">
        <is>
          <t>Arman Financial Services Limited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2142.38</v>
      </c>
      <c r="I25" s="31" t="n">
        <v>2037.1</v>
      </c>
      <c r="J25" s="31" t="n">
        <v>-0.02</v>
      </c>
      <c r="K25" s="31" t="n">
        <v>27412</v>
      </c>
      <c r="L25" s="30" t="n">
        <v>43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64.31</v>
      </c>
      <c r="P25" s="31" t="n">
        <v>28.42</v>
      </c>
      <c r="Q25" s="31" t="n">
        <v>1606.22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2.71</v>
      </c>
      <c r="U25" s="31" t="n">
        <v>42.35</v>
      </c>
      <c r="V25" s="31" t="n">
        <v>38.6</v>
      </c>
      <c r="W25" s="31" t="n">
        <v>12.76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Cyclical in an Uptick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Not Applicable</t>
        </is>
      </c>
      <c r="AK25" s="30">
        <f>IF(AJ25="Yes",10,0)</f>
        <v/>
      </c>
      <c r="AL25" s="30" t="inlineStr">
        <is>
          <t>Yes</t>
        </is>
      </c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Not Applicable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Sideways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IF(B26=0,"",RANK(B26,$B$2:$B$28,0))</f>
        <v/>
      </c>
      <c r="B26" s="31">
        <f>SUM(N26,Y26,AA26,AC26,AE26,AG26,AI26,AK26,AM26,AO26,AQ26,AS26,AU26,AW26,AY26,BA26,BC26,BE26,BG26,BI26,BK26,BM26,BO26,BQ26,BS26,BU26,BW26,BY26,CA26)</f>
        <v/>
      </c>
      <c r="C26" s="32" t="inlineStr">
        <is>
          <t>CRISIL</t>
        </is>
      </c>
      <c r="D26" s="32" t="inlineStr">
        <is>
          <t>Crisil Limited</t>
        </is>
      </c>
      <c r="E26" s="30" t="inlineStr">
        <is>
          <t>financials</t>
        </is>
      </c>
      <c r="F26" s="30" t="inlineStr">
        <is>
          <t>miscellaneous</t>
        </is>
      </c>
      <c r="G26" s="30" t="inlineStr">
        <is>
          <t>largecap</t>
        </is>
      </c>
      <c r="H26" s="31" t="n">
        <v>34769.67</v>
      </c>
      <c r="I26" s="31" t="n">
        <v>4690.6</v>
      </c>
      <c r="J26" s="31" t="n">
        <v>-1.34</v>
      </c>
      <c r="K26" s="31" t="n">
        <v>17017</v>
      </c>
      <c r="L26" s="30" t="n">
        <v>10</v>
      </c>
      <c r="M26" s="30" t="inlineStr">
        <is>
          <t>Underperforming</t>
        </is>
      </c>
      <c r="N26" s="31">
        <f>IF(M26="Underperforming",-5,IF(L26&gt;=95,15,IF(L26&gt;=90,10,IF(L26&gt;=80,5,0))))</f>
        <v/>
      </c>
      <c r="O26" s="31" t="n">
        <v>60.47</v>
      </c>
      <c r="P26" s="31" t="n">
        <v>14.39</v>
      </c>
      <c r="Q26" s="31" t="n">
        <v>4032.96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2.71</v>
      </c>
      <c r="U26" s="31" t="n">
        <v>-4.8</v>
      </c>
      <c r="V26" s="31" t="n">
        <v>-7.31</v>
      </c>
      <c r="W26" s="31" t="n">
        <v>3.74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above 5x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IF(B27=0,"",RANK(B27,$B$2:$B$28,0))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SUNDARMFIN</t>
        </is>
      </c>
      <c r="D27" s="30" t="inlineStr">
        <is>
          <t>Sundaram Finance Limited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52359.92</v>
      </c>
      <c r="I27" s="31" t="n">
        <v>4728</v>
      </c>
      <c r="J27" s="31" t="n">
        <v>0.32</v>
      </c>
      <c r="K27" s="31" t="n">
        <v>24537</v>
      </c>
      <c r="L27" s="30" t="n">
        <v>16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53.54</v>
      </c>
      <c r="P27" s="31" t="n">
        <v>10.48</v>
      </c>
      <c r="Q27" s="31" t="n">
        <v>3926.78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2.71</v>
      </c>
      <c r="U27" s="31" t="n">
        <v>6.6</v>
      </c>
      <c r="V27" s="31" t="n">
        <v>3.78</v>
      </c>
      <c r="W27" s="31" t="n">
        <v>4.84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1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IF(B28=0,"",RANK(B28,$B$2:$B$28,0))</f>
        <v/>
      </c>
      <c r="B28" s="31">
        <f>SUM(N28,Y28,AA28,AC28,AE28,AG28,AI28,AK28,AM28,AO28,AQ28,AS28,AU28,AW28,AY28,BA28,BC28,BE28,BG28,BI28,BK28,BM28,BO28,BQ28,BS28,BU28,BW28,BY28,CA28)</f>
        <v/>
      </c>
      <c r="C28" s="32" t="inlineStr">
        <is>
          <t>RELIGARE</t>
        </is>
      </c>
      <c r="D28" s="32" t="inlineStr">
        <is>
          <t>Religare Enterprises Limited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midcap</t>
        </is>
      </c>
      <c r="H28" s="31" t="n">
        <v>8688.15</v>
      </c>
      <c r="I28" s="31" t="n">
        <v>256.65</v>
      </c>
      <c r="J28" s="31" t="n">
        <v>0.8</v>
      </c>
      <c r="K28" s="31" t="n">
        <v>1660145</v>
      </c>
      <c r="L28" s="30" t="n">
        <v>8</v>
      </c>
      <c r="M28" s="30" t="inlineStr">
        <is>
          <t>Underperforming</t>
        </is>
      </c>
      <c r="N28" s="31">
        <f>IF(M28="Underperforming",-5,IF(L28&gt;=95,15,IF(L28&gt;=90,10,IF(L28&gt;=80,5,0))))</f>
        <v/>
      </c>
      <c r="O28" s="31" t="n">
        <v>56.43</v>
      </c>
      <c r="P28" s="31" t="n">
        <v>17.85</v>
      </c>
      <c r="Q28" s="31" t="n">
        <v>222.27</v>
      </c>
      <c r="R28" s="30" t="inlineStr">
        <is>
          <t>Earnings / Momentum Support</t>
        </is>
      </c>
      <c r="S28" s="30" t="inlineStr">
        <is>
          <t>Nifty Bank</t>
        </is>
      </c>
      <c r="T28" s="31" t="n">
        <v>2.71</v>
      </c>
      <c r="U28" s="31" t="n">
        <v>1.3</v>
      </c>
      <c r="V28" s="31" t="n">
        <v>-1.38</v>
      </c>
      <c r="W28" s="31" t="n">
        <v>1.89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1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</sheetData>
  <autoFilter ref="A1:CA28"/>
  <conditionalFormatting sqref="B2:B2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8">
    <cfRule type="cellIs" priority="34" operator="equal" dxfId="3" stopIfTrue="1">
      <formula>"Underperforming"</formula>
    </cfRule>
  </conditionalFormatting>
  <conditionalFormatting sqref="N2:N28">
    <cfRule type="cellIs" priority="35" operator="equal" dxfId="3" stopIfTrue="1">
      <formula>-5</formula>
    </cfRule>
  </conditionalFormatting>
  <conditionalFormatting sqref="Q2:Q28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8" showDropDown="0" showInputMessage="0" showErrorMessage="0" allowBlank="1" type="list">
      <formula1>"Growing Industry,Stagnant Industry,Cyclical in an Upturn"</formula1>
    </dataValidation>
    <dataValidation sqref="Z2:Z28" showDropDown="0" showInputMessage="0" showErrorMessage="0" allowBlank="1" type="list">
      <formula1>"Fragmented with Low ROE,Fragmented with High ROE,Highly Cyclical"</formula1>
    </dataValidation>
    <dataValidation sqref="AB2:AB28" showDropDown="0" showInputMessage="0" showErrorMessage="0" allowBlank="1" type="list">
      <formula1>"Yes,No"</formula1>
    </dataValidation>
    <dataValidation sqref="AD2:AD28" showDropDown="0" showInputMessage="0" showErrorMessage="0" allowBlank="1" type="list">
      <formula1>"Tailwind,Headwind"</formula1>
    </dataValidation>
    <dataValidation sqref="AF2:AF2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8" showDropDown="0" showInputMessage="0" showErrorMessage="0" allowBlank="1" type="list">
      <formula1>"Yes,No"</formula1>
    </dataValidation>
    <dataValidation sqref="AJ2:AJ28" showDropDown="0" showInputMessage="0" showErrorMessage="0" allowBlank="1" type="list">
      <formula1>"Yes,No,Not Applicable"</formula1>
    </dataValidation>
    <dataValidation sqref="AL2:AL28" showDropDown="0" showInputMessage="0" showErrorMessage="0" allowBlank="1" type="list">
      <formula1>"Yes,No"</formula1>
    </dataValidation>
    <dataValidation sqref="AN2:AN28" showDropDown="0" showInputMessage="0" showErrorMessage="0" allowBlank="1" type="list">
      <formula1>"Yes,No"</formula1>
    </dataValidation>
    <dataValidation sqref="AP2:AP28" showDropDown="0" showInputMessage="0" showErrorMessage="0" allowBlank="1" type="list">
      <formula1>"Yes,No"</formula1>
    </dataValidation>
    <dataValidation sqref="AR2:AR28" showDropDown="0" showInputMessage="0" showErrorMessage="0" allowBlank="1" type="list">
      <formula1>"Yes,No"</formula1>
    </dataValidation>
    <dataValidation sqref="AT2:AT28" showDropDown="0" showInputMessage="0" showErrorMessage="0" allowBlank="1" type="list">
      <formula1>"No,Yes"</formula1>
    </dataValidation>
    <dataValidation sqref="AV2:AV28" showDropDown="0" showInputMessage="0" showErrorMessage="0" allowBlank="1" type="list">
      <formula1>"No,Yes"</formula1>
    </dataValidation>
    <dataValidation sqref="AX2:AX28" showDropDown="0" showInputMessage="0" showErrorMessage="0" allowBlank="1" type="list">
      <formula1>"No,Yes CEO Resignation,Yes CEO Retirement"</formula1>
    </dataValidation>
    <dataValidation sqref="AZ2:AZ28" showDropDown="0" showInputMessage="0" showErrorMessage="0" allowBlank="1" type="list">
      <formula1>"No,Yes"</formula1>
    </dataValidation>
    <dataValidation sqref="BB2:BB28" showDropDown="0" showInputMessage="0" showErrorMessage="0" allowBlank="1" type="list">
      <formula1>"No,Yes"</formula1>
    </dataValidation>
    <dataValidation sqref="BD2:BD28" showDropDown="0" showInputMessage="0" showErrorMessage="0" allowBlank="1" type="list">
      <formula1>"Yes,No"</formula1>
    </dataValidation>
    <dataValidation sqref="BF2:BF28" showDropDown="0" showInputMessage="0" showErrorMessage="0" allowBlank="1" type="list">
      <formula1>"Yes,No"</formula1>
    </dataValidation>
    <dataValidation sqref="BH2:BH28" showDropDown="0" showInputMessage="0" showErrorMessage="0" allowBlank="1" type="list">
      <formula1>"Yes,No"</formula1>
    </dataValidation>
    <dataValidation sqref="BJ2:BJ2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8" showDropDown="0" showInputMessage="0" showErrorMessage="0" allowBlank="1" type="list">
      <formula1>"Above 40,20 to 40,0 to 20"</formula1>
    </dataValidation>
    <dataValidation sqref="BN2:BN28" showDropDown="0" showInputMessage="0" showErrorMessage="0" allowBlank="1" type="list">
      <formula1>"Between 50 to 75,Above 75,Below 45"</formula1>
    </dataValidation>
    <dataValidation sqref="BP2:BP28" showDropDown="0" showInputMessage="0" showErrorMessage="0" allowBlank="1" type="list">
      <formula1>"Stage 1,Stage 2,Stage 3,Stage 4"</formula1>
    </dataValidation>
    <dataValidation sqref="BR2:BR28" showDropDown="0" showInputMessage="0" showErrorMessage="0" allowBlank="1" type="list">
      <formula1>"Positive Trend,Negative Trend"</formula1>
    </dataValidation>
    <dataValidation sqref="BT2:BT28" showDropDown="0" showInputMessage="0" showErrorMessage="0" allowBlank="1" type="list">
      <formula1>"Uptrend,Sideways,Downtrend"</formula1>
    </dataValidation>
    <dataValidation sqref="BV2:BV28" showDropDown="0" showInputMessage="0" showErrorMessage="0" allowBlank="1" type="list">
      <formula1>"Uptrend,Sideways,Downtrend"</formula1>
    </dataValidation>
    <dataValidation sqref="BX2:BX2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138.8</v>
      </c>
      <c r="E2" s="31" t="inlineStr">
        <is>
          <t>5%</t>
        </is>
      </c>
      <c r="F2" s="31" t="n">
        <v>50000</v>
      </c>
      <c r="G2" s="31" t="n">
        <v>17</v>
      </c>
      <c r="H2" s="30" t="inlineStr">
        <is>
          <t>VINDHYATEL</t>
        </is>
      </c>
      <c r="I2" s="30" t="inlineStr">
        <is>
          <t>Vindhya Telelinks Limited</t>
        </is>
      </c>
      <c r="J2" s="30" t="inlineStr">
        <is>
          <t>realty</t>
        </is>
      </c>
      <c r="K2" s="30" t="inlineStr">
        <is>
          <t>construction</t>
        </is>
      </c>
      <c r="L2" s="30" t="inlineStr">
        <is>
          <t>smallcap</t>
        </is>
      </c>
      <c r="M2" s="31" t="n">
        <v>3310.78</v>
      </c>
      <c r="N2" s="31" t="n">
        <v>2916.4</v>
      </c>
      <c r="O2" s="31" t="n">
        <v>4.39</v>
      </c>
      <c r="P2" s="31" t="n">
        <v>163314</v>
      </c>
      <c r="Q2" s="30" t="n">
        <v>93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73.95999999999999</v>
      </c>
      <c r="U2" s="31" t="n">
        <v>52.18</v>
      </c>
      <c r="V2" s="31" t="n">
        <v>2148.97</v>
      </c>
      <c r="W2" s="30" t="inlineStr">
        <is>
          <t>Near 52W High Breakout</t>
        </is>
      </c>
      <c r="X2" s="30" t="inlineStr">
        <is>
          <t>Nifty Realty</t>
        </is>
      </c>
      <c r="Y2" s="31" t="n">
        <v>-8.25</v>
      </c>
      <c r="Z2" s="31" t="n">
        <v>85.67</v>
      </c>
      <c r="AA2" s="31" t="n">
        <v>102.36</v>
      </c>
      <c r="AB2" s="31" t="n">
        <v>48.92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137.5</v>
      </c>
      <c r="E3" s="31" t="inlineStr">
        <is>
          <t>5%</t>
        </is>
      </c>
      <c r="F3" s="31" t="n">
        <v>50000</v>
      </c>
      <c r="G3" s="31" t="n">
        <v>38</v>
      </c>
      <c r="H3" s="30" t="inlineStr">
        <is>
          <t>INDNIPPON</t>
        </is>
      </c>
      <c r="I3" s="30" t="inlineStr">
        <is>
          <t>India Nippon Electricals Limited</t>
        </is>
      </c>
      <c r="J3" s="30" t="inlineStr">
        <is>
          <t>auto</t>
        </is>
      </c>
      <c r="K3" s="30" t="inlineStr">
        <is>
          <t>auto ancillaries</t>
        </is>
      </c>
      <c r="L3" s="30" t="inlineStr">
        <is>
          <t>smallcap</t>
        </is>
      </c>
      <c r="M3" s="31" t="n">
        <v>2538.8</v>
      </c>
      <c r="N3" s="31" t="n">
        <v>1313.3</v>
      </c>
      <c r="O3" s="31" t="n">
        <v>17.02</v>
      </c>
      <c r="P3" s="31" t="n">
        <v>1613322</v>
      </c>
      <c r="Q3" s="30" t="n">
        <v>82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72.98</v>
      </c>
      <c r="U3" s="31" t="n">
        <v>45.33</v>
      </c>
      <c r="V3" s="31" t="n">
        <v>1018.63</v>
      </c>
      <c r="W3" s="30" t="inlineStr">
        <is>
          <t>Volume Spike &amp; Near 52W High Breakout</t>
        </is>
      </c>
      <c r="X3" s="30" t="inlineStr">
        <is>
          <t>Nifty Auto</t>
        </is>
      </c>
      <c r="Y3" s="31" t="n">
        <v>16.28</v>
      </c>
      <c r="Z3" s="31" t="n">
        <v>72.81</v>
      </c>
      <c r="AA3" s="31" t="n">
        <v>48.62</v>
      </c>
      <c r="AB3" s="31" t="n">
        <v>29.75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140</v>
      </c>
      <c r="E4" s="31" t="inlineStr">
        <is>
          <t>5%</t>
        </is>
      </c>
      <c r="F4" s="31" t="n">
        <v>50000</v>
      </c>
      <c r="G4" s="31" t="n">
        <v>117</v>
      </c>
      <c r="H4" s="30" t="inlineStr">
        <is>
          <t>SETL</t>
        </is>
      </c>
      <c r="I4" s="30" t="inlineStr">
        <is>
          <t>Standard Enginnering Technology Ltd</t>
        </is>
      </c>
      <c r="J4" s="30" t="inlineStr">
        <is>
          <t>industrials</t>
        </is>
      </c>
      <c r="K4" s="30" t="inlineStr">
        <is>
          <t>engineering</t>
        </is>
      </c>
      <c r="L4" s="30" t="inlineStr">
        <is>
          <t>midcap</t>
        </is>
      </c>
      <c r="M4" s="31" t="n">
        <v>8069.44</v>
      </c>
      <c r="N4" s="31" t="n">
        <v>424.7</v>
      </c>
      <c r="O4" s="31" t="n">
        <v>4.99</v>
      </c>
      <c r="P4" s="31" t="n">
        <v>1743094</v>
      </c>
      <c r="Q4" s="30" t="n">
        <v>97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90.23</v>
      </c>
      <c r="U4" s="31" t="n">
        <v>67.58</v>
      </c>
      <c r="V4" s="31" t="n">
        <v>333.51</v>
      </c>
      <c r="W4" s="30" t="inlineStr">
        <is>
          <t>Near 52W High Breakout</t>
        </is>
      </c>
      <c r="X4" s="30" t="inlineStr">
        <is>
          <t>Nifty 50</t>
        </is>
      </c>
      <c r="Y4" s="31" t="n">
        <v>-6.7</v>
      </c>
      <c r="Z4" s="31" t="n">
        <v>131.89</v>
      </c>
      <c r="AA4" s="31" t="n">
        <v>148.54</v>
      </c>
      <c r="AB4" s="31" t="n">
        <v>66.20999999999999</v>
      </c>
      <c r="AC4" s="30" t="inlineStr">
        <is>
          <t>Cyclical in an Upturn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138</v>
      </c>
      <c r="E5" s="31" t="inlineStr">
        <is>
          <t>5%</t>
        </is>
      </c>
      <c r="F5" s="31" t="n">
        <v>50000</v>
      </c>
      <c r="G5" s="31" t="n">
        <v>20</v>
      </c>
      <c r="H5" s="30" t="inlineStr">
        <is>
          <t>WHEELS</t>
        </is>
      </c>
      <c r="I5" s="30" t="inlineStr">
        <is>
          <t>Wheels India Limited</t>
        </is>
      </c>
      <c r="J5" s="30" t="inlineStr">
        <is>
          <t>auto</t>
        </is>
      </c>
      <c r="K5" s="30" t="inlineStr">
        <is>
          <t>auto ancillaries</t>
        </is>
      </c>
      <c r="L5" s="30" t="inlineStr">
        <is>
          <t>midcap</t>
        </is>
      </c>
      <c r="M5" s="31" t="n">
        <v>5146.57</v>
      </c>
      <c r="N5" s="31" t="n">
        <v>2400.6</v>
      </c>
      <c r="O5" s="31" t="n">
        <v>13.97</v>
      </c>
      <c r="P5" s="31" t="n">
        <v>6608762</v>
      </c>
      <c r="Q5" s="30" t="n">
        <v>97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81.31</v>
      </c>
      <c r="U5" s="31" t="n">
        <v>55.95</v>
      </c>
      <c r="V5" s="31" t="n">
        <v>1842.25</v>
      </c>
      <c r="W5" s="30" t="inlineStr">
        <is>
          <t>Volume Spike &amp; Near 52W High Breakout</t>
        </is>
      </c>
      <c r="X5" s="30" t="inlineStr">
        <is>
          <t>Nifty Auto</t>
        </is>
      </c>
      <c r="Y5" s="31" t="n">
        <v>16.28</v>
      </c>
      <c r="Z5" s="31" t="n">
        <v>204.68</v>
      </c>
      <c r="AA5" s="31" t="n">
        <v>162.02</v>
      </c>
      <c r="AB5" s="31" t="n">
        <v>60.2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Less than 12%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137.6</v>
      </c>
      <c r="E6" s="31" t="inlineStr">
        <is>
          <t>5%</t>
        </is>
      </c>
      <c r="F6" s="31" t="n">
        <v>50000</v>
      </c>
      <c r="G6" s="31" t="n">
        <v>75</v>
      </c>
      <c r="H6" s="30" t="inlineStr">
        <is>
          <t>KABRAEXTRU</t>
        </is>
      </c>
      <c r="I6" s="30" t="inlineStr">
        <is>
          <t>Kabra Extrusion Technik Limited</t>
        </is>
      </c>
      <c r="J6" s="30" t="inlineStr">
        <is>
          <t>industrials</t>
        </is>
      </c>
      <c r="K6" s="30" t="inlineStr">
        <is>
          <t>engineering</t>
        </is>
      </c>
      <c r="L6" s="30" t="inlineStr">
        <is>
          <t>smallcap</t>
        </is>
      </c>
      <c r="M6" s="31" t="n">
        <v>2295.79</v>
      </c>
      <c r="N6" s="31" t="n">
        <v>662.95</v>
      </c>
      <c r="O6" s="31" t="n">
        <v>0.99</v>
      </c>
      <c r="P6" s="31" t="n">
        <v>233277</v>
      </c>
      <c r="Q6" s="30" t="n">
        <v>98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86.98</v>
      </c>
      <c r="U6" s="31" t="n">
        <v>55.57</v>
      </c>
      <c r="V6" s="31" t="n">
        <v>515.25</v>
      </c>
      <c r="W6" s="30" t="inlineStr">
        <is>
          <t>Near 52W High Breakout</t>
        </is>
      </c>
      <c r="X6" s="30" t="inlineStr">
        <is>
          <t>Nifty 50</t>
        </is>
      </c>
      <c r="Y6" s="31" t="n">
        <v>-6.7</v>
      </c>
      <c r="Z6" s="31" t="n">
        <v>134.84</v>
      </c>
      <c r="AA6" s="31" t="n">
        <v>151.7</v>
      </c>
      <c r="AB6" s="31" t="n">
        <v>68.89</v>
      </c>
      <c r="AC6" s="30" t="inlineStr">
        <is>
          <t>Cyclical in an Upturn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139.5</v>
      </c>
      <c r="E7" s="31" t="inlineStr">
        <is>
          <t>5%</t>
        </is>
      </c>
      <c r="F7" s="31" t="n">
        <v>50000</v>
      </c>
      <c r="G7" s="31" t="n">
        <v>16</v>
      </c>
      <c r="H7" s="30" t="inlineStr">
        <is>
          <t>GLAND</t>
        </is>
      </c>
      <c r="I7" s="30" t="inlineStr">
        <is>
          <t>Gland Pharma Ltd</t>
        </is>
      </c>
      <c r="J7" s="30" t="inlineStr">
        <is>
          <t>healthcare</t>
        </is>
      </c>
      <c r="K7" s="30" t="inlineStr">
        <is>
          <t>pharmaceuticals - indian - formulations</t>
        </is>
      </c>
      <c r="L7" s="30" t="inlineStr">
        <is>
          <t>largecap</t>
        </is>
      </c>
      <c r="M7" s="31" t="n">
        <v>48816.52</v>
      </c>
      <c r="N7" s="31" t="n">
        <v>3026.2</v>
      </c>
      <c r="O7" s="31" t="n">
        <v>2.26</v>
      </c>
      <c r="P7" s="31" t="n">
        <v>1560855</v>
      </c>
      <c r="Q7" s="30" t="n">
        <v>59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75.68000000000001</v>
      </c>
      <c r="U7" s="31" t="n">
        <v>62.92</v>
      </c>
      <c r="V7" s="31" t="n">
        <v>2499</v>
      </c>
      <c r="W7" s="30" t="inlineStr">
        <is>
          <t>Near 52W High Breakout</t>
        </is>
      </c>
      <c r="X7" s="30" t="inlineStr">
        <is>
          <t>Nifty Pharma</t>
        </is>
      </c>
      <c r="Y7" s="31" t="n">
        <v>19.47</v>
      </c>
      <c r="Z7" s="31" t="n">
        <v>50.85</v>
      </c>
      <c r="AA7" s="31" t="n">
        <v>26.27</v>
      </c>
      <c r="AB7" s="31" t="n">
        <v>17.72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Yes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140</v>
      </c>
      <c r="E8" s="31" t="inlineStr">
        <is>
          <t>5%</t>
        </is>
      </c>
      <c r="F8" s="31" t="n">
        <v>50000</v>
      </c>
      <c r="G8" s="31" t="n">
        <v>144</v>
      </c>
      <c r="H8" s="30" t="inlineStr">
        <is>
          <t>SREEL</t>
        </is>
      </c>
      <c r="I8" s="30" t="inlineStr">
        <is>
          <t>Sreeleathers Limited</t>
        </is>
      </c>
      <c r="J8" s="30" t="inlineStr">
        <is>
          <t>consumer discretionary</t>
        </is>
      </c>
      <c r="K8" s="30" t="inlineStr">
        <is>
          <t>trading</t>
        </is>
      </c>
      <c r="L8" s="30" t="inlineStr">
        <is>
          <t>smallcap</t>
        </is>
      </c>
      <c r="M8" s="31" t="n">
        <v>665.73</v>
      </c>
      <c r="N8" s="31" t="n">
        <v>345.01</v>
      </c>
      <c r="O8" s="31" t="n">
        <v>20</v>
      </c>
      <c r="P8" s="31" t="n">
        <v>635232</v>
      </c>
      <c r="Q8" s="30" t="n">
        <v>78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86.01000000000001</v>
      </c>
      <c r="U8" s="31" t="n">
        <v>53.98</v>
      </c>
      <c r="V8" s="31" t="n">
        <v>273.35</v>
      </c>
      <c r="W8" s="30" t="inlineStr">
        <is>
          <t>Volume Spike &amp; Near 52W High Breakout</t>
        </is>
      </c>
      <c r="X8" s="30" t="inlineStr">
        <is>
          <t>Nifty 50</t>
        </is>
      </c>
      <c r="Y8" s="31" t="n">
        <v>-6.7</v>
      </c>
      <c r="Z8" s="31" t="n">
        <v>47.96</v>
      </c>
      <c r="AA8" s="31" t="n">
        <v>58.58</v>
      </c>
      <c r="AB8" s="31" t="n">
        <v>26.7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140</v>
      </c>
      <c r="E9" s="31" t="inlineStr">
        <is>
          <t>5%</t>
        </is>
      </c>
      <c r="F9" s="31" t="n">
        <v>50000</v>
      </c>
      <c r="G9" s="31" t="n">
        <v>18</v>
      </c>
      <c r="H9" s="30" t="inlineStr">
        <is>
          <t>SPECTRUM</t>
        </is>
      </c>
      <c r="I9" s="30" t="inlineStr">
        <is>
          <t>Spectrum Electrical Industries Ltd</t>
        </is>
      </c>
      <c r="J9" s="30" t="inlineStr">
        <is>
          <t>industrials</t>
        </is>
      </c>
      <c r="K9" s="30" t="inlineStr">
        <is>
          <t>electric equipment</t>
        </is>
      </c>
      <c r="L9" s="30" t="inlineStr">
        <is>
          <t>smallcap</t>
        </is>
      </c>
      <c r="M9" s="31" t="n">
        <v>4103.04</v>
      </c>
      <c r="N9" s="31" t="n">
        <v>2741.6</v>
      </c>
      <c r="O9" s="31" t="n">
        <v>5</v>
      </c>
      <c r="P9" s="31" t="n">
        <v>22007</v>
      </c>
      <c r="Q9" s="30" t="n">
        <v>84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74.47</v>
      </c>
      <c r="U9" s="31" t="n">
        <v>59.83</v>
      </c>
      <c r="V9" s="31" t="n">
        <v>1964.79</v>
      </c>
      <c r="W9" s="30" t="inlineStr">
        <is>
          <t>Near 52W High Breakout</t>
        </is>
      </c>
      <c r="X9" s="30" t="inlineStr">
        <is>
          <t>Nifty 50</t>
        </is>
      </c>
      <c r="Y9" s="31" t="n">
        <v>-6.7</v>
      </c>
      <c r="Z9" s="31" t="n">
        <v>92.81</v>
      </c>
      <c r="AA9" s="31" t="n">
        <v>106.66</v>
      </c>
      <c r="AB9" s="31" t="n">
        <v>31.64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Between 0.7 to 1.2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140</v>
      </c>
      <c r="E10" s="31" t="inlineStr">
        <is>
          <t>5%</t>
        </is>
      </c>
      <c r="F10" s="31" t="n">
        <v>50000</v>
      </c>
      <c r="G10" s="31" t="n">
        <v>57</v>
      </c>
      <c r="H10" s="30" t="inlineStr">
        <is>
          <t>STLTECH</t>
        </is>
      </c>
      <c r="I10" s="30" t="inlineStr">
        <is>
          <t>Sterlite Technologies Limited</t>
        </is>
      </c>
      <c r="J10" s="30" t="inlineStr">
        <is>
          <t>industrials</t>
        </is>
      </c>
      <c r="K10" s="30" t="inlineStr">
        <is>
          <t>cables - telephone</t>
        </is>
      </c>
      <c r="L10" s="30" t="inlineStr">
        <is>
          <t>largecap</t>
        </is>
      </c>
      <c r="M10" s="31" t="n">
        <v>42381.01</v>
      </c>
      <c r="N10" s="31" t="n">
        <v>865.9</v>
      </c>
      <c r="O10" s="31" t="n">
        <v>5</v>
      </c>
      <c r="P10" s="31" t="n">
        <v>4381757</v>
      </c>
      <c r="Q10" s="30" t="n">
        <v>99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81.98</v>
      </c>
      <c r="U10" s="31" t="n">
        <v>74.41</v>
      </c>
      <c r="V10" s="31" t="n">
        <v>641.74</v>
      </c>
      <c r="W10" s="30" t="inlineStr">
        <is>
          <t>Near 52W High Breakout</t>
        </is>
      </c>
      <c r="X10" s="30" t="inlineStr">
        <is>
          <t>Nifty Infra</t>
        </is>
      </c>
      <c r="Y10" s="31" t="n">
        <v>0.58</v>
      </c>
      <c r="Z10" s="31" t="n">
        <v>638.26</v>
      </c>
      <c r="AA10" s="31" t="n">
        <v>633.97</v>
      </c>
      <c r="AB10" s="31" t="n">
        <v>125.48</v>
      </c>
      <c r="AC10" s="30" t="inlineStr">
        <is>
          <t>Cyclical in an Upturn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Between 0.7 to 1.2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137.7</v>
      </c>
      <c r="E11" s="31" t="inlineStr">
        <is>
          <t>5%</t>
        </is>
      </c>
      <c r="F11" s="31" t="n">
        <v>50000</v>
      </c>
      <c r="G11" s="31" t="n">
        <v>580</v>
      </c>
      <c r="H11" s="30" t="inlineStr">
        <is>
          <t>INDORAMA</t>
        </is>
      </c>
      <c r="I11" s="30" t="inlineStr">
        <is>
          <t>Indo Rama Synthetics (india) Limited</t>
        </is>
      </c>
      <c r="J11" s="30" t="inlineStr">
        <is>
          <t>textiles</t>
        </is>
      </c>
      <c r="K11" s="30" t="inlineStr">
        <is>
          <t>textiles - manmade</t>
        </is>
      </c>
      <c r="L11" s="30" t="inlineStr">
        <is>
          <t>smallcap</t>
        </is>
      </c>
      <c r="M11" s="31" t="n">
        <v>1957.83</v>
      </c>
      <c r="N11" s="31" t="n">
        <v>86.13</v>
      </c>
      <c r="O11" s="31" t="n">
        <v>14.87</v>
      </c>
      <c r="P11" s="31" t="n">
        <v>7613089</v>
      </c>
      <c r="Q11" s="30" t="n">
        <v>88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82.38</v>
      </c>
      <c r="U11" s="31" t="n">
        <v>52.77</v>
      </c>
      <c r="V11" s="31" t="n">
        <v>64.03</v>
      </c>
      <c r="W11" s="30" t="inlineStr">
        <is>
          <t>Volume Spike &amp; Near 52W High Breakout</t>
        </is>
      </c>
      <c r="X11" s="30" t="inlineStr">
        <is>
          <t>Nifty 50</t>
        </is>
      </c>
      <c r="Y11" s="31" t="n">
        <v>-6.7</v>
      </c>
      <c r="Z11" s="31" t="n">
        <v>60.48</v>
      </c>
      <c r="AA11" s="31" t="n">
        <v>72</v>
      </c>
      <c r="AB11" s="31" t="n">
        <v>35.18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No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More than 1.2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140</v>
      </c>
      <c r="E12" s="31" t="inlineStr">
        <is>
          <t>5%</t>
        </is>
      </c>
      <c r="F12" s="31" t="n">
        <v>50000</v>
      </c>
      <c r="G12" s="31" t="n">
        <v>22</v>
      </c>
      <c r="H12" s="30" t="inlineStr">
        <is>
          <t>NOVARTIND</t>
        </is>
      </c>
      <c r="I12" s="30" t="inlineStr">
        <is>
          <t>Novartis India Ltd</t>
        </is>
      </c>
      <c r="J12" s="30" t="inlineStr">
        <is>
          <t>healthcare</t>
        </is>
      </c>
      <c r="K12" s="30" t="inlineStr">
        <is>
          <t>pharmaceuticals - multinational</t>
        </is>
      </c>
      <c r="L12" s="30" t="inlineStr">
        <is>
          <t>smallcap</t>
        </is>
      </c>
      <c r="M12" s="31" t="n">
        <v>4498.66</v>
      </c>
      <c r="N12" s="31" t="n">
        <v>2186.4</v>
      </c>
      <c r="O12" s="31" t="n">
        <v>20</v>
      </c>
      <c r="P12" s="31" t="n">
        <v>785816</v>
      </c>
      <c r="Q12" s="30" t="n">
        <v>89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77.84</v>
      </c>
      <c r="U12" s="31" t="n">
        <v>65.28</v>
      </c>
      <c r="V12" s="31" t="n">
        <v>1673.01</v>
      </c>
      <c r="W12" s="30" t="inlineStr">
        <is>
          <t>Volume Spike &amp; Near 52W High Breakout</t>
        </is>
      </c>
      <c r="X12" s="30" t="inlineStr">
        <is>
          <t>Nifty Pharma</t>
        </is>
      </c>
      <c r="Y12" s="31" t="n">
        <v>19.47</v>
      </c>
      <c r="Z12" s="31" t="n">
        <v>138.32</v>
      </c>
      <c r="AA12" s="31" t="n">
        <v>99.47</v>
      </c>
      <c r="AB12" s="31" t="n">
        <v>35.75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Between 12 to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138.9</v>
      </c>
      <c r="E13" s="31" t="inlineStr">
        <is>
          <t>5%</t>
        </is>
      </c>
      <c r="F13" s="31" t="n">
        <v>50000</v>
      </c>
      <c r="G13" s="31" t="n">
        <v>83</v>
      </c>
      <c r="H13" s="32" t="inlineStr">
        <is>
          <t>METROPOLIS</t>
        </is>
      </c>
      <c r="I13" s="32" t="inlineStr">
        <is>
          <t>Metropolis Healthcare Ltd</t>
        </is>
      </c>
      <c r="J13" s="30" t="inlineStr">
        <is>
          <t>healthcare</t>
        </is>
      </c>
      <c r="K13" s="30" t="inlineStr">
        <is>
          <t>healthcare</t>
        </is>
      </c>
      <c r="L13" s="30" t="inlineStr">
        <is>
          <t>midcap</t>
        </is>
      </c>
      <c r="M13" s="31" t="n">
        <v>12070.87</v>
      </c>
      <c r="N13" s="31" t="n">
        <v>602.1</v>
      </c>
      <c r="O13" s="31" t="n">
        <v>3.42</v>
      </c>
      <c r="P13" s="31" t="n">
        <v>472099</v>
      </c>
      <c r="Q13" s="30" t="n">
        <v>21</v>
      </c>
      <c r="R13" s="30" t="inlineStr">
        <is>
          <t>Underperforming</t>
        </is>
      </c>
      <c r="S13" s="31">
        <f>IF(R13="Underperforming",-5,IF(Q13&gt;=95,15,IF(Q13&gt;=90,10,IF(Q13&gt;=80,5,0))))</f>
        <v/>
      </c>
      <c r="T13" s="31" t="n">
        <v>64.56</v>
      </c>
      <c r="U13" s="31" t="n">
        <v>42.13</v>
      </c>
      <c r="V13" s="31" t="n">
        <v>486.35</v>
      </c>
      <c r="W13" s="30" t="inlineStr">
        <is>
          <t>Near 52W High Breakout</t>
        </is>
      </c>
      <c r="X13" s="30" t="inlineStr">
        <is>
          <t>Nifty Pharma</t>
        </is>
      </c>
      <c r="Y13" s="31" t="n">
        <v>19.47</v>
      </c>
      <c r="Z13" s="31" t="n">
        <v>17.22</v>
      </c>
      <c r="AA13" s="31" t="n">
        <v>-1.89</v>
      </c>
      <c r="AB13" s="31" t="n">
        <v>6.4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138.7</v>
      </c>
      <c r="E14" s="31" t="inlineStr">
        <is>
          <t>5%</t>
        </is>
      </c>
      <c r="F14" s="31" t="n">
        <v>50000</v>
      </c>
      <c r="G14" s="31" t="n">
        <v>29</v>
      </c>
      <c r="H14" s="30" t="inlineStr">
        <is>
          <t>SAILIFE</t>
        </is>
      </c>
      <c r="I14" s="30" t="inlineStr">
        <is>
          <t>Sai Life Sciences Ltd</t>
        </is>
      </c>
      <c r="J14" s="30" t="inlineStr">
        <is>
          <t>healthcare</t>
        </is>
      </c>
      <c r="K14" s="30" t="inlineStr">
        <is>
          <t>pharmaceuticals - indian - bulk drugs &amp; formln</t>
        </is>
      </c>
      <c r="L14" s="30" t="inlineStr">
        <is>
          <t>largecap</t>
        </is>
      </c>
      <c r="M14" s="31" t="n">
        <v>34965.63</v>
      </c>
      <c r="N14" s="31" t="n">
        <v>1675.4</v>
      </c>
      <c r="O14" s="31" t="n">
        <v>1.72</v>
      </c>
      <c r="P14" s="31" t="n">
        <v>1332770</v>
      </c>
      <c r="Q14" s="30" t="n">
        <v>71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87.23999999999999</v>
      </c>
      <c r="U14" s="31" t="n">
        <v>44.57</v>
      </c>
      <c r="V14" s="31" t="n">
        <v>1394.33</v>
      </c>
      <c r="W14" s="30" t="inlineStr">
        <is>
          <t>Near 52W High Breakout</t>
        </is>
      </c>
      <c r="X14" s="30" t="inlineStr">
        <is>
          <t>Nifty Pharma</t>
        </is>
      </c>
      <c r="Y14" s="31" t="n">
        <v>19.47</v>
      </c>
      <c r="Z14" s="31" t="n">
        <v>91.98</v>
      </c>
      <c r="AA14" s="31" t="n">
        <v>60.69</v>
      </c>
      <c r="AB14" s="31" t="n">
        <v>22.38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139.7</v>
      </c>
      <c r="E15" s="31" t="inlineStr">
        <is>
          <t>5%</t>
        </is>
      </c>
      <c r="F15" s="31" t="n">
        <v>50000</v>
      </c>
      <c r="G15" s="31" t="n">
        <v>70</v>
      </c>
      <c r="H15" s="30" t="inlineStr">
        <is>
          <t>SHREEJISPG</t>
        </is>
      </c>
      <c r="I15" s="30" t="inlineStr">
        <is>
          <t>Shreeji Shipping Global Ltd</t>
        </is>
      </c>
      <c r="J15" s="30" t="inlineStr">
        <is>
          <t>transportation</t>
        </is>
      </c>
      <c r="K15" s="30" t="inlineStr">
        <is>
          <t>shipping</t>
        </is>
      </c>
      <c r="L15" s="30" t="inlineStr">
        <is>
          <t>midcap</t>
        </is>
      </c>
      <c r="M15" s="31" t="n">
        <v>11374.95</v>
      </c>
      <c r="N15" s="31" t="n">
        <v>713.1</v>
      </c>
      <c r="O15" s="31" t="n">
        <v>2.13</v>
      </c>
      <c r="P15" s="31" t="n">
        <v>735559</v>
      </c>
      <c r="Q15" s="30" t="n">
        <v>86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79.56</v>
      </c>
      <c r="U15" s="31" t="n">
        <v>56.47</v>
      </c>
      <c r="V15" s="31" t="n">
        <v>589.64</v>
      </c>
      <c r="W15" s="30" t="inlineStr">
        <is>
          <t>Near 52W High Breakout</t>
        </is>
      </c>
      <c r="X15" s="30" t="inlineStr">
        <is>
          <t>Nifty 50</t>
        </is>
      </c>
      <c r="Y15" s="31" t="n">
        <v>-6.7</v>
      </c>
      <c r="Z15" s="31" t="n">
        <v>179.96</v>
      </c>
      <c r="AA15" s="31" t="n">
        <v>200.07</v>
      </c>
      <c r="AB15" s="31" t="n">
        <v>33.6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139.1</v>
      </c>
      <c r="E16" s="31" t="inlineStr">
        <is>
          <t>5%</t>
        </is>
      </c>
      <c r="F16" s="31" t="n">
        <v>50000</v>
      </c>
      <c r="G16" s="31" t="n">
        <v>7</v>
      </c>
      <c r="H16" s="30" t="inlineStr">
        <is>
          <t>SMLMAH</t>
        </is>
      </c>
      <c r="I16" s="30" t="inlineStr">
        <is>
          <t>SML Mahindra Ltd</t>
        </is>
      </c>
      <c r="J16" s="30" t="inlineStr">
        <is>
          <t>auto</t>
        </is>
      </c>
      <c r="K16" s="30" t="inlineStr">
        <is>
          <t>automobiles - lcvs / hcvs</t>
        </is>
      </c>
      <c r="L16" s="30" t="inlineStr">
        <is>
          <t>midcap</t>
        </is>
      </c>
      <c r="M16" s="31" t="n">
        <v>9136.67</v>
      </c>
      <c r="N16" s="31" t="n">
        <v>6570</v>
      </c>
      <c r="O16" s="31" t="n">
        <v>4.06</v>
      </c>
      <c r="P16" s="31" t="n">
        <v>134865</v>
      </c>
      <c r="Q16" s="30" t="n">
        <v>82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72.20999999999999</v>
      </c>
      <c r="U16" s="31" t="n">
        <v>23.52</v>
      </c>
      <c r="V16" s="31" t="n">
        <v>4895.76</v>
      </c>
      <c r="W16" s="30" t="inlineStr">
        <is>
          <t>Near 52W High Breakout</t>
        </is>
      </c>
      <c r="X16" s="30" t="inlineStr">
        <is>
          <t>Nifty Auto</t>
        </is>
      </c>
      <c r="Y16" s="31" t="n">
        <v>16.28</v>
      </c>
      <c r="Z16" s="31" t="n">
        <v>73.94</v>
      </c>
      <c r="AA16" s="31" t="n">
        <v>49.59</v>
      </c>
      <c r="AB16" s="31" t="n">
        <v>29.84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139.1</v>
      </c>
      <c r="E17" s="31" t="inlineStr">
        <is>
          <t>5%</t>
        </is>
      </c>
      <c r="F17" s="31" t="n">
        <v>50000</v>
      </c>
      <c r="G17" s="31" t="n">
        <v>31</v>
      </c>
      <c r="H17" s="30" t="inlineStr">
        <is>
          <t>CHENNPETRO</t>
        </is>
      </c>
      <c r="I17" s="30" t="inlineStr">
        <is>
          <t>Chennai Petroleum Corporation Limited</t>
        </is>
      </c>
      <c r="J17" s="30" t="inlineStr">
        <is>
          <t>energy</t>
        </is>
      </c>
      <c r="K17" s="30" t="inlineStr">
        <is>
          <t>refineries</t>
        </is>
      </c>
      <c r="L17" s="30" t="inlineStr">
        <is>
          <t>largecap</t>
        </is>
      </c>
      <c r="M17" s="31" t="n">
        <v>21708.3</v>
      </c>
      <c r="N17" s="31" t="n">
        <v>1604.4</v>
      </c>
      <c r="O17" s="31" t="n">
        <v>10.06</v>
      </c>
      <c r="P17" s="31" t="n">
        <v>8400385</v>
      </c>
      <c r="Q17" s="30" t="n">
        <v>86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78.88</v>
      </c>
      <c r="U17" s="31" t="n">
        <v>58.28</v>
      </c>
      <c r="V17" s="31" t="n">
        <v>1216.17</v>
      </c>
      <c r="W17" s="30" t="inlineStr">
        <is>
          <t>Near 52W High Breakout</t>
        </is>
      </c>
      <c r="X17" s="30" t="inlineStr">
        <is>
          <t>Nifty Energy</t>
        </is>
      </c>
      <c r="Y17" s="31" t="n">
        <v>8.75</v>
      </c>
      <c r="Z17" s="31" t="n">
        <v>147.25</v>
      </c>
      <c r="AA17" s="31" t="n">
        <v>127.36</v>
      </c>
      <c r="AB17" s="31" t="n">
        <v>33.92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Oligopoly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Yes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Cyclical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Volatile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138.4</v>
      </c>
      <c r="E18" s="31" t="inlineStr">
        <is>
          <t>5%</t>
        </is>
      </c>
      <c r="F18" s="31" t="n">
        <v>50000</v>
      </c>
      <c r="G18" s="31" t="n">
        <v>4</v>
      </c>
      <c r="H18" s="30" t="inlineStr">
        <is>
          <t>CRAFTSMAN</t>
        </is>
      </c>
      <c r="I18" s="30" t="inlineStr">
        <is>
          <t>Craftsman Automation Ltd</t>
        </is>
      </c>
      <c r="J18" s="30" t="inlineStr">
        <is>
          <t>auto</t>
        </is>
      </c>
      <c r="K18" s="30" t="inlineStr">
        <is>
          <t>auto ancillaries</t>
        </is>
      </c>
      <c r="L18" s="30" t="inlineStr">
        <is>
          <t>largecap</t>
        </is>
      </c>
      <c r="M18" s="31" t="n">
        <v>29831.75</v>
      </c>
      <c r="N18" s="31" t="n">
        <v>11806</v>
      </c>
      <c r="O18" s="31" t="n">
        <v>3.51</v>
      </c>
      <c r="P18" s="31" t="n">
        <v>52885</v>
      </c>
      <c r="Q18" s="30" t="n">
        <v>77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76.55</v>
      </c>
      <c r="U18" s="31" t="n">
        <v>67.25</v>
      </c>
      <c r="V18" s="31" t="n">
        <v>9776.440000000001</v>
      </c>
      <c r="W18" s="30" t="inlineStr">
        <is>
          <t>Near 52W High Breakout</t>
        </is>
      </c>
      <c r="X18" s="30" t="inlineStr">
        <is>
          <t>Nifty Auto</t>
        </is>
      </c>
      <c r="Y18" s="31" t="n">
        <v>16.28</v>
      </c>
      <c r="Z18" s="31" t="n">
        <v>88.33</v>
      </c>
      <c r="AA18" s="31" t="n">
        <v>61.96</v>
      </c>
      <c r="AB18" s="31" t="n">
        <v>26.35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Between 0.7 to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139.6</v>
      </c>
      <c r="E19" s="31" t="inlineStr">
        <is>
          <t>5%</t>
        </is>
      </c>
      <c r="F19" s="31" t="n">
        <v>50000</v>
      </c>
      <c r="G19" s="31" t="n">
        <v>141</v>
      </c>
      <c r="H19" s="30" t="inlineStr">
        <is>
          <t>ARTEMISMED</t>
        </is>
      </c>
      <c r="I19" s="30" t="inlineStr">
        <is>
          <t>Artemis Medicare Services Ltd</t>
        </is>
      </c>
      <c r="J19" s="30" t="inlineStr">
        <is>
          <t>healthcare</t>
        </is>
      </c>
      <c r="K19" s="30" t="inlineStr">
        <is>
          <t>healthcare</t>
        </is>
      </c>
      <c r="L19" s="30" t="inlineStr">
        <is>
          <t>midcap</t>
        </is>
      </c>
      <c r="M19" s="31" t="n">
        <v>5414.87</v>
      </c>
      <c r="N19" s="31" t="n">
        <v>354.3</v>
      </c>
      <c r="O19" s="31" t="n">
        <v>3.58</v>
      </c>
      <c r="P19" s="31" t="n">
        <v>813189</v>
      </c>
      <c r="Q19" s="30" t="n">
        <v>56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76.48</v>
      </c>
      <c r="U19" s="31" t="n">
        <v>38.05</v>
      </c>
      <c r="V19" s="31" t="n">
        <v>291.83</v>
      </c>
      <c r="W19" s="30" t="inlineStr">
        <is>
          <t>Near 52W High Breakout</t>
        </is>
      </c>
      <c r="X19" s="30" t="inlineStr">
        <is>
          <t>Nifty Pharma</t>
        </is>
      </c>
      <c r="Y19" s="31" t="n">
        <v>19.47</v>
      </c>
      <c r="Z19" s="31" t="n">
        <v>48.4</v>
      </c>
      <c r="AA19" s="31" t="n">
        <v>24.21</v>
      </c>
      <c r="AB19" s="31" t="n">
        <v>16.88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Yes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Annuity, Lower One Time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138.6</v>
      </c>
      <c r="E20" s="31" t="inlineStr">
        <is>
          <t>5%</t>
        </is>
      </c>
      <c r="F20" s="31" t="n">
        <v>50000</v>
      </c>
      <c r="G20" s="31" t="n">
        <v>45</v>
      </c>
      <c r="H20" s="30" t="inlineStr">
        <is>
          <t>BIL</t>
        </is>
      </c>
      <c r="I20" s="30" t="inlineStr">
        <is>
          <t>Bhartiya International Limited</t>
        </is>
      </c>
      <c r="J20" s="30" t="inlineStr">
        <is>
          <t>consumer discretionary</t>
        </is>
      </c>
      <c r="K20" s="30" t="inlineStr">
        <is>
          <t>leather / leather products</t>
        </is>
      </c>
      <c r="L20" s="30" t="inlineStr">
        <is>
          <t>smallcap</t>
        </is>
      </c>
      <c r="M20" s="31" t="n">
        <v>1256.35</v>
      </c>
      <c r="N20" s="31" t="n">
        <v>1108.2</v>
      </c>
      <c r="O20" s="31" t="n">
        <v>18.29</v>
      </c>
      <c r="P20" s="31" t="n">
        <v>191572</v>
      </c>
      <c r="Q20" s="30" t="n">
        <v>65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76.5</v>
      </c>
      <c r="U20" s="31" t="n">
        <v>21.68</v>
      </c>
      <c r="V20" s="31" t="n">
        <v>836.73</v>
      </c>
      <c r="W20" s="30" t="inlineStr">
        <is>
          <t>Volume Spike &amp; Near 52W High Breakout</t>
        </is>
      </c>
      <c r="X20" s="30" t="inlineStr">
        <is>
          <t>Nifty 50</t>
        </is>
      </c>
      <c r="Y20" s="31" t="n">
        <v>-6.7</v>
      </c>
      <c r="Z20" s="31" t="n">
        <v>27.89</v>
      </c>
      <c r="AA20" s="31" t="n">
        <v>37.07</v>
      </c>
      <c r="AB20" s="31" t="n">
        <v>19.64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Between 0.7 to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139.3</v>
      </c>
      <c r="E21" s="31" t="inlineStr">
        <is>
          <t>5%</t>
        </is>
      </c>
      <c r="F21" s="31" t="n">
        <v>50000</v>
      </c>
      <c r="G21" s="31" t="n">
        <v>1027</v>
      </c>
      <c r="H21" s="30" t="inlineStr">
        <is>
          <t>SBC</t>
        </is>
      </c>
      <c r="I21" s="30" t="inlineStr">
        <is>
          <t>SBC Exports Ltd</t>
        </is>
      </c>
      <c r="J21" s="30" t="inlineStr">
        <is>
          <t>textiles</t>
        </is>
      </c>
      <c r="K21" s="30" t="inlineStr">
        <is>
          <t>textiles - products</t>
        </is>
      </c>
      <c r="L21" s="30" t="inlineStr">
        <is>
          <t>smallcap</t>
        </is>
      </c>
      <c r="M21" s="31" t="n">
        <v>2227.14</v>
      </c>
      <c r="N21" s="31" t="n">
        <v>48.68</v>
      </c>
      <c r="O21" s="31" t="n">
        <v>4.08</v>
      </c>
      <c r="P21" s="31" t="n">
        <v>12797508</v>
      </c>
      <c r="Q21" s="30" t="n">
        <v>74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75.76000000000001</v>
      </c>
      <c r="U21" s="31" t="n">
        <v>33.52</v>
      </c>
      <c r="V21" s="31" t="n">
        <v>39.95</v>
      </c>
      <c r="W21" s="30" t="inlineStr">
        <is>
          <t>Near 52W High Breakout</t>
        </is>
      </c>
      <c r="X21" s="30" t="inlineStr">
        <is>
          <t>Nifty 50</t>
        </is>
      </c>
      <c r="Y21" s="31" t="n">
        <v>-6.7</v>
      </c>
      <c r="Z21" s="31" t="n">
        <v>122.89</v>
      </c>
      <c r="AA21" s="31" t="n">
        <v>138.9</v>
      </c>
      <c r="AB21" s="31" t="n">
        <v>24.1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Above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More than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138.1</v>
      </c>
      <c r="E22" s="31" t="inlineStr">
        <is>
          <t>5%</t>
        </is>
      </c>
      <c r="F22" s="31" t="n">
        <v>50000</v>
      </c>
      <c r="G22" s="31" t="n">
        <v>5</v>
      </c>
      <c r="H22" s="30" t="inlineStr">
        <is>
          <t>NAVINFLUOR</t>
        </is>
      </c>
      <c r="I22" s="30" t="inlineStr">
        <is>
          <t>Navin Fluorine International Limited</t>
        </is>
      </c>
      <c r="J22" s="30" t="inlineStr">
        <is>
          <t>chemicals</t>
        </is>
      </c>
      <c r="K22" s="30" t="inlineStr">
        <is>
          <t>chemicals</t>
        </is>
      </c>
      <c r="L22" s="30" t="inlineStr">
        <is>
          <t>largecap</t>
        </is>
      </c>
      <c r="M22" s="31" t="n">
        <v>44782.31</v>
      </c>
      <c r="N22" s="31" t="n">
        <v>8775.5</v>
      </c>
      <c r="O22" s="31" t="n">
        <v>0.51</v>
      </c>
      <c r="P22" s="31" t="n">
        <v>294169</v>
      </c>
      <c r="Q22" s="30" t="n">
        <v>58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80.05</v>
      </c>
      <c r="U22" s="31" t="n">
        <v>60.77</v>
      </c>
      <c r="V22" s="31" t="n">
        <v>7365.22</v>
      </c>
      <c r="W22" s="30" t="inlineStr">
        <is>
          <t>Near 52W High Breakout</t>
        </is>
      </c>
      <c r="X22" s="30" t="inlineStr">
        <is>
          <t>Nifty 50</t>
        </is>
      </c>
      <c r="Y22" s="31" t="n">
        <v>-6.7</v>
      </c>
      <c r="Z22" s="31" t="n">
        <v>83.58</v>
      </c>
      <c r="AA22" s="31" t="n">
        <v>96.77</v>
      </c>
      <c r="AB22" s="31" t="n">
        <v>17.51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Oligopoly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Shallow Cyclical (2 to 3 Years Growth)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20 to 40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3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Close to 52 week high or retracement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More than 20%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139.3</v>
      </c>
      <c r="E2" s="31" t="inlineStr">
        <is>
          <t>5%</t>
        </is>
      </c>
      <c r="F2" s="31" t="n">
        <v>50000</v>
      </c>
      <c r="G2" s="31" t="n">
        <v>625</v>
      </c>
      <c r="H2" s="30" t="inlineStr">
        <is>
          <t>PAISALO</t>
        </is>
      </c>
      <c r="I2" s="30" t="inlineStr">
        <is>
          <t>Paisalo Digital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midcap</t>
        </is>
      </c>
      <c r="M2" s="31" t="n">
        <v>7068.8</v>
      </c>
      <c r="N2" s="31" t="n">
        <v>79.92</v>
      </c>
      <c r="O2" s="31" t="n">
        <v>2.83</v>
      </c>
      <c r="P2" s="31" t="n">
        <v>21010428</v>
      </c>
      <c r="Q2" s="30" t="n">
        <v>80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78</v>
      </c>
      <c r="U2" s="31" t="n">
        <v>67.12</v>
      </c>
      <c r="V2" s="31" t="n">
        <v>63.52</v>
      </c>
      <c r="W2" s="30" t="inlineStr">
        <is>
          <t>Near 52W High Breakout</t>
        </is>
      </c>
      <c r="X2" s="30" t="inlineStr">
        <is>
          <t>Nifty Bank</t>
        </is>
      </c>
      <c r="Y2" s="31" t="n">
        <v>2.71</v>
      </c>
      <c r="Z2" s="31" t="n">
        <v>110.63</v>
      </c>
      <c r="AA2" s="31" t="n">
        <v>105.07</v>
      </c>
      <c r="AB2" s="31" t="n">
        <v>28.52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between 2.5x to 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Above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3" t="inlineStr">
        <is>
          <t>BHAGYANGR</t>
        </is>
      </c>
      <c r="D2" s="33" t="inlineStr">
        <is>
          <t>Bhagyanagar India Ltd</t>
        </is>
      </c>
      <c r="E2" s="30" t="inlineStr">
        <is>
          <t>power &amp; utilities</t>
        </is>
      </c>
      <c r="F2" s="30" t="inlineStr">
        <is>
          <t>Recycling</t>
        </is>
      </c>
      <c r="G2" s="30" t="inlineStr">
        <is>
          <t>smallcap</t>
        </is>
      </c>
      <c r="H2" s="31" t="n">
        <v>1378.88</v>
      </c>
      <c r="I2" s="31" t="n">
        <v>411.65</v>
      </c>
      <c r="J2" s="31" t="n">
        <v>5</v>
      </c>
      <c r="K2" s="31" t="n">
        <v>0</v>
      </c>
      <c r="L2" s="30" t="n">
        <v>93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67.16</v>
      </c>
      <c r="P2" s="31" t="n">
        <v>66.48</v>
      </c>
      <c r="Q2" s="31" t="n">
        <v>292.25</v>
      </c>
      <c r="R2" s="30" t="inlineStr">
        <is>
          <t>Near 52W High Breakout</t>
        </is>
      </c>
      <c r="S2" s="30" t="inlineStr">
        <is>
          <t>Nifty IT</t>
        </is>
      </c>
      <c r="T2" s="31" t="n">
        <v>-19.93</v>
      </c>
      <c r="U2" s="31" t="n">
        <v>341.21</v>
      </c>
      <c r="V2" s="31" t="n">
        <v>451.03</v>
      </c>
      <c r="W2" s="31" t="n">
        <v>46.2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19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3" t="inlineStr">
        <is>
          <t>INDNIPPON</t>
        </is>
      </c>
      <c r="D3" s="33" t="inlineStr">
        <is>
          <t>India Nippon Electricals Ltd</t>
        </is>
      </c>
      <c r="E3" s="30" t="inlineStr">
        <is>
          <t>auto</t>
        </is>
      </c>
      <c r="F3" s="30" t="inlineStr">
        <is>
          <t>Auto Ancillaries - Engine Parts</t>
        </is>
      </c>
      <c r="G3" s="30" t="inlineStr">
        <is>
          <t>smallcap</t>
        </is>
      </c>
      <c r="H3" s="31" t="n">
        <v>3046.43</v>
      </c>
      <c r="I3" s="31" t="n">
        <v>1346.7</v>
      </c>
      <c r="J3" s="31" t="n">
        <v>19.99</v>
      </c>
      <c r="K3" s="31" t="n">
        <v>0</v>
      </c>
      <c r="L3" s="30" t="n">
        <v>82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72.98</v>
      </c>
      <c r="P3" s="31" t="n">
        <v>45.33</v>
      </c>
      <c r="Q3" s="31" t="n">
        <v>1018.63</v>
      </c>
      <c r="R3" s="30" t="inlineStr">
        <is>
          <t>Volume Spike &amp; Near 52W High Breakout</t>
        </is>
      </c>
      <c r="S3" s="30" t="inlineStr">
        <is>
          <t>Nifty Auto</t>
        </is>
      </c>
      <c r="T3" s="31" t="n">
        <v>16.28</v>
      </c>
      <c r="U3" s="31" t="n">
        <v>72.81</v>
      </c>
      <c r="V3" s="31" t="n">
        <v>48.62</v>
      </c>
      <c r="W3" s="31" t="n">
        <v>29.75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24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MENONBE</t>
        </is>
      </c>
      <c r="D4" s="30" t="inlineStr">
        <is>
          <t>Menon Bearings Ltd</t>
        </is>
      </c>
      <c r="E4" s="30" t="inlineStr">
        <is>
          <t>auto</t>
        </is>
      </c>
      <c r="F4" s="30" t="inlineStr">
        <is>
          <t>Auto Ancillaries - Bearings</t>
        </is>
      </c>
      <c r="G4" s="30" t="inlineStr">
        <is>
          <t>smallcap</t>
        </is>
      </c>
      <c r="H4" s="31" t="n">
        <v>1712.58</v>
      </c>
      <c r="I4" s="31" t="n">
        <v>305.6</v>
      </c>
      <c r="J4" s="31" t="n">
        <v>5</v>
      </c>
      <c r="K4" s="31" t="n">
        <v>0</v>
      </c>
      <c r="L4" s="30" t="n">
        <v>97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79.06</v>
      </c>
      <c r="P4" s="31" t="n">
        <v>63.59</v>
      </c>
      <c r="Q4" s="31" t="n">
        <v>240.7</v>
      </c>
      <c r="R4" s="30" t="inlineStr">
        <is>
          <t>Near 52W High Breakout</t>
        </is>
      </c>
      <c r="S4" s="30" t="inlineStr">
        <is>
          <t>Nifty Auto</t>
        </is>
      </c>
      <c r="T4" s="31" t="n">
        <v>16.28</v>
      </c>
      <c r="U4" s="31" t="n">
        <v>140.38</v>
      </c>
      <c r="V4" s="31" t="n">
        <v>106.72</v>
      </c>
      <c r="W4" s="31" t="n">
        <v>62.34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21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JGCHEM</t>
        </is>
      </c>
      <c r="D5" s="30" t="inlineStr">
        <is>
          <t>JGChemicals Ltd</t>
        </is>
      </c>
      <c r="E5" s="30" t="inlineStr">
        <is>
          <t>chemicals</t>
        </is>
      </c>
      <c r="F5" s="30" t="inlineStr">
        <is>
          <t>Chemicals - Inorganic</t>
        </is>
      </c>
      <c r="G5" s="30" t="inlineStr">
        <is>
          <t>smallcap</t>
        </is>
      </c>
      <c r="H5" s="31" t="n">
        <v>2413.86</v>
      </c>
      <c r="I5" s="31" t="n">
        <v>616</v>
      </c>
      <c r="J5" s="31" t="n">
        <v>0.79</v>
      </c>
      <c r="K5" s="31" t="n">
        <v>0</v>
      </c>
      <c r="L5" s="30" t="n">
        <v>57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70.47</v>
      </c>
      <c r="P5" s="31" t="n">
        <v>42.4</v>
      </c>
      <c r="Q5" s="31" t="n">
        <v>494.32</v>
      </c>
      <c r="R5" s="30" t="inlineStr">
        <is>
          <t>Near 52W High Breakout</t>
        </is>
      </c>
      <c r="S5" s="30" t="inlineStr">
        <is>
          <t>Nifty IT</t>
        </is>
      </c>
      <c r="T5" s="31" t="n">
        <v>-19.93</v>
      </c>
      <c r="U5" s="31" t="n">
        <v>31.38</v>
      </c>
      <c r="V5" s="31" t="n">
        <v>64.08</v>
      </c>
      <c r="W5" s="31" t="n">
        <v>17.32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22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VINCOFE</t>
        </is>
      </c>
      <c r="D6" s="30" t="inlineStr">
        <is>
          <t>Vintage Coffee &amp; Beverages Ltd</t>
        </is>
      </c>
      <c r="E6" s="30" t="inlineStr">
        <is>
          <t>consumer discretionary</t>
        </is>
      </c>
      <c r="F6" s="30" t="inlineStr">
        <is>
          <t>FMCG - Coffee</t>
        </is>
      </c>
      <c r="G6" s="30" t="inlineStr">
        <is>
          <t>smallcap</t>
        </is>
      </c>
      <c r="H6" s="31" t="n">
        <v>2607.49</v>
      </c>
      <c r="I6" s="31" t="n">
        <v>178</v>
      </c>
      <c r="J6" s="31" t="n">
        <v>-0.14</v>
      </c>
      <c r="K6" s="31" t="n">
        <v>0</v>
      </c>
      <c r="L6" s="30" t="n">
        <v>26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64.75</v>
      </c>
      <c r="P6" s="31" t="n">
        <v>29.4</v>
      </c>
      <c r="Q6" s="31" t="n">
        <v>133.06</v>
      </c>
      <c r="R6" s="30" t="inlineStr">
        <is>
          <t>Near 52W High Breakout</t>
        </is>
      </c>
      <c r="S6" s="30" t="inlineStr">
        <is>
          <t>Nifty 50</t>
        </is>
      </c>
      <c r="T6" s="31" t="n">
        <v>-6.7</v>
      </c>
      <c r="U6" s="31" t="n">
        <v>18.57</v>
      </c>
      <c r="V6" s="31" t="n">
        <v>27.08</v>
      </c>
      <c r="W6" s="31" t="n">
        <v>7.55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20 to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25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BIRLACABLE</t>
        </is>
      </c>
      <c r="D7" s="30" t="inlineStr">
        <is>
          <t>Birla Cable Ltd</t>
        </is>
      </c>
      <c r="E7" s="30" t="inlineStr">
        <is>
          <t>industrials</t>
        </is>
      </c>
      <c r="F7" s="30" t="inlineStr">
        <is>
          <t>Cables - Telecom</t>
        </is>
      </c>
      <c r="G7" s="30" t="inlineStr">
        <is>
          <t>smallcap</t>
        </is>
      </c>
      <c r="H7" s="31" t="n">
        <v>1070.55</v>
      </c>
      <c r="I7" s="31" t="n">
        <v>356.85</v>
      </c>
      <c r="J7" s="31" t="n">
        <v>4.99</v>
      </c>
      <c r="K7" s="31" t="n">
        <v>0</v>
      </c>
      <c r="L7" s="30" t="n">
        <v>94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74.23999999999999</v>
      </c>
      <c r="P7" s="31" t="n">
        <v>51.02</v>
      </c>
      <c r="Q7" s="31" t="n">
        <v>277.5</v>
      </c>
      <c r="R7" s="30" t="inlineStr">
        <is>
          <t>Volume Spike / Accumulation</t>
        </is>
      </c>
      <c r="S7" s="30" t="inlineStr">
        <is>
          <t>Nifty Infra</t>
        </is>
      </c>
      <c r="T7" s="31" t="n">
        <v>0.58</v>
      </c>
      <c r="U7" s="31" t="n">
        <v>109.74</v>
      </c>
      <c r="V7" s="31" t="n">
        <v>108.53</v>
      </c>
      <c r="W7" s="31" t="n">
        <v>51.07</v>
      </c>
      <c r="X7" s="30" t="inlineStr">
        <is>
          <t>Cyclical in an Upturn</t>
        </is>
      </c>
      <c r="Y7" s="30">
        <f>IF(X7="Growing Industry",10,IF(X7="Cyclical in an Upturn",5,0))</f>
        <v/>
      </c>
      <c r="Z7" s="30" t="inlineStr">
        <is>
          <t>Oligopoly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29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GAYAPROJ</t>
        </is>
      </c>
      <c r="D8" s="30" t="inlineStr">
        <is>
          <t>Gayatri Projects Ltd</t>
        </is>
      </c>
      <c r="E8" s="30" t="inlineStr">
        <is>
          <t>realty</t>
        </is>
      </c>
      <c r="F8" s="30" t="inlineStr">
        <is>
          <t>Construction - Civil/Turnkey</t>
        </is>
      </c>
      <c r="G8" s="30" t="inlineStr">
        <is>
          <t>smallcap</t>
        </is>
      </c>
      <c r="H8" s="31" t="n">
        <v>1088.78</v>
      </c>
      <c r="I8" s="31" t="n">
        <v>23.45</v>
      </c>
      <c r="J8" s="31" t="n">
        <v>0.82</v>
      </c>
      <c r="K8" s="31" t="n">
        <v>0</v>
      </c>
      <c r="L8" s="30" t="n">
        <v>81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67.98</v>
      </c>
      <c r="P8" s="31" t="n">
        <v>28.78</v>
      </c>
      <c r="Q8" s="31" t="n">
        <v>17.43</v>
      </c>
      <c r="R8" s="30" t="inlineStr">
        <is>
          <t>Volume Spike &amp; Near 52W High Breakout</t>
        </is>
      </c>
      <c r="S8" s="30" t="inlineStr">
        <is>
          <t>Nifty Realty</t>
        </is>
      </c>
      <c r="T8" s="31" t="n">
        <v>-8.25</v>
      </c>
      <c r="U8" s="31" t="n">
        <v>178.12</v>
      </c>
      <c r="V8" s="31" t="n">
        <v>203.12</v>
      </c>
      <c r="W8" s="31" t="n">
        <v>28.77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28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TBZ</t>
        </is>
      </c>
      <c r="D9" s="30" t="inlineStr">
        <is>
          <t>Tribhovandas Bhimji Zaveri Ltd</t>
        </is>
      </c>
      <c r="E9" s="30" t="inlineStr">
        <is>
          <t>consumer discretionary</t>
        </is>
      </c>
      <c r="F9" s="30" t="inlineStr">
        <is>
          <t>Diamond, Gems &amp; Jewellery</t>
        </is>
      </c>
      <c r="G9" s="30" t="inlineStr">
        <is>
          <t>smallcap</t>
        </is>
      </c>
      <c r="H9" s="31" t="n">
        <v>3537.06</v>
      </c>
      <c r="I9" s="31" t="n">
        <v>530.05</v>
      </c>
      <c r="J9" s="31" t="n">
        <v>-4.55</v>
      </c>
      <c r="K9" s="31" t="n">
        <v>0</v>
      </c>
      <c r="L9" s="30" t="n">
        <v>99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89.84999999999999</v>
      </c>
      <c r="P9" s="31" t="n">
        <v>52.68</v>
      </c>
      <c r="Q9" s="31" t="n">
        <v>394.59</v>
      </c>
      <c r="R9" s="30" t="inlineStr">
        <is>
          <t>Near 52W High Breakout</t>
        </is>
      </c>
      <c r="S9" s="30" t="inlineStr">
        <is>
          <t>Nifty 50</t>
        </is>
      </c>
      <c r="T9" s="31" t="n">
        <v>-6.7</v>
      </c>
      <c r="U9" s="31" t="n">
        <v>184.3</v>
      </c>
      <c r="V9" s="31" t="n">
        <v>204.72</v>
      </c>
      <c r="W9" s="31" t="n">
        <v>77.15000000000001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Between 0.7 to 1.2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26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HFCL</t>
        </is>
      </c>
      <c r="D10" s="30" t="inlineStr">
        <is>
          <t>HFCL Ltd</t>
        </is>
      </c>
      <c r="E10" s="30" t="inlineStr">
        <is>
          <t>telecom</t>
        </is>
      </c>
      <c r="F10" s="30" t="inlineStr">
        <is>
          <t>Telecom Services</t>
        </is>
      </c>
      <c r="G10" s="30" t="inlineStr">
        <is>
          <t>largecap</t>
        </is>
      </c>
      <c r="H10" s="31" t="n">
        <v>37637.51</v>
      </c>
      <c r="I10" s="31" t="n">
        <v>245.9</v>
      </c>
      <c r="J10" s="31" t="n">
        <v>-1.94</v>
      </c>
      <c r="K10" s="31" t="n">
        <v>0</v>
      </c>
      <c r="L10" s="30" t="n">
        <v>98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73.06999999999999</v>
      </c>
      <c r="P10" s="31" t="n">
        <v>58.66</v>
      </c>
      <c r="Q10" s="31" t="n">
        <v>187.17</v>
      </c>
      <c r="R10" s="30" t="inlineStr">
        <is>
          <t>Near 52W High Breakout</t>
        </is>
      </c>
      <c r="S10" s="30" t="inlineStr">
        <is>
          <t>Nifty Infra</t>
        </is>
      </c>
      <c r="T10" s="31" t="n">
        <v>0.58</v>
      </c>
      <c r="U10" s="31" t="n">
        <v>223.65</v>
      </c>
      <c r="V10" s="31" t="n">
        <v>221.77</v>
      </c>
      <c r="W10" s="31" t="n">
        <v>66.98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Oligopoly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25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RML</t>
        </is>
      </c>
      <c r="D11" s="30" t="inlineStr">
        <is>
          <t>Rane (Madras) Ltd</t>
        </is>
      </c>
      <c r="E11" s="30" t="inlineStr">
        <is>
          <t>auto</t>
        </is>
      </c>
      <c r="F11" s="30" t="inlineStr">
        <is>
          <t>Auto Ancillaries - Gears</t>
        </is>
      </c>
      <c r="G11" s="30" t="inlineStr">
        <is>
          <t>smallcap</t>
        </is>
      </c>
      <c r="H11" s="31" t="n">
        <v>3783.52</v>
      </c>
      <c r="I11" s="31" t="n">
        <v>1369</v>
      </c>
      <c r="J11" s="31" t="n">
        <v>-1.51</v>
      </c>
      <c r="K11" s="31" t="n">
        <v>0</v>
      </c>
      <c r="L11" s="30" t="n">
        <v>84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69.52</v>
      </c>
      <c r="P11" s="31" t="n">
        <v>52.96</v>
      </c>
      <c r="Q11" s="31" t="n">
        <v>1029.52</v>
      </c>
      <c r="R11" s="30" t="inlineStr">
        <is>
          <t>Near 52W High Breakout</t>
        </is>
      </c>
      <c r="S11" s="30" t="inlineStr">
        <is>
          <t>Nifty Auto</t>
        </is>
      </c>
      <c r="T11" s="31" t="n">
        <v>16.28</v>
      </c>
      <c r="U11" s="31" t="n">
        <v>63.85</v>
      </c>
      <c r="V11" s="31" t="n">
        <v>40.91</v>
      </c>
      <c r="W11" s="31" t="n">
        <v>31.73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Between 0.7 to 1.2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24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SYRMA</t>
        </is>
      </c>
      <c r="D12" s="30" t="inlineStr">
        <is>
          <t>Syrma SGS Technology Ltd</t>
        </is>
      </c>
      <c r="E12" s="30" t="inlineStr">
        <is>
          <t>consumer discretionary</t>
        </is>
      </c>
      <c r="F12" s="30" t="inlineStr">
        <is>
          <t>Consumer Electronics - EMS</t>
        </is>
      </c>
      <c r="G12" s="30" t="inlineStr">
        <is>
          <t>largecap</t>
        </is>
      </c>
      <c r="H12" s="31" t="n">
        <v>31161.41</v>
      </c>
      <c r="I12" s="31" t="n">
        <v>1616</v>
      </c>
      <c r="J12" s="31" t="n">
        <v>-1.42</v>
      </c>
      <c r="K12" s="31" t="n">
        <v>0</v>
      </c>
      <c r="L12" s="30" t="n">
        <v>74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73.41</v>
      </c>
      <c r="P12" s="31" t="n">
        <v>60.74</v>
      </c>
      <c r="Q12" s="31" t="n">
        <v>1281.11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-6.7</v>
      </c>
      <c r="U12" s="31" t="n">
        <v>97.14</v>
      </c>
      <c r="V12" s="31" t="n">
        <v>111.29</v>
      </c>
      <c r="W12" s="31" t="n">
        <v>23.8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22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3" t="inlineStr">
        <is>
          <t>TAALTECH</t>
        </is>
      </c>
      <c r="D13" s="33" t="inlineStr">
        <is>
          <t>TAAL Tech Ltd</t>
        </is>
      </c>
      <c r="E13" s="30" t="inlineStr">
        <is>
          <t>Industrials</t>
        </is>
      </c>
      <c r="F13" s="30" t="inlineStr">
        <is>
          <t>Air Transport Service</t>
        </is>
      </c>
      <c r="G13" s="30" t="inlineStr">
        <is>
          <t>smallcap</t>
        </is>
      </c>
      <c r="H13" s="31" t="n">
        <v>1526.7</v>
      </c>
      <c r="I13" s="31" t="n">
        <v>4899</v>
      </c>
      <c r="J13" s="31" t="n">
        <v>8.31</v>
      </c>
      <c r="K13" s="31" t="n">
        <v>0</v>
      </c>
      <c r="L13" s="30" t="n">
        <v>69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72.98</v>
      </c>
      <c r="P13" s="31" t="n">
        <v>52.3</v>
      </c>
      <c r="Q13" s="31" t="n">
        <v>3744.74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-6.7</v>
      </c>
      <c r="U13" s="31" t="n">
        <v>61.98</v>
      </c>
      <c r="V13" s="31" t="n">
        <v>73.61</v>
      </c>
      <c r="W13" s="31" t="n">
        <v>20.84</v>
      </c>
      <c r="X13" s="30" t="inlineStr">
        <is>
          <t>Cyclical in an Upturn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20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3" t="inlineStr">
        <is>
          <t>CONFIPET</t>
        </is>
      </c>
      <c r="D14" s="33" t="inlineStr">
        <is>
          <t>Confidence Petroleum India Ltd</t>
        </is>
      </c>
      <c r="E14" s="30" t="inlineStr">
        <is>
          <t>miscellaneous</t>
        </is>
      </c>
      <c r="F14" s="30" t="inlineStr">
        <is>
          <t>LPG Bottling</t>
        </is>
      </c>
      <c r="G14" s="30" t="inlineStr">
        <is>
          <t>smallcap</t>
        </is>
      </c>
      <c r="H14" s="31" t="n">
        <v>2993.49</v>
      </c>
      <c r="I14" s="31" t="n">
        <v>90.09999999999999</v>
      </c>
      <c r="J14" s="31" t="n">
        <v>9.23</v>
      </c>
      <c r="K14" s="31" t="n">
        <v>0</v>
      </c>
      <c r="L14" s="30" t="n">
        <v>84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72.11</v>
      </c>
      <c r="P14" s="31" t="n">
        <v>61.02</v>
      </c>
      <c r="Q14" s="31" t="n">
        <v>64.31</v>
      </c>
      <c r="R14" s="30" t="inlineStr">
        <is>
          <t>Near 52W High Breakout</t>
        </is>
      </c>
      <c r="S14" s="30" t="inlineStr">
        <is>
          <t>Nifty Energy</t>
        </is>
      </c>
      <c r="T14" s="31" t="n">
        <v>8.75</v>
      </c>
      <c r="U14" s="31" t="n">
        <v>74.05</v>
      </c>
      <c r="V14" s="31" t="n">
        <v>60.05</v>
      </c>
      <c r="W14" s="31" t="n">
        <v>31.77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20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IOLCP</t>
        </is>
      </c>
      <c r="D15" s="30" t="inlineStr">
        <is>
          <t>IOL Chemicals &amp; Pharmaceuticals Ltd</t>
        </is>
      </c>
      <c r="E15" s="30" t="inlineStr">
        <is>
          <t>healthcare</t>
        </is>
      </c>
      <c r="F15" s="30" t="inlineStr">
        <is>
          <t>Pharma - API &amp; CRAMS</t>
        </is>
      </c>
      <c r="G15" s="30" t="inlineStr">
        <is>
          <t>midcap</t>
        </is>
      </c>
      <c r="H15" s="31" t="n">
        <v>6161.14</v>
      </c>
      <c r="I15" s="31" t="n">
        <v>209.9</v>
      </c>
      <c r="J15" s="31" t="n">
        <v>-0.51</v>
      </c>
      <c r="K15" s="31" t="n">
        <v>0</v>
      </c>
      <c r="L15" s="30" t="n">
        <v>85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80.88</v>
      </c>
      <c r="P15" s="31" t="n">
        <v>81.87</v>
      </c>
      <c r="Q15" s="31" t="n">
        <v>156.77</v>
      </c>
      <c r="R15" s="30" t="inlineStr">
        <is>
          <t>Near 52W High Breakout</t>
        </is>
      </c>
      <c r="S15" s="30" t="inlineStr">
        <is>
          <t>Nifty Pharma</t>
        </is>
      </c>
      <c r="T15" s="31" t="n">
        <v>19.47</v>
      </c>
      <c r="U15" s="31" t="n">
        <v>83.25</v>
      </c>
      <c r="V15" s="31" t="n">
        <v>53.38</v>
      </c>
      <c r="W15" s="31" t="n">
        <v>32.52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22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VENKEYS</t>
        </is>
      </c>
      <c r="D16" s="33" t="inlineStr">
        <is>
          <t>Venkys (India) Ltd</t>
        </is>
      </c>
      <c r="E16" s="30" t="inlineStr">
        <is>
          <t>fmcg</t>
        </is>
      </c>
      <c r="F16" s="30" t="inlineStr">
        <is>
          <t>FMCG - Animal/Polutry</t>
        </is>
      </c>
      <c r="G16" s="30" t="inlineStr">
        <is>
          <t>smallcap</t>
        </is>
      </c>
      <c r="H16" s="31" t="n">
        <v>2393.02</v>
      </c>
      <c r="I16" s="31" t="n">
        <v>1698.7</v>
      </c>
      <c r="J16" s="31" t="n">
        <v>-0.6</v>
      </c>
      <c r="K16" s="31" t="n">
        <v>0</v>
      </c>
      <c r="L16" s="30" t="n">
        <v>13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63.99</v>
      </c>
      <c r="P16" s="31" t="n">
        <v>41.06</v>
      </c>
      <c r="Q16" s="31" t="n">
        <v>1346.91</v>
      </c>
      <c r="R16" s="30" t="inlineStr">
        <is>
          <t>Near 52W High Breakout</t>
        </is>
      </c>
      <c r="S16" s="30" t="inlineStr">
        <is>
          <t>Nifty FMCG</t>
        </is>
      </c>
      <c r="T16" s="31" t="n">
        <v>-16.99</v>
      </c>
      <c r="U16" s="31" t="n">
        <v>10.41</v>
      </c>
      <c r="V16" s="31" t="n">
        <v>33</v>
      </c>
      <c r="W16" s="31" t="n">
        <v>4.45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19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MODISONLTD</t>
        </is>
      </c>
      <c r="D17" s="30" t="inlineStr">
        <is>
          <t>Modison Ltd</t>
        </is>
      </c>
      <c r="E17" s="30" t="inlineStr">
        <is>
          <t>industrials</t>
        </is>
      </c>
      <c r="F17" s="30" t="inlineStr">
        <is>
          <t>Capital Goods - Electric General</t>
        </is>
      </c>
      <c r="G17" s="30" t="inlineStr">
        <is>
          <t>smallcap</t>
        </is>
      </c>
      <c r="H17" s="31" t="n">
        <v>1603.03</v>
      </c>
      <c r="I17" s="31" t="n">
        <v>494</v>
      </c>
      <c r="J17" s="31" t="n">
        <v>-1.07</v>
      </c>
      <c r="K17" s="31" t="n">
        <v>0</v>
      </c>
      <c r="L17" s="30" t="n">
        <v>95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81.8</v>
      </c>
      <c r="P17" s="31" t="n">
        <v>59.16</v>
      </c>
      <c r="Q17" s="31" t="n">
        <v>354.98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-6.7</v>
      </c>
      <c r="U17" s="31" t="n">
        <v>212.68</v>
      </c>
      <c r="V17" s="31" t="n">
        <v>235.13</v>
      </c>
      <c r="W17" s="31" t="n">
        <v>51.19</v>
      </c>
      <c r="X17" s="30" t="inlineStr">
        <is>
          <t>Cyclical in an Upturn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26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3" t="inlineStr">
        <is>
          <t>KINGFA</t>
        </is>
      </c>
      <c r="D18" s="33" t="inlineStr">
        <is>
          <t>Kingfa Science &amp; Technology (India) Ltd</t>
        </is>
      </c>
      <c r="E18" s="30" t="inlineStr">
        <is>
          <t>plastic products</t>
        </is>
      </c>
      <c r="F18" s="30" t="inlineStr">
        <is>
          <t>Plastics - Plastic &amp; Plastic Products</t>
        </is>
      </c>
      <c r="G18" s="30" t="inlineStr">
        <is>
          <t>midcap</t>
        </is>
      </c>
      <c r="H18" s="31" t="n">
        <v>8380.17</v>
      </c>
      <c r="I18" s="31" t="n">
        <v>6184</v>
      </c>
      <c r="J18" s="31" t="n">
        <v>2.43</v>
      </c>
      <c r="K18" s="31" t="n">
        <v>0</v>
      </c>
      <c r="L18" s="30" t="n">
        <v>38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72.31999999999999</v>
      </c>
      <c r="P18" s="31" t="n">
        <v>36.19</v>
      </c>
      <c r="Q18" s="31" t="n">
        <v>4995.77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-6.7</v>
      </c>
      <c r="U18" s="31" t="n">
        <v>30.59</v>
      </c>
      <c r="V18" s="31" t="n">
        <v>39.96</v>
      </c>
      <c r="W18" s="31" t="n">
        <v>10.76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20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ACCENTMIC</t>
        </is>
      </c>
      <c r="D19" s="30" t="inlineStr">
        <is>
          <t>Accent Microcell Ltd</t>
        </is>
      </c>
      <c r="E19" s="30" t="inlineStr">
        <is>
          <t>unknown</t>
        </is>
      </c>
      <c r="F19" s="30" t="inlineStr">
        <is>
          <t>Pharma - Formulators</t>
        </is>
      </c>
      <c r="G19" s="30" t="inlineStr">
        <is>
          <t>smallcap</t>
        </is>
      </c>
      <c r="H19" s="31" t="n">
        <v>1672.03</v>
      </c>
      <c r="I19" s="31" t="n">
        <v>697</v>
      </c>
      <c r="J19" s="31" t="n">
        <v>8.41</v>
      </c>
      <c r="K19" s="31" t="n">
        <v>0</v>
      </c>
      <c r="L19" s="30" t="n">
        <v>81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82.92</v>
      </c>
      <c r="P19" s="31" t="n">
        <v>64.73999999999999</v>
      </c>
      <c r="Q19" s="31" t="n">
        <v>531.46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-6.7</v>
      </c>
      <c r="U19" s="31" t="n">
        <v>144.59</v>
      </c>
      <c r="V19" s="31" t="n">
        <v>162.16</v>
      </c>
      <c r="W19" s="31" t="n">
        <v>28.82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20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AVTNPL</t>
        </is>
      </c>
      <c r="D20" s="30" t="inlineStr">
        <is>
          <t>AVT Natural Products Ltd</t>
        </is>
      </c>
      <c r="E20" s="30" t="inlineStr">
        <is>
          <t>fmcg</t>
        </is>
      </c>
      <c r="F20" s="30" t="inlineStr">
        <is>
          <t>Agricultural Processing - Maize</t>
        </is>
      </c>
      <c r="G20" s="30" t="inlineStr">
        <is>
          <t>smallcap</t>
        </is>
      </c>
      <c r="H20" s="31" t="n">
        <v>1411.37</v>
      </c>
      <c r="I20" s="31" t="n">
        <v>92.68000000000001</v>
      </c>
      <c r="J20" s="31" t="n">
        <v>2.58</v>
      </c>
      <c r="K20" s="31" t="n">
        <v>0</v>
      </c>
      <c r="L20" s="30" t="n">
        <v>46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76.68000000000001</v>
      </c>
      <c r="P20" s="31" t="n">
        <v>42.71</v>
      </c>
      <c r="Q20" s="31" t="n">
        <v>74.17</v>
      </c>
      <c r="R20" s="30" t="inlineStr">
        <is>
          <t>Near 52W High Breakout</t>
        </is>
      </c>
      <c r="S20" s="30" t="inlineStr">
        <is>
          <t>Nifty FMCG</t>
        </is>
      </c>
      <c r="T20" s="31" t="n">
        <v>-16.99</v>
      </c>
      <c r="U20" s="31" t="n">
        <v>22.99</v>
      </c>
      <c r="V20" s="31" t="n">
        <v>48.15</v>
      </c>
      <c r="W20" s="31" t="n">
        <v>13.21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26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ASMTEC</t>
        </is>
      </c>
      <c r="D21" s="30" t="inlineStr">
        <is>
          <t>ASM Technologies Ltd</t>
        </is>
      </c>
      <c r="E21" s="30" t="inlineStr">
        <is>
          <t>Technology</t>
        </is>
      </c>
      <c r="F21" s="30" t="inlineStr">
        <is>
          <t>IT - Software</t>
        </is>
      </c>
      <c r="G21" s="30" t="inlineStr">
        <is>
          <t>midcap</t>
        </is>
      </c>
      <c r="H21" s="31" t="n">
        <v>9542.67</v>
      </c>
      <c r="I21" s="31" t="n">
        <v>6542.05</v>
      </c>
      <c r="J21" s="31" t="n">
        <v>3.1</v>
      </c>
      <c r="K21" s="31" t="n">
        <v>0</v>
      </c>
      <c r="L21" s="30" t="n">
        <v>89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81.73</v>
      </c>
      <c r="P21" s="31" t="n">
        <v>50.73</v>
      </c>
      <c r="Q21" s="31" t="n">
        <v>4877.99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-6.7</v>
      </c>
      <c r="U21" s="31" t="n">
        <v>49.92</v>
      </c>
      <c r="V21" s="31" t="n">
        <v>60.69</v>
      </c>
      <c r="W21" s="31" t="n">
        <v>35.82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Between 1.5 to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25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MOREPENLAB</t>
        </is>
      </c>
      <c r="D22" s="30" t="inlineStr">
        <is>
          <t>Morepen Laboratories Ltd</t>
        </is>
      </c>
      <c r="E22" s="30" t="inlineStr">
        <is>
          <t>healthcare</t>
        </is>
      </c>
      <c r="F22" s="30" t="inlineStr">
        <is>
          <t>Pharma - API &amp; CRAMS</t>
        </is>
      </c>
      <c r="G22" s="30" t="inlineStr">
        <is>
          <t>midcap</t>
        </is>
      </c>
      <c r="H22" s="31" t="n">
        <v>6411.06</v>
      </c>
      <c r="I22" s="31" t="n">
        <v>117</v>
      </c>
      <c r="J22" s="31" t="n">
        <v>-0.14</v>
      </c>
      <c r="K22" s="31" t="n">
        <v>0</v>
      </c>
      <c r="L22" s="30" t="n">
        <v>95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87.78</v>
      </c>
      <c r="P22" s="31" t="n">
        <v>52.59</v>
      </c>
      <c r="Q22" s="31" t="n">
        <v>89.54000000000001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19.47</v>
      </c>
      <c r="U22" s="31" t="n">
        <v>116.22</v>
      </c>
      <c r="V22" s="31" t="n">
        <v>80.97</v>
      </c>
      <c r="W22" s="31" t="n">
        <v>53.08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23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INDSWFTLAB</t>
        </is>
      </c>
      <c r="D23" s="30" t="inlineStr">
        <is>
          <t>Ind-Swift Laboratories Ltd</t>
        </is>
      </c>
      <c r="E23" s="30" t="inlineStr">
        <is>
          <t>healthcare</t>
        </is>
      </c>
      <c r="F23" s="30" t="inlineStr">
        <is>
          <t>Pharma - API</t>
        </is>
      </c>
      <c r="G23" s="30" t="inlineStr">
        <is>
          <t>smallcap</t>
        </is>
      </c>
      <c r="H23" s="31" t="n">
        <v>3348.89</v>
      </c>
      <c r="I23" s="31" t="n">
        <v>385.1</v>
      </c>
      <c r="J23" s="31" t="n">
        <v>-0.82</v>
      </c>
      <c r="K23" s="31" t="n">
        <v>0</v>
      </c>
      <c r="L23" s="30" t="n">
        <v>97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88.23</v>
      </c>
      <c r="P23" s="31" t="n">
        <v>74.59999999999999</v>
      </c>
      <c r="Q23" s="31" t="n">
        <v>295.55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19.47</v>
      </c>
      <c r="U23" s="31" t="n">
        <v>267.7</v>
      </c>
      <c r="V23" s="31" t="n">
        <v>207.77</v>
      </c>
      <c r="W23" s="31" t="n">
        <v>65.66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20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LENSKART</t>
        </is>
      </c>
      <c r="D24" s="30" t="inlineStr">
        <is>
          <t>Lenskart Solutions Ltd</t>
        </is>
      </c>
      <c r="E24" s="30" t="inlineStr">
        <is>
          <t>Healthcare</t>
        </is>
      </c>
      <c r="F24" s="30" t="inlineStr">
        <is>
          <t>New age - Platform - E-Retail</t>
        </is>
      </c>
      <c r="G24" s="30" t="inlineStr">
        <is>
          <t>largecap</t>
        </is>
      </c>
      <c r="H24" s="31" t="n">
        <v>120542.61</v>
      </c>
      <c r="I24" s="31" t="n">
        <v>693.05</v>
      </c>
      <c r="J24" s="31" t="n">
        <v>-0.39</v>
      </c>
      <c r="K24" s="31" t="n">
        <v>0</v>
      </c>
      <c r="L24" s="30" t="n">
        <v>60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74.8</v>
      </c>
      <c r="P24" s="31" t="n">
        <v>47.38</v>
      </c>
      <c r="Q24" s="31" t="n">
        <v>570.34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16.96</v>
      </c>
      <c r="U24" s="31" t="n">
        <v>69.64</v>
      </c>
      <c r="V24" s="31" t="n">
        <v>45.04</v>
      </c>
      <c r="W24" s="31" t="n">
        <v>17.84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PCJEWELLER</t>
        </is>
      </c>
      <c r="D25" s="30" t="inlineStr">
        <is>
          <t>PC Jeweller Ltd</t>
        </is>
      </c>
      <c r="E25" s="30" t="inlineStr">
        <is>
          <t>consumer discretionary</t>
        </is>
      </c>
      <c r="F25" s="30" t="inlineStr">
        <is>
          <t>Diamond, Gems &amp; Jewellery</t>
        </is>
      </c>
      <c r="G25" s="30" t="inlineStr">
        <is>
          <t>midcap</t>
        </is>
      </c>
      <c r="H25" s="31" t="n">
        <v>13565.22</v>
      </c>
      <c r="I25" s="31" t="n">
        <v>13.91</v>
      </c>
      <c r="J25" s="31" t="n">
        <v>2.88</v>
      </c>
      <c r="K25" s="31" t="n">
        <v>0</v>
      </c>
      <c r="L25" s="30" t="n">
        <v>52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73.34</v>
      </c>
      <c r="P25" s="31" t="n">
        <v>22.76</v>
      </c>
      <c r="Q25" s="31" t="n">
        <v>10.17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-6.7</v>
      </c>
      <c r="U25" s="31" t="n">
        <v>5.64</v>
      </c>
      <c r="V25" s="31" t="n">
        <v>13.22</v>
      </c>
      <c r="W25" s="31" t="n">
        <v>15.36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25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WHEELS</t>
        </is>
      </c>
      <c r="D26" s="33" t="inlineStr">
        <is>
          <t>Wheels India Ltd</t>
        </is>
      </c>
      <c r="E26" s="30" t="inlineStr">
        <is>
          <t>auto</t>
        </is>
      </c>
      <c r="F26" s="30" t="inlineStr">
        <is>
          <t>Auto Ancillaries - Wheels</t>
        </is>
      </c>
      <c r="G26" s="30" t="inlineStr">
        <is>
          <t>midcap</t>
        </is>
      </c>
      <c r="H26" s="31" t="n">
        <v>5986.09</v>
      </c>
      <c r="I26" s="31" t="n">
        <v>2450</v>
      </c>
      <c r="J26" s="31" t="n">
        <v>16.31</v>
      </c>
      <c r="K26" s="31" t="n">
        <v>0</v>
      </c>
      <c r="L26" s="30" t="n">
        <v>97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81.31</v>
      </c>
      <c r="P26" s="31" t="n">
        <v>55.95</v>
      </c>
      <c r="Q26" s="31" t="n">
        <v>1842.25</v>
      </c>
      <c r="R26" s="30" t="inlineStr">
        <is>
          <t>Volume Spike &amp; Near 52W High Breakout</t>
        </is>
      </c>
      <c r="S26" s="30" t="inlineStr">
        <is>
          <t>Nifty Auto</t>
        </is>
      </c>
      <c r="T26" s="31" t="n">
        <v>16.28</v>
      </c>
      <c r="U26" s="31" t="n">
        <v>204.68</v>
      </c>
      <c r="V26" s="31" t="n">
        <v>162.02</v>
      </c>
      <c r="W26" s="31" t="n">
        <v>60.2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Less than 12%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25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UNIPARTS</t>
        </is>
      </c>
      <c r="D27" s="30" t="inlineStr">
        <is>
          <t>Uniparts India Ltd</t>
        </is>
      </c>
      <c r="E27" s="30" t="inlineStr">
        <is>
          <t>industrials</t>
        </is>
      </c>
      <c r="F27" s="30" t="inlineStr">
        <is>
          <t>Castings, Forgings &amp; Fastners</t>
        </is>
      </c>
      <c r="G27" s="30" t="inlineStr">
        <is>
          <t>smallcap</t>
        </is>
      </c>
      <c r="H27" s="31" t="n">
        <v>4029.49</v>
      </c>
      <c r="I27" s="31" t="n">
        <v>892.25</v>
      </c>
      <c r="J27" s="31" t="n">
        <v>-0.64</v>
      </c>
      <c r="K27" s="31" t="n">
        <v>0</v>
      </c>
      <c r="L27" s="30" t="n">
        <v>79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83.45</v>
      </c>
      <c r="P27" s="31" t="n">
        <v>69.7</v>
      </c>
      <c r="Q27" s="31" t="n">
        <v>730.65</v>
      </c>
      <c r="R27" s="30" t="inlineStr">
        <is>
          <t>Near 52W High Breakout</t>
        </is>
      </c>
      <c r="S27" s="30" t="inlineStr">
        <is>
          <t>Nifty 50</t>
        </is>
      </c>
      <c r="T27" s="31" t="n">
        <v>-6.7</v>
      </c>
      <c r="U27" s="31" t="n">
        <v>132.41</v>
      </c>
      <c r="V27" s="31" t="n">
        <v>149.09</v>
      </c>
      <c r="W27" s="31" t="n">
        <v>27.84</v>
      </c>
      <c r="X27" s="30" t="inlineStr">
        <is>
          <t>Cyclical in an Upturn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23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TIMEX</t>
        </is>
      </c>
      <c r="D28" s="30" t="inlineStr">
        <is>
          <t>Timex Group India Ltd</t>
        </is>
      </c>
      <c r="E28" s="30" t="inlineStr">
        <is>
          <t>Consumer Cyclical</t>
        </is>
      </c>
      <c r="F28" s="30" t="inlineStr">
        <is>
          <t>Watches</t>
        </is>
      </c>
      <c r="G28" s="30" t="inlineStr">
        <is>
          <t>midcap</t>
        </is>
      </c>
      <c r="H28" s="31" t="n">
        <v>6309.38</v>
      </c>
      <c r="I28" s="31" t="n">
        <v>625</v>
      </c>
      <c r="J28" s="31" t="n">
        <v>3.02</v>
      </c>
      <c r="K28" s="31" t="n">
        <v>0</v>
      </c>
      <c r="L28" s="30" t="n">
        <v>73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65.86</v>
      </c>
      <c r="P28" s="31" t="n">
        <v>61.07</v>
      </c>
      <c r="Q28" s="31" t="n">
        <v>508.54</v>
      </c>
      <c r="R28" s="30" t="inlineStr">
        <is>
          <t>Earnings / Momentum Support</t>
        </is>
      </c>
      <c r="S28" s="30" t="inlineStr">
        <is>
          <t>Nifty 50</t>
        </is>
      </c>
      <c r="T28" s="31" t="n">
        <v>-6.7</v>
      </c>
      <c r="U28" s="31" t="n">
        <v>94.7</v>
      </c>
      <c r="V28" s="31" t="n">
        <v>108.68</v>
      </c>
      <c r="W28" s="31" t="n">
        <v>23.79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20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SANSERA</t>
        </is>
      </c>
      <c r="D29" s="30" t="inlineStr">
        <is>
          <t>Sansera Engineering Ltd</t>
        </is>
      </c>
      <c r="E29" s="30" t="inlineStr">
        <is>
          <t>auto</t>
        </is>
      </c>
      <c r="F29" s="30" t="inlineStr">
        <is>
          <t>Auto Ancillaries - Diversified</t>
        </is>
      </c>
      <c r="G29" s="30" t="inlineStr">
        <is>
          <t>largecap</t>
        </is>
      </c>
      <c r="H29" s="31" t="n">
        <v>25647.87</v>
      </c>
      <c r="I29" s="31" t="n">
        <v>4110</v>
      </c>
      <c r="J29" s="31" t="n">
        <v>1.89</v>
      </c>
      <c r="K29" s="31" t="n">
        <v>0</v>
      </c>
      <c r="L29" s="30" t="n">
        <v>91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80.88</v>
      </c>
      <c r="P29" s="31" t="n">
        <v>63.37</v>
      </c>
      <c r="Q29" s="31" t="n">
        <v>3331.48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16.28</v>
      </c>
      <c r="U29" s="31" t="n">
        <v>205.66</v>
      </c>
      <c r="V29" s="31" t="n">
        <v>162.86</v>
      </c>
      <c r="W29" s="31" t="n">
        <v>40.18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19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SOLARINDS</t>
        </is>
      </c>
      <c r="D30" s="33" t="inlineStr">
        <is>
          <t>Solar Industries India Ltd</t>
        </is>
      </c>
      <c r="E30" s="30" t="inlineStr">
        <is>
          <t>aerospace &amp; defence</t>
        </is>
      </c>
      <c r="F30" s="30" t="inlineStr">
        <is>
          <t>Industrial Explosives</t>
        </is>
      </c>
      <c r="G30" s="30" t="inlineStr">
        <is>
          <t>largecap</t>
        </is>
      </c>
      <c r="H30" s="31" t="n">
        <v>202290.52</v>
      </c>
      <c r="I30" s="31" t="n">
        <v>22355</v>
      </c>
      <c r="J30" s="31" t="n">
        <v>-0.45</v>
      </c>
      <c r="K30" s="31" t="n">
        <v>0</v>
      </c>
      <c r="L30" s="30" t="n">
        <v>55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78.89</v>
      </c>
      <c r="P30" s="31" t="n">
        <v>40.15</v>
      </c>
      <c r="Q30" s="31" t="n">
        <v>18612.94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-6.7</v>
      </c>
      <c r="U30" s="31" t="n">
        <v>55.3</v>
      </c>
      <c r="V30" s="31" t="n">
        <v>66.45</v>
      </c>
      <c r="W30" s="31" t="n">
        <v>16.5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19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PARAS</t>
        </is>
      </c>
      <c r="D31" s="30" t="inlineStr">
        <is>
          <t>Paras Defence and Space Technologies Ltd</t>
        </is>
      </c>
      <c r="E31" s="30" t="inlineStr">
        <is>
          <t>aerospace &amp; defence</t>
        </is>
      </c>
      <c r="F31" s="30" t="inlineStr">
        <is>
          <t>Aerospace &amp; Defence - Equipments</t>
        </is>
      </c>
      <c r="G31" s="30" t="inlineStr">
        <is>
          <t>midcap</t>
        </is>
      </c>
      <c r="H31" s="31" t="n">
        <v>11862.45</v>
      </c>
      <c r="I31" s="31" t="n">
        <v>1472</v>
      </c>
      <c r="J31" s="31" t="n">
        <v>-2.13</v>
      </c>
      <c r="K31" s="31" t="n">
        <v>0</v>
      </c>
      <c r="L31" s="30" t="n">
        <v>77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69.28</v>
      </c>
      <c r="P31" s="31" t="n">
        <v>67.62</v>
      </c>
      <c r="Q31" s="31" t="n">
        <v>1102.22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-6.7</v>
      </c>
      <c r="U31" s="31" t="n">
        <v>112.5</v>
      </c>
      <c r="V31" s="31" t="n">
        <v>127.76</v>
      </c>
      <c r="W31" s="31" t="n">
        <v>26.4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19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IGPL</t>
        </is>
      </c>
      <c r="D32" s="30" t="inlineStr">
        <is>
          <t>I G Petrochemicals Ltd</t>
        </is>
      </c>
      <c r="E32" s="30" t="inlineStr">
        <is>
          <t>chemicals</t>
        </is>
      </c>
      <c r="F32" s="30" t="inlineStr">
        <is>
          <t>Chemicals - Organic - Maleic Anhydride</t>
        </is>
      </c>
      <c r="G32" s="30" t="inlineStr">
        <is>
          <t>smallcap</t>
        </is>
      </c>
      <c r="H32" s="31" t="n">
        <v>1712.19</v>
      </c>
      <c r="I32" s="31" t="n">
        <v>556</v>
      </c>
      <c r="J32" s="31" t="n">
        <v>-4.88</v>
      </c>
      <c r="K32" s="31" t="n">
        <v>0</v>
      </c>
      <c r="L32" s="30" t="n">
        <v>44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68.88</v>
      </c>
      <c r="P32" s="31" t="n">
        <v>29.73</v>
      </c>
      <c r="Q32" s="31" t="n">
        <v>448.83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-6.7</v>
      </c>
      <c r="U32" s="31" t="n">
        <v>29.68</v>
      </c>
      <c r="V32" s="31" t="n">
        <v>38.99</v>
      </c>
      <c r="W32" s="31" t="n">
        <v>12.81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19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SAKAR</t>
        </is>
      </c>
      <c r="D33" s="30" t="inlineStr">
        <is>
          <t>Sakar Healthcare Ltd</t>
        </is>
      </c>
      <c r="E33" s="30" t="inlineStr">
        <is>
          <t>healthcare</t>
        </is>
      </c>
      <c r="F33" s="30" t="inlineStr">
        <is>
          <t>Hospitals</t>
        </is>
      </c>
      <c r="G33" s="30" t="inlineStr">
        <is>
          <t>smallcap</t>
        </is>
      </c>
      <c r="H33" s="31" t="n">
        <v>2540.94</v>
      </c>
      <c r="I33" s="31" t="n">
        <v>1142</v>
      </c>
      <c r="J33" s="31" t="n">
        <v>-1.37</v>
      </c>
      <c r="K33" s="31" t="n">
        <v>0</v>
      </c>
      <c r="L33" s="30" t="n">
        <v>90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76.23999999999999</v>
      </c>
      <c r="P33" s="31" t="n">
        <v>52.51</v>
      </c>
      <c r="Q33" s="31" t="n">
        <v>846.58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19.47</v>
      </c>
      <c r="U33" s="31" t="n">
        <v>244.71</v>
      </c>
      <c r="V33" s="31" t="n">
        <v>188.52</v>
      </c>
      <c r="W33" s="31" t="n">
        <v>37.54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25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KPL</t>
        </is>
      </c>
      <c r="D34" s="30" t="inlineStr">
        <is>
          <t>Kwality Pharmaceuticals Ltd</t>
        </is>
      </c>
      <c r="E34" s="30" t="inlineStr">
        <is>
          <t>Healthcare</t>
        </is>
      </c>
      <c r="F34" s="30" t="inlineStr">
        <is>
          <t>Pharma - Formulators</t>
        </is>
      </c>
      <c r="G34" s="30" t="inlineStr">
        <is>
          <t>smallcap</t>
        </is>
      </c>
      <c r="H34" s="31" t="n">
        <v>3705.6</v>
      </c>
      <c r="I34" s="31" t="n">
        <v>3571.25</v>
      </c>
      <c r="J34" s="31" t="n">
        <v>-2.67</v>
      </c>
      <c r="K34" s="31" t="n">
        <v>0</v>
      </c>
      <c r="L34" s="30" t="n">
        <v>92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78.14</v>
      </c>
      <c r="P34" s="31" t="n">
        <v>70.73999999999999</v>
      </c>
      <c r="Q34" s="31" t="n">
        <v>2657.7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19.47</v>
      </c>
      <c r="U34" s="31" t="n">
        <v>262.31</v>
      </c>
      <c r="V34" s="31" t="n">
        <v>203.26</v>
      </c>
      <c r="W34" s="31" t="n">
        <v>41.23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24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SHILPAMED</t>
        </is>
      </c>
      <c r="D35" s="30" t="inlineStr">
        <is>
          <t>Shilpa Medicare Ltd</t>
        </is>
      </c>
      <c r="E35" s="30" t="inlineStr">
        <is>
          <t>healthcare</t>
        </is>
      </c>
      <c r="F35" s="30" t="inlineStr">
        <is>
          <t>Pharma - API &amp; CRAMS</t>
        </is>
      </c>
      <c r="G35" s="30" t="inlineStr">
        <is>
          <t>midcap</t>
        </is>
      </c>
      <c r="H35" s="31" t="n">
        <v>18873.65</v>
      </c>
      <c r="I35" s="31" t="n">
        <v>965</v>
      </c>
      <c r="J35" s="31" t="n">
        <v>0.53</v>
      </c>
      <c r="K35" s="31" t="n">
        <v>0</v>
      </c>
      <c r="L35" s="30" t="n">
        <v>91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90.73</v>
      </c>
      <c r="P35" s="31" t="n">
        <v>79.22</v>
      </c>
      <c r="Q35" s="31" t="n">
        <v>788.17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19.47</v>
      </c>
      <c r="U35" s="31" t="n">
        <v>132.57</v>
      </c>
      <c r="V35" s="31" t="n">
        <v>94.66</v>
      </c>
      <c r="W35" s="31" t="n">
        <v>40.2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21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SHUKRAPHAR</t>
        </is>
      </c>
      <c r="D36" s="33" t="inlineStr">
        <is>
          <t>Shukra Pharmaceuticals Ltd</t>
        </is>
      </c>
      <c r="E36" s="30" t="inlineStr">
        <is>
          <t>Healthcare</t>
        </is>
      </c>
      <c r="F36" s="30" t="inlineStr">
        <is>
          <t>Pharma - Others</t>
        </is>
      </c>
      <c r="G36" s="30" t="inlineStr">
        <is>
          <t>smallcap</t>
        </is>
      </c>
      <c r="H36" s="31" t="n">
        <v>2512.49</v>
      </c>
      <c r="I36" s="31" t="n">
        <v>57</v>
      </c>
      <c r="J36" s="31" t="n">
        <v>5.26</v>
      </c>
      <c r="K36" s="31" t="n">
        <v>0</v>
      </c>
      <c r="L36" s="30" t="n">
        <v>92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73.31</v>
      </c>
      <c r="P36" s="31" t="n">
        <v>24.98</v>
      </c>
      <c r="Q36" s="31" t="n">
        <v>39.74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19.47</v>
      </c>
      <c r="U36" s="31" t="n">
        <v>98.8</v>
      </c>
      <c r="V36" s="31" t="n">
        <v>66.39</v>
      </c>
      <c r="W36" s="31" t="n">
        <v>41.89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21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KMCSHIL</t>
        </is>
      </c>
      <c r="D37" s="30" t="inlineStr">
        <is>
          <t>KMC Speciality Hospitals (India) Ltd</t>
        </is>
      </c>
      <c r="E37" s="30" t="inlineStr">
        <is>
          <t>Healthcare</t>
        </is>
      </c>
      <c r="F37" s="30" t="inlineStr">
        <is>
          <t>Hospitals</t>
        </is>
      </c>
      <c r="G37" s="30" t="inlineStr">
        <is>
          <t>smallcap</t>
        </is>
      </c>
      <c r="H37" s="31" t="n">
        <v>2253.83</v>
      </c>
      <c r="I37" s="31" t="n">
        <v>138.2</v>
      </c>
      <c r="J37" s="31" t="n">
        <v>0.33</v>
      </c>
      <c r="K37" s="31" t="n">
        <v>0</v>
      </c>
      <c r="L37" s="30" t="n">
        <v>66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69.84999999999999</v>
      </c>
      <c r="P37" s="31" t="n">
        <v>57.7</v>
      </c>
      <c r="Q37" s="31" t="n">
        <v>110.98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19.47</v>
      </c>
      <c r="U37" s="31" t="n">
        <v>105.78</v>
      </c>
      <c r="V37" s="31" t="n">
        <v>72.23999999999999</v>
      </c>
      <c r="W37" s="31" t="n">
        <v>19.69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VALIANT</t>
        </is>
      </c>
      <c r="D38" s="30" t="inlineStr">
        <is>
          <t>Valiant Communications Ltd</t>
        </is>
      </c>
      <c r="E38" s="30" t="inlineStr">
        <is>
          <t>Technology</t>
        </is>
      </c>
      <c r="F38" s="30" t="inlineStr">
        <is>
          <t>Telecom Services</t>
        </is>
      </c>
      <c r="G38" s="30" t="inlineStr">
        <is>
          <t>smallcap</t>
        </is>
      </c>
      <c r="H38" s="31" t="n">
        <v>1548.03</v>
      </c>
      <c r="I38" s="31" t="n">
        <v>1324</v>
      </c>
      <c r="J38" s="31" t="n">
        <v>0.27</v>
      </c>
      <c r="K38" s="31" t="n">
        <v>0</v>
      </c>
      <c r="L38" s="30" t="n">
        <v>66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65.7</v>
      </c>
      <c r="P38" s="31" t="n">
        <v>22.93</v>
      </c>
      <c r="Q38" s="31" t="n">
        <v>889.16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-6.7</v>
      </c>
      <c r="U38" s="31" t="n">
        <v>122.57</v>
      </c>
      <c r="V38" s="31" t="n">
        <v>138.55</v>
      </c>
      <c r="W38" s="31" t="n">
        <v>19.86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Oligopoly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INNOVACAP</t>
        </is>
      </c>
      <c r="D39" s="30" t="inlineStr">
        <is>
          <t>Innova Captab Ltd</t>
        </is>
      </c>
      <c r="E39" s="30" t="inlineStr">
        <is>
          <t>healthcare</t>
        </is>
      </c>
      <c r="F39" s="30" t="inlineStr">
        <is>
          <t>Pharma - API</t>
        </is>
      </c>
      <c r="G39" s="30" t="inlineStr">
        <is>
          <t>midcap</t>
        </is>
      </c>
      <c r="H39" s="31" t="n">
        <v>6801.18</v>
      </c>
      <c r="I39" s="31" t="n">
        <v>1188.5</v>
      </c>
      <c r="J39" s="31" t="n">
        <v>1.43</v>
      </c>
      <c r="K39" s="31" t="n">
        <v>0</v>
      </c>
      <c r="L39" s="30" t="n">
        <v>47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76.5</v>
      </c>
      <c r="P39" s="31" t="n">
        <v>63.62</v>
      </c>
      <c r="Q39" s="31" t="n">
        <v>945.88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19.47</v>
      </c>
      <c r="U39" s="31" t="n">
        <v>38.69</v>
      </c>
      <c r="V39" s="31" t="n">
        <v>16.09</v>
      </c>
      <c r="W39" s="31" t="n">
        <v>13.49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19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MANORAMA</t>
        </is>
      </c>
      <c r="D40" s="30" t="inlineStr">
        <is>
          <t>Manorama Industries Ltd</t>
        </is>
      </c>
      <c r="E40" s="30" t="inlineStr">
        <is>
          <t>fmcg</t>
        </is>
      </c>
      <c r="F40" s="30" t="inlineStr">
        <is>
          <t>FMCG - Chocolate</t>
        </is>
      </c>
      <c r="G40" s="30" t="inlineStr">
        <is>
          <t>midcap</t>
        </is>
      </c>
      <c r="H40" s="31" t="n">
        <v>13167.33</v>
      </c>
      <c r="I40" s="31" t="n">
        <v>2086</v>
      </c>
      <c r="J40" s="31" t="n">
        <v>-2.2</v>
      </c>
      <c r="K40" s="31" t="n">
        <v>0</v>
      </c>
      <c r="L40" s="30" t="n">
        <v>62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77.62</v>
      </c>
      <c r="P40" s="31" t="n">
        <v>27.65</v>
      </c>
      <c r="Q40" s="31" t="n">
        <v>1659.7</v>
      </c>
      <c r="R40" s="30" t="inlineStr">
        <is>
          <t>Near 52W High Breakout</t>
        </is>
      </c>
      <c r="S40" s="30" t="inlineStr">
        <is>
          <t>Nifty FMCG</t>
        </is>
      </c>
      <c r="T40" s="31" t="n">
        <v>-16.99</v>
      </c>
      <c r="U40" s="31" t="n">
        <v>32.81</v>
      </c>
      <c r="V40" s="31" t="n">
        <v>59.99</v>
      </c>
      <c r="W40" s="31" t="n">
        <v>18.62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19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SKYGOLD</t>
        </is>
      </c>
      <c r="D41" s="30" t="inlineStr">
        <is>
          <t>Sky Gold &amp; Diamonds Ltd</t>
        </is>
      </c>
      <c r="E41" s="30" t="inlineStr">
        <is>
          <t>consumer discretionary</t>
        </is>
      </c>
      <c r="F41" s="30" t="inlineStr">
        <is>
          <t>Diamond, Gems &amp; Jewellery</t>
        </is>
      </c>
      <c r="G41" s="30" t="inlineStr">
        <is>
          <t>midcap</t>
        </is>
      </c>
      <c r="H41" s="31" t="n">
        <v>12883.96</v>
      </c>
      <c r="I41" s="31" t="n">
        <v>831.9</v>
      </c>
      <c r="J41" s="31" t="n">
        <v>1.45</v>
      </c>
      <c r="K41" s="31" t="n">
        <v>0</v>
      </c>
      <c r="L41" s="30" t="n">
        <v>90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78.75</v>
      </c>
      <c r="P41" s="31" t="n">
        <v>66.11</v>
      </c>
      <c r="Q41" s="31" t="n">
        <v>633.54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-6.7</v>
      </c>
      <c r="U41" s="31" t="n">
        <v>194.84</v>
      </c>
      <c r="V41" s="31" t="n">
        <v>216.02</v>
      </c>
      <c r="W41" s="31" t="n">
        <v>39.44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Between 0.7 to 1.2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29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KMEW</t>
        </is>
      </c>
      <c r="D42" s="30" t="inlineStr">
        <is>
          <t>Knowledge Marine &amp; Engineering Works Ltd</t>
        </is>
      </c>
      <c r="E42" s="30" t="inlineStr">
        <is>
          <t>transportation</t>
        </is>
      </c>
      <c r="F42" s="30" t="inlineStr">
        <is>
          <t>Shipping</t>
        </is>
      </c>
      <c r="G42" s="30" t="inlineStr">
        <is>
          <t>midcap</t>
        </is>
      </c>
      <c r="H42" s="31" t="n">
        <v>7508.85</v>
      </c>
      <c r="I42" s="31" t="n">
        <v>2960.4</v>
      </c>
      <c r="J42" s="31" t="n">
        <v>-0.9</v>
      </c>
      <c r="K42" s="31" t="n">
        <v>0</v>
      </c>
      <c r="L42" s="30" t="n">
        <v>88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76.81</v>
      </c>
      <c r="P42" s="31" t="n">
        <v>57.75</v>
      </c>
      <c r="Q42" s="31" t="n">
        <v>2267.61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-6.7</v>
      </c>
      <c r="U42" s="31" t="n">
        <v>171.79</v>
      </c>
      <c r="V42" s="31" t="n">
        <v>191.31</v>
      </c>
      <c r="W42" s="31" t="n">
        <v>35.57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23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FCL</t>
        </is>
      </c>
      <c r="D43" s="30" t="inlineStr">
        <is>
          <t>Fineotex Chemical Ltd</t>
        </is>
      </c>
      <c r="E43" s="30" t="inlineStr">
        <is>
          <t>chemicals</t>
        </is>
      </c>
      <c r="F43" s="30" t="inlineStr">
        <is>
          <t>Speciality Chemicals</t>
        </is>
      </c>
      <c r="G43" s="30" t="inlineStr">
        <is>
          <t>midcap</t>
        </is>
      </c>
      <c r="H43" s="31" t="n">
        <v>6777.4</v>
      </c>
      <c r="I43" s="31" t="n">
        <v>58.2</v>
      </c>
      <c r="J43" s="31" t="n">
        <v>-0.41</v>
      </c>
      <c r="K43" s="31" t="n">
        <v>0</v>
      </c>
      <c r="L43" s="30" t="n">
        <v>86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81.66</v>
      </c>
      <c r="P43" s="31" t="n">
        <v>48.77</v>
      </c>
      <c r="Q43" s="31" t="n">
        <v>44.07</v>
      </c>
      <c r="R43" s="30" t="inlineStr">
        <is>
          <t>Volume Spike &amp; Near 52W High Breakout</t>
        </is>
      </c>
      <c r="S43" s="30" t="inlineStr">
        <is>
          <t>Nifty IT</t>
        </is>
      </c>
      <c r="T43" s="31" t="n">
        <v>-19.93</v>
      </c>
      <c r="U43" s="31" t="n">
        <v>147.66</v>
      </c>
      <c r="V43" s="31" t="n">
        <v>209.3</v>
      </c>
      <c r="W43" s="31" t="n">
        <v>34.04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23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EBGNG</t>
        </is>
      </c>
      <c r="D44" s="33" t="inlineStr">
        <is>
          <t>GNG Electronics Ltd</t>
        </is>
      </c>
      <c r="E44" s="30" t="inlineStr">
        <is>
          <t>services</t>
        </is>
      </c>
      <c r="F44" s="30" t="inlineStr">
        <is>
          <t>New age - Platform - E-Retail</t>
        </is>
      </c>
      <c r="G44" s="30" t="inlineStr">
        <is>
          <t>midcap</t>
        </is>
      </c>
      <c r="H44" s="31" t="n">
        <v>7712.88</v>
      </c>
      <c r="I44" s="31" t="n">
        <v>676.5</v>
      </c>
      <c r="J44" s="31" t="n">
        <v>1.71</v>
      </c>
      <c r="K44" s="31" t="n">
        <v>0</v>
      </c>
      <c r="L44" s="30" t="n">
        <v>79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68.28</v>
      </c>
      <c r="P44" s="31" t="n">
        <v>35.15</v>
      </c>
      <c r="Q44" s="31" t="n">
        <v>481.65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-6.7</v>
      </c>
      <c r="U44" s="31" t="n">
        <v>90.31</v>
      </c>
      <c r="V44" s="31" t="n">
        <v>103.98</v>
      </c>
      <c r="W44" s="31" t="n">
        <v>28.3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B2C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22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FINCABLES</t>
        </is>
      </c>
      <c r="D45" s="33" t="inlineStr">
        <is>
          <t>Finolex Cables Ltd</t>
        </is>
      </c>
      <c r="E45" s="30" t="inlineStr">
        <is>
          <t>industrials</t>
        </is>
      </c>
      <c r="F45" s="30" t="inlineStr">
        <is>
          <t>Cables - Telecom</t>
        </is>
      </c>
      <c r="G45" s="30" t="inlineStr">
        <is>
          <t>largecap</t>
        </is>
      </c>
      <c r="H45" s="31" t="n">
        <v>20585.64</v>
      </c>
      <c r="I45" s="31" t="n">
        <v>1346</v>
      </c>
      <c r="J45" s="31" t="n">
        <v>3.36</v>
      </c>
      <c r="K45" s="31" t="n">
        <v>0</v>
      </c>
      <c r="L45" s="30" t="n">
        <v>63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68.05</v>
      </c>
      <c r="P45" s="31" t="n">
        <v>35.62</v>
      </c>
      <c r="Q45" s="31" t="n">
        <v>1027.84</v>
      </c>
      <c r="R45" s="30" t="inlineStr">
        <is>
          <t>Near 52W High Breakout</t>
        </is>
      </c>
      <c r="S45" s="30" t="inlineStr">
        <is>
          <t>Nifty Energy</t>
        </is>
      </c>
      <c r="T45" s="31" t="n">
        <v>8.75</v>
      </c>
      <c r="U45" s="31" t="n">
        <v>53.14</v>
      </c>
      <c r="V45" s="31" t="n">
        <v>40.82</v>
      </c>
      <c r="W45" s="31" t="n">
        <v>19.03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Oligopoly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22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AVALON</t>
        </is>
      </c>
      <c r="D46" s="30" t="inlineStr">
        <is>
          <t>Avalon Technologies Ltd</t>
        </is>
      </c>
      <c r="E46" s="30" t="inlineStr">
        <is>
          <t>consumer discretionary</t>
        </is>
      </c>
      <c r="F46" s="30" t="inlineStr">
        <is>
          <t>Consumer Electronics - EMS</t>
        </is>
      </c>
      <c r="G46" s="30" t="inlineStr">
        <is>
          <t>midcap</t>
        </is>
      </c>
      <c r="H46" s="31" t="n">
        <v>15260.47</v>
      </c>
      <c r="I46" s="31" t="n">
        <v>2284.1</v>
      </c>
      <c r="J46" s="31" t="n">
        <v>-0.27</v>
      </c>
      <c r="K46" s="31" t="n">
        <v>0</v>
      </c>
      <c r="L46" s="30" t="n">
        <v>83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82.39</v>
      </c>
      <c r="P46" s="31" t="n">
        <v>59.92</v>
      </c>
      <c r="Q46" s="31" t="n">
        <v>1751.12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-6.7</v>
      </c>
      <c r="U46" s="31" t="n">
        <v>136.67</v>
      </c>
      <c r="V46" s="31" t="n">
        <v>153.67</v>
      </c>
      <c r="W46" s="31" t="n">
        <v>30.92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AFCOM</t>
        </is>
      </c>
      <c r="D47" s="30" t="inlineStr">
        <is>
          <t>Afcom Holdings Ltd</t>
        </is>
      </c>
      <c r="E47" s="30" t="inlineStr">
        <is>
          <t>Industrials</t>
        </is>
      </c>
      <c r="F47" s="30" t="inlineStr">
        <is>
          <t>Air Transport Service</t>
        </is>
      </c>
      <c r="G47" s="30" t="inlineStr">
        <is>
          <t>smallcap</t>
        </is>
      </c>
      <c r="H47" s="31" t="n">
        <v>4710.17</v>
      </c>
      <c r="I47" s="31" t="n">
        <v>1629.05</v>
      </c>
      <c r="J47" s="31" t="n">
        <v>-0.5</v>
      </c>
      <c r="K47" s="31" t="n">
        <v>0</v>
      </c>
      <c r="L47" s="30" t="n">
        <v>83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75.31</v>
      </c>
      <c r="P47" s="31" t="n">
        <v>47.95</v>
      </c>
      <c r="Q47" s="31" t="n">
        <v>1231.43</v>
      </c>
      <c r="R47" s="30" t="inlineStr">
        <is>
          <t>Near 52W High Breakout</t>
        </is>
      </c>
      <c r="S47" s="30" t="inlineStr">
        <is>
          <t>Nifty 50</t>
        </is>
      </c>
      <c r="T47" s="31" t="n">
        <v>-6.7</v>
      </c>
      <c r="U47" s="31" t="n">
        <v>76.94</v>
      </c>
      <c r="V47" s="31" t="n">
        <v>89.65000000000001</v>
      </c>
      <c r="W47" s="31" t="n">
        <v>30.6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21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CENTENKA</t>
        </is>
      </c>
      <c r="D48" s="30" t="inlineStr">
        <is>
          <t>Century Enka Ltd</t>
        </is>
      </c>
      <c r="E48" s="30" t="inlineStr">
        <is>
          <t>Consumer Cyclical</t>
        </is>
      </c>
      <c r="F48" s="30" t="inlineStr">
        <is>
          <t>Textiles - Manmade Fibre - PFY/PSF</t>
        </is>
      </c>
      <c r="G48" s="30" t="inlineStr">
        <is>
          <t>smallcap</t>
        </is>
      </c>
      <c r="H48" s="31" t="n">
        <v>1252.04</v>
      </c>
      <c r="I48" s="31" t="n">
        <v>573</v>
      </c>
      <c r="J48" s="31" t="n">
        <v>-2.75</v>
      </c>
      <c r="K48" s="31" t="n">
        <v>0</v>
      </c>
      <c r="L48" s="30" t="n">
        <v>22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58.72</v>
      </c>
      <c r="P48" s="31" t="n">
        <v>64.28</v>
      </c>
      <c r="Q48" s="31" t="n">
        <v>465.28</v>
      </c>
      <c r="R48" s="30" t="inlineStr">
        <is>
          <t>Earnings / Momentum Support</t>
        </is>
      </c>
      <c r="S48" s="30" t="inlineStr">
        <is>
          <t>Nifty 50</t>
        </is>
      </c>
      <c r="T48" s="31" t="n">
        <v>-6.7</v>
      </c>
      <c r="U48" s="31" t="n">
        <v>14.27</v>
      </c>
      <c r="V48" s="31" t="n">
        <v>22.47</v>
      </c>
      <c r="W48" s="31" t="n">
        <v>6.74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20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COFORGE</t>
        </is>
      </c>
      <c r="D49" s="30" t="inlineStr">
        <is>
          <t>Coforge Ltd</t>
        </is>
      </c>
      <c r="E49" s="30" t="inlineStr">
        <is>
          <t>Technology</t>
        </is>
      </c>
      <c r="F49" s="30" t="inlineStr">
        <is>
          <t>IT - Software</t>
        </is>
      </c>
      <c r="G49" s="30" t="inlineStr">
        <is>
          <t>largecap</t>
        </is>
      </c>
      <c r="H49" s="31" t="n">
        <v>81729.46000000001</v>
      </c>
      <c r="I49" s="31" t="n">
        <v>1845</v>
      </c>
      <c r="J49" s="31" t="n">
        <v>-5.38</v>
      </c>
      <c r="K49" s="31" t="n">
        <v>0</v>
      </c>
      <c r="L49" s="30" t="n">
        <v>43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62.34</v>
      </c>
      <c r="P49" s="31" t="n">
        <v>20.51</v>
      </c>
      <c r="Q49" s="31" t="n">
        <v>1624.55</v>
      </c>
      <c r="R49" s="30" t="inlineStr">
        <is>
          <t>Earnings / Momentum Support</t>
        </is>
      </c>
      <c r="S49" s="30" t="inlineStr">
        <is>
          <t>Nifty 500</t>
        </is>
      </c>
      <c r="T49" s="31" t="n">
        <v>-1</v>
      </c>
      <c r="U49" s="31" t="n">
        <v>5.56</v>
      </c>
      <c r="V49" s="31" t="n">
        <v>6.63</v>
      </c>
      <c r="W49" s="31" t="n">
        <v>12.16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19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BODALCHEM</t>
        </is>
      </c>
      <c r="D50" s="30" t="inlineStr">
        <is>
          <t>Bodal Chemicals Ltd</t>
        </is>
      </c>
      <c r="E50" s="30" t="inlineStr">
        <is>
          <t>chemicals</t>
        </is>
      </c>
      <c r="F50" s="30" t="inlineStr">
        <is>
          <t>Dyes &amp; Pigments</t>
        </is>
      </c>
      <c r="G50" s="30" t="inlineStr">
        <is>
          <t>smallcap</t>
        </is>
      </c>
      <c r="H50" s="31" t="n">
        <v>2202.13</v>
      </c>
      <c r="I50" s="31" t="n">
        <v>174.85</v>
      </c>
      <c r="J50" s="31" t="n">
        <v>-5</v>
      </c>
      <c r="K50" s="31" t="n">
        <v>0</v>
      </c>
      <c r="L50" s="30" t="n">
        <v>98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89.03</v>
      </c>
      <c r="P50" s="31" t="n">
        <v>37.84</v>
      </c>
      <c r="Q50" s="31" t="n">
        <v>135.28</v>
      </c>
      <c r="R50" s="30" t="inlineStr">
        <is>
          <t>Near 52W High Breakout</t>
        </is>
      </c>
      <c r="S50" s="30" t="inlineStr">
        <is>
          <t>Nifty 50</t>
        </is>
      </c>
      <c r="T50" s="31" t="n">
        <v>-6.7</v>
      </c>
      <c r="U50" s="31" t="n">
        <v>166.87</v>
      </c>
      <c r="V50" s="31" t="n">
        <v>186.03</v>
      </c>
      <c r="W50" s="31" t="n">
        <v>66.41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30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KENNAMET</t>
        </is>
      </c>
      <c r="D51" s="30" t="inlineStr">
        <is>
          <t>Kennametal India Ltd</t>
        </is>
      </c>
      <c r="E51" s="30" t="inlineStr">
        <is>
          <t>industrials</t>
        </is>
      </c>
      <c r="F51" s="30" t="inlineStr">
        <is>
          <t>Castings, Forgings &amp; Fastners</t>
        </is>
      </c>
      <c r="G51" s="30" t="inlineStr">
        <is>
          <t>midcap</t>
        </is>
      </c>
      <c r="H51" s="31" t="n">
        <v>10417.69</v>
      </c>
      <c r="I51" s="31" t="n">
        <v>4740</v>
      </c>
      <c r="J51" s="31" t="n">
        <v>1.84</v>
      </c>
      <c r="K51" s="31" t="n">
        <v>0</v>
      </c>
      <c r="L51" s="30" t="n">
        <v>87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85.5</v>
      </c>
      <c r="P51" s="31" t="n">
        <v>48.87</v>
      </c>
      <c r="Q51" s="31" t="n">
        <v>3741.53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-6.7</v>
      </c>
      <c r="U51" s="31" t="n">
        <v>121.14</v>
      </c>
      <c r="V51" s="31" t="n">
        <v>137.02</v>
      </c>
      <c r="W51" s="31" t="n">
        <v>34.06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25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AEGISLOG</t>
        </is>
      </c>
      <c r="D52" s="33" t="inlineStr">
        <is>
          <t>Aegis Logistics Ltd</t>
        </is>
      </c>
      <c r="E52" s="30" t="inlineStr">
        <is>
          <t>services</t>
        </is>
      </c>
      <c r="F52" s="30" t="inlineStr">
        <is>
          <t>Logistics</t>
        </is>
      </c>
      <c r="G52" s="30" t="inlineStr">
        <is>
          <t>largecap</t>
        </is>
      </c>
      <c r="H52" s="31" t="n">
        <v>46998.9</v>
      </c>
      <c r="I52" s="31" t="n">
        <v>1339</v>
      </c>
      <c r="J52" s="31" t="n">
        <v>5.59</v>
      </c>
      <c r="K52" s="31" t="n">
        <v>0</v>
      </c>
      <c r="L52" s="30" t="n">
        <v>77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64.77</v>
      </c>
      <c r="P52" s="31" t="n">
        <v>60.71</v>
      </c>
      <c r="Q52" s="31" t="n">
        <v>1029.84</v>
      </c>
      <c r="R52" s="30" t="inlineStr">
        <is>
          <t>Earnings / Momentum Support</t>
        </is>
      </c>
      <c r="S52" s="30" t="inlineStr">
        <is>
          <t>Nifty 50</t>
        </is>
      </c>
      <c r="T52" s="31" t="n">
        <v>-6.7</v>
      </c>
      <c r="U52" s="31" t="n">
        <v>92.31999999999999</v>
      </c>
      <c r="V52" s="31" t="n">
        <v>106.13</v>
      </c>
      <c r="W52" s="31" t="n">
        <v>26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23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BHEL</t>
        </is>
      </c>
      <c r="D53" s="30" t="inlineStr">
        <is>
          <t>Bharat Heavy Electricals Ltd</t>
        </is>
      </c>
      <c r="E53" s="30" t="inlineStr">
        <is>
          <t>industrials</t>
        </is>
      </c>
      <c r="F53" s="30" t="inlineStr">
        <is>
          <t>Capital Goods - Engineering Heavy</t>
        </is>
      </c>
      <c r="G53" s="30" t="inlineStr">
        <is>
          <t>largecap</t>
        </is>
      </c>
      <c r="H53" s="31" t="n">
        <v>151017.09</v>
      </c>
      <c r="I53" s="31" t="n">
        <v>433.7</v>
      </c>
      <c r="J53" s="31" t="n">
        <v>2.74</v>
      </c>
      <c r="K53" s="31" t="n">
        <v>0</v>
      </c>
      <c r="L53" s="30" t="n">
        <v>61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66.61</v>
      </c>
      <c r="P53" s="31" t="n">
        <v>37.08</v>
      </c>
      <c r="Q53" s="31" t="n">
        <v>351.68</v>
      </c>
      <c r="R53" s="30" t="inlineStr">
        <is>
          <t>Near 52W High Breakout</t>
        </is>
      </c>
      <c r="S53" s="30" t="inlineStr">
        <is>
          <t>Nifty 500</t>
        </is>
      </c>
      <c r="T53" s="31" t="n">
        <v>-1</v>
      </c>
      <c r="U53" s="31" t="n">
        <v>90.23</v>
      </c>
      <c r="V53" s="31" t="n">
        <v>92.15000000000001</v>
      </c>
      <c r="W53" s="31" t="n">
        <v>18.32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Between 1.5 to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21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INDORAMA</t>
        </is>
      </c>
      <c r="D54" s="33" t="inlineStr">
        <is>
          <t>Indo Rama Synthetics (India) Ltd</t>
        </is>
      </c>
      <c r="E54" s="30" t="inlineStr">
        <is>
          <t>textiles</t>
        </is>
      </c>
      <c r="F54" s="30" t="inlineStr">
        <is>
          <t>Textiles - Spinning</t>
        </is>
      </c>
      <c r="G54" s="30" t="inlineStr">
        <is>
          <t>smallcap</t>
        </is>
      </c>
      <c r="H54" s="31" t="n">
        <v>2219.46</v>
      </c>
      <c r="I54" s="31" t="n">
        <v>85</v>
      </c>
      <c r="J54" s="31" t="n">
        <v>13.36</v>
      </c>
      <c r="K54" s="31" t="n">
        <v>0</v>
      </c>
      <c r="L54" s="30" t="n">
        <v>88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82.38</v>
      </c>
      <c r="P54" s="31" t="n">
        <v>52.77</v>
      </c>
      <c r="Q54" s="31" t="n">
        <v>64.03</v>
      </c>
      <c r="R54" s="30" t="inlineStr">
        <is>
          <t>Volume Spike &amp; Near 52W High Breakout</t>
        </is>
      </c>
      <c r="S54" s="30" t="inlineStr">
        <is>
          <t>Nifty 50</t>
        </is>
      </c>
      <c r="T54" s="31" t="n">
        <v>-6.7</v>
      </c>
      <c r="U54" s="31" t="n">
        <v>60.48</v>
      </c>
      <c r="V54" s="31" t="n">
        <v>72</v>
      </c>
      <c r="W54" s="31" t="n">
        <v>35.18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More than 1.2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20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SAPL</t>
        </is>
      </c>
      <c r="D55" s="33" t="inlineStr">
        <is>
          <t>Sar Auto Products Ltd</t>
        </is>
      </c>
      <c r="E55" s="30" t="inlineStr">
        <is>
          <t>Consumer Cyclical</t>
        </is>
      </c>
      <c r="F55" s="30" t="inlineStr">
        <is>
          <t>Auto Ancillaries - Gears</t>
        </is>
      </c>
      <c r="G55" s="30" t="inlineStr">
        <is>
          <t>smallcap</t>
        </is>
      </c>
      <c r="H55" s="31" t="n">
        <v>2353.5</v>
      </c>
      <c r="I55" s="31" t="n">
        <v>4939.4</v>
      </c>
      <c r="J55" s="31" t="n">
        <v>5</v>
      </c>
      <c r="K55" s="31" t="n">
        <v>0</v>
      </c>
      <c r="L55" s="30" t="n">
        <v>95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82.16</v>
      </c>
      <c r="P55" s="31" t="n">
        <v>40.7</v>
      </c>
      <c r="Q55" s="31" t="n">
        <v>3786.24</v>
      </c>
      <c r="R55" s="30" t="inlineStr">
        <is>
          <t>Near 52W High Breakout</t>
        </is>
      </c>
      <c r="S55" s="30" t="inlineStr">
        <is>
          <t>Nifty Auto</t>
        </is>
      </c>
      <c r="T55" s="31" t="n">
        <v>16.28</v>
      </c>
      <c r="U55" s="31" t="n">
        <v>190.55</v>
      </c>
      <c r="V55" s="31" t="n">
        <v>149.87</v>
      </c>
      <c r="W55" s="31" t="n">
        <v>53.2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More than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19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LAURUSLABS</t>
        </is>
      </c>
      <c r="D56" s="30" t="inlineStr">
        <is>
          <t>Laurus Labs Ltd</t>
        </is>
      </c>
      <c r="E56" s="30" t="inlineStr">
        <is>
          <t>healthcare</t>
        </is>
      </c>
      <c r="F56" s="30" t="inlineStr">
        <is>
          <t>Pharma - API &amp; CRAMS</t>
        </is>
      </c>
      <c r="G56" s="30" t="inlineStr">
        <is>
          <t>largecap</t>
        </is>
      </c>
      <c r="H56" s="31" t="n">
        <v>104658.48</v>
      </c>
      <c r="I56" s="31" t="n">
        <v>1937</v>
      </c>
      <c r="J56" s="31" t="n">
        <v>-0.51</v>
      </c>
      <c r="K56" s="31" t="n">
        <v>0</v>
      </c>
      <c r="L56" s="30" t="n">
        <v>76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76.53</v>
      </c>
      <c r="P56" s="31" t="n">
        <v>71.16</v>
      </c>
      <c r="Q56" s="31" t="n">
        <v>1651.66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19.47</v>
      </c>
      <c r="U56" s="31" t="n">
        <v>116.56</v>
      </c>
      <c r="V56" s="31" t="n">
        <v>81.27</v>
      </c>
      <c r="W56" s="31" t="n">
        <v>25.83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23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NOVARTIND</t>
        </is>
      </c>
      <c r="D57" s="33" t="inlineStr">
        <is>
          <t>Novartis India Ltd</t>
        </is>
      </c>
      <c r="E57" s="30" t="inlineStr">
        <is>
          <t>healthcare</t>
        </is>
      </c>
      <c r="F57" s="30" t="inlineStr">
        <is>
          <t>Pharma - MNC bulk Drugs</t>
        </is>
      </c>
      <c r="G57" s="30" t="inlineStr">
        <is>
          <t>midcap</t>
        </is>
      </c>
      <c r="H57" s="31" t="n">
        <v>5398.4</v>
      </c>
      <c r="I57" s="31" t="n">
        <v>2186.4</v>
      </c>
      <c r="J57" s="31" t="n">
        <v>20</v>
      </c>
      <c r="K57" s="31" t="n">
        <v>0</v>
      </c>
      <c r="L57" s="30" t="n">
        <v>89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77.84</v>
      </c>
      <c r="P57" s="31" t="n">
        <v>65.28</v>
      </c>
      <c r="Q57" s="31" t="n">
        <v>1673.01</v>
      </c>
      <c r="R57" s="30" t="inlineStr">
        <is>
          <t>Volume Spike &amp; Near 52W High Breakout</t>
        </is>
      </c>
      <c r="S57" s="30" t="inlineStr">
        <is>
          <t>Nifty Pharma</t>
        </is>
      </c>
      <c r="T57" s="31" t="n">
        <v>19.47</v>
      </c>
      <c r="U57" s="31" t="n">
        <v>138.32</v>
      </c>
      <c r="V57" s="31" t="n">
        <v>99.47</v>
      </c>
      <c r="W57" s="31" t="n">
        <v>35.75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Between 12 to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19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BHAGERIA</t>
        </is>
      </c>
      <c r="D58" s="30" t="inlineStr">
        <is>
          <t>Bhageria Industries Ltd</t>
        </is>
      </c>
      <c r="E58" s="30" t="inlineStr">
        <is>
          <t>chemicals</t>
        </is>
      </c>
      <c r="F58" s="30" t="inlineStr">
        <is>
          <t>Dyes &amp; Pigments</t>
        </is>
      </c>
      <c r="G58" s="30" t="inlineStr">
        <is>
          <t>smallcap</t>
        </is>
      </c>
      <c r="H58" s="31" t="n">
        <v>1392.47</v>
      </c>
      <c r="I58" s="31" t="n">
        <v>319.05</v>
      </c>
      <c r="J58" s="31" t="n">
        <v>-4.99</v>
      </c>
      <c r="K58" s="31" t="n">
        <v>0</v>
      </c>
      <c r="L58" s="30" t="n">
        <v>74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76.81</v>
      </c>
      <c r="P58" s="31" t="n">
        <v>36.9</v>
      </c>
      <c r="Q58" s="31" t="n">
        <v>243.51</v>
      </c>
      <c r="R58" s="30" t="inlineStr">
        <is>
          <t>Near 52W High Breakout</t>
        </is>
      </c>
      <c r="S58" s="30" t="inlineStr">
        <is>
          <t>Nifty 50</t>
        </is>
      </c>
      <c r="T58" s="31" t="n">
        <v>-6.7</v>
      </c>
      <c r="U58" s="31" t="n">
        <v>58.03</v>
      </c>
      <c r="V58" s="31" t="n">
        <v>69.38</v>
      </c>
      <c r="W58" s="31" t="n">
        <v>24.09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26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MMP</t>
        </is>
      </c>
      <c r="D59" s="30" t="inlineStr">
        <is>
          <t>MMP Industries Ltd</t>
        </is>
      </c>
      <c r="E59" s="30" t="inlineStr">
        <is>
          <t>metals &amp; mining</t>
        </is>
      </c>
      <c r="F59" s="30" t="inlineStr">
        <is>
          <t>Aluminium Products</t>
        </is>
      </c>
      <c r="G59" s="30" t="inlineStr">
        <is>
          <t>smallcap</t>
        </is>
      </c>
      <c r="H59" s="31" t="n">
        <v>1183.76</v>
      </c>
      <c r="I59" s="31" t="n">
        <v>466</v>
      </c>
      <c r="J59" s="31" t="n">
        <v>-2.61</v>
      </c>
      <c r="K59" s="31" t="n">
        <v>0</v>
      </c>
      <c r="L59" s="30" t="n">
        <v>84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84.42</v>
      </c>
      <c r="P59" s="31" t="n">
        <v>48.9</v>
      </c>
      <c r="Q59" s="31" t="n">
        <v>348.86</v>
      </c>
      <c r="R59" s="30" t="inlineStr">
        <is>
          <t>Near 52W High Breakout</t>
        </is>
      </c>
      <c r="S59" s="30" t="inlineStr">
        <is>
          <t>Nifty Metal</t>
        </is>
      </c>
      <c r="T59" s="31" t="n">
        <v>42.08</v>
      </c>
      <c r="U59" s="31" t="n">
        <v>71.01000000000001</v>
      </c>
      <c r="V59" s="31" t="n">
        <v>20.36</v>
      </c>
      <c r="W59" s="31" t="n">
        <v>32.37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Cyclical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Volatile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25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STLTECH</t>
        </is>
      </c>
      <c r="D60" s="30" t="inlineStr">
        <is>
          <t>Sterlite Technologies Ltd</t>
        </is>
      </c>
      <c r="E60" s="30" t="inlineStr">
        <is>
          <t>industrials</t>
        </is>
      </c>
      <c r="F60" s="30" t="inlineStr">
        <is>
          <t>Cables - Telecom</t>
        </is>
      </c>
      <c r="G60" s="30" t="inlineStr">
        <is>
          <t>largecap</t>
        </is>
      </c>
      <c r="H60" s="31" t="n">
        <v>44499.57</v>
      </c>
      <c r="I60" s="31" t="n">
        <v>865.9</v>
      </c>
      <c r="J60" s="31" t="n">
        <v>5</v>
      </c>
      <c r="K60" s="31" t="n">
        <v>0</v>
      </c>
      <c r="L60" s="30" t="n">
        <v>99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81.98</v>
      </c>
      <c r="P60" s="31" t="n">
        <v>74.41</v>
      </c>
      <c r="Q60" s="31" t="n">
        <v>641.74</v>
      </c>
      <c r="R60" s="30" t="inlineStr">
        <is>
          <t>Near 52W High Breakout</t>
        </is>
      </c>
      <c r="S60" s="30" t="inlineStr">
        <is>
          <t>Nifty Infra</t>
        </is>
      </c>
      <c r="T60" s="31" t="n">
        <v>0.58</v>
      </c>
      <c r="U60" s="31" t="n">
        <v>638.26</v>
      </c>
      <c r="V60" s="31" t="n">
        <v>633.97</v>
      </c>
      <c r="W60" s="31" t="n">
        <v>125.48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Oligopoly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Between 0.7 to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24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2" t="inlineStr">
        <is>
          <t>AEROENTER</t>
        </is>
      </c>
      <c r="D61" s="32" t="inlineStr">
        <is>
          <t>Aeroflex Enterprises Ltd</t>
        </is>
      </c>
      <c r="E61" s="30" t="inlineStr">
        <is>
          <t>Basic Materials</t>
        </is>
      </c>
      <c r="F61" s="30" t="inlineStr">
        <is>
          <t>Miscellaneous</t>
        </is>
      </c>
      <c r="G61" s="30" t="inlineStr">
        <is>
          <t>smallcap</t>
        </is>
      </c>
      <c r="H61" s="31" t="n">
        <v>1631.83</v>
      </c>
      <c r="I61" s="31" t="n">
        <v>144.2</v>
      </c>
      <c r="J61" s="31" t="n">
        <v>-5.54</v>
      </c>
      <c r="K61" s="31" t="n">
        <v>0</v>
      </c>
      <c r="L61" s="30" t="n">
        <v>69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66.59999999999999</v>
      </c>
      <c r="P61" s="31" t="n">
        <v>54.49</v>
      </c>
      <c r="Q61" s="31" t="n">
        <v>104.99</v>
      </c>
      <c r="R61" s="30" t="inlineStr">
        <is>
          <t>Volume Spike &amp; Near 52W High Breakout</t>
        </is>
      </c>
      <c r="S61" s="30" t="inlineStr">
        <is>
          <t>Nifty Metal</t>
        </is>
      </c>
      <c r="T61" s="31" t="n">
        <v>42.08</v>
      </c>
      <c r="U61" s="31" t="n">
        <v>39.67</v>
      </c>
      <c r="V61" s="31" t="n">
        <v>-1.7</v>
      </c>
      <c r="W61" s="31" t="n">
        <v>20.63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Cyclical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Volatile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24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NRAIL</t>
        </is>
      </c>
      <c r="D62" s="30" t="inlineStr">
        <is>
          <t>N R Agarwal Industries Ltd</t>
        </is>
      </c>
      <c r="E62" s="30" t="inlineStr">
        <is>
          <t>building materials</t>
        </is>
      </c>
      <c r="F62" s="30" t="inlineStr">
        <is>
          <t>Paper</t>
        </is>
      </c>
      <c r="G62" s="30" t="inlineStr">
        <is>
          <t>smallcap</t>
        </is>
      </c>
      <c r="H62" s="31" t="n">
        <v>1043.36</v>
      </c>
      <c r="I62" s="31" t="n">
        <v>613.05</v>
      </c>
      <c r="J62" s="31" t="n">
        <v>-4.86</v>
      </c>
      <c r="K62" s="31" t="n">
        <v>0</v>
      </c>
      <c r="L62" s="30" t="n">
        <v>65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67.83</v>
      </c>
      <c r="P62" s="31" t="n">
        <v>32.21</v>
      </c>
      <c r="Q62" s="31" t="n">
        <v>447.77</v>
      </c>
      <c r="R62" s="30" t="inlineStr">
        <is>
          <t>Volume Spike &amp; Near 52W High Breakout</t>
        </is>
      </c>
      <c r="S62" s="30" t="inlineStr">
        <is>
          <t>Nifty Infra</t>
        </is>
      </c>
      <c r="T62" s="31" t="n">
        <v>0.58</v>
      </c>
      <c r="U62" s="31" t="n">
        <v>78.23</v>
      </c>
      <c r="V62" s="31" t="n">
        <v>77.19</v>
      </c>
      <c r="W62" s="31" t="n">
        <v>19.57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Between 0.7 to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22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MACPOWER</t>
        </is>
      </c>
      <c r="D63" s="30" t="inlineStr">
        <is>
          <t>Macpower CNC Machines Ltd</t>
        </is>
      </c>
      <c r="E63" s="30" t="inlineStr">
        <is>
          <t>Industrials</t>
        </is>
      </c>
      <c r="F63" s="30" t="inlineStr">
        <is>
          <t>CNC - Machines</t>
        </is>
      </c>
      <c r="G63" s="30" t="inlineStr">
        <is>
          <t>smallcap</t>
        </is>
      </c>
      <c r="H63" s="31" t="n">
        <v>1865.18</v>
      </c>
      <c r="I63" s="31" t="n">
        <v>1864.4</v>
      </c>
      <c r="J63" s="31" t="n">
        <v>-0.52</v>
      </c>
      <c r="K63" s="31" t="n">
        <v>0</v>
      </c>
      <c r="L63" s="30" t="n">
        <v>89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71.01000000000001</v>
      </c>
      <c r="P63" s="31" t="n">
        <v>44.45</v>
      </c>
      <c r="Q63" s="31" t="n">
        <v>1480.99</v>
      </c>
      <c r="R63" s="30" t="inlineStr">
        <is>
          <t>Earnings / Momentum Support</t>
        </is>
      </c>
      <c r="S63" s="30" t="inlineStr">
        <is>
          <t>Nifty 50</t>
        </is>
      </c>
      <c r="T63" s="31" t="n">
        <v>-6.7</v>
      </c>
      <c r="U63" s="31" t="n">
        <v>105.71</v>
      </c>
      <c r="V63" s="31" t="n">
        <v>120.48</v>
      </c>
      <c r="W63" s="31" t="n">
        <v>37.15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21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KRN</t>
        </is>
      </c>
      <c r="D64" s="30" t="inlineStr">
        <is>
          <t>KRN Heat Exchanger and Refrigeration Ltd</t>
        </is>
      </c>
      <c r="E64" s="30" t="inlineStr">
        <is>
          <t>industrials</t>
        </is>
      </c>
      <c r="F64" s="30" t="inlineStr">
        <is>
          <t>Engineering - General</t>
        </is>
      </c>
      <c r="G64" s="30" t="inlineStr">
        <is>
          <t>midcap</t>
        </is>
      </c>
      <c r="H64" s="31" t="n">
        <v>10459.61</v>
      </c>
      <c r="I64" s="31" t="n">
        <v>1597.9</v>
      </c>
      <c r="J64" s="31" t="n">
        <v>-3.75</v>
      </c>
      <c r="K64" s="31" t="n">
        <v>0</v>
      </c>
      <c r="L64" s="30" t="n">
        <v>68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73.13</v>
      </c>
      <c r="P64" s="31" t="n">
        <v>36.97</v>
      </c>
      <c r="Q64" s="31" t="n">
        <v>1203.45</v>
      </c>
      <c r="R64" s="30" t="inlineStr">
        <is>
          <t>Near 52W High Breakout</t>
        </is>
      </c>
      <c r="S64" s="30" t="inlineStr">
        <is>
          <t>Nifty 50</t>
        </is>
      </c>
      <c r="T64" s="31" t="n">
        <v>-6.7</v>
      </c>
      <c r="U64" s="31" t="n">
        <v>87.79000000000001</v>
      </c>
      <c r="V64" s="31" t="n">
        <v>101.27</v>
      </c>
      <c r="W64" s="31" t="n">
        <v>20.44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19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AEROFLEX</t>
        </is>
      </c>
      <c r="D65" s="30" t="inlineStr">
        <is>
          <t>Aeroflex Industries Ltd</t>
        </is>
      </c>
      <c r="E65" s="30" t="inlineStr">
        <is>
          <t>metals &amp; mining</t>
        </is>
      </c>
      <c r="F65" s="30" t="inlineStr">
        <is>
          <t>Stainless Steel</t>
        </is>
      </c>
      <c r="G65" s="30" t="inlineStr">
        <is>
          <t>midcap</t>
        </is>
      </c>
      <c r="H65" s="31" t="n">
        <v>7426.4</v>
      </c>
      <c r="I65" s="31" t="n">
        <v>561.2</v>
      </c>
      <c r="J65" s="31" t="n">
        <v>-2.14</v>
      </c>
      <c r="K65" s="31" t="n">
        <v>0</v>
      </c>
      <c r="L65" s="30" t="n">
        <v>94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73.31</v>
      </c>
      <c r="P65" s="31" t="n">
        <v>61.21</v>
      </c>
      <c r="Q65" s="31" t="n">
        <v>409.54</v>
      </c>
      <c r="R65" s="30" t="inlineStr">
        <is>
          <t>Near 52W High Breakout</t>
        </is>
      </c>
      <c r="S65" s="30" t="inlineStr">
        <is>
          <t>Nifty Metal</t>
        </is>
      </c>
      <c r="T65" s="31" t="n">
        <v>42.08</v>
      </c>
      <c r="U65" s="31" t="n">
        <v>173.15</v>
      </c>
      <c r="V65" s="31" t="n">
        <v>92.25</v>
      </c>
      <c r="W65" s="31" t="n">
        <v>51.04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Cyclical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Volatile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ENTERO</t>
        </is>
      </c>
      <c r="D66" s="30" t="inlineStr">
        <is>
          <t>Entero Healthcare Solutions Ltd</t>
        </is>
      </c>
      <c r="E66" s="30" t="inlineStr">
        <is>
          <t>healthcare</t>
        </is>
      </c>
      <c r="F66" s="30" t="inlineStr">
        <is>
          <t>Pharmacy Distribution</t>
        </is>
      </c>
      <c r="G66" s="30" t="inlineStr">
        <is>
          <t>midcap</t>
        </is>
      </c>
      <c r="H66" s="31" t="n">
        <v>8003.89</v>
      </c>
      <c r="I66" s="31" t="n">
        <v>1839</v>
      </c>
      <c r="J66" s="31" t="n">
        <v>-0.6899999999999999</v>
      </c>
      <c r="K66" s="31" t="n">
        <v>0</v>
      </c>
      <c r="L66" s="30" t="n">
        <v>74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78.3</v>
      </c>
      <c r="P66" s="31" t="n">
        <v>37.77</v>
      </c>
      <c r="Q66" s="31" t="n">
        <v>1445.46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19.47</v>
      </c>
      <c r="U66" s="31" t="n">
        <v>58.4</v>
      </c>
      <c r="V66" s="31" t="n">
        <v>32.59</v>
      </c>
      <c r="W66" s="31" t="n">
        <v>24.38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Between 1.5 to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27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CUPID</t>
        </is>
      </c>
      <c r="D67" s="30" t="inlineStr">
        <is>
          <t>Cupid Ltd</t>
        </is>
      </c>
      <c r="E67" s="30" t="inlineStr">
        <is>
          <t>fmcg</t>
        </is>
      </c>
      <c r="F67" s="30" t="inlineStr">
        <is>
          <t>Contraceptives/Protectives</t>
        </is>
      </c>
      <c r="G67" s="30" t="inlineStr">
        <is>
          <t>largecap</t>
        </is>
      </c>
      <c r="H67" s="31" t="n">
        <v>37576.54</v>
      </c>
      <c r="I67" s="31" t="n">
        <v>279.45</v>
      </c>
      <c r="J67" s="31" t="n">
        <v>1.69</v>
      </c>
      <c r="K67" s="31" t="n">
        <v>0</v>
      </c>
      <c r="L67" s="30" t="n">
        <v>99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84.61</v>
      </c>
      <c r="P67" s="31" t="n">
        <v>73.18000000000001</v>
      </c>
      <c r="Q67" s="31" t="n">
        <v>228.08</v>
      </c>
      <c r="R67" s="30" t="inlineStr">
        <is>
          <t>Near 52W High Breakout</t>
        </is>
      </c>
      <c r="S67" s="30" t="inlineStr">
        <is>
          <t>Nifty FMCG</t>
        </is>
      </c>
      <c r="T67" s="31" t="n">
        <v>-16.99</v>
      </c>
      <c r="U67" s="31" t="n">
        <v>845.51</v>
      </c>
      <c r="V67" s="31" t="n">
        <v>1038.97</v>
      </c>
      <c r="W67" s="31" t="n">
        <v>92.98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B2C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20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CHENNPETRO</t>
        </is>
      </c>
      <c r="D68" s="30" t="inlineStr">
        <is>
          <t>Chennai Petroleum Corporation Ltd</t>
        </is>
      </c>
      <c r="E68" s="30" t="inlineStr">
        <is>
          <t>energy</t>
        </is>
      </c>
      <c r="F68" s="30" t="inlineStr">
        <is>
          <t>Refineries</t>
        </is>
      </c>
      <c r="G68" s="30" t="inlineStr">
        <is>
          <t>largecap</t>
        </is>
      </c>
      <c r="H68" s="31" t="n">
        <v>23796.04</v>
      </c>
      <c r="I68" s="31" t="n">
        <v>1598</v>
      </c>
      <c r="J68" s="31" t="n">
        <v>9.619999999999999</v>
      </c>
      <c r="K68" s="31" t="n">
        <v>0</v>
      </c>
      <c r="L68" s="30" t="n">
        <v>86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78.88</v>
      </c>
      <c r="P68" s="31" t="n">
        <v>58.28</v>
      </c>
      <c r="Q68" s="31" t="n">
        <v>1216.17</v>
      </c>
      <c r="R68" s="30" t="inlineStr">
        <is>
          <t>Near 52W High Breakout</t>
        </is>
      </c>
      <c r="S68" s="30" t="inlineStr">
        <is>
          <t>Nifty Energy</t>
        </is>
      </c>
      <c r="T68" s="31" t="n">
        <v>8.75</v>
      </c>
      <c r="U68" s="31" t="n">
        <v>147.25</v>
      </c>
      <c r="V68" s="31" t="n">
        <v>127.36</v>
      </c>
      <c r="W68" s="31" t="n">
        <v>33.92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Oligopoly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Cyclical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Volatile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25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CRAFTSMAN</t>
        </is>
      </c>
      <c r="D69" s="30" t="inlineStr">
        <is>
          <t>Craftsman Automation Ltd</t>
        </is>
      </c>
      <c r="E69" s="30" t="inlineStr">
        <is>
          <t>auto</t>
        </is>
      </c>
      <c r="F69" s="30" t="inlineStr">
        <is>
          <t>Auto &amp; Auto Ancl - CV</t>
        </is>
      </c>
      <c r="G69" s="30" t="inlineStr">
        <is>
          <t>largecap</t>
        </is>
      </c>
      <c r="H69" s="31" t="n">
        <v>31333.01</v>
      </c>
      <c r="I69" s="31" t="n">
        <v>11980</v>
      </c>
      <c r="J69" s="31" t="n">
        <v>5.03</v>
      </c>
      <c r="K69" s="31" t="n">
        <v>0</v>
      </c>
      <c r="L69" s="30" t="n">
        <v>77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76.55</v>
      </c>
      <c r="P69" s="31" t="n">
        <v>67.25</v>
      </c>
      <c r="Q69" s="31" t="n">
        <v>9776.440000000001</v>
      </c>
      <c r="R69" s="30" t="inlineStr">
        <is>
          <t>Near 52W High Breakout</t>
        </is>
      </c>
      <c r="S69" s="30" t="inlineStr">
        <is>
          <t>Nifty Auto</t>
        </is>
      </c>
      <c r="T69" s="31" t="n">
        <v>16.28</v>
      </c>
      <c r="U69" s="31" t="n">
        <v>88.33</v>
      </c>
      <c r="V69" s="31" t="n">
        <v>61.96</v>
      </c>
      <c r="W69" s="31" t="n">
        <v>26.35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Between 0.7 to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23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ENGINERSIN</t>
        </is>
      </c>
      <c r="D70" s="30" t="inlineStr">
        <is>
          <t>Engineers India Ltd</t>
        </is>
      </c>
      <c r="E70" s="30" t="inlineStr">
        <is>
          <t>realty</t>
        </is>
      </c>
      <c r="F70" s="30" t="inlineStr">
        <is>
          <t>Infra - Engineering - General</t>
        </is>
      </c>
      <c r="G70" s="30" t="inlineStr">
        <is>
          <t>midcap</t>
        </is>
      </c>
      <c r="H70" s="31" t="n">
        <v>15324.09</v>
      </c>
      <c r="I70" s="31" t="n">
        <v>272.65</v>
      </c>
      <c r="J70" s="31" t="n">
        <v>-2.35</v>
      </c>
      <c r="K70" s="31" t="n">
        <v>0</v>
      </c>
      <c r="L70" s="30" t="n">
        <v>32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64.84</v>
      </c>
      <c r="P70" s="31" t="n">
        <v>15.81</v>
      </c>
      <c r="Q70" s="31" t="n">
        <v>222.83</v>
      </c>
      <c r="R70" s="30" t="inlineStr">
        <is>
          <t>Near 52W High Breakout</t>
        </is>
      </c>
      <c r="S70" s="30" t="inlineStr">
        <is>
          <t>Nifty Realty</t>
        </is>
      </c>
      <c r="T70" s="31" t="n">
        <v>-8.25</v>
      </c>
      <c r="U70" s="31" t="n">
        <v>21.76</v>
      </c>
      <c r="V70" s="31" t="n">
        <v>32.71</v>
      </c>
      <c r="W70" s="31" t="n">
        <v>8.67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19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PRECWIRE</t>
        </is>
      </c>
      <c r="D71" s="33" t="inlineStr">
        <is>
          <t>Precision Wires India Ltd</t>
        </is>
      </c>
      <c r="E71" s="30" t="inlineStr">
        <is>
          <t>metals &amp; mining</t>
        </is>
      </c>
      <c r="F71" s="30" t="inlineStr">
        <is>
          <t>Copper Wires</t>
        </is>
      </c>
      <c r="G71" s="30" t="inlineStr">
        <is>
          <t>midcap</t>
        </is>
      </c>
      <c r="H71" s="31" t="n">
        <v>8640.42</v>
      </c>
      <c r="I71" s="31" t="n">
        <v>472.65</v>
      </c>
      <c r="J71" s="31" t="n">
        <v>-1.57</v>
      </c>
      <c r="K71" s="31" t="n">
        <v>0</v>
      </c>
      <c r="L71" s="30" t="n">
        <v>80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63.82</v>
      </c>
      <c r="P71" s="31" t="n">
        <v>41.21</v>
      </c>
      <c r="Q71" s="31" t="n">
        <v>374.43</v>
      </c>
      <c r="R71" s="30" t="inlineStr">
        <is>
          <t>Earnings / Momentum Support</t>
        </is>
      </c>
      <c r="S71" s="30" t="inlineStr">
        <is>
          <t>Nifty Metal</t>
        </is>
      </c>
      <c r="T71" s="31" t="n">
        <v>42.08</v>
      </c>
      <c r="U71" s="31" t="n">
        <v>161.81</v>
      </c>
      <c r="V71" s="31" t="n">
        <v>84.27</v>
      </c>
      <c r="W71" s="31" t="n">
        <v>28.58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Cyclical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Volatile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22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PAYTM</t>
        </is>
      </c>
      <c r="D72" s="30" t="inlineStr">
        <is>
          <t>One 97 Communications Ltd</t>
        </is>
      </c>
      <c r="E72" s="30" t="inlineStr">
        <is>
          <t>i.t</t>
        </is>
      </c>
      <c r="F72" s="30" t="inlineStr">
        <is>
          <t>E-Commerce - Platform - Utility</t>
        </is>
      </c>
      <c r="G72" s="30" t="inlineStr">
        <is>
          <t>largecap</t>
        </is>
      </c>
      <c r="H72" s="31" t="n">
        <v>112377.61</v>
      </c>
      <c r="I72" s="31" t="n">
        <v>1751.5</v>
      </c>
      <c r="J72" s="31" t="n">
        <v>4.88</v>
      </c>
      <c r="K72" s="31" t="n">
        <v>0</v>
      </c>
      <c r="L72" s="30" t="n">
        <v>73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78.26000000000001</v>
      </c>
      <c r="P72" s="31" t="n">
        <v>27.84</v>
      </c>
      <c r="Q72" s="31" t="n">
        <v>1419.86</v>
      </c>
      <c r="R72" s="30" t="inlineStr">
        <is>
          <t>Near 52W High Breakout</t>
        </is>
      </c>
      <c r="S72" s="30" t="inlineStr">
        <is>
          <t>Nifty IT</t>
        </is>
      </c>
      <c r="T72" s="31" t="n">
        <v>-19.93</v>
      </c>
      <c r="U72" s="31" t="n">
        <v>43.68</v>
      </c>
      <c r="V72" s="31" t="n">
        <v>79.45</v>
      </c>
      <c r="W72" s="31" t="n">
        <v>23.61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20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FOSECOIND</t>
        </is>
      </c>
      <c r="D73" s="33" t="inlineStr">
        <is>
          <t>Foseco India Ltd</t>
        </is>
      </c>
      <c r="E73" s="30" t="inlineStr">
        <is>
          <t>chemicals</t>
        </is>
      </c>
      <c r="F73" s="30" t="inlineStr">
        <is>
          <t>Chemicals - Organic</t>
        </is>
      </c>
      <c r="G73" s="30" t="inlineStr">
        <is>
          <t>smallcap</t>
        </is>
      </c>
      <c r="H73" s="31" t="n">
        <v>4576.62</v>
      </c>
      <c r="I73" s="31" t="n">
        <v>6072</v>
      </c>
      <c r="J73" s="31" t="n">
        <v>-0.39</v>
      </c>
      <c r="K73" s="31" t="n">
        <v>0</v>
      </c>
      <c r="L73" s="30" t="n">
        <v>18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63.7</v>
      </c>
      <c r="P73" s="31" t="n">
        <v>26.6</v>
      </c>
      <c r="Q73" s="31" t="n">
        <v>5019.98</v>
      </c>
      <c r="R73" s="30" t="inlineStr">
        <is>
          <t>Near 52W High Breakout</t>
        </is>
      </c>
      <c r="S73" s="30" t="inlineStr">
        <is>
          <t>Nifty 50</t>
        </is>
      </c>
      <c r="T73" s="31" t="n">
        <v>-6.7</v>
      </c>
      <c r="U73" s="31" t="n">
        <v>-0.02</v>
      </c>
      <c r="V73" s="31" t="n">
        <v>7.16</v>
      </c>
      <c r="W73" s="31" t="n">
        <v>5.46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19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MARKSANS</t>
        </is>
      </c>
      <c r="D74" s="30" t="inlineStr">
        <is>
          <t>Marksans Pharma Ltd</t>
        </is>
      </c>
      <c r="E74" s="30" t="inlineStr">
        <is>
          <t>healthcare</t>
        </is>
      </c>
      <c r="F74" s="30" t="inlineStr">
        <is>
          <t>Pharma - Formulators</t>
        </is>
      </c>
      <c r="G74" s="30" t="inlineStr">
        <is>
          <t>midcap</t>
        </is>
      </c>
      <c r="H74" s="31" t="n">
        <v>14954.4</v>
      </c>
      <c r="I74" s="31" t="n">
        <v>330</v>
      </c>
      <c r="J74" s="31" t="n">
        <v>-1.76</v>
      </c>
      <c r="K74" s="31" t="n">
        <v>0</v>
      </c>
      <c r="L74" s="30" t="n">
        <v>71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73.93000000000001</v>
      </c>
      <c r="P74" s="31" t="n">
        <v>59.51</v>
      </c>
      <c r="Q74" s="31" t="n">
        <v>258.8</v>
      </c>
      <c r="R74" s="30" t="inlineStr">
        <is>
          <t>Near 52W High Breakout</t>
        </is>
      </c>
      <c r="S74" s="30" t="inlineStr">
        <is>
          <t>Nifty Pharma</t>
        </is>
      </c>
      <c r="T74" s="31" t="n">
        <v>19.47</v>
      </c>
      <c r="U74" s="31" t="n">
        <v>91.44</v>
      </c>
      <c r="V74" s="31" t="n">
        <v>60.24</v>
      </c>
      <c r="W74" s="31" t="n">
        <v>22.35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21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2" t="inlineStr">
        <is>
          <t>GLENMARK</t>
        </is>
      </c>
      <c r="D75" s="32" t="inlineStr">
        <is>
          <t>Glenmark Pharmaceuticals Ltd</t>
        </is>
      </c>
      <c r="E75" s="30" t="inlineStr">
        <is>
          <t>healthcare</t>
        </is>
      </c>
      <c r="F75" s="30" t="inlineStr">
        <is>
          <t>Pharma - Formulators</t>
        </is>
      </c>
      <c r="G75" s="30" t="inlineStr">
        <is>
          <t>largecap</t>
        </is>
      </c>
      <c r="H75" s="31" t="n">
        <v>68721.71000000001</v>
      </c>
      <c r="I75" s="31" t="n">
        <v>2435</v>
      </c>
      <c r="J75" s="31" t="n">
        <v>-1.6</v>
      </c>
      <c r="K75" s="31" t="n">
        <v>0</v>
      </c>
      <c r="L75" s="30" t="n">
        <v>17</v>
      </c>
      <c r="M75" s="30" t="inlineStr">
        <is>
          <t>Underperforming</t>
        </is>
      </c>
      <c r="N75" s="31">
        <f>IF(M75="Underperforming",-5,IF(L75&gt;=95,15,IF(L75&gt;=90,10,IF(L75&gt;=80,5,0))))</f>
        <v/>
      </c>
      <c r="O75" s="31" t="n">
        <v>62.99</v>
      </c>
      <c r="P75" s="31" t="n">
        <v>19.16</v>
      </c>
      <c r="Q75" s="31" t="n">
        <v>2128.9</v>
      </c>
      <c r="R75" s="30" t="inlineStr">
        <is>
          <t>Near 52W High Breakout</t>
        </is>
      </c>
      <c r="S75" s="30" t="inlineStr">
        <is>
          <t>Nifty Pharma</t>
        </is>
      </c>
      <c r="T75" s="31" t="n">
        <v>19.47</v>
      </c>
      <c r="U75" s="31" t="n">
        <v>14.58</v>
      </c>
      <c r="V75" s="31" t="n">
        <v>-4.1</v>
      </c>
      <c r="W75" s="31" t="n">
        <v>5.43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ANTELOPUS</t>
        </is>
      </c>
      <c r="D76" s="30" t="inlineStr">
        <is>
          <t>Antelopus Selan Energy Ltd</t>
        </is>
      </c>
      <c r="E76" s="30" t="inlineStr">
        <is>
          <t>energy</t>
        </is>
      </c>
      <c r="F76" s="30" t="inlineStr">
        <is>
          <t>Oil Drilling &amp; Exploration</t>
        </is>
      </c>
      <c r="G76" s="30" t="inlineStr">
        <is>
          <t>smallcap</t>
        </is>
      </c>
      <c r="H76" s="31" t="n">
        <v>4041.91</v>
      </c>
      <c r="I76" s="31" t="n">
        <v>1149.5</v>
      </c>
      <c r="J76" s="31" t="n">
        <v>4.58</v>
      </c>
      <c r="K76" s="31" t="n">
        <v>0</v>
      </c>
      <c r="L76" s="30" t="n">
        <v>89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75.2</v>
      </c>
      <c r="P76" s="31" t="n">
        <v>45.48</v>
      </c>
      <c r="Q76" s="31" t="n">
        <v>826.7</v>
      </c>
      <c r="R76" s="30" t="inlineStr">
        <is>
          <t>Volume Spike &amp; Near 52W High Breakout</t>
        </is>
      </c>
      <c r="S76" s="30" t="inlineStr">
        <is>
          <t>Nifty Energy</t>
        </is>
      </c>
      <c r="T76" s="31" t="n">
        <v>8.75</v>
      </c>
      <c r="U76" s="31" t="n">
        <v>87.56999999999999</v>
      </c>
      <c r="V76" s="31" t="n">
        <v>72.48</v>
      </c>
      <c r="W76" s="31" t="n">
        <v>36.17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31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MANINDS</t>
        </is>
      </c>
      <c r="D77" s="30" t="inlineStr">
        <is>
          <t>Man Industries (India) Ltd</t>
        </is>
      </c>
      <c r="E77" s="30" t="inlineStr">
        <is>
          <t>metals &amp; mining</t>
        </is>
      </c>
      <c r="F77" s="30" t="inlineStr">
        <is>
          <t>Steel - Tubes/Pipes</t>
        </is>
      </c>
      <c r="G77" s="30" t="inlineStr">
        <is>
          <t>midcap</t>
        </is>
      </c>
      <c r="H77" s="31" t="n">
        <v>5967.76</v>
      </c>
      <c r="I77" s="31" t="n">
        <v>795.6</v>
      </c>
      <c r="J77" s="31" t="n">
        <v>-3.18</v>
      </c>
      <c r="K77" s="31" t="n">
        <v>0</v>
      </c>
      <c r="L77" s="30" t="n">
        <v>78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76.44</v>
      </c>
      <c r="P77" s="31" t="n">
        <v>35.26</v>
      </c>
      <c r="Q77" s="31" t="n">
        <v>605.02</v>
      </c>
      <c r="R77" s="30" t="inlineStr">
        <is>
          <t>Near 52W High Breakout</t>
        </is>
      </c>
      <c r="S77" s="30" t="inlineStr">
        <is>
          <t>Nifty Metal</t>
        </is>
      </c>
      <c r="T77" s="31" t="n">
        <v>42.08</v>
      </c>
      <c r="U77" s="31" t="n">
        <v>86.02</v>
      </c>
      <c r="V77" s="31" t="n">
        <v>30.93</v>
      </c>
      <c r="W77" s="31" t="n">
        <v>27.17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22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DEEPINDS</t>
        </is>
      </c>
      <c r="D78" s="30" t="inlineStr">
        <is>
          <t>Deep Industries Ltd</t>
        </is>
      </c>
      <c r="E78" s="30" t="inlineStr">
        <is>
          <t>energy</t>
        </is>
      </c>
      <c r="F78" s="30" t="inlineStr">
        <is>
          <t>Oil Drilling &amp; Exploration</t>
        </is>
      </c>
      <c r="G78" s="30" t="inlineStr">
        <is>
          <t>midcap</t>
        </is>
      </c>
      <c r="H78" s="31" t="n">
        <v>5086.08</v>
      </c>
      <c r="I78" s="31" t="n">
        <v>794.7</v>
      </c>
      <c r="J78" s="31" t="n">
        <v>-2.93</v>
      </c>
      <c r="K78" s="31" t="n">
        <v>0</v>
      </c>
      <c r="L78" s="30" t="n">
        <v>81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80.77</v>
      </c>
      <c r="P78" s="31" t="n">
        <v>33.06</v>
      </c>
      <c r="Q78" s="31" t="n">
        <v>616.85</v>
      </c>
      <c r="R78" s="30" t="inlineStr">
        <is>
          <t>Near 52W High Breakout</t>
        </is>
      </c>
      <c r="S78" s="30" t="inlineStr">
        <is>
          <t>Nifty Energy</t>
        </is>
      </c>
      <c r="T78" s="31" t="n">
        <v>8.75</v>
      </c>
      <c r="U78" s="31" t="n">
        <v>77.47</v>
      </c>
      <c r="V78" s="31" t="n">
        <v>63.19</v>
      </c>
      <c r="W78" s="31" t="n">
        <v>28.66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21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GRAPHITE</t>
        </is>
      </c>
      <c r="D79" s="33" t="inlineStr">
        <is>
          <t>Graphite India Ltd</t>
        </is>
      </c>
      <c r="E79" s="30" t="inlineStr">
        <is>
          <t>industrials</t>
        </is>
      </c>
      <c r="F79" s="30" t="inlineStr">
        <is>
          <t>Electrodes - Welding Equipment</t>
        </is>
      </c>
      <c r="G79" s="30" t="inlineStr">
        <is>
          <t>midcap</t>
        </is>
      </c>
      <c r="H79" s="31" t="n">
        <v>16470.16</v>
      </c>
      <c r="I79" s="31" t="n">
        <v>843</v>
      </c>
      <c r="J79" s="31" t="n">
        <v>14.81</v>
      </c>
      <c r="K79" s="31" t="n">
        <v>0</v>
      </c>
      <c r="L79" s="30" t="n">
        <v>57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69.88</v>
      </c>
      <c r="P79" s="31" t="n">
        <v>13.61</v>
      </c>
      <c r="Q79" s="31" t="n">
        <v>649.46</v>
      </c>
      <c r="R79" s="30" t="inlineStr">
        <is>
          <t>Volume Spike &amp; Near 52W High Breakout</t>
        </is>
      </c>
      <c r="S79" s="30" t="inlineStr">
        <is>
          <t>Nifty 50</t>
        </is>
      </c>
      <c r="T79" s="31" t="n">
        <v>-6.7</v>
      </c>
      <c r="U79" s="31" t="n">
        <v>60.09</v>
      </c>
      <c r="V79" s="31" t="n">
        <v>71.59</v>
      </c>
      <c r="W79" s="31" t="n">
        <v>17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BIL</t>
        </is>
      </c>
      <c r="D80" s="30" t="inlineStr">
        <is>
          <t>Bhartiya International Ltd</t>
        </is>
      </c>
      <c r="E80" s="30" t="inlineStr">
        <is>
          <t>consumer discretionary</t>
        </is>
      </c>
      <c r="F80" s="30" t="inlineStr">
        <is>
          <t>Textiles</t>
        </is>
      </c>
      <c r="G80" s="30" t="inlineStr">
        <is>
          <t>smallcap</t>
        </is>
      </c>
      <c r="H80" s="31" t="n">
        <v>1484.6</v>
      </c>
      <c r="I80" s="31" t="n">
        <v>1107.05</v>
      </c>
      <c r="J80" s="31" t="n">
        <v>18.17</v>
      </c>
      <c r="K80" s="31" t="n">
        <v>0</v>
      </c>
      <c r="L80" s="30" t="n">
        <v>65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76.5</v>
      </c>
      <c r="P80" s="31" t="n">
        <v>21.68</v>
      </c>
      <c r="Q80" s="31" t="n">
        <v>836.73</v>
      </c>
      <c r="R80" s="30" t="inlineStr">
        <is>
          <t>Volume Spike &amp; Near 52W High Breakout</t>
        </is>
      </c>
      <c r="S80" s="30" t="inlineStr">
        <is>
          <t>Nifty 50</t>
        </is>
      </c>
      <c r="T80" s="31" t="n">
        <v>-6.7</v>
      </c>
      <c r="U80" s="31" t="n">
        <v>27.89</v>
      </c>
      <c r="V80" s="31" t="n">
        <v>37.07</v>
      </c>
      <c r="W80" s="31" t="n">
        <v>19.64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Between 0.7 to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NEULANDLAB</t>
        </is>
      </c>
      <c r="D81" s="33" t="inlineStr">
        <is>
          <t>Neuland Laboratories Ltd</t>
        </is>
      </c>
      <c r="E81" s="30" t="inlineStr">
        <is>
          <t>healthcare</t>
        </is>
      </c>
      <c r="F81" s="30" t="inlineStr">
        <is>
          <t>Pharma - API &amp; CRAMS</t>
        </is>
      </c>
      <c r="G81" s="30" t="inlineStr">
        <is>
          <t>largecap</t>
        </is>
      </c>
      <c r="H81" s="31" t="n">
        <v>29707.61</v>
      </c>
      <c r="I81" s="31" t="n">
        <v>23155</v>
      </c>
      <c r="J81" s="31" t="n">
        <v>-3.5</v>
      </c>
      <c r="K81" s="31" t="n">
        <v>0</v>
      </c>
      <c r="L81" s="30" t="n">
        <v>58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73.98</v>
      </c>
      <c r="P81" s="31" t="n">
        <v>58.51</v>
      </c>
      <c r="Q81" s="31" t="n">
        <v>19030.17</v>
      </c>
      <c r="R81" s="30" t="inlineStr">
        <is>
          <t>Near 52W High Breakout</t>
        </is>
      </c>
      <c r="S81" s="30" t="inlineStr">
        <is>
          <t>Nifty Pharma</t>
        </is>
      </c>
      <c r="T81" s="31" t="n">
        <v>19.47</v>
      </c>
      <c r="U81" s="31" t="n">
        <v>44.79</v>
      </c>
      <c r="V81" s="31" t="n">
        <v>21.19</v>
      </c>
      <c r="W81" s="31" t="n">
        <v>17.51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DOLPHIN</t>
        </is>
      </c>
      <c r="D82" s="30" t="inlineStr">
        <is>
          <t>Dolphin Offshore Enterprises (India) Ltd</t>
        </is>
      </c>
      <c r="E82" s="30" t="inlineStr">
        <is>
          <t>energy</t>
        </is>
      </c>
      <c r="F82" s="30" t="inlineStr">
        <is>
          <t>Oil Drilling &amp; Exploration</t>
        </is>
      </c>
      <c r="G82" s="30" t="inlineStr">
        <is>
          <t>smallcap</t>
        </is>
      </c>
      <c r="H82" s="31" t="n">
        <v>2738.91</v>
      </c>
      <c r="I82" s="31" t="n">
        <v>684.65</v>
      </c>
      <c r="J82" s="31" t="n">
        <v>-0.45</v>
      </c>
      <c r="K82" s="31" t="n">
        <v>0</v>
      </c>
      <c r="L82" s="30" t="n">
        <v>76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79.47</v>
      </c>
      <c r="P82" s="31" t="n">
        <v>36.77</v>
      </c>
      <c r="Q82" s="31" t="n">
        <v>508.51</v>
      </c>
      <c r="R82" s="30" t="inlineStr">
        <is>
          <t>Near 52W High Breakout</t>
        </is>
      </c>
      <c r="S82" s="30" t="inlineStr">
        <is>
          <t>Nifty Energy</t>
        </is>
      </c>
      <c r="T82" s="31" t="n">
        <v>8.75</v>
      </c>
      <c r="U82" s="31" t="n">
        <v>55.03</v>
      </c>
      <c r="V82" s="31" t="n">
        <v>42.56</v>
      </c>
      <c r="W82" s="31" t="n">
        <v>25.45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Oligopoly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23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GMMPFAUDLR</t>
        </is>
      </c>
      <c r="D83" s="30" t="inlineStr">
        <is>
          <t>GMM Pfaudler Ltd</t>
        </is>
      </c>
      <c r="E83" s="30" t="inlineStr">
        <is>
          <t>industrials</t>
        </is>
      </c>
      <c r="F83" s="30" t="inlineStr">
        <is>
          <t>Glass - Others</t>
        </is>
      </c>
      <c r="G83" s="30" t="inlineStr">
        <is>
          <t>midcap</t>
        </is>
      </c>
      <c r="H83" s="31" t="n">
        <v>5866.92</v>
      </c>
      <c r="I83" s="31" t="n">
        <v>1305</v>
      </c>
      <c r="J83" s="31" t="n">
        <v>1.54</v>
      </c>
      <c r="K83" s="31" t="n">
        <v>0</v>
      </c>
      <c r="L83" s="30" t="n">
        <v>70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76.90000000000001</v>
      </c>
      <c r="P83" s="31" t="n">
        <v>31.49</v>
      </c>
      <c r="Q83" s="31" t="n">
        <v>1049.76</v>
      </c>
      <c r="R83" s="30" t="inlineStr">
        <is>
          <t>Near 52W High Breakout</t>
        </is>
      </c>
      <c r="S83" s="30" t="inlineStr">
        <is>
          <t>Nifty 50</t>
        </is>
      </c>
      <c r="T83" s="31" t="n">
        <v>-6.7</v>
      </c>
      <c r="U83" s="31" t="n">
        <v>14.33</v>
      </c>
      <c r="V83" s="31" t="n">
        <v>22.54</v>
      </c>
      <c r="W83" s="31" t="n">
        <v>21.24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22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KIRIINDUS</t>
        </is>
      </c>
      <c r="D84" s="30" t="inlineStr">
        <is>
          <t>Kiri Industries Ltd</t>
        </is>
      </c>
      <c r="E84" s="30" t="inlineStr">
        <is>
          <t>Basic Materials</t>
        </is>
      </c>
      <c r="F84" s="30" t="inlineStr">
        <is>
          <t>Dyes &amp; Pigments</t>
        </is>
      </c>
      <c r="G84" s="30" t="inlineStr">
        <is>
          <t>smallcap</t>
        </is>
      </c>
      <c r="H84" s="31" t="n">
        <v>3588.8</v>
      </c>
      <c r="I84" s="31" t="n">
        <v>550.7</v>
      </c>
      <c r="J84" s="31" t="n">
        <v>-6.36</v>
      </c>
      <c r="K84" s="31" t="n">
        <v>0</v>
      </c>
      <c r="L84" s="30" t="n">
        <v>32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68.38</v>
      </c>
      <c r="P84" s="31" t="n">
        <v>18.2</v>
      </c>
      <c r="Q84" s="31" t="n">
        <v>424.04</v>
      </c>
      <c r="R84" s="30" t="inlineStr">
        <is>
          <t>Volume Spike / Accumulation</t>
        </is>
      </c>
      <c r="S84" s="30" t="inlineStr">
        <is>
          <t>Nifty 50</t>
        </is>
      </c>
      <c r="T84" s="31" t="n">
        <v>-6.7</v>
      </c>
      <c r="U84" s="31" t="n">
        <v>-5.88</v>
      </c>
      <c r="V84" s="31" t="n">
        <v>0.88</v>
      </c>
      <c r="W84" s="31" t="n">
        <v>8.710000000000001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0 to 20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21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SBC</t>
        </is>
      </c>
      <c r="D85" s="30" t="inlineStr">
        <is>
          <t>SBC Exports Ltd</t>
        </is>
      </c>
      <c r="E85" s="30" t="inlineStr">
        <is>
          <t>textiles</t>
        </is>
      </c>
      <c r="F85" s="30" t="inlineStr">
        <is>
          <t>Textiles - Readymade Apparel</t>
        </is>
      </c>
      <c r="G85" s="30" t="inlineStr">
        <is>
          <t>smallcap</t>
        </is>
      </c>
      <c r="H85" s="31" t="n">
        <v>2319.05</v>
      </c>
      <c r="I85" s="31" t="n">
        <v>48.7</v>
      </c>
      <c r="J85" s="31" t="n">
        <v>4.13</v>
      </c>
      <c r="K85" s="31" t="n">
        <v>0</v>
      </c>
      <c r="L85" s="30" t="n">
        <v>74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75.76000000000001</v>
      </c>
      <c r="P85" s="31" t="n">
        <v>33.52</v>
      </c>
      <c r="Q85" s="31" t="n">
        <v>39.95</v>
      </c>
      <c r="R85" s="30" t="inlineStr">
        <is>
          <t>Near 52W High Breakout</t>
        </is>
      </c>
      <c r="S85" s="30" t="inlineStr">
        <is>
          <t>Nifty 50</t>
        </is>
      </c>
      <c r="T85" s="31" t="n">
        <v>-6.7</v>
      </c>
      <c r="U85" s="31" t="n">
        <v>122.89</v>
      </c>
      <c r="V85" s="31" t="n">
        <v>138.9</v>
      </c>
      <c r="W85" s="31" t="n">
        <v>24.1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21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NAVINFLUOR</t>
        </is>
      </c>
      <c r="D86" s="33" t="inlineStr">
        <is>
          <t>Navin Fluorine International Ltd</t>
        </is>
      </c>
      <c r="E86" s="30" t="inlineStr">
        <is>
          <t>chemicals</t>
        </is>
      </c>
      <c r="F86" s="30" t="inlineStr">
        <is>
          <t>Chemicals - Flourine</t>
        </is>
      </c>
      <c r="G86" s="30" t="inlineStr">
        <is>
          <t>largecap</t>
        </is>
      </c>
      <c r="H86" s="31" t="n">
        <v>44895.15</v>
      </c>
      <c r="I86" s="31" t="n">
        <v>8749</v>
      </c>
      <c r="J86" s="31" t="n">
        <v>0.21</v>
      </c>
      <c r="K86" s="31" t="n">
        <v>0</v>
      </c>
      <c r="L86" s="30" t="n">
        <v>58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80.05</v>
      </c>
      <c r="P86" s="31" t="n">
        <v>60.77</v>
      </c>
      <c r="Q86" s="31" t="n">
        <v>7365.22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-6.7</v>
      </c>
      <c r="U86" s="31" t="n">
        <v>83.58</v>
      </c>
      <c r="V86" s="31" t="n">
        <v>96.77</v>
      </c>
      <c r="W86" s="31" t="n">
        <v>17.51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Oligopoly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Shallow Cyclical (2 to 3 Years Growth)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Between 50% to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TNPETRO</t>
        </is>
      </c>
      <c r="D87" s="30" t="inlineStr">
        <is>
          <t>Tamil Nadu Petro Products Ltd</t>
        </is>
      </c>
      <c r="E87" s="30" t="inlineStr">
        <is>
          <t>energy</t>
        </is>
      </c>
      <c r="F87" s="30" t="inlineStr">
        <is>
          <t>Petrochem - Others</t>
        </is>
      </c>
      <c r="G87" s="30" t="inlineStr">
        <is>
          <t>smallcap</t>
        </is>
      </c>
      <c r="H87" s="31" t="n">
        <v>1240.71</v>
      </c>
      <c r="I87" s="31" t="n">
        <v>137.9</v>
      </c>
      <c r="J87" s="31" t="n">
        <v>-0.92</v>
      </c>
      <c r="K87" s="31" t="n">
        <v>0</v>
      </c>
      <c r="L87" s="30" t="n">
        <v>68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79.8</v>
      </c>
      <c r="P87" s="31" t="n">
        <v>37</v>
      </c>
      <c r="Q87" s="31" t="n">
        <v>106.28</v>
      </c>
      <c r="R87" s="30" t="inlineStr">
        <is>
          <t>Near 52W High Breakout</t>
        </is>
      </c>
      <c r="S87" s="30" t="inlineStr">
        <is>
          <t>Nifty Energy</t>
        </is>
      </c>
      <c r="T87" s="31" t="n">
        <v>8.75</v>
      </c>
      <c r="U87" s="31" t="n">
        <v>35.85</v>
      </c>
      <c r="V87" s="31" t="n">
        <v>24.93</v>
      </c>
      <c r="W87" s="31" t="n">
        <v>20.39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Oligopoly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Cyclical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Volatile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24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RAMRAT</t>
        </is>
      </c>
      <c r="D88" s="30" t="inlineStr">
        <is>
          <t>Ram Ratna Wires Ltd</t>
        </is>
      </c>
      <c r="E88" s="30" t="inlineStr">
        <is>
          <t>metals &amp; mining</t>
        </is>
      </c>
      <c r="F88" s="30" t="inlineStr">
        <is>
          <t>Copper Wires</t>
        </is>
      </c>
      <c r="G88" s="30" t="inlineStr">
        <is>
          <t>smallcap</t>
        </is>
      </c>
      <c r="H88" s="31" t="n">
        <v>4941.9</v>
      </c>
      <c r="I88" s="31" t="n">
        <v>529.4</v>
      </c>
      <c r="J88" s="31" t="n">
        <v>-0.35</v>
      </c>
      <c r="K88" s="31" t="n">
        <v>0</v>
      </c>
      <c r="L88" s="30" t="n">
        <v>61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65.73</v>
      </c>
      <c r="P88" s="31" t="n">
        <v>44.82</v>
      </c>
      <c r="Q88" s="31" t="n">
        <v>447.03</v>
      </c>
      <c r="R88" s="30" t="inlineStr">
        <is>
          <t>Earnings / Momentum Support</t>
        </is>
      </c>
      <c r="S88" s="30" t="inlineStr">
        <is>
          <t>Nifty Metal</t>
        </is>
      </c>
      <c r="T88" s="31" t="n">
        <v>42.08</v>
      </c>
      <c r="U88" s="31" t="n">
        <v>51.56</v>
      </c>
      <c r="V88" s="31" t="n">
        <v>6.67</v>
      </c>
      <c r="W88" s="31" t="n">
        <v>18.13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Between 0.7 to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19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PRABHA</t>
        </is>
      </c>
      <c r="D89" s="32" t="inlineStr">
        <is>
          <t>Prabha Energy Ltd</t>
        </is>
      </c>
      <c r="E89" s="30" t="inlineStr">
        <is>
          <t>energy</t>
        </is>
      </c>
      <c r="F89" s="30" t="inlineStr">
        <is>
          <t>Oil Exploration/Allied Services</t>
        </is>
      </c>
      <c r="G89" s="30" t="inlineStr">
        <is>
          <t>smallcap</t>
        </is>
      </c>
      <c r="H89" s="31" t="n">
        <v>3450.02</v>
      </c>
      <c r="I89" s="31" t="n">
        <v>252</v>
      </c>
      <c r="J89" s="31" t="n">
        <v>-0.61</v>
      </c>
      <c r="K89" s="31" t="n">
        <v>0</v>
      </c>
      <c r="L89" s="30" t="n">
        <v>44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73.81999999999999</v>
      </c>
      <c r="P89" s="31" t="n">
        <v>24.78</v>
      </c>
      <c r="Q89" s="31" t="n">
        <v>179.91</v>
      </c>
      <c r="R89" s="30" t="inlineStr">
        <is>
          <t>Near 52W High Breakout</t>
        </is>
      </c>
      <c r="S89" s="30" t="inlineStr">
        <is>
          <t>Nifty Energy</t>
        </is>
      </c>
      <c r="T89" s="31" t="n">
        <v>8.75</v>
      </c>
      <c r="U89" s="31" t="n">
        <v>-5.99</v>
      </c>
      <c r="V89" s="31" t="n">
        <v>-13.55</v>
      </c>
      <c r="W89" s="31" t="n">
        <v>12.81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30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2" t="inlineStr">
        <is>
          <t>JTLIND</t>
        </is>
      </c>
      <c r="D90" s="32" t="inlineStr">
        <is>
          <t>JTL Industries Ltd</t>
        </is>
      </c>
      <c r="E90" s="30" t="inlineStr">
        <is>
          <t>metals &amp; mining</t>
        </is>
      </c>
      <c r="F90" s="30" t="inlineStr">
        <is>
          <t>Steel - Tubes/Pipes</t>
        </is>
      </c>
      <c r="G90" s="30" t="inlineStr">
        <is>
          <t>smallcap</t>
        </is>
      </c>
      <c r="H90" s="31" t="n">
        <v>3337.13</v>
      </c>
      <c r="I90" s="31" t="n">
        <v>87.34999999999999</v>
      </c>
      <c r="J90" s="31" t="n">
        <v>-2.46</v>
      </c>
      <c r="K90" s="31" t="n">
        <v>0</v>
      </c>
      <c r="L90" s="30" t="n">
        <v>14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61.06</v>
      </c>
      <c r="P90" s="31" t="n">
        <v>14.47</v>
      </c>
      <c r="Q90" s="31" t="n">
        <v>67.19</v>
      </c>
      <c r="R90" s="30" t="inlineStr">
        <is>
          <t>Near 52W High Breakout</t>
        </is>
      </c>
      <c r="S90" s="30" t="inlineStr">
        <is>
          <t>Nifty Metal</t>
        </is>
      </c>
      <c r="T90" s="31" t="n">
        <v>42.08</v>
      </c>
      <c r="U90" s="31" t="n">
        <v>14.25</v>
      </c>
      <c r="V90" s="31" t="n">
        <v>-19.59</v>
      </c>
      <c r="W90" s="31" t="n">
        <v>4.63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0 to 20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19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GIPCL</t>
        </is>
      </c>
      <c r="D91" s="30" t="inlineStr">
        <is>
          <t>Gujarat Industries Power Co Ltd</t>
        </is>
      </c>
      <c r="E91" s="30" t="inlineStr">
        <is>
          <t>power &amp; utilities</t>
        </is>
      </c>
      <c r="F91" s="30" t="inlineStr">
        <is>
          <t>Power - Generation/Distribution</t>
        </is>
      </c>
      <c r="G91" s="30" t="inlineStr">
        <is>
          <t>smallcap</t>
        </is>
      </c>
      <c r="H91" s="31" t="n">
        <v>3123.88</v>
      </c>
      <c r="I91" s="31" t="n">
        <v>201.26</v>
      </c>
      <c r="J91" s="31" t="n">
        <v>0.08</v>
      </c>
      <c r="K91" s="31" t="n">
        <v>0</v>
      </c>
      <c r="L91" s="30" t="n">
        <v>29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68.66</v>
      </c>
      <c r="P91" s="31" t="n">
        <v>21.28</v>
      </c>
      <c r="Q91" s="31" t="n">
        <v>167.51</v>
      </c>
      <c r="R91" s="30" t="inlineStr">
        <is>
          <t>Near 52W High Breakout</t>
        </is>
      </c>
      <c r="S91" s="30" t="inlineStr">
        <is>
          <t>Nifty IT</t>
        </is>
      </c>
      <c r="T91" s="31" t="n">
        <v>-19.93</v>
      </c>
      <c r="U91" s="31" t="n">
        <v>7.64</v>
      </c>
      <c r="V91" s="31" t="n">
        <v>34.43</v>
      </c>
      <c r="W91" s="31" t="n">
        <v>8.130000000000001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Oligopoly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Shallow Cyclical (2 to 3 Years Growth)</t>
        </is>
      </c>
      <c r="AG91" s="30">
        <f>IF(AF91="Structural (10 Years Consistency)",10,IF(AF91="Shallow Cyclical (2 to 3 years growth)",5,0))</f>
        <v/>
      </c>
      <c r="AH91" s="30" t="inlineStr">
        <is>
          <t>Yes due to Product Mix change or Operating Leverage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Allocated capital in Non-core Areas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Sideways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Overhead supply in last 2 years in last 2 years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More than 15%</t>
        </is>
      </c>
      <c r="CC91" s="30">
        <f>IF(CB91="More than 15%",-10,IF(CB91="Less than 15%",10,0))</f>
        <v/>
      </c>
      <c r="CD91" s="30" t="inlineStr">
        <is>
          <t>Yes Upto 10%</t>
        </is>
      </c>
      <c r="CE91" s="30">
        <f>IF(CD91="Yes, more than 10%",-10,IF(CD91="No",10,0))</f>
        <v/>
      </c>
      <c r="CF91" s="30" t="inlineStr">
        <is>
          <t>20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FLYSBS</t>
        </is>
      </c>
      <c r="D92" s="30" t="inlineStr">
        <is>
          <t>FlySBS Aviation Ltd</t>
        </is>
      </c>
      <c r="E92" s="30" t="inlineStr">
        <is>
          <t>unknown</t>
        </is>
      </c>
      <c r="F92" s="30" t="inlineStr">
        <is>
          <t>Transport - Airlines</t>
        </is>
      </c>
      <c r="G92" s="30" t="inlineStr">
        <is>
          <t>smallcap</t>
        </is>
      </c>
      <c r="H92" s="31" t="n">
        <v>1184.1</v>
      </c>
      <c r="I92" s="31" t="n">
        <v>684.3</v>
      </c>
      <c r="J92" s="31" t="n">
        <v>1.09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inlineStr"/>
      <c r="P92" s="31" t="inlineStr"/>
      <c r="Q92" s="31" t="inlineStr"/>
      <c r="R92" s="30" t="inlineStr"/>
      <c r="S92" s="30" t="inlineStr"/>
      <c r="T92" s="31" t="inlineStr"/>
      <c r="U92" s="31" t="inlineStr"/>
      <c r="V92" s="31" t="inlineStr"/>
      <c r="W92" s="31" t="inlineStr"/>
      <c r="X92" s="30" t="n"/>
      <c r="Y92" s="30">
        <f>IF(X92="Growing Industry",10,IF(X92="Cyclical in an Upturn",5,0))</f>
        <v/>
      </c>
      <c r="Z92" s="30" t="n"/>
      <c r="AA92" s="30">
        <f>IF(Z92="Monopoly",10,IF(Z92="Oligopoly",5,IF(Z92="Duopoly that cooperate",10,IF(Z92="Duopoly that compete",5,IF(Z92="Too many players with High ROCE",5,0)))))</f>
        <v/>
      </c>
      <c r="AB92" s="30" t="n"/>
      <c r="AC92" s="30">
        <f>IF(AB92="No",5,0)</f>
        <v/>
      </c>
      <c r="AD92" s="30" t="n"/>
      <c r="AE92" s="30">
        <f>IF(AD92="Tailwind",10,0)</f>
        <v/>
      </c>
      <c r="AF92" s="30" t="n"/>
      <c r="AG92" s="30">
        <f>IF(AF92="Structural (10 Years Consistency)",10,IF(AF92="Shallow Cyclical (2 to 3 years growth)",5,0))</f>
        <v/>
      </c>
      <c r="AH92" s="30" t="n"/>
      <c r="AI92" s="30">
        <f>IF(AH92="Yes due to Product Mix change or Operating Leverage",10,IF(AH92="Yes, these are peak margins",-5,IF(AH92="No",5,0)))</f>
        <v/>
      </c>
      <c r="AJ92" s="30" t="n"/>
      <c r="AK92" s="30">
        <f>IF(AJ92="Stable",10,0)</f>
        <v/>
      </c>
      <c r="AL92" s="30" t="n"/>
      <c r="AM92" s="30">
        <f>IF(AL92="Yes",10,0)</f>
        <v/>
      </c>
      <c r="AN92" s="30" t="n"/>
      <c r="AO92" s="30">
        <f>IF(AN92="B2C",10,IF(AN92="B2B",5,0))</f>
        <v/>
      </c>
      <c r="AP92" s="30" t="n"/>
      <c r="AQ92" s="30">
        <f>IF(AP92="Yes",10,0)</f>
        <v/>
      </c>
      <c r="AR92" s="30" t="n"/>
      <c r="AS92" s="30">
        <f>IF(AR92="Fully Annuity",10,IF(AR92="Higher Annuity, Lower One Time",5,IF(AR92="Higher One Time, Lower Annuity",3,0)))</f>
        <v/>
      </c>
      <c r="AT92" s="30" t="n"/>
      <c r="AU92" s="30">
        <f>IF(AT92="Good",10,0)</f>
        <v/>
      </c>
      <c r="AV92" s="30" t="n"/>
      <c r="AW92" s="30">
        <f>IF(AV92="Yes for more than 2 years",10,IF(AV92="Yes only for next 1 to 2 years",5,0))</f>
        <v/>
      </c>
      <c r="AX92" s="30" t="n"/>
      <c r="AY92" s="30">
        <f>IF(AX92="Above 40",20,IF(AX92="20 to 40",10,IF(AX92="0 to 20",-5,0)))</f>
        <v/>
      </c>
      <c r="AZ92" s="30" t="n"/>
      <c r="BA92" s="30">
        <f>IF(AZ92="Between 50 to 75",10,IF(AZ92="Above 75",0,0))</f>
        <v/>
      </c>
      <c r="BB92" s="30" t="n"/>
      <c r="BC92" s="30">
        <f>IF(BB92="Stage 2",20,IF(BB92="Stage 1",0,IF(BB92="Stage 3",5,IF(BB92="Stage 4",-5,0))))</f>
        <v/>
      </c>
      <c r="BD92" s="30" t="n"/>
      <c r="BE92" s="30">
        <f>IF(BD92="Positive Trend",20,IF(BD92="Negative Trend",-10,0))</f>
        <v/>
      </c>
      <c r="BF92" s="30" t="n"/>
      <c r="BG92" s="30">
        <f>IF(BF92="Uptrend",10,IF(BF92="Sideways",5,0))</f>
        <v/>
      </c>
      <c r="BH92" s="30" t="n"/>
      <c r="BI92" s="30">
        <f>IF(BH92="Uptrend",10,IF(BH92="Sideways",5,0))</f>
        <v/>
      </c>
      <c r="BJ92" s="30" t="n"/>
      <c r="BK92" s="30">
        <f>IF(BJ92="Overhead supply in last 2 years in last 2 years",-5,IF(BJ92="Close to 52 week high or retracement",5,IF(BJ92="Blue sky scenario",10,IF(BJ92="Long term Downtrend",-10,0))))</f>
        <v/>
      </c>
      <c r="BL92" s="30" t="n"/>
      <c r="BM92" s="30">
        <f>IF(BL92="Yes",10,0)</f>
        <v/>
      </c>
      <c r="BN92" s="30" t="n"/>
      <c r="BO92" s="30">
        <f>IF(BN92="More than 20%",10,IF(BN92="Between 12 to 20%",5,IF(BN92="Less than 12%",0,0)))</f>
        <v/>
      </c>
      <c r="BP92" s="30" t="n"/>
      <c r="BQ92" s="30">
        <f>IF(BP92="No",10,0)</f>
        <v/>
      </c>
      <c r="BR92" s="30" t="n"/>
      <c r="BS92" s="30">
        <f>IF(BR92="NO",5,0)</f>
        <v/>
      </c>
      <c r="BT92" s="30" t="n"/>
      <c r="BU92" s="30">
        <f>IF(BT92="Above 2",0,IF(BT92="Between 1.5 to 2",5,IF(BT92="Less than 1.5",10,0)))</f>
        <v/>
      </c>
      <c r="BV92" s="30" t="n"/>
      <c r="BW92" s="30">
        <f>IF(BV92="Above 70%",10,IF(BV92="Between 50% to 70%",5,IF(BV92="Less than 50%",0,IF(BV92="Negative",-10,IF(BV92="Less than 50% and Borrowings are increasing",-5,0)))))</f>
        <v/>
      </c>
      <c r="BX92" s="30" t="n"/>
      <c r="BY92" s="30">
        <f>IF(BX92="More than 1.2",-10,IF(BX92="Between 0.7 to 1.2",0,IF(BX92="Less than 0.7",10,0)))</f>
        <v/>
      </c>
      <c r="BZ92" s="30" t="n"/>
      <c r="CA92" s="30">
        <f>IF(BZ92="Yes",-10,0)</f>
        <v/>
      </c>
      <c r="CB92" s="30" t="n"/>
      <c r="CC92" s="30">
        <f>IF(CB92="More than 15%",-10,IF(CB92="Less than 15%",10,0))</f>
        <v/>
      </c>
      <c r="CD92" s="30" t="n"/>
      <c r="CE92" s="30">
        <f>IF(CD92="Yes, more than 10%",-10,IF(CD92="No",10,0))</f>
        <v/>
      </c>
      <c r="CF92" s="30" t="n"/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MONOLITH</t>
        </is>
      </c>
      <c r="D93" s="30" t="inlineStr">
        <is>
          <t>Monolithisch India Ltd</t>
        </is>
      </c>
      <c r="E93" s="30" t="inlineStr">
        <is>
          <t>unknown</t>
        </is>
      </c>
      <c r="F93" s="30" t="inlineStr">
        <is>
          <t>Refractories</t>
        </is>
      </c>
      <c r="G93" s="30" t="inlineStr">
        <is>
          <t>smallcap</t>
        </is>
      </c>
      <c r="H93" s="31" t="n">
        <v>3037.39</v>
      </c>
      <c r="I93" s="31" t="n">
        <v>1397.4</v>
      </c>
      <c r="J93" s="31" t="n">
        <v>5.84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inlineStr"/>
      <c r="P93" s="31" t="inlineStr"/>
      <c r="Q93" s="31" t="inlineStr"/>
      <c r="R93" s="30" t="inlineStr"/>
      <c r="S93" s="30" t="inlineStr"/>
      <c r="T93" s="31" t="inlineStr"/>
      <c r="U93" s="31" t="inlineStr"/>
      <c r="V93" s="31" t="inlineStr"/>
      <c r="W93" s="31" t="inlineStr"/>
      <c r="X93" s="30" t="n"/>
      <c r="Y93" s="30">
        <f>IF(X93="Growing Industry",10,IF(X93="Cyclical in an Upturn",5,0))</f>
        <v/>
      </c>
      <c r="Z93" s="30" t="n"/>
      <c r="AA93" s="30">
        <f>IF(Z93="Monopoly",10,IF(Z93="Oligopoly",5,IF(Z93="Duopoly that cooperate",10,IF(Z93="Duopoly that compete",5,IF(Z93="Too many players with High ROCE",5,0)))))</f>
        <v/>
      </c>
      <c r="AB93" s="30" t="n"/>
      <c r="AC93" s="30">
        <f>IF(AB93="No",5,0)</f>
        <v/>
      </c>
      <c r="AD93" s="30" t="n"/>
      <c r="AE93" s="30">
        <f>IF(AD93="Tailwind",10,0)</f>
        <v/>
      </c>
      <c r="AF93" s="30" t="n"/>
      <c r="AG93" s="30">
        <f>IF(AF93="Structural (10 Years Consistency)",10,IF(AF93="Shallow Cyclical (2 to 3 years growth)",5,0))</f>
        <v/>
      </c>
      <c r="AH93" s="30" t="n"/>
      <c r="AI93" s="30">
        <f>IF(AH93="Yes due to Product Mix change or Operating Leverage",10,IF(AH93="Yes, these are peak margins",-5,IF(AH93="No",5,0)))</f>
        <v/>
      </c>
      <c r="AJ93" s="30" t="n"/>
      <c r="AK93" s="30">
        <f>IF(AJ93="Stable",10,0)</f>
        <v/>
      </c>
      <c r="AL93" s="30" t="n"/>
      <c r="AM93" s="30">
        <f>IF(AL93="Yes",10,0)</f>
        <v/>
      </c>
      <c r="AN93" s="30" t="n"/>
      <c r="AO93" s="30">
        <f>IF(AN93="B2C",10,IF(AN93="B2B",5,0))</f>
        <v/>
      </c>
      <c r="AP93" s="30" t="n"/>
      <c r="AQ93" s="30">
        <f>IF(AP93="Yes",10,0)</f>
        <v/>
      </c>
      <c r="AR93" s="30" t="n"/>
      <c r="AS93" s="30">
        <f>IF(AR93="Fully Annuity",10,IF(AR93="Higher Annuity, Lower One Time",5,IF(AR93="Higher One Time, Lower Annuity",3,0)))</f>
        <v/>
      </c>
      <c r="AT93" s="30" t="n"/>
      <c r="AU93" s="30">
        <f>IF(AT93="Good",10,0)</f>
        <v/>
      </c>
      <c r="AV93" s="30" t="n"/>
      <c r="AW93" s="30">
        <f>IF(AV93="Yes for more than 2 years",10,IF(AV93="Yes only for next 1 to 2 years",5,0))</f>
        <v/>
      </c>
      <c r="AX93" s="30" t="n"/>
      <c r="AY93" s="30">
        <f>IF(AX93="Above 40",20,IF(AX93="20 to 40",10,IF(AX93="0 to 20",-5,0)))</f>
        <v/>
      </c>
      <c r="AZ93" s="30" t="n"/>
      <c r="BA93" s="30">
        <f>IF(AZ93="Between 50 to 75",10,IF(AZ93="Above 75",0,0))</f>
        <v/>
      </c>
      <c r="BB93" s="30" t="n"/>
      <c r="BC93" s="30">
        <f>IF(BB93="Stage 2",20,IF(BB93="Stage 1",0,IF(BB93="Stage 3",5,IF(BB93="Stage 4",-5,0))))</f>
        <v/>
      </c>
      <c r="BD93" s="30" t="n"/>
      <c r="BE93" s="30">
        <f>IF(BD93="Positive Trend",20,IF(BD93="Negative Trend",-10,0))</f>
        <v/>
      </c>
      <c r="BF93" s="30" t="n"/>
      <c r="BG93" s="30">
        <f>IF(BF93="Uptrend",10,IF(BF93="Sideways",5,0))</f>
        <v/>
      </c>
      <c r="BH93" s="30" t="n"/>
      <c r="BI93" s="30">
        <f>IF(BH93="Uptrend",10,IF(BH93="Sideways",5,0))</f>
        <v/>
      </c>
      <c r="BJ93" s="30" t="n"/>
      <c r="BK93" s="30">
        <f>IF(BJ93="Overhead supply in last 2 years in last 2 years",-5,IF(BJ93="Close to 52 week high or retracement",5,IF(BJ93="Blue sky scenario",10,IF(BJ93="Long term Downtrend",-10,0))))</f>
        <v/>
      </c>
      <c r="BL93" s="30" t="n"/>
      <c r="BM93" s="30">
        <f>IF(BL93="Yes",10,0)</f>
        <v/>
      </c>
      <c r="BN93" s="30" t="n"/>
      <c r="BO93" s="30">
        <f>IF(BN93="More than 20%",10,IF(BN93="Between 12 to 20%",5,IF(BN93="Less than 12%",0,0)))</f>
        <v/>
      </c>
      <c r="BP93" s="30" t="n"/>
      <c r="BQ93" s="30">
        <f>IF(BP93="No",10,0)</f>
        <v/>
      </c>
      <c r="BR93" s="30" t="n"/>
      <c r="BS93" s="30">
        <f>IF(BR93="NO",5,0)</f>
        <v/>
      </c>
      <c r="BT93" s="30" t="n"/>
      <c r="BU93" s="30">
        <f>IF(BT93="Above 2",0,IF(BT93="Between 1.5 to 2",5,IF(BT93="Less than 1.5",10,0)))</f>
        <v/>
      </c>
      <c r="BV93" s="30" t="n"/>
      <c r="BW93" s="30">
        <f>IF(BV93="Above 70%",10,IF(BV93="Between 50% to 70%",5,IF(BV93="Less than 50%",0,IF(BV93="Negative",-10,IF(BV93="Less than 50% and Borrowings are increasing",-5,0)))))</f>
        <v/>
      </c>
      <c r="BX93" s="30" t="n"/>
      <c r="BY93" s="30">
        <f>IF(BX93="More than 1.2",-10,IF(BX93="Between 0.7 to 1.2",0,IF(BX93="Less than 0.7",10,0)))</f>
        <v/>
      </c>
      <c r="BZ93" s="30" t="n"/>
      <c r="CA93" s="30">
        <f>IF(BZ93="Yes",-10,0)</f>
        <v/>
      </c>
      <c r="CB93" s="30" t="n"/>
      <c r="CC93" s="30">
        <f>IF(CB93="More than 15%",-10,IF(CB93="Less than 15%",10,0))</f>
        <v/>
      </c>
      <c r="CD93" s="30" t="n"/>
      <c r="CE93" s="30">
        <f>IF(CD93="Yes, more than 10%",-10,IF(CD93="No",10,0))</f>
        <v/>
      </c>
      <c r="CF93" s="30" t="n"/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INOVSYNTH</t>
        </is>
      </c>
      <c r="D94" s="30" t="inlineStr">
        <is>
          <t>Innovassynth Technologies (India) Ltd</t>
        </is>
      </c>
      <c r="E94" s="30" t="inlineStr">
        <is>
          <t>unknown</t>
        </is>
      </c>
      <c r="F94" s="30" t="inlineStr">
        <is>
          <t>Chemicals - Speciality</t>
        </is>
      </c>
      <c r="G94" s="30" t="inlineStr">
        <is>
          <t>smallcap</t>
        </is>
      </c>
      <c r="H94" s="31" t="n">
        <v>1324.66</v>
      </c>
      <c r="I94" s="31" t="n">
        <v>142.65</v>
      </c>
      <c r="J94" s="31" t="n">
        <v/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SUNRAKSHAK</t>
        </is>
      </c>
      <c r="D95" s="30" t="inlineStr">
        <is>
          <t>Sunrakshakk Industries India Ltd</t>
        </is>
      </c>
      <c r="E95" s="30" t="inlineStr">
        <is>
          <t>unknown</t>
        </is>
      </c>
      <c r="F95" s="30" t="inlineStr">
        <is>
          <t>Textiles - Processing/Texturising</t>
        </is>
      </c>
      <c r="G95" s="30" t="inlineStr">
        <is>
          <t>smallcap</t>
        </is>
      </c>
      <c r="H95" s="31" t="n">
        <v>1148.8</v>
      </c>
      <c r="I95" s="31" t="n">
        <v>370.5</v>
      </c>
      <c r="J95" s="31" t="n">
        <v>-0.98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ACMESOLAR</t>
        </is>
      </c>
      <c r="B101" s="36" t="inlineStr">
        <is>
          <t>ACME Solar Holdings Limited</t>
        </is>
      </c>
      <c r="C101" s="36" t="inlineStr">
        <is>
          <t>Utilities</t>
        </is>
      </c>
      <c r="D101" s="37" t="inlineStr">
        <is>
          <t>2026-09-08</t>
        </is>
      </c>
    </row>
    <row r="102">
      <c r="A102" s="35" t="inlineStr">
        <is>
          <t>ADOR</t>
        </is>
      </c>
      <c r="B102" s="36" t="inlineStr">
        <is>
          <t>ADOR</t>
        </is>
      </c>
      <c r="C102" s="36" t="inlineStr">
        <is>
          <t>unknown</t>
        </is>
      </c>
      <c r="D102" s="37" t="inlineStr">
        <is>
          <t>2026-09-08</t>
        </is>
      </c>
    </row>
    <row r="103">
      <c r="A103" s="35" t="inlineStr">
        <is>
          <t>BALAMINES</t>
        </is>
      </c>
      <c r="B103" s="36" t="inlineStr">
        <is>
          <t>BALAMINES</t>
        </is>
      </c>
      <c r="C103" s="36" t="inlineStr">
        <is>
          <t>unknown</t>
        </is>
      </c>
      <c r="D103" s="37" t="inlineStr">
        <is>
          <t>2026-09-08</t>
        </is>
      </c>
    </row>
    <row r="104">
      <c r="A104" s="35" t="inlineStr">
        <is>
          <t>DYCL</t>
        </is>
      </c>
      <c r="B104" s="36" t="inlineStr">
        <is>
          <t>DYCL</t>
        </is>
      </c>
      <c r="C104" s="36" t="inlineStr">
        <is>
          <t>unknown</t>
        </is>
      </c>
      <c r="D104" s="37" t="inlineStr">
        <is>
          <t>2026-09-09</t>
        </is>
      </c>
    </row>
    <row r="105">
      <c r="A105" s="35" t="inlineStr">
        <is>
          <t>ENGINERSIN</t>
        </is>
      </c>
      <c r="B105" s="36" t="inlineStr">
        <is>
          <t>Engineers India Limited</t>
        </is>
      </c>
      <c r="C105" s="36" t="inlineStr">
        <is>
          <t>Industrials</t>
        </is>
      </c>
      <c r="D105" s="37" t="inlineStr">
        <is>
          <t>2026-09-09</t>
        </is>
      </c>
    </row>
    <row r="106">
      <c r="A106" s="35" t="inlineStr">
        <is>
          <t>GNRL</t>
        </is>
      </c>
      <c r="B106" s="36" t="inlineStr">
        <is>
          <t>GNRL</t>
        </is>
      </c>
      <c r="C106" s="36" t="inlineStr">
        <is>
          <t>unknown</t>
        </is>
      </c>
      <c r="D106" s="37" t="inlineStr">
        <is>
          <t>2026-09-08</t>
        </is>
      </c>
    </row>
    <row r="107">
      <c r="A107" s="35" t="inlineStr">
        <is>
          <t>IFCI</t>
        </is>
      </c>
      <c r="B107" s="36" t="inlineStr">
        <is>
          <t>IFCI</t>
        </is>
      </c>
      <c r="C107" s="36" t="inlineStr">
        <is>
          <t>unknown</t>
        </is>
      </c>
      <c r="D107" s="37" t="inlineStr">
        <is>
          <t>2026-09-08</t>
        </is>
      </c>
    </row>
    <row r="108">
      <c r="A108" s="35" t="inlineStr">
        <is>
          <t>IIFL</t>
        </is>
      </c>
      <c r="B108" s="36" t="inlineStr">
        <is>
          <t>IIFL</t>
        </is>
      </c>
      <c r="C108" s="36" t="inlineStr">
        <is>
          <t>unknown</t>
        </is>
      </c>
      <c r="D108" s="37" t="inlineStr">
        <is>
          <t>2026-09-08</t>
        </is>
      </c>
    </row>
    <row r="109">
      <c r="A109" s="35" t="inlineStr">
        <is>
          <t>INNOVACAP</t>
        </is>
      </c>
      <c r="B109" s="36" t="inlineStr">
        <is>
          <t>Innova Captab Limited</t>
        </is>
      </c>
      <c r="C109" s="36" t="inlineStr">
        <is>
          <t>Healthcare</t>
        </is>
      </c>
      <c r="D109" s="37" t="inlineStr">
        <is>
          <t>2026-09-09</t>
        </is>
      </c>
    </row>
    <row r="110">
      <c r="A110" s="35" t="inlineStr">
        <is>
          <t>INOVSYNTH</t>
        </is>
      </c>
      <c r="B110" s="36" t="inlineStr">
        <is>
          <t>INOVSYNTH</t>
        </is>
      </c>
      <c r="C110" s="36" t="inlineStr">
        <is>
          <t>unknown</t>
        </is>
      </c>
      <c r="D110" s="37" t="inlineStr">
        <is>
          <t>2026-09-09</t>
        </is>
      </c>
    </row>
    <row r="111">
      <c r="A111" s="35" t="inlineStr">
        <is>
          <t>JTLIND</t>
        </is>
      </c>
      <c r="B111" s="36" t="inlineStr">
        <is>
          <t>JTL Industries Limited</t>
        </is>
      </c>
      <c r="C111" s="36" t="inlineStr">
        <is>
          <t>Basic Materials</t>
        </is>
      </c>
      <c r="D111" s="37" t="inlineStr">
        <is>
          <t>2026-09-09</t>
        </is>
      </c>
    </row>
    <row r="112">
      <c r="A112" s="35" t="inlineStr">
        <is>
          <t>MAHSEAMLES</t>
        </is>
      </c>
      <c r="B112" s="36" t="inlineStr">
        <is>
          <t>Maharashtra Seamless Limited</t>
        </is>
      </c>
      <c r="C112" s="36" t="inlineStr">
        <is>
          <t>Basic Materials</t>
        </is>
      </c>
      <c r="D112" s="37" t="inlineStr">
        <is>
          <t>2026-09-08</t>
        </is>
      </c>
    </row>
    <row r="113">
      <c r="A113" s="35" t="inlineStr">
        <is>
          <t>MANALIPETC</t>
        </is>
      </c>
      <c r="B113" s="36" t="inlineStr">
        <is>
          <t>Manali Petrochemicals Limited</t>
        </is>
      </c>
      <c r="C113" s="36" t="inlineStr">
        <is>
          <t>Basic Materials</t>
        </is>
      </c>
      <c r="D113" s="37" t="inlineStr">
        <is>
          <t>2026-09-09</t>
        </is>
      </c>
    </row>
    <row r="114">
      <c r="A114" s="35" t="inlineStr">
        <is>
          <t>MTARTECH</t>
        </is>
      </c>
      <c r="B114" s="36" t="inlineStr">
        <is>
          <t>MTAR Technologies Limited</t>
        </is>
      </c>
      <c r="C114" s="36" t="inlineStr">
        <is>
          <t>Industrials</t>
        </is>
      </c>
      <c r="D114" s="37" t="inlineStr">
        <is>
          <t>2026-09-09</t>
        </is>
      </c>
    </row>
    <row r="115">
      <c r="A115" s="35" t="inlineStr">
        <is>
          <t>MVGJL</t>
        </is>
      </c>
      <c r="B115" s="36" t="inlineStr">
        <is>
          <t>Manoj Vaibhav Gems 'N' Jewellers Limited</t>
        </is>
      </c>
      <c r="C115" s="36" t="inlineStr">
        <is>
          <t>Consumer Cyclical</t>
        </is>
      </c>
      <c r="D115" s="37" t="inlineStr">
        <is>
          <t>2026-09-08</t>
        </is>
      </c>
    </row>
    <row r="116">
      <c r="A116" s="35" t="inlineStr">
        <is>
          <t>OMAXE</t>
        </is>
      </c>
      <c r="B116" s="36" t="inlineStr">
        <is>
          <t>Omaxe Limited</t>
        </is>
      </c>
      <c r="C116" s="36" t="inlineStr">
        <is>
          <t>Real Estate</t>
        </is>
      </c>
      <c r="D116" s="37" t="inlineStr">
        <is>
          <t>2026-09-09</t>
        </is>
      </c>
    </row>
    <row r="117">
      <c r="A117" s="35" t="inlineStr">
        <is>
          <t>PARAS</t>
        </is>
      </c>
      <c r="B117" s="36" t="inlineStr">
        <is>
          <t>Paras Defence and Space Technologies Limited</t>
        </is>
      </c>
      <c r="C117" s="36" t="inlineStr">
        <is>
          <t>Industrials</t>
        </is>
      </c>
      <c r="D117" s="37" t="inlineStr">
        <is>
          <t>2026-09-09</t>
        </is>
      </c>
    </row>
    <row r="118">
      <c r="A118" s="35" t="inlineStr">
        <is>
          <t>RAMRAT</t>
        </is>
      </c>
      <c r="B118" s="36" t="inlineStr">
        <is>
          <t>Ram Ratna Wires Limited</t>
        </is>
      </c>
      <c r="C118" s="36" t="inlineStr">
        <is>
          <t>Industrials</t>
        </is>
      </c>
      <c r="D118" s="37" t="inlineStr">
        <is>
          <t>2026-09-09</t>
        </is>
      </c>
    </row>
    <row r="119">
      <c r="A119" s="35" t="inlineStr">
        <is>
          <t>RGL</t>
        </is>
      </c>
      <c r="B119" s="36" t="inlineStr">
        <is>
          <t>Renaissance Global Limited</t>
        </is>
      </c>
      <c r="C119" s="36" t="inlineStr">
        <is>
          <t>Consumer Cyclical</t>
        </is>
      </c>
      <c r="D119" s="37" t="inlineStr">
        <is>
          <t>2026-09-09</t>
        </is>
      </c>
    </row>
    <row r="120">
      <c r="A120" s="35" t="inlineStr">
        <is>
          <t>RPTECH</t>
        </is>
      </c>
      <c r="B120" s="36" t="inlineStr">
        <is>
          <t>RPTECH</t>
        </is>
      </c>
      <c r="C120" s="36" t="inlineStr">
        <is>
          <t>unknown</t>
        </is>
      </c>
      <c r="D120" s="37" t="inlineStr">
        <is>
          <t>2026-09-08</t>
        </is>
      </c>
    </row>
    <row r="121">
      <c r="A121" s="35" t="inlineStr">
        <is>
          <t>SAMBHV</t>
        </is>
      </c>
      <c r="B121" s="36" t="inlineStr">
        <is>
          <t>Sambhv Steel Tubes Limited</t>
        </is>
      </c>
      <c r="C121" s="36" t="inlineStr">
        <is>
          <t>Basic Materials</t>
        </is>
      </c>
      <c r="D121" s="37" t="inlineStr">
        <is>
          <t>2026-09-08</t>
        </is>
      </c>
    </row>
    <row r="122">
      <c r="A122" s="35" t="inlineStr">
        <is>
          <t>SHANTIGEAR</t>
        </is>
      </c>
      <c r="B122" s="36" t="inlineStr">
        <is>
          <t>Shanthi Gears Limited</t>
        </is>
      </c>
      <c r="C122" s="36" t="inlineStr">
        <is>
          <t>Industrials</t>
        </is>
      </c>
      <c r="D122" s="37" t="inlineStr">
        <is>
          <t>2026-09-09</t>
        </is>
      </c>
    </row>
    <row r="123">
      <c r="A123" s="35" t="inlineStr">
        <is>
          <t>SKIPPER</t>
        </is>
      </c>
      <c r="B123" s="36" t="inlineStr">
        <is>
          <t>Skipper Limited</t>
        </is>
      </c>
      <c r="C123" s="36" t="inlineStr">
        <is>
          <t>Industrials</t>
        </is>
      </c>
      <c r="D123" s="37" t="inlineStr">
        <is>
          <t>2026-09-09</t>
        </is>
      </c>
    </row>
    <row r="124">
      <c r="A124" s="35" t="inlineStr">
        <is>
          <t>SOLARA</t>
        </is>
      </c>
      <c r="B124" s="36" t="inlineStr">
        <is>
          <t>Solara Active Pharma Sciences Limited</t>
        </is>
      </c>
      <c r="C124" s="36" t="inlineStr">
        <is>
          <t>Healthcare</t>
        </is>
      </c>
      <c r="D124" s="37" t="inlineStr">
        <is>
          <t>2026-09-09</t>
        </is>
      </c>
    </row>
    <row r="125">
      <c r="A125" s="35" t="inlineStr">
        <is>
          <t>SPORTKING</t>
        </is>
      </c>
      <c r="B125" s="36" t="inlineStr">
        <is>
          <t>SPORTKING</t>
        </is>
      </c>
      <c r="C125" s="36" t="inlineStr">
        <is>
          <t>unknown</t>
        </is>
      </c>
      <c r="D125" s="37" t="inlineStr">
        <is>
          <t>2026-09-08</t>
        </is>
      </c>
    </row>
    <row r="126">
      <c r="A126" s="35" t="inlineStr">
        <is>
          <t>SYNCOMF</t>
        </is>
      </c>
      <c r="B126" s="36" t="inlineStr">
        <is>
          <t>Syncom Formulations (India) Limited</t>
        </is>
      </c>
      <c r="C126" s="36" t="inlineStr">
        <is>
          <t>Healthcare</t>
        </is>
      </c>
      <c r="D126" s="37" t="inlineStr">
        <is>
          <t>2026-09-09</t>
        </is>
      </c>
    </row>
    <row r="127">
      <c r="A127" s="35" t="inlineStr">
        <is>
          <t>TVSSRICHAK</t>
        </is>
      </c>
      <c r="B127" s="36" t="inlineStr">
        <is>
          <t>TVS Srichakra Limited</t>
        </is>
      </c>
      <c r="C127" s="36" t="inlineStr">
        <is>
          <t>Consumer Cyclical</t>
        </is>
      </c>
      <c r="D127" s="37" t="inlineStr">
        <is>
          <t>2026-09-09</t>
        </is>
      </c>
    </row>
    <row r="128">
      <c r="A128" s="35" t="inlineStr">
        <is>
          <t>UFLEX</t>
        </is>
      </c>
      <c r="B128" s="36" t="inlineStr">
        <is>
          <t>Uflex Limited</t>
        </is>
      </c>
      <c r="C128" s="36" t="inlineStr">
        <is>
          <t>Consumer Cyclical</t>
        </is>
      </c>
      <c r="D128" s="37" t="inlineStr">
        <is>
          <t>2026-09-09</t>
        </is>
      </c>
    </row>
    <row r="129">
      <c r="A129" s="35" t="inlineStr">
        <is>
          <t>UNIVCABLES</t>
        </is>
      </c>
      <c r="B129" s="36" t="inlineStr">
        <is>
          <t>UNIVCABLES</t>
        </is>
      </c>
      <c r="C129" s="36" t="inlineStr">
        <is>
          <t>unknown</t>
        </is>
      </c>
      <c r="D129" s="37" t="inlineStr">
        <is>
          <t>2026-09-09</t>
        </is>
      </c>
    </row>
    <row r="130">
      <c r="A130" s="35" t="inlineStr">
        <is>
          <t>WELCORP</t>
        </is>
      </c>
      <c r="B130" s="36" t="inlineStr">
        <is>
          <t>Welspun Corp Limited</t>
        </is>
      </c>
      <c r="C130" s="36" t="inlineStr">
        <is>
          <t>Basic Materials</t>
        </is>
      </c>
      <c r="D130" s="37" t="inlineStr">
        <is>
          <t>2026-09-08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CGCL</t>
        </is>
      </c>
      <c r="D2" s="30" t="inlineStr">
        <is>
          <t>Capri Global Capital Ltd</t>
        </is>
      </c>
      <c r="E2" s="30" t="inlineStr">
        <is>
          <t>financials</t>
        </is>
      </c>
      <c r="F2" s="30" t="inlineStr">
        <is>
          <t>Finance &amp; Investments - Gold Loan</t>
        </is>
      </c>
      <c r="G2" s="30" t="inlineStr">
        <is>
          <t>largecap</t>
        </is>
      </c>
      <c r="H2" s="31" t="n">
        <v>26213.88</v>
      </c>
      <c r="I2" s="31" t="n">
        <v>272.45</v>
      </c>
      <c r="J2" s="31" t="n">
        <v>0.63</v>
      </c>
      <c r="K2" s="31" t="n">
        <v>0</v>
      </c>
      <c r="L2" s="30" t="n">
        <v>51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70.05</v>
      </c>
      <c r="P2" s="31" t="n">
        <v>40.5</v>
      </c>
      <c r="Q2" s="31" t="n">
        <v>220.06</v>
      </c>
      <c r="R2" s="30" t="inlineStr">
        <is>
          <t>Near 52W High Breakout</t>
        </is>
      </c>
      <c r="S2" s="30" t="inlineStr">
        <is>
          <t>Nifty Bank</t>
        </is>
      </c>
      <c r="T2" s="31" t="n">
        <v>2.71</v>
      </c>
      <c r="U2" s="31" t="n">
        <v>46.53</v>
      </c>
      <c r="V2" s="31" t="n">
        <v>42.66</v>
      </c>
      <c r="W2" s="31" t="n">
        <v>15.09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28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PAISALO</t>
        </is>
      </c>
      <c r="D3" s="30" t="inlineStr">
        <is>
          <t>Paisalo Digital Ltd</t>
        </is>
      </c>
      <c r="E3" s="30" t="inlineStr">
        <is>
          <t>financials</t>
        </is>
      </c>
      <c r="F3" s="30" t="inlineStr">
        <is>
          <t>Finance - Capital Markets - Brokers</t>
        </is>
      </c>
      <c r="G3" s="30" t="inlineStr">
        <is>
          <t>midcap</t>
        </is>
      </c>
      <c r="H3" s="31" t="n">
        <v>7274.36</v>
      </c>
      <c r="I3" s="31" t="n">
        <v>79.98</v>
      </c>
      <c r="J3" s="31" t="n">
        <v>2.91</v>
      </c>
      <c r="K3" s="31" t="n">
        <v>0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78</v>
      </c>
      <c r="P3" s="31" t="n">
        <v>67.12</v>
      </c>
      <c r="Q3" s="31" t="n">
        <v>63.52</v>
      </c>
      <c r="R3" s="30" t="inlineStr">
        <is>
          <t>Near 52W High Breakout</t>
        </is>
      </c>
      <c r="S3" s="30" t="inlineStr">
        <is>
          <t>Nifty Bank</t>
        </is>
      </c>
      <c r="T3" s="31" t="n">
        <v>2.71</v>
      </c>
      <c r="U3" s="31" t="n">
        <v>110.63</v>
      </c>
      <c r="V3" s="31" t="n">
        <v>105.07</v>
      </c>
      <c r="W3" s="31" t="n">
        <v>28.52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21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TFCILTD</t>
        </is>
      </c>
      <c r="D4" s="30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- PSU Lending</t>
        </is>
      </c>
      <c r="G4" s="30" t="inlineStr">
        <is>
          <t>midcap</t>
        </is>
      </c>
      <c r="H4" s="31" t="n">
        <v>6611.31</v>
      </c>
      <c r="I4" s="31" t="n">
        <v>142.8</v>
      </c>
      <c r="J4" s="31" t="n">
        <v>1.36</v>
      </c>
      <c r="K4" s="31" t="n">
        <v>0</v>
      </c>
      <c r="L4" s="30" t="n">
        <v>89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84.15000000000001</v>
      </c>
      <c r="P4" s="31" t="n">
        <v>65.98999999999999</v>
      </c>
      <c r="Q4" s="31" t="n">
        <v>114.99</v>
      </c>
      <c r="R4" s="30" t="inlineStr">
        <is>
          <t>Near 52W High Breakout</t>
        </is>
      </c>
      <c r="S4" s="30" t="inlineStr">
        <is>
          <t>Nifty Bank</t>
        </is>
      </c>
      <c r="T4" s="31" t="n">
        <v>2.71</v>
      </c>
      <c r="U4" s="31" t="n">
        <v>95.48999999999999</v>
      </c>
      <c r="V4" s="31" t="n">
        <v>90.33</v>
      </c>
      <c r="W4" s="31" t="n">
        <v>37.21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above 5x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GCSL</t>
        </is>
      </c>
      <c r="D5" s="30" t="inlineStr">
        <is>
          <t>Gretex Corporate Services Ltd</t>
        </is>
      </c>
      <c r="E5" s="30" t="inlineStr">
        <is>
          <t>Financial Services</t>
        </is>
      </c>
      <c r="F5" s="30" t="inlineStr">
        <is>
          <t>Finance &amp; Investments - Others</t>
        </is>
      </c>
      <c r="G5" s="30" t="inlineStr">
        <is>
          <t>smallcap</t>
        </is>
      </c>
      <c r="H5" s="31" t="n">
        <v>1468.89</v>
      </c>
      <c r="I5" s="31" t="n">
        <v>608</v>
      </c>
      <c r="J5" s="31" t="n">
        <v>1.64</v>
      </c>
      <c r="K5" s="31" t="n">
        <v>0</v>
      </c>
      <c r="L5" s="30" t="n">
        <v>76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74.48999999999999</v>
      </c>
      <c r="P5" s="31" t="n">
        <v>34.1</v>
      </c>
      <c r="Q5" s="31" t="n">
        <v>468.47</v>
      </c>
      <c r="R5" s="30" t="inlineStr">
        <is>
          <t>Near 52W High Breakout</t>
        </is>
      </c>
      <c r="S5" s="30" t="inlineStr">
        <is>
          <t>Nifty Bank</t>
        </is>
      </c>
      <c r="T5" s="31" t="n">
        <v>2.71</v>
      </c>
      <c r="U5" s="31" t="n">
        <v>114.95</v>
      </c>
      <c r="V5" s="31" t="n">
        <v>109.28</v>
      </c>
      <c r="W5" s="31" t="n">
        <v>25.3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20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ALEMBICLTD</t>
        </is>
      </c>
      <c r="D6" s="30" t="inlineStr">
        <is>
          <t>Alembic Ltd</t>
        </is>
      </c>
      <c r="E6" s="30" t="inlineStr">
        <is>
          <t>realty</t>
        </is>
      </c>
      <c r="F6" s="30" t="inlineStr">
        <is>
          <t>Finance - Holding Company</t>
        </is>
      </c>
      <c r="G6" s="30" t="inlineStr">
        <is>
          <t>smallcap</t>
        </is>
      </c>
      <c r="H6" s="31" t="n">
        <v>2747.57</v>
      </c>
      <c r="I6" s="31" t="n">
        <v>107</v>
      </c>
      <c r="J6" s="31" t="n">
        <v>-2.49</v>
      </c>
      <c r="K6" s="31" t="n">
        <v>0</v>
      </c>
      <c r="L6" s="30" t="n">
        <v>13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65.94</v>
      </c>
      <c r="P6" s="31" t="n">
        <v>17.05</v>
      </c>
      <c r="Q6" s="31" t="n">
        <v>90.06</v>
      </c>
      <c r="R6" s="30" t="inlineStr">
        <is>
          <t>Near 52W High Breakout</t>
        </is>
      </c>
      <c r="S6" s="30" t="inlineStr">
        <is>
          <t>Nifty Realty</t>
        </is>
      </c>
      <c r="T6" s="31" t="n">
        <v>-8.25</v>
      </c>
      <c r="U6" s="31" t="n">
        <v>-2.46</v>
      </c>
      <c r="V6" s="31" t="n">
        <v>6.31</v>
      </c>
      <c r="W6" s="31" t="n">
        <v>4.09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0 to 20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23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OFSS</t>
        </is>
      </c>
      <c r="D7" s="30" t="inlineStr">
        <is>
          <t>Oracle Financial Services Software Ltd</t>
        </is>
      </c>
      <c r="E7" s="30" t="inlineStr">
        <is>
          <t>Technology</t>
        </is>
      </c>
      <c r="F7" s="30" t="inlineStr">
        <is>
          <t>IT Product Companies</t>
        </is>
      </c>
      <c r="G7" s="30" t="inlineStr">
        <is>
          <t>largecap</t>
        </is>
      </c>
      <c r="H7" s="31" t="n">
        <v>101277.68</v>
      </c>
      <c r="I7" s="31" t="n">
        <v>11630</v>
      </c>
      <c r="J7" s="31" t="n">
        <v>-1.27</v>
      </c>
      <c r="K7" s="31" t="n">
        <v>0</v>
      </c>
      <c r="L7" s="30" t="n">
        <v>48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63.31</v>
      </c>
      <c r="P7" s="31" t="n">
        <v>27.85</v>
      </c>
      <c r="Q7" s="31" t="n">
        <v>9906.049999999999</v>
      </c>
      <c r="R7" s="30" t="inlineStr">
        <is>
          <t>Near 52W High Breakout</t>
        </is>
      </c>
      <c r="S7" s="30" t="inlineStr">
        <is>
          <t>Nifty IT</t>
        </is>
      </c>
      <c r="T7" s="31" t="n">
        <v>-19.93</v>
      </c>
      <c r="U7" s="31" t="n">
        <v>35.3</v>
      </c>
      <c r="V7" s="31" t="n">
        <v>68.98</v>
      </c>
      <c r="W7" s="31" t="n">
        <v>13.69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19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2026-09-09T14:41:02Z</dcterms:created>
  <dcterms:modified xmlns:dcterms="http://purl.org/dc/terms/" xmlns:xsi="http://www.w3.org/2001/XMLSchema-instance" xsi:type="dcterms:W3CDTF">2026-09-09T14:42:32Z</dcterms:modified>
</cp:coreProperties>
</file>