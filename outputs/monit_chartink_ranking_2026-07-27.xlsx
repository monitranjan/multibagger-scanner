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Universe'!$A$1:$J$358</definedName>
    <definedName name="_xlnm._FilterDatabase" localSheetId="3" hidden="1">'Confluence Overlap'!$A$1:$K$93</definedName>
    <definedName name="_xlnm._FilterDatabase" localSheetId="4" hidden="1">'Monit Non Financial'!$A$1:$CE$308</definedName>
    <definedName name="_xlnm._FilterDatabase" localSheetId="5" hidden="1">'Monit Banks NBFC'!$A$1:$CA$51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Financial'!$A$1:$CG$86</definedName>
    <definedName name="_xlnm._FilterDatabase" localSheetId="9" hidden="1">'Scan Match Banks NBFC'!$A$1:$CC$16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27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42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522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72</v>
      </c>
      <c r="G6" s="19" t="n">
        <v>42124.73</v>
      </c>
      <c r="H6" s="18" t="inlineStr">
        <is>
          <t>Potential Leader</t>
        </is>
      </c>
      <c r="J6" s="18" t="inlineStr">
        <is>
          <t>plastic products</t>
        </is>
      </c>
      <c r="K6" s="16" t="n">
        <v>26</v>
      </c>
      <c r="L6" s="16" t="n">
        <v>8</v>
      </c>
      <c r="M6" s="20" t="inlineStr">
        <is>
          <t>225.0%</t>
        </is>
      </c>
    </row>
    <row r="7">
      <c r="A7" s="16" t="n">
        <v>2</v>
      </c>
      <c r="B7" s="17" t="n">
        <v>516</v>
      </c>
      <c r="C7" s="17" t="inlineStr">
        <is>
          <t>STYLAMIND</t>
        </is>
      </c>
      <c r="D7" s="18" t="inlineStr">
        <is>
          <t>Stylam Industries Ltd</t>
        </is>
      </c>
      <c r="E7" s="18" t="inlineStr">
        <is>
          <t>building materials</t>
        </is>
      </c>
      <c r="F7" s="16" t="n">
        <v>71</v>
      </c>
      <c r="G7" s="19" t="n">
        <v>5790.81</v>
      </c>
      <c r="H7" s="18" t="inlineStr">
        <is>
          <t>Potential Leader</t>
        </is>
      </c>
      <c r="J7" s="18" t="inlineStr">
        <is>
          <t>energy</t>
        </is>
      </c>
      <c r="K7" s="16" t="n">
        <v>44</v>
      </c>
      <c r="L7" s="16" t="n">
        <v>26</v>
      </c>
      <c r="M7" s="20" t="inlineStr">
        <is>
          <t>69.2%</t>
        </is>
      </c>
    </row>
    <row r="8">
      <c r="A8" s="16" t="n">
        <v>3</v>
      </c>
      <c r="B8" s="17" t="n">
        <v>414</v>
      </c>
      <c r="C8" s="17" t="inlineStr">
        <is>
          <t>BLSE</t>
        </is>
      </c>
      <c r="D8" s="18" t="inlineStr">
        <is>
          <t>BLS E-Services Ltd</t>
        </is>
      </c>
      <c r="E8" s="18" t="inlineStr">
        <is>
          <t>i.t</t>
        </is>
      </c>
      <c r="F8" s="16" t="n">
        <v>54</v>
      </c>
      <c r="G8" s="19" t="n">
        <v>2565.06</v>
      </c>
      <c r="H8" s="18" t="inlineStr">
        <is>
          <t>Potential Leader</t>
        </is>
      </c>
      <c r="J8" s="18" t="inlineStr">
        <is>
          <t>chemicals</t>
        </is>
      </c>
      <c r="K8" s="16" t="n">
        <v>122</v>
      </c>
      <c r="L8" s="16" t="n">
        <v>110</v>
      </c>
      <c r="M8" s="20" t="inlineStr">
        <is>
          <t>10.9%</t>
        </is>
      </c>
    </row>
    <row r="9">
      <c r="A9" s="16" t="n">
        <v>4</v>
      </c>
      <c r="B9" s="17" t="n">
        <v>408</v>
      </c>
      <c r="C9" s="17" t="inlineStr">
        <is>
          <t>LAURUSLABS</t>
        </is>
      </c>
      <c r="D9" s="18" t="inlineStr">
        <is>
          <t>Laurus Labs Limited</t>
        </is>
      </c>
      <c r="E9" s="18" t="inlineStr">
        <is>
          <t>healthcare</t>
        </is>
      </c>
      <c r="F9" s="16" t="n">
        <v>53</v>
      </c>
      <c r="G9" s="19" t="n">
        <v>86504.75999999999</v>
      </c>
      <c r="H9" s="18" t="inlineStr">
        <is>
          <t>Potential Leader</t>
        </is>
      </c>
      <c r="J9" s="18" t="inlineStr">
        <is>
          <t>media</t>
        </is>
      </c>
      <c r="K9" s="16" t="n">
        <v>13</v>
      </c>
      <c r="L9" s="16" t="n">
        <v>12</v>
      </c>
      <c r="M9" s="20" t="inlineStr">
        <is>
          <t>8.3%</t>
        </is>
      </c>
    </row>
    <row r="10">
      <c r="A10" s="16" t="n">
        <v>5</v>
      </c>
      <c r="B10" s="17" t="n">
        <v>360</v>
      </c>
      <c r="C10" s="17" t="inlineStr">
        <is>
          <t>PAISALO</t>
        </is>
      </c>
      <c r="D10" s="18" t="inlineStr">
        <is>
          <t>Paisalo Digital Ltd</t>
        </is>
      </c>
      <c r="E10" s="18" t="inlineStr">
        <is>
          <t>financials</t>
        </is>
      </c>
      <c r="F10" s="16" t="n">
        <v>45</v>
      </c>
      <c r="G10" s="19" t="n">
        <v>6382.12</v>
      </c>
      <c r="H10" s="18" t="inlineStr">
        <is>
          <t>Potential Leader</t>
        </is>
      </c>
      <c r="J10" s="18" t="inlineStr">
        <is>
          <t>textiles</t>
        </is>
      </c>
      <c r="K10" s="16" t="n">
        <v>75</v>
      </c>
      <c r="L10" s="16" t="n">
        <v>75</v>
      </c>
      <c r="M10" s="20" t="inlineStr">
        <is>
          <t>0.0%</t>
        </is>
      </c>
    </row>
    <row r="11">
      <c r="A11" s="16" t="n">
        <v>6</v>
      </c>
      <c r="B11" s="17" t="n">
        <v>348</v>
      </c>
      <c r="C11" s="17" t="inlineStr">
        <is>
          <t>RPEL</t>
        </is>
      </c>
      <c r="D11" s="18" t="inlineStr">
        <is>
          <t>Raghav Productivity Enhancers Ltd</t>
        </is>
      </c>
      <c r="E11" s="18" t="inlineStr">
        <is>
          <t>building materials</t>
        </is>
      </c>
      <c r="F11" s="16" t="n">
        <v>43</v>
      </c>
      <c r="G11" s="19" t="n">
        <v>5984.55</v>
      </c>
      <c r="H11" s="18" t="inlineStr">
        <is>
          <t>Potential Leader</t>
        </is>
      </c>
      <c r="J11" s="18" t="inlineStr">
        <is>
          <t>building materials</t>
        </is>
      </c>
      <c r="K11" s="16" t="n">
        <v>66</v>
      </c>
      <c r="L11" s="16" t="n">
        <v>69</v>
      </c>
      <c r="M11" s="21" t="inlineStr">
        <is>
          <t>-4.3%</t>
        </is>
      </c>
    </row>
    <row r="12">
      <c r="A12" s="16" t="n">
        <v>7</v>
      </c>
      <c r="B12" s="17" t="n">
        <v>342</v>
      </c>
      <c r="C12" s="17" t="inlineStr">
        <is>
          <t>YASHO</t>
        </is>
      </c>
      <c r="D12" s="18" t="inlineStr">
        <is>
          <t>Yasho Industries Ltd</t>
        </is>
      </c>
      <c r="E12" s="18" t="inlineStr">
        <is>
          <t>chemicals</t>
        </is>
      </c>
      <c r="F12" s="16" t="n">
        <v>42</v>
      </c>
      <c r="G12" s="19" t="n">
        <v>3702.43</v>
      </c>
      <c r="H12" s="18" t="inlineStr">
        <is>
          <t>Potential Leader</t>
        </is>
      </c>
      <c r="J12" s="18" t="inlineStr">
        <is>
          <t>telecom</t>
        </is>
      </c>
      <c r="K12" s="16" t="n">
        <v>14</v>
      </c>
      <c r="L12" s="16" t="n">
        <v>16</v>
      </c>
      <c r="M12" s="21" t="inlineStr">
        <is>
          <t>-12.5%</t>
        </is>
      </c>
    </row>
    <row r="13">
      <c r="A13" s="16" t="n">
        <v>8</v>
      </c>
      <c r="B13" s="17" t="n">
        <v>336</v>
      </c>
      <c r="C13" s="17" t="inlineStr">
        <is>
          <t>ASTRAMICRO</t>
        </is>
      </c>
      <c r="D13" s="18" t="inlineStr">
        <is>
          <t>Astra Microwave Products Limited</t>
        </is>
      </c>
      <c r="E13" s="18" t="inlineStr">
        <is>
          <t>aerospace &amp; defence</t>
        </is>
      </c>
      <c r="F13" s="16" t="n">
        <v>41</v>
      </c>
      <c r="G13" s="19" t="n">
        <v>17217.33</v>
      </c>
      <c r="H13" s="18" t="inlineStr">
        <is>
          <t>Potential Leader</t>
        </is>
      </c>
      <c r="J13" s="18" t="inlineStr">
        <is>
          <t>bank</t>
        </is>
      </c>
      <c r="K13" s="16" t="n">
        <v>73</v>
      </c>
      <c r="L13" s="16" t="n">
        <v>84</v>
      </c>
      <c r="M13" s="21" t="inlineStr">
        <is>
          <t>-13.1%</t>
        </is>
      </c>
    </row>
    <row r="14">
      <c r="A14" s="16" t="n">
        <v>9</v>
      </c>
      <c r="B14" s="17" t="n">
        <v>336</v>
      </c>
      <c r="C14" s="17" t="inlineStr">
        <is>
          <t>CUPID</t>
        </is>
      </c>
      <c r="D14" s="18" t="inlineStr">
        <is>
          <t>Cupid Limited</t>
        </is>
      </c>
      <c r="E14" s="18" t="inlineStr">
        <is>
          <t>fmcg</t>
        </is>
      </c>
      <c r="F14" s="16" t="n">
        <v>41</v>
      </c>
      <c r="G14" s="19" t="n">
        <v>28699.09</v>
      </c>
      <c r="H14" s="18" t="inlineStr">
        <is>
          <t>Potential Leader</t>
        </is>
      </c>
      <c r="J14" s="18" t="inlineStr">
        <is>
          <t>i.t</t>
        </is>
      </c>
      <c r="K14" s="16" t="n">
        <v>66</v>
      </c>
      <c r="L14" s="16" t="n">
        <v>76</v>
      </c>
      <c r="M14" s="21" t="inlineStr">
        <is>
          <t>-13.2%</t>
        </is>
      </c>
    </row>
    <row r="15">
      <c r="A15" s="16" t="n">
        <v>10</v>
      </c>
      <c r="B15" s="17" t="n">
        <v>330</v>
      </c>
      <c r="C15" s="17" t="inlineStr">
        <is>
          <t>PGHL</t>
        </is>
      </c>
      <c r="D15" s="18" t="inlineStr">
        <is>
          <t>Procter &amp; Gamble Health Ltd</t>
        </is>
      </c>
      <c r="E15" s="18" t="inlineStr">
        <is>
          <t>healthcare</t>
        </is>
      </c>
      <c r="F15" s="16" t="n">
        <v>40</v>
      </c>
      <c r="G15" s="19" t="n">
        <v>11144.83</v>
      </c>
      <c r="H15" s="18" t="inlineStr">
        <is>
          <t>Potential Leader</t>
        </is>
      </c>
      <c r="J15" s="18" t="inlineStr">
        <is>
          <t>transportation</t>
        </is>
      </c>
      <c r="K15" s="16" t="n">
        <v>35</v>
      </c>
      <c r="L15" s="16" t="n">
        <v>41</v>
      </c>
      <c r="M15" s="21" t="inlineStr">
        <is>
          <t>-14.6%</t>
        </is>
      </c>
    </row>
    <row r="16">
      <c r="A16" s="16" t="n">
        <v>11</v>
      </c>
      <c r="B16" s="17" t="n">
        <v>324</v>
      </c>
      <c r="C16" s="17" t="inlineStr">
        <is>
          <t>IBULLSLTD</t>
        </is>
      </c>
      <c r="D16" s="18" t="inlineStr">
        <is>
          <t>Indiabulls Limited</t>
        </is>
      </c>
      <c r="E16" s="18" t="inlineStr">
        <is>
          <t>miscellaneous</t>
        </is>
      </c>
      <c r="F16" s="16" t="n">
        <v>39</v>
      </c>
      <c r="G16" s="19" t="n">
        <v>7112.1</v>
      </c>
      <c r="H16" s="18" t="inlineStr">
        <is>
          <t>Potential Leader</t>
        </is>
      </c>
      <c r="J16" s="18" t="inlineStr">
        <is>
          <t>auto</t>
        </is>
      </c>
      <c r="K16" s="16" t="n">
        <v>135</v>
      </c>
      <c r="L16" s="16" t="n">
        <v>162</v>
      </c>
      <c r="M16" s="21" t="inlineStr">
        <is>
          <t>-16.7%</t>
        </is>
      </c>
    </row>
    <row r="17">
      <c r="A17" s="16" t="n">
        <v>12</v>
      </c>
      <c r="B17" s="17" t="n">
        <v>318</v>
      </c>
      <c r="C17" s="17" t="inlineStr">
        <is>
          <t>HESTERBIO</t>
        </is>
      </c>
      <c r="D17" s="18" t="inlineStr">
        <is>
          <t>Hester Biosciences Limited</t>
        </is>
      </c>
      <c r="E17" s="18" t="inlineStr">
        <is>
          <t>healthcare</t>
        </is>
      </c>
      <c r="F17" s="16" t="n">
        <v>38</v>
      </c>
      <c r="G17" s="19" t="n">
        <v>2013.92</v>
      </c>
      <c r="H17" s="18" t="inlineStr">
        <is>
          <t>Potential Leader</t>
        </is>
      </c>
      <c r="J17" s="18" t="inlineStr">
        <is>
          <t>fmcg</t>
        </is>
      </c>
      <c r="K17" s="16" t="n">
        <v>89</v>
      </c>
      <c r="L17" s="16" t="n">
        <v>109</v>
      </c>
      <c r="M17" s="21" t="inlineStr">
        <is>
          <t>-18.3%</t>
        </is>
      </c>
    </row>
    <row r="18">
      <c r="A18" s="16" t="n">
        <v>13</v>
      </c>
      <c r="B18" s="17" t="n">
        <v>318</v>
      </c>
      <c r="C18" s="17" t="inlineStr">
        <is>
          <t>RUBYMILLS</t>
        </is>
      </c>
      <c r="D18" s="18" t="inlineStr">
        <is>
          <t>The Ruby Mills Limited</t>
        </is>
      </c>
      <c r="E18" s="18" t="inlineStr">
        <is>
          <t>textiles</t>
        </is>
      </c>
      <c r="F18" s="16" t="n">
        <v>38</v>
      </c>
      <c r="G18" s="19" t="n">
        <v>1362.18</v>
      </c>
      <c r="H18" s="18" t="inlineStr">
        <is>
          <t>Potential Leader</t>
        </is>
      </c>
      <c r="J18" s="18" t="inlineStr">
        <is>
          <t>miscellaneous</t>
        </is>
      </c>
      <c r="K18" s="16" t="n">
        <v>42</v>
      </c>
      <c r="L18" s="16" t="n">
        <v>54</v>
      </c>
      <c r="M18" s="21" t="inlineStr">
        <is>
          <t>-22.2%</t>
        </is>
      </c>
    </row>
    <row r="19">
      <c r="A19" s="16" t="n">
        <v>14</v>
      </c>
      <c r="B19" s="17" t="n">
        <v>306</v>
      </c>
      <c r="C19" s="17" t="inlineStr">
        <is>
          <t>SKMEGGPROD</t>
        </is>
      </c>
      <c r="D19" s="18" t="inlineStr">
        <is>
          <t>Skm Egg Products Export (india) Limited</t>
        </is>
      </c>
      <c r="E19" s="18" t="inlineStr">
        <is>
          <t>fmcg</t>
        </is>
      </c>
      <c r="F19" s="16" t="n">
        <v>36</v>
      </c>
      <c r="G19" s="19" t="n">
        <v>1710.13</v>
      </c>
      <c r="H19" s="18" t="inlineStr">
        <is>
          <t>Potential Leader</t>
        </is>
      </c>
      <c r="J19" s="18" t="inlineStr">
        <is>
          <t>metals &amp; mining</t>
        </is>
      </c>
      <c r="K19" s="16" t="n">
        <v>56</v>
      </c>
      <c r="L19" s="16" t="n">
        <v>73</v>
      </c>
      <c r="M19" s="21" t="inlineStr">
        <is>
          <t>-23.3%</t>
        </is>
      </c>
    </row>
    <row r="20">
      <c r="A20" s="16" t="n">
        <v>15</v>
      </c>
      <c r="B20" s="17" t="n">
        <v>306</v>
      </c>
      <c r="C20" s="17" t="inlineStr">
        <is>
          <t>SPECTRUM</t>
        </is>
      </c>
      <c r="D20" s="18" t="inlineStr">
        <is>
          <t>Spectrum Electrical Industries Ltd</t>
        </is>
      </c>
      <c r="E20" s="18" t="inlineStr">
        <is>
          <t>industrials</t>
        </is>
      </c>
      <c r="F20" s="16" t="n">
        <v>36</v>
      </c>
      <c r="G20" s="19" t="n">
        <v>3585.27</v>
      </c>
      <c r="H20" s="18" t="inlineStr">
        <is>
          <t>Potential Leader</t>
        </is>
      </c>
      <c r="J20" s="18" t="inlineStr">
        <is>
          <t>financials</t>
        </is>
      </c>
      <c r="K20" s="16" t="n">
        <v>152</v>
      </c>
      <c r="L20" s="16" t="n">
        <v>199</v>
      </c>
      <c r="M20" s="21" t="inlineStr">
        <is>
          <t>-23.6%</t>
        </is>
      </c>
    </row>
    <row r="21">
      <c r="A21" s="16" t="n">
        <v>16</v>
      </c>
      <c r="B21" s="17" t="n">
        <v>294</v>
      </c>
      <c r="C21" s="17" t="inlineStr">
        <is>
          <t>INDSWFTLAB</t>
        </is>
      </c>
      <c r="D21" s="18" t="inlineStr">
        <is>
          <t>Ind-swift Laboratories Limited</t>
        </is>
      </c>
      <c r="E21" s="18" t="inlineStr">
        <is>
          <t>healthcare</t>
        </is>
      </c>
      <c r="F21" s="16" t="n">
        <v>34</v>
      </c>
      <c r="G21" s="19" t="n">
        <v>1978.29</v>
      </c>
      <c r="H21" s="18" t="inlineStr">
        <is>
          <t>Potential Leader</t>
        </is>
      </c>
    </row>
    <row r="22">
      <c r="A22" s="16" t="n">
        <v>17</v>
      </c>
      <c r="B22" s="17" t="n">
        <v>294</v>
      </c>
      <c r="C22" s="17" t="inlineStr">
        <is>
          <t>THANGAMAYL</t>
        </is>
      </c>
      <c r="D22" s="18" t="inlineStr">
        <is>
          <t>Thangamayil Jewellery Limited</t>
        </is>
      </c>
      <c r="E22" s="18" t="inlineStr">
        <is>
          <t>consumer discretionary</t>
        </is>
      </c>
      <c r="F22" s="16" t="n">
        <v>34</v>
      </c>
      <c r="G22" s="19" t="n">
        <v>21466.8</v>
      </c>
      <c r="H22" s="18" t="inlineStr">
        <is>
          <t>Potential Leader</t>
        </is>
      </c>
    </row>
    <row r="23">
      <c r="A23" s="16" t="n">
        <v>18</v>
      </c>
      <c r="B23" s="17" t="n">
        <v>276</v>
      </c>
      <c r="C23" s="17" t="inlineStr">
        <is>
          <t>VADILALIND</t>
        </is>
      </c>
      <c r="D23" s="18" t="inlineStr">
        <is>
          <t>Vadilal Industries Limited</t>
        </is>
      </c>
      <c r="E23" s="18" t="inlineStr">
        <is>
          <t>fmcg</t>
        </is>
      </c>
      <c r="F23" s="16" t="n">
        <v>31</v>
      </c>
      <c r="G23" s="19" t="n">
        <v>4823.39</v>
      </c>
      <c r="H23" s="18" t="inlineStr">
        <is>
          <t>Potential Leader</t>
        </is>
      </c>
    </row>
    <row r="24">
      <c r="A24" s="16" t="n">
        <v>19</v>
      </c>
      <c r="B24" s="17" t="n">
        <v>270</v>
      </c>
      <c r="C24" s="17" t="inlineStr">
        <is>
          <t>FEDERALBNK</t>
        </is>
      </c>
      <c r="D24" s="18" t="inlineStr">
        <is>
          <t>The Federal Bank  Limited</t>
        </is>
      </c>
      <c r="E24" s="18" t="inlineStr">
        <is>
          <t>bank</t>
        </is>
      </c>
      <c r="F24" s="16" t="n">
        <v>30</v>
      </c>
      <c r="G24" s="19" t="n">
        <v>87442.62</v>
      </c>
      <c r="H24" s="18" t="inlineStr">
        <is>
          <t>Potential Leader</t>
        </is>
      </c>
    </row>
    <row r="25">
      <c r="A25" s="16" t="n">
        <v>20</v>
      </c>
      <c r="B25" s="17" t="n">
        <v>261</v>
      </c>
      <c r="C25" s="17" t="inlineStr">
        <is>
          <t>AKUMS</t>
        </is>
      </c>
      <c r="D25" s="18" t="inlineStr">
        <is>
          <t>Akums Drugs &amp; Pharmaceuticals Ltd</t>
        </is>
      </c>
      <c r="E25" s="18" t="inlineStr">
        <is>
          <t>healthcare</t>
        </is>
      </c>
      <c r="F25" s="16" t="n">
        <v>29</v>
      </c>
      <c r="G25" s="19" t="n">
        <v>10817.69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SUNDRMFAST</t>
        </is>
      </c>
      <c r="B30" s="18" t="inlineStr">
        <is>
          <t>Sundram Fasteners Limited</t>
        </is>
      </c>
      <c r="C30" s="18" t="inlineStr">
        <is>
          <t>auto</t>
        </is>
      </c>
      <c r="D30" s="16" t="n">
        <v>10</v>
      </c>
      <c r="E30" s="16" t="n">
        <v>2</v>
      </c>
      <c r="F30" s="19" t="n">
        <v>19764.67</v>
      </c>
      <c r="J30" s="17" t="inlineStr">
        <is>
          <t>APOLLOPIPE</t>
        </is>
      </c>
      <c r="K30" s="18" t="inlineStr">
        <is>
          <t>plastic products</t>
        </is>
      </c>
      <c r="L30" s="19" t="n">
        <v>240</v>
      </c>
      <c r="M30" s="19" t="n">
        <v>2159.68</v>
      </c>
      <c r="N30" s="16" t="n">
        <v>2</v>
      </c>
    </row>
    <row r="31">
      <c r="A31" s="17" t="inlineStr">
        <is>
          <t>KABRAEXTRU</t>
        </is>
      </c>
      <c r="B31" s="18" t="inlineStr">
        <is>
          <t>Kabra Extrusion Technik Limited</t>
        </is>
      </c>
      <c r="C31" s="18" t="inlineStr">
        <is>
          <t>industrials</t>
        </is>
      </c>
      <c r="D31" s="16" t="n">
        <v>8</v>
      </c>
      <c r="E31" s="16" t="n">
        <v>0</v>
      </c>
      <c r="F31" s="19" t="n">
        <v>1317.78</v>
      </c>
      <c r="J31" s="17" t="inlineStr">
        <is>
          <t>ARMANFIN</t>
        </is>
      </c>
      <c r="K31" s="18" t="inlineStr">
        <is>
          <t>financials</t>
        </is>
      </c>
      <c r="L31" s="19" t="n">
        <v>235</v>
      </c>
      <c r="M31" s="19" t="n">
        <v>2016</v>
      </c>
      <c r="N31" s="16" t="n">
        <v>9</v>
      </c>
    </row>
    <row r="32">
      <c r="A32" s="17" t="inlineStr">
        <is>
          <t>CARTRADE</t>
        </is>
      </c>
      <c r="B32" s="18" t="inlineStr">
        <is>
          <t>Cartrade Tech Ltd</t>
        </is>
      </c>
      <c r="C32" s="18" t="inlineStr">
        <is>
          <t>consumer discretionary</t>
        </is>
      </c>
      <c r="D32" s="16" t="n">
        <v>8</v>
      </c>
      <c r="E32" s="16" t="n">
        <v>2</v>
      </c>
      <c r="F32" s="19" t="n">
        <v>12756.84</v>
      </c>
      <c r="J32" s="17" t="inlineStr">
        <is>
          <t>APCOTEXIND</t>
        </is>
      </c>
      <c r="K32" s="18" t="inlineStr">
        <is>
          <t>chemicals</t>
        </is>
      </c>
      <c r="L32" s="19" t="n">
        <v>232</v>
      </c>
      <c r="M32" s="19" t="n">
        <v>2908.76</v>
      </c>
      <c r="N32" s="16" t="n">
        <v>25</v>
      </c>
    </row>
    <row r="33">
      <c r="A33" s="17" t="inlineStr">
        <is>
          <t>QUESS</t>
        </is>
      </c>
      <c r="B33" s="18" t="inlineStr">
        <is>
          <t>Quess Corp Limited</t>
        </is>
      </c>
      <c r="C33" s="18" t="inlineStr">
        <is>
          <t>miscellaneous</t>
        </is>
      </c>
      <c r="D33" s="16" t="n">
        <v>8</v>
      </c>
      <c r="E33" s="16" t="n">
        <v>0</v>
      </c>
      <c r="F33" s="19" t="n">
        <v>4412.09</v>
      </c>
      <c r="J33" s="17" t="inlineStr">
        <is>
          <t>SCPL</t>
        </is>
      </c>
      <c r="K33" s="18" t="inlineStr">
        <is>
          <t>fmcg</t>
        </is>
      </c>
      <c r="L33" s="19" t="n">
        <v>230</v>
      </c>
      <c r="M33" s="19" t="n">
        <v>599.39</v>
      </c>
      <c r="N33" s="16" t="n">
        <v>15</v>
      </c>
    </row>
    <row r="34">
      <c r="A34" s="17" t="inlineStr">
        <is>
          <t>NELCO</t>
        </is>
      </c>
      <c r="B34" s="18" t="inlineStr">
        <is>
          <t>Nelco Limited</t>
        </is>
      </c>
      <c r="C34" s="18" t="inlineStr">
        <is>
          <t>telecom</t>
        </is>
      </c>
      <c r="D34" s="16" t="n">
        <v>8</v>
      </c>
      <c r="E34" s="16" t="n">
        <v>1</v>
      </c>
      <c r="F34" s="19" t="n">
        <v>2128.5</v>
      </c>
      <c r="J34" s="17" t="inlineStr">
        <is>
          <t>TMB</t>
        </is>
      </c>
      <c r="K34" s="18" t="inlineStr">
        <is>
          <t>bank</t>
        </is>
      </c>
      <c r="L34" s="19" t="n">
        <v>227</v>
      </c>
      <c r="M34" s="19" t="n">
        <v>12739.37</v>
      </c>
      <c r="N34" s="16" t="n">
        <v>25</v>
      </c>
    </row>
    <row r="35">
      <c r="A35" s="17" t="inlineStr">
        <is>
          <t>5PAISA</t>
        </is>
      </c>
      <c r="B35" s="18" t="inlineStr">
        <is>
          <t>5paisa Capital Limited</t>
        </is>
      </c>
      <c r="C35" s="18" t="inlineStr">
        <is>
          <t>Financial Services</t>
        </is>
      </c>
      <c r="D35" s="16" t="n">
        <v>7</v>
      </c>
      <c r="E35" s="16" t="n">
        <v>2</v>
      </c>
      <c r="F35" s="19" t="n">
        <v>1731.02</v>
      </c>
      <c r="J35" s="17" t="inlineStr">
        <is>
          <t>CREDITACC</t>
        </is>
      </c>
      <c r="K35" s="18" t="inlineStr">
        <is>
          <t>financials</t>
        </is>
      </c>
      <c r="L35" s="19" t="n">
        <v>227</v>
      </c>
      <c r="M35" s="19" t="n">
        <v>24320.99</v>
      </c>
      <c r="N35" s="16" t="n">
        <v>17</v>
      </c>
    </row>
    <row r="36">
      <c r="A36" s="17" t="inlineStr">
        <is>
          <t>TTKPRESTIG</t>
        </is>
      </c>
      <c r="B36" s="18" t="inlineStr">
        <is>
          <t>Ttk Prestige Limited</t>
        </is>
      </c>
      <c r="C36" s="18" t="inlineStr">
        <is>
          <t>consumer discretionary</t>
        </is>
      </c>
      <c r="D36" s="16" t="n">
        <v>7</v>
      </c>
      <c r="E36" s="16" t="n">
        <v>0</v>
      </c>
      <c r="F36" s="19" t="n">
        <v>8810.74</v>
      </c>
      <c r="J36" s="17" t="inlineStr">
        <is>
          <t>IBULLSLTD</t>
        </is>
      </c>
      <c r="K36" s="18" t="inlineStr">
        <is>
          <t>miscellaneous</t>
        </is>
      </c>
      <c r="L36" s="19" t="n">
        <v>225</v>
      </c>
      <c r="M36" s="19" t="n">
        <v>7112.1</v>
      </c>
      <c r="N36" s="16" t="n">
        <v>30</v>
      </c>
    </row>
    <row r="37">
      <c r="A37" s="17" t="inlineStr">
        <is>
          <t>SHAREINDIA</t>
        </is>
      </c>
      <c r="B37" s="18" t="inlineStr">
        <is>
          <t>Share India Securities Ltd</t>
        </is>
      </c>
      <c r="C37" s="18" t="inlineStr">
        <is>
          <t>financials</t>
        </is>
      </c>
      <c r="D37" s="16" t="n">
        <v>6</v>
      </c>
      <c r="E37" s="16" t="n">
        <v>0</v>
      </c>
      <c r="F37" s="19" t="n">
        <v>4192.04</v>
      </c>
      <c r="J37" s="17" t="inlineStr">
        <is>
          <t>MANBA</t>
        </is>
      </c>
      <c r="K37" s="18" t="inlineStr">
        <is>
          <t>financials</t>
        </is>
      </c>
      <c r="L37" s="19" t="n">
        <v>225</v>
      </c>
      <c r="M37" s="19" t="n">
        <v>694.36</v>
      </c>
      <c r="N37" s="16" t="n">
        <v>17</v>
      </c>
    </row>
    <row r="38">
      <c r="A38" s="17" t="inlineStr">
        <is>
          <t>BHARTIHEXA</t>
        </is>
      </c>
      <c r="B38" s="18" t="inlineStr">
        <is>
          <t>Bharti Hexacom Ltd</t>
        </is>
      </c>
      <c r="C38" s="18" t="inlineStr">
        <is>
          <t>telecom-service</t>
        </is>
      </c>
      <c r="D38" s="16" t="n">
        <v>6</v>
      </c>
      <c r="E38" s="16" t="n">
        <v>0</v>
      </c>
      <c r="F38" s="19" t="n">
        <v>80380</v>
      </c>
      <c r="J38" s="17" t="inlineStr">
        <is>
          <t>KTKBANK</t>
        </is>
      </c>
      <c r="K38" s="18" t="inlineStr">
        <is>
          <t>bank</t>
        </is>
      </c>
      <c r="L38" s="19" t="n">
        <v>225</v>
      </c>
      <c r="M38" s="19" t="n">
        <v>10578.35</v>
      </c>
      <c r="N38" s="16" t="n">
        <v>18</v>
      </c>
    </row>
    <row r="39">
      <c r="A39" s="17" t="inlineStr">
        <is>
          <t>SREEL</t>
        </is>
      </c>
      <c r="B39" s="18" t="inlineStr">
        <is>
          <t>Sreeleathers Limited</t>
        </is>
      </c>
      <c r="C39" s="18" t="inlineStr">
        <is>
          <t>consumer discretionary</t>
        </is>
      </c>
      <c r="D39" s="16" t="n">
        <v>6</v>
      </c>
      <c r="E39" s="16" t="n">
        <v>1</v>
      </c>
      <c r="F39" s="19" t="n">
        <v>527.86</v>
      </c>
      <c r="J39" s="17" t="inlineStr">
        <is>
          <t>PRICOLLTD</t>
        </is>
      </c>
      <c r="K39" s="18" t="inlineStr">
        <is>
          <t>auto</t>
        </is>
      </c>
      <c r="L39" s="19" t="n">
        <v>225</v>
      </c>
      <c r="M39" s="19" t="n">
        <v>7662.69</v>
      </c>
      <c r="N39" s="16" t="n">
        <v>11</v>
      </c>
    </row>
    <row r="40">
      <c r="A40" s="17" t="inlineStr">
        <is>
          <t>TCPLPACK</t>
        </is>
      </c>
      <c r="B40" s="18" t="inlineStr">
        <is>
          <t>TCPL Packaging Ltd</t>
        </is>
      </c>
      <c r="C40" s="18" t="inlineStr">
        <is>
          <t>industrials</t>
        </is>
      </c>
      <c r="D40" s="16" t="n">
        <v>6</v>
      </c>
      <c r="E40" s="16" t="n">
        <v>0</v>
      </c>
      <c r="F40" s="19" t="n">
        <v>2936.12</v>
      </c>
      <c r="J40" s="17" t="inlineStr">
        <is>
          <t>DHANBANK</t>
        </is>
      </c>
      <c r="K40" s="18" t="inlineStr">
        <is>
          <t>bank</t>
        </is>
      </c>
      <c r="L40" s="19" t="n">
        <v>225</v>
      </c>
      <c r="M40" s="19" t="n">
        <v>1353.42</v>
      </c>
      <c r="N40" s="16" t="n">
        <v>9</v>
      </c>
    </row>
    <row r="41">
      <c r="A41" s="17" t="inlineStr">
        <is>
          <t>IIFL</t>
        </is>
      </c>
      <c r="B41" s="18" t="inlineStr">
        <is>
          <t>IIFL Finance Ltd</t>
        </is>
      </c>
      <c r="C41" s="18" t="inlineStr">
        <is>
          <t>financials</t>
        </is>
      </c>
      <c r="D41" s="16" t="n">
        <v>6</v>
      </c>
      <c r="E41" s="16" t="n">
        <v>0</v>
      </c>
      <c r="F41" s="19" t="n">
        <v>23671.46</v>
      </c>
      <c r="J41" s="17" t="inlineStr">
        <is>
          <t>PREMIERPOL</t>
        </is>
      </c>
      <c r="K41" s="18" t="inlineStr">
        <is>
          <t>plastic products</t>
        </is>
      </c>
      <c r="L41" s="19" t="n">
        <v>223</v>
      </c>
      <c r="M41" s="19" t="n">
        <v>830.61</v>
      </c>
      <c r="N41" s="16" t="n">
        <v>18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76.51000000000001</v>
      </c>
      <c r="D47" s="28" t="n">
        <v>207</v>
      </c>
      <c r="E47" s="17" t="inlineStr">
        <is>
          <t>CUPID</t>
        </is>
      </c>
      <c r="F47" s="18" t="inlineStr">
        <is>
          <t>Cupid Limited</t>
        </is>
      </c>
      <c r="G47" s="18" t="inlineStr">
        <is>
          <t>fmcg</t>
        </is>
      </c>
      <c r="H47" s="19" t="n">
        <v>28699.09</v>
      </c>
    </row>
    <row r="48">
      <c r="A48" s="16" t="n">
        <v>2</v>
      </c>
      <c r="B48" s="27" t="n">
        <v>99</v>
      </c>
      <c r="C48" s="28" t="n">
        <v>69.84999999999999</v>
      </c>
      <c r="D48" s="28" t="n">
        <v>193</v>
      </c>
      <c r="E48" s="17" t="inlineStr">
        <is>
          <t>SWANDEF</t>
        </is>
      </c>
      <c r="F48" s="18" t="inlineStr">
        <is>
          <t>Swan Defence and Heavy Industries Ltd</t>
        </is>
      </c>
      <c r="G48" s="18" t="inlineStr">
        <is>
          <t>transportation</t>
        </is>
      </c>
      <c r="H48" s="19" t="n">
        <v>12789.65</v>
      </c>
    </row>
    <row r="49">
      <c r="A49" s="16" t="n">
        <v>3</v>
      </c>
      <c r="B49" s="27" t="n">
        <v>98</v>
      </c>
      <c r="C49" s="28" t="n">
        <v>54.66</v>
      </c>
      <c r="D49" s="28" t="n">
        <v>200</v>
      </c>
      <c r="E49" s="17" t="inlineStr">
        <is>
          <t>BHAGYANGR</t>
        </is>
      </c>
      <c r="F49" s="18" t="inlineStr">
        <is>
          <t>Bhagyanagar India</t>
        </is>
      </c>
      <c r="G49" s="18" t="inlineStr">
        <is>
          <t>power &amp; utilities</t>
        </is>
      </c>
      <c r="H49" s="19" t="n">
        <v>1314.67</v>
      </c>
    </row>
    <row r="50">
      <c r="A50" s="16" t="n">
        <v>4</v>
      </c>
      <c r="B50" s="27" t="n">
        <v>98</v>
      </c>
      <c r="C50" s="28" t="n">
        <v>54.31</v>
      </c>
      <c r="D50" s="28" t="n">
        <v>203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2637.74</v>
      </c>
    </row>
    <row r="51">
      <c r="A51" s="16" t="n">
        <v>5</v>
      </c>
      <c r="B51" s="27" t="n">
        <v>98</v>
      </c>
      <c r="C51" s="28" t="n">
        <v>51.45</v>
      </c>
      <c r="D51" s="28" t="n">
        <v>205</v>
      </c>
      <c r="E51" s="17" t="inlineStr">
        <is>
          <t>THANGAMAYL</t>
        </is>
      </c>
      <c r="F51" s="18" t="inlineStr">
        <is>
          <t>Thangamayil Jewellery Limited</t>
        </is>
      </c>
      <c r="G51" s="18" t="inlineStr">
        <is>
          <t>consumer discretionary</t>
        </is>
      </c>
      <c r="H51" s="19" t="n">
        <v>21466.8</v>
      </c>
    </row>
    <row r="52">
      <c r="A52" s="16" t="n">
        <v>6</v>
      </c>
      <c r="B52" s="27" t="n">
        <v>98</v>
      </c>
      <c r="C52" s="28" t="n">
        <v>47.59</v>
      </c>
      <c r="D52" s="28" t="n">
        <v>217</v>
      </c>
      <c r="E52" s="17" t="inlineStr">
        <is>
          <t>HFCL</t>
        </is>
      </c>
      <c r="F52" s="18" t="inlineStr">
        <is>
          <t>HFCL Limited</t>
        </is>
      </c>
      <c r="G52" s="18" t="inlineStr">
        <is>
          <t>Technology</t>
        </is>
      </c>
      <c r="H52" s="19" t="n">
        <v>29463.69</v>
      </c>
    </row>
    <row r="53">
      <c r="A53" s="16" t="n">
        <v>7</v>
      </c>
      <c r="B53" s="27" t="n">
        <v>97</v>
      </c>
      <c r="C53" s="28" t="n">
        <v>46.25</v>
      </c>
      <c r="D53" s="28" t="n">
        <v>213</v>
      </c>
      <c r="E53" s="17" t="inlineStr">
        <is>
          <t>ATHERENERG</t>
        </is>
      </c>
      <c r="F53" s="18" t="inlineStr">
        <is>
          <t>Ather Energy Ltd</t>
        </is>
      </c>
      <c r="G53" s="18" t="inlineStr">
        <is>
          <t>auto</t>
        </is>
      </c>
      <c r="H53" s="19" t="n">
        <v>46307.83</v>
      </c>
    </row>
    <row r="54">
      <c r="A54" s="16" t="n">
        <v>8</v>
      </c>
      <c r="B54" s="27" t="n">
        <v>97</v>
      </c>
      <c r="C54" s="28" t="n">
        <v>45.5</v>
      </c>
      <c r="D54" s="28" t="n">
        <v>203</v>
      </c>
      <c r="E54" s="17" t="inlineStr">
        <is>
          <t>HITECHCORP</t>
        </is>
      </c>
      <c r="F54" s="18" t="inlineStr">
        <is>
          <t>Hitech Corporation</t>
        </is>
      </c>
      <c r="G54" s="18" t="inlineStr">
        <is>
          <t>industrials</t>
        </is>
      </c>
      <c r="H54" s="19" t="n">
        <v>550.05</v>
      </c>
    </row>
    <row r="55">
      <c r="A55" s="16" t="n">
        <v>9</v>
      </c>
      <c r="B55" s="27" t="n">
        <v>97</v>
      </c>
      <c r="C55" s="28" t="n">
        <v>42.97</v>
      </c>
      <c r="D55" s="28" t="n">
        <v>205</v>
      </c>
      <c r="E55" s="17" t="inlineStr">
        <is>
          <t>IZMO</t>
        </is>
      </c>
      <c r="F55" s="18" t="inlineStr">
        <is>
          <t>Izmo Limited</t>
        </is>
      </c>
      <c r="G55" s="18" t="inlineStr">
        <is>
          <t>i.t</t>
        </is>
      </c>
      <c r="H55" s="19" t="n">
        <v>1652.62</v>
      </c>
    </row>
    <row r="56">
      <c r="A56" s="16" t="n">
        <v>10</v>
      </c>
      <c r="B56" s="27" t="n">
        <v>97</v>
      </c>
      <c r="C56" s="28" t="n">
        <v>42.52</v>
      </c>
      <c r="D56" s="28" t="n">
        <v>225</v>
      </c>
      <c r="E56" s="17" t="inlineStr">
        <is>
          <t>TIMEX</t>
        </is>
      </c>
      <c r="F56" s="18" t="inlineStr">
        <is>
          <t>Timex Group India Limited</t>
        </is>
      </c>
      <c r="G56" s="18" t="inlineStr">
        <is>
          <t>Consumer Cyclical</t>
        </is>
      </c>
      <c r="H56" s="19" t="n">
        <v>5663.3</v>
      </c>
    </row>
    <row r="57">
      <c r="A57" s="16" t="n">
        <v>11</v>
      </c>
      <c r="B57" s="27" t="n">
        <v>96</v>
      </c>
      <c r="C57" s="28" t="n">
        <v>41.97</v>
      </c>
      <c r="D57" s="28" t="n">
        <v>155</v>
      </c>
      <c r="E57" s="17" t="inlineStr">
        <is>
          <t>STALLION</t>
        </is>
      </c>
      <c r="F57" s="18" t="inlineStr">
        <is>
          <t>STALLION</t>
        </is>
      </c>
      <c r="G57" s="18" t="inlineStr">
        <is>
          <t>Basic Materials</t>
        </is>
      </c>
      <c r="H57" s="19" t="n">
        <v>2965.99</v>
      </c>
    </row>
    <row r="58">
      <c r="A58" s="16" t="n">
        <v>12</v>
      </c>
      <c r="B58" s="27" t="n">
        <v>96</v>
      </c>
      <c r="C58" s="28" t="n">
        <v>41.71</v>
      </c>
      <c r="D58" s="28" t="n">
        <v>220</v>
      </c>
      <c r="E58" s="17" t="inlineStr">
        <is>
          <t>E2E</t>
        </is>
      </c>
      <c r="F58" s="18" t="inlineStr">
        <is>
          <t>E2E Networks Ltd</t>
        </is>
      </c>
      <c r="G58" s="18" t="inlineStr">
        <is>
          <t>i.t</t>
        </is>
      </c>
      <c r="H58" s="19" t="n">
        <v>10621.54</v>
      </c>
    </row>
    <row r="59">
      <c r="A59" s="16" t="n">
        <v>13</v>
      </c>
      <c r="B59" s="27" t="n">
        <v>96</v>
      </c>
      <c r="C59" s="28" t="n">
        <v>40.4</v>
      </c>
      <c r="D59" s="28" t="n">
        <v>215</v>
      </c>
      <c r="E59" s="17" t="inlineStr">
        <is>
          <t>BAFNAPH</t>
        </is>
      </c>
      <c r="F59" s="18" t="inlineStr">
        <is>
          <t>Bafna Pharmaceuticals Ltd</t>
        </is>
      </c>
      <c r="G59" s="18" t="inlineStr">
        <is>
          <t>healthcare</t>
        </is>
      </c>
      <c r="H59" s="19" t="n">
        <v>563.38</v>
      </c>
    </row>
    <row r="60">
      <c r="A60" s="16" t="n">
        <v>14</v>
      </c>
      <c r="B60" s="27" t="n">
        <v>96</v>
      </c>
      <c r="C60" s="28" t="n">
        <v>39.18</v>
      </c>
      <c r="D60" s="28" t="n">
        <v>225</v>
      </c>
      <c r="E60" s="17" t="inlineStr">
        <is>
          <t>IBULLSLTD</t>
        </is>
      </c>
      <c r="F60" s="18" t="inlineStr">
        <is>
          <t>Indiabulls Limited</t>
        </is>
      </c>
      <c r="G60" s="18" t="inlineStr">
        <is>
          <t>miscellaneous</t>
        </is>
      </c>
      <c r="H60" s="19" t="n">
        <v>7112.1</v>
      </c>
    </row>
    <row r="61">
      <c r="A61" s="16" t="n">
        <v>15</v>
      </c>
      <c r="B61" s="27" t="n">
        <v>95</v>
      </c>
      <c r="C61" s="28" t="n">
        <v>38.91</v>
      </c>
      <c r="D61" s="28" t="n">
        <v>213</v>
      </c>
      <c r="E61" s="17" t="inlineStr">
        <is>
          <t>KANORICHEM</t>
        </is>
      </c>
      <c r="F61" s="18" t="inlineStr">
        <is>
          <t>Kanoria Chemicals &amp; Industries Limited</t>
        </is>
      </c>
      <c r="G61" s="18" t="inlineStr">
        <is>
          <t>chemicals</t>
        </is>
      </c>
      <c r="H61" s="19" t="n">
        <v>706.74</v>
      </c>
    </row>
    <row r="62">
      <c r="A62" s="16" t="n">
        <v>16</v>
      </c>
      <c r="B62" s="27" t="n">
        <v>95</v>
      </c>
      <c r="C62" s="28" t="n">
        <v>38.84</v>
      </c>
      <c r="D62" s="28" t="n">
        <v>188</v>
      </c>
      <c r="E62" s="17" t="inlineStr">
        <is>
          <t>YASHO</t>
        </is>
      </c>
      <c r="F62" s="18" t="inlineStr">
        <is>
          <t>Yasho Industries Ltd</t>
        </is>
      </c>
      <c r="G62" s="18" t="inlineStr">
        <is>
          <t>chemicals</t>
        </is>
      </c>
      <c r="H62" s="19" t="n">
        <v>3702.43</v>
      </c>
    </row>
    <row r="63">
      <c r="A63" s="16" t="n">
        <v>17</v>
      </c>
      <c r="B63" s="27" t="n">
        <v>95</v>
      </c>
      <c r="C63" s="28" t="n">
        <v>37.98</v>
      </c>
      <c r="D63" s="28" t="n">
        <v>215</v>
      </c>
      <c r="E63" s="17" t="inlineStr">
        <is>
          <t>RPTECH</t>
        </is>
      </c>
      <c r="F63" s="18" t="inlineStr">
        <is>
          <t>Rashi Peripherals Ltd</t>
        </is>
      </c>
      <c r="G63" s="18" t="inlineStr">
        <is>
          <t>services</t>
        </is>
      </c>
      <c r="H63" s="19" t="n">
        <v>5139.19</v>
      </c>
    </row>
    <row r="64">
      <c r="A64" s="16" t="n">
        <v>18</v>
      </c>
      <c r="B64" s="27" t="n">
        <v>95</v>
      </c>
      <c r="C64" s="28" t="n">
        <v>37.52</v>
      </c>
      <c r="D64" s="28" t="n">
        <v>207</v>
      </c>
      <c r="E64" s="17" t="inlineStr">
        <is>
          <t>KPL</t>
        </is>
      </c>
      <c r="F64" s="18" t="inlineStr">
        <is>
          <t>Kwality Pharmaceuticals Limited</t>
        </is>
      </c>
      <c r="G64" s="18" t="inlineStr">
        <is>
          <t>Healthcare</t>
        </is>
      </c>
      <c r="H64" s="19" t="n">
        <v>2815.27</v>
      </c>
    </row>
    <row r="65">
      <c r="A65" s="16" t="n">
        <v>19</v>
      </c>
      <c r="B65" s="29" t="n">
        <v>94</v>
      </c>
      <c r="C65" s="28" t="n">
        <v>37.4</v>
      </c>
      <c r="D65" s="28" t="n">
        <v>188</v>
      </c>
      <c r="E65" s="17" t="inlineStr">
        <is>
          <t>SETL</t>
        </is>
      </c>
      <c r="F65" s="18" t="inlineStr">
        <is>
          <t>Standard Enginnering Technology Ltd</t>
        </is>
      </c>
      <c r="G65" s="18" t="inlineStr">
        <is>
          <t>industrials</t>
        </is>
      </c>
      <c r="H65" s="19" t="n">
        <v>5440.14</v>
      </c>
    </row>
    <row r="66">
      <c r="A66" s="16" t="n">
        <v>20</v>
      </c>
      <c r="B66" s="29" t="n">
        <v>94</v>
      </c>
      <c r="C66" s="28" t="n">
        <v>35.8</v>
      </c>
      <c r="D66" s="28" t="n">
        <v>213</v>
      </c>
      <c r="E66" s="17" t="inlineStr">
        <is>
          <t>AEGISLOG</t>
        </is>
      </c>
      <c r="F66" s="18" t="inlineStr">
        <is>
          <t>Aegis Logistics Ltd</t>
        </is>
      </c>
      <c r="G66" s="18" t="inlineStr">
        <is>
          <t>services</t>
        </is>
      </c>
      <c r="H66" s="19" t="n">
        <v>47370.96</v>
      </c>
    </row>
    <row r="67">
      <c r="A67" s="16" t="n">
        <v>21</v>
      </c>
      <c r="B67" s="29" t="n">
        <v>94</v>
      </c>
      <c r="C67" s="28" t="n">
        <v>35.71</v>
      </c>
      <c r="D67" s="28" t="n">
        <v>205</v>
      </c>
      <c r="E67" s="17" t="inlineStr">
        <is>
          <t>SKMEGGPROD</t>
        </is>
      </c>
      <c r="F67" s="18" t="inlineStr">
        <is>
          <t>Skm Egg Products Export (india) Limited</t>
        </is>
      </c>
      <c r="G67" s="18" t="inlineStr">
        <is>
          <t>fmcg</t>
        </is>
      </c>
      <c r="H67" s="19" t="n">
        <v>1710.13</v>
      </c>
    </row>
    <row r="68">
      <c r="A68" s="16" t="n">
        <v>22</v>
      </c>
      <c r="B68" s="29" t="n">
        <v>94</v>
      </c>
      <c r="C68" s="28" t="n">
        <v>35.04</v>
      </c>
      <c r="D68" s="28" t="n">
        <v>215</v>
      </c>
      <c r="E68" s="17" t="inlineStr">
        <is>
          <t>RPEL</t>
        </is>
      </c>
      <c r="F68" s="18" t="inlineStr">
        <is>
          <t>Raghav Productivity Enhancers Ltd</t>
        </is>
      </c>
      <c r="G68" s="18" t="inlineStr">
        <is>
          <t>building materials</t>
        </is>
      </c>
      <c r="H68" s="19" t="n">
        <v>5984.55</v>
      </c>
    </row>
    <row r="69">
      <c r="A69" s="16" t="n">
        <v>23</v>
      </c>
      <c r="B69" s="29" t="n">
        <v>93</v>
      </c>
      <c r="C69" s="28" t="n">
        <v>34.45</v>
      </c>
      <c r="D69" s="28" t="n">
        <v>210</v>
      </c>
      <c r="E69" s="17" t="inlineStr">
        <is>
          <t>SPECTRUM</t>
        </is>
      </c>
      <c r="F69" s="18" t="inlineStr">
        <is>
          <t>Spectrum Electrical Industries Ltd</t>
        </is>
      </c>
      <c r="G69" s="18" t="inlineStr">
        <is>
          <t>industrials</t>
        </is>
      </c>
      <c r="H69" s="19" t="n">
        <v>3585.27</v>
      </c>
    </row>
    <row r="70">
      <c r="A70" s="16" t="n">
        <v>24</v>
      </c>
      <c r="B70" s="29" t="n">
        <v>93</v>
      </c>
      <c r="C70" s="28" t="n">
        <v>34.4</v>
      </c>
      <c r="D70" s="28" t="n">
        <v>185</v>
      </c>
      <c r="E70" s="17" t="inlineStr">
        <is>
          <t>INDOTECH</t>
        </is>
      </c>
      <c r="F70" s="18" t="inlineStr">
        <is>
          <t>Indo Tech Transformers Limited</t>
        </is>
      </c>
      <c r="G70" s="18" t="inlineStr">
        <is>
          <t>industrials</t>
        </is>
      </c>
      <c r="H70" s="19" t="n">
        <v>3629.92</v>
      </c>
    </row>
    <row r="71">
      <c r="A71" s="16" t="n">
        <v>25</v>
      </c>
      <c r="B71" s="29" t="n">
        <v>93</v>
      </c>
      <c r="C71" s="28" t="n">
        <v>33.55</v>
      </c>
      <c r="D71" s="28" t="n">
        <v>195</v>
      </c>
      <c r="E71" s="17" t="inlineStr">
        <is>
          <t>KMEW</t>
        </is>
      </c>
      <c r="F71" s="18" t="inlineStr">
        <is>
          <t>Knowledge Marine &amp; Engineering Works Ltd</t>
        </is>
      </c>
      <c r="G71" s="18" t="inlineStr">
        <is>
          <t>transportation</t>
        </is>
      </c>
      <c r="H71" s="19" t="n">
        <v>5940.65</v>
      </c>
    </row>
    <row r="72">
      <c r="A72" s="16" t="n">
        <v>26</v>
      </c>
      <c r="B72" s="29" t="n">
        <v>93</v>
      </c>
      <c r="C72" s="28" t="n">
        <v>33.12</v>
      </c>
      <c r="D72" s="28" t="n">
        <v>195</v>
      </c>
      <c r="E72" s="17" t="inlineStr">
        <is>
          <t>KERNEX</t>
        </is>
      </c>
      <c r="F72" s="18" t="inlineStr">
        <is>
          <t>Kernex Microsystems (india) Limited</t>
        </is>
      </c>
      <c r="G72" s="18" t="inlineStr">
        <is>
          <t>consumer discretionary</t>
        </is>
      </c>
      <c r="H72" s="19" t="n">
        <v>3705.53</v>
      </c>
    </row>
    <row r="73">
      <c r="A73" s="16" t="n">
        <v>27</v>
      </c>
      <c r="B73" s="29" t="n">
        <v>92</v>
      </c>
      <c r="C73" s="28" t="n">
        <v>32.28</v>
      </c>
      <c r="D73" s="28" t="n">
        <v>170</v>
      </c>
      <c r="E73" s="17" t="inlineStr">
        <is>
          <t>INDSWFTLAB</t>
        </is>
      </c>
      <c r="F73" s="18" t="inlineStr">
        <is>
          <t>Ind-swift Laboratories Limited</t>
        </is>
      </c>
      <c r="G73" s="18" t="inlineStr">
        <is>
          <t>healthcare</t>
        </is>
      </c>
      <c r="H73" s="19" t="n">
        <v>1978.29</v>
      </c>
    </row>
    <row r="74">
      <c r="A74" s="16" t="n">
        <v>28</v>
      </c>
      <c r="B74" s="29" t="n">
        <v>92</v>
      </c>
      <c r="C74" s="28" t="n">
        <v>32.14</v>
      </c>
      <c r="D74" s="28" t="n">
        <v>200</v>
      </c>
      <c r="E74" s="17" t="inlineStr">
        <is>
          <t>ACUTAAS</t>
        </is>
      </c>
      <c r="F74" s="18" t="inlineStr">
        <is>
          <t>Acutaas Chemicals Limited</t>
        </is>
      </c>
      <c r="G74" s="18" t="inlineStr">
        <is>
          <t>Basic Materials</t>
        </is>
      </c>
      <c r="H74" s="19" t="n">
        <v>27572.55</v>
      </c>
    </row>
    <row r="75">
      <c r="A75" s="16" t="n">
        <v>29</v>
      </c>
      <c r="B75" s="29" t="n">
        <v>92</v>
      </c>
      <c r="C75" s="28" t="n">
        <v>32</v>
      </c>
      <c r="D75" s="28" t="n">
        <v>203</v>
      </c>
      <c r="E75" s="17" t="inlineStr">
        <is>
          <t>GRWRHITECH</t>
        </is>
      </c>
      <c r="F75" s="18" t="inlineStr">
        <is>
          <t>Garware Hi Tech Films Ltd</t>
        </is>
      </c>
      <c r="G75" s="18" t="inlineStr">
        <is>
          <t>industrials</t>
        </is>
      </c>
      <c r="H75" s="19" t="n">
        <v>16037.32</v>
      </c>
    </row>
    <row r="76">
      <c r="A76" s="16" t="n">
        <v>30</v>
      </c>
      <c r="B76" s="29" t="n">
        <v>92</v>
      </c>
      <c r="C76" s="28" t="n">
        <v>31.66</v>
      </c>
      <c r="D76" s="28" t="n">
        <v>198</v>
      </c>
      <c r="E76" s="17" t="inlineStr">
        <is>
          <t>RUBYMILLS</t>
        </is>
      </c>
      <c r="F76" s="18" t="inlineStr">
        <is>
          <t>The Ruby Mills Limited</t>
        </is>
      </c>
      <c r="G76" s="18" t="inlineStr">
        <is>
          <t>textiles</t>
        </is>
      </c>
      <c r="H76" s="19" t="n">
        <v>1362.18</v>
      </c>
    </row>
    <row r="77">
      <c r="A77" s="16" t="n">
        <v>31</v>
      </c>
      <c r="B77" s="29" t="n">
        <v>91</v>
      </c>
      <c r="C77" s="28" t="n">
        <v>31.47</v>
      </c>
      <c r="D77" s="28" t="n">
        <v>190</v>
      </c>
      <c r="E77" s="17" t="inlineStr">
        <is>
          <t>SKYGOLD</t>
        </is>
      </c>
      <c r="F77" s="18" t="inlineStr">
        <is>
          <t>Sky Gold Ltd</t>
        </is>
      </c>
      <c r="G77" s="18" t="inlineStr">
        <is>
          <t>consumer discretionary</t>
        </is>
      </c>
      <c r="H77" s="19" t="n">
        <v>10124.11</v>
      </c>
    </row>
    <row r="78">
      <c r="A78" s="16" t="n">
        <v>32</v>
      </c>
      <c r="B78" s="29" t="n">
        <v>91</v>
      </c>
      <c r="C78" s="28" t="n">
        <v>31.24</v>
      </c>
      <c r="D78" s="28" t="n">
        <v>208</v>
      </c>
      <c r="E78" s="17" t="inlineStr">
        <is>
          <t>NRL</t>
        </is>
      </c>
      <c r="F78" s="18" t="inlineStr">
        <is>
          <t>Nupur Recyclers Ltd</t>
        </is>
      </c>
      <c r="G78" s="18" t="inlineStr">
        <is>
          <t>services</t>
        </is>
      </c>
      <c r="H78" s="19" t="n">
        <v>725.22</v>
      </c>
    </row>
    <row r="79">
      <c r="A79" s="16" t="n">
        <v>33</v>
      </c>
      <c r="B79" s="29" t="n">
        <v>91</v>
      </c>
      <c r="C79" s="28" t="n">
        <v>30.43</v>
      </c>
      <c r="D79" s="28" t="n">
        <v>195</v>
      </c>
      <c r="E79" s="17" t="inlineStr">
        <is>
          <t>NGLFINE</t>
        </is>
      </c>
      <c r="F79" s="18" t="inlineStr">
        <is>
          <t>NGL Fine Chem Ltd</t>
        </is>
      </c>
      <c r="G79" s="18" t="inlineStr">
        <is>
          <t>healthcare</t>
        </is>
      </c>
      <c r="H79" s="19" t="n">
        <v>1980.37</v>
      </c>
    </row>
    <row r="80">
      <c r="A80" s="16" t="n">
        <v>34</v>
      </c>
      <c r="B80" s="29" t="n">
        <v>91</v>
      </c>
      <c r="C80" s="28" t="n">
        <v>29.63</v>
      </c>
      <c r="D80" s="28" t="n">
        <v>217</v>
      </c>
      <c r="E80" s="17" t="inlineStr">
        <is>
          <t>HUHTAMAKI</t>
        </is>
      </c>
      <c r="F80" s="18" t="inlineStr">
        <is>
          <t>Huhtamaki India Ltd</t>
        </is>
      </c>
      <c r="G80" s="18" t="inlineStr">
        <is>
          <t>industrials</t>
        </is>
      </c>
      <c r="H80" s="19" t="n">
        <v>2406.73</v>
      </c>
    </row>
    <row r="81">
      <c r="A81" s="16" t="n">
        <v>35</v>
      </c>
      <c r="B81" s="29" t="n">
        <v>90</v>
      </c>
      <c r="C81" s="28" t="n">
        <v>29.61</v>
      </c>
      <c r="D81" s="28" t="n">
        <v>217</v>
      </c>
      <c r="E81" s="17" t="inlineStr">
        <is>
          <t>PAISALO</t>
        </is>
      </c>
      <c r="F81" s="18" t="inlineStr">
        <is>
          <t>Paisalo Digital Ltd</t>
        </is>
      </c>
      <c r="G81" s="18" t="inlineStr">
        <is>
          <t>financials</t>
        </is>
      </c>
      <c r="H81" s="19" t="n">
        <v>6382.12</v>
      </c>
    </row>
    <row r="82">
      <c r="A82" s="16" t="n">
        <v>36</v>
      </c>
      <c r="B82" s="29" t="n">
        <v>90</v>
      </c>
      <c r="C82" s="28" t="n">
        <v>28.89</v>
      </c>
      <c r="D82" s="28" t="n">
        <v>178</v>
      </c>
      <c r="E82" s="17" t="inlineStr">
        <is>
          <t>TIRUPATIFL</t>
        </is>
      </c>
      <c r="F82" s="18" t="inlineStr">
        <is>
          <t>Tirupati Forge Ltd</t>
        </is>
      </c>
      <c r="G82" s="18" t="inlineStr">
        <is>
          <t>industrials</t>
        </is>
      </c>
      <c r="H82" s="19" t="n">
        <v>950.97</v>
      </c>
    </row>
    <row r="83">
      <c r="A83" s="16" t="n">
        <v>37</v>
      </c>
      <c r="B83" s="29" t="n">
        <v>90</v>
      </c>
      <c r="C83" s="28" t="n">
        <v>28.4</v>
      </c>
      <c r="D83" s="28" t="n">
        <v>153</v>
      </c>
      <c r="E83" s="17" t="inlineStr">
        <is>
          <t>SALSTEEL</t>
        </is>
      </c>
      <c r="F83" s="18" t="inlineStr">
        <is>
          <t>SAL Steel</t>
        </is>
      </c>
      <c r="G83" s="18" t="inlineStr">
        <is>
          <t>metals &amp; mining</t>
        </is>
      </c>
      <c r="H83" s="19" t="n">
        <v>820.97</v>
      </c>
    </row>
    <row r="84">
      <c r="A84" s="16" t="n">
        <v>38</v>
      </c>
      <c r="B84" s="29" t="n">
        <v>90</v>
      </c>
      <c r="C84" s="28" t="n">
        <v>28.35</v>
      </c>
      <c r="D84" s="28" t="n">
        <v>202</v>
      </c>
      <c r="E84" s="17" t="inlineStr">
        <is>
          <t>SENORES</t>
        </is>
      </c>
      <c r="F84" s="18" t="inlineStr">
        <is>
          <t>Senores Pharmaceuticals Ltd</t>
        </is>
      </c>
      <c r="G84" s="18" t="inlineStr">
        <is>
          <t>healthcare</t>
        </is>
      </c>
      <c r="H84" s="19" t="n">
        <v>6389.94</v>
      </c>
    </row>
    <row r="8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PYRAMID</t>
        </is>
      </c>
      <c r="B2" s="31" t="inlineStr">
        <is>
          <t>Pyramid Technoplast Ltd</t>
        </is>
      </c>
      <c r="C2" s="31" t="inlineStr">
        <is>
          <t>industrials</t>
        </is>
      </c>
      <c r="D2" s="31" t="inlineStr">
        <is>
          <t>packaging</t>
        </is>
      </c>
      <c r="E2" s="31" t="inlineStr">
        <is>
          <t>smallcap</t>
        </is>
      </c>
      <c r="F2" s="31" t="n">
        <v>604.04</v>
      </c>
      <c r="G2" s="31" t="n">
        <v>195.96</v>
      </c>
      <c r="H2" s="31" t="n">
        <v>19.34</v>
      </c>
      <c r="I2" s="31" t="n">
        <v>4561988</v>
      </c>
      <c r="J2" s="31" t="inlineStr">
        <is>
          <t>543969</t>
        </is>
      </c>
    </row>
    <row r="3">
      <c r="A3" s="31" t="inlineStr">
        <is>
          <t>CARTRADE</t>
        </is>
      </c>
      <c r="B3" s="31" t="inlineStr">
        <is>
          <t>Cartrade Tech Ltd</t>
        </is>
      </c>
      <c r="C3" s="31" t="inlineStr">
        <is>
          <t>consumer discretionary</t>
        </is>
      </c>
      <c r="D3" s="31" t="inlineStr">
        <is>
          <t>miscellaneous</t>
        </is>
      </c>
      <c r="E3" s="31" t="inlineStr">
        <is>
          <t>midcap</t>
        </is>
      </c>
      <c r="F3" s="31" t="n">
        <v>12756.84</v>
      </c>
      <c r="G3" s="31" t="n">
        <v>2978.5</v>
      </c>
      <c r="H3" s="31" t="n">
        <v>12.13</v>
      </c>
      <c r="I3" s="31" t="n">
        <v>3555902</v>
      </c>
      <c r="J3" s="31" t="inlineStr">
        <is>
          <t>543333</t>
        </is>
      </c>
    </row>
    <row r="4">
      <c r="A4" s="31" t="inlineStr">
        <is>
          <t>RATNAVEER</t>
        </is>
      </c>
      <c r="B4" s="31" t="inlineStr">
        <is>
          <t>Ratnaveer Precision Engineering Ltd</t>
        </is>
      </c>
      <c r="C4" s="31" t="inlineStr">
        <is>
          <t>metals &amp; mining</t>
        </is>
      </c>
      <c r="D4" s="31" t="inlineStr">
        <is>
          <t>steel - medium / small</t>
        </is>
      </c>
      <c r="E4" s="31" t="inlineStr">
        <is>
          <t>smallcap</t>
        </is>
      </c>
      <c r="F4" s="31" t="n">
        <v>1275.75</v>
      </c>
      <c r="G4" s="31" t="n">
        <v>199.61</v>
      </c>
      <c r="H4" s="31" t="n">
        <v>11.76</v>
      </c>
      <c r="I4" s="31" t="n">
        <v>53640552</v>
      </c>
      <c r="J4" s="31" t="inlineStr">
        <is>
          <t>543978</t>
        </is>
      </c>
    </row>
    <row r="5">
      <c r="A5" s="31" t="inlineStr">
        <is>
          <t>MONARCH</t>
        </is>
      </c>
      <c r="B5" s="31" t="inlineStr">
        <is>
          <t>Monarch Networth Capital Ltd</t>
        </is>
      </c>
      <c r="C5" s="31" t="inlineStr">
        <is>
          <t>financials</t>
        </is>
      </c>
      <c r="D5" s="31" t="inlineStr">
        <is>
          <t>finance &amp; investments</t>
        </is>
      </c>
      <c r="E5" s="31" t="inlineStr">
        <is>
          <t>smallcap</t>
        </is>
      </c>
      <c r="F5" s="31" t="n">
        <v>2837.26</v>
      </c>
      <c r="G5" s="31" t="n">
        <v>397.6</v>
      </c>
      <c r="H5" s="31" t="n">
        <v>11.14</v>
      </c>
      <c r="I5" s="31" t="n">
        <v>5152604</v>
      </c>
      <c r="J5" s="31" t="inlineStr">
        <is>
          <t>511551</t>
        </is>
      </c>
    </row>
    <row r="6">
      <c r="A6" s="31" t="inlineStr">
        <is>
          <t>TMB</t>
        </is>
      </c>
      <c r="B6" s="31" t="inlineStr">
        <is>
          <t>Tamilnad Mercantile Bank Ltd</t>
        </is>
      </c>
      <c r="C6" s="31" t="inlineStr">
        <is>
          <t>bank</t>
        </is>
      </c>
      <c r="D6" s="31" t="inlineStr">
        <is>
          <t>banks - private sector</t>
        </is>
      </c>
      <c r="E6" s="31" t="inlineStr">
        <is>
          <t>midcap</t>
        </is>
      </c>
      <c r="F6" s="31" t="n">
        <v>12739.37</v>
      </c>
      <c r="G6" s="31" t="n">
        <v>893.65</v>
      </c>
      <c r="H6" s="31" t="n">
        <v>11.08</v>
      </c>
      <c r="I6" s="31" t="n">
        <v>7671271</v>
      </c>
      <c r="J6" s="31" t="inlineStr">
        <is>
          <t>543596</t>
        </is>
      </c>
    </row>
    <row r="7">
      <c r="A7" s="31" t="inlineStr">
        <is>
          <t>MBAPL</t>
        </is>
      </c>
      <c r="B7" s="31" t="inlineStr">
        <is>
          <t>Madhya Bharat Agro Products Ltd</t>
        </is>
      </c>
      <c r="C7" s="31" t="inlineStr">
        <is>
          <t>chemicals</t>
        </is>
      </c>
      <c r="D7" s="31" t="inlineStr">
        <is>
          <t>fertilizers</t>
        </is>
      </c>
      <c r="E7" s="31" t="inlineStr">
        <is>
          <t>smallcap</t>
        </is>
      </c>
      <c r="F7" s="31" t="n">
        <v>1299.07</v>
      </c>
      <c r="G7" s="31" t="n">
        <v>163.95</v>
      </c>
      <c r="H7" s="31" t="n">
        <v>10.59</v>
      </c>
      <c r="I7" s="31" t="n">
        <v>5234794</v>
      </c>
      <c r="J7" s="31" t="inlineStr">
        <is>
          <t>538370</t>
        </is>
      </c>
    </row>
    <row r="8">
      <c r="A8" s="31" t="inlineStr">
        <is>
          <t>KECL</t>
        </is>
      </c>
      <c r="B8" s="31" t="inlineStr">
        <is>
          <t>Kirloskar Electric Company Limited</t>
        </is>
      </c>
      <c r="C8" s="31" t="inlineStr">
        <is>
          <t>industrials</t>
        </is>
      </c>
      <c r="D8" s="31" t="inlineStr">
        <is>
          <t>electric equipment</t>
        </is>
      </c>
      <c r="E8" s="31" t="inlineStr">
        <is>
          <t>smallcap</t>
        </is>
      </c>
      <c r="F8" s="31" t="n">
        <v>829.1799999999999</v>
      </c>
      <c r="G8" s="31" t="n">
        <v>137.33</v>
      </c>
      <c r="H8" s="31" t="n">
        <v>10</v>
      </c>
      <c r="I8" s="31" t="n">
        <v>418474</v>
      </c>
      <c r="J8" s="31" t="inlineStr">
        <is>
          <t>533193</t>
        </is>
      </c>
    </row>
    <row r="9">
      <c r="A9" s="31" t="inlineStr">
        <is>
          <t>SENCO</t>
        </is>
      </c>
      <c r="B9" s="31" t="inlineStr">
        <is>
          <t>Senco Gold Ltd</t>
        </is>
      </c>
      <c r="C9" s="31" t="inlineStr">
        <is>
          <t>consumer discretionary</t>
        </is>
      </c>
      <c r="D9" s="31" t="inlineStr">
        <is>
          <t>diamond cutting / jewellery</t>
        </is>
      </c>
      <c r="E9" s="31" t="inlineStr">
        <is>
          <t>midcap</t>
        </is>
      </c>
      <c r="F9" s="31" t="n">
        <v>6272.56</v>
      </c>
      <c r="G9" s="31" t="n">
        <v>417.95</v>
      </c>
      <c r="H9" s="31" t="n">
        <v>9.17</v>
      </c>
      <c r="I9" s="31" t="n">
        <v>18605457</v>
      </c>
      <c r="J9" s="31" t="inlineStr">
        <is>
          <t>543936</t>
        </is>
      </c>
    </row>
    <row r="10">
      <c r="A10" s="31" t="inlineStr">
        <is>
          <t>TFCILTD</t>
        </is>
      </c>
      <c r="B10" s="31" t="inlineStr">
        <is>
          <t>Tourism Finance Corporation Of India Limited</t>
        </is>
      </c>
      <c r="C10" s="31" t="inlineStr">
        <is>
          <t>financials</t>
        </is>
      </c>
      <c r="D10" s="31" t="inlineStr">
        <is>
          <t>finance - term-lending institutions</t>
        </is>
      </c>
      <c r="E10" s="31" t="inlineStr">
        <is>
          <t>smallcap</t>
        </is>
      </c>
      <c r="F10" s="31" t="n">
        <v>4040.4</v>
      </c>
      <c r="G10" s="31" t="n">
        <v>94.8</v>
      </c>
      <c r="H10" s="31" t="n">
        <v>8.630000000000001</v>
      </c>
      <c r="I10" s="31" t="n">
        <v>43311808</v>
      </c>
      <c r="J10" s="31" t="inlineStr">
        <is>
          <t>526650</t>
        </is>
      </c>
    </row>
    <row r="11">
      <c r="A11" s="31" t="inlineStr">
        <is>
          <t>TBZ</t>
        </is>
      </c>
      <c r="B11" s="31" t="inlineStr">
        <is>
          <t>Tribhovandas Bhimji Zaveri Limited</t>
        </is>
      </c>
      <c r="C11" s="31" t="inlineStr">
        <is>
          <t>consumer discretionary</t>
        </is>
      </c>
      <c r="D11" s="31" t="inlineStr">
        <is>
          <t>diamond cutting / jewellery</t>
        </is>
      </c>
      <c r="E11" s="31" t="inlineStr">
        <is>
          <t>smallcap</t>
        </is>
      </c>
      <c r="F11" s="31" t="n">
        <v>1727.59</v>
      </c>
      <c r="G11" s="31" t="n">
        <v>280.22</v>
      </c>
      <c r="H11" s="31" t="n">
        <v>8.24</v>
      </c>
      <c r="I11" s="31" t="n">
        <v>2863637</v>
      </c>
      <c r="J11" s="31" t="inlineStr">
        <is>
          <t>534369</t>
        </is>
      </c>
    </row>
    <row r="12">
      <c r="A12" s="31" t="inlineStr">
        <is>
          <t>VRLLOG</t>
        </is>
      </c>
      <c r="B12" s="31" t="inlineStr">
        <is>
          <t>Vrl Logistics Limited</t>
        </is>
      </c>
      <c r="C12" s="31" t="inlineStr">
        <is>
          <t>transportation</t>
        </is>
      </c>
      <c r="D12" s="31" t="inlineStr">
        <is>
          <t>miscellaneous</t>
        </is>
      </c>
      <c r="E12" s="31" t="inlineStr">
        <is>
          <t>smallcap</t>
        </is>
      </c>
      <c r="F12" s="31" t="n">
        <v>4252.89</v>
      </c>
      <c r="G12" s="31" t="n">
        <v>262.75</v>
      </c>
      <c r="H12" s="31" t="n">
        <v>8.08</v>
      </c>
      <c r="I12" s="31" t="n">
        <v>2163637</v>
      </c>
      <c r="J12" s="31" t="inlineStr">
        <is>
          <t>539118</t>
        </is>
      </c>
    </row>
    <row r="13">
      <c r="A13" s="31" t="inlineStr">
        <is>
          <t>ASIANENE</t>
        </is>
      </c>
      <c r="B13" s="31" t="inlineStr">
        <is>
          <t>Asian Energy Services Ltd</t>
        </is>
      </c>
      <c r="C13" s="31" t="inlineStr">
        <is>
          <t>energy</t>
        </is>
      </c>
      <c r="D13" s="31" t="inlineStr">
        <is>
          <t>oil drilling / allied services</t>
        </is>
      </c>
      <c r="E13" s="31" t="inlineStr">
        <is>
          <t>smallcap</t>
        </is>
      </c>
      <c r="F13" s="31" t="n">
        <v>1729.76</v>
      </c>
      <c r="G13" s="31" t="n">
        <v>383.8</v>
      </c>
      <c r="H13" s="31" t="n">
        <v>7.9</v>
      </c>
      <c r="I13" s="31" t="n">
        <v>1432312</v>
      </c>
      <c r="J13" s="31" t="inlineStr">
        <is>
          <t>530355</t>
        </is>
      </c>
    </row>
    <row r="14">
      <c r="A14" s="31" t="inlineStr">
        <is>
          <t>RKFORGE</t>
        </is>
      </c>
      <c r="B14" s="31" t="inlineStr">
        <is>
          <t>Ramkrishna Forgings Limited</t>
        </is>
      </c>
      <c r="C14" s="31" t="inlineStr">
        <is>
          <t>industrials</t>
        </is>
      </c>
      <c r="D14" s="31" t="inlineStr">
        <is>
          <t>castings &amp; forgings</t>
        </is>
      </c>
      <c r="E14" s="31" t="inlineStr">
        <is>
          <t>midcap</t>
        </is>
      </c>
      <c r="F14" s="31" t="n">
        <v>10578.61</v>
      </c>
      <c r="G14" s="31" t="n">
        <v>625.45</v>
      </c>
      <c r="H14" s="31" t="n">
        <v>7.71</v>
      </c>
      <c r="I14" s="31" t="n">
        <v>12147443</v>
      </c>
      <c r="J14" s="31" t="inlineStr">
        <is>
          <t>532527</t>
        </is>
      </c>
    </row>
    <row r="15">
      <c r="A15" s="31" t="inlineStr">
        <is>
          <t>DEEPINDS</t>
        </is>
      </c>
      <c r="B15" s="31" t="inlineStr">
        <is>
          <t>Deep Industries Ltd</t>
        </is>
      </c>
      <c r="C15" s="31" t="inlineStr">
        <is>
          <t>energy</t>
        </is>
      </c>
      <c r="D15" s="31" t="inlineStr">
        <is>
          <t>oil drilling / allied services</t>
        </is>
      </c>
      <c r="E15" s="31" t="inlineStr">
        <is>
          <t>smallcap</t>
        </is>
      </c>
      <c r="F15" s="31" t="n">
        <v>3069.44</v>
      </c>
      <c r="G15" s="31" t="n">
        <v>516.45</v>
      </c>
      <c r="H15" s="31" t="n">
        <v>7.68</v>
      </c>
      <c r="I15" s="31" t="n">
        <v>1633199</v>
      </c>
      <c r="J15" s="31" t="inlineStr">
        <is>
          <t>543288</t>
        </is>
      </c>
    </row>
    <row r="16">
      <c r="A16" s="31" t="inlineStr">
        <is>
          <t>KABRAEXTRU</t>
        </is>
      </c>
      <c r="B16" s="31" t="inlineStr">
        <is>
          <t>Kabra Extrusion Technik Limited</t>
        </is>
      </c>
      <c r="C16" s="31" t="inlineStr">
        <is>
          <t>industrials</t>
        </is>
      </c>
      <c r="D16" s="31" t="inlineStr">
        <is>
          <t>engineering</t>
        </is>
      </c>
      <c r="E16" s="31" t="inlineStr">
        <is>
          <t>smallcap</t>
        </is>
      </c>
      <c r="F16" s="31" t="n">
        <v>1317.78</v>
      </c>
      <c r="G16" s="31" t="n">
        <v>404.8</v>
      </c>
      <c r="H16" s="31" t="n">
        <v>7.43</v>
      </c>
      <c r="I16" s="31" t="n">
        <v>577413</v>
      </c>
      <c r="J16" s="31" t="inlineStr">
        <is>
          <t>524109</t>
        </is>
      </c>
    </row>
    <row r="17">
      <c r="A17" s="31" t="inlineStr">
        <is>
          <t>REDINGTON</t>
        </is>
      </c>
      <c r="B17" s="31" t="inlineStr">
        <is>
          <t>Redington (india) Limited</t>
        </is>
      </c>
      <c r="C17" s="31" t="inlineStr">
        <is>
          <t>services</t>
        </is>
      </c>
      <c r="D17" s="31" t="inlineStr">
        <is>
          <t>trading</t>
        </is>
      </c>
      <c r="E17" s="31" t="inlineStr">
        <is>
          <t>largecap</t>
        </is>
      </c>
      <c r="F17" s="31" t="n">
        <v>20251.87</v>
      </c>
      <c r="G17" s="31" t="n">
        <v>278.15</v>
      </c>
      <c r="H17" s="31" t="n">
        <v>7.37</v>
      </c>
      <c r="I17" s="31" t="n">
        <v>8059901</v>
      </c>
      <c r="J17" s="31" t="inlineStr">
        <is>
          <t>532805</t>
        </is>
      </c>
    </row>
    <row r="18">
      <c r="A18" s="31" t="inlineStr">
        <is>
          <t>LAURUSLABS</t>
        </is>
      </c>
      <c r="B18" s="31" t="inlineStr">
        <is>
          <t>Laurus Labs Limited</t>
        </is>
      </c>
      <c r="C18" s="31" t="inlineStr">
        <is>
          <t>healthcare</t>
        </is>
      </c>
      <c r="D18" s="31" t="inlineStr">
        <is>
          <t>pharmaceuticals - indian - bulk drugs &amp; formln</t>
        </is>
      </c>
      <c r="E18" s="31" t="inlineStr">
        <is>
          <t>largecap</t>
        </is>
      </c>
      <c r="F18" s="31" t="n">
        <v>86504.75999999999</v>
      </c>
      <c r="G18" s="31" t="n">
        <v>1713.4</v>
      </c>
      <c r="H18" s="31" t="n">
        <v>7.01</v>
      </c>
      <c r="I18" s="31" t="n">
        <v>7989771</v>
      </c>
      <c r="J18" s="31" t="inlineStr">
        <is>
          <t>540222</t>
        </is>
      </c>
    </row>
    <row r="19">
      <c r="A19" s="31" t="inlineStr">
        <is>
          <t>CONCOR</t>
        </is>
      </c>
      <c r="B19" s="31" t="inlineStr">
        <is>
          <t>Container Corporation Of India Limited</t>
        </is>
      </c>
      <c r="C19" s="31" t="inlineStr">
        <is>
          <t>transportation</t>
        </is>
      </c>
      <c r="D19" s="31" t="inlineStr">
        <is>
          <t>miscellaneous</t>
        </is>
      </c>
      <c r="E19" s="31" t="inlineStr">
        <is>
          <t>largecap</t>
        </is>
      </c>
      <c r="F19" s="31" t="n">
        <v>36371.06</v>
      </c>
      <c r="G19" s="31" t="n">
        <v>510.5</v>
      </c>
      <c r="H19" s="31" t="n">
        <v>6.9</v>
      </c>
      <c r="I19" s="31" t="n">
        <v>13227175</v>
      </c>
      <c r="J19" s="31" t="inlineStr">
        <is>
          <t>531344</t>
        </is>
      </c>
    </row>
    <row r="20">
      <c r="A20" s="31" t="inlineStr">
        <is>
          <t>HESTERBIO</t>
        </is>
      </c>
      <c r="B20" s="31" t="inlineStr">
        <is>
          <t>Hester Biosciences Limited</t>
        </is>
      </c>
      <c r="C20" s="31" t="inlineStr">
        <is>
          <t>healthcare</t>
        </is>
      </c>
      <c r="D20" s="31" t="inlineStr">
        <is>
          <t>pharmaceuticals - indian - formulations</t>
        </is>
      </c>
      <c r="E20" s="31" t="inlineStr">
        <is>
          <t>smallcap</t>
        </is>
      </c>
      <c r="F20" s="31" t="n">
        <v>2013.92</v>
      </c>
      <c r="G20" s="31" t="n">
        <v>2528.4</v>
      </c>
      <c r="H20" s="31" t="n">
        <v>6.8</v>
      </c>
      <c r="I20" s="31" t="n">
        <v>41089</v>
      </c>
      <c r="J20" s="31" t="inlineStr">
        <is>
          <t>524669</t>
        </is>
      </c>
    </row>
    <row r="21">
      <c r="A21" s="31" t="inlineStr">
        <is>
          <t>SANSTAR</t>
        </is>
      </c>
      <c r="B21" s="31" t="inlineStr">
        <is>
          <t>Sanstar Ltd</t>
        </is>
      </c>
      <c r="C21" s="31" t="inlineStr">
        <is>
          <t>fmcg</t>
        </is>
      </c>
      <c r="D21" s="31" t="inlineStr">
        <is>
          <t>miscellaneous</t>
        </is>
      </c>
      <c r="E21" s="31" t="inlineStr">
        <is>
          <t>smallcap</t>
        </is>
      </c>
      <c r="F21" s="31" t="n">
        <v>2182.32</v>
      </c>
      <c r="G21" s="31" t="n">
        <v>116.24</v>
      </c>
      <c r="H21" s="31" t="n">
        <v>6.67</v>
      </c>
      <c r="I21" s="31" t="n">
        <v>889963</v>
      </c>
      <c r="J21" s="31" t="inlineStr">
        <is>
          <t>544217</t>
        </is>
      </c>
    </row>
    <row r="22">
      <c r="A22" s="31" t="inlineStr">
        <is>
          <t>PNGJL</t>
        </is>
      </c>
      <c r="B22" s="31" t="inlineStr">
        <is>
          <t>P N Gadgil Jewellers Ltd</t>
        </is>
      </c>
      <c r="C22" s="31" t="inlineStr">
        <is>
          <t>consumer discretionary</t>
        </is>
      </c>
      <c r="D22" s="31" t="inlineStr">
        <is>
          <t>diamond cutting / jewellery</t>
        </is>
      </c>
      <c r="E22" s="31" t="inlineStr">
        <is>
          <t>midcap</t>
        </is>
      </c>
      <c r="F22" s="31" t="n">
        <v>8780.33</v>
      </c>
      <c r="G22" s="31" t="n">
        <v>689.05</v>
      </c>
      <c r="H22" s="31" t="n">
        <v>6.5</v>
      </c>
      <c r="I22" s="31" t="n">
        <v>2989095</v>
      </c>
      <c r="J22" s="31" t="n"/>
    </row>
    <row r="23">
      <c r="A23" s="31" t="inlineStr">
        <is>
          <t>DPABHUSHAN</t>
        </is>
      </c>
      <c r="B23" s="31" t="inlineStr">
        <is>
          <t>D.P. Abhushan Ltd</t>
        </is>
      </c>
      <c r="C23" s="31" t="inlineStr">
        <is>
          <t>consumer discretionary</t>
        </is>
      </c>
      <c r="D23" s="31" t="inlineStr">
        <is>
          <t>diamond cutting / jewellery</t>
        </is>
      </c>
      <c r="E23" s="31" t="inlineStr">
        <is>
          <t>smallcap</t>
        </is>
      </c>
      <c r="F23" s="31" t="n">
        <v>3031.66</v>
      </c>
      <c r="G23" s="31" t="n">
        <v>1412.35</v>
      </c>
      <c r="H23" s="31" t="n">
        <v>6.35</v>
      </c>
      <c r="I23" s="31" t="n">
        <v>96545</v>
      </c>
      <c r="J23" s="31" t="inlineStr">
        <is>
          <t>535026</t>
        </is>
      </c>
    </row>
    <row r="24">
      <c r="A24" s="31" t="inlineStr">
        <is>
          <t>TBOTEK</t>
        </is>
      </c>
      <c r="B24" s="31" t="inlineStr">
        <is>
          <t>TBO Tek Ltd</t>
        </is>
      </c>
      <c r="C24" s="31" t="inlineStr">
        <is>
          <t>i.t</t>
        </is>
      </c>
      <c r="D24" s="31" t="inlineStr">
        <is>
          <t>travel agencies</t>
        </is>
      </c>
      <c r="E24" s="31" t="inlineStr">
        <is>
          <t>midcap</t>
        </is>
      </c>
      <c r="F24" s="31" t="n">
        <v>15517.19</v>
      </c>
      <c r="G24" s="31" t="n">
        <v>1519.2</v>
      </c>
      <c r="H24" s="31" t="n">
        <v>6.31</v>
      </c>
      <c r="I24" s="31" t="n">
        <v>211003</v>
      </c>
      <c r="J24" s="31" t="inlineStr">
        <is>
          <t>544174</t>
        </is>
      </c>
    </row>
    <row r="25">
      <c r="A25" s="31" t="inlineStr">
        <is>
          <t>CAPLIPOINT</t>
        </is>
      </c>
      <c r="B25" s="31" t="inlineStr">
        <is>
          <t>Caplin Point Laboratories Limited</t>
        </is>
      </c>
      <c r="C25" s="31" t="inlineStr">
        <is>
          <t>healthcare</t>
        </is>
      </c>
      <c r="D25" s="31" t="inlineStr">
        <is>
          <t>pharmaceuticals - indian - formulations</t>
        </is>
      </c>
      <c r="E25" s="31" t="inlineStr">
        <is>
          <t>midcap</t>
        </is>
      </c>
      <c r="F25" s="31" t="n">
        <v>18752.85</v>
      </c>
      <c r="G25" s="31" t="n">
        <v>2621.4</v>
      </c>
      <c r="H25" s="31" t="n">
        <v>6.25</v>
      </c>
      <c r="I25" s="31" t="n">
        <v>354020</v>
      </c>
      <c r="J25" s="31" t="inlineStr">
        <is>
          <t>524742</t>
        </is>
      </c>
    </row>
    <row r="26">
      <c r="A26" s="31" t="inlineStr">
        <is>
          <t>ALLDIGI</t>
        </is>
      </c>
      <c r="B26" s="31" t="inlineStr">
        <is>
          <t>Alldigi Tech Ltd</t>
        </is>
      </c>
      <c r="C26" s="31" t="inlineStr">
        <is>
          <t>i.t</t>
        </is>
      </c>
      <c r="D26" s="31" t="inlineStr">
        <is>
          <t>computers - software - medium / small</t>
        </is>
      </c>
      <c r="E26" s="31" t="inlineStr">
        <is>
          <t>smallcap</t>
        </is>
      </c>
      <c r="F26" s="31" t="n">
        <v>1253.73</v>
      </c>
      <c r="G26" s="31" t="n">
        <v>872.05</v>
      </c>
      <c r="H26" s="31" t="n">
        <v>5.99</v>
      </c>
      <c r="I26" s="31" t="n">
        <v>103621</v>
      </c>
      <c r="J26" s="31" t="inlineStr">
        <is>
          <t>532633</t>
        </is>
      </c>
    </row>
    <row r="27">
      <c r="A27" s="31" t="inlineStr">
        <is>
          <t>ATUL</t>
        </is>
      </c>
      <c r="B27" s="31" t="inlineStr">
        <is>
          <t>Atul Limited</t>
        </is>
      </c>
      <c r="C27" s="31" t="inlineStr">
        <is>
          <t>chemicals</t>
        </is>
      </c>
      <c r="D27" s="31" t="inlineStr">
        <is>
          <t>chemicals</t>
        </is>
      </c>
      <c r="E27" s="31" t="inlineStr">
        <is>
          <t>midcap</t>
        </is>
      </c>
      <c r="F27" s="31" t="n">
        <v>18864.8</v>
      </c>
      <c r="G27" s="31" t="n">
        <v>6789.5</v>
      </c>
      <c r="H27" s="31" t="n">
        <v>5.96</v>
      </c>
      <c r="I27" s="31" t="n">
        <v>328187</v>
      </c>
      <c r="J27" s="31" t="inlineStr">
        <is>
          <t>500027</t>
        </is>
      </c>
    </row>
    <row r="28">
      <c r="A28" s="31" t="inlineStr">
        <is>
          <t>MARINE</t>
        </is>
      </c>
      <c r="B28" s="31" t="inlineStr">
        <is>
          <t>Marine Electricals (India) Ltd</t>
        </is>
      </c>
      <c r="C28" s="31" t="inlineStr">
        <is>
          <t>industrials</t>
        </is>
      </c>
      <c r="D28" s="31" t="inlineStr">
        <is>
          <t>electric equipment</t>
        </is>
      </c>
      <c r="E28" s="31" t="inlineStr">
        <is>
          <t>smallcap</t>
        </is>
      </c>
      <c r="F28" s="31" t="n">
        <v>3565.78</v>
      </c>
      <c r="G28" s="31" t="n">
        <v>269.95</v>
      </c>
      <c r="H28" s="31" t="n">
        <v>5.95</v>
      </c>
      <c r="I28" s="31" t="n">
        <v>1123801</v>
      </c>
      <c r="J28" s="31" t="inlineStr">
        <is>
          <t>535119</t>
        </is>
      </c>
    </row>
    <row r="29">
      <c r="A29" s="31" t="inlineStr">
        <is>
          <t>PPLPHARMA</t>
        </is>
      </c>
      <c r="B29" s="31" t="inlineStr">
        <is>
          <t>Piramal Pharma Ltd</t>
        </is>
      </c>
      <c r="C29" s="31" t="inlineStr">
        <is>
          <t>healthcare</t>
        </is>
      </c>
      <c r="D29" s="31" t="inlineStr">
        <is>
          <t>pharmaceuticals - indian - bulk drugs &amp; formln</t>
        </is>
      </c>
      <c r="E29" s="31" t="inlineStr">
        <is>
          <t>largecap</t>
        </is>
      </c>
      <c r="F29" s="31" t="n">
        <v>24133.35</v>
      </c>
      <c r="G29" s="31" t="n">
        <v>192.05</v>
      </c>
      <c r="H29" s="31" t="n">
        <v>5.95</v>
      </c>
      <c r="I29" s="31" t="n">
        <v>15154930</v>
      </c>
      <c r="J29" s="31" t="inlineStr">
        <is>
          <t>543635</t>
        </is>
      </c>
    </row>
    <row r="30">
      <c r="A30" s="31" t="inlineStr">
        <is>
          <t>LXCHEM</t>
        </is>
      </c>
      <c r="B30" s="31" t="inlineStr">
        <is>
          <t>Laxmi Organic Industries Ltd</t>
        </is>
      </c>
      <c r="C30" s="31" t="inlineStr">
        <is>
          <t>chemicals</t>
        </is>
      </c>
      <c r="D30" s="31" t="inlineStr">
        <is>
          <t>chemicals</t>
        </is>
      </c>
      <c r="E30" s="31" t="inlineStr">
        <is>
          <t>midcap</t>
        </is>
      </c>
      <c r="F30" s="31" t="n">
        <v>5053.01</v>
      </c>
      <c r="G30" s="31" t="n">
        <v>193.05</v>
      </c>
      <c r="H30" s="31" t="n">
        <v>5.91</v>
      </c>
      <c r="I30" s="31" t="n">
        <v>3877963</v>
      </c>
      <c r="J30" s="31" t="inlineStr">
        <is>
          <t>543277</t>
        </is>
      </c>
    </row>
    <row r="31">
      <c r="A31" s="31" t="inlineStr">
        <is>
          <t>NILKAMAL</t>
        </is>
      </c>
      <c r="B31" s="31" t="inlineStr">
        <is>
          <t>Nilkamal Limited</t>
        </is>
      </c>
      <c r="C31" s="31" t="inlineStr">
        <is>
          <t>plastic products</t>
        </is>
      </c>
      <c r="D31" s="31" t="inlineStr">
        <is>
          <t>plastics products</t>
        </is>
      </c>
      <c r="E31" s="31" t="inlineStr">
        <is>
          <t>smallcap</t>
        </is>
      </c>
      <c r="F31" s="31" t="n">
        <v>2501.16</v>
      </c>
      <c r="G31" s="31" t="n">
        <v>1775.2</v>
      </c>
      <c r="H31" s="31" t="n">
        <v>5.91</v>
      </c>
      <c r="I31" s="31" t="n">
        <v>115784</v>
      </c>
      <c r="J31" s="31" t="inlineStr">
        <is>
          <t>523385</t>
        </is>
      </c>
    </row>
    <row r="32">
      <c r="A32" s="31" t="inlineStr">
        <is>
          <t>MANBA</t>
        </is>
      </c>
      <c r="B32" s="31" t="inlineStr">
        <is>
          <t>Manba Finance Ltd</t>
        </is>
      </c>
      <c r="C32" s="31" t="inlineStr">
        <is>
          <t>financials</t>
        </is>
      </c>
      <c r="D32" s="31" t="inlineStr">
        <is>
          <t>finance &amp; investments</t>
        </is>
      </c>
      <c r="E32" s="31" t="inlineStr">
        <is>
          <t>smallcap</t>
        </is>
      </c>
      <c r="F32" s="31" t="n">
        <v>694.36</v>
      </c>
      <c r="G32" s="31" t="n">
        <v>146.37</v>
      </c>
      <c r="H32" s="31" t="n">
        <v>5.9</v>
      </c>
      <c r="I32" s="31" t="n">
        <v>2948629</v>
      </c>
      <c r="J32" s="31" t="inlineStr">
        <is>
          <t>544262</t>
        </is>
      </c>
    </row>
    <row r="33">
      <c r="A33" s="31" t="inlineStr">
        <is>
          <t>ARIHANT</t>
        </is>
      </c>
      <c r="B33" s="31" t="inlineStr">
        <is>
          <t>Arihant Foundations &amp; Housing Limited</t>
        </is>
      </c>
      <c r="C33" s="31" t="inlineStr">
        <is>
          <t>realty</t>
        </is>
      </c>
      <c r="D33" s="31" t="inlineStr">
        <is>
          <t>construction</t>
        </is>
      </c>
      <c r="E33" s="31" t="inlineStr">
        <is>
          <t>smallcap</t>
        </is>
      </c>
      <c r="F33" s="31" t="n">
        <v>1018.19</v>
      </c>
      <c r="G33" s="31" t="n">
        <v>1081.4</v>
      </c>
      <c r="H33" s="31" t="n">
        <v>5.84</v>
      </c>
      <c r="I33" s="31" t="n">
        <v>7647</v>
      </c>
      <c r="J33" s="31" t="inlineStr">
        <is>
          <t>531381</t>
        </is>
      </c>
    </row>
    <row r="34">
      <c r="A34" s="31" t="inlineStr">
        <is>
          <t>THANGAMAYL</t>
        </is>
      </c>
      <c r="B34" s="31" t="inlineStr">
        <is>
          <t>Thangamayil Jewellery Limited</t>
        </is>
      </c>
      <c r="C34" s="31" t="inlineStr">
        <is>
          <t>consumer discretionary</t>
        </is>
      </c>
      <c r="D34" s="31" t="inlineStr">
        <is>
          <t>diamond cutting / jewellery</t>
        </is>
      </c>
      <c r="E34" s="31" t="inlineStr">
        <is>
          <t>largecap</t>
        </is>
      </c>
      <c r="F34" s="31" t="n">
        <v>21466.8</v>
      </c>
      <c r="G34" s="31" t="n">
        <v>7309.5</v>
      </c>
      <c r="H34" s="31" t="n">
        <v>5.84</v>
      </c>
      <c r="I34" s="31" t="n">
        <v>301466</v>
      </c>
      <c r="J34" s="31" t="inlineStr">
        <is>
          <t>533158</t>
        </is>
      </c>
    </row>
    <row r="35">
      <c r="A35" s="31" t="inlineStr">
        <is>
          <t>PRICOLLTD</t>
        </is>
      </c>
      <c r="B35" s="31" t="inlineStr">
        <is>
          <t>Pricol Ltd.</t>
        </is>
      </c>
      <c r="C35" s="31" t="inlineStr">
        <is>
          <t>auto</t>
        </is>
      </c>
      <c r="D35" s="31" t="inlineStr">
        <is>
          <t>auto ancillaries</t>
        </is>
      </c>
      <c r="E35" s="31" t="inlineStr">
        <is>
          <t>midcap</t>
        </is>
      </c>
      <c r="F35" s="31" t="n">
        <v>7662.69</v>
      </c>
      <c r="G35" s="31" t="n">
        <v>665.35</v>
      </c>
      <c r="H35" s="31" t="n">
        <v>5.83</v>
      </c>
      <c r="I35" s="31" t="n">
        <v>1352331</v>
      </c>
      <c r="J35" s="31" t="inlineStr">
        <is>
          <t>540293</t>
        </is>
      </c>
    </row>
    <row r="36">
      <c r="A36" s="31" t="inlineStr">
        <is>
          <t>ETERNAL</t>
        </is>
      </c>
      <c r="B36" s="31" t="inlineStr">
        <is>
          <t>Eternal Ltd</t>
        </is>
      </c>
      <c r="C36" s="31" t="inlineStr">
        <is>
          <t>i.t</t>
        </is>
      </c>
      <c r="D36" s="31" t="inlineStr">
        <is>
          <t>miscellaneous</t>
        </is>
      </c>
      <c r="E36" s="31" t="inlineStr">
        <is>
          <t>largecap</t>
        </is>
      </c>
      <c r="F36" s="31" t="n">
        <v>270209.82</v>
      </c>
      <c r="G36" s="31" t="n">
        <v>295.85</v>
      </c>
      <c r="H36" s="31" t="n">
        <v>5.66</v>
      </c>
      <c r="I36" s="31" t="n">
        <v>48012383</v>
      </c>
      <c r="J36" s="31" t="inlineStr">
        <is>
          <t>543320</t>
        </is>
      </c>
    </row>
    <row r="37">
      <c r="A37" s="31" t="inlineStr">
        <is>
          <t>PVRINOX</t>
        </is>
      </c>
      <c r="B37" s="31" t="inlineStr">
        <is>
          <t>PVR Inox Ltd</t>
        </is>
      </c>
      <c r="C37" s="31" t="inlineStr">
        <is>
          <t>media</t>
        </is>
      </c>
      <c r="D37" s="31" t="inlineStr">
        <is>
          <t>entertainment / electronic media software</t>
        </is>
      </c>
      <c r="E37" s="31" t="inlineStr">
        <is>
          <t>midcap</t>
        </is>
      </c>
      <c r="F37" s="31" t="n">
        <v>10447.99</v>
      </c>
      <c r="G37" s="31" t="n">
        <v>1123.2</v>
      </c>
      <c r="H37" s="31" t="n">
        <v>5.57</v>
      </c>
      <c r="I37" s="31" t="n">
        <v>1608571</v>
      </c>
      <c r="J37" s="31" t="inlineStr">
        <is>
          <t>532689</t>
        </is>
      </c>
    </row>
    <row r="38">
      <c r="A38" s="31" t="inlineStr">
        <is>
          <t>INDSWFTLAB</t>
        </is>
      </c>
      <c r="B38" s="31" t="inlineStr">
        <is>
          <t>Ind-swift Laboratories Limited</t>
        </is>
      </c>
      <c r="C38" s="31" t="inlineStr">
        <is>
          <t>healthcare</t>
        </is>
      </c>
      <c r="D38" s="31" t="inlineStr">
        <is>
          <t>pharmaceuticals - indian - bulk drugs &amp; formln</t>
        </is>
      </c>
      <c r="E38" s="31" t="inlineStr">
        <is>
          <t>smallcap</t>
        </is>
      </c>
      <c r="F38" s="31" t="n">
        <v>1978.29</v>
      </c>
      <c r="G38" s="31" t="n">
        <v>239.91</v>
      </c>
      <c r="H38" s="31" t="n">
        <v>5.46</v>
      </c>
      <c r="I38" s="31" t="n">
        <v>478681</v>
      </c>
      <c r="J38" s="31" t="inlineStr">
        <is>
          <t>532305</t>
        </is>
      </c>
    </row>
    <row r="39">
      <c r="A39" s="31" t="inlineStr">
        <is>
          <t>GABRIEL</t>
        </is>
      </c>
      <c r="B39" s="31" t="inlineStr">
        <is>
          <t>Gabriel India Limited</t>
        </is>
      </c>
      <c r="C39" s="31" t="inlineStr">
        <is>
          <t>auto</t>
        </is>
      </c>
      <c r="D39" s="31" t="inlineStr">
        <is>
          <t>auto ancillaries</t>
        </is>
      </c>
      <c r="E39" s="31" t="inlineStr">
        <is>
          <t>largecap</t>
        </is>
      </c>
      <c r="F39" s="31" t="n">
        <v>24165.31</v>
      </c>
      <c r="G39" s="31" t="n">
        <v>1437.8</v>
      </c>
      <c r="H39" s="31" t="n">
        <v>5.45</v>
      </c>
      <c r="I39" s="31" t="n">
        <v>662635</v>
      </c>
      <c r="J39" s="31" t="inlineStr">
        <is>
          <t>505714</t>
        </is>
      </c>
    </row>
    <row r="40">
      <c r="A40" s="31" t="inlineStr">
        <is>
          <t>KERNEX</t>
        </is>
      </c>
      <c r="B40" s="31" t="inlineStr">
        <is>
          <t>Kernex Microsystems (india) Limited</t>
        </is>
      </c>
      <c r="C40" s="31" t="inlineStr">
        <is>
          <t>consumer discretionary</t>
        </is>
      </c>
      <c r="D40" s="31" t="inlineStr">
        <is>
          <t>electronics - components</t>
        </is>
      </c>
      <c r="E40" s="31" t="inlineStr">
        <is>
          <t>smallcap</t>
        </is>
      </c>
      <c r="F40" s="31" t="n">
        <v>3705.53</v>
      </c>
      <c r="G40" s="31" t="n">
        <v>2321.2</v>
      </c>
      <c r="H40" s="31" t="n">
        <v>5.26</v>
      </c>
      <c r="I40" s="31" t="n">
        <v>215636</v>
      </c>
      <c r="J40" s="31" t="inlineStr">
        <is>
          <t>532686</t>
        </is>
      </c>
    </row>
    <row r="41">
      <c r="A41" s="31" t="inlineStr">
        <is>
          <t>IMPAL</t>
        </is>
      </c>
      <c r="B41" s="31" t="inlineStr">
        <is>
          <t>India Motor Parts And Accessories Limited</t>
        </is>
      </c>
      <c r="C41" s="31" t="inlineStr">
        <is>
          <t>auto</t>
        </is>
      </c>
      <c r="D41" s="31" t="inlineStr">
        <is>
          <t>auto ancillaries</t>
        </is>
      </c>
      <c r="E41" s="31" t="inlineStr">
        <is>
          <t>smallcap</t>
        </is>
      </c>
      <c r="F41" s="31" t="n">
        <v>1342.97</v>
      </c>
      <c r="G41" s="31" t="n">
        <v>1132.4</v>
      </c>
      <c r="H41" s="31" t="n">
        <v>5.23</v>
      </c>
      <c r="I41" s="31" t="n">
        <v>5400</v>
      </c>
      <c r="J41" s="31" t="inlineStr">
        <is>
          <t>590065</t>
        </is>
      </c>
    </row>
    <row r="42">
      <c r="A42" s="31" t="inlineStr">
        <is>
          <t>OAL</t>
        </is>
      </c>
      <c r="B42" s="31" t="inlineStr">
        <is>
          <t>Oriental Aromatics Ltd</t>
        </is>
      </c>
      <c r="C42" s="31" t="inlineStr">
        <is>
          <t>chemicals</t>
        </is>
      </c>
      <c r="D42" s="31" t="inlineStr">
        <is>
          <t>chemicals</t>
        </is>
      </c>
      <c r="E42" s="31" t="inlineStr">
        <is>
          <t>smallcap</t>
        </is>
      </c>
      <c r="F42" s="31" t="n">
        <v>1255.28</v>
      </c>
      <c r="G42" s="31" t="n">
        <v>392.45</v>
      </c>
      <c r="H42" s="31" t="n">
        <v>5.21</v>
      </c>
      <c r="I42" s="31" t="n">
        <v>104430</v>
      </c>
      <c r="J42" s="31" t="inlineStr">
        <is>
          <t>500078</t>
        </is>
      </c>
    </row>
    <row r="43">
      <c r="A43" s="31" t="inlineStr">
        <is>
          <t>VAIBHAVGBL</t>
        </is>
      </c>
      <c r="B43" s="31" t="inlineStr">
        <is>
          <t>Vaibhav Global Limited</t>
        </is>
      </c>
      <c r="C43" s="31" t="inlineStr">
        <is>
          <t>consumer discretionary</t>
        </is>
      </c>
      <c r="D43" s="31" t="inlineStr">
        <is>
          <t>diamond cutting / jewellery</t>
        </is>
      </c>
      <c r="E43" s="31" t="inlineStr">
        <is>
          <t>smallcap</t>
        </is>
      </c>
      <c r="F43" s="31" t="n">
        <v>4216.27</v>
      </c>
      <c r="G43" s="31" t="n">
        <v>264.99</v>
      </c>
      <c r="H43" s="31" t="n">
        <v>5.18</v>
      </c>
      <c r="I43" s="31" t="n">
        <v>675981</v>
      </c>
      <c r="J43" s="31" t="inlineStr">
        <is>
          <t>532156</t>
        </is>
      </c>
    </row>
    <row r="44">
      <c r="A44" s="31" t="inlineStr">
        <is>
          <t>ANANTRAJ</t>
        </is>
      </c>
      <c r="B44" s="31" t="inlineStr">
        <is>
          <t>Anant Raj Limited</t>
        </is>
      </c>
      <c r="C44" s="31" t="inlineStr">
        <is>
          <t>realty</t>
        </is>
      </c>
      <c r="D44" s="31" t="inlineStr">
        <is>
          <t>construction</t>
        </is>
      </c>
      <c r="E44" s="31" t="inlineStr">
        <is>
          <t>largecap</t>
        </is>
      </c>
      <c r="F44" s="31" t="n">
        <v>21108.58</v>
      </c>
      <c r="G44" s="31" t="n">
        <v>616.9</v>
      </c>
      <c r="H44" s="31" t="n">
        <v>5.17</v>
      </c>
      <c r="I44" s="31" t="n">
        <v>4640775</v>
      </c>
      <c r="J44" s="31" t="inlineStr">
        <is>
          <t>515055</t>
        </is>
      </c>
    </row>
    <row r="45">
      <c r="A45" s="31" t="inlineStr">
        <is>
          <t>MUNJALAU</t>
        </is>
      </c>
      <c r="B45" s="31" t="inlineStr">
        <is>
          <t>Munjal Auto Industries Limited</t>
        </is>
      </c>
      <c r="C45" s="31" t="inlineStr">
        <is>
          <t>auto</t>
        </is>
      </c>
      <c r="D45" s="31" t="inlineStr">
        <is>
          <t>auto ancillaries</t>
        </is>
      </c>
      <c r="E45" s="31" t="inlineStr">
        <is>
          <t>smallcap</t>
        </is>
      </c>
      <c r="F45" s="31" t="n">
        <v>997.7</v>
      </c>
      <c r="G45" s="31" t="n">
        <v>104.9</v>
      </c>
      <c r="H45" s="31" t="n">
        <v>5.14</v>
      </c>
      <c r="I45" s="31" t="n">
        <v>1121215</v>
      </c>
      <c r="J45" s="31" t="inlineStr">
        <is>
          <t>520059</t>
        </is>
      </c>
    </row>
    <row r="46">
      <c r="A46" s="31" t="inlineStr">
        <is>
          <t>WSTCSTPAPR</t>
        </is>
      </c>
      <c r="B46" s="31" t="inlineStr">
        <is>
          <t>West Coast Paper Mills Limited</t>
        </is>
      </c>
      <c r="C46" s="31" t="inlineStr">
        <is>
          <t>building materials</t>
        </is>
      </c>
      <c r="D46" s="31" t="inlineStr">
        <is>
          <t>paper</t>
        </is>
      </c>
      <c r="E46" s="31" t="inlineStr">
        <is>
          <t>smallcap</t>
        </is>
      </c>
      <c r="F46" s="31" t="n">
        <v>3656.14</v>
      </c>
      <c r="G46" s="31" t="n">
        <v>581.7</v>
      </c>
      <c r="H46" s="31" t="n">
        <v>5.09</v>
      </c>
      <c r="I46" s="31" t="n">
        <v>542425</v>
      </c>
      <c r="J46" s="31" t="inlineStr">
        <is>
          <t>500444</t>
        </is>
      </c>
    </row>
    <row r="47">
      <c r="A47" s="31" t="inlineStr">
        <is>
          <t>IDFCFIRSTB</t>
        </is>
      </c>
      <c r="B47" s="31" t="inlineStr">
        <is>
          <t>IDFC First Bank Ltd</t>
        </is>
      </c>
      <c r="C47" s="31" t="inlineStr">
        <is>
          <t>bank</t>
        </is>
      </c>
      <c r="D47" s="31" t="inlineStr">
        <is>
          <t>banks - private sector</t>
        </is>
      </c>
      <c r="E47" s="31" t="inlineStr">
        <is>
          <t>largecap</t>
        </is>
      </c>
      <c r="F47" s="31" t="n">
        <v>69598.45</v>
      </c>
      <c r="G47" s="31" t="n">
        <v>84.88</v>
      </c>
      <c r="H47" s="31" t="n">
        <v>5.06</v>
      </c>
      <c r="I47" s="31" t="n">
        <v>177923165</v>
      </c>
      <c r="J47" s="31" t="inlineStr">
        <is>
          <t>539437</t>
        </is>
      </c>
    </row>
    <row r="48">
      <c r="A48" s="31" t="inlineStr">
        <is>
          <t>LANDMARK</t>
        </is>
      </c>
      <c r="B48" s="31" t="inlineStr">
        <is>
          <t>Landmark Cars Ltd</t>
        </is>
      </c>
      <c r="C48" s="31" t="inlineStr">
        <is>
          <t>consumer discretionary</t>
        </is>
      </c>
      <c r="D48" s="31" t="inlineStr">
        <is>
          <t>trading</t>
        </is>
      </c>
      <c r="E48" s="31" t="inlineStr">
        <is>
          <t>smallcap</t>
        </is>
      </c>
      <c r="F48" s="31" t="n">
        <v>2126.32</v>
      </c>
      <c r="G48" s="31" t="n">
        <v>538.5</v>
      </c>
      <c r="H48" s="31" t="n">
        <v>5.01</v>
      </c>
      <c r="I48" s="31" t="n">
        <v>678636</v>
      </c>
      <c r="J48" s="31" t="inlineStr">
        <is>
          <t>543714</t>
        </is>
      </c>
    </row>
    <row r="49">
      <c r="A49" s="31" t="inlineStr">
        <is>
          <t>FAIRCHEMOR</t>
        </is>
      </c>
      <c r="B49" s="31" t="inlineStr">
        <is>
          <t>Fairchem Organics Ltd</t>
        </is>
      </c>
      <c r="C49" s="31" t="inlineStr">
        <is>
          <t>chemicals</t>
        </is>
      </c>
      <c r="D49" s="31" t="inlineStr">
        <is>
          <t>chemicals</t>
        </is>
      </c>
      <c r="E49" s="31" t="inlineStr">
        <is>
          <t>smallcap</t>
        </is>
      </c>
      <c r="F49" s="31" t="n">
        <v>967.49</v>
      </c>
      <c r="G49" s="31" t="n">
        <v>806.5</v>
      </c>
      <c r="H49" s="31" t="n">
        <v>5</v>
      </c>
      <c r="I49" s="31" t="n">
        <v>141631</v>
      </c>
      <c r="J49" s="31" t="inlineStr">
        <is>
          <t>543252</t>
        </is>
      </c>
    </row>
    <row r="50">
      <c r="A50" s="31" t="inlineStr">
        <is>
          <t>SICALLOG</t>
        </is>
      </c>
      <c r="B50" s="31" t="inlineStr">
        <is>
          <t>Sical Logistics Ltd</t>
        </is>
      </c>
      <c r="C50" s="31" t="inlineStr">
        <is>
          <t>transportation</t>
        </is>
      </c>
      <c r="D50" s="31" t="inlineStr">
        <is>
          <t>miscellaneous</t>
        </is>
      </c>
      <c r="E50" s="31" t="inlineStr">
        <is>
          <t>smallcap</t>
        </is>
      </c>
      <c r="F50" s="31" t="n">
        <v>774.47</v>
      </c>
      <c r="G50" s="31" t="n">
        <v>101.92</v>
      </c>
      <c r="H50" s="31" t="n">
        <v>5</v>
      </c>
      <c r="I50" s="31" t="n">
        <v>52165</v>
      </c>
      <c r="J50" s="31" t="inlineStr">
        <is>
          <t>520086</t>
        </is>
      </c>
    </row>
    <row r="51">
      <c r="A51" s="31" t="inlineStr">
        <is>
          <t>OCCLLTD</t>
        </is>
      </c>
      <c r="B51" s="31" t="inlineStr">
        <is>
          <t>OCCL Ltd</t>
        </is>
      </c>
      <c r="C51" s="31" t="inlineStr">
        <is>
          <t>chemicals</t>
        </is>
      </c>
      <c r="D51" s="31" t="inlineStr">
        <is>
          <t>chemicals</t>
        </is>
      </c>
      <c r="E51" s="31" t="inlineStr">
        <is>
          <t>smallcap</t>
        </is>
      </c>
      <c r="F51" s="31" t="n">
        <v>724.08</v>
      </c>
      <c r="G51" s="31" t="n">
        <v>152.2</v>
      </c>
      <c r="H51" s="31" t="n">
        <v>4.99</v>
      </c>
      <c r="I51" s="31" t="n">
        <v>151676</v>
      </c>
      <c r="J51" s="31" t="inlineStr">
        <is>
          <t>544278</t>
        </is>
      </c>
    </row>
    <row r="52">
      <c r="A52" s="31" t="inlineStr">
        <is>
          <t>E2E</t>
        </is>
      </c>
      <c r="B52" s="31" t="inlineStr">
        <is>
          <t>E2E Networks Ltd</t>
        </is>
      </c>
      <c r="C52" s="31" t="inlineStr">
        <is>
          <t>i.t</t>
        </is>
      </c>
      <c r="D52" s="31" t="inlineStr">
        <is>
          <t>computers - software - medium / small</t>
        </is>
      </c>
      <c r="E52" s="31" t="inlineStr">
        <is>
          <t>midcap</t>
        </is>
      </c>
      <c r="F52" s="31" t="n">
        <v>10621.54</v>
      </c>
      <c r="G52" s="31" t="n">
        <v>542.5</v>
      </c>
      <c r="H52" s="31" t="n">
        <v>4.99</v>
      </c>
      <c r="I52" s="31" t="n">
        <v>429556</v>
      </c>
      <c r="J52" s="31" t="inlineStr">
        <is>
          <t>535080</t>
        </is>
      </c>
    </row>
    <row r="53">
      <c r="A53" s="31" t="inlineStr">
        <is>
          <t>SALSTEEL</t>
        </is>
      </c>
      <c r="B53" s="31" t="inlineStr">
        <is>
          <t>SAL Steel</t>
        </is>
      </c>
      <c r="C53" s="31" t="inlineStr">
        <is>
          <t>metals &amp; mining</t>
        </is>
      </c>
      <c r="D53" s="31" t="inlineStr">
        <is>
          <t>steel - sponge iron</t>
        </is>
      </c>
      <c r="E53" s="31" t="inlineStr">
        <is>
          <t>smallcap</t>
        </is>
      </c>
      <c r="F53" s="31" t="n">
        <v>820.97</v>
      </c>
      <c r="G53" s="31" t="n">
        <v>59.54</v>
      </c>
      <c r="H53" s="31" t="n">
        <v>4.99</v>
      </c>
      <c r="I53" s="31" t="n">
        <v>197903</v>
      </c>
      <c r="J53" s="31" t="inlineStr">
        <is>
          <t>532604</t>
        </is>
      </c>
    </row>
    <row r="54">
      <c r="A54" s="31" t="inlineStr">
        <is>
          <t>SCPL</t>
        </is>
      </c>
      <c r="B54" s="31" t="inlineStr">
        <is>
          <t>Sheetal Cool Products Ltd</t>
        </is>
      </c>
      <c r="C54" s="31" t="inlineStr">
        <is>
          <t>fmcg</t>
        </is>
      </c>
      <c r="D54" s="31" t="inlineStr">
        <is>
          <t>food - processing - indian</t>
        </is>
      </c>
      <c r="E54" s="31" t="inlineStr">
        <is>
          <t>smallcap</t>
        </is>
      </c>
      <c r="F54" s="31" t="n">
        <v>599.39</v>
      </c>
      <c r="G54" s="31" t="n">
        <v>599.3</v>
      </c>
      <c r="H54" s="31" t="n">
        <v>4.98</v>
      </c>
      <c r="I54" s="31" t="n">
        <v>37999</v>
      </c>
      <c r="J54" s="31" t="inlineStr">
        <is>
          <t>540757</t>
        </is>
      </c>
    </row>
    <row r="55">
      <c r="A55" s="31" t="inlineStr">
        <is>
          <t>SAMBHV</t>
        </is>
      </c>
      <c r="B55" s="31" t="inlineStr">
        <is>
          <t>Sambhv Steel Tubes Ltd</t>
        </is>
      </c>
      <c r="C55" s="31" t="inlineStr">
        <is>
          <t>metals &amp; mining</t>
        </is>
      </c>
      <c r="D55" s="31" t="inlineStr">
        <is>
          <t>steel - medium / small</t>
        </is>
      </c>
      <c r="E55" s="31" t="inlineStr">
        <is>
          <t>smallcap</t>
        </is>
      </c>
      <c r="F55" s="31" t="n">
        <v>3415.83</v>
      </c>
      <c r="G55" s="31" t="n">
        <v>121.69</v>
      </c>
      <c r="H55" s="31" t="n">
        <v>4.98</v>
      </c>
      <c r="I55" s="31" t="n">
        <v>1861564</v>
      </c>
      <c r="J55" s="31" t="inlineStr">
        <is>
          <t>544430</t>
        </is>
      </c>
    </row>
    <row r="56">
      <c r="A56" s="31" t="inlineStr">
        <is>
          <t>APCOTEXIND</t>
        </is>
      </c>
      <c r="B56" s="31" t="inlineStr">
        <is>
          <t>Apcotex Industries Limited</t>
        </is>
      </c>
      <c r="C56" s="31" t="inlineStr">
        <is>
          <t>chemicals</t>
        </is>
      </c>
      <c r="D56" s="31" t="inlineStr">
        <is>
          <t>miscellaneous</t>
        </is>
      </c>
      <c r="E56" s="31" t="inlineStr">
        <is>
          <t>smallcap</t>
        </is>
      </c>
      <c r="F56" s="31" t="n">
        <v>2908.76</v>
      </c>
      <c r="G56" s="31" t="n">
        <v>588.5</v>
      </c>
      <c r="H56" s="31" t="n">
        <v>4.89</v>
      </c>
      <c r="I56" s="31" t="n">
        <v>278947</v>
      </c>
      <c r="J56" s="31" t="inlineStr">
        <is>
          <t>523694</t>
        </is>
      </c>
    </row>
    <row r="57">
      <c r="A57" s="31" t="inlineStr">
        <is>
          <t>CREDITACC</t>
        </is>
      </c>
      <c r="B57" s="31" t="inlineStr">
        <is>
          <t>CreditAccess Grameen Ltd</t>
        </is>
      </c>
      <c r="C57" s="31" t="inlineStr">
        <is>
          <t>financials</t>
        </is>
      </c>
      <c r="D57" s="31" t="inlineStr">
        <is>
          <t>finance &amp; investments</t>
        </is>
      </c>
      <c r="E57" s="31" t="inlineStr">
        <is>
          <t>largecap</t>
        </is>
      </c>
      <c r="F57" s="31" t="n">
        <v>24320.99</v>
      </c>
      <c r="G57" s="31" t="n">
        <v>1591.1</v>
      </c>
      <c r="H57" s="31" t="n">
        <v>4.84</v>
      </c>
      <c r="I57" s="31" t="n">
        <v>3825382</v>
      </c>
      <c r="J57" s="31" t="inlineStr">
        <is>
          <t>541770</t>
        </is>
      </c>
    </row>
    <row r="58">
      <c r="A58" s="31" t="inlineStr">
        <is>
          <t>AUBANK</t>
        </is>
      </c>
      <c r="B58" s="31" t="inlineStr">
        <is>
          <t>AU Small Finance Bank Ltd</t>
        </is>
      </c>
      <c r="C58" s="31" t="inlineStr">
        <is>
          <t>bank</t>
        </is>
      </c>
      <c r="D58" s="31" t="inlineStr">
        <is>
          <t>banks - private sector</t>
        </is>
      </c>
      <c r="E58" s="31" t="inlineStr">
        <is>
          <t>largecap</t>
        </is>
      </c>
      <c r="F58" s="31" t="n">
        <v>75196.78</v>
      </c>
      <c r="G58" s="31" t="n">
        <v>1052.2</v>
      </c>
      <c r="H58" s="31" t="n">
        <v>4.8</v>
      </c>
      <c r="I58" s="31" t="n">
        <v>5047131</v>
      </c>
      <c r="J58" s="31" t="inlineStr">
        <is>
          <t>540611</t>
        </is>
      </c>
    </row>
    <row r="59">
      <c r="A59" s="31" t="inlineStr">
        <is>
          <t>LODHA</t>
        </is>
      </c>
      <c r="B59" s="31" t="inlineStr">
        <is>
          <t>Lodha Developers Ltd</t>
        </is>
      </c>
      <c r="C59" s="31" t="inlineStr">
        <is>
          <t>realty</t>
        </is>
      </c>
      <c r="D59" s="31" t="inlineStr">
        <is>
          <t>construction</t>
        </is>
      </c>
      <c r="E59" s="31" t="inlineStr">
        <is>
          <t>largecap</t>
        </is>
      </c>
      <c r="F59" s="31" t="n">
        <v>114306.39</v>
      </c>
      <c r="G59" s="31" t="n">
        <v>1198.7</v>
      </c>
      <c r="H59" s="31" t="n">
        <v>4.77</v>
      </c>
      <c r="I59" s="31" t="n">
        <v>4971286</v>
      </c>
      <c r="J59" s="31" t="inlineStr">
        <is>
          <t>543287</t>
        </is>
      </c>
    </row>
    <row r="60">
      <c r="A60" s="31" t="inlineStr">
        <is>
          <t>NH</t>
        </is>
      </c>
      <c r="B60" s="31" t="inlineStr">
        <is>
          <t>Narayana Hrudayalaya Ltd.</t>
        </is>
      </c>
      <c r="C60" s="31" t="inlineStr">
        <is>
          <t>healthcare</t>
        </is>
      </c>
      <c r="D60" s="31" t="inlineStr">
        <is>
          <t>healthcare</t>
        </is>
      </c>
      <c r="E60" s="31" t="inlineStr">
        <is>
          <t>largecap</t>
        </is>
      </c>
      <c r="F60" s="31" t="n">
        <v>40085.37</v>
      </c>
      <c r="G60" s="31" t="n">
        <v>2054</v>
      </c>
      <c r="H60" s="31" t="n">
        <v>4.72</v>
      </c>
      <c r="I60" s="31" t="n">
        <v>398068</v>
      </c>
      <c r="J60" s="31" t="inlineStr">
        <is>
          <t>539551</t>
        </is>
      </c>
    </row>
    <row r="61">
      <c r="A61" s="31" t="inlineStr">
        <is>
          <t>IGPL</t>
        </is>
      </c>
      <c r="B61" s="31" t="inlineStr">
        <is>
          <t>Ig Petrochemicals Limited</t>
        </is>
      </c>
      <c r="C61" s="31" t="inlineStr">
        <is>
          <t>chemicals</t>
        </is>
      </c>
      <c r="D61" s="31" t="inlineStr">
        <is>
          <t>chemicals</t>
        </is>
      </c>
      <c r="E61" s="31" t="inlineStr">
        <is>
          <t>smallcap</t>
        </is>
      </c>
      <c r="F61" s="31" t="n">
        <v>1390.54</v>
      </c>
      <c r="G61" s="31" t="n">
        <v>472.75</v>
      </c>
      <c r="H61" s="31" t="n">
        <v>4.69</v>
      </c>
      <c r="I61" s="31" t="n">
        <v>139288</v>
      </c>
      <c r="J61" s="31" t="inlineStr">
        <is>
          <t>500199</t>
        </is>
      </c>
    </row>
    <row r="62">
      <c r="A62" s="31" t="inlineStr">
        <is>
          <t>RICOAUTO</t>
        </is>
      </c>
      <c r="B62" s="31" t="inlineStr">
        <is>
          <t>Rico Auto Industries Limited</t>
        </is>
      </c>
      <c r="C62" s="31" t="inlineStr">
        <is>
          <t>auto</t>
        </is>
      </c>
      <c r="D62" s="31" t="inlineStr">
        <is>
          <t>auto ancillaries</t>
        </is>
      </c>
      <c r="E62" s="31" t="inlineStr">
        <is>
          <t>smallcap</t>
        </is>
      </c>
      <c r="F62" s="31" t="n">
        <v>1881.41</v>
      </c>
      <c r="G62" s="31" t="n">
        <v>145.59</v>
      </c>
      <c r="H62" s="31" t="n">
        <v>4.69</v>
      </c>
      <c r="I62" s="31" t="n">
        <v>4112427</v>
      </c>
      <c r="J62" s="31" t="inlineStr">
        <is>
          <t>520008</t>
        </is>
      </c>
    </row>
    <row r="63">
      <c r="A63" s="31" t="inlineStr">
        <is>
          <t>JAYAGROGN</t>
        </is>
      </c>
      <c r="B63" s="31" t="inlineStr">
        <is>
          <t>Jayant Agro Organics Limited</t>
        </is>
      </c>
      <c r="C63" s="31" t="inlineStr">
        <is>
          <t>chemicals</t>
        </is>
      </c>
      <c r="D63" s="31" t="inlineStr">
        <is>
          <t>chemicals</t>
        </is>
      </c>
      <c r="E63" s="31" t="inlineStr">
        <is>
          <t>smallcap</t>
        </is>
      </c>
      <c r="F63" s="31" t="n">
        <v>666.96</v>
      </c>
      <c r="G63" s="31" t="n">
        <v>232.68</v>
      </c>
      <c r="H63" s="31" t="n">
        <v>4.66</v>
      </c>
      <c r="I63" s="31" t="n">
        <v>13851</v>
      </c>
      <c r="J63" s="31" t="inlineStr">
        <is>
          <t>524330</t>
        </is>
      </c>
    </row>
    <row r="64">
      <c r="A64" s="31" t="inlineStr">
        <is>
          <t>MANORAMA</t>
        </is>
      </c>
      <c r="B64" s="31" t="inlineStr">
        <is>
          <t>Manorama Industries Ltd</t>
        </is>
      </c>
      <c r="C64" s="31" t="inlineStr">
        <is>
          <t>fmcg</t>
        </is>
      </c>
      <c r="D64" s="31" t="inlineStr">
        <is>
          <t>food - processing - indian</t>
        </is>
      </c>
      <c r="E64" s="31" t="inlineStr">
        <is>
          <t>midcap</t>
        </is>
      </c>
      <c r="F64" s="31" t="n">
        <v>9466.790000000001</v>
      </c>
      <c r="G64" s="31" t="n">
        <v>1658.9</v>
      </c>
      <c r="H64" s="31" t="n">
        <v>4.63</v>
      </c>
      <c r="I64" s="31" t="n">
        <v>286631</v>
      </c>
      <c r="J64" s="31" t="inlineStr">
        <is>
          <t>541974</t>
        </is>
      </c>
    </row>
    <row r="65">
      <c r="A65" s="31" t="inlineStr">
        <is>
          <t>LLOYDSENT</t>
        </is>
      </c>
      <c r="B65" s="31" t="inlineStr">
        <is>
          <t>Lloyds Enterprises Ltd</t>
        </is>
      </c>
      <c r="C65" s="31" t="inlineStr">
        <is>
          <t>services</t>
        </is>
      </c>
      <c r="D65" s="31" t="inlineStr">
        <is>
          <t>trading</t>
        </is>
      </c>
      <c r="E65" s="31" t="inlineStr">
        <is>
          <t>midcap</t>
        </is>
      </c>
      <c r="F65" s="31" t="n">
        <v>11913.21</v>
      </c>
      <c r="G65" s="31" t="n">
        <v>81.64</v>
      </c>
      <c r="H65" s="31" t="n">
        <v>4.61</v>
      </c>
      <c r="I65" s="31" t="n">
        <v>5630540</v>
      </c>
      <c r="J65" s="31" t="inlineStr">
        <is>
          <t>512463</t>
        </is>
      </c>
    </row>
    <row r="66">
      <c r="A66" s="31" t="inlineStr">
        <is>
          <t>TATVA</t>
        </is>
      </c>
      <c r="B66" s="31" t="inlineStr">
        <is>
          <t>Tatva Chintan Pharma Chem Ltd</t>
        </is>
      </c>
      <c r="C66" s="31" t="inlineStr">
        <is>
          <t>chemicals</t>
        </is>
      </c>
      <c r="D66" s="31" t="inlineStr">
        <is>
          <t>chemicals</t>
        </is>
      </c>
      <c r="E66" s="31" t="inlineStr">
        <is>
          <t>smallcap</t>
        </is>
      </c>
      <c r="F66" s="31" t="n">
        <v>4029.05</v>
      </c>
      <c r="G66" s="31" t="n">
        <v>1800.1</v>
      </c>
      <c r="H66" s="31" t="n">
        <v>4.51</v>
      </c>
      <c r="I66" s="31" t="n">
        <v>242226</v>
      </c>
      <c r="J66" s="31" t="inlineStr">
        <is>
          <t>543321</t>
        </is>
      </c>
    </row>
    <row r="67">
      <c r="A67" s="31" t="inlineStr">
        <is>
          <t>SAILIFE</t>
        </is>
      </c>
      <c r="B67" s="31" t="inlineStr">
        <is>
          <t>Sai Life Sciences Ltd</t>
        </is>
      </c>
      <c r="C67" s="31" t="inlineStr">
        <is>
          <t>healthcare</t>
        </is>
      </c>
      <c r="D67" s="31" t="inlineStr">
        <is>
          <t>pharmaceuticals - indian - bulk drugs &amp; formln</t>
        </is>
      </c>
      <c r="E67" s="31" t="inlineStr">
        <is>
          <t>largecap</t>
        </is>
      </c>
      <c r="F67" s="31" t="n">
        <v>26172.74</v>
      </c>
      <c r="G67" s="31" t="n">
        <v>1287</v>
      </c>
      <c r="H67" s="31" t="n">
        <v>4.39</v>
      </c>
      <c r="I67" s="31" t="n">
        <v>476995</v>
      </c>
      <c r="J67" s="31" t="inlineStr">
        <is>
          <t>544306</t>
        </is>
      </c>
    </row>
    <row r="68">
      <c r="A68" s="31" t="inlineStr">
        <is>
          <t>VINCOFE</t>
        </is>
      </c>
      <c r="B68" s="31" t="inlineStr">
        <is>
          <t>Vintage Coffee &amp; Beverages Ltd</t>
        </is>
      </c>
      <c r="C68" s="31" t="inlineStr">
        <is>
          <t>consumer discretionary</t>
        </is>
      </c>
      <c r="D68" s="31" t="inlineStr">
        <is>
          <t>trading</t>
        </is>
      </c>
      <c r="E68" s="31" t="inlineStr">
        <is>
          <t>smallcap</t>
        </is>
      </c>
      <c r="F68" s="31" t="n">
        <v>2275.36</v>
      </c>
      <c r="G68" s="31" t="n">
        <v>162.87</v>
      </c>
      <c r="H68" s="31" t="n">
        <v>4.28</v>
      </c>
      <c r="I68" s="31" t="n">
        <v>3500698</v>
      </c>
      <c r="J68" s="31" t="inlineStr">
        <is>
          <t>538920</t>
        </is>
      </c>
    </row>
    <row r="69">
      <c r="A69" s="31" t="inlineStr">
        <is>
          <t>JINDWORLD</t>
        </is>
      </c>
      <c r="B69" s="31" t="inlineStr">
        <is>
          <t>Jindal Worldwide Limited</t>
        </is>
      </c>
      <c r="C69" s="31" t="inlineStr">
        <is>
          <t>textiles</t>
        </is>
      </c>
      <c r="D69" s="31" t="inlineStr">
        <is>
          <t>textiles - products</t>
        </is>
      </c>
      <c r="E69" s="31" t="inlineStr">
        <is>
          <t>smallcap</t>
        </is>
      </c>
      <c r="F69" s="31" t="n">
        <v>3792.84</v>
      </c>
      <c r="G69" s="31" t="n">
        <v>39.43</v>
      </c>
      <c r="H69" s="31" t="n">
        <v>4.23</v>
      </c>
      <c r="I69" s="31" t="n">
        <v>55992502</v>
      </c>
      <c r="J69" s="31" t="inlineStr">
        <is>
          <t>531543</t>
        </is>
      </c>
    </row>
    <row r="70">
      <c r="A70" s="31" t="inlineStr">
        <is>
          <t>TNPL</t>
        </is>
      </c>
      <c r="B70" s="31" t="inlineStr">
        <is>
          <t>Tamil Nadu Newsprint &amp; Papers Limited</t>
        </is>
      </c>
      <c r="C70" s="31" t="inlineStr">
        <is>
          <t>building materials</t>
        </is>
      </c>
      <c r="D70" s="31" t="inlineStr">
        <is>
          <t>paper</t>
        </is>
      </c>
      <c r="E70" s="31" t="inlineStr">
        <is>
          <t>smallcap</t>
        </is>
      </c>
      <c r="F70" s="31" t="n">
        <v>1036.43</v>
      </c>
      <c r="G70" s="31" t="n">
        <v>156.04</v>
      </c>
      <c r="H70" s="31" t="n">
        <v>4.2</v>
      </c>
      <c r="I70" s="31" t="n">
        <v>639163</v>
      </c>
      <c r="J70" s="31" t="inlineStr">
        <is>
          <t>531426</t>
        </is>
      </c>
    </row>
    <row r="71">
      <c r="A71" s="31" t="inlineStr">
        <is>
          <t>SUYOG</t>
        </is>
      </c>
      <c r="B71" s="31" t="inlineStr">
        <is>
          <t>Suyog Telematics Ltd</t>
        </is>
      </c>
      <c r="C71" s="31" t="inlineStr">
        <is>
          <t>telecom</t>
        </is>
      </c>
      <c r="D71" s="31" t="inlineStr">
        <is>
          <t>transmisson line towers / equipment</t>
        </is>
      </c>
      <c r="E71" s="31" t="inlineStr">
        <is>
          <t>smallcap</t>
        </is>
      </c>
      <c r="F71" s="31" t="n">
        <v>996.48</v>
      </c>
      <c r="G71" s="31" t="n">
        <v>885.4</v>
      </c>
      <c r="H71" s="31" t="n">
        <v>4.11</v>
      </c>
      <c r="I71" s="31" t="n">
        <v>39422</v>
      </c>
      <c r="J71" s="31" t="inlineStr">
        <is>
          <t>537259</t>
        </is>
      </c>
    </row>
    <row r="72">
      <c r="A72" s="31" t="inlineStr">
        <is>
          <t>DIACABS</t>
        </is>
      </c>
      <c r="B72" s="31" t="inlineStr">
        <is>
          <t>Diamond Power Infrastructure Ltd</t>
        </is>
      </c>
      <c r="C72" s="31" t="inlineStr">
        <is>
          <t>industrials</t>
        </is>
      </c>
      <c r="D72" s="31" t="inlineStr">
        <is>
          <t>cables - power</t>
        </is>
      </c>
      <c r="E72" s="31" t="inlineStr">
        <is>
          <t>midcap</t>
        </is>
      </c>
      <c r="F72" s="31" t="n">
        <v>15553.55</v>
      </c>
      <c r="G72" s="31" t="n">
        <v>307.17</v>
      </c>
      <c r="H72" s="31" t="n">
        <v>4.07</v>
      </c>
      <c r="I72" s="31" t="n">
        <v>8209562</v>
      </c>
      <c r="J72" s="31" t="inlineStr">
        <is>
          <t>522163</t>
        </is>
      </c>
    </row>
    <row r="73">
      <c r="A73" s="31" t="inlineStr">
        <is>
          <t>GPTHEALTH</t>
        </is>
      </c>
      <c r="B73" s="31" t="inlineStr">
        <is>
          <t>GPT Healthcare Ltd</t>
        </is>
      </c>
      <c r="C73" s="31" t="inlineStr">
        <is>
          <t>healthcare</t>
        </is>
      </c>
      <c r="D73" s="31" t="inlineStr">
        <is>
          <t>healthcare</t>
        </is>
      </c>
      <c r="E73" s="31" t="inlineStr">
        <is>
          <t>smallcap</t>
        </is>
      </c>
      <c r="F73" s="31" t="n">
        <v>1309.92</v>
      </c>
      <c r="G73" s="31" t="n">
        <v>165.99</v>
      </c>
      <c r="H73" s="31" t="n">
        <v>3.98</v>
      </c>
      <c r="I73" s="31" t="n">
        <v>485454</v>
      </c>
      <c r="J73" s="31" t="inlineStr">
        <is>
          <t>544131</t>
        </is>
      </c>
    </row>
    <row r="74">
      <c r="A74" s="31" t="inlineStr">
        <is>
          <t>TTKHLTCARE</t>
        </is>
      </c>
      <c r="B74" s="31" t="inlineStr">
        <is>
          <t>Ttk Healthcare Limited</t>
        </is>
      </c>
      <c r="C74" s="31" t="inlineStr">
        <is>
          <t>miscellaneous</t>
        </is>
      </c>
      <c r="D74" s="31" t="inlineStr">
        <is>
          <t>diversified - medium / small</t>
        </is>
      </c>
      <c r="E74" s="31" t="inlineStr">
        <is>
          <t>smallcap</t>
        </is>
      </c>
      <c r="F74" s="31" t="n">
        <v>1479.73</v>
      </c>
      <c r="G74" s="31" t="n">
        <v>1088.8</v>
      </c>
      <c r="H74" s="31" t="n">
        <v>3.97</v>
      </c>
      <c r="I74" s="31" t="n">
        <v>102563</v>
      </c>
      <c r="J74" s="31" t="inlineStr">
        <is>
          <t>507747</t>
        </is>
      </c>
    </row>
    <row r="75">
      <c r="A75" s="31" t="inlineStr">
        <is>
          <t>ARMANFIN</t>
        </is>
      </c>
      <c r="B75" s="31" t="inlineStr">
        <is>
          <t>Arman Financial Services Limited</t>
        </is>
      </c>
      <c r="C75" s="31" t="inlineStr">
        <is>
          <t>financials</t>
        </is>
      </c>
      <c r="D75" s="31" t="inlineStr">
        <is>
          <t>finance &amp; investments</t>
        </is>
      </c>
      <c r="E75" s="31" t="inlineStr">
        <is>
          <t>smallcap</t>
        </is>
      </c>
      <c r="F75" s="31" t="n">
        <v>2016</v>
      </c>
      <c r="G75" s="31" t="n">
        <v>1993.4</v>
      </c>
      <c r="H75" s="31" t="n">
        <v>3.97</v>
      </c>
      <c r="I75" s="31" t="n">
        <v>40012</v>
      </c>
      <c r="J75" s="31" t="inlineStr">
        <is>
          <t>531179</t>
        </is>
      </c>
    </row>
    <row r="76">
      <c r="A76" s="31" t="inlineStr">
        <is>
          <t>DEEPAKFERT</t>
        </is>
      </c>
      <c r="B76" s="31" t="inlineStr">
        <is>
          <t>Deepak Fertilizers And Petrochemicals Corporation Limited</t>
        </is>
      </c>
      <c r="C76" s="31" t="inlineStr">
        <is>
          <t>chemicals</t>
        </is>
      </c>
      <c r="D76" s="31" t="inlineStr">
        <is>
          <t>chemicals</t>
        </is>
      </c>
      <c r="E76" s="31" t="inlineStr">
        <is>
          <t>midcap</t>
        </is>
      </c>
      <c r="F76" s="31" t="n">
        <v>19859.73</v>
      </c>
      <c r="G76" s="31" t="n">
        <v>1634.5</v>
      </c>
      <c r="H76" s="31" t="n">
        <v>3.9</v>
      </c>
      <c r="I76" s="31" t="n">
        <v>326561</v>
      </c>
      <c r="J76" s="31" t="inlineStr">
        <is>
          <t>500645</t>
        </is>
      </c>
    </row>
    <row r="77">
      <c r="A77" s="31" t="inlineStr">
        <is>
          <t>AIIL</t>
        </is>
      </c>
      <c r="B77" s="31" t="inlineStr">
        <is>
          <t>Authum Investment &amp; Infrastructure Ltd</t>
        </is>
      </c>
      <c r="C77" s="31" t="inlineStr">
        <is>
          <t>financials</t>
        </is>
      </c>
      <c r="D77" s="31" t="inlineStr">
        <is>
          <t>finance &amp; investments</t>
        </is>
      </c>
      <c r="E77" s="31" t="inlineStr">
        <is>
          <t>largecap</t>
        </is>
      </c>
      <c r="F77" s="31" t="n">
        <v>45102.37</v>
      </c>
      <c r="G77" s="31" t="n">
        <v>551.7</v>
      </c>
      <c r="H77" s="31" t="n">
        <v>3.88</v>
      </c>
      <c r="I77" s="31" t="n">
        <v>283202</v>
      </c>
      <c r="J77" s="31" t="inlineStr">
        <is>
          <t>539177</t>
        </is>
      </c>
    </row>
    <row r="78">
      <c r="A78" s="31" t="inlineStr">
        <is>
          <t>LALPATHLAB</t>
        </is>
      </c>
      <c r="B78" s="31" t="inlineStr">
        <is>
          <t>Dr. Lal Path Labs Ltd.</t>
        </is>
      </c>
      <c r="C78" s="31" t="inlineStr">
        <is>
          <t>healthcare</t>
        </is>
      </c>
      <c r="D78" s="31" t="inlineStr">
        <is>
          <t>healthcare</t>
        </is>
      </c>
      <c r="E78" s="31" t="inlineStr">
        <is>
          <t>largecap</t>
        </is>
      </c>
      <c r="F78" s="31" t="n">
        <v>29490.84</v>
      </c>
      <c r="G78" s="31" t="n">
        <v>1827.2</v>
      </c>
      <c r="H78" s="31" t="n">
        <v>3.87</v>
      </c>
      <c r="I78" s="31" t="n">
        <v>2106429</v>
      </c>
      <c r="J78" s="31" t="inlineStr">
        <is>
          <t>539524</t>
        </is>
      </c>
    </row>
    <row r="79">
      <c r="A79" s="31" t="inlineStr">
        <is>
          <t>SUNFLAG</t>
        </is>
      </c>
      <c r="B79" s="31" t="inlineStr">
        <is>
          <t>Sunflag Iron And Steel Company Limited</t>
        </is>
      </c>
      <c r="C79" s="31" t="inlineStr">
        <is>
          <t>metals &amp; mining</t>
        </is>
      </c>
      <c r="D79" s="31" t="inlineStr">
        <is>
          <t>steel - medium / small</t>
        </is>
      </c>
      <c r="E79" s="31" t="inlineStr">
        <is>
          <t>midcap</t>
        </is>
      </c>
      <c r="F79" s="31" t="n">
        <v>6284.25</v>
      </c>
      <c r="G79" s="31" t="n">
        <v>362.15</v>
      </c>
      <c r="H79" s="31" t="n">
        <v>3.86</v>
      </c>
      <c r="I79" s="31" t="n">
        <v>253363</v>
      </c>
      <c r="J79" s="31" t="inlineStr">
        <is>
          <t>500404</t>
        </is>
      </c>
    </row>
    <row r="80">
      <c r="A80" s="31" t="inlineStr">
        <is>
          <t>BHAGYANGR</t>
        </is>
      </c>
      <c r="B80" s="31" t="inlineStr">
        <is>
          <t>Bhagyanagar India</t>
        </is>
      </c>
      <c r="C80" s="31" t="inlineStr">
        <is>
          <t>power &amp; utilities</t>
        </is>
      </c>
      <c r="D80" s="31" t="inlineStr">
        <is>
          <t>power generation and supply</t>
        </is>
      </c>
      <c r="E80" s="31" t="inlineStr">
        <is>
          <t>smallcap</t>
        </is>
      </c>
      <c r="F80" s="31" t="n">
        <v>1314.67</v>
      </c>
      <c r="G80" s="31" t="n">
        <v>426.7</v>
      </c>
      <c r="H80" s="31" t="n">
        <v>3.85</v>
      </c>
      <c r="I80" s="31" t="n">
        <v>278017</v>
      </c>
      <c r="J80" s="31" t="inlineStr">
        <is>
          <t>512296</t>
        </is>
      </c>
    </row>
    <row r="81">
      <c r="A81" s="31" t="inlineStr">
        <is>
          <t>POWERMECH</t>
        </is>
      </c>
      <c r="B81" s="31" t="inlineStr">
        <is>
          <t>Power Mech Projects Limited</t>
        </is>
      </c>
      <c r="C81" s="31" t="inlineStr">
        <is>
          <t>realty</t>
        </is>
      </c>
      <c r="D81" s="31" t="inlineStr">
        <is>
          <t>engineering - turnkey services</t>
        </is>
      </c>
      <c r="E81" s="31" t="inlineStr">
        <is>
          <t>midcap</t>
        </is>
      </c>
      <c r="F81" s="31" t="n">
        <v>8200</v>
      </c>
      <c r="G81" s="31" t="n">
        <v>2692.9</v>
      </c>
      <c r="H81" s="31" t="n">
        <v>3.83</v>
      </c>
      <c r="I81" s="31" t="n">
        <v>133658</v>
      </c>
      <c r="J81" s="31" t="inlineStr">
        <is>
          <t>539302</t>
        </is>
      </c>
    </row>
    <row r="82">
      <c r="A82" s="31" t="inlineStr">
        <is>
          <t>LLOYDSME</t>
        </is>
      </c>
      <c r="B82" s="31" t="inlineStr">
        <is>
          <t>Lloyds Metals &amp; Energy Ltd</t>
        </is>
      </c>
      <c r="C82" s="31" t="inlineStr">
        <is>
          <t>metals &amp; mining</t>
        </is>
      </c>
      <c r="D82" s="31" t="inlineStr">
        <is>
          <t>mining / minerals / metals</t>
        </is>
      </c>
      <c r="E82" s="31" t="inlineStr">
        <is>
          <t>largecap</t>
        </is>
      </c>
      <c r="F82" s="31" t="n">
        <v>109232.09</v>
      </c>
      <c r="G82" s="31" t="n">
        <v>2014.9</v>
      </c>
      <c r="H82" s="31" t="n">
        <v>3.83</v>
      </c>
      <c r="I82" s="31" t="n">
        <v>1480673</v>
      </c>
      <c r="J82" s="31" t="inlineStr">
        <is>
          <t>512455</t>
        </is>
      </c>
    </row>
    <row r="83">
      <c r="A83" s="31" t="inlineStr">
        <is>
          <t>AURUM</t>
        </is>
      </c>
      <c r="B83" s="31" t="inlineStr">
        <is>
          <t>Aurum Proptech Ltd</t>
        </is>
      </c>
      <c r="C83" s="31" t="inlineStr">
        <is>
          <t>i.t</t>
        </is>
      </c>
      <c r="D83" s="31" t="inlineStr">
        <is>
          <t>computers - software - medium / small</t>
        </is>
      </c>
      <c r="E83" s="31" t="inlineStr">
        <is>
          <t>smallcap</t>
        </is>
      </c>
      <c r="F83" s="31" t="n">
        <v>1697.79</v>
      </c>
      <c r="G83" s="31" t="n">
        <v>229.68</v>
      </c>
      <c r="H83" s="31" t="n">
        <v>3.81</v>
      </c>
      <c r="I83" s="31" t="n">
        <v>162652</v>
      </c>
      <c r="J83" s="31" t="inlineStr">
        <is>
          <t>539289</t>
        </is>
      </c>
    </row>
    <row r="84">
      <c r="A84" s="31" t="inlineStr">
        <is>
          <t>CUPID</t>
        </is>
      </c>
      <c r="B84" s="31" t="inlineStr">
        <is>
          <t>Cupid Limited</t>
        </is>
      </c>
      <c r="C84" s="31" t="inlineStr">
        <is>
          <t>fmcg</t>
        </is>
      </c>
      <c r="D84" s="31" t="inlineStr">
        <is>
          <t>personal care - indian</t>
        </is>
      </c>
      <c r="E84" s="31" t="inlineStr">
        <is>
          <t>largecap</t>
        </is>
      </c>
      <c r="F84" s="31" t="n">
        <v>28699.09</v>
      </c>
      <c r="G84" s="31" t="n">
        <v>221.46</v>
      </c>
      <c r="H84" s="31" t="n">
        <v>3.76</v>
      </c>
      <c r="I84" s="31" t="n">
        <v>24777700</v>
      </c>
      <c r="J84" s="31" t="inlineStr">
        <is>
          <t>530843</t>
        </is>
      </c>
    </row>
    <row r="85">
      <c r="A85" s="31" t="inlineStr">
        <is>
          <t>ENDURANCE</t>
        </is>
      </c>
      <c r="B85" s="31" t="inlineStr">
        <is>
          <t>Endurance Technologies Limited</t>
        </is>
      </c>
      <c r="C85" s="31" t="inlineStr">
        <is>
          <t>auto</t>
        </is>
      </c>
      <c r="D85" s="31" t="inlineStr">
        <is>
          <t>auto ancillaries</t>
        </is>
      </c>
      <c r="E85" s="31" t="inlineStr">
        <is>
          <t>largecap</t>
        </is>
      </c>
      <c r="F85" s="31" t="n">
        <v>37050.59</v>
      </c>
      <c r="G85" s="31" t="n">
        <v>2732.8</v>
      </c>
      <c r="H85" s="31" t="n">
        <v>3.75</v>
      </c>
      <c r="I85" s="31" t="n">
        <v>60908</v>
      </c>
      <c r="J85" s="31" t="inlineStr">
        <is>
          <t>540153</t>
        </is>
      </c>
    </row>
    <row r="86">
      <c r="A86" s="31" t="inlineStr">
        <is>
          <t>GAEL</t>
        </is>
      </c>
      <c r="B86" s="31" t="inlineStr">
        <is>
          <t>Gujarat Ambuja Exports Limited</t>
        </is>
      </c>
      <c r="C86" s="31" t="inlineStr">
        <is>
          <t>fmcg</t>
        </is>
      </c>
      <c r="D86" s="31" t="inlineStr">
        <is>
          <t>miscellaneous</t>
        </is>
      </c>
      <c r="E86" s="31" t="inlineStr">
        <is>
          <t>midcap</t>
        </is>
      </c>
      <c r="F86" s="31" t="n">
        <v>6955.28</v>
      </c>
      <c r="G86" s="31" t="n">
        <v>157.31</v>
      </c>
      <c r="H86" s="31" t="n">
        <v>3.74</v>
      </c>
      <c r="I86" s="31" t="n">
        <v>3107123</v>
      </c>
      <c r="J86" s="31" t="inlineStr">
        <is>
          <t>524226</t>
        </is>
      </c>
    </row>
    <row r="87">
      <c r="A87" s="31" t="inlineStr">
        <is>
          <t>GRWRHITECH</t>
        </is>
      </c>
      <c r="B87" s="31" t="inlineStr">
        <is>
          <t>Garware Hi Tech Films Ltd</t>
        </is>
      </c>
      <c r="C87" s="31" t="inlineStr">
        <is>
          <t>industrials</t>
        </is>
      </c>
      <c r="D87" s="31" t="inlineStr">
        <is>
          <t>packaging</t>
        </is>
      </c>
      <c r="E87" s="31" t="inlineStr">
        <is>
          <t>midcap</t>
        </is>
      </c>
      <c r="F87" s="31" t="n">
        <v>16037.32</v>
      </c>
      <c r="G87" s="31" t="n">
        <v>7160</v>
      </c>
      <c r="H87" s="31" t="n">
        <v>3.72</v>
      </c>
      <c r="I87" s="31" t="n">
        <v>76292</v>
      </c>
      <c r="J87" s="31" t="inlineStr">
        <is>
          <t>500655</t>
        </is>
      </c>
    </row>
    <row r="88">
      <c r="A88" s="31" t="inlineStr">
        <is>
          <t>AEGISVOPAK</t>
        </is>
      </c>
      <c r="B88" s="31" t="inlineStr">
        <is>
          <t>Aegis Vopak Terminals Ltd</t>
        </is>
      </c>
      <c r="C88" s="31" t="inlineStr">
        <is>
          <t>transportation</t>
        </is>
      </c>
      <c r="D88" s="31" t="inlineStr">
        <is>
          <t>miscellaneous</t>
        </is>
      </c>
      <c r="E88" s="31" t="inlineStr">
        <is>
          <t>largecap</t>
        </is>
      </c>
      <c r="F88" s="31" t="n">
        <v>32424.26</v>
      </c>
      <c r="G88" s="31" t="n">
        <v>303.49</v>
      </c>
      <c r="H88" s="31" t="n">
        <v>3.71</v>
      </c>
      <c r="I88" s="31" t="n">
        <v>3083157</v>
      </c>
      <c r="J88" s="31" t="inlineStr">
        <is>
          <t>544407</t>
        </is>
      </c>
    </row>
    <row r="89">
      <c r="A89" s="31" t="inlineStr">
        <is>
          <t>SETL</t>
        </is>
      </c>
      <c r="B89" s="31" t="inlineStr">
        <is>
          <t>Standard Enginnering Technology Ltd</t>
        </is>
      </c>
      <c r="C89" s="31" t="inlineStr">
        <is>
          <t>industrials</t>
        </is>
      </c>
      <c r="D89" s="31" t="inlineStr">
        <is>
          <t>engineering</t>
        </is>
      </c>
      <c r="E89" s="31" t="inlineStr">
        <is>
          <t>midcap</t>
        </is>
      </c>
      <c r="F89" s="31" t="n">
        <v>5440.14</v>
      </c>
      <c r="G89" s="31" t="n">
        <v>282.8</v>
      </c>
      <c r="H89" s="31" t="n">
        <v>3.7</v>
      </c>
      <c r="I89" s="31" t="n">
        <v>630188</v>
      </c>
      <c r="J89" s="31" t="inlineStr">
        <is>
          <t>544333</t>
        </is>
      </c>
    </row>
    <row r="90">
      <c r="A90" s="31" t="inlineStr">
        <is>
          <t>SAREGAMA</t>
        </is>
      </c>
      <c r="B90" s="31" t="inlineStr">
        <is>
          <t>Saregama India Limited</t>
        </is>
      </c>
      <c r="C90" s="31" t="inlineStr">
        <is>
          <t>media</t>
        </is>
      </c>
      <c r="D90" s="31" t="inlineStr">
        <is>
          <t>entertainment / electronic media software</t>
        </is>
      </c>
      <c r="E90" s="31" t="inlineStr">
        <is>
          <t>midcap</t>
        </is>
      </c>
      <c r="F90" s="31" t="n">
        <v>9572.99</v>
      </c>
      <c r="G90" s="31" t="n">
        <v>514.85</v>
      </c>
      <c r="H90" s="31" t="n">
        <v>3.7</v>
      </c>
      <c r="I90" s="31" t="n">
        <v>625299</v>
      </c>
      <c r="J90" s="31" t="inlineStr">
        <is>
          <t>532163</t>
        </is>
      </c>
    </row>
    <row r="91">
      <c r="A91" s="31" t="inlineStr">
        <is>
          <t>AETHER</t>
        </is>
      </c>
      <c r="B91" s="31" t="inlineStr">
        <is>
          <t>Aether Industries Ltd</t>
        </is>
      </c>
      <c r="C91" s="31" t="inlineStr">
        <is>
          <t>chemicals</t>
        </is>
      </c>
      <c r="D91" s="31" t="inlineStr">
        <is>
          <t>chemicals</t>
        </is>
      </c>
      <c r="E91" s="31" t="inlineStr">
        <is>
          <t>midcap</t>
        </is>
      </c>
      <c r="F91" s="31" t="n">
        <v>18944.72</v>
      </c>
      <c r="G91" s="31" t="n">
        <v>1480.1</v>
      </c>
      <c r="H91" s="31" t="n">
        <v>3.68</v>
      </c>
      <c r="I91" s="31" t="n">
        <v>224382</v>
      </c>
      <c r="J91" s="31" t="inlineStr">
        <is>
          <t>543534</t>
        </is>
      </c>
    </row>
    <row r="92">
      <c r="A92" s="31" t="inlineStr">
        <is>
          <t>TINNARUBR</t>
        </is>
      </c>
      <c r="B92" s="31" t="inlineStr">
        <is>
          <t>Tinna Rubber &amp; Infrastructure Ltd</t>
        </is>
      </c>
      <c r="C92" s="31" t="inlineStr">
        <is>
          <t>fmcg</t>
        </is>
      </c>
      <c r="D92" s="31" t="inlineStr">
        <is>
          <t>miscellaneous</t>
        </is>
      </c>
      <c r="E92" s="31" t="inlineStr">
        <is>
          <t>smallcap</t>
        </is>
      </c>
      <c r="F92" s="31" t="n">
        <v>1979.66</v>
      </c>
      <c r="G92" s="31" t="n">
        <v>1139.3</v>
      </c>
      <c r="H92" s="31" t="n">
        <v>3.68</v>
      </c>
      <c r="I92" s="31" t="n">
        <v>284366</v>
      </c>
      <c r="J92" s="31" t="inlineStr">
        <is>
          <t>530475</t>
        </is>
      </c>
    </row>
    <row r="93">
      <c r="A93" s="31" t="inlineStr">
        <is>
          <t>UFBL</t>
        </is>
      </c>
      <c r="B93" s="31" t="inlineStr">
        <is>
          <t>United Foodbrands Ltd</t>
        </is>
      </c>
      <c r="C93" s="31" t="inlineStr">
        <is>
          <t>consumer discretionary</t>
        </is>
      </c>
      <c r="D93" s="31" t="inlineStr">
        <is>
          <t>hotels</t>
        </is>
      </c>
      <c r="E93" s="31" t="inlineStr">
        <is>
          <t>smallcap</t>
        </is>
      </c>
      <c r="F93" s="31" t="n">
        <v>2637.74</v>
      </c>
      <c r="G93" s="31" t="n">
        <v>699.35</v>
      </c>
      <c r="H93" s="31" t="n">
        <v>3.63</v>
      </c>
      <c r="I93" s="31" t="n">
        <v>100422</v>
      </c>
      <c r="J93" s="31" t="inlineStr">
        <is>
          <t>543283</t>
        </is>
      </c>
    </row>
    <row r="94">
      <c r="A94" s="31" t="inlineStr">
        <is>
          <t>SJS</t>
        </is>
      </c>
      <c r="B94" s="31" t="inlineStr">
        <is>
          <t>S J S Enterprises Ltd</t>
        </is>
      </c>
      <c r="C94" s="31" t="inlineStr">
        <is>
          <t>auto</t>
        </is>
      </c>
      <c r="D94" s="31" t="inlineStr">
        <is>
          <t>plastics products</t>
        </is>
      </c>
      <c r="E94" s="31" t="inlineStr">
        <is>
          <t>midcap</t>
        </is>
      </c>
      <c r="F94" s="31" t="n">
        <v>7475.12</v>
      </c>
      <c r="G94" s="31" t="n">
        <v>2419.3</v>
      </c>
      <c r="H94" s="31" t="n">
        <v>3.58</v>
      </c>
      <c r="I94" s="31" t="n">
        <v>150999</v>
      </c>
      <c r="J94" s="31" t="inlineStr">
        <is>
          <t>543387</t>
        </is>
      </c>
    </row>
    <row r="95">
      <c r="A95" s="31" t="inlineStr">
        <is>
          <t>VARROC</t>
        </is>
      </c>
      <c r="B95" s="31" t="inlineStr">
        <is>
          <t>Varroc Engineering Ltd</t>
        </is>
      </c>
      <c r="C95" s="31" t="inlineStr">
        <is>
          <t>auto</t>
        </is>
      </c>
      <c r="D95" s="31" t="inlineStr">
        <is>
          <t>auto ancillaries</t>
        </is>
      </c>
      <c r="E95" s="31" t="inlineStr">
        <is>
          <t>midcap</t>
        </is>
      </c>
      <c r="F95" s="31" t="n">
        <v>9820.35</v>
      </c>
      <c r="G95" s="31" t="n">
        <v>665.7</v>
      </c>
      <c r="H95" s="31" t="n">
        <v>3.57</v>
      </c>
      <c r="I95" s="31" t="n">
        <v>158687</v>
      </c>
      <c r="J95" s="31" t="inlineStr">
        <is>
          <t>541578</t>
        </is>
      </c>
    </row>
    <row r="96">
      <c r="A96" s="31" t="inlineStr">
        <is>
          <t>ENTERO</t>
        </is>
      </c>
      <c r="B96" s="31" t="inlineStr">
        <is>
          <t>Entero Healthcare Solutions Ltd</t>
        </is>
      </c>
      <c r="C96" s="31" t="inlineStr">
        <is>
          <t>healthcare</t>
        </is>
      </c>
      <c r="D96" s="31" t="inlineStr">
        <is>
          <t>trading</t>
        </is>
      </c>
      <c r="E96" s="31" t="inlineStr">
        <is>
          <t>midcap</t>
        </is>
      </c>
      <c r="F96" s="31" t="n">
        <v>5351.6</v>
      </c>
      <c r="G96" s="31" t="n">
        <v>1273.4</v>
      </c>
      <c r="H96" s="31" t="n">
        <v>3.56</v>
      </c>
      <c r="I96" s="31" t="n">
        <v>165836</v>
      </c>
      <c r="J96" s="31" t="inlineStr">
        <is>
          <t>544122</t>
        </is>
      </c>
    </row>
    <row r="97">
      <c r="A97" s="31" t="inlineStr">
        <is>
          <t>SUMICHEM</t>
        </is>
      </c>
      <c r="B97" s="31" t="inlineStr">
        <is>
          <t>Sumitomo Chemical India Ltd</t>
        </is>
      </c>
      <c r="C97" s="31" t="inlineStr">
        <is>
          <t>chemicals</t>
        </is>
      </c>
      <c r="D97" s="31" t="inlineStr">
        <is>
          <t>pesticides / agrochemicals - indian</t>
        </is>
      </c>
      <c r="E97" s="31" t="inlineStr">
        <is>
          <t>largecap</t>
        </is>
      </c>
      <c r="F97" s="31" t="n">
        <v>25978.04</v>
      </c>
      <c r="G97" s="31" t="n">
        <v>538.85</v>
      </c>
      <c r="H97" s="31" t="n">
        <v>3.54</v>
      </c>
      <c r="I97" s="31" t="n">
        <v>1891044</v>
      </c>
      <c r="J97" s="31" t="inlineStr">
        <is>
          <t>542920</t>
        </is>
      </c>
    </row>
    <row r="98">
      <c r="A98" s="31" t="inlineStr">
        <is>
          <t>CHOLAFIN</t>
        </is>
      </c>
      <c r="B98" s="31" t="inlineStr">
        <is>
          <t>Cholamandalam Investment And Finance Company Limited</t>
        </is>
      </c>
      <c r="C98" s="31" t="inlineStr">
        <is>
          <t>financials</t>
        </is>
      </c>
      <c r="D98" s="31" t="inlineStr">
        <is>
          <t>finance &amp; investments</t>
        </is>
      </c>
      <c r="E98" s="31" t="inlineStr">
        <is>
          <t>largecap</t>
        </is>
      </c>
      <c r="F98" s="31" t="n">
        <v>147020.04</v>
      </c>
      <c r="G98" s="31" t="n">
        <v>1785.2</v>
      </c>
      <c r="H98" s="31" t="n">
        <v>3.53</v>
      </c>
      <c r="I98" s="31" t="n">
        <v>1963093</v>
      </c>
      <c r="J98" s="31" t="inlineStr">
        <is>
          <t>511243</t>
        </is>
      </c>
    </row>
    <row r="99">
      <c r="A99" s="31" t="inlineStr">
        <is>
          <t>BAJFINANCE</t>
        </is>
      </c>
      <c r="B99" s="31" t="inlineStr">
        <is>
          <t>Bajaj Finance Limited</t>
        </is>
      </c>
      <c r="C99" s="31" t="inlineStr">
        <is>
          <t>financials</t>
        </is>
      </c>
      <c r="D99" s="31" t="inlineStr">
        <is>
          <t>finance &amp; investments</t>
        </is>
      </c>
      <c r="E99" s="31" t="inlineStr">
        <is>
          <t>largecap</t>
        </is>
      </c>
      <c r="F99" s="31" t="n">
        <v>630564.65</v>
      </c>
      <c r="G99" s="31" t="n">
        <v>1048.3</v>
      </c>
      <c r="H99" s="31" t="n">
        <v>3.51</v>
      </c>
      <c r="I99" s="31" t="n">
        <v>7610916</v>
      </c>
      <c r="J99" s="31" t="inlineStr">
        <is>
          <t>500034</t>
        </is>
      </c>
    </row>
    <row r="100">
      <c r="A100" s="31" t="inlineStr">
        <is>
          <t>THYROCARE</t>
        </is>
      </c>
      <c r="B100" s="31" t="inlineStr">
        <is>
          <t>Thyrocare Technologies Limited</t>
        </is>
      </c>
      <c r="C100" s="31" t="inlineStr">
        <is>
          <t>healthcare</t>
        </is>
      </c>
      <c r="D100" s="31" t="inlineStr">
        <is>
          <t>healthcare</t>
        </is>
      </c>
      <c r="E100" s="31" t="inlineStr">
        <is>
          <t>midcap</t>
        </is>
      </c>
      <c r="F100" s="31" t="n">
        <v>8980.9</v>
      </c>
      <c r="G100" s="31" t="n">
        <v>584.05</v>
      </c>
      <c r="H100" s="31" t="n">
        <v>3.51</v>
      </c>
      <c r="I100" s="31" t="n">
        <v>3960893</v>
      </c>
      <c r="J100" s="31" t="inlineStr">
        <is>
          <t>539871</t>
        </is>
      </c>
    </row>
    <row r="101">
      <c r="A101" s="31" t="inlineStr">
        <is>
          <t>CONFIPET</t>
        </is>
      </c>
      <c r="B101" s="31" t="inlineStr">
        <is>
          <t>Confidence Petroleum India Ltd</t>
        </is>
      </c>
      <c r="C101" s="31" t="inlineStr">
        <is>
          <t>miscellaneous</t>
        </is>
      </c>
      <c r="D101" s="31" t="inlineStr">
        <is>
          <t>miscellaneous</t>
        </is>
      </c>
      <c r="E101" s="31" t="inlineStr">
        <is>
          <t>smallcap</t>
        </is>
      </c>
      <c r="F101" s="31" t="n">
        <v>2601.45</v>
      </c>
      <c r="G101" s="31" t="n">
        <v>81.04000000000001</v>
      </c>
      <c r="H101" s="31" t="n">
        <v>3.5</v>
      </c>
      <c r="I101" s="31" t="n">
        <v>8619919</v>
      </c>
      <c r="J101" s="31" t="inlineStr">
        <is>
          <t>526829</t>
        </is>
      </c>
    </row>
    <row r="102">
      <c r="A102" s="31" t="inlineStr">
        <is>
          <t>KRISHANA</t>
        </is>
      </c>
      <c r="B102" s="31" t="inlineStr">
        <is>
          <t>Krishana Phoschem Ltd</t>
        </is>
      </c>
      <c r="C102" s="31" t="inlineStr">
        <is>
          <t>chemicals</t>
        </is>
      </c>
      <c r="D102" s="31" t="inlineStr">
        <is>
          <t>fertilizers</t>
        </is>
      </c>
      <c r="E102" s="31" t="inlineStr">
        <is>
          <t>smallcap</t>
        </is>
      </c>
      <c r="F102" s="31" t="n">
        <v>1001.92</v>
      </c>
      <c r="G102" s="31" t="n">
        <v>167.65</v>
      </c>
      <c r="H102" s="31" t="n">
        <v>3.46</v>
      </c>
      <c r="I102" s="31" t="n">
        <v>2829905</v>
      </c>
      <c r="J102" s="31" t="inlineStr">
        <is>
          <t>538405</t>
        </is>
      </c>
    </row>
    <row r="103">
      <c r="A103" s="31" t="inlineStr">
        <is>
          <t>RAJRATAN</t>
        </is>
      </c>
      <c r="B103" s="31" t="inlineStr">
        <is>
          <t>Rajratan Global Wire Ltd</t>
        </is>
      </c>
      <c r="C103" s="31" t="inlineStr">
        <is>
          <t>metals &amp; mining</t>
        </is>
      </c>
      <c r="D103" s="31" t="inlineStr">
        <is>
          <t>steel - medium / small</t>
        </is>
      </c>
      <c r="E103" s="31" t="inlineStr">
        <is>
          <t>smallcap</t>
        </is>
      </c>
      <c r="F103" s="31" t="n">
        <v>2479.15</v>
      </c>
      <c r="G103" s="31" t="n">
        <v>504.5</v>
      </c>
      <c r="H103" s="31" t="n">
        <v>3.32</v>
      </c>
      <c r="I103" s="31" t="n">
        <v>459053</v>
      </c>
      <c r="J103" s="31" t="inlineStr">
        <is>
          <t>517522</t>
        </is>
      </c>
    </row>
    <row r="104">
      <c r="A104" s="31" t="inlineStr">
        <is>
          <t>LLOYDSENGG</t>
        </is>
      </c>
      <c r="B104" s="31" t="inlineStr">
        <is>
          <t>Lloyds Engineering Works Ltd</t>
        </is>
      </c>
      <c r="C104" s="31" t="inlineStr">
        <is>
          <t>industrials</t>
        </is>
      </c>
      <c r="D104" s="31" t="inlineStr">
        <is>
          <t>engineering</t>
        </is>
      </c>
      <c r="E104" s="31" t="inlineStr">
        <is>
          <t>midcap</t>
        </is>
      </c>
      <c r="F104" s="31" t="n">
        <v>13088.78</v>
      </c>
      <c r="G104" s="31" t="n">
        <v>91.33</v>
      </c>
      <c r="H104" s="31" t="n">
        <v>3.29</v>
      </c>
      <c r="I104" s="31" t="n">
        <v>9220184</v>
      </c>
      <c r="J104" s="31" t="inlineStr">
        <is>
          <t>539992</t>
        </is>
      </c>
    </row>
    <row r="105">
      <c r="A105" s="31" t="inlineStr">
        <is>
          <t>LTF</t>
        </is>
      </c>
      <c r="B105" s="31" t="inlineStr">
        <is>
          <t>L&amp;T Finance Ltd</t>
        </is>
      </c>
      <c r="C105" s="31" t="inlineStr">
        <is>
          <t>financials</t>
        </is>
      </c>
      <c r="D105" s="31" t="inlineStr">
        <is>
          <t>finance &amp; investments</t>
        </is>
      </c>
      <c r="E105" s="31" t="inlineStr">
        <is>
          <t>largecap</t>
        </is>
      </c>
      <c r="F105" s="31" t="n">
        <v>75766.50999999999</v>
      </c>
      <c r="G105" s="31" t="n">
        <v>312.25</v>
      </c>
      <c r="H105" s="31" t="n">
        <v>3.26</v>
      </c>
      <c r="I105" s="31" t="n">
        <v>5922451</v>
      </c>
      <c r="J105" s="31" t="inlineStr">
        <is>
          <t>533519</t>
        </is>
      </c>
    </row>
    <row r="106">
      <c r="A106" s="31" t="inlineStr">
        <is>
          <t>JKPAPER</t>
        </is>
      </c>
      <c r="B106" s="31" t="inlineStr">
        <is>
          <t>Jk Paper Limited</t>
        </is>
      </c>
      <c r="C106" s="31" t="inlineStr">
        <is>
          <t>building materials</t>
        </is>
      </c>
      <c r="D106" s="31" t="inlineStr">
        <is>
          <t>paper</t>
        </is>
      </c>
      <c r="E106" s="31" t="inlineStr">
        <is>
          <t>midcap</t>
        </is>
      </c>
      <c r="F106" s="31" t="n">
        <v>7279.04</v>
      </c>
      <c r="G106" s="31" t="n">
        <v>414.55</v>
      </c>
      <c r="H106" s="31" t="n">
        <v>3.26</v>
      </c>
      <c r="I106" s="31" t="n">
        <v>2094793</v>
      </c>
      <c r="J106" s="31" t="inlineStr">
        <is>
          <t>532162</t>
        </is>
      </c>
    </row>
    <row r="107">
      <c r="A107" s="31" t="inlineStr">
        <is>
          <t>DHANBANK</t>
        </is>
      </c>
      <c r="B107" s="31" t="inlineStr">
        <is>
          <t>Dhanlaxmi Bank Limited</t>
        </is>
      </c>
      <c r="C107" s="31" t="inlineStr">
        <is>
          <t>bank</t>
        </is>
      </c>
      <c r="D107" s="31" t="inlineStr">
        <is>
          <t>banks - private sector</t>
        </is>
      </c>
      <c r="E107" s="31" t="inlineStr">
        <is>
          <t>smallcap</t>
        </is>
      </c>
      <c r="F107" s="31" t="n">
        <v>1353.42</v>
      </c>
      <c r="G107" s="31" t="n">
        <v>35.4</v>
      </c>
      <c r="H107" s="31" t="n">
        <v>3.24</v>
      </c>
      <c r="I107" s="31" t="n">
        <v>3148881</v>
      </c>
      <c r="J107" s="31" t="inlineStr">
        <is>
          <t>532180</t>
        </is>
      </c>
    </row>
    <row r="108">
      <c r="A108" s="31" t="inlineStr">
        <is>
          <t>MAXHEALTH</t>
        </is>
      </c>
      <c r="B108" s="31" t="inlineStr">
        <is>
          <t>Max Healthcare Institute Ltd</t>
        </is>
      </c>
      <c r="C108" s="31" t="inlineStr">
        <is>
          <t>healthcare</t>
        </is>
      </c>
      <c r="D108" s="31" t="inlineStr">
        <is>
          <t>healthcare</t>
        </is>
      </c>
      <c r="E108" s="31" t="inlineStr">
        <is>
          <t>largecap</t>
        </is>
      </c>
      <c r="F108" s="31" t="n">
        <v>105149.26</v>
      </c>
      <c r="G108" s="31" t="n">
        <v>1114.6</v>
      </c>
      <c r="H108" s="31" t="n">
        <v>3.17</v>
      </c>
      <c r="I108" s="31" t="n">
        <v>1759824</v>
      </c>
      <c r="J108" s="31" t="inlineStr">
        <is>
          <t>543220</t>
        </is>
      </c>
    </row>
    <row r="109">
      <c r="A109" s="31" t="inlineStr">
        <is>
          <t>UNOMINDA</t>
        </is>
      </c>
      <c r="B109" s="31" t="inlineStr">
        <is>
          <t>Uno Minda Ltd</t>
        </is>
      </c>
      <c r="C109" s="31" t="inlineStr">
        <is>
          <t>auto</t>
        </is>
      </c>
      <c r="D109" s="31" t="inlineStr">
        <is>
          <t>auto ancillaries</t>
        </is>
      </c>
      <c r="E109" s="31" t="inlineStr">
        <is>
          <t>largecap</t>
        </is>
      </c>
      <c r="F109" s="31" t="n">
        <v>65080.55</v>
      </c>
      <c r="G109" s="31" t="n">
        <v>1162.4</v>
      </c>
      <c r="H109" s="31" t="n">
        <v>3.14</v>
      </c>
      <c r="I109" s="31" t="n">
        <v>923914</v>
      </c>
      <c r="J109" s="31" t="inlineStr">
        <is>
          <t>532539</t>
        </is>
      </c>
    </row>
    <row r="110">
      <c r="A110" s="31" t="inlineStr">
        <is>
          <t>INDOSTAR</t>
        </is>
      </c>
      <c r="B110" s="31" t="inlineStr">
        <is>
          <t>Indostar Capital Finance Ltd</t>
        </is>
      </c>
      <c r="C110" s="31" t="inlineStr">
        <is>
          <t>financials</t>
        </is>
      </c>
      <c r="D110" s="31" t="inlineStr">
        <is>
          <t>finance &amp; investments</t>
        </is>
      </c>
      <c r="E110" s="31" t="inlineStr">
        <is>
          <t>smallcap</t>
        </is>
      </c>
      <c r="F110" s="31" t="n">
        <v>4209.29</v>
      </c>
      <c r="G110" s="31" t="n">
        <v>268.5</v>
      </c>
      <c r="H110" s="31" t="n">
        <v>3.07</v>
      </c>
      <c r="I110" s="31" t="n">
        <v>76295</v>
      </c>
      <c r="J110" s="31" t="inlineStr">
        <is>
          <t>541336</t>
        </is>
      </c>
    </row>
    <row r="111">
      <c r="A111" s="31" t="inlineStr">
        <is>
          <t>APOLLOPIPE</t>
        </is>
      </c>
      <c r="B111" s="31" t="inlineStr">
        <is>
          <t>Apollo Pipes Ltd</t>
        </is>
      </c>
      <c r="C111" s="31" t="inlineStr">
        <is>
          <t>plastic products</t>
        </is>
      </c>
      <c r="D111" s="31" t="inlineStr">
        <is>
          <t>plastics products</t>
        </is>
      </c>
      <c r="E111" s="31" t="inlineStr">
        <is>
          <t>smallcap</t>
        </is>
      </c>
      <c r="F111" s="31" t="n">
        <v>2159.68</v>
      </c>
      <c r="G111" s="31" t="n">
        <v>505.35</v>
      </c>
      <c r="H111" s="31" t="n">
        <v>3.07</v>
      </c>
      <c r="I111" s="31" t="n">
        <v>116605</v>
      </c>
      <c r="J111" s="31" t="inlineStr">
        <is>
          <t>531761</t>
        </is>
      </c>
    </row>
    <row r="112">
      <c r="A112" s="31" t="inlineStr">
        <is>
          <t>VISAKAIND</t>
        </is>
      </c>
      <c r="B112" s="31" t="inlineStr">
        <is>
          <t>Visaka Industries Limited</t>
        </is>
      </c>
      <c r="C112" s="31" t="inlineStr">
        <is>
          <t>building materials</t>
        </is>
      </c>
      <c r="D112" s="31" t="inlineStr">
        <is>
          <t>cement products</t>
        </is>
      </c>
      <c r="E112" s="31" t="inlineStr">
        <is>
          <t>smallcap</t>
        </is>
      </c>
      <c r="F112" s="31" t="n">
        <v>689.9400000000001</v>
      </c>
      <c r="G112" s="31" t="n">
        <v>82.29000000000001</v>
      </c>
      <c r="H112" s="31" t="n">
        <v>3.06</v>
      </c>
      <c r="I112" s="31" t="n">
        <v>320941</v>
      </c>
      <c r="J112" s="31" t="inlineStr">
        <is>
          <t>509055</t>
        </is>
      </c>
    </row>
    <row r="113">
      <c r="A113" s="31" t="inlineStr">
        <is>
          <t>IIFL</t>
        </is>
      </c>
      <c r="B113" s="31" t="inlineStr">
        <is>
          <t>IIFL Finance Ltd</t>
        </is>
      </c>
      <c r="C113" s="31" t="inlineStr">
        <is>
          <t>financials</t>
        </is>
      </c>
      <c r="D113" s="31" t="inlineStr">
        <is>
          <t>finance &amp; investments</t>
        </is>
      </c>
      <c r="E113" s="31" t="inlineStr">
        <is>
          <t>largecap</t>
        </is>
      </c>
      <c r="F113" s="31" t="n">
        <v>23671.46</v>
      </c>
      <c r="G113" s="31" t="n">
        <v>573.2</v>
      </c>
      <c r="H113" s="31" t="n">
        <v>2.99</v>
      </c>
      <c r="I113" s="31" t="n">
        <v>1874996</v>
      </c>
      <c r="J113" s="31" t="inlineStr">
        <is>
          <t>532636</t>
        </is>
      </c>
    </row>
    <row r="114">
      <c r="A114" s="31" t="inlineStr">
        <is>
          <t>SOUTHBANK</t>
        </is>
      </c>
      <c r="B114" s="31" t="inlineStr">
        <is>
          <t>The South Indian Bank Limited</t>
        </is>
      </c>
      <c r="C114" s="31" t="inlineStr">
        <is>
          <t>bank</t>
        </is>
      </c>
      <c r="D114" s="31" t="inlineStr">
        <is>
          <t>banks - private sector</t>
        </is>
      </c>
      <c r="E114" s="31" t="inlineStr">
        <is>
          <t>midcap</t>
        </is>
      </c>
      <c r="F114" s="31" t="n">
        <v>12179.24</v>
      </c>
      <c r="G114" s="31" t="n">
        <v>47.9</v>
      </c>
      <c r="H114" s="31" t="n">
        <v>2.97</v>
      </c>
      <c r="I114" s="31" t="n">
        <v>15756388</v>
      </c>
      <c r="J114" s="31" t="inlineStr">
        <is>
          <t>532218</t>
        </is>
      </c>
    </row>
    <row r="115">
      <c r="A115" s="31" t="inlineStr">
        <is>
          <t>POLYPLEX</t>
        </is>
      </c>
      <c r="B115" s="31" t="inlineStr">
        <is>
          <t>Polyplex Corporation Limited</t>
        </is>
      </c>
      <c r="C115" s="31" t="inlineStr">
        <is>
          <t>industrials</t>
        </is>
      </c>
      <c r="D115" s="31" t="inlineStr">
        <is>
          <t>packaging</t>
        </is>
      </c>
      <c r="E115" s="31" t="inlineStr">
        <is>
          <t>smallcap</t>
        </is>
      </c>
      <c r="F115" s="31" t="n">
        <v>3544.05</v>
      </c>
      <c r="G115" s="31" t="n">
        <v>1161.9</v>
      </c>
      <c r="H115" s="31" t="n">
        <v>2.92</v>
      </c>
      <c r="I115" s="31" t="n">
        <v>117512</v>
      </c>
      <c r="J115" s="31" t="inlineStr">
        <is>
          <t>524051</t>
        </is>
      </c>
    </row>
    <row r="116">
      <c r="A116" s="31" t="inlineStr">
        <is>
          <t>STOVEKRAFT</t>
        </is>
      </c>
      <c r="B116" s="31" t="inlineStr">
        <is>
          <t>Stove Kraft Ltd</t>
        </is>
      </c>
      <c r="C116" s="31" t="inlineStr">
        <is>
          <t>consumer discretionary</t>
        </is>
      </c>
      <c r="D116" s="31" t="inlineStr">
        <is>
          <t>domestic appliances</t>
        </is>
      </c>
      <c r="E116" s="31" t="inlineStr">
        <is>
          <t>smallcap</t>
        </is>
      </c>
      <c r="F116" s="31" t="n">
        <v>2560.52</v>
      </c>
      <c r="G116" s="31" t="n">
        <v>795.9</v>
      </c>
      <c r="H116" s="31" t="n">
        <v>2.91</v>
      </c>
      <c r="I116" s="31" t="n">
        <v>211211</v>
      </c>
      <c r="J116" s="31" t="inlineStr">
        <is>
          <t>543260</t>
        </is>
      </c>
    </row>
    <row r="117">
      <c r="A117" s="31" t="inlineStr">
        <is>
          <t>J&amp;KBANK</t>
        </is>
      </c>
      <c r="B117" s="31" t="inlineStr">
        <is>
          <t>The Jammu &amp; Kashmir Bank Limited</t>
        </is>
      </c>
      <c r="C117" s="31" t="inlineStr">
        <is>
          <t>bank</t>
        </is>
      </c>
      <c r="D117" s="31" t="inlineStr">
        <is>
          <t>banks - private sector</t>
        </is>
      </c>
      <c r="E117" s="31" t="inlineStr">
        <is>
          <t>midcap</t>
        </is>
      </c>
      <c r="F117" s="31" t="n">
        <v>19003.11</v>
      </c>
      <c r="G117" s="31" t="n">
        <v>177.51</v>
      </c>
      <c r="H117" s="31" t="n">
        <v>2.86</v>
      </c>
      <c r="I117" s="31" t="n">
        <v>3410387</v>
      </c>
      <c r="J117" s="31" t="inlineStr">
        <is>
          <t>532209</t>
        </is>
      </c>
    </row>
    <row r="118">
      <c r="A118" s="31" t="inlineStr">
        <is>
          <t>GUJALKALI</t>
        </is>
      </c>
      <c r="B118" s="31" t="inlineStr">
        <is>
          <t>Gujarat Alkalies And Chemicals Limited</t>
        </is>
      </c>
      <c r="C118" s="31" t="inlineStr">
        <is>
          <t>chemicals</t>
        </is>
      </c>
      <c r="D118" s="31" t="inlineStr">
        <is>
          <t>chemicals</t>
        </is>
      </c>
      <c r="E118" s="31" t="inlineStr">
        <is>
          <t>smallcap</t>
        </is>
      </c>
      <c r="F118" s="31" t="n">
        <v>4955.52</v>
      </c>
      <c r="G118" s="31" t="n">
        <v>694.1</v>
      </c>
      <c r="H118" s="31" t="n">
        <v>2.86</v>
      </c>
      <c r="I118" s="31" t="n">
        <v>328088</v>
      </c>
      <c r="J118" s="31" t="inlineStr">
        <is>
          <t>530001</t>
        </is>
      </c>
    </row>
    <row r="119">
      <c r="A119" s="31" t="inlineStr">
        <is>
          <t>UNIVPHOTO</t>
        </is>
      </c>
      <c r="B119" s="31" t="inlineStr">
        <is>
          <t>Universus Photo Imagings Ltd</t>
        </is>
      </c>
      <c r="C119" s="31" t="inlineStr">
        <is>
          <t>consumer discretionary</t>
        </is>
      </c>
      <c r="D119" s="31" t="inlineStr">
        <is>
          <t>photographic and allied products</t>
        </is>
      </c>
      <c r="E119" s="31" t="inlineStr">
        <is>
          <t>smallcap</t>
        </is>
      </c>
      <c r="F119" s="31" t="n">
        <v>520.78</v>
      </c>
      <c r="G119" s="31" t="n">
        <v>489.05</v>
      </c>
      <c r="H119" s="31" t="n">
        <v>2.8</v>
      </c>
      <c r="I119" s="31" t="n">
        <v>2015</v>
      </c>
      <c r="J119" s="31" t="inlineStr">
        <is>
          <t>542933</t>
        </is>
      </c>
    </row>
    <row r="120">
      <c r="A120" s="31" t="inlineStr">
        <is>
          <t>RPTECH</t>
        </is>
      </c>
      <c r="B120" s="31" t="inlineStr">
        <is>
          <t>Rashi Peripherals Ltd</t>
        </is>
      </c>
      <c r="C120" s="31" t="inlineStr">
        <is>
          <t>services</t>
        </is>
      </c>
      <c r="D120" s="31" t="inlineStr">
        <is>
          <t>trading</t>
        </is>
      </c>
      <c r="E120" s="31" t="inlineStr">
        <is>
          <t>midcap</t>
        </is>
      </c>
      <c r="F120" s="31" t="n">
        <v>5139.19</v>
      </c>
      <c r="G120" s="31" t="n">
        <v>801.45</v>
      </c>
      <c r="H120" s="31" t="n">
        <v>2.77</v>
      </c>
      <c r="I120" s="31" t="n">
        <v>450228</v>
      </c>
      <c r="J120" s="31" t="n"/>
    </row>
    <row r="121">
      <c r="A121" s="31" t="inlineStr">
        <is>
          <t>SANSERA</t>
        </is>
      </c>
      <c r="B121" s="31" t="inlineStr">
        <is>
          <t>Sansera Engineering Ltd</t>
        </is>
      </c>
      <c r="C121" s="31" t="inlineStr">
        <is>
          <t>auto</t>
        </is>
      </c>
      <c r="D121" s="31" t="inlineStr">
        <is>
          <t>auto ancillaries</t>
        </is>
      </c>
      <c r="E121" s="31" t="inlineStr">
        <is>
          <t>midcap</t>
        </is>
      </c>
      <c r="F121" s="31" t="n">
        <v>19873.66</v>
      </c>
      <c r="G121" s="31" t="n">
        <v>3273</v>
      </c>
      <c r="H121" s="31" t="n">
        <v>2.77</v>
      </c>
      <c r="I121" s="31" t="n">
        <v>106918</v>
      </c>
      <c r="J121" s="31" t="inlineStr">
        <is>
          <t>543358</t>
        </is>
      </c>
    </row>
    <row r="122">
      <c r="A122" s="31" t="inlineStr">
        <is>
          <t>360ONE</t>
        </is>
      </c>
      <c r="B122" s="31" t="inlineStr">
        <is>
          <t>360 ONE WAM Ltd</t>
        </is>
      </c>
      <c r="C122" s="31" t="inlineStr">
        <is>
          <t>financials</t>
        </is>
      </c>
      <c r="D122" s="31" t="inlineStr">
        <is>
          <t>finance &amp; investments</t>
        </is>
      </c>
      <c r="E122" s="31" t="inlineStr">
        <is>
          <t>largecap</t>
        </is>
      </c>
      <c r="F122" s="31" t="n">
        <v>44828.89</v>
      </c>
      <c r="G122" s="31" t="n">
        <v>1132.7</v>
      </c>
      <c r="H122" s="31" t="n">
        <v>2.76</v>
      </c>
      <c r="I122" s="31" t="n">
        <v>928617</v>
      </c>
      <c r="J122" s="31" t="inlineStr">
        <is>
          <t>542772</t>
        </is>
      </c>
    </row>
    <row r="123">
      <c r="A123" s="31" t="inlineStr">
        <is>
          <t>SKYGOLD</t>
        </is>
      </c>
      <c r="B123" s="31" t="inlineStr">
        <is>
          <t>Sky Gold Ltd</t>
        </is>
      </c>
      <c r="C123" s="31" t="inlineStr">
        <is>
          <t>consumer discretionary</t>
        </is>
      </c>
      <c r="D123" s="31" t="inlineStr">
        <is>
          <t>diamond cutting / jewellery</t>
        </is>
      </c>
      <c r="E123" s="31" t="inlineStr">
        <is>
          <t>midcap</t>
        </is>
      </c>
      <c r="F123" s="31" t="n">
        <v>10124.11</v>
      </c>
      <c r="G123" s="31" t="n">
        <v>671.65</v>
      </c>
      <c r="H123" s="31" t="n">
        <v>2.75</v>
      </c>
      <c r="I123" s="31" t="n">
        <v>892937</v>
      </c>
      <c r="J123" s="31" t="inlineStr">
        <is>
          <t>541967</t>
        </is>
      </c>
    </row>
    <row r="124">
      <c r="A124" s="31" t="inlineStr">
        <is>
          <t>ASIANPAINT</t>
        </is>
      </c>
      <c r="B124" s="31" t="inlineStr">
        <is>
          <t>Asian Paints Limited</t>
        </is>
      </c>
      <c r="C124" s="31" t="inlineStr">
        <is>
          <t>building materials</t>
        </is>
      </c>
      <c r="D124" s="31" t="inlineStr">
        <is>
          <t>paints / varnishes</t>
        </is>
      </c>
      <c r="E124" s="31" t="inlineStr">
        <is>
          <t>largecap</t>
        </is>
      </c>
      <c r="F124" s="31" t="n">
        <v>253026.79</v>
      </c>
      <c r="G124" s="31" t="n">
        <v>2710.2</v>
      </c>
      <c r="H124" s="31" t="n">
        <v>2.74</v>
      </c>
      <c r="I124" s="31" t="n">
        <v>715239</v>
      </c>
      <c r="J124" s="31" t="inlineStr">
        <is>
          <t>500820</t>
        </is>
      </c>
    </row>
    <row r="125">
      <c r="A125" s="31" t="inlineStr">
        <is>
          <t>TIMETECHNO</t>
        </is>
      </c>
      <c r="B125" s="31" t="inlineStr">
        <is>
          <t>Time Technoplast Limited</t>
        </is>
      </c>
      <c r="C125" s="31" t="inlineStr">
        <is>
          <t>plastic products</t>
        </is>
      </c>
      <c r="D125" s="31" t="inlineStr">
        <is>
          <t>plastics products</t>
        </is>
      </c>
      <c r="E125" s="31" t="inlineStr">
        <is>
          <t>midcap</t>
        </is>
      </c>
      <c r="F125" s="31" t="n">
        <v>9934.91</v>
      </c>
      <c r="G125" s="31" t="n">
        <v>206.75</v>
      </c>
      <c r="H125" s="31" t="n">
        <v>2.73</v>
      </c>
      <c r="I125" s="31" t="n">
        <v>4606690</v>
      </c>
      <c r="J125" s="31" t="inlineStr">
        <is>
          <t>532856</t>
        </is>
      </c>
    </row>
    <row r="126">
      <c r="A126" s="31" t="inlineStr">
        <is>
          <t>RAMRAT</t>
        </is>
      </c>
      <c r="B126" s="31" t="inlineStr">
        <is>
          <t>Ram Ratna Wires Ltd</t>
        </is>
      </c>
      <c r="C126" s="31" t="inlineStr">
        <is>
          <t>metals &amp; mining</t>
        </is>
      </c>
      <c r="D126" s="31" t="inlineStr">
        <is>
          <t>mining / minerals / metals</t>
        </is>
      </c>
      <c r="E126" s="31" t="inlineStr">
        <is>
          <t>smallcap</t>
        </is>
      </c>
      <c r="F126" s="31" t="n">
        <v>3865.59</v>
      </c>
      <c r="G126" s="31" t="n">
        <v>425.3</v>
      </c>
      <c r="H126" s="31" t="n">
        <v>2.7</v>
      </c>
      <c r="I126" s="31" t="n">
        <v>105248</v>
      </c>
      <c r="J126" s="31" t="inlineStr">
        <is>
          <t>522281</t>
        </is>
      </c>
    </row>
    <row r="127">
      <c r="A127" s="31" t="inlineStr">
        <is>
          <t>SHAILY</t>
        </is>
      </c>
      <c r="B127" s="31" t="inlineStr">
        <is>
          <t>Shaily Engineering Plastics Ltd</t>
        </is>
      </c>
      <c r="C127" s="31" t="inlineStr">
        <is>
          <t>plastic products</t>
        </is>
      </c>
      <c r="D127" s="31" t="inlineStr">
        <is>
          <t>plastics products</t>
        </is>
      </c>
      <c r="E127" s="31" t="inlineStr">
        <is>
          <t>midcap</t>
        </is>
      </c>
      <c r="F127" s="31" t="n">
        <v>13659.21</v>
      </c>
      <c r="G127" s="31" t="n">
        <v>3049.7</v>
      </c>
      <c r="H127" s="31" t="n">
        <v>2.69</v>
      </c>
      <c r="I127" s="31" t="n">
        <v>187201</v>
      </c>
      <c r="J127" s="31" t="inlineStr">
        <is>
          <t>501423</t>
        </is>
      </c>
    </row>
    <row r="128">
      <c r="A128" s="31" t="inlineStr">
        <is>
          <t>CAPITALSFB</t>
        </is>
      </c>
      <c r="B128" s="31" t="inlineStr">
        <is>
          <t>Capital Small Finance Bank Ltd</t>
        </is>
      </c>
      <c r="C128" s="31" t="inlineStr">
        <is>
          <t>bank</t>
        </is>
      </c>
      <c r="D128" s="31" t="inlineStr">
        <is>
          <t>banks - private sector</t>
        </is>
      </c>
      <c r="E128" s="31" t="inlineStr">
        <is>
          <t>smallcap</t>
        </is>
      </c>
      <c r="F128" s="31" t="n">
        <v>1327.58</v>
      </c>
      <c r="G128" s="31" t="n">
        <v>299.85</v>
      </c>
      <c r="H128" s="31" t="n">
        <v>2.69</v>
      </c>
      <c r="I128" s="31" t="n">
        <v>75000</v>
      </c>
      <c r="J128" s="31" t="n"/>
    </row>
    <row r="129">
      <c r="A129" s="31" t="inlineStr">
        <is>
          <t>PICCADIL</t>
        </is>
      </c>
      <c r="B129" s="31" t="inlineStr">
        <is>
          <t>Piccadily Agro Industries Ltd</t>
        </is>
      </c>
      <c r="C129" s="31" t="inlineStr">
        <is>
          <t>fmcg</t>
        </is>
      </c>
      <c r="D129" s="31" t="inlineStr">
        <is>
          <t>breweries &amp; distilleries</t>
        </is>
      </c>
      <c r="E129" s="31" t="inlineStr">
        <is>
          <t>midcap</t>
        </is>
      </c>
      <c r="F129" s="31" t="n">
        <v>7266.74</v>
      </c>
      <c r="G129" s="31" t="n">
        <v>757.05</v>
      </c>
      <c r="H129" s="31" t="n">
        <v>2.69</v>
      </c>
      <c r="I129" s="31" t="n">
        <v>256342</v>
      </c>
      <c r="J129" s="31" t="inlineStr">
        <is>
          <t>530305</t>
        </is>
      </c>
    </row>
    <row r="130">
      <c r="A130" s="31" t="inlineStr">
        <is>
          <t>MEDANTA</t>
        </is>
      </c>
      <c r="B130" s="31" t="inlineStr">
        <is>
          <t>Global Health Ltd</t>
        </is>
      </c>
      <c r="C130" s="31" t="inlineStr">
        <is>
          <t>healthcare</t>
        </is>
      </c>
      <c r="D130" s="31" t="inlineStr">
        <is>
          <t>healthcare</t>
        </is>
      </c>
      <c r="E130" s="31" t="inlineStr">
        <is>
          <t>largecap</t>
        </is>
      </c>
      <c r="F130" s="31" t="n">
        <v>36862.32</v>
      </c>
      <c r="G130" s="31" t="n">
        <v>1407.2</v>
      </c>
      <c r="H130" s="31" t="n">
        <v>2.64</v>
      </c>
      <c r="I130" s="31" t="n">
        <v>320048</v>
      </c>
      <c r="J130" s="31" t="inlineStr">
        <is>
          <t>543654</t>
        </is>
      </c>
    </row>
    <row r="131">
      <c r="A131" s="31" t="inlineStr">
        <is>
          <t>OMAXE</t>
        </is>
      </c>
      <c r="B131" s="31" t="inlineStr">
        <is>
          <t>Omaxe Limited</t>
        </is>
      </c>
      <c r="C131" s="31" t="inlineStr">
        <is>
          <t>realty</t>
        </is>
      </c>
      <c r="D131" s="31" t="inlineStr">
        <is>
          <t>construction</t>
        </is>
      </c>
      <c r="E131" s="31" t="inlineStr">
        <is>
          <t>smallcap</t>
        </is>
      </c>
      <c r="F131" s="31" t="n">
        <v>1603.31</v>
      </c>
      <c r="G131" s="31" t="n">
        <v>89.95</v>
      </c>
      <c r="H131" s="31" t="n">
        <v>2.61</v>
      </c>
      <c r="I131" s="31" t="n">
        <v>426419</v>
      </c>
      <c r="J131" s="31" t="inlineStr">
        <is>
          <t>532880</t>
        </is>
      </c>
    </row>
    <row r="132">
      <c r="A132" s="31" t="inlineStr">
        <is>
          <t>TARSONS</t>
        </is>
      </c>
      <c r="B132" s="31" t="inlineStr">
        <is>
          <t>Tarsons Products Ltd</t>
        </is>
      </c>
      <c r="C132" s="31" t="inlineStr">
        <is>
          <t>healthcare</t>
        </is>
      </c>
      <c r="D132" s="31" t="inlineStr">
        <is>
          <t>miscellaneous</t>
        </is>
      </c>
      <c r="E132" s="31" t="inlineStr">
        <is>
          <t>smallcap</t>
        </is>
      </c>
      <c r="F132" s="31" t="n">
        <v>1664.03</v>
      </c>
      <c r="G132" s="31" t="n">
        <v>320.9</v>
      </c>
      <c r="H132" s="31" t="n">
        <v>2.61</v>
      </c>
      <c r="I132" s="31" t="n">
        <v>208664</v>
      </c>
      <c r="J132" s="31" t="inlineStr">
        <is>
          <t>543399</t>
        </is>
      </c>
    </row>
    <row r="133">
      <c r="A133" s="31" t="inlineStr">
        <is>
          <t>EPL</t>
        </is>
      </c>
      <c r="B133" s="31" t="inlineStr">
        <is>
          <t>EPL Ltd</t>
        </is>
      </c>
      <c r="C133" s="31" t="inlineStr">
        <is>
          <t>industrials</t>
        </is>
      </c>
      <c r="D133" s="31" t="inlineStr">
        <is>
          <t>packaging</t>
        </is>
      </c>
      <c r="E133" s="31" t="inlineStr">
        <is>
          <t>midcap</t>
        </is>
      </c>
      <c r="F133" s="31" t="n">
        <v>7464.44</v>
      </c>
      <c r="G133" s="31" t="n">
        <v>239.06</v>
      </c>
      <c r="H133" s="31" t="n">
        <v>2.57</v>
      </c>
      <c r="I133" s="31" t="n">
        <v>231791</v>
      </c>
      <c r="J133" s="31" t="inlineStr">
        <is>
          <t>500135</t>
        </is>
      </c>
    </row>
    <row r="134">
      <c r="A134" s="31" t="inlineStr">
        <is>
          <t>PIDILITIND</t>
        </is>
      </c>
      <c r="B134" s="31" t="inlineStr">
        <is>
          <t>Pidilite Industries Limited</t>
        </is>
      </c>
      <c r="C134" s="31" t="inlineStr">
        <is>
          <t>chemicals</t>
        </is>
      </c>
      <c r="D134" s="31" t="inlineStr">
        <is>
          <t>chemicals</t>
        </is>
      </c>
      <c r="E134" s="31" t="inlineStr">
        <is>
          <t>largecap</t>
        </is>
      </c>
      <c r="F134" s="31" t="n">
        <v>159882.33</v>
      </c>
      <c r="G134" s="31" t="n">
        <v>1611.3</v>
      </c>
      <c r="H134" s="31" t="n">
        <v>2.57</v>
      </c>
      <c r="I134" s="31" t="n">
        <v>1161586</v>
      </c>
      <c r="J134" s="31" t="inlineStr">
        <is>
          <t>500331</t>
        </is>
      </c>
    </row>
    <row r="135">
      <c r="A135" s="31" t="inlineStr">
        <is>
          <t>JUBLINGREA</t>
        </is>
      </c>
      <c r="B135" s="31" t="inlineStr">
        <is>
          <t>Jubilant Ingrevia Ltd</t>
        </is>
      </c>
      <c r="C135" s="31" t="inlineStr">
        <is>
          <t>chemicals</t>
        </is>
      </c>
      <c r="D135" s="31" t="inlineStr">
        <is>
          <t>chemicals</t>
        </is>
      </c>
      <c r="E135" s="31" t="inlineStr">
        <is>
          <t>midcap</t>
        </is>
      </c>
      <c r="F135" s="31" t="n">
        <v>11556.64</v>
      </c>
      <c r="G135" s="31" t="n">
        <v>744.1</v>
      </c>
      <c r="H135" s="31" t="n">
        <v>2.56</v>
      </c>
      <c r="I135" s="31" t="n">
        <v>445843</v>
      </c>
      <c r="J135" s="31" t="inlineStr">
        <is>
          <t>543271</t>
        </is>
      </c>
    </row>
    <row r="136">
      <c r="A136" s="31" t="inlineStr">
        <is>
          <t>CGCL</t>
        </is>
      </c>
      <c r="B136" s="31" t="inlineStr">
        <is>
          <t>Capri Global Capital Limited</t>
        </is>
      </c>
      <c r="C136" s="31" t="inlineStr">
        <is>
          <t>financials</t>
        </is>
      </c>
      <c r="D136" s="31" t="inlineStr">
        <is>
          <t>finance &amp; investments</t>
        </is>
      </c>
      <c r="E136" s="31" t="inlineStr">
        <is>
          <t>largecap</t>
        </is>
      </c>
      <c r="F136" s="31" t="n">
        <v>22921.39</v>
      </c>
      <c r="G136" s="31" t="n">
        <v>244.27</v>
      </c>
      <c r="H136" s="31" t="n">
        <v>2.54</v>
      </c>
      <c r="I136" s="31" t="n">
        <v>2052332</v>
      </c>
      <c r="J136" s="31" t="inlineStr">
        <is>
          <t>531595</t>
        </is>
      </c>
    </row>
    <row r="137">
      <c r="A137" s="31" t="inlineStr">
        <is>
          <t>PRECOT</t>
        </is>
      </c>
      <c r="B137" s="31" t="inlineStr">
        <is>
          <t>Precot Meridian Limited</t>
        </is>
      </c>
      <c r="C137" s="31" t="inlineStr">
        <is>
          <t>textiles</t>
        </is>
      </c>
      <c r="D137" s="31" t="inlineStr">
        <is>
          <t>textiles - cotton/blended</t>
        </is>
      </c>
      <c r="E137" s="31" t="inlineStr">
        <is>
          <t>smallcap</t>
        </is>
      </c>
      <c r="F137" s="31" t="n">
        <v>988.5</v>
      </c>
      <c r="G137" s="31" t="n">
        <v>844.5</v>
      </c>
      <c r="H137" s="31" t="n">
        <v>2.52</v>
      </c>
      <c r="I137" s="31" t="n">
        <v>4729</v>
      </c>
      <c r="J137" s="31" t="inlineStr">
        <is>
          <t>521184</t>
        </is>
      </c>
    </row>
    <row r="138">
      <c r="A138" s="31" t="inlineStr">
        <is>
          <t>INDOTECH</t>
        </is>
      </c>
      <c r="B138" s="31" t="inlineStr">
        <is>
          <t>Indo Tech Transformers Limited</t>
        </is>
      </c>
      <c r="C138" s="31" t="inlineStr">
        <is>
          <t>industrials</t>
        </is>
      </c>
      <c r="D138" s="31" t="inlineStr">
        <is>
          <t>electric equipment</t>
        </is>
      </c>
      <c r="E138" s="31" t="inlineStr">
        <is>
          <t>smallcap</t>
        </is>
      </c>
      <c r="F138" s="31" t="n">
        <v>3629.92</v>
      </c>
      <c r="G138" s="31" t="n">
        <v>3503.4</v>
      </c>
      <c r="H138" s="31" t="n">
        <v>2.5</v>
      </c>
      <c r="I138" s="31" t="n">
        <v>29769</v>
      </c>
      <c r="J138" s="31" t="inlineStr">
        <is>
          <t>532717</t>
        </is>
      </c>
    </row>
    <row r="139">
      <c r="A139" s="31" t="inlineStr">
        <is>
          <t>GODREJPROP</t>
        </is>
      </c>
      <c r="B139" s="31" t="inlineStr">
        <is>
          <t>Godrej Properties Limited</t>
        </is>
      </c>
      <c r="C139" s="31" t="inlineStr">
        <is>
          <t>realty</t>
        </is>
      </c>
      <c r="D139" s="31" t="inlineStr">
        <is>
          <t>construction</t>
        </is>
      </c>
      <c r="E139" s="31" t="inlineStr">
        <is>
          <t>largecap</t>
        </is>
      </c>
      <c r="F139" s="31" t="n">
        <v>61109.71</v>
      </c>
      <c r="G139" s="31" t="n">
        <v>2078.8</v>
      </c>
      <c r="H139" s="31" t="n">
        <v>2.47</v>
      </c>
      <c r="I139" s="31" t="n">
        <v>732918</v>
      </c>
      <c r="J139" s="31" t="inlineStr">
        <is>
          <t>533150</t>
        </is>
      </c>
    </row>
    <row r="140">
      <c r="A140" s="31" t="inlineStr">
        <is>
          <t>NAUKRI</t>
        </is>
      </c>
      <c r="B140" s="31" t="inlineStr">
        <is>
          <t>Info Edge (india) Limited</t>
        </is>
      </c>
      <c r="C140" s="31" t="inlineStr">
        <is>
          <t>i.t</t>
        </is>
      </c>
      <c r="D140" s="31" t="inlineStr">
        <is>
          <t>miscellaneous</t>
        </is>
      </c>
      <c r="E140" s="31" t="inlineStr">
        <is>
          <t>largecap</t>
        </is>
      </c>
      <c r="F140" s="31" t="n">
        <v>75573.42</v>
      </c>
      <c r="G140" s="31" t="n">
        <v>1194.3</v>
      </c>
      <c r="H140" s="31" t="n">
        <v>2.47</v>
      </c>
      <c r="I140" s="31" t="n">
        <v>2342436</v>
      </c>
      <c r="J140" s="31" t="inlineStr">
        <is>
          <t>532777</t>
        </is>
      </c>
    </row>
    <row r="141">
      <c r="A141" s="31" t="inlineStr">
        <is>
          <t>M&amp;M</t>
        </is>
      </c>
      <c r="B141" s="31" t="inlineStr">
        <is>
          <t>Mahindra &amp; Mahindra Limited</t>
        </is>
      </c>
      <c r="C141" s="31" t="inlineStr">
        <is>
          <t>auto</t>
        </is>
      </c>
      <c r="D141" s="31" t="inlineStr">
        <is>
          <t>automobiles - passenger cars</t>
        </is>
      </c>
      <c r="E141" s="31" t="inlineStr">
        <is>
          <t>largecap</t>
        </is>
      </c>
      <c r="F141" s="31" t="n">
        <v>393129.2</v>
      </c>
      <c r="G141" s="31" t="n">
        <v>3238.6</v>
      </c>
      <c r="H141" s="31" t="n">
        <v>2.44</v>
      </c>
      <c r="I141" s="31" t="n">
        <v>2264570</v>
      </c>
      <c r="J141" s="31" t="inlineStr">
        <is>
          <t>500520</t>
        </is>
      </c>
    </row>
    <row r="142">
      <c r="A142" s="31" t="inlineStr">
        <is>
          <t>NEULANDLAB</t>
        </is>
      </c>
      <c r="B142" s="31" t="inlineStr">
        <is>
          <t>Neuland Laboratories Limited</t>
        </is>
      </c>
      <c r="C142" s="31" t="inlineStr">
        <is>
          <t>healthcare</t>
        </is>
      </c>
      <c r="D142" s="31" t="inlineStr">
        <is>
          <t>pharmaceuticals - indian - bulk drugs</t>
        </is>
      </c>
      <c r="E142" s="31" t="inlineStr">
        <is>
          <t>largecap</t>
        </is>
      </c>
      <c r="F142" s="31" t="n">
        <v>23794.31</v>
      </c>
      <c r="G142" s="31" t="n">
        <v>18994</v>
      </c>
      <c r="H142" s="31" t="n">
        <v>2.42</v>
      </c>
      <c r="I142" s="31" t="n">
        <v>27760</v>
      </c>
      <c r="J142" s="31" t="inlineStr">
        <is>
          <t>524558</t>
        </is>
      </c>
    </row>
    <row r="143">
      <c r="A143" s="31" t="inlineStr">
        <is>
          <t>COLPAL</t>
        </is>
      </c>
      <c r="B143" s="31" t="inlineStr">
        <is>
          <t>Colgate Palmolive (india) Limited</t>
        </is>
      </c>
      <c r="C143" s="31" t="inlineStr">
        <is>
          <t>fmcg</t>
        </is>
      </c>
      <c r="D143" s="31" t="inlineStr">
        <is>
          <t>personal care - multinational</t>
        </is>
      </c>
      <c r="E143" s="31" t="inlineStr">
        <is>
          <t>largecap</t>
        </is>
      </c>
      <c r="F143" s="31" t="n">
        <v>56738.92</v>
      </c>
      <c r="G143" s="31" t="n">
        <v>2136.6</v>
      </c>
      <c r="H143" s="31" t="n">
        <v>2.42</v>
      </c>
      <c r="I143" s="31" t="n">
        <v>381885</v>
      </c>
      <c r="J143" s="31" t="inlineStr">
        <is>
          <t>500830</t>
        </is>
      </c>
    </row>
    <row r="144">
      <c r="A144" s="31" t="inlineStr">
        <is>
          <t>PSPPROJECT</t>
        </is>
      </c>
      <c r="B144" s="31" t="inlineStr">
        <is>
          <t>PSP Projects Ltd</t>
        </is>
      </c>
      <c r="C144" s="31" t="inlineStr">
        <is>
          <t>realty</t>
        </is>
      </c>
      <c r="D144" s="31" t="inlineStr">
        <is>
          <t>construction</t>
        </is>
      </c>
      <c r="E144" s="31" t="inlineStr">
        <is>
          <t>smallcap</t>
        </is>
      </c>
      <c r="F144" s="31" t="n">
        <v>4087.86</v>
      </c>
      <c r="G144" s="31" t="n">
        <v>1055.9</v>
      </c>
      <c r="H144" s="31" t="n">
        <v>2.4</v>
      </c>
      <c r="I144" s="31" t="n">
        <v>79166</v>
      </c>
      <c r="J144" s="31" t="inlineStr">
        <is>
          <t>540544</t>
        </is>
      </c>
    </row>
    <row r="145">
      <c r="A145" s="31" t="inlineStr">
        <is>
          <t>ADFFOODS</t>
        </is>
      </c>
      <c r="B145" s="31" t="inlineStr">
        <is>
          <t>Adf Foods Limited</t>
        </is>
      </c>
      <c r="C145" s="31" t="inlineStr">
        <is>
          <t>fmcg</t>
        </is>
      </c>
      <c r="D145" s="31" t="inlineStr">
        <is>
          <t>food - processing - indian</t>
        </is>
      </c>
      <c r="E145" s="31" t="inlineStr">
        <is>
          <t>smallcap</t>
        </is>
      </c>
      <c r="F145" s="31" t="n">
        <v>3373.36</v>
      </c>
      <c r="G145" s="31" t="n">
        <v>314.4</v>
      </c>
      <c r="H145" s="31" t="n">
        <v>2.39</v>
      </c>
      <c r="I145" s="31" t="n">
        <v>196201</v>
      </c>
      <c r="J145" s="31" t="inlineStr">
        <is>
          <t>519183</t>
        </is>
      </c>
    </row>
    <row r="146">
      <c r="A146" s="31" t="inlineStr">
        <is>
          <t>SHILPAMED</t>
        </is>
      </c>
      <c r="B146" s="31" t="inlineStr">
        <is>
          <t>Shilpa Medicare Limited</t>
        </is>
      </c>
      <c r="C146" s="31" t="inlineStr">
        <is>
          <t>healthcare</t>
        </is>
      </c>
      <c r="D146" s="31" t="inlineStr">
        <is>
          <t>pharmaceuticals - indian - formulations</t>
        </is>
      </c>
      <c r="E146" s="31" t="inlineStr">
        <is>
          <t>midcap</t>
        </is>
      </c>
      <c r="F146" s="31" t="n">
        <v>11856.17</v>
      </c>
      <c r="G146" s="31" t="n">
        <v>620.6</v>
      </c>
      <c r="H146" s="31" t="n">
        <v>2.38</v>
      </c>
      <c r="I146" s="31" t="n">
        <v>305420</v>
      </c>
      <c r="J146" s="31" t="inlineStr">
        <is>
          <t>530549</t>
        </is>
      </c>
    </row>
    <row r="147">
      <c r="A147" s="31" t="inlineStr">
        <is>
          <t>MINDACORP</t>
        </is>
      </c>
      <c r="B147" s="31" t="inlineStr">
        <is>
          <t>Minda Corporation Limited</t>
        </is>
      </c>
      <c r="C147" s="31" t="inlineStr">
        <is>
          <t>auto</t>
        </is>
      </c>
      <c r="D147" s="31" t="inlineStr">
        <is>
          <t>auto ancillaries</t>
        </is>
      </c>
      <c r="E147" s="31" t="inlineStr">
        <is>
          <t>midcap</t>
        </is>
      </c>
      <c r="F147" s="31" t="n">
        <v>16172.53</v>
      </c>
      <c r="G147" s="31" t="n">
        <v>692.55</v>
      </c>
      <c r="H147" s="31" t="n">
        <v>2.38</v>
      </c>
      <c r="I147" s="31" t="n">
        <v>363763</v>
      </c>
      <c r="J147" s="31" t="inlineStr">
        <is>
          <t>538962</t>
        </is>
      </c>
    </row>
    <row r="148">
      <c r="A148" s="31" t="inlineStr">
        <is>
          <t>MOTHERSON</t>
        </is>
      </c>
      <c r="B148" s="31" t="inlineStr">
        <is>
          <t>Samvardhana Motherson International Ltd</t>
        </is>
      </c>
      <c r="C148" s="31" t="inlineStr">
        <is>
          <t>auto</t>
        </is>
      </c>
      <c r="D148" s="31" t="inlineStr">
        <is>
          <t>auto ancillaries</t>
        </is>
      </c>
      <c r="E148" s="31" t="inlineStr">
        <is>
          <t>largecap</t>
        </is>
      </c>
      <c r="F148" s="31" t="n">
        <v>153619.91</v>
      </c>
      <c r="G148" s="31" t="n">
        <v>148.97</v>
      </c>
      <c r="H148" s="31" t="n">
        <v>2.35</v>
      </c>
      <c r="I148" s="31" t="n">
        <v>13920800</v>
      </c>
      <c r="J148" s="31" t="inlineStr">
        <is>
          <t>517334</t>
        </is>
      </c>
    </row>
    <row r="149">
      <c r="A149" s="31" t="inlineStr">
        <is>
          <t>HIRECT</t>
        </is>
      </c>
      <c r="B149" s="31" t="inlineStr">
        <is>
          <t>Hind Rectifiers Limited</t>
        </is>
      </c>
      <c r="C149" s="31" t="inlineStr">
        <is>
          <t>consumer discretionary</t>
        </is>
      </c>
      <c r="D149" s="31" t="inlineStr">
        <is>
          <t>electronics - components</t>
        </is>
      </c>
      <c r="E149" s="31" t="inlineStr">
        <is>
          <t>smallcap</t>
        </is>
      </c>
      <c r="F149" s="31" t="n">
        <v>4474.92</v>
      </c>
      <c r="G149" s="31" t="n">
        <v>1332.3</v>
      </c>
      <c r="H149" s="31" t="n">
        <v>2.34</v>
      </c>
      <c r="I149" s="31" t="n">
        <v>161969</v>
      </c>
      <c r="J149" s="31" t="inlineStr">
        <is>
          <t>504036</t>
        </is>
      </c>
    </row>
    <row r="150">
      <c r="A150" s="31" t="inlineStr">
        <is>
          <t>EMCURE</t>
        </is>
      </c>
      <c r="B150" s="31" t="inlineStr">
        <is>
          <t>Emcure Pharmaceuticals Ltd</t>
        </is>
      </c>
      <c r="C150" s="31" t="inlineStr">
        <is>
          <t>healthcare</t>
        </is>
      </c>
      <c r="D150" s="31" t="inlineStr">
        <is>
          <t>pharmaceuticals - indian - bulk drugs &amp; formln</t>
        </is>
      </c>
      <c r="E150" s="31" t="inlineStr">
        <is>
          <t>largecap</t>
        </is>
      </c>
      <c r="F150" s="31" t="n">
        <v>35678.84</v>
      </c>
      <c r="G150" s="31" t="n">
        <v>1924.8</v>
      </c>
      <c r="H150" s="31" t="n">
        <v>2.33</v>
      </c>
      <c r="I150" s="31" t="n">
        <v>253294</v>
      </c>
      <c r="J150" s="31" t="inlineStr">
        <is>
          <t>544210</t>
        </is>
      </c>
    </row>
    <row r="151">
      <c r="A151" s="31" t="inlineStr">
        <is>
          <t>TIRUPATIFL</t>
        </is>
      </c>
      <c r="B151" s="31" t="inlineStr">
        <is>
          <t>Tirupati Forge Ltd</t>
        </is>
      </c>
      <c r="C151" s="31" t="inlineStr">
        <is>
          <t>industrials</t>
        </is>
      </c>
      <c r="D151" s="31" t="inlineStr">
        <is>
          <t>castings &amp; forgings</t>
        </is>
      </c>
      <c r="E151" s="31" t="inlineStr">
        <is>
          <t>smallcap</t>
        </is>
      </c>
      <c r="F151" s="31" t="n">
        <v>950.97</v>
      </c>
      <c r="G151" s="31" t="n">
        <v>75.31</v>
      </c>
      <c r="H151" s="31" t="n">
        <v>2.31</v>
      </c>
      <c r="I151" s="31" t="n">
        <v>466189</v>
      </c>
      <c r="J151" s="31" t="inlineStr">
        <is>
          <t>535021</t>
        </is>
      </c>
    </row>
    <row r="152">
      <c r="A152" s="31" t="inlineStr">
        <is>
          <t>INDIAGLYCO</t>
        </is>
      </c>
      <c r="B152" s="31" t="inlineStr">
        <is>
          <t>India Glycols Limited</t>
        </is>
      </c>
      <c r="C152" s="31" t="inlineStr">
        <is>
          <t>fmcg</t>
        </is>
      </c>
      <c r="D152" s="31" t="inlineStr">
        <is>
          <t>breweries &amp; distilleries</t>
        </is>
      </c>
      <c r="E152" s="31" t="inlineStr">
        <is>
          <t>midcap</t>
        </is>
      </c>
      <c r="F152" s="31" t="n">
        <v>7760.36</v>
      </c>
      <c r="G152" s="31" t="n">
        <v>1184.45</v>
      </c>
      <c r="H152" s="31" t="n">
        <v>2.3</v>
      </c>
      <c r="I152" s="31" t="n">
        <v>222525</v>
      </c>
      <c r="J152" s="31" t="inlineStr">
        <is>
          <t>500201</t>
        </is>
      </c>
    </row>
    <row r="153">
      <c r="A153" s="31" t="inlineStr">
        <is>
          <t>DIVISLAB</t>
        </is>
      </c>
      <c r="B153" s="31" t="inlineStr">
        <is>
          <t>Divi's Laboratories Limited</t>
        </is>
      </c>
      <c r="C153" s="31" t="inlineStr">
        <is>
          <t>healthcare</t>
        </is>
      </c>
      <c r="D153" s="31" t="inlineStr">
        <is>
          <t>pharmaceuticals - indian - bulk drugs</t>
        </is>
      </c>
      <c r="E153" s="31" t="inlineStr">
        <is>
          <t>largecap</t>
        </is>
      </c>
      <c r="F153" s="31" t="n">
        <v>192424.9</v>
      </c>
      <c r="G153" s="31" t="n">
        <v>7414</v>
      </c>
      <c r="H153" s="31" t="n">
        <v>2.28</v>
      </c>
      <c r="I153" s="31" t="n">
        <v>544701</v>
      </c>
      <c r="J153" s="31" t="inlineStr">
        <is>
          <t>532488</t>
        </is>
      </c>
    </row>
    <row r="154">
      <c r="A154" s="31" t="inlineStr">
        <is>
          <t>UNIPARTS</t>
        </is>
      </c>
      <c r="B154" s="31" t="inlineStr">
        <is>
          <t>Uniparts India Ltd</t>
        </is>
      </c>
      <c r="C154" s="31" t="inlineStr">
        <is>
          <t>industrials</t>
        </is>
      </c>
      <c r="D154" s="31" t="inlineStr">
        <is>
          <t>engineering</t>
        </is>
      </c>
      <c r="E154" s="31" t="inlineStr">
        <is>
          <t>smallcap</t>
        </is>
      </c>
      <c r="F154" s="31" t="n">
        <v>3112.62</v>
      </c>
      <c r="G154" s="31" t="n">
        <v>704.8</v>
      </c>
      <c r="H154" s="31" t="n">
        <v>2.22</v>
      </c>
      <c r="I154" s="31" t="n">
        <v>109878</v>
      </c>
      <c r="J154" s="31" t="inlineStr">
        <is>
          <t>543689</t>
        </is>
      </c>
    </row>
    <row r="155">
      <c r="A155" s="31" t="inlineStr">
        <is>
          <t>DIFFNKG</t>
        </is>
      </c>
      <c r="B155" s="31" t="inlineStr">
        <is>
          <t>Diffusion Engineers Ltd</t>
        </is>
      </c>
      <c r="C155" s="31" t="inlineStr">
        <is>
          <t>industrials</t>
        </is>
      </c>
      <c r="D155" s="31" t="inlineStr">
        <is>
          <t>electrodes - welding equipment</t>
        </is>
      </c>
      <c r="E155" s="31" t="inlineStr">
        <is>
          <t>smallcap</t>
        </is>
      </c>
      <c r="F155" s="31" t="n">
        <v>1479.65</v>
      </c>
      <c r="G155" s="31" t="n">
        <v>404.05</v>
      </c>
      <c r="H155" s="31" t="n">
        <v>2.2</v>
      </c>
      <c r="I155" s="31" t="n">
        <v>76782</v>
      </c>
      <c r="J155" s="31" t="inlineStr">
        <is>
          <t>544264</t>
        </is>
      </c>
    </row>
    <row r="156">
      <c r="A156" s="31" t="inlineStr">
        <is>
          <t>KIRLFER</t>
        </is>
      </c>
      <c r="B156" s="31" t="inlineStr">
        <is>
          <t>Kirloskar Ferrous Industries Ltd</t>
        </is>
      </c>
      <c r="C156" s="31" t="inlineStr">
        <is>
          <t>metals &amp; mining</t>
        </is>
      </c>
      <c r="D156" s="31" t="inlineStr">
        <is>
          <t>steel - large</t>
        </is>
      </c>
      <c r="E156" s="31" t="inlineStr">
        <is>
          <t>midcap</t>
        </is>
      </c>
      <c r="F156" s="31" t="n">
        <v>7765.37</v>
      </c>
      <c r="G156" s="31" t="n">
        <v>480.95</v>
      </c>
      <c r="H156" s="31" t="n">
        <v>2.19</v>
      </c>
      <c r="I156" s="31" t="n">
        <v>109886</v>
      </c>
      <c r="J156" s="31" t="inlineStr">
        <is>
          <t>500245</t>
        </is>
      </c>
    </row>
    <row r="157">
      <c r="A157" s="31" t="inlineStr">
        <is>
          <t>HAPPYFORGE</t>
        </is>
      </c>
      <c r="B157" s="31" t="inlineStr">
        <is>
          <t>Happy Forgings Ltd</t>
        </is>
      </c>
      <c r="C157" s="31" t="inlineStr">
        <is>
          <t>industrials</t>
        </is>
      </c>
      <c r="D157" s="31" t="inlineStr">
        <is>
          <t>castings &amp; forgings</t>
        </is>
      </c>
      <c r="E157" s="31" t="inlineStr">
        <is>
          <t>midcap</t>
        </is>
      </c>
      <c r="F157" s="31" t="n">
        <v>15246.88</v>
      </c>
      <c r="G157" s="31" t="n">
        <v>1650.7</v>
      </c>
      <c r="H157" s="31" t="n">
        <v>2.18</v>
      </c>
      <c r="I157" s="31" t="n">
        <v>69759</v>
      </c>
      <c r="J157" s="31" t="inlineStr">
        <is>
          <t>544057</t>
        </is>
      </c>
    </row>
    <row r="158">
      <c r="A158" s="31" t="inlineStr">
        <is>
          <t>ACE</t>
        </is>
      </c>
      <c r="B158" s="31" t="inlineStr">
        <is>
          <t>Action Construction Equipment Limited</t>
        </is>
      </c>
      <c r="C158" s="31" t="inlineStr">
        <is>
          <t>industrials</t>
        </is>
      </c>
      <c r="D158" s="31" t="inlineStr">
        <is>
          <t>engineering</t>
        </is>
      </c>
      <c r="E158" s="31" t="inlineStr">
        <is>
          <t>midcap</t>
        </is>
      </c>
      <c r="F158" s="31" t="n">
        <v>12377.51</v>
      </c>
      <c r="G158" s="31" t="n">
        <v>1061.8</v>
      </c>
      <c r="H158" s="31" t="n">
        <v>2.16</v>
      </c>
      <c r="I158" s="31" t="n">
        <v>716079</v>
      </c>
      <c r="J158" s="31" t="inlineStr">
        <is>
          <t>532762</t>
        </is>
      </c>
    </row>
    <row r="159">
      <c r="A159" s="31" t="inlineStr">
        <is>
          <t>BLSE</t>
        </is>
      </c>
      <c r="B159" s="31" t="inlineStr">
        <is>
          <t>BLS E-Services Ltd</t>
        </is>
      </c>
      <c r="C159" s="31" t="inlineStr">
        <is>
          <t>i.t</t>
        </is>
      </c>
      <c r="D159" s="31" t="inlineStr">
        <is>
          <t>computers - software - medium / small</t>
        </is>
      </c>
      <c r="E159" s="31" t="inlineStr">
        <is>
          <t>smallcap</t>
        </is>
      </c>
      <c r="F159" s="31" t="n">
        <v>2565.06</v>
      </c>
      <c r="G159" s="31" t="n">
        <v>288.32</v>
      </c>
      <c r="H159" s="31" t="n">
        <v>2.13</v>
      </c>
      <c r="I159" s="31" t="n">
        <v>1807981</v>
      </c>
      <c r="J159" s="31" t="inlineStr">
        <is>
          <t>544107</t>
        </is>
      </c>
    </row>
    <row r="160">
      <c r="A160" s="31" t="inlineStr">
        <is>
          <t>PGIL</t>
        </is>
      </c>
      <c r="B160" s="31" t="inlineStr">
        <is>
          <t>Pearl Global Industries Limited</t>
        </is>
      </c>
      <c r="C160" s="31" t="inlineStr">
        <is>
          <t>consumer discretionary</t>
        </is>
      </c>
      <c r="D160" s="31" t="inlineStr">
        <is>
          <t>textiles - products</t>
        </is>
      </c>
      <c r="E160" s="31" t="inlineStr">
        <is>
          <t>midcap</t>
        </is>
      </c>
      <c r="F160" s="31" t="n">
        <v>9119.049999999999</v>
      </c>
      <c r="G160" s="31" t="n">
        <v>2016.6</v>
      </c>
      <c r="H160" s="31" t="n">
        <v>2.13</v>
      </c>
      <c r="I160" s="31" t="n">
        <v>69227</v>
      </c>
      <c r="J160" s="31" t="inlineStr">
        <is>
          <t>532808</t>
        </is>
      </c>
    </row>
    <row r="161">
      <c r="A161" s="31" t="inlineStr">
        <is>
          <t>ONESOURCE</t>
        </is>
      </c>
      <c r="B161" s="31" t="inlineStr">
        <is>
          <t>OneSource Specialty Pharma Ltd</t>
        </is>
      </c>
      <c r="C161" s="31" t="inlineStr">
        <is>
          <t>healthcare</t>
        </is>
      </c>
      <c r="D161" s="31" t="inlineStr">
        <is>
          <t>pharmaceuticals - indian - bulk drugs &amp; formln</t>
        </is>
      </c>
      <c r="E161" s="31" t="inlineStr">
        <is>
          <t>midcap</t>
        </is>
      </c>
      <c r="F161" s="31" t="n">
        <v>18961.27</v>
      </c>
      <c r="G161" s="31" t="n">
        <v>1688.9</v>
      </c>
      <c r="H161" s="31" t="n">
        <v>2.12</v>
      </c>
      <c r="I161" s="31" t="n">
        <v>717187</v>
      </c>
      <c r="J161" s="31" t="inlineStr">
        <is>
          <t>544292</t>
        </is>
      </c>
    </row>
    <row r="162">
      <c r="A162" s="31" t="inlineStr">
        <is>
          <t>KTKBANK</t>
        </is>
      </c>
      <c r="B162" s="31" t="inlineStr">
        <is>
          <t>The Karnataka Bank Limited</t>
        </is>
      </c>
      <c r="C162" s="31" t="inlineStr">
        <is>
          <t>bank</t>
        </is>
      </c>
      <c r="D162" s="31" t="inlineStr">
        <is>
          <t>banks - private sector</t>
        </is>
      </c>
      <c r="E162" s="31" t="inlineStr">
        <is>
          <t>midcap</t>
        </is>
      </c>
      <c r="F162" s="31" t="n">
        <v>10578.35</v>
      </c>
      <c r="G162" s="31" t="n">
        <v>285.55</v>
      </c>
      <c r="H162" s="31" t="n">
        <v>2.09</v>
      </c>
      <c r="I162" s="31" t="n">
        <v>3550008</v>
      </c>
      <c r="J162" s="31" t="inlineStr">
        <is>
          <t>532652</t>
        </is>
      </c>
    </row>
    <row r="163">
      <c r="A163" s="31" t="inlineStr">
        <is>
          <t>IBULLSLTD</t>
        </is>
      </c>
      <c r="B163" s="31" t="inlineStr">
        <is>
          <t>Indiabulls Limited</t>
        </is>
      </c>
      <c r="C163" s="31" t="inlineStr">
        <is>
          <t>miscellaneous</t>
        </is>
      </c>
      <c r="D163" s="31" t="inlineStr">
        <is>
          <t>diversified - medium / small</t>
        </is>
      </c>
      <c r="E163" s="31" t="inlineStr">
        <is>
          <t>midcap</t>
        </is>
      </c>
      <c r="F163" s="31" t="n">
        <v>7112.1</v>
      </c>
      <c r="G163" s="31" t="n">
        <v>31.16</v>
      </c>
      <c r="H163" s="31" t="n">
        <v>2.06</v>
      </c>
      <c r="I163" s="31" t="n">
        <v>4694441</v>
      </c>
      <c r="J163" s="31" t="inlineStr">
        <is>
          <t>533520</t>
        </is>
      </c>
    </row>
    <row r="164">
      <c r="A164" s="31" t="inlineStr">
        <is>
          <t>BAFNAPH</t>
        </is>
      </c>
      <c r="B164" s="31" t="inlineStr">
        <is>
          <t>Bafna Pharmaceuticals Ltd</t>
        </is>
      </c>
      <c r="C164" s="31" t="inlineStr">
        <is>
          <t>healthcare</t>
        </is>
      </c>
      <c r="D164" s="31" t="inlineStr">
        <is>
          <t>pharmaceuticals - indian - formulations</t>
        </is>
      </c>
      <c r="E164" s="31" t="inlineStr">
        <is>
          <t>smallcap</t>
        </is>
      </c>
      <c r="F164" s="31" t="n">
        <v>563.38</v>
      </c>
      <c r="G164" s="31" t="n">
        <v>242.91</v>
      </c>
      <c r="H164" s="31" t="n">
        <v>2</v>
      </c>
      <c r="I164" s="31" t="n">
        <v>5947</v>
      </c>
      <c r="J164" s="31" t="inlineStr">
        <is>
          <t>532989</t>
        </is>
      </c>
    </row>
    <row r="165">
      <c r="A165" s="31" t="inlineStr">
        <is>
          <t>HMVL</t>
        </is>
      </c>
      <c r="B165" s="31" t="inlineStr">
        <is>
          <t>Hindustan Media Ventures Limited</t>
        </is>
      </c>
      <c r="C165" s="31" t="inlineStr">
        <is>
          <t>media</t>
        </is>
      </c>
      <c r="D165" s="31" t="inlineStr">
        <is>
          <t>entertainment / electronic media software</t>
        </is>
      </c>
      <c r="E165" s="31" t="inlineStr">
        <is>
          <t>smallcap</t>
        </is>
      </c>
      <c r="F165" s="31" t="n">
        <v>688.09</v>
      </c>
      <c r="G165" s="31" t="n">
        <v>95.25</v>
      </c>
      <c r="H165" s="31" t="n">
        <v>1.98</v>
      </c>
      <c r="I165" s="31" t="n">
        <v>67277</v>
      </c>
      <c r="J165" s="31" t="inlineStr">
        <is>
          <t>533217</t>
        </is>
      </c>
    </row>
    <row r="166">
      <c r="A166" s="31" t="inlineStr">
        <is>
          <t>SHRIPISTON</t>
        </is>
      </c>
      <c r="B166" s="31" t="inlineStr">
        <is>
          <t>Shriram Pistons &amp; Rings Limited</t>
        </is>
      </c>
      <c r="C166" s="31" t="inlineStr">
        <is>
          <t>auto</t>
        </is>
      </c>
      <c r="D166" s="31" t="inlineStr">
        <is>
          <t>auto ancillaries</t>
        </is>
      </c>
      <c r="E166" s="31" t="inlineStr">
        <is>
          <t>midcap</t>
        </is>
      </c>
      <c r="F166" s="31" t="n">
        <v>18324.29</v>
      </c>
      <c r="G166" s="31" t="n">
        <v>4241.8</v>
      </c>
      <c r="H166" s="31" t="n">
        <v>1.97</v>
      </c>
      <c r="I166" s="31" t="n">
        <v>37326</v>
      </c>
      <c r="J166" s="31" t="n"/>
    </row>
    <row r="167">
      <c r="A167" s="31" t="inlineStr">
        <is>
          <t>MUTHOOTMF</t>
        </is>
      </c>
      <c r="B167" s="31" t="inlineStr">
        <is>
          <t>Muthoot Microfin Ltd</t>
        </is>
      </c>
      <c r="C167" s="31" t="inlineStr">
        <is>
          <t>financials</t>
        </is>
      </c>
      <c r="D167" s="31" t="inlineStr">
        <is>
          <t>finance &amp; investments</t>
        </is>
      </c>
      <c r="E167" s="31" t="inlineStr">
        <is>
          <t>smallcap</t>
        </is>
      </c>
      <c r="F167" s="31" t="n">
        <v>4264.18</v>
      </c>
      <c r="G167" s="31" t="n">
        <v>255.03</v>
      </c>
      <c r="H167" s="31" t="n">
        <v>1.97</v>
      </c>
      <c r="I167" s="31" t="n">
        <v>550120</v>
      </c>
      <c r="J167" s="31" t="inlineStr">
        <is>
          <t>544055</t>
        </is>
      </c>
    </row>
    <row r="168">
      <c r="A168" s="31" t="inlineStr">
        <is>
          <t>SSWL</t>
        </is>
      </c>
      <c r="B168" s="31" t="inlineStr">
        <is>
          <t>Steel Strips Wheels Limited</t>
        </is>
      </c>
      <c r="C168" s="31" t="inlineStr">
        <is>
          <t>auto</t>
        </is>
      </c>
      <c r="D168" s="31" t="inlineStr">
        <is>
          <t>auto ancillaries</t>
        </is>
      </c>
      <c r="E168" s="31" t="inlineStr">
        <is>
          <t>smallcap</t>
        </is>
      </c>
      <c r="F168" s="31" t="n">
        <v>4531.67</v>
      </c>
      <c r="G168" s="31" t="n">
        <v>293.95</v>
      </c>
      <c r="H168" s="31" t="n">
        <v>1.96</v>
      </c>
      <c r="I168" s="31" t="n">
        <v>1751734</v>
      </c>
      <c r="J168" s="31" t="inlineStr">
        <is>
          <t>513262</t>
        </is>
      </c>
    </row>
    <row r="169">
      <c r="A169" s="31" t="inlineStr">
        <is>
          <t>MANAPPURAM</t>
        </is>
      </c>
      <c r="B169" s="31" t="inlineStr">
        <is>
          <t>Manappuram Finance Limited</t>
        </is>
      </c>
      <c r="C169" s="31" t="inlineStr">
        <is>
          <t>financials</t>
        </is>
      </c>
      <c r="D169" s="31" t="inlineStr">
        <is>
          <t>finance &amp; investments</t>
        </is>
      </c>
      <c r="E169" s="31" t="inlineStr">
        <is>
          <t>largecap</t>
        </is>
      </c>
      <c r="F169" s="31" t="n">
        <v>33153.87</v>
      </c>
      <c r="G169" s="31" t="n">
        <v>359.85</v>
      </c>
      <c r="H169" s="31" t="n">
        <v>1.95</v>
      </c>
      <c r="I169" s="31" t="n">
        <v>3881990</v>
      </c>
      <c r="J169" s="31" t="inlineStr">
        <is>
          <t>531213</t>
        </is>
      </c>
    </row>
    <row r="170">
      <c r="A170" s="31" t="inlineStr">
        <is>
          <t>FUSION</t>
        </is>
      </c>
      <c r="B170" s="31" t="inlineStr">
        <is>
          <t>Fusion Micro Finance Ltd</t>
        </is>
      </c>
      <c r="C170" s="31" t="inlineStr">
        <is>
          <t>financials</t>
        </is>
      </c>
      <c r="D170" s="31" t="inlineStr">
        <is>
          <t>finance &amp; investments</t>
        </is>
      </c>
      <c r="E170" s="31" t="inlineStr">
        <is>
          <t>smallcap</t>
        </is>
      </c>
      <c r="F170" s="31" t="n">
        <v>3508.76</v>
      </c>
      <c r="G170" s="31" t="n">
        <v>220.7</v>
      </c>
      <c r="H170" s="31" t="n">
        <v>1.95</v>
      </c>
      <c r="I170" s="31" t="n">
        <v>554472</v>
      </c>
      <c r="J170" s="31" t="inlineStr">
        <is>
          <t>543652</t>
        </is>
      </c>
    </row>
    <row r="171">
      <c r="A171" s="31" t="inlineStr">
        <is>
          <t>ADOR</t>
        </is>
      </c>
      <c r="B171" s="31" t="inlineStr">
        <is>
          <t>Ador Welding Ltd</t>
        </is>
      </c>
      <c r="C171" s="31" t="inlineStr">
        <is>
          <t>industrials</t>
        </is>
      </c>
      <c r="D171" s="31" t="inlineStr">
        <is>
          <t>electrodes - welding equipment</t>
        </is>
      </c>
      <c r="E171" s="31" t="inlineStr">
        <is>
          <t>smallcap</t>
        </is>
      </c>
      <c r="F171" s="31" t="n">
        <v>2599.81</v>
      </c>
      <c r="G171" s="31" t="n">
        <v>1523</v>
      </c>
      <c r="H171" s="31" t="n">
        <v>1.95</v>
      </c>
      <c r="I171" s="31" t="n">
        <v>41485</v>
      </c>
      <c r="J171" s="31" t="inlineStr">
        <is>
          <t>517041</t>
        </is>
      </c>
    </row>
    <row r="172">
      <c r="A172" s="31" t="inlineStr">
        <is>
          <t>STARHEALTH</t>
        </is>
      </c>
      <c r="B172" s="31" t="inlineStr">
        <is>
          <t>Star Health &amp; Allied Insurance Company Ltd</t>
        </is>
      </c>
      <c r="C172" s="31" t="inlineStr">
        <is>
          <t>financials</t>
        </is>
      </c>
      <c r="D172" s="31" t="inlineStr">
        <is>
          <t>finance &amp; investments</t>
        </is>
      </c>
      <c r="E172" s="31" t="inlineStr">
        <is>
          <t>largecap</t>
        </is>
      </c>
      <c r="F172" s="31" t="n">
        <v>34184.55</v>
      </c>
      <c r="G172" s="31" t="n">
        <v>592.05</v>
      </c>
      <c r="H172" s="31" t="n">
        <v>1.94</v>
      </c>
      <c r="I172" s="31" t="n">
        <v>380389</v>
      </c>
      <c r="J172" s="31" t="inlineStr">
        <is>
          <t>543412</t>
        </is>
      </c>
    </row>
    <row r="173">
      <c r="A173" s="31" t="inlineStr">
        <is>
          <t>BAJAJFINSV</t>
        </is>
      </c>
      <c r="B173" s="31" t="inlineStr">
        <is>
          <t>Bajaj Finserv Limited</t>
        </is>
      </c>
      <c r="C173" s="31" t="inlineStr">
        <is>
          <t>financials</t>
        </is>
      </c>
      <c r="D173" s="31" t="inlineStr">
        <is>
          <t>finance &amp; investments</t>
        </is>
      </c>
      <c r="E173" s="31" t="inlineStr">
        <is>
          <t>largecap</t>
        </is>
      </c>
      <c r="F173" s="31" t="n">
        <v>300375.22</v>
      </c>
      <c r="G173" s="31" t="n">
        <v>1913</v>
      </c>
      <c r="H173" s="31" t="n">
        <v>1.93</v>
      </c>
      <c r="I173" s="31" t="n">
        <v>651274</v>
      </c>
      <c r="J173" s="31" t="inlineStr">
        <is>
          <t>532978</t>
        </is>
      </c>
    </row>
    <row r="174">
      <c r="A174" s="31" t="inlineStr">
        <is>
          <t>SUNDRMFAST</t>
        </is>
      </c>
      <c r="B174" s="31" t="inlineStr">
        <is>
          <t>Sundram Fasteners Limited</t>
        </is>
      </c>
      <c r="C174" s="31" t="inlineStr">
        <is>
          <t>auto</t>
        </is>
      </c>
      <c r="D174" s="31" t="inlineStr">
        <is>
          <t>auto ancillaries</t>
        </is>
      </c>
      <c r="E174" s="31" t="inlineStr">
        <is>
          <t>midcap</t>
        </is>
      </c>
      <c r="F174" s="31" t="n">
        <v>19764.67</v>
      </c>
      <c r="G174" s="31" t="n">
        <v>958.3</v>
      </c>
      <c r="H174" s="31" t="n">
        <v>1.88</v>
      </c>
      <c r="I174" s="31" t="n">
        <v>42536</v>
      </c>
      <c r="J174" s="31" t="inlineStr">
        <is>
          <t>500403</t>
        </is>
      </c>
    </row>
    <row r="175">
      <c r="A175" s="31" t="inlineStr">
        <is>
          <t>TIPSMUSIC</t>
        </is>
      </c>
      <c r="B175" s="31" t="inlineStr">
        <is>
          <t>Tips Music Ltd</t>
        </is>
      </c>
      <c r="C175" s="31" t="inlineStr">
        <is>
          <t>media</t>
        </is>
      </c>
      <c r="D175" s="31" t="inlineStr">
        <is>
          <t>entertainment / electronic media software</t>
        </is>
      </c>
      <c r="E175" s="31" t="inlineStr">
        <is>
          <t>midcap</t>
        </is>
      </c>
      <c r="F175" s="31" t="n">
        <v>8941.18</v>
      </c>
      <c r="G175" s="31" t="n">
        <v>712.55</v>
      </c>
      <c r="H175" s="31" t="n">
        <v>1.87</v>
      </c>
      <c r="I175" s="31" t="n">
        <v>586014</v>
      </c>
      <c r="J175" s="31" t="inlineStr">
        <is>
          <t>532375</t>
        </is>
      </c>
    </row>
    <row r="176">
      <c r="A176" s="31" t="inlineStr">
        <is>
          <t>TTKPRESTIG</t>
        </is>
      </c>
      <c r="B176" s="31" t="inlineStr">
        <is>
          <t>Ttk Prestige Limited</t>
        </is>
      </c>
      <c r="C176" s="31" t="inlineStr">
        <is>
          <t>consumer discretionary</t>
        </is>
      </c>
      <c r="D176" s="31" t="inlineStr">
        <is>
          <t>domestic appliances</t>
        </is>
      </c>
      <c r="E176" s="31" t="inlineStr">
        <is>
          <t>midcap</t>
        </is>
      </c>
      <c r="F176" s="31" t="n">
        <v>8810.74</v>
      </c>
      <c r="G176" s="31" t="n">
        <v>655.35</v>
      </c>
      <c r="H176" s="31" t="n">
        <v>1.87</v>
      </c>
      <c r="I176" s="31" t="n">
        <v>67198</v>
      </c>
      <c r="J176" s="31" t="inlineStr">
        <is>
          <t>517506</t>
        </is>
      </c>
    </row>
    <row r="177">
      <c r="A177" s="31" t="inlineStr">
        <is>
          <t>BIRLACABLE</t>
        </is>
      </c>
      <c r="B177" s="31" t="inlineStr">
        <is>
          <t>Birla Cable Limited</t>
        </is>
      </c>
      <c r="C177" s="31" t="inlineStr">
        <is>
          <t>industrials</t>
        </is>
      </c>
      <c r="D177" s="31" t="inlineStr">
        <is>
          <t>cables - telephone</t>
        </is>
      </c>
      <c r="E177" s="31" t="inlineStr">
        <is>
          <t>smallcap</t>
        </is>
      </c>
      <c r="F177" s="31" t="n">
        <v>591.9299999999999</v>
      </c>
      <c r="G177" s="31" t="n">
        <v>200.98</v>
      </c>
      <c r="H177" s="31" t="n">
        <v>1.86</v>
      </c>
      <c r="I177" s="31" t="n">
        <v>63779</v>
      </c>
      <c r="J177" s="31" t="inlineStr">
        <is>
          <t>500060</t>
        </is>
      </c>
    </row>
    <row r="178">
      <c r="A178" s="31" t="inlineStr">
        <is>
          <t>EICHERMOT</t>
        </is>
      </c>
      <c r="B178" s="31" t="inlineStr">
        <is>
          <t>Eicher Motors Limited</t>
        </is>
      </c>
      <c r="C178" s="31" t="inlineStr">
        <is>
          <t>auto</t>
        </is>
      </c>
      <c r="D178" s="31" t="inlineStr">
        <is>
          <t>automobiles - motorcycles / mopeds</t>
        </is>
      </c>
      <c r="E178" s="31" t="inlineStr">
        <is>
          <t>largecap</t>
        </is>
      </c>
      <c r="F178" s="31" t="n">
        <v>209386.72</v>
      </c>
      <c r="G178" s="31" t="n">
        <v>7769.5</v>
      </c>
      <c r="H178" s="31" t="n">
        <v>1.86</v>
      </c>
      <c r="I178" s="31" t="n">
        <v>367549</v>
      </c>
      <c r="J178" s="31" t="inlineStr">
        <is>
          <t>505200</t>
        </is>
      </c>
    </row>
    <row r="179">
      <c r="A179" s="31" t="inlineStr">
        <is>
          <t>ORIENTHOT</t>
        </is>
      </c>
      <c r="B179" s="31" t="inlineStr">
        <is>
          <t>Oriental Hotels Limited</t>
        </is>
      </c>
      <c r="C179" s="31" t="inlineStr">
        <is>
          <t>services</t>
        </is>
      </c>
      <c r="D179" s="31" t="inlineStr">
        <is>
          <t>hotels</t>
        </is>
      </c>
      <c r="E179" s="31" t="inlineStr">
        <is>
          <t>smallcap</t>
        </is>
      </c>
      <c r="F179" s="31" t="n">
        <v>2408.23</v>
      </c>
      <c r="G179" s="31" t="n">
        <v>137.35</v>
      </c>
      <c r="H179" s="31" t="n">
        <v>1.86</v>
      </c>
      <c r="I179" s="31" t="n">
        <v>368592</v>
      </c>
      <c r="J179" s="31" t="inlineStr">
        <is>
          <t>500314</t>
        </is>
      </c>
    </row>
    <row r="180">
      <c r="A180" s="31" t="inlineStr">
        <is>
          <t>M&amp;MFIN</t>
        </is>
      </c>
      <c r="B180" s="31" t="inlineStr">
        <is>
          <t>Mahindra &amp; Mahindra Financial Services Limited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largecap</t>
        </is>
      </c>
      <c r="F180" s="31" t="n">
        <v>49552.47</v>
      </c>
      <c r="G180" s="31" t="n">
        <v>363</v>
      </c>
      <c r="H180" s="31" t="n">
        <v>1.82</v>
      </c>
      <c r="I180" s="31" t="n">
        <v>3518187</v>
      </c>
      <c r="J180" s="31" t="inlineStr">
        <is>
          <t>532720</t>
        </is>
      </c>
    </row>
    <row r="181">
      <c r="A181" s="31" t="inlineStr">
        <is>
          <t>RECLTD</t>
        </is>
      </c>
      <c r="B181" s="31" t="inlineStr">
        <is>
          <t>REC Ltd</t>
        </is>
      </c>
      <c r="C181" s="31" t="inlineStr">
        <is>
          <t>financials</t>
        </is>
      </c>
      <c r="D181" s="31" t="inlineStr">
        <is>
          <t>finance - term-lending institutions</t>
        </is>
      </c>
      <c r="E181" s="31" t="inlineStr">
        <is>
          <t>largecap</t>
        </is>
      </c>
      <c r="F181" s="31" t="n">
        <v>95217.38</v>
      </c>
      <c r="G181" s="31" t="n">
        <v>368.15</v>
      </c>
      <c r="H181" s="31" t="n">
        <v>1.81</v>
      </c>
      <c r="I181" s="31" t="n">
        <v>9400642</v>
      </c>
      <c r="J181" s="31" t="inlineStr">
        <is>
          <t>532955</t>
        </is>
      </c>
    </row>
    <row r="182">
      <c r="A182" s="31" t="inlineStr">
        <is>
          <t>WELINV</t>
        </is>
      </c>
      <c r="B182" s="31" t="inlineStr">
        <is>
          <t>Welspun Investments And Commercials Limited</t>
        </is>
      </c>
      <c r="C182" s="31" t="inlineStr">
        <is>
          <t>financials</t>
        </is>
      </c>
      <c r="D182" s="31" t="inlineStr">
        <is>
          <t>finance &amp; investments</t>
        </is>
      </c>
      <c r="E182" s="31" t="inlineStr">
        <is>
          <t>smallcap</t>
        </is>
      </c>
      <c r="F182" s="31" t="n">
        <v>693.62</v>
      </c>
      <c r="G182" s="31" t="n">
        <v>1931.9</v>
      </c>
      <c r="H182" s="31" t="n">
        <v>1.79</v>
      </c>
      <c r="I182" s="31" t="n">
        <v>467</v>
      </c>
      <c r="J182" s="31" t="inlineStr">
        <is>
          <t>533252</t>
        </is>
      </c>
    </row>
    <row r="183">
      <c r="A183" s="31" t="inlineStr">
        <is>
          <t>DIVGIITTS</t>
        </is>
      </c>
      <c r="B183" s="31" t="inlineStr">
        <is>
          <t>Divgi Torqtransfer Systems Ltd</t>
        </is>
      </c>
      <c r="C183" s="31" t="inlineStr">
        <is>
          <t>auto</t>
        </is>
      </c>
      <c r="D183" s="31" t="inlineStr">
        <is>
          <t>auto ancillaries</t>
        </is>
      </c>
      <c r="E183" s="31" t="inlineStr">
        <is>
          <t>smallcap</t>
        </is>
      </c>
      <c r="F183" s="31" t="n">
        <v>2891.92</v>
      </c>
      <c r="G183" s="31" t="n">
        <v>962.35</v>
      </c>
      <c r="H183" s="31" t="n">
        <v>1.77</v>
      </c>
      <c r="I183" s="31" t="n">
        <v>25653</v>
      </c>
      <c r="J183" s="31" t="inlineStr">
        <is>
          <t>543812</t>
        </is>
      </c>
    </row>
    <row r="184">
      <c r="A184" s="31" t="inlineStr">
        <is>
          <t>MANKIND</t>
        </is>
      </c>
      <c r="B184" s="31" t="inlineStr">
        <is>
          <t>Mankind Pharma Ltd</t>
        </is>
      </c>
      <c r="C184" s="31" t="inlineStr">
        <is>
          <t>healthcare</t>
        </is>
      </c>
      <c r="D184" s="31" t="inlineStr">
        <is>
          <t>pharmaceuticals - indian - bulk drugs &amp; formln</t>
        </is>
      </c>
      <c r="E184" s="31" t="inlineStr">
        <is>
          <t>largecap</t>
        </is>
      </c>
      <c r="F184" s="31" t="n">
        <v>103546.35</v>
      </c>
      <c r="G184" s="31" t="n">
        <v>2551.6</v>
      </c>
      <c r="H184" s="31" t="n">
        <v>1.77</v>
      </c>
      <c r="I184" s="31" t="n">
        <v>185805</v>
      </c>
      <c r="J184" s="31" t="inlineStr">
        <is>
          <t>543904</t>
        </is>
      </c>
    </row>
    <row r="185">
      <c r="A185" s="31" t="inlineStr">
        <is>
          <t>SENORES</t>
        </is>
      </c>
      <c r="B185" s="31" t="inlineStr">
        <is>
          <t>Senores Pharmaceuticals Ltd</t>
        </is>
      </c>
      <c r="C185" s="31" t="inlineStr">
        <is>
          <t>healthcare</t>
        </is>
      </c>
      <c r="D185" s="31" t="inlineStr">
        <is>
          <t>pharmaceuticals - indian - formulations</t>
        </is>
      </c>
      <c r="E185" s="31" t="inlineStr">
        <is>
          <t>midcap</t>
        </is>
      </c>
      <c r="F185" s="31" t="n">
        <v>6389.94</v>
      </c>
      <c r="G185" s="31" t="n">
        <v>1412</v>
      </c>
      <c r="H185" s="31" t="n">
        <v>1.77</v>
      </c>
      <c r="I185" s="31" t="n">
        <v>422207</v>
      </c>
      <c r="J185" s="31" t="inlineStr">
        <is>
          <t>544319</t>
        </is>
      </c>
    </row>
    <row r="186">
      <c r="A186" s="31" t="inlineStr">
        <is>
          <t>RAINBOW</t>
        </is>
      </c>
      <c r="B186" s="31" t="inlineStr">
        <is>
          <t>Rainbow Childrens Medicare Ltd</t>
        </is>
      </c>
      <c r="C186" s="31" t="inlineStr">
        <is>
          <t>healthcare</t>
        </is>
      </c>
      <c r="D186" s="31" t="inlineStr">
        <is>
          <t>healthcare</t>
        </is>
      </c>
      <c r="E186" s="31" t="inlineStr">
        <is>
          <t>midcap</t>
        </is>
      </c>
      <c r="F186" s="31" t="n">
        <v>14805.29</v>
      </c>
      <c r="G186" s="31" t="n">
        <v>1483.5</v>
      </c>
      <c r="H186" s="31" t="n">
        <v>1.76</v>
      </c>
      <c r="I186" s="31" t="n">
        <v>44019</v>
      </c>
      <c r="J186" s="31" t="inlineStr">
        <is>
          <t>543524</t>
        </is>
      </c>
    </row>
    <row r="187">
      <c r="A187" s="31" t="inlineStr">
        <is>
          <t>OPTIEMUS</t>
        </is>
      </c>
      <c r="B187" s="31" t="inlineStr">
        <is>
          <t>Optiemus Infracom Ltd</t>
        </is>
      </c>
      <c r="C187" s="31" t="inlineStr">
        <is>
          <t>telecom</t>
        </is>
      </c>
      <c r="D187" s="31" t="inlineStr">
        <is>
          <t>trading</t>
        </is>
      </c>
      <c r="E187" s="31" t="inlineStr">
        <is>
          <t>midcap</t>
        </is>
      </c>
      <c r="F187" s="31" t="n">
        <v>5320.88</v>
      </c>
      <c r="G187" s="31" t="n">
        <v>610.45</v>
      </c>
      <c r="H187" s="31" t="n">
        <v>1.75</v>
      </c>
      <c r="I187" s="31" t="n">
        <v>90875</v>
      </c>
      <c r="J187" s="31" t="inlineStr">
        <is>
          <t>530135</t>
        </is>
      </c>
    </row>
    <row r="188">
      <c r="A188" s="31" t="inlineStr">
        <is>
          <t>UNIVCABLES</t>
        </is>
      </c>
      <c r="B188" s="31" t="inlineStr">
        <is>
          <t>Universal Cables Limited</t>
        </is>
      </c>
      <c r="C188" s="31" t="inlineStr">
        <is>
          <t>industrials</t>
        </is>
      </c>
      <c r="D188" s="31" t="inlineStr">
        <is>
          <t>cables - power</t>
        </is>
      </c>
      <c r="E188" s="31" t="inlineStr">
        <is>
          <t>smallcap</t>
        </is>
      </c>
      <c r="F188" s="31" t="n">
        <v>4284.19</v>
      </c>
      <c r="G188" s="31" t="n">
        <v>1256.2</v>
      </c>
      <c r="H188" s="31" t="n">
        <v>1.73</v>
      </c>
      <c r="I188" s="31" t="n">
        <v>126439</v>
      </c>
      <c r="J188" s="31" t="inlineStr">
        <is>
          <t>504212</t>
        </is>
      </c>
    </row>
    <row r="189">
      <c r="A189" s="31" t="inlineStr">
        <is>
          <t>MENONBE</t>
        </is>
      </c>
      <c r="B189" s="31" t="inlineStr">
        <is>
          <t>Menon Bearings Limited</t>
        </is>
      </c>
      <c r="C189" s="31" t="inlineStr">
        <is>
          <t>auto</t>
        </is>
      </c>
      <c r="D189" s="31" t="inlineStr">
        <is>
          <t>auto ancillaries</t>
        </is>
      </c>
      <c r="E189" s="31" t="inlineStr">
        <is>
          <t>smallcap</t>
        </is>
      </c>
      <c r="F189" s="31" t="n">
        <v>1197.97</v>
      </c>
      <c r="G189" s="31" t="n">
        <v>217.46</v>
      </c>
      <c r="H189" s="31" t="n">
        <v>1.73</v>
      </c>
      <c r="I189" s="31" t="n">
        <v>100801</v>
      </c>
      <c r="J189" s="31" t="inlineStr">
        <is>
          <t>523828</t>
        </is>
      </c>
    </row>
    <row r="190">
      <c r="A190" s="31" t="inlineStr">
        <is>
          <t>KAMDHENU</t>
        </is>
      </c>
      <c r="B190" s="31" t="inlineStr">
        <is>
          <t>Kamdhenu Limited</t>
        </is>
      </c>
      <c r="C190" s="31" t="inlineStr">
        <is>
          <t>metals &amp; mining</t>
        </is>
      </c>
      <c r="D190" s="31" t="inlineStr">
        <is>
          <t>steel - medium / small</t>
        </is>
      </c>
      <c r="E190" s="31" t="inlineStr">
        <is>
          <t>smallcap</t>
        </is>
      </c>
      <c r="F190" s="31" t="n">
        <v>1018.73</v>
      </c>
      <c r="G190" s="31" t="n">
        <v>36.76</v>
      </c>
      <c r="H190" s="31" t="n">
        <v>1.72</v>
      </c>
      <c r="I190" s="31" t="n">
        <v>836699</v>
      </c>
      <c r="J190" s="31" t="inlineStr">
        <is>
          <t>532741</t>
        </is>
      </c>
    </row>
    <row r="191">
      <c r="A191" s="31" t="inlineStr">
        <is>
          <t>SUNPHARMA</t>
        </is>
      </c>
      <c r="B191" s="31" t="inlineStr">
        <is>
          <t>Sun Pharmaceuticals Industries Limited</t>
        </is>
      </c>
      <c r="C191" s="31" t="inlineStr">
        <is>
          <t>healthcare</t>
        </is>
      </c>
      <c r="D191" s="31" t="inlineStr">
        <is>
          <t>pharmaceuticals - indian - bulk drugs &amp; formln</t>
        </is>
      </c>
      <c r="E191" s="31" t="inlineStr">
        <is>
          <t>largecap</t>
        </is>
      </c>
      <c r="F191" s="31" t="n">
        <v>465734.91</v>
      </c>
      <c r="G191" s="31" t="n">
        <v>1973.7</v>
      </c>
      <c r="H191" s="31" t="n">
        <v>1.68</v>
      </c>
      <c r="I191" s="31" t="n">
        <v>5414380</v>
      </c>
      <c r="J191" s="31" t="inlineStr">
        <is>
          <t>524715</t>
        </is>
      </c>
    </row>
    <row r="192">
      <c r="A192" s="31" t="inlineStr">
        <is>
          <t>AVADHSUGAR</t>
        </is>
      </c>
      <c r="B192" s="31" t="inlineStr">
        <is>
          <t>Avadh Sugar &amp; Energy</t>
        </is>
      </c>
      <c r="C192" s="31" t="inlineStr">
        <is>
          <t>fmcg</t>
        </is>
      </c>
      <c r="D192" s="31" t="inlineStr">
        <is>
          <t>sugar</t>
        </is>
      </c>
      <c r="E192" s="31" t="inlineStr">
        <is>
          <t>smallcap</t>
        </is>
      </c>
      <c r="F192" s="31" t="n">
        <v>1051.67</v>
      </c>
      <c r="G192" s="31" t="n">
        <v>533.75</v>
      </c>
      <c r="H192" s="31" t="n">
        <v>1.6</v>
      </c>
      <c r="I192" s="31" t="n">
        <v>32832</v>
      </c>
      <c r="J192" s="31" t="inlineStr">
        <is>
          <t>540649</t>
        </is>
      </c>
    </row>
    <row r="193">
      <c r="A193" s="31" t="inlineStr">
        <is>
          <t>VHLTD</t>
        </is>
      </c>
      <c r="B193" s="31" t="inlineStr">
        <is>
          <t>Viceroy Hotels Ltd</t>
        </is>
      </c>
      <c r="C193" s="31" t="inlineStr">
        <is>
          <t>services</t>
        </is>
      </c>
      <c r="D193" s="31" t="inlineStr">
        <is>
          <t>hotels</t>
        </is>
      </c>
      <c r="E193" s="31" t="inlineStr">
        <is>
          <t>smallcap</t>
        </is>
      </c>
      <c r="F193" s="31" t="n">
        <v>891.97</v>
      </c>
      <c r="G193" s="31" t="n">
        <v>134.09</v>
      </c>
      <c r="H193" s="31" t="n">
        <v>1.59</v>
      </c>
      <c r="I193" s="31" t="n">
        <v>92015</v>
      </c>
      <c r="J193" s="31" t="inlineStr">
        <is>
          <t>523796</t>
        </is>
      </c>
    </row>
    <row r="194">
      <c r="A194" s="31" t="inlineStr">
        <is>
          <t>STEELCAS</t>
        </is>
      </c>
      <c r="B194" s="31" t="inlineStr">
        <is>
          <t>Steelcast Ltd</t>
        </is>
      </c>
      <c r="C194" s="31" t="inlineStr">
        <is>
          <t>industrials</t>
        </is>
      </c>
      <c r="D194" s="31" t="inlineStr">
        <is>
          <t>castings &amp; forgings</t>
        </is>
      </c>
      <c r="E194" s="31" t="inlineStr">
        <is>
          <t>smallcap</t>
        </is>
      </c>
      <c r="F194" s="31" t="n">
        <v>3103.3</v>
      </c>
      <c r="G194" s="31" t="n">
        <v>311.45</v>
      </c>
      <c r="H194" s="31" t="n">
        <v>1.57</v>
      </c>
      <c r="I194" s="31" t="n">
        <v>48582</v>
      </c>
      <c r="J194" s="31" t="inlineStr">
        <is>
          <t>513517</t>
        </is>
      </c>
    </row>
    <row r="195">
      <c r="A195" s="31" t="inlineStr">
        <is>
          <t>GALAPREC</t>
        </is>
      </c>
      <c r="B195" s="31" t="inlineStr">
        <is>
          <t>Gala Precision Engineering Ltd</t>
        </is>
      </c>
      <c r="C195" s="31" t="inlineStr">
        <is>
          <t>industrials</t>
        </is>
      </c>
      <c r="D195" s="31" t="inlineStr">
        <is>
          <t>fasteners</t>
        </is>
      </c>
      <c r="E195" s="31" t="inlineStr">
        <is>
          <t>smallcap</t>
        </is>
      </c>
      <c r="F195" s="31" t="n">
        <v>1469.12</v>
      </c>
      <c r="G195" s="31" t="n">
        <v>1164.2</v>
      </c>
      <c r="H195" s="31" t="n">
        <v>1.56</v>
      </c>
      <c r="I195" s="31" t="n">
        <v>33678</v>
      </c>
      <c r="J195" s="31" t="inlineStr">
        <is>
          <t>544244</t>
        </is>
      </c>
    </row>
    <row r="196">
      <c r="A196" s="31" t="inlineStr">
        <is>
          <t>HCG</t>
        </is>
      </c>
      <c r="B196" s="31" t="inlineStr">
        <is>
          <t>Healthcare Global Enterprises Limited</t>
        </is>
      </c>
      <c r="C196" s="31" t="inlineStr">
        <is>
          <t>healthcare</t>
        </is>
      </c>
      <c r="D196" s="31" t="inlineStr">
        <is>
          <t>healthcare</t>
        </is>
      </c>
      <c r="E196" s="31" t="inlineStr">
        <is>
          <t>midcap</t>
        </is>
      </c>
      <c r="F196" s="31" t="n">
        <v>9951.74</v>
      </c>
      <c r="G196" s="31" t="n">
        <v>676.95</v>
      </c>
      <c r="H196" s="31" t="n">
        <v>1.56</v>
      </c>
      <c r="I196" s="31" t="n">
        <v>148812</v>
      </c>
      <c r="J196" s="31" t="inlineStr">
        <is>
          <t>539787</t>
        </is>
      </c>
    </row>
    <row r="197">
      <c r="A197" s="31" t="inlineStr">
        <is>
          <t>IKIO</t>
        </is>
      </c>
      <c r="B197" s="31" t="inlineStr">
        <is>
          <t>IKIO Lighting Ltd</t>
        </is>
      </c>
      <c r="C197" s="31" t="inlineStr">
        <is>
          <t>consumer discretionary</t>
        </is>
      </c>
      <c r="D197" s="31" t="inlineStr">
        <is>
          <t>electric equipment</t>
        </is>
      </c>
      <c r="E197" s="31" t="inlineStr">
        <is>
          <t>smallcap</t>
        </is>
      </c>
      <c r="F197" s="31" t="n">
        <v>1582.86</v>
      </c>
      <c r="G197" s="31" t="n">
        <v>207.98</v>
      </c>
      <c r="H197" s="31" t="n">
        <v>1.54</v>
      </c>
      <c r="I197" s="31" t="n">
        <v>283051</v>
      </c>
      <c r="J197" s="31" t="inlineStr">
        <is>
          <t>543923</t>
        </is>
      </c>
    </row>
    <row r="198">
      <c r="A198" s="31" t="inlineStr">
        <is>
          <t>RELTD</t>
        </is>
      </c>
      <c r="B198" s="31" t="inlineStr">
        <is>
          <t>Ravindra Energy Ltd</t>
        </is>
      </c>
      <c r="C198" s="31" t="inlineStr">
        <is>
          <t>industrials</t>
        </is>
      </c>
      <c r="D198" s="31" t="inlineStr">
        <is>
          <t>electric equipment</t>
        </is>
      </c>
      <c r="E198" s="31" t="inlineStr">
        <is>
          <t>smallcap</t>
        </is>
      </c>
      <c r="F198" s="31" t="n">
        <v>3404.13</v>
      </c>
      <c r="G198" s="31" t="n">
        <v>174.03</v>
      </c>
      <c r="H198" s="31" t="n">
        <v>1.5</v>
      </c>
      <c r="I198" s="31" t="n">
        <v>195941</v>
      </c>
      <c r="J198" s="31" t="inlineStr">
        <is>
          <t>504341</t>
        </is>
      </c>
    </row>
    <row r="199">
      <c r="A199" s="31" t="inlineStr">
        <is>
          <t>MAHLIFE</t>
        </is>
      </c>
      <c r="B199" s="31" t="inlineStr">
        <is>
          <t>Mahindra Lifespace Developers Limited</t>
        </is>
      </c>
      <c r="C199" s="31" t="inlineStr">
        <is>
          <t>realty</t>
        </is>
      </c>
      <c r="D199" s="31" t="inlineStr">
        <is>
          <t>construction</t>
        </is>
      </c>
      <c r="E199" s="31" t="inlineStr">
        <is>
          <t>midcap</t>
        </is>
      </c>
      <c r="F199" s="31" t="n">
        <v>7992.88</v>
      </c>
      <c r="G199" s="31" t="n">
        <v>380.25</v>
      </c>
      <c r="H199" s="31" t="n">
        <v>1.49</v>
      </c>
      <c r="I199" s="31" t="n">
        <v>485785</v>
      </c>
      <c r="J199" s="31" t="inlineStr">
        <is>
          <t>532313</t>
        </is>
      </c>
    </row>
    <row r="200">
      <c r="A200" s="31" t="inlineStr">
        <is>
          <t>KANPRPLA</t>
        </is>
      </c>
      <c r="B200" s="31" t="inlineStr">
        <is>
          <t>Kanpur Plastipack Ltd</t>
        </is>
      </c>
      <c r="C200" s="31" t="inlineStr">
        <is>
          <t>industrials</t>
        </is>
      </c>
      <c r="D200" s="31" t="inlineStr">
        <is>
          <t>packaging</t>
        </is>
      </c>
      <c r="E200" s="31" t="inlineStr">
        <is>
          <t>smallcap</t>
        </is>
      </c>
      <c r="F200" s="31" t="n">
        <v>541.6</v>
      </c>
      <c r="G200" s="31" t="n">
        <v>224.54</v>
      </c>
      <c r="H200" s="31" t="n">
        <v>1.49</v>
      </c>
      <c r="I200" s="31" t="n">
        <v>48793</v>
      </c>
      <c r="J200" s="31" t="inlineStr">
        <is>
          <t>507779</t>
        </is>
      </c>
    </row>
    <row r="201">
      <c r="A201" s="31" t="inlineStr">
        <is>
          <t>NAHARSPING</t>
        </is>
      </c>
      <c r="B201" s="31" t="inlineStr">
        <is>
          <t>Nahar Spinning Mills Limited</t>
        </is>
      </c>
      <c r="C201" s="31" t="inlineStr">
        <is>
          <t>textiles</t>
        </is>
      </c>
      <c r="D201" s="31" t="inlineStr">
        <is>
          <t>textiles - cotton/blended</t>
        </is>
      </c>
      <c r="E201" s="31" t="inlineStr">
        <is>
          <t>smallcap</t>
        </is>
      </c>
      <c r="F201" s="31" t="n">
        <v>993.78</v>
      </c>
      <c r="G201" s="31" t="n">
        <v>279.65</v>
      </c>
      <c r="H201" s="31" t="n">
        <v>1.49</v>
      </c>
      <c r="I201" s="31" t="n">
        <v>7379</v>
      </c>
      <c r="J201" s="31" t="inlineStr">
        <is>
          <t>500296</t>
        </is>
      </c>
    </row>
    <row r="202">
      <c r="A202" s="31" t="inlineStr">
        <is>
          <t>HEG</t>
        </is>
      </c>
      <c r="B202" s="31" t="inlineStr">
        <is>
          <t>Heg Limited</t>
        </is>
      </c>
      <c r="C202" s="31" t="inlineStr">
        <is>
          <t>industrials</t>
        </is>
      </c>
      <c r="D202" s="31" t="inlineStr">
        <is>
          <t>electrodes - graphites</t>
        </is>
      </c>
      <c r="E202" s="31" t="inlineStr">
        <is>
          <t>midcap</t>
        </is>
      </c>
      <c r="F202" s="31" t="n">
        <v>12411.35</v>
      </c>
      <c r="G202" s="31" t="n">
        <v>652.5</v>
      </c>
      <c r="H202" s="31" t="n">
        <v>1.45</v>
      </c>
      <c r="I202" s="31" t="n">
        <v>3378029</v>
      </c>
      <c r="J202" s="31" t="inlineStr">
        <is>
          <t>509631</t>
        </is>
      </c>
    </row>
    <row r="203">
      <c r="A203" s="31" t="inlineStr">
        <is>
          <t>SUPRAJIT</t>
        </is>
      </c>
      <c r="B203" s="31" t="inlineStr">
        <is>
          <t>Suprajit Engineering Limited</t>
        </is>
      </c>
      <c r="C203" s="31" t="inlineStr">
        <is>
          <t>auto</t>
        </is>
      </c>
      <c r="D203" s="31" t="inlineStr">
        <is>
          <t>auto ancillaries</t>
        </is>
      </c>
      <c r="E203" s="31" t="inlineStr">
        <is>
          <t>midcap</t>
        </is>
      </c>
      <c r="F203" s="31" t="n">
        <v>6645.26</v>
      </c>
      <c r="G203" s="31" t="n">
        <v>491.4</v>
      </c>
      <c r="H203" s="31" t="n">
        <v>1.43</v>
      </c>
      <c r="I203" s="31" t="n">
        <v>51535</v>
      </c>
      <c r="J203" s="31" t="inlineStr">
        <is>
          <t>532509</t>
        </is>
      </c>
    </row>
    <row r="204">
      <c r="A204" s="31" t="inlineStr">
        <is>
          <t>RADICO</t>
        </is>
      </c>
      <c r="B204" s="31" t="inlineStr">
        <is>
          <t>Radico Khaitan Limited</t>
        </is>
      </c>
      <c r="C204" s="31" t="inlineStr">
        <is>
          <t>fmcg</t>
        </is>
      </c>
      <c r="D204" s="31" t="inlineStr">
        <is>
          <t>breweries &amp; distilleries</t>
        </is>
      </c>
      <c r="E204" s="31" t="inlineStr">
        <is>
          <t>largecap</t>
        </is>
      </c>
      <c r="F204" s="31" t="n">
        <v>54795.33</v>
      </c>
      <c r="G204" s="31" t="n">
        <v>4149.5</v>
      </c>
      <c r="H204" s="31" t="n">
        <v>1.42</v>
      </c>
      <c r="I204" s="31" t="n">
        <v>515365</v>
      </c>
      <c r="J204" s="31" t="inlineStr">
        <is>
          <t>532497</t>
        </is>
      </c>
    </row>
    <row r="205">
      <c r="A205" s="31" t="inlineStr">
        <is>
          <t>RANEHOLDIN</t>
        </is>
      </c>
      <c r="B205" s="31" t="inlineStr">
        <is>
          <t>Rane Holdings Limited</t>
        </is>
      </c>
      <c r="C205" s="31" t="inlineStr">
        <is>
          <t>financials</t>
        </is>
      </c>
      <c r="D205" s="31" t="inlineStr">
        <is>
          <t>finance &amp; investments</t>
        </is>
      </c>
      <c r="E205" s="31" t="inlineStr">
        <is>
          <t>smallcap</t>
        </is>
      </c>
      <c r="F205" s="31" t="n">
        <v>2482.05</v>
      </c>
      <c r="G205" s="31" t="n">
        <v>1762.7</v>
      </c>
      <c r="H205" s="31" t="n">
        <v>1.4</v>
      </c>
      <c r="I205" s="31" t="n">
        <v>8218</v>
      </c>
      <c r="J205" s="31" t="inlineStr">
        <is>
          <t>505800</t>
        </is>
      </c>
    </row>
    <row r="206">
      <c r="A206" s="31" t="inlineStr">
        <is>
          <t>MMFL</t>
        </is>
      </c>
      <c r="B206" s="31" t="inlineStr">
        <is>
          <t>Mm Forgings Limited</t>
        </is>
      </c>
      <c r="C206" s="31" t="inlineStr">
        <is>
          <t>industrials</t>
        </is>
      </c>
      <c r="D206" s="31" t="inlineStr">
        <is>
          <t>castings &amp; forgings</t>
        </is>
      </c>
      <c r="E206" s="31" t="inlineStr">
        <is>
          <t>smallcap</t>
        </is>
      </c>
      <c r="F206" s="31" t="n">
        <v>2664.42</v>
      </c>
      <c r="G206" s="31" t="n">
        <v>559.5</v>
      </c>
      <c r="H206" s="31" t="n">
        <v>1.39</v>
      </c>
      <c r="I206" s="31" t="n">
        <v>85615</v>
      </c>
      <c r="J206" s="31" t="inlineStr">
        <is>
          <t>522241</t>
        </is>
      </c>
    </row>
    <row r="207">
      <c r="A207" s="31" t="inlineStr">
        <is>
          <t>BHARATFORG</t>
        </is>
      </c>
      <c r="B207" s="31" t="inlineStr">
        <is>
          <t>Bharat Forge Limited</t>
        </is>
      </c>
      <c r="C207" s="31" t="inlineStr">
        <is>
          <t>industrials</t>
        </is>
      </c>
      <c r="D207" s="31" t="inlineStr">
        <is>
          <t>castings &amp; forgings</t>
        </is>
      </c>
      <c r="E207" s="31" t="inlineStr">
        <is>
          <t>largecap</t>
        </is>
      </c>
      <c r="F207" s="31" t="n">
        <v>102865.55</v>
      </c>
      <c r="G207" s="31" t="n">
        <v>2181.3</v>
      </c>
      <c r="H207" s="31" t="n">
        <v>1.38</v>
      </c>
      <c r="I207" s="31" t="n">
        <v>704988</v>
      </c>
      <c r="J207" s="31" t="inlineStr">
        <is>
          <t>500493</t>
        </is>
      </c>
    </row>
    <row r="208">
      <c r="A208" s="31" t="inlineStr">
        <is>
          <t>TITAN</t>
        </is>
      </c>
      <c r="B208" s="31" t="inlineStr">
        <is>
          <t>Titan Company Limited</t>
        </is>
      </c>
      <c r="C208" s="31" t="inlineStr">
        <is>
          <t>consumer discretionary</t>
        </is>
      </c>
      <c r="D208" s="31" t="inlineStr">
        <is>
          <t>diamond cutting / jewellery</t>
        </is>
      </c>
      <c r="E208" s="31" t="inlineStr">
        <is>
          <t>largecap</t>
        </is>
      </c>
      <c r="F208" s="31" t="n">
        <v>415217.59</v>
      </c>
      <c r="G208" s="31" t="n">
        <v>4740.1</v>
      </c>
      <c r="H208" s="31" t="n">
        <v>1.35</v>
      </c>
      <c r="I208" s="31" t="n">
        <v>500721</v>
      </c>
      <c r="J208" s="31" t="inlineStr">
        <is>
          <t>500114</t>
        </is>
      </c>
    </row>
    <row r="209">
      <c r="A209" s="31" t="inlineStr">
        <is>
          <t>ANDHRSUGAR</t>
        </is>
      </c>
      <c r="B209" s="31" t="inlineStr">
        <is>
          <t>The Andhra Sugars Limited</t>
        </is>
      </c>
      <c r="C209" s="31" t="inlineStr">
        <is>
          <t>chemicals</t>
        </is>
      </c>
      <c r="D209" s="31" t="inlineStr">
        <is>
          <t>chlor alkali / soda ash</t>
        </is>
      </c>
      <c r="E209" s="31" t="inlineStr">
        <is>
          <t>smallcap</t>
        </is>
      </c>
      <c r="F209" s="31" t="n">
        <v>1170.08</v>
      </c>
      <c r="G209" s="31" t="n">
        <v>87.45</v>
      </c>
      <c r="H209" s="31" t="n">
        <v>1.3</v>
      </c>
      <c r="I209" s="31" t="n">
        <v>345153</v>
      </c>
      <c r="J209" s="31" t="inlineStr">
        <is>
          <t>590062</t>
        </is>
      </c>
    </row>
    <row r="210">
      <c r="A210" s="31" t="inlineStr">
        <is>
          <t>RRKABEL</t>
        </is>
      </c>
      <c r="B210" s="31" t="inlineStr">
        <is>
          <t>R R Kabel Ltd</t>
        </is>
      </c>
      <c r="C210" s="31" t="inlineStr">
        <is>
          <t>industrials</t>
        </is>
      </c>
      <c r="D210" s="31" t="inlineStr">
        <is>
          <t>cables - power</t>
        </is>
      </c>
      <c r="E210" s="31" t="inlineStr">
        <is>
          <t>largecap</t>
        </is>
      </c>
      <c r="F210" s="31" t="n">
        <v>28203.99</v>
      </c>
      <c r="G210" s="31" t="n">
        <v>2525.3</v>
      </c>
      <c r="H210" s="31" t="n">
        <v>1.27</v>
      </c>
      <c r="I210" s="31" t="n">
        <v>1757341</v>
      </c>
      <c r="J210" s="31" t="inlineStr">
        <is>
          <t>543981</t>
        </is>
      </c>
    </row>
    <row r="211">
      <c r="A211" s="31" t="inlineStr">
        <is>
          <t>METROPOLIS</t>
        </is>
      </c>
      <c r="B211" s="31" t="inlineStr">
        <is>
          <t>Metropolis Healthcare Ltd</t>
        </is>
      </c>
      <c r="C211" s="31" t="inlineStr">
        <is>
          <t>healthcare</t>
        </is>
      </c>
      <c r="D211" s="31" t="inlineStr">
        <is>
          <t>healthcare</t>
        </is>
      </c>
      <c r="E211" s="31" t="inlineStr">
        <is>
          <t>midcap</t>
        </is>
      </c>
      <c r="F211" s="31" t="n">
        <v>11823.11</v>
      </c>
      <c r="G211" s="31" t="n">
        <v>577.35</v>
      </c>
      <c r="H211" s="31" t="n">
        <v>1.25</v>
      </c>
      <c r="I211" s="31" t="n">
        <v>357337</v>
      </c>
      <c r="J211" s="31" t="inlineStr">
        <is>
          <t>542650</t>
        </is>
      </c>
    </row>
    <row r="212">
      <c r="A212" s="31" t="inlineStr">
        <is>
          <t>KOPRAN</t>
        </is>
      </c>
      <c r="B212" s="31" t="inlineStr">
        <is>
          <t>Kopran Limited</t>
        </is>
      </c>
      <c r="C212" s="31" t="inlineStr">
        <is>
          <t>healthcare</t>
        </is>
      </c>
      <c r="D212" s="31" t="inlineStr">
        <is>
          <t>pharmaceuticals - indian - bulk drugs &amp; formln</t>
        </is>
      </c>
      <c r="E212" s="31" t="inlineStr">
        <is>
          <t>smallcap</t>
        </is>
      </c>
      <c r="F212" s="31" t="n">
        <v>959.63</v>
      </c>
      <c r="G212" s="31" t="n">
        <v>201.21</v>
      </c>
      <c r="H212" s="31" t="n">
        <v>1.24</v>
      </c>
      <c r="I212" s="31" t="n">
        <v>51205</v>
      </c>
      <c r="J212" s="31" t="inlineStr">
        <is>
          <t>524280</t>
        </is>
      </c>
    </row>
    <row r="213">
      <c r="A213" s="31" t="inlineStr">
        <is>
          <t>CARERATING</t>
        </is>
      </c>
      <c r="B213" s="31" t="inlineStr">
        <is>
          <t>CARE Ratings Ltd</t>
        </is>
      </c>
      <c r="C213" s="31" t="inlineStr">
        <is>
          <t>financials</t>
        </is>
      </c>
      <c r="D213" s="31" t="inlineStr">
        <is>
          <t>miscellaneous</t>
        </is>
      </c>
      <c r="E213" s="31" t="inlineStr">
        <is>
          <t>midcap</t>
        </is>
      </c>
      <c r="F213" s="31" t="n">
        <v>5050.15</v>
      </c>
      <c r="G213" s="31" t="n">
        <v>1700.6</v>
      </c>
      <c r="H213" s="31" t="n">
        <v>1.23</v>
      </c>
      <c r="I213" s="31" t="n">
        <v>138919</v>
      </c>
      <c r="J213" s="31" t="inlineStr">
        <is>
          <t>534804</t>
        </is>
      </c>
    </row>
    <row r="214">
      <c r="A214" s="31" t="inlineStr">
        <is>
          <t>NYKAA</t>
        </is>
      </c>
      <c r="B214" s="31" t="inlineStr">
        <is>
          <t>FSN E-Commerce Ventures Ltd</t>
        </is>
      </c>
      <c r="C214" s="31" t="inlineStr">
        <is>
          <t>i.t</t>
        </is>
      </c>
      <c r="D214" s="31" t="inlineStr">
        <is>
          <t>trading</t>
        </is>
      </c>
      <c r="E214" s="31" t="inlineStr">
        <is>
          <t>largecap</t>
        </is>
      </c>
      <c r="F214" s="31" t="n">
        <v>92444.24000000001</v>
      </c>
      <c r="G214" s="31" t="n">
        <v>326.75</v>
      </c>
      <c r="H214" s="31" t="n">
        <v>1.22</v>
      </c>
      <c r="I214" s="31" t="n">
        <v>3589386</v>
      </c>
      <c r="J214" s="31" t="inlineStr">
        <is>
          <t>543384</t>
        </is>
      </c>
    </row>
    <row r="215">
      <c r="A215" s="31" t="inlineStr">
        <is>
          <t>UJJIVANSFB</t>
        </is>
      </c>
      <c r="B215" s="31" t="inlineStr">
        <is>
          <t>Ujjivan Small Finance Bank Ltd</t>
        </is>
      </c>
      <c r="C215" s="31" t="inlineStr">
        <is>
          <t>bank</t>
        </is>
      </c>
      <c r="D215" s="31" t="inlineStr">
        <is>
          <t>banks - private sector</t>
        </is>
      </c>
      <c r="E215" s="31" t="inlineStr">
        <is>
          <t>midcap</t>
        </is>
      </c>
      <c r="F215" s="31" t="n">
        <v>13756.85</v>
      </c>
      <c r="G215" s="31" t="n">
        <v>71.56999999999999</v>
      </c>
      <c r="H215" s="31" t="n">
        <v>1.2</v>
      </c>
      <c r="I215" s="31" t="n">
        <v>49027357</v>
      </c>
      <c r="J215" s="31" t="inlineStr">
        <is>
          <t>542904</t>
        </is>
      </c>
    </row>
    <row r="216">
      <c r="A216" s="31" t="inlineStr">
        <is>
          <t>MMP</t>
        </is>
      </c>
      <c r="B216" s="31" t="inlineStr">
        <is>
          <t>MMP Industries Ltd</t>
        </is>
      </c>
      <c r="C216" s="31" t="inlineStr">
        <is>
          <t>metals &amp; mining</t>
        </is>
      </c>
      <c r="D216" s="31" t="inlineStr">
        <is>
          <t>aluminium and aluminium products</t>
        </is>
      </c>
      <c r="E216" s="31" t="inlineStr">
        <is>
          <t>smallcap</t>
        </is>
      </c>
      <c r="F216" s="31" t="n">
        <v>533</v>
      </c>
      <c r="G216" s="31" t="n">
        <v>285.05</v>
      </c>
      <c r="H216" s="31" t="n">
        <v>1.19</v>
      </c>
      <c r="I216" s="31" t="n">
        <v>23515</v>
      </c>
      <c r="J216" s="31" t="inlineStr">
        <is>
          <t>535071</t>
        </is>
      </c>
    </row>
    <row r="217">
      <c r="A217" s="31" t="inlineStr">
        <is>
          <t>TORNTPHARM</t>
        </is>
      </c>
      <c r="B217" s="31" t="inlineStr">
        <is>
          <t>Torrent Pharmaceuticals Limited</t>
        </is>
      </c>
      <c r="C217" s="31" t="inlineStr">
        <is>
          <t>healthcare</t>
        </is>
      </c>
      <c r="D217" s="31" t="inlineStr">
        <is>
          <t>pharmaceuticals - indian - formulations</t>
        </is>
      </c>
      <c r="E217" s="31" t="inlineStr">
        <is>
          <t>largecap</t>
        </is>
      </c>
      <c r="F217" s="31" t="n">
        <v>188719.51</v>
      </c>
      <c r="G217" s="31" t="n">
        <v>5019.5</v>
      </c>
      <c r="H217" s="31" t="n">
        <v>1.17</v>
      </c>
      <c r="I217" s="31" t="n">
        <v>267708</v>
      </c>
      <c r="J217" s="31" t="inlineStr">
        <is>
          <t>500420</t>
        </is>
      </c>
    </row>
    <row r="218">
      <c r="A218" s="31" t="inlineStr">
        <is>
          <t>POONAWALLA</t>
        </is>
      </c>
      <c r="B218" s="31" t="inlineStr">
        <is>
          <t>Poonawalla Fincorp Ltd</t>
        </is>
      </c>
      <c r="C218" s="31" t="inlineStr">
        <is>
          <t>financials</t>
        </is>
      </c>
      <c r="D218" s="31" t="inlineStr">
        <is>
          <t>finance &amp; investments</t>
        </is>
      </c>
      <c r="E218" s="31" t="inlineStr">
        <is>
          <t>largecap</t>
        </is>
      </c>
      <c r="F218" s="31" t="n">
        <v>40476.52</v>
      </c>
      <c r="G218" s="31" t="n">
        <v>465.1</v>
      </c>
      <c r="H218" s="31" t="n">
        <v>1.17</v>
      </c>
      <c r="I218" s="31" t="n">
        <v>664006</v>
      </c>
      <c r="J218" s="31" t="inlineStr">
        <is>
          <t>524000</t>
        </is>
      </c>
    </row>
    <row r="219">
      <c r="A219" s="31" t="inlineStr">
        <is>
          <t>SILVERTUC</t>
        </is>
      </c>
      <c r="B219" s="31" t="inlineStr">
        <is>
          <t>Silver Touch Technologies Ltd</t>
        </is>
      </c>
      <c r="C219" s="31" t="inlineStr">
        <is>
          <t>i.t</t>
        </is>
      </c>
      <c r="D219" s="31" t="inlineStr">
        <is>
          <t>computers - software - medium / small</t>
        </is>
      </c>
      <c r="E219" s="31" t="inlineStr">
        <is>
          <t>smallcap</t>
        </is>
      </c>
      <c r="F219" s="31" t="n">
        <v>2537.98</v>
      </c>
      <c r="G219" s="31" t="n">
        <v>202.42</v>
      </c>
      <c r="H219" s="31" t="n">
        <v>1.14</v>
      </c>
      <c r="I219" s="31" t="n">
        <v>498869</v>
      </c>
      <c r="J219" s="31" t="inlineStr">
        <is>
          <t>535031</t>
        </is>
      </c>
    </row>
    <row r="220">
      <c r="A220" s="31" t="inlineStr">
        <is>
          <t>PNB</t>
        </is>
      </c>
      <c r="B220" s="31" t="inlineStr">
        <is>
          <t>Punjab National Bank Ltd</t>
        </is>
      </c>
      <c r="C220" s="31" t="inlineStr">
        <is>
          <t>bank</t>
        </is>
      </c>
      <c r="D220" s="31" t="inlineStr">
        <is>
          <t>banks - public sector</t>
        </is>
      </c>
      <c r="E220" s="31" t="inlineStr">
        <is>
          <t>largecap</t>
        </is>
      </c>
      <c r="F220" s="31" t="n">
        <v>126859.11</v>
      </c>
      <c r="G220" s="31" t="n">
        <v>111.62</v>
      </c>
      <c r="H220" s="31" t="n">
        <v>1.12</v>
      </c>
      <c r="I220" s="31" t="n">
        <v>12850732</v>
      </c>
      <c r="J220" s="31" t="inlineStr">
        <is>
          <t>532461</t>
        </is>
      </c>
    </row>
    <row r="221">
      <c r="A221" s="31" t="inlineStr">
        <is>
          <t>FILATEX</t>
        </is>
      </c>
      <c r="B221" s="31" t="inlineStr">
        <is>
          <t>Filatex India Limited</t>
        </is>
      </c>
      <c r="C221" s="31" t="inlineStr">
        <is>
          <t>textiles</t>
        </is>
      </c>
      <c r="D221" s="31" t="inlineStr">
        <is>
          <t>textiles - manmade</t>
        </is>
      </c>
      <c r="E221" s="31" t="inlineStr">
        <is>
          <t>smallcap</t>
        </is>
      </c>
      <c r="F221" s="31" t="n">
        <v>3278.48</v>
      </c>
      <c r="G221" s="31" t="n">
        <v>74.64</v>
      </c>
      <c r="H221" s="31" t="n">
        <v>1.1</v>
      </c>
      <c r="I221" s="31" t="n">
        <v>3571940</v>
      </c>
      <c r="J221" s="31" t="inlineStr">
        <is>
          <t>526227</t>
        </is>
      </c>
    </row>
    <row r="222">
      <c r="A222" s="31" t="inlineStr">
        <is>
          <t>SANATHAN</t>
        </is>
      </c>
      <c r="B222" s="31" t="inlineStr">
        <is>
          <t>Sanathan Textiles Ltd</t>
        </is>
      </c>
      <c r="C222" s="31" t="inlineStr">
        <is>
          <t>textiles</t>
        </is>
      </c>
      <c r="D222" s="31" t="inlineStr">
        <is>
          <t>textiles - cotton/blended</t>
        </is>
      </c>
      <c r="E222" s="31" t="inlineStr">
        <is>
          <t>smallcap</t>
        </is>
      </c>
      <c r="F222" s="31" t="n">
        <v>4076.72</v>
      </c>
      <c r="G222" s="31" t="n">
        <v>488.25</v>
      </c>
      <c r="H222" s="31" t="n">
        <v>1.09</v>
      </c>
      <c r="I222" s="31" t="n">
        <v>91043</v>
      </c>
      <c r="J222" s="31" t="inlineStr">
        <is>
          <t>544314</t>
        </is>
      </c>
    </row>
    <row r="223">
      <c r="A223" s="31" t="inlineStr">
        <is>
          <t>FIEMIND</t>
        </is>
      </c>
      <c r="B223" s="31" t="inlineStr">
        <is>
          <t>Fiem Industries Limited</t>
        </is>
      </c>
      <c r="C223" s="31" t="inlineStr">
        <is>
          <t>auto</t>
        </is>
      </c>
      <c r="D223" s="31" t="inlineStr">
        <is>
          <t>auto ancillaries</t>
        </is>
      </c>
      <c r="E223" s="31" t="inlineStr">
        <is>
          <t>midcap</t>
        </is>
      </c>
      <c r="F223" s="31" t="n">
        <v>6137.48</v>
      </c>
      <c r="G223" s="31" t="n">
        <v>2356.6</v>
      </c>
      <c r="H223" s="31" t="n">
        <v>1.06</v>
      </c>
      <c r="I223" s="31" t="n">
        <v>67883</v>
      </c>
      <c r="J223" s="31" t="inlineStr">
        <is>
          <t>532768</t>
        </is>
      </c>
    </row>
    <row r="224">
      <c r="A224" s="31" t="inlineStr">
        <is>
          <t>GOODLUCK</t>
        </is>
      </c>
      <c r="B224" s="31" t="inlineStr">
        <is>
          <t>Goodluck India Limited</t>
        </is>
      </c>
      <c r="C224" s="31" t="inlineStr">
        <is>
          <t>metals &amp; mining</t>
        </is>
      </c>
      <c r="D224" s="31" t="inlineStr">
        <is>
          <t>steel - medium / small</t>
        </is>
      </c>
      <c r="E224" s="31" t="inlineStr">
        <is>
          <t>midcap</t>
        </is>
      </c>
      <c r="F224" s="31" t="n">
        <v>5024.33</v>
      </c>
      <c r="G224" s="31" t="n">
        <v>1527.6</v>
      </c>
      <c r="H224" s="31" t="n">
        <v>1.06</v>
      </c>
      <c r="I224" s="31" t="n">
        <v>74674</v>
      </c>
      <c r="J224" s="31" t="inlineStr">
        <is>
          <t>530655</t>
        </is>
      </c>
    </row>
    <row r="225">
      <c r="A225" s="31" t="inlineStr">
        <is>
          <t>PGHL</t>
        </is>
      </c>
      <c r="B225" s="31" t="inlineStr">
        <is>
          <t>Procter &amp; Gamble Health Ltd</t>
        </is>
      </c>
      <c r="C225" s="31" t="inlineStr">
        <is>
          <t>healthcare</t>
        </is>
      </c>
      <c r="D225" s="31" t="inlineStr">
        <is>
          <t>pharmaceuticals - multinational</t>
        </is>
      </c>
      <c r="E225" s="31" t="inlineStr">
        <is>
          <t>midcap</t>
        </is>
      </c>
      <c r="F225" s="31" t="n">
        <v>11144.83</v>
      </c>
      <c r="G225" s="31" t="n">
        <v>6784</v>
      </c>
      <c r="H225" s="31" t="n">
        <v>1.04</v>
      </c>
      <c r="I225" s="31" t="n">
        <v>5453</v>
      </c>
      <c r="J225" s="31" t="inlineStr">
        <is>
          <t>500126</t>
        </is>
      </c>
    </row>
    <row r="226">
      <c r="A226" s="31" t="inlineStr">
        <is>
          <t>UNITDSPR</t>
        </is>
      </c>
      <c r="B226" s="31" t="inlineStr">
        <is>
          <t>United Spirits Ltd</t>
        </is>
      </c>
      <c r="C226" s="31" t="inlineStr">
        <is>
          <t>fmcg</t>
        </is>
      </c>
      <c r="D226" s="31" t="inlineStr">
        <is>
          <t>breweries &amp; distilleries</t>
        </is>
      </c>
      <c r="E226" s="31" t="inlineStr">
        <is>
          <t>largecap</t>
        </is>
      </c>
      <c r="F226" s="31" t="n">
        <v>106716.92</v>
      </c>
      <c r="G226" s="31" t="n">
        <v>1482</v>
      </c>
      <c r="H226" s="31" t="n">
        <v>1.01</v>
      </c>
      <c r="I226" s="31" t="n">
        <v>1154306</v>
      </c>
      <c r="J226" s="31" t="inlineStr">
        <is>
          <t>532432</t>
        </is>
      </c>
    </row>
    <row r="227">
      <c r="A227" s="31" t="inlineStr">
        <is>
          <t>ASKAUTOLTD</t>
        </is>
      </c>
      <c r="B227" s="31" t="inlineStr">
        <is>
          <t>ASK Automotive Ltd</t>
        </is>
      </c>
      <c r="C227" s="31" t="inlineStr">
        <is>
          <t>auto</t>
        </is>
      </c>
      <c r="D227" s="31" t="inlineStr">
        <is>
          <t>auto ancillaries</t>
        </is>
      </c>
      <c r="E227" s="31" t="inlineStr">
        <is>
          <t>midcap</t>
        </is>
      </c>
      <c r="F227" s="31" t="n">
        <v>10040.47</v>
      </c>
      <c r="G227" s="31" t="n">
        <v>514.4</v>
      </c>
      <c r="H227" s="31" t="n">
        <v>1</v>
      </c>
      <c r="I227" s="31" t="n">
        <v>327078</v>
      </c>
      <c r="J227" s="31" t="inlineStr">
        <is>
          <t>544022</t>
        </is>
      </c>
    </row>
    <row r="228">
      <c r="A228" s="31" t="inlineStr">
        <is>
          <t>ARTEMISMED</t>
        </is>
      </c>
      <c r="B228" s="31" t="inlineStr">
        <is>
          <t>Artemis Medicare Services Ltd</t>
        </is>
      </c>
      <c r="C228" s="31" t="inlineStr">
        <is>
          <t>healthcare</t>
        </is>
      </c>
      <c r="D228" s="31" t="inlineStr">
        <is>
          <t>healthcare</t>
        </is>
      </c>
      <c r="E228" s="31" t="inlineStr">
        <is>
          <t>smallcap</t>
        </is>
      </c>
      <c r="F228" s="31" t="n">
        <v>4365.29</v>
      </c>
      <c r="G228" s="31" t="n">
        <v>278.5</v>
      </c>
      <c r="H228" s="31" t="n">
        <v>1</v>
      </c>
      <c r="I228" s="31" t="n">
        <v>142749</v>
      </c>
      <c r="J228" s="31" t="inlineStr">
        <is>
          <t>542919</t>
        </is>
      </c>
    </row>
    <row r="229">
      <c r="A229" s="31" t="inlineStr">
        <is>
          <t>HAL</t>
        </is>
      </c>
      <c r="B229" s="31" t="inlineStr">
        <is>
          <t>Hindustan Aeronautics Ltd</t>
        </is>
      </c>
      <c r="C229" s="31" t="inlineStr">
        <is>
          <t>aerospace &amp; defence</t>
        </is>
      </c>
      <c r="D229" s="31" t="inlineStr">
        <is>
          <t>engineering</t>
        </is>
      </c>
      <c r="E229" s="31" t="inlineStr">
        <is>
          <t>largecap</t>
        </is>
      </c>
      <c r="F229" s="31" t="n">
        <v>305857.56</v>
      </c>
      <c r="G229" s="31" t="n">
        <v>4619</v>
      </c>
      <c r="H229" s="31" t="n">
        <v>1</v>
      </c>
      <c r="I229" s="31" t="n">
        <v>694103</v>
      </c>
      <c r="J229" s="31" t="inlineStr">
        <is>
          <t>541154</t>
        </is>
      </c>
    </row>
    <row r="230">
      <c r="A230" s="31" t="inlineStr">
        <is>
          <t>TECHM</t>
        </is>
      </c>
      <c r="B230" s="31" t="inlineStr">
        <is>
          <t>Tech Mahindra Limited</t>
        </is>
      </c>
      <c r="C230" s="31" t="inlineStr">
        <is>
          <t>i.t</t>
        </is>
      </c>
      <c r="D230" s="31" t="inlineStr">
        <is>
          <t>computers - software - large</t>
        </is>
      </c>
      <c r="E230" s="31" t="inlineStr">
        <is>
          <t>largecap</t>
        </is>
      </c>
      <c r="F230" s="31" t="n">
        <v>152840.04</v>
      </c>
      <c r="G230" s="31" t="n">
        <v>1575</v>
      </c>
      <c r="H230" s="31" t="n">
        <v>0.99</v>
      </c>
      <c r="I230" s="31" t="n">
        <v>1513324</v>
      </c>
      <c r="J230" s="31" t="inlineStr">
        <is>
          <t>532755</t>
        </is>
      </c>
    </row>
    <row r="231">
      <c r="A231" s="31" t="inlineStr">
        <is>
          <t>IRISDOREME</t>
        </is>
      </c>
      <c r="B231" s="31" t="inlineStr">
        <is>
          <t>Iris Clothings Ltd</t>
        </is>
      </c>
      <c r="C231" s="31" t="inlineStr">
        <is>
          <t>consumer discretionary</t>
        </is>
      </c>
      <c r="D231" s="31" t="inlineStr">
        <is>
          <t>textiles - products</t>
        </is>
      </c>
      <c r="E231" s="31" t="inlineStr">
        <is>
          <t>smallcap</t>
        </is>
      </c>
      <c r="F231" s="31" t="n">
        <v>910.36</v>
      </c>
      <c r="G231" s="31" t="n">
        <v>48.29</v>
      </c>
      <c r="H231" s="31" t="n">
        <v>0.96</v>
      </c>
      <c r="I231" s="31" t="n">
        <v>1814818</v>
      </c>
      <c r="J231" s="31" t="inlineStr">
        <is>
          <t>535123</t>
        </is>
      </c>
    </row>
    <row r="232">
      <c r="A232" s="31" t="inlineStr">
        <is>
          <t>GNA</t>
        </is>
      </c>
      <c r="B232" s="31" t="inlineStr">
        <is>
          <t>Gna Axles Limited</t>
        </is>
      </c>
      <c r="C232" s="31" t="inlineStr">
        <is>
          <t>auto</t>
        </is>
      </c>
      <c r="D232" s="31" t="inlineStr">
        <is>
          <t>auto ancillaries</t>
        </is>
      </c>
      <c r="E232" s="31" t="inlineStr">
        <is>
          <t>smallcap</t>
        </is>
      </c>
      <c r="F232" s="31" t="n">
        <v>2176.59</v>
      </c>
      <c r="G232" s="31" t="n">
        <v>511.85</v>
      </c>
      <c r="H232" s="31" t="n">
        <v>0.96</v>
      </c>
      <c r="I232" s="31" t="n">
        <v>212597</v>
      </c>
      <c r="J232" s="31" t="inlineStr">
        <is>
          <t>540124</t>
        </is>
      </c>
    </row>
    <row r="233">
      <c r="A233" s="31" t="inlineStr">
        <is>
          <t>RSWM</t>
        </is>
      </c>
      <c r="B233" s="31" t="inlineStr">
        <is>
          <t>Rswm Limited</t>
        </is>
      </c>
      <c r="C233" s="31" t="inlineStr">
        <is>
          <t>textiles</t>
        </is>
      </c>
      <c r="D233" s="31" t="inlineStr">
        <is>
          <t>textiles - cotton/blended</t>
        </is>
      </c>
      <c r="E233" s="31" t="inlineStr">
        <is>
          <t>smallcap</t>
        </is>
      </c>
      <c r="F233" s="31" t="n">
        <v>997.1900000000001</v>
      </c>
      <c r="G233" s="31" t="n">
        <v>213.67</v>
      </c>
      <c r="H233" s="31" t="n">
        <v>0.93</v>
      </c>
      <c r="I233" s="31" t="n">
        <v>47082</v>
      </c>
      <c r="J233" s="31" t="inlineStr">
        <is>
          <t>500350</t>
        </is>
      </c>
    </row>
    <row r="234">
      <c r="A234" s="31" t="inlineStr">
        <is>
          <t>GANDHITUBE</t>
        </is>
      </c>
      <c r="B234" s="31" t="inlineStr">
        <is>
          <t>Gandhi Special Tubes Limited</t>
        </is>
      </c>
      <c r="C234" s="31" t="inlineStr">
        <is>
          <t>metals &amp; mining</t>
        </is>
      </c>
      <c r="D234" s="31" t="inlineStr">
        <is>
          <t>steel - medium / small</t>
        </is>
      </c>
      <c r="E234" s="31" t="inlineStr">
        <is>
          <t>smallcap</t>
        </is>
      </c>
      <c r="F234" s="31" t="n">
        <v>1054.79</v>
      </c>
      <c r="G234" s="31" t="n">
        <v>875.85</v>
      </c>
      <c r="H234" s="31" t="n">
        <v>0.9</v>
      </c>
      <c r="I234" s="31" t="n">
        <v>4803</v>
      </c>
      <c r="J234" s="31" t="inlineStr">
        <is>
          <t>513108</t>
        </is>
      </c>
    </row>
    <row r="235">
      <c r="A235" s="31" t="inlineStr">
        <is>
          <t>ICICIBANK</t>
        </is>
      </c>
      <c r="B235" s="31" t="inlineStr">
        <is>
          <t>Icici Bank Limited</t>
        </is>
      </c>
      <c r="C235" s="31" t="inlineStr">
        <is>
          <t>bank</t>
        </is>
      </c>
      <c r="D235" s="31" t="inlineStr">
        <is>
          <t>banks - private sector</t>
        </is>
      </c>
      <c r="E235" s="31" t="inlineStr">
        <is>
          <t>largecap</t>
        </is>
      </c>
      <c r="F235" s="31" t="n">
        <v>1027907.4</v>
      </c>
      <c r="G235" s="31" t="n">
        <v>1445.7</v>
      </c>
      <c r="H235" s="31" t="n">
        <v>0.89</v>
      </c>
      <c r="I235" s="31" t="n">
        <v>10608300</v>
      </c>
      <c r="J235" s="31" t="inlineStr">
        <is>
          <t>532174</t>
        </is>
      </c>
    </row>
    <row r="236">
      <c r="A236" s="31" t="inlineStr">
        <is>
          <t>INDHOTEL</t>
        </is>
      </c>
      <c r="B236" s="31" t="inlineStr">
        <is>
          <t>The Indian Hotels Company Limited</t>
        </is>
      </c>
      <c r="C236" s="31" t="inlineStr">
        <is>
          <t>services</t>
        </is>
      </c>
      <c r="D236" s="31" t="inlineStr">
        <is>
          <t>hotels</t>
        </is>
      </c>
      <c r="E236" s="31" t="inlineStr">
        <is>
          <t>largecap</t>
        </is>
      </c>
      <c r="F236" s="31" t="n">
        <v>103547.58</v>
      </c>
      <c r="G236" s="31" t="n">
        <v>733.75</v>
      </c>
      <c r="H236" s="31" t="n">
        <v>0.87</v>
      </c>
      <c r="I236" s="31" t="n">
        <v>1143931</v>
      </c>
      <c r="J236" s="31" t="inlineStr">
        <is>
          <t>500850</t>
        </is>
      </c>
    </row>
    <row r="237">
      <c r="A237" s="31" t="inlineStr">
        <is>
          <t>SPORTKING</t>
        </is>
      </c>
      <c r="B237" s="31" t="inlineStr">
        <is>
          <t>Sportking India Ltd</t>
        </is>
      </c>
      <c r="C237" s="31" t="inlineStr">
        <is>
          <t>textiles</t>
        </is>
      </c>
      <c r="D237" s="31" t="inlineStr">
        <is>
          <t>textiles - spinning - synthetic / blended</t>
        </is>
      </c>
      <c r="E237" s="31" t="inlineStr">
        <is>
          <t>smallcap</t>
        </is>
      </c>
      <c r="F237" s="31" t="n">
        <v>2716.04</v>
      </c>
      <c r="G237" s="31" t="n">
        <v>215.56</v>
      </c>
      <c r="H237" s="31" t="n">
        <v>0.85</v>
      </c>
      <c r="I237" s="31" t="n">
        <v>377432</v>
      </c>
      <c r="J237" s="31" t="inlineStr">
        <is>
          <t>539221</t>
        </is>
      </c>
    </row>
    <row r="238">
      <c r="A238" s="31" t="inlineStr">
        <is>
          <t>GANESHBE</t>
        </is>
      </c>
      <c r="B238" s="31" t="inlineStr">
        <is>
          <t>Ganesh Benzoplast Ltd</t>
        </is>
      </c>
      <c r="C238" s="31" t="inlineStr">
        <is>
          <t>miscellaneous</t>
        </is>
      </c>
      <c r="D238" s="31" t="inlineStr">
        <is>
          <t>miscellaneous</t>
        </is>
      </c>
      <c r="E238" s="31" t="inlineStr">
        <is>
          <t>smallcap</t>
        </is>
      </c>
      <c r="F238" s="31" t="n">
        <v>802.03</v>
      </c>
      <c r="G238" s="31" t="n">
        <v>112.35</v>
      </c>
      <c r="H238" s="31" t="n">
        <v>0.84</v>
      </c>
      <c r="I238" s="31" t="n">
        <v>517305</v>
      </c>
      <c r="J238" s="31" t="inlineStr">
        <is>
          <t>500153</t>
        </is>
      </c>
    </row>
    <row r="239">
      <c r="A239" s="31" t="inlineStr">
        <is>
          <t>MUNJALSHOW</t>
        </is>
      </c>
      <c r="B239" s="31" t="inlineStr">
        <is>
          <t>Munjal Showa Limited</t>
        </is>
      </c>
      <c r="C239" s="31" t="inlineStr">
        <is>
          <t>auto</t>
        </is>
      </c>
      <c r="D239" s="31" t="inlineStr">
        <is>
          <t>auto ancillaries</t>
        </is>
      </c>
      <c r="E239" s="31" t="inlineStr">
        <is>
          <t>smallcap</t>
        </is>
      </c>
      <c r="F239" s="31" t="n">
        <v>543.21</v>
      </c>
      <c r="G239" s="31" t="n">
        <v>136.93</v>
      </c>
      <c r="H239" s="31" t="n">
        <v>0.82</v>
      </c>
      <c r="I239" s="31" t="n">
        <v>33075</v>
      </c>
      <c r="J239" s="31" t="inlineStr">
        <is>
          <t>520043</t>
        </is>
      </c>
    </row>
    <row r="240">
      <c r="A240" s="31" t="inlineStr">
        <is>
          <t>CUB</t>
        </is>
      </c>
      <c r="B240" s="31" t="inlineStr">
        <is>
          <t>City Union Bank Limited</t>
        </is>
      </c>
      <c r="C240" s="31" t="inlineStr">
        <is>
          <t>bank</t>
        </is>
      </c>
      <c r="D240" s="31" t="inlineStr">
        <is>
          <t>banks - private sector</t>
        </is>
      </c>
      <c r="E240" s="31" t="inlineStr">
        <is>
          <t>largecap</t>
        </is>
      </c>
      <c r="F240" s="31" t="n">
        <v>21772.55</v>
      </c>
      <c r="G240" s="31" t="n">
        <v>221.45</v>
      </c>
      <c r="H240" s="31" t="n">
        <v>0.77</v>
      </c>
      <c r="I240" s="31" t="n">
        <v>1372673</v>
      </c>
      <c r="J240" s="31" t="inlineStr">
        <is>
          <t>532210</t>
        </is>
      </c>
    </row>
    <row r="241">
      <c r="A241" s="31" t="inlineStr">
        <is>
          <t>SIEMENS</t>
        </is>
      </c>
      <c r="B241" s="31" t="inlineStr">
        <is>
          <t>Siemens Limited</t>
        </is>
      </c>
      <c r="C241" s="31" t="inlineStr">
        <is>
          <t>industrials</t>
        </is>
      </c>
      <c r="D241" s="31" t="inlineStr">
        <is>
          <t>electric equipment</t>
        </is>
      </c>
      <c r="E241" s="31" t="inlineStr">
        <is>
          <t>largecap</t>
        </is>
      </c>
      <c r="F241" s="31" t="n">
        <v>131401.34</v>
      </c>
      <c r="G241" s="31" t="n">
        <v>3718</v>
      </c>
      <c r="H241" s="31" t="n">
        <v>0.76</v>
      </c>
      <c r="I241" s="31" t="n">
        <v>273869</v>
      </c>
      <c r="J241" s="31" t="inlineStr">
        <is>
          <t>500550</t>
        </is>
      </c>
    </row>
    <row r="242">
      <c r="A242" s="31" t="inlineStr">
        <is>
          <t>VADILALIND</t>
        </is>
      </c>
      <c r="B242" s="31" t="inlineStr">
        <is>
          <t>Vadilal Industries Limited</t>
        </is>
      </c>
      <c r="C242" s="31" t="inlineStr">
        <is>
          <t>fmcg</t>
        </is>
      </c>
      <c r="D242" s="31" t="inlineStr">
        <is>
          <t>food - processing - indian</t>
        </is>
      </c>
      <c r="E242" s="31" t="inlineStr">
        <is>
          <t>smallcap</t>
        </is>
      </c>
      <c r="F242" s="31" t="n">
        <v>4823.39</v>
      </c>
      <c r="G242" s="31" t="n">
        <v>6761.5</v>
      </c>
      <c r="H242" s="31" t="n">
        <v>0.76</v>
      </c>
      <c r="I242" s="31" t="n">
        <v>5183</v>
      </c>
      <c r="J242" s="31" t="inlineStr">
        <is>
          <t>519156</t>
        </is>
      </c>
    </row>
    <row r="243">
      <c r="A243" s="31" t="inlineStr">
        <is>
          <t>KRONOX</t>
        </is>
      </c>
      <c r="B243" s="31" t="inlineStr">
        <is>
          <t>Kronox Lab Sciences Ltd</t>
        </is>
      </c>
      <c r="C243" s="31" t="inlineStr">
        <is>
          <t>chemicals</t>
        </is>
      </c>
      <c r="D243" s="31" t="inlineStr">
        <is>
          <t>chemicals</t>
        </is>
      </c>
      <c r="E243" s="31" t="inlineStr">
        <is>
          <t>smallcap</t>
        </is>
      </c>
      <c r="F243" s="31" t="n">
        <v>572.85</v>
      </c>
      <c r="G243" s="31" t="n">
        <v>155.55</v>
      </c>
      <c r="H243" s="31" t="n">
        <v>0.75</v>
      </c>
      <c r="I243" s="31" t="n">
        <v>102020</v>
      </c>
      <c r="J243" s="31" t="inlineStr">
        <is>
          <t>544187</t>
        </is>
      </c>
    </row>
    <row r="244">
      <c r="A244" s="31" t="inlineStr">
        <is>
          <t>SHYAMMETL</t>
        </is>
      </c>
      <c r="B244" s="31" t="inlineStr">
        <is>
          <t>Shyam Metalics &amp; Energy Ltd</t>
        </is>
      </c>
      <c r="C244" s="31" t="inlineStr">
        <is>
          <t>metals &amp; mining</t>
        </is>
      </c>
      <c r="D244" s="31" t="inlineStr">
        <is>
          <t>steel - large</t>
        </is>
      </c>
      <c r="E244" s="31" t="inlineStr">
        <is>
          <t>largecap</t>
        </is>
      </c>
      <c r="F244" s="31" t="n">
        <v>28679.4</v>
      </c>
      <c r="G244" s="31" t="n">
        <v>1035.1</v>
      </c>
      <c r="H244" s="31" t="n">
        <v>0.74</v>
      </c>
      <c r="I244" s="31" t="n">
        <v>215142</v>
      </c>
      <c r="J244" s="31" t="inlineStr">
        <is>
          <t>543299</t>
        </is>
      </c>
    </row>
    <row r="245">
      <c r="A245" s="31" t="inlineStr">
        <is>
          <t>ONWARDTEC</t>
        </is>
      </c>
      <c r="B245" s="31" t="inlineStr">
        <is>
          <t>Onward Technologies Limited</t>
        </is>
      </c>
      <c r="C245" s="31" t="inlineStr">
        <is>
          <t>i.t</t>
        </is>
      </c>
      <c r="D245" s="31" t="inlineStr">
        <is>
          <t>computers - software - medium / small</t>
        </is>
      </c>
      <c r="E245" s="31" t="inlineStr">
        <is>
          <t>smallcap</t>
        </is>
      </c>
      <c r="F245" s="31" t="n">
        <v>646.49</v>
      </c>
      <c r="G245" s="31" t="n">
        <v>292.75</v>
      </c>
      <c r="H245" s="31" t="n">
        <v>0.72</v>
      </c>
      <c r="I245" s="31" t="n">
        <v>178828</v>
      </c>
      <c r="J245" s="31" t="inlineStr">
        <is>
          <t>517536</t>
        </is>
      </c>
    </row>
    <row r="246">
      <c r="A246" s="31" t="inlineStr">
        <is>
          <t>SOLARINDS</t>
        </is>
      </c>
      <c r="B246" s="31" t="inlineStr">
        <is>
          <t>Solar Industries India Limited</t>
        </is>
      </c>
      <c r="C246" s="31" t="inlineStr">
        <is>
          <t>aerospace &amp; defence</t>
        </is>
      </c>
      <c r="D246" s="31" t="inlineStr">
        <is>
          <t>chemicals</t>
        </is>
      </c>
      <c r="E246" s="31" t="inlineStr">
        <is>
          <t>largecap</t>
        </is>
      </c>
      <c r="F246" s="31" t="n">
        <v>167352.31</v>
      </c>
      <c r="G246" s="31" t="n">
        <v>18628</v>
      </c>
      <c r="H246" s="31" t="n">
        <v>0.72</v>
      </c>
      <c r="I246" s="31" t="n">
        <v>55560</v>
      </c>
      <c r="J246" s="31" t="inlineStr">
        <is>
          <t>532725</t>
        </is>
      </c>
    </row>
    <row r="247">
      <c r="A247" s="31" t="inlineStr">
        <is>
          <t>TEXINFRA</t>
        </is>
      </c>
      <c r="B247" s="31" t="inlineStr">
        <is>
          <t>Texmaco Infrastructure &amp; Holdings Limited</t>
        </is>
      </c>
      <c r="C247" s="31" t="inlineStr">
        <is>
          <t>realty</t>
        </is>
      </c>
      <c r="D247" s="31" t="inlineStr">
        <is>
          <t>construction</t>
        </is>
      </c>
      <c r="E247" s="31" t="inlineStr">
        <is>
          <t>smallcap</t>
        </is>
      </c>
      <c r="F247" s="31" t="n">
        <v>1432.53</v>
      </c>
      <c r="G247" s="31" t="n">
        <v>113.2</v>
      </c>
      <c r="H247" s="31" t="n">
        <v>0.6899999999999999</v>
      </c>
      <c r="I247" s="31" t="n">
        <v>119740</v>
      </c>
      <c r="J247" s="31" t="inlineStr">
        <is>
          <t>505400</t>
        </is>
      </c>
    </row>
    <row r="248">
      <c r="A248" s="31" t="inlineStr">
        <is>
          <t>SFL</t>
        </is>
      </c>
      <c r="B248" s="31" t="inlineStr">
        <is>
          <t>Sheela Foam Limited</t>
        </is>
      </c>
      <c r="C248" s="31" t="inlineStr">
        <is>
          <t>consumer discretionary</t>
        </is>
      </c>
      <c r="D248" s="31" t="inlineStr">
        <is>
          <t>miscellaneous</t>
        </is>
      </c>
      <c r="E248" s="31" t="inlineStr">
        <is>
          <t>midcap</t>
        </is>
      </c>
      <c r="F248" s="31" t="n">
        <v>8320.75</v>
      </c>
      <c r="G248" s="31" t="n">
        <v>767.2</v>
      </c>
      <c r="H248" s="31" t="n">
        <v>0.6899999999999999</v>
      </c>
      <c r="I248" s="31" t="n">
        <v>180984</v>
      </c>
      <c r="J248" s="31" t="inlineStr">
        <is>
          <t>540203</t>
        </is>
      </c>
    </row>
    <row r="249">
      <c r="A249" s="31" t="inlineStr">
        <is>
          <t>YASHO</t>
        </is>
      </c>
      <c r="B249" s="31" t="inlineStr">
        <is>
          <t>Yasho Industries Ltd</t>
        </is>
      </c>
      <c r="C249" s="31" t="inlineStr">
        <is>
          <t>chemicals</t>
        </is>
      </c>
      <c r="D249" s="31" t="inlineStr">
        <is>
          <t>chemicals</t>
        </is>
      </c>
      <c r="E249" s="31" t="inlineStr">
        <is>
          <t>smallcap</t>
        </is>
      </c>
      <c r="F249" s="31" t="n">
        <v>3702.43</v>
      </c>
      <c r="G249" s="31" t="n">
        <v>3092.6</v>
      </c>
      <c r="H249" s="31" t="n">
        <v>0.67</v>
      </c>
      <c r="I249" s="31" t="n">
        <v>12164</v>
      </c>
      <c r="J249" s="31" t="inlineStr">
        <is>
          <t>541167</t>
        </is>
      </c>
    </row>
    <row r="250">
      <c r="A250" s="31" t="inlineStr">
        <is>
          <t>NGLFINE</t>
        </is>
      </c>
      <c r="B250" s="31" t="inlineStr">
        <is>
          <t>NGL Fine Chem Ltd</t>
        </is>
      </c>
      <c r="C250" s="31" t="inlineStr">
        <is>
          <t>healthcare</t>
        </is>
      </c>
      <c r="D250" s="31" t="inlineStr">
        <is>
          <t>pharmaceuticals - indian - bulk drugs</t>
        </is>
      </c>
      <c r="E250" s="31" t="inlineStr">
        <is>
          <t>smallcap</t>
        </is>
      </c>
      <c r="F250" s="31" t="n">
        <v>1980.37</v>
      </c>
      <c r="G250" s="31" t="n">
        <v>3226.5</v>
      </c>
      <c r="H250" s="31" t="n">
        <v>0.66</v>
      </c>
      <c r="I250" s="31" t="n">
        <v>7529</v>
      </c>
      <c r="J250" s="31" t="inlineStr">
        <is>
          <t>524774</t>
        </is>
      </c>
    </row>
    <row r="251">
      <c r="A251" s="31" t="inlineStr">
        <is>
          <t>MAHLOG</t>
        </is>
      </c>
      <c r="B251" s="31" t="inlineStr">
        <is>
          <t>Mahindra Logistics Ltd</t>
        </is>
      </c>
      <c r="C251" s="31" t="inlineStr">
        <is>
          <t>transportation</t>
        </is>
      </c>
      <c r="D251" s="31" t="inlineStr">
        <is>
          <t>miscellaneous</t>
        </is>
      </c>
      <c r="E251" s="31" t="inlineStr">
        <is>
          <t>smallcap</t>
        </is>
      </c>
      <c r="F251" s="31" t="n">
        <v>4131.13</v>
      </c>
      <c r="G251" s="31" t="n">
        <v>419.1</v>
      </c>
      <c r="H251" s="31" t="n">
        <v>0.66</v>
      </c>
      <c r="I251" s="31" t="n">
        <v>920860</v>
      </c>
      <c r="J251" s="31" t="inlineStr">
        <is>
          <t>540768</t>
        </is>
      </c>
    </row>
    <row r="252">
      <c r="A252" s="31" t="inlineStr">
        <is>
          <t>CHEVIOT</t>
        </is>
      </c>
      <c r="B252" s="31" t="inlineStr">
        <is>
          <t>Cheviot Company Ltd</t>
        </is>
      </c>
      <c r="C252" s="31" t="inlineStr">
        <is>
          <t>textiles</t>
        </is>
      </c>
      <c r="D252" s="31" t="inlineStr">
        <is>
          <t>textiles - jute - yarn / products</t>
        </is>
      </c>
      <c r="E252" s="31" t="inlineStr">
        <is>
          <t>smallcap</t>
        </is>
      </c>
      <c r="F252" s="31" t="n">
        <v>673.92</v>
      </c>
      <c r="G252" s="31" t="n">
        <v>1161.1</v>
      </c>
      <c r="H252" s="31" t="n">
        <v>0.65</v>
      </c>
      <c r="I252" s="31" t="n">
        <v>2113</v>
      </c>
      <c r="J252" s="31" t="inlineStr">
        <is>
          <t>526817</t>
        </is>
      </c>
    </row>
    <row r="253">
      <c r="A253" s="31" t="inlineStr">
        <is>
          <t>CENTENKA</t>
        </is>
      </c>
      <c r="B253" s="31" t="inlineStr">
        <is>
          <t>Century Enka Limited</t>
        </is>
      </c>
      <c r="C253" s="31" t="inlineStr">
        <is>
          <t>textiles</t>
        </is>
      </c>
      <c r="D253" s="31" t="inlineStr">
        <is>
          <t>textiles - manmade</t>
        </is>
      </c>
      <c r="E253" s="31" t="inlineStr">
        <is>
          <t>smallcap</t>
        </is>
      </c>
      <c r="F253" s="31" t="n">
        <v>1254.66</v>
      </c>
      <c r="G253" s="31" t="n">
        <v>577.8</v>
      </c>
      <c r="H253" s="31" t="n">
        <v>0.63</v>
      </c>
      <c r="I253" s="31" t="n">
        <v>117955</v>
      </c>
      <c r="J253" s="31" t="inlineStr">
        <is>
          <t>500280</t>
        </is>
      </c>
    </row>
    <row r="254">
      <c r="A254" s="31" t="inlineStr">
        <is>
          <t>VISHNU</t>
        </is>
      </c>
      <c r="B254" s="31" t="inlineStr">
        <is>
          <t>Vishnu Chemicals Limited</t>
        </is>
      </c>
      <c r="C254" s="31" t="inlineStr">
        <is>
          <t>chemicals</t>
        </is>
      </c>
      <c r="D254" s="31" t="inlineStr">
        <is>
          <t>chemicals</t>
        </is>
      </c>
      <c r="E254" s="31" t="inlineStr">
        <is>
          <t>smallcap</t>
        </is>
      </c>
      <c r="F254" s="31" t="n">
        <v>4257.02</v>
      </c>
      <c r="G254" s="31" t="n">
        <v>636.3</v>
      </c>
      <c r="H254" s="31" t="n">
        <v>0.62</v>
      </c>
      <c r="I254" s="31" t="n">
        <v>121792</v>
      </c>
      <c r="J254" s="31" t="inlineStr">
        <is>
          <t>516072</t>
        </is>
      </c>
    </row>
    <row r="255">
      <c r="A255" s="31" t="inlineStr">
        <is>
          <t>FEDERALBNK</t>
        </is>
      </c>
      <c r="B255" s="31" t="inlineStr">
        <is>
          <t>The Federal Bank  Limited</t>
        </is>
      </c>
      <c r="C255" s="31" t="inlineStr">
        <is>
          <t>bank</t>
        </is>
      </c>
      <c r="D255" s="31" t="inlineStr">
        <is>
          <t>banks - private sector</t>
        </is>
      </c>
      <c r="E255" s="31" t="inlineStr">
        <is>
          <t>largecap</t>
        </is>
      </c>
      <c r="F255" s="31" t="n">
        <v>87442.62</v>
      </c>
      <c r="G255" s="31" t="n">
        <v>356.5</v>
      </c>
      <c r="H255" s="31" t="n">
        <v>0.62</v>
      </c>
      <c r="I255" s="31" t="n">
        <v>6585012</v>
      </c>
      <c r="J255" s="31" t="inlineStr">
        <is>
          <t>500469</t>
        </is>
      </c>
    </row>
    <row r="256">
      <c r="A256" s="31" t="inlineStr">
        <is>
          <t>BIOCON</t>
        </is>
      </c>
      <c r="B256" s="31" t="inlineStr">
        <is>
          <t>Biocon Limited</t>
        </is>
      </c>
      <c r="C256" s="31" t="inlineStr">
        <is>
          <t>healthcare</t>
        </is>
      </c>
      <c r="D256" s="31" t="inlineStr">
        <is>
          <t>pharmaceuticals - indian - bulk drugs &amp; formln</t>
        </is>
      </c>
      <c r="E256" s="31" t="inlineStr">
        <is>
          <t>largecap</t>
        </is>
      </c>
      <c r="F256" s="31" t="n">
        <v>70671.69</v>
      </c>
      <c r="G256" s="31" t="n">
        <v>436.25</v>
      </c>
      <c r="H256" s="31" t="n">
        <v>0.6</v>
      </c>
      <c r="I256" s="31" t="n">
        <v>2570388</v>
      </c>
      <c r="J256" s="31" t="inlineStr">
        <is>
          <t>532523</t>
        </is>
      </c>
    </row>
    <row r="257">
      <c r="A257" s="31" t="inlineStr">
        <is>
          <t>SGIL</t>
        </is>
      </c>
      <c r="B257" s="31" t="inlineStr">
        <is>
          <t>Synergy Green Industries Ltd</t>
        </is>
      </c>
      <c r="C257" s="31" t="inlineStr">
        <is>
          <t>industrials</t>
        </is>
      </c>
      <c r="D257" s="31" t="inlineStr">
        <is>
          <t>castings &amp; forgings</t>
        </is>
      </c>
      <c r="E257" s="31" t="inlineStr">
        <is>
          <t>smallcap</t>
        </is>
      </c>
      <c r="F257" s="31" t="n">
        <v>926.83</v>
      </c>
      <c r="G257" s="31" t="n">
        <v>599.75</v>
      </c>
      <c r="H257" s="31" t="n">
        <v>0.58</v>
      </c>
      <c r="I257" s="31" t="n">
        <v>7999</v>
      </c>
      <c r="J257" s="31" t="inlineStr">
        <is>
          <t>541929</t>
        </is>
      </c>
    </row>
    <row r="258">
      <c r="A258" s="31" t="inlineStr">
        <is>
          <t>XPROINDIA</t>
        </is>
      </c>
      <c r="B258" s="31" t="inlineStr">
        <is>
          <t>Xpro India Limited</t>
        </is>
      </c>
      <c r="C258" s="31" t="inlineStr">
        <is>
          <t>industrials</t>
        </is>
      </c>
      <c r="D258" s="31" t="inlineStr">
        <is>
          <t>packaging</t>
        </is>
      </c>
      <c r="E258" s="31" t="inlineStr">
        <is>
          <t>smallcap</t>
        </is>
      </c>
      <c r="F258" s="31" t="n">
        <v>3253.47</v>
      </c>
      <c r="G258" s="31" t="n">
        <v>1394.1</v>
      </c>
      <c r="H258" s="31" t="n">
        <v>0.57</v>
      </c>
      <c r="I258" s="31" t="n">
        <v>32790</v>
      </c>
      <c r="J258" s="31" t="inlineStr">
        <is>
          <t>590013</t>
        </is>
      </c>
    </row>
    <row r="259">
      <c r="A259" s="31" t="inlineStr">
        <is>
          <t>SOTL</t>
        </is>
      </c>
      <c r="B259" s="31" t="inlineStr">
        <is>
          <t>Savita Oil Technologies Limited</t>
        </is>
      </c>
      <c r="C259" s="31" t="inlineStr">
        <is>
          <t>energy</t>
        </is>
      </c>
      <c r="D259" s="31" t="inlineStr">
        <is>
          <t>petrochemicals</t>
        </is>
      </c>
      <c r="E259" s="31" t="inlineStr">
        <is>
          <t>smallcap</t>
        </is>
      </c>
      <c r="F259" s="31" t="n">
        <v>4427.29</v>
      </c>
      <c r="G259" s="31" t="n">
        <v>649.35</v>
      </c>
      <c r="H259" s="31" t="n">
        <v>0.5600000000000001</v>
      </c>
      <c r="I259" s="31" t="n">
        <v>555851</v>
      </c>
      <c r="J259" s="31" t="inlineStr">
        <is>
          <t>524667</t>
        </is>
      </c>
    </row>
    <row r="260">
      <c r="A260" s="31" t="inlineStr">
        <is>
          <t>BUTTERFLY</t>
        </is>
      </c>
      <c r="B260" s="31" t="inlineStr">
        <is>
          <t>Butterfly Gandhimathi Appliances Limited</t>
        </is>
      </c>
      <c r="C260" s="31" t="inlineStr">
        <is>
          <t>consumer discretionary</t>
        </is>
      </c>
      <c r="D260" s="31" t="inlineStr">
        <is>
          <t>domestic appliances</t>
        </is>
      </c>
      <c r="E260" s="31" t="inlineStr">
        <is>
          <t>smallcap</t>
        </is>
      </c>
      <c r="F260" s="31" t="n">
        <v>1362.24</v>
      </c>
      <c r="G260" s="31" t="n">
        <v>766.1</v>
      </c>
      <c r="H260" s="31" t="n">
        <v>0.55</v>
      </c>
      <c r="I260" s="31" t="n">
        <v>51425</v>
      </c>
      <c r="J260" s="31" t="inlineStr">
        <is>
          <t>517421</t>
        </is>
      </c>
    </row>
    <row r="261">
      <c r="A261" s="31" t="inlineStr">
        <is>
          <t>ATHERENERG</t>
        </is>
      </c>
      <c r="B261" s="31" t="inlineStr">
        <is>
          <t>Ather Energy Ltd</t>
        </is>
      </c>
      <c r="C261" s="31" t="inlineStr">
        <is>
          <t>auto</t>
        </is>
      </c>
      <c r="D261" s="31" t="inlineStr">
        <is>
          <t>automobiles - scooters and 3 - wheelers</t>
        </is>
      </c>
      <c r="E261" s="31" t="inlineStr">
        <is>
          <t>largecap</t>
        </is>
      </c>
      <c r="F261" s="31" t="n">
        <v>46307.83</v>
      </c>
      <c r="G261" s="31" t="n">
        <v>1214.9</v>
      </c>
      <c r="H261" s="31" t="n">
        <v>0.51</v>
      </c>
      <c r="I261" s="31" t="n">
        <v>1911132</v>
      </c>
      <c r="J261" s="31" t="inlineStr">
        <is>
          <t>544397</t>
        </is>
      </c>
    </row>
    <row r="262">
      <c r="A262" s="31" t="inlineStr">
        <is>
          <t>ANANDRATHI</t>
        </is>
      </c>
      <c r="B262" s="31" t="inlineStr">
        <is>
          <t>Anand Rathi Wealth Ltd</t>
        </is>
      </c>
      <c r="C262" s="31" t="inlineStr">
        <is>
          <t>financials</t>
        </is>
      </c>
      <c r="D262" s="31" t="inlineStr">
        <is>
          <t>finance &amp; investments</t>
        </is>
      </c>
      <c r="E262" s="31" t="inlineStr">
        <is>
          <t>largecap</t>
        </is>
      </c>
      <c r="F262" s="31" t="n">
        <v>33907.29</v>
      </c>
      <c r="G262" s="31" t="n">
        <v>2052.1</v>
      </c>
      <c r="H262" s="31" t="n">
        <v>0.49</v>
      </c>
      <c r="I262" s="31" t="n">
        <v>110241</v>
      </c>
      <c r="J262" s="31" t="inlineStr">
        <is>
          <t>543415</t>
        </is>
      </c>
    </row>
    <row r="263">
      <c r="A263" s="31" t="inlineStr">
        <is>
          <t>PAYTM</t>
        </is>
      </c>
      <c r="B263" s="31" t="inlineStr">
        <is>
          <t>One 97 Communications Ltd</t>
        </is>
      </c>
      <c r="C263" s="31" t="inlineStr">
        <is>
          <t>i.t</t>
        </is>
      </c>
      <c r="D263" s="31" t="inlineStr">
        <is>
          <t>miscellaneous</t>
        </is>
      </c>
      <c r="E263" s="31" t="inlineStr">
        <is>
          <t>largecap</t>
        </is>
      </c>
      <c r="F263" s="31" t="n">
        <v>82168.03999999999</v>
      </c>
      <c r="G263" s="31" t="n">
        <v>1289.4</v>
      </c>
      <c r="H263" s="31" t="n">
        <v>0.48</v>
      </c>
      <c r="I263" s="31" t="n">
        <v>2199063</v>
      </c>
      <c r="J263" s="31" t="inlineStr">
        <is>
          <t>543396</t>
        </is>
      </c>
    </row>
    <row r="264">
      <c r="A264" s="31" t="inlineStr">
        <is>
          <t>BAJAJ-AUTO</t>
        </is>
      </c>
      <c r="B264" s="31" t="inlineStr">
        <is>
          <t>Bajaj Auto Limited</t>
        </is>
      </c>
      <c r="C264" s="31" t="inlineStr">
        <is>
          <t>auto</t>
        </is>
      </c>
      <c r="D264" s="31" t="inlineStr">
        <is>
          <t>automobiles - scooters and 3 - wheelers</t>
        </is>
      </c>
      <c r="E264" s="31" t="inlineStr">
        <is>
          <t>largecap</t>
        </is>
      </c>
      <c r="F264" s="31" t="n">
        <v>311081.09</v>
      </c>
      <c r="G264" s="31" t="n">
        <v>11183.5</v>
      </c>
      <c r="H264" s="31" t="n">
        <v>0.48</v>
      </c>
      <c r="I264" s="31" t="n">
        <v>270544</v>
      </c>
      <c r="J264" s="31" t="inlineStr">
        <is>
          <t>532977</t>
        </is>
      </c>
    </row>
    <row r="265">
      <c r="A265" s="31" t="inlineStr">
        <is>
          <t>JGCHEM</t>
        </is>
      </c>
      <c r="B265" s="31" t="inlineStr">
        <is>
          <t>J.G.Chemicals Ltd</t>
        </is>
      </c>
      <c r="C265" s="31" t="inlineStr">
        <is>
          <t>chemicals</t>
        </is>
      </c>
      <c r="D265" s="31" t="inlineStr">
        <is>
          <t>chemicals</t>
        </is>
      </c>
      <c r="E265" s="31" t="inlineStr">
        <is>
          <t>smallcap</t>
        </is>
      </c>
      <c r="F265" s="31" t="n">
        <v>1980.27</v>
      </c>
      <c r="G265" s="31" t="n">
        <v>507.75</v>
      </c>
      <c r="H265" s="31" t="n">
        <v>0.47</v>
      </c>
      <c r="I265" s="31" t="n">
        <v>157788</v>
      </c>
      <c r="J265" s="31" t="n"/>
    </row>
    <row r="266">
      <c r="A266" s="31" t="inlineStr">
        <is>
          <t>SHREECEM</t>
        </is>
      </c>
      <c r="B266" s="31" t="inlineStr">
        <is>
          <t>Shree Cements Limited</t>
        </is>
      </c>
      <c r="C266" s="31" t="inlineStr">
        <is>
          <t>building materials</t>
        </is>
      </c>
      <c r="D266" s="31" t="inlineStr">
        <is>
          <t>cement - north india</t>
        </is>
      </c>
      <c r="E266" s="31" t="inlineStr">
        <is>
          <t>largecap</t>
        </is>
      </c>
      <c r="F266" s="31" t="n">
        <v>96479.92</v>
      </c>
      <c r="G266" s="31" t="n">
        <v>26860</v>
      </c>
      <c r="H266" s="31" t="n">
        <v>0.45</v>
      </c>
      <c r="I266" s="31" t="n">
        <v>12362</v>
      </c>
      <c r="J266" s="31" t="inlineStr">
        <is>
          <t>500387</t>
        </is>
      </c>
    </row>
    <row r="267">
      <c r="A267" s="31" t="inlineStr">
        <is>
          <t>SBILIFE</t>
        </is>
      </c>
      <c r="B267" s="31" t="inlineStr">
        <is>
          <t>SBI Life Insurance Company Ltd</t>
        </is>
      </c>
      <c r="C267" s="31" t="inlineStr">
        <is>
          <t>financials</t>
        </is>
      </c>
      <c r="D267" s="31" t="inlineStr">
        <is>
          <t>finance &amp; investments</t>
        </is>
      </c>
      <c r="E267" s="31" t="inlineStr">
        <is>
          <t>largecap</t>
        </is>
      </c>
      <c r="F267" s="31" t="n">
        <v>186462.29</v>
      </c>
      <c r="G267" s="31" t="n">
        <v>1866.8</v>
      </c>
      <c r="H267" s="31" t="n">
        <v>0.44</v>
      </c>
      <c r="I267" s="31" t="n">
        <v>1098594</v>
      </c>
      <c r="J267" s="31" t="inlineStr">
        <is>
          <t>540719</t>
        </is>
      </c>
    </row>
    <row r="268">
      <c r="A268" s="31" t="inlineStr">
        <is>
          <t>APOLLOHOSP</t>
        </is>
      </c>
      <c r="B268" s="31" t="inlineStr">
        <is>
          <t>Apollo Hospitals Enterprise Limited</t>
        </is>
      </c>
      <c r="C268" s="31" t="inlineStr">
        <is>
          <t>healthcare</t>
        </is>
      </c>
      <c r="D268" s="31" t="inlineStr">
        <is>
          <t>healthcare</t>
        </is>
      </c>
      <c r="E268" s="31" t="inlineStr">
        <is>
          <t>largecap</t>
        </is>
      </c>
      <c r="F268" s="31" t="n">
        <v>126609.58</v>
      </c>
      <c r="G268" s="31" t="n">
        <v>8843.5</v>
      </c>
      <c r="H268" s="31" t="n">
        <v>0.43</v>
      </c>
      <c r="I268" s="31" t="n">
        <v>135186</v>
      </c>
      <c r="J268" s="31" t="inlineStr">
        <is>
          <t>508869</t>
        </is>
      </c>
    </row>
    <row r="269">
      <c r="A269" s="31" t="inlineStr">
        <is>
          <t>KAJARIACER</t>
        </is>
      </c>
      <c r="B269" s="31" t="inlineStr">
        <is>
          <t>Kajaria Ceramics Limited</t>
        </is>
      </c>
      <c r="C269" s="31" t="inlineStr">
        <is>
          <t>building materials</t>
        </is>
      </c>
      <c r="D269" s="31" t="inlineStr">
        <is>
          <t>ceramics - tiles / sanitaryware</t>
        </is>
      </c>
      <c r="E269" s="31" t="inlineStr">
        <is>
          <t>midcap</t>
        </is>
      </c>
      <c r="F269" s="31" t="n">
        <v>19349.99</v>
      </c>
      <c r="G269" s="31" t="n">
        <v>1220</v>
      </c>
      <c r="H269" s="31" t="n">
        <v>0.42</v>
      </c>
      <c r="I269" s="31" t="n">
        <v>206695</v>
      </c>
      <c r="J269" s="31" t="inlineStr">
        <is>
          <t>500233</t>
        </is>
      </c>
    </row>
    <row r="270">
      <c r="A270" s="31" t="inlineStr">
        <is>
          <t>TVSHLTD</t>
        </is>
      </c>
      <c r="B270" s="31" t="inlineStr">
        <is>
          <t>TVS Holdings Ltd</t>
        </is>
      </c>
      <c r="C270" s="31" t="inlineStr">
        <is>
          <t>financials</t>
        </is>
      </c>
      <c r="D270" s="31" t="inlineStr">
        <is>
          <t>finance &amp; investments</t>
        </is>
      </c>
      <c r="E270" s="31" t="inlineStr">
        <is>
          <t>largecap</t>
        </is>
      </c>
      <c r="F270" s="31" t="n">
        <v>29605.64</v>
      </c>
      <c r="G270" s="31" t="n">
        <v>14694</v>
      </c>
      <c r="H270" s="31" t="n">
        <v>0.42</v>
      </c>
      <c r="I270" s="31" t="n">
        <v>6708</v>
      </c>
      <c r="J270" s="31" t="inlineStr">
        <is>
          <t>520056</t>
        </is>
      </c>
    </row>
    <row r="271">
      <c r="A271" s="31" t="inlineStr">
        <is>
          <t>ORBTEXP</t>
        </is>
      </c>
      <c r="B271" s="31" t="inlineStr">
        <is>
          <t>Orbit Exports Limited</t>
        </is>
      </c>
      <c r="C271" s="31" t="inlineStr">
        <is>
          <t>textiles</t>
        </is>
      </c>
      <c r="D271" s="31" t="inlineStr">
        <is>
          <t>textiles - processing</t>
        </is>
      </c>
      <c r="E271" s="31" t="inlineStr">
        <is>
          <t>smallcap</t>
        </is>
      </c>
      <c r="F271" s="31" t="n">
        <v>644.35</v>
      </c>
      <c r="G271" s="31" t="n">
        <v>244.07</v>
      </c>
      <c r="H271" s="31" t="n">
        <v>0.42</v>
      </c>
      <c r="I271" s="31" t="n">
        <v>7061</v>
      </c>
      <c r="J271" s="31" t="inlineStr">
        <is>
          <t>512626</t>
        </is>
      </c>
    </row>
    <row r="272">
      <c r="A272" s="31" t="inlineStr">
        <is>
          <t>BHARTIHEXA</t>
        </is>
      </c>
      <c r="B272" s="31" t="inlineStr">
        <is>
          <t>Bharti Hexacom Ltd</t>
        </is>
      </c>
      <c r="C272" s="31" t="inlineStr">
        <is>
          <t>telecom-service</t>
        </is>
      </c>
      <c r="D272" s="31" t="inlineStr">
        <is>
          <t>telecommunications - service provider</t>
        </is>
      </c>
      <c r="E272" s="31" t="inlineStr">
        <is>
          <t>largecap</t>
        </is>
      </c>
      <c r="F272" s="31" t="n">
        <v>80380</v>
      </c>
      <c r="G272" s="31" t="n">
        <v>1614.3</v>
      </c>
      <c r="H272" s="31" t="n">
        <v>0.42</v>
      </c>
      <c r="I272" s="31" t="n">
        <v>175287</v>
      </c>
      <c r="J272" s="31" t="inlineStr">
        <is>
          <t>544162</t>
        </is>
      </c>
    </row>
    <row r="273">
      <c r="A273" s="31" t="inlineStr">
        <is>
          <t>SONACOMS</t>
        </is>
      </c>
      <c r="B273" s="31" t="inlineStr">
        <is>
          <t>Sona BLW Precision Forgings Ltd</t>
        </is>
      </c>
      <c r="C273" s="31" t="inlineStr">
        <is>
          <t>auto</t>
        </is>
      </c>
      <c r="D273" s="31" t="inlineStr">
        <is>
          <t>auto ancillaries</t>
        </is>
      </c>
      <c r="E273" s="31" t="inlineStr">
        <is>
          <t>largecap</t>
        </is>
      </c>
      <c r="F273" s="31" t="n">
        <v>44658.98</v>
      </c>
      <c r="G273" s="31" t="n">
        <v>720.9</v>
      </c>
      <c r="H273" s="31" t="n">
        <v>0.41</v>
      </c>
      <c r="I273" s="31" t="n">
        <v>2803460</v>
      </c>
      <c r="J273" s="31" t="inlineStr">
        <is>
          <t>543300</t>
        </is>
      </c>
    </row>
    <row r="274">
      <c r="A274" s="31" t="inlineStr">
        <is>
          <t>PAISALO</t>
        </is>
      </c>
      <c r="B274" s="31" t="inlineStr">
        <is>
          <t>Paisalo Digital Ltd</t>
        </is>
      </c>
      <c r="C274" s="31" t="inlineStr">
        <is>
          <t>financials</t>
        </is>
      </c>
      <c r="D274" s="31" t="inlineStr">
        <is>
          <t>finance &amp; investments</t>
        </is>
      </c>
      <c r="E274" s="31" t="inlineStr">
        <is>
          <t>midcap</t>
        </is>
      </c>
      <c r="F274" s="31" t="n">
        <v>6382.12</v>
      </c>
      <c r="G274" s="31" t="n">
        <v>70.44</v>
      </c>
      <c r="H274" s="31" t="n">
        <v>0.38</v>
      </c>
      <c r="I274" s="31" t="n">
        <v>11574048</v>
      </c>
      <c r="J274" s="31" t="inlineStr">
        <is>
          <t>532900</t>
        </is>
      </c>
    </row>
    <row r="275">
      <c r="A275" s="31" t="inlineStr">
        <is>
          <t>CHOICEIN</t>
        </is>
      </c>
      <c r="B275" s="31" t="inlineStr">
        <is>
          <t>Choice International Ltd</t>
        </is>
      </c>
      <c r="C275" s="31" t="inlineStr">
        <is>
          <t>financials</t>
        </is>
      </c>
      <c r="D275" s="31" t="inlineStr">
        <is>
          <t>finance &amp; investments</t>
        </is>
      </c>
      <c r="E275" s="31" t="inlineStr">
        <is>
          <t>midcap</t>
        </is>
      </c>
      <c r="F275" s="31" t="n">
        <v>17758.63</v>
      </c>
      <c r="G275" s="31" t="n">
        <v>800</v>
      </c>
      <c r="H275" s="31" t="n">
        <v>0.36</v>
      </c>
      <c r="I275" s="31" t="n">
        <v>505379</v>
      </c>
      <c r="J275" s="31" t="inlineStr">
        <is>
          <t>531358</t>
        </is>
      </c>
    </row>
    <row r="276">
      <c r="A276" s="31" t="inlineStr">
        <is>
          <t>MARICO</t>
        </is>
      </c>
      <c r="B276" s="31" t="inlineStr">
        <is>
          <t>Marico Limited</t>
        </is>
      </c>
      <c r="C276" s="31" t="inlineStr">
        <is>
          <t>fmcg</t>
        </is>
      </c>
      <c r="D276" s="31" t="inlineStr">
        <is>
          <t>solvent extraction</t>
        </is>
      </c>
      <c r="E276" s="31" t="inlineStr">
        <is>
          <t>largecap</t>
        </is>
      </c>
      <c r="F276" s="31" t="n">
        <v>111089.94</v>
      </c>
      <c r="G276" s="31" t="n">
        <v>858.65</v>
      </c>
      <c r="H276" s="31" t="n">
        <v>0.36</v>
      </c>
      <c r="I276" s="31" t="n">
        <v>1006199</v>
      </c>
      <c r="J276" s="31" t="inlineStr">
        <is>
          <t>531642</t>
        </is>
      </c>
    </row>
    <row r="277">
      <c r="A277" s="31" t="inlineStr">
        <is>
          <t>VSSL</t>
        </is>
      </c>
      <c r="B277" s="31" t="inlineStr">
        <is>
          <t>Vardhman Special Steels Limited</t>
        </is>
      </c>
      <c r="C277" s="31" t="inlineStr">
        <is>
          <t>metals &amp; mining</t>
        </is>
      </c>
      <c r="D277" s="31" t="inlineStr">
        <is>
          <t>steel - medium / small</t>
        </is>
      </c>
      <c r="E277" s="31" t="inlineStr">
        <is>
          <t>smallcap</t>
        </is>
      </c>
      <c r="F277" s="31" t="n">
        <v>2864.31</v>
      </c>
      <c r="G277" s="31" t="n">
        <v>297.3</v>
      </c>
      <c r="H277" s="31" t="n">
        <v>0.35</v>
      </c>
      <c r="I277" s="31" t="n">
        <v>64711</v>
      </c>
      <c r="J277" s="31" t="inlineStr">
        <is>
          <t>534392</t>
        </is>
      </c>
    </row>
    <row r="278">
      <c r="A278" s="31" t="inlineStr">
        <is>
          <t>NIVABUPA</t>
        </is>
      </c>
      <c r="B278" s="31" t="inlineStr">
        <is>
          <t>Niva Bupa Health Insurance Company Ltd</t>
        </is>
      </c>
      <c r="C278" s="31" t="inlineStr">
        <is>
          <t>financials</t>
        </is>
      </c>
      <c r="D278" s="31" t="inlineStr">
        <is>
          <t>finance &amp; investments</t>
        </is>
      </c>
      <c r="E278" s="31" t="inlineStr">
        <is>
          <t>midcap</t>
        </is>
      </c>
      <c r="F278" s="31" t="n">
        <v>16021.76</v>
      </c>
      <c r="G278" s="31" t="n">
        <v>86.92</v>
      </c>
      <c r="H278" s="31" t="n">
        <v>0.32</v>
      </c>
      <c r="I278" s="31" t="n">
        <v>408564</v>
      </c>
      <c r="J278" s="31" t="n"/>
    </row>
    <row r="279">
      <c r="A279" s="31" t="inlineStr">
        <is>
          <t>ULTRACEMCO</t>
        </is>
      </c>
      <c r="B279" s="31" t="inlineStr">
        <is>
          <t>Ultratech Cement Limited</t>
        </is>
      </c>
      <c r="C279" s="31" t="inlineStr">
        <is>
          <t>building materials</t>
        </is>
      </c>
      <c r="D279" s="31" t="inlineStr">
        <is>
          <t>cement - north india</t>
        </is>
      </c>
      <c r="E279" s="31" t="inlineStr">
        <is>
          <t>largecap</t>
        </is>
      </c>
      <c r="F279" s="31" t="n">
        <v>349076.95</v>
      </c>
      <c r="G279" s="31" t="n">
        <v>11881</v>
      </c>
      <c r="H279" s="31" t="n">
        <v>0.3</v>
      </c>
      <c r="I279" s="31" t="n">
        <v>250956</v>
      </c>
      <c r="J279" s="31" t="inlineStr">
        <is>
          <t>532538</t>
        </is>
      </c>
    </row>
    <row r="280">
      <c r="A280" s="31" t="inlineStr">
        <is>
          <t>MANALIPETC</t>
        </is>
      </c>
      <c r="B280" s="31" t="inlineStr">
        <is>
          <t>Manali Petrochemicals Limited</t>
        </is>
      </c>
      <c r="C280" s="31" t="inlineStr">
        <is>
          <t>energy</t>
        </is>
      </c>
      <c r="D280" s="31" t="inlineStr">
        <is>
          <t>petrochemicals</t>
        </is>
      </c>
      <c r="E280" s="31" t="inlineStr">
        <is>
          <t>smallcap</t>
        </is>
      </c>
      <c r="F280" s="31" t="n">
        <v>1148.44</v>
      </c>
      <c r="G280" s="31" t="n">
        <v>66.97</v>
      </c>
      <c r="H280" s="31" t="n">
        <v>0.3</v>
      </c>
      <c r="I280" s="31" t="n">
        <v>665825</v>
      </c>
      <c r="J280" s="31" t="inlineStr">
        <is>
          <t>500268</t>
        </is>
      </c>
    </row>
    <row r="281">
      <c r="A281" s="31" t="inlineStr">
        <is>
          <t>GHCLTEXTIL</t>
        </is>
      </c>
      <c r="B281" s="31" t="inlineStr">
        <is>
          <t>GHCL Textiles Ltd</t>
        </is>
      </c>
      <c r="C281" s="31" t="inlineStr">
        <is>
          <t>textiles</t>
        </is>
      </c>
      <c r="D281" s="31" t="inlineStr">
        <is>
          <t>textiles - spinning - synthetic / blended</t>
        </is>
      </c>
      <c r="E281" s="31" t="inlineStr">
        <is>
          <t>smallcap</t>
        </is>
      </c>
      <c r="F281" s="31" t="n">
        <v>1107.07</v>
      </c>
      <c r="G281" s="31" t="n">
        <v>116.15</v>
      </c>
      <c r="H281" s="31" t="n">
        <v>0.28</v>
      </c>
      <c r="I281" s="31" t="n">
        <v>938372</v>
      </c>
      <c r="J281" s="31" t="inlineStr">
        <is>
          <t>543918</t>
        </is>
      </c>
    </row>
    <row r="282">
      <c r="A282" s="31" t="inlineStr">
        <is>
          <t>BALRAMCHIN</t>
        </is>
      </c>
      <c r="B282" s="31" t="inlineStr">
        <is>
          <t>Balrampur Chini Mills Limited</t>
        </is>
      </c>
      <c r="C282" s="31" t="inlineStr">
        <is>
          <t>fmcg</t>
        </is>
      </c>
      <c r="D282" s="31" t="inlineStr">
        <is>
          <t>sugar</t>
        </is>
      </c>
      <c r="E282" s="31" t="inlineStr">
        <is>
          <t>midcap</t>
        </is>
      </c>
      <c r="F282" s="31" t="n">
        <v>12890.47</v>
      </c>
      <c r="G282" s="31" t="n">
        <v>611.65</v>
      </c>
      <c r="H282" s="31" t="n">
        <v>0.25</v>
      </c>
      <c r="I282" s="31" t="n">
        <v>208287</v>
      </c>
      <c r="J282" s="31" t="inlineStr">
        <is>
          <t>500038</t>
        </is>
      </c>
    </row>
    <row r="283">
      <c r="A283" s="31" t="inlineStr">
        <is>
          <t>SANOFICONR</t>
        </is>
      </c>
      <c r="B283" s="31" t="inlineStr">
        <is>
          <t>Sanofi Consumer Healthcare India Ltd</t>
        </is>
      </c>
      <c r="C283" s="31" t="inlineStr">
        <is>
          <t>healthcare</t>
        </is>
      </c>
      <c r="D283" s="31" t="inlineStr">
        <is>
          <t>pharmaceuticals - multinational</t>
        </is>
      </c>
      <c r="E283" s="31" t="inlineStr">
        <is>
          <t>midcap</t>
        </is>
      </c>
      <c r="F283" s="31" t="n">
        <v>10766.12</v>
      </c>
      <c r="G283" s="31" t="n">
        <v>4685.2</v>
      </c>
      <c r="H283" s="31" t="n">
        <v>0.22</v>
      </c>
      <c r="I283" s="31" t="n">
        <v>4106</v>
      </c>
      <c r="J283" s="31" t="inlineStr">
        <is>
          <t>544250</t>
        </is>
      </c>
    </row>
    <row r="284">
      <c r="A284" s="31" t="inlineStr">
        <is>
          <t>KARURVYSYA</t>
        </is>
      </c>
      <c r="B284" s="31" t="inlineStr">
        <is>
          <t>Karur Vysya Bank Limited</t>
        </is>
      </c>
      <c r="C284" s="31" t="inlineStr">
        <is>
          <t>bank</t>
        </is>
      </c>
      <c r="D284" s="31" t="inlineStr">
        <is>
          <t>banks - private sector</t>
        </is>
      </c>
      <c r="E284" s="31" t="inlineStr">
        <is>
          <t>largecap</t>
        </is>
      </c>
      <c r="F284" s="31" t="n">
        <v>32760.41</v>
      </c>
      <c r="G284" s="31" t="n">
        <v>339.65</v>
      </c>
      <c r="H284" s="31" t="n">
        <v>0.22</v>
      </c>
      <c r="I284" s="31" t="n">
        <v>2727470</v>
      </c>
      <c r="J284" s="31" t="inlineStr">
        <is>
          <t>590003</t>
        </is>
      </c>
    </row>
    <row r="285">
      <c r="A285" s="31" t="inlineStr">
        <is>
          <t>WELCORP</t>
        </is>
      </c>
      <c r="B285" s="31" t="inlineStr">
        <is>
          <t>Welspun Corp Limited</t>
        </is>
      </c>
      <c r="C285" s="31" t="inlineStr">
        <is>
          <t>industrials</t>
        </is>
      </c>
      <c r="D285" s="31" t="inlineStr">
        <is>
          <t>steel - large</t>
        </is>
      </c>
      <c r="E285" s="31" t="inlineStr">
        <is>
          <t>largecap</t>
        </is>
      </c>
      <c r="F285" s="31" t="n">
        <v>42124.73</v>
      </c>
      <c r="G285" s="31" t="n">
        <v>1599.8</v>
      </c>
      <c r="H285" s="31" t="n">
        <v>0.18</v>
      </c>
      <c r="I285" s="31" t="n">
        <v>944994</v>
      </c>
      <c r="J285" s="31" t="inlineStr">
        <is>
          <t>532144</t>
        </is>
      </c>
    </row>
    <row r="286">
      <c r="A286" s="31" t="inlineStr">
        <is>
          <t>TVSMOTOR</t>
        </is>
      </c>
      <c r="B286" s="31" t="inlineStr">
        <is>
          <t>Tvs Motor Company Limited</t>
        </is>
      </c>
      <c r="C286" s="31" t="inlineStr">
        <is>
          <t>auto</t>
        </is>
      </c>
      <c r="D286" s="31" t="inlineStr">
        <is>
          <t>automobiles - motorcycles / mopeds</t>
        </is>
      </c>
      <c r="E286" s="31" t="inlineStr">
        <is>
          <t>largecap</t>
        </is>
      </c>
      <c r="F286" s="31" t="n">
        <v>183868.21</v>
      </c>
      <c r="G286" s="31" t="n">
        <v>3876.4</v>
      </c>
      <c r="H286" s="31" t="n">
        <v>0.16</v>
      </c>
      <c r="I286" s="31" t="n">
        <v>576740</v>
      </c>
      <c r="J286" s="31" t="inlineStr">
        <is>
          <t>532343</t>
        </is>
      </c>
    </row>
    <row r="287">
      <c r="A287" s="31" t="inlineStr">
        <is>
          <t>HNDFDS</t>
        </is>
      </c>
      <c r="B287" s="31" t="inlineStr">
        <is>
          <t>Hindustan Foods Ltd</t>
        </is>
      </c>
      <c r="C287" s="31" t="inlineStr">
        <is>
          <t>fmcg</t>
        </is>
      </c>
      <c r="D287" s="31" t="inlineStr">
        <is>
          <t>diversified - large</t>
        </is>
      </c>
      <c r="E287" s="31" t="inlineStr">
        <is>
          <t>midcap</t>
        </is>
      </c>
      <c r="F287" s="31" t="n">
        <v>6993.51</v>
      </c>
      <c r="G287" s="31" t="n">
        <v>578.15</v>
      </c>
      <c r="H287" s="31" t="n">
        <v>0.16</v>
      </c>
      <c r="I287" s="31" t="n">
        <v>80724</v>
      </c>
      <c r="J287" s="31" t="inlineStr">
        <is>
          <t>519126</t>
        </is>
      </c>
    </row>
    <row r="288">
      <c r="A288" s="31" t="inlineStr">
        <is>
          <t>SWANDEF</t>
        </is>
      </c>
      <c r="B288" s="31" t="inlineStr">
        <is>
          <t>Swan Defence and Heavy Industries Ltd</t>
        </is>
      </c>
      <c r="C288" s="31" t="inlineStr">
        <is>
          <t>transportation</t>
        </is>
      </c>
      <c r="D288" s="31" t="inlineStr">
        <is>
          <t>miscellaneous</t>
        </is>
      </c>
      <c r="E288" s="31" t="inlineStr">
        <is>
          <t>midcap</t>
        </is>
      </c>
      <c r="F288" s="31" t="n">
        <v>12789.65</v>
      </c>
      <c r="G288" s="31" t="n">
        <v>2430.7</v>
      </c>
      <c r="H288" s="31" t="n">
        <v>0.12</v>
      </c>
      <c r="I288" s="31" t="n">
        <v>14027</v>
      </c>
      <c r="J288" s="31" t="inlineStr">
        <is>
          <t>533107</t>
        </is>
      </c>
    </row>
    <row r="289">
      <c r="A289" s="31" t="inlineStr">
        <is>
          <t>QUESS</t>
        </is>
      </c>
      <c r="B289" s="31" t="inlineStr">
        <is>
          <t>Quess Corp Limited</t>
        </is>
      </c>
      <c r="C289" s="31" t="inlineStr">
        <is>
          <t>miscellaneous</t>
        </is>
      </c>
      <c r="D289" s="31" t="inlineStr">
        <is>
          <t>diversified - large</t>
        </is>
      </c>
      <c r="E289" s="31" t="inlineStr">
        <is>
          <t>smallcap</t>
        </is>
      </c>
      <c r="F289" s="31" t="n">
        <v>4412.09</v>
      </c>
      <c r="G289" s="31" t="n">
        <v>295.75</v>
      </c>
      <c r="H289" s="31" t="n">
        <v>0.12</v>
      </c>
      <c r="I289" s="31" t="n">
        <v>123913</v>
      </c>
      <c r="J289" s="31" t="inlineStr">
        <is>
          <t>539978</t>
        </is>
      </c>
    </row>
    <row r="290">
      <c r="A290" s="31" t="inlineStr">
        <is>
          <t>HSCL</t>
        </is>
      </c>
      <c r="B290" s="31" t="inlineStr">
        <is>
          <t>Himadri Speciality Chemical Limited</t>
        </is>
      </c>
      <c r="C290" s="31" t="inlineStr">
        <is>
          <t>chemicals</t>
        </is>
      </c>
      <c r="D290" s="31" t="inlineStr">
        <is>
          <t>chemicals</t>
        </is>
      </c>
      <c r="E290" s="31" t="inlineStr">
        <is>
          <t>largecap</t>
        </is>
      </c>
      <c r="F290" s="31" t="n">
        <v>39836.08</v>
      </c>
      <c r="G290" s="31" t="n">
        <v>790.45</v>
      </c>
      <c r="H290" s="31" t="n">
        <v>0.11</v>
      </c>
      <c r="I290" s="31" t="n">
        <v>7101930</v>
      </c>
      <c r="J290" s="31" t="inlineStr">
        <is>
          <t>500184</t>
        </is>
      </c>
    </row>
    <row r="291">
      <c r="A291" s="31" t="inlineStr">
        <is>
          <t>AZAD</t>
        </is>
      </c>
      <c r="B291" s="31" t="inlineStr">
        <is>
          <t>Azad Engineering Ltd</t>
        </is>
      </c>
      <c r="C291" s="31" t="inlineStr">
        <is>
          <t>aerospace &amp; defence</t>
        </is>
      </c>
      <c r="D291" s="31" t="inlineStr">
        <is>
          <t>engineering</t>
        </is>
      </c>
      <c r="E291" s="31" t="inlineStr">
        <is>
          <t>midcap</t>
        </is>
      </c>
      <c r="F291" s="31" t="n">
        <v>15751.49</v>
      </c>
      <c r="G291" s="31" t="n">
        <v>2441.6</v>
      </c>
      <c r="H291" s="31" t="n">
        <v>0.11</v>
      </c>
      <c r="I291" s="31" t="n">
        <v>579495</v>
      </c>
      <c r="J291" s="31" t="inlineStr">
        <is>
          <t>544061</t>
        </is>
      </c>
    </row>
    <row r="292">
      <c r="A292" s="31" t="inlineStr">
        <is>
          <t>NELCO</t>
        </is>
      </c>
      <c r="B292" s="31" t="inlineStr">
        <is>
          <t>Nelco Limited</t>
        </is>
      </c>
      <c r="C292" s="31" t="inlineStr">
        <is>
          <t>telecom</t>
        </is>
      </c>
      <c r="D292" s="31" t="inlineStr">
        <is>
          <t>telecommunications - service provider</t>
        </is>
      </c>
      <c r="E292" s="31" t="inlineStr">
        <is>
          <t>smallcap</t>
        </is>
      </c>
      <c r="F292" s="31" t="n">
        <v>2128.5</v>
      </c>
      <c r="G292" s="31" t="n">
        <v>933.75</v>
      </c>
      <c r="H292" s="31" t="n">
        <v>0.1</v>
      </c>
      <c r="I292" s="31" t="n">
        <v>313008</v>
      </c>
      <c r="J292" s="31" t="inlineStr">
        <is>
          <t>504112</t>
        </is>
      </c>
    </row>
    <row r="293">
      <c r="A293" s="31" t="inlineStr">
        <is>
          <t>INDNIPPON</t>
        </is>
      </c>
      <c r="B293" s="31" t="inlineStr">
        <is>
          <t>India Nippon Electricals Limited</t>
        </is>
      </c>
      <c r="C293" s="31" t="inlineStr">
        <is>
          <t>auto</t>
        </is>
      </c>
      <c r="D293" s="31" t="inlineStr">
        <is>
          <t>auto ancillaries</t>
        </is>
      </c>
      <c r="E293" s="31" t="inlineStr">
        <is>
          <t>smallcap</t>
        </is>
      </c>
      <c r="F293" s="31" t="n">
        <v>2710.05</v>
      </c>
      <c r="G293" s="31" t="n">
        <v>1198.9</v>
      </c>
      <c r="H293" s="31" t="n">
        <v>0.08</v>
      </c>
      <c r="I293" s="31" t="n">
        <v>22084</v>
      </c>
      <c r="J293" s="31" t="inlineStr">
        <is>
          <t>532240</t>
        </is>
      </c>
    </row>
    <row r="294">
      <c r="A294" s="31" t="inlineStr">
        <is>
          <t>MANGLMCEM</t>
        </is>
      </c>
      <c r="B294" s="31" t="inlineStr">
        <is>
          <t>Mangalam Cement Limited</t>
        </is>
      </c>
      <c r="C294" s="31" t="inlineStr">
        <is>
          <t>building materials</t>
        </is>
      </c>
      <c r="D294" s="31" t="inlineStr">
        <is>
          <t>cement - north india</t>
        </is>
      </c>
      <c r="E294" s="31" t="inlineStr">
        <is>
          <t>smallcap</t>
        </is>
      </c>
      <c r="F294" s="31" t="n">
        <v>2705.87</v>
      </c>
      <c r="G294" s="31" t="n">
        <v>984.7</v>
      </c>
      <c r="H294" s="31" t="n">
        <v>0.07000000000000001</v>
      </c>
      <c r="I294" s="31" t="n">
        <v>13172</v>
      </c>
      <c r="J294" s="31" t="inlineStr">
        <is>
          <t>502157</t>
        </is>
      </c>
    </row>
    <row r="295">
      <c r="A295" s="31" t="inlineStr">
        <is>
          <t>CENTURYPLY</t>
        </is>
      </c>
      <c r="B295" s="31" t="inlineStr">
        <is>
          <t>Century Plyboards (india) Limited</t>
        </is>
      </c>
      <c r="C295" s="31" t="inlineStr">
        <is>
          <t>building materials</t>
        </is>
      </c>
      <c r="D295" s="31" t="inlineStr">
        <is>
          <t>miscellaneous</t>
        </is>
      </c>
      <c r="E295" s="31" t="inlineStr">
        <is>
          <t>midcap</t>
        </is>
      </c>
      <c r="F295" s="31" t="n">
        <v>17600.54</v>
      </c>
      <c r="G295" s="31" t="n">
        <v>792.65</v>
      </c>
      <c r="H295" s="31" t="n">
        <v>0.06</v>
      </c>
      <c r="I295" s="31" t="n">
        <v>37113</v>
      </c>
      <c r="J295" s="31" t="inlineStr">
        <is>
          <t>532548</t>
        </is>
      </c>
    </row>
    <row r="296">
      <c r="A296" s="31" t="inlineStr">
        <is>
          <t>ADANIENSOL</t>
        </is>
      </c>
      <c r="B296" s="31" t="inlineStr">
        <is>
          <t>Adani Energy Solutions Ltd</t>
        </is>
      </c>
      <c r="C296" s="31" t="inlineStr">
        <is>
          <t>power &amp; utilities</t>
        </is>
      </c>
      <c r="D296" s="31" t="inlineStr">
        <is>
          <t>power generation and supply</t>
        </is>
      </c>
      <c r="E296" s="31" t="inlineStr">
        <is>
          <t>largecap</t>
        </is>
      </c>
      <c r="F296" s="31" t="n">
        <v>204482.33</v>
      </c>
      <c r="G296" s="31" t="n">
        <v>1703.3</v>
      </c>
      <c r="H296" s="31" t="n">
        <v>0.06</v>
      </c>
      <c r="I296" s="31" t="n">
        <v>2632783</v>
      </c>
      <c r="J296" s="31" t="inlineStr">
        <is>
          <t>539254</t>
        </is>
      </c>
    </row>
    <row r="297">
      <c r="A297" s="31" t="inlineStr">
        <is>
          <t>JSFB</t>
        </is>
      </c>
      <c r="B297" s="31" t="inlineStr">
        <is>
          <t>Jana Small Finance Bank Ltd</t>
        </is>
      </c>
      <c r="C297" s="31" t="inlineStr">
        <is>
          <t>bank</t>
        </is>
      </c>
      <c r="D297" s="31" t="inlineStr">
        <is>
          <t>banks - private sector</t>
        </is>
      </c>
      <c r="E297" s="31" t="inlineStr">
        <is>
          <t>midcap</t>
        </is>
      </c>
      <c r="F297" s="31" t="n">
        <v>5656.29</v>
      </c>
      <c r="G297" s="31" t="n">
        <v>537.25</v>
      </c>
      <c r="H297" s="31" t="n">
        <v>0.06</v>
      </c>
      <c r="I297" s="31" t="n">
        <v>428226</v>
      </c>
      <c r="J297" s="31" t="n"/>
    </row>
    <row r="298">
      <c r="A298" s="31" t="inlineStr">
        <is>
          <t>SBC</t>
        </is>
      </c>
      <c r="B298" s="31" t="inlineStr">
        <is>
          <t>SBC Exports Ltd</t>
        </is>
      </c>
      <c r="C298" s="31" t="inlineStr">
        <is>
          <t>textiles</t>
        </is>
      </c>
      <c r="D298" s="31" t="inlineStr">
        <is>
          <t>textiles - products</t>
        </is>
      </c>
      <c r="E298" s="31" t="inlineStr">
        <is>
          <t>smallcap</t>
        </is>
      </c>
      <c r="F298" s="31" t="n">
        <v>2003.33</v>
      </c>
      <c r="G298" s="31" t="n">
        <v>42.09</v>
      </c>
      <c r="H298" s="31" t="n">
        <v>0.05</v>
      </c>
      <c r="I298" s="31" t="n">
        <v>7111649</v>
      </c>
      <c r="J298" s="31" t="inlineStr">
        <is>
          <t>542725</t>
        </is>
      </c>
    </row>
    <row r="299">
      <c r="A299" s="31" t="inlineStr">
        <is>
          <t>GODREJIND</t>
        </is>
      </c>
      <c r="B299" s="31" t="inlineStr">
        <is>
          <t>Godrej Industries Limited</t>
        </is>
      </c>
      <c r="C299" s="31" t="inlineStr">
        <is>
          <t>chemicals</t>
        </is>
      </c>
      <c r="D299" s="31" t="inlineStr">
        <is>
          <t>chemicals</t>
        </is>
      </c>
      <c r="E299" s="31" t="inlineStr">
        <is>
          <t>largecap</t>
        </is>
      </c>
      <c r="F299" s="31" t="n">
        <v>44869.14</v>
      </c>
      <c r="G299" s="31" t="n">
        <v>1332.9</v>
      </c>
      <c r="H299" s="31" t="n">
        <v>0.05</v>
      </c>
      <c r="I299" s="31" t="n">
        <v>57846</v>
      </c>
      <c r="J299" s="31" t="inlineStr">
        <is>
          <t>500164</t>
        </is>
      </c>
    </row>
    <row r="300">
      <c r="A300" s="31" t="inlineStr">
        <is>
          <t>ASHIANA</t>
        </is>
      </c>
      <c r="B300" s="31" t="inlineStr">
        <is>
          <t>Ashiana Housing Limited</t>
        </is>
      </c>
      <c r="C300" s="31" t="inlineStr">
        <is>
          <t>realty</t>
        </is>
      </c>
      <c r="D300" s="31" t="inlineStr">
        <is>
          <t>construction</t>
        </is>
      </c>
      <c r="E300" s="31" t="inlineStr">
        <is>
          <t>smallcap</t>
        </is>
      </c>
      <c r="F300" s="31" t="n">
        <v>3887.3</v>
      </c>
      <c r="G300" s="31" t="n">
        <v>386.9</v>
      </c>
      <c r="H300" s="31" t="n">
        <v>0.05</v>
      </c>
      <c r="I300" s="31" t="n">
        <v>49299</v>
      </c>
      <c r="J300" s="31" t="inlineStr">
        <is>
          <t>523716</t>
        </is>
      </c>
    </row>
    <row r="301">
      <c r="A301" s="31" t="inlineStr">
        <is>
          <t>INDIANHUME</t>
        </is>
      </c>
      <c r="B301" s="31" t="inlineStr">
        <is>
          <t>Indian Hume Pipe Company Limited</t>
        </is>
      </c>
      <c r="C301" s="31" t="inlineStr">
        <is>
          <t>realty</t>
        </is>
      </c>
      <c r="D301" s="31" t="inlineStr">
        <is>
          <t>construction</t>
        </is>
      </c>
      <c r="E301" s="31" t="inlineStr">
        <is>
          <t>smallcap</t>
        </is>
      </c>
      <c r="F301" s="31" t="n">
        <v>2039.57</v>
      </c>
      <c r="G301" s="31" t="n">
        <v>387</v>
      </c>
      <c r="H301" s="31" t="n">
        <v>-0.04</v>
      </c>
      <c r="I301" s="31" t="n">
        <v>45948</v>
      </c>
      <c r="J301" s="31" t="inlineStr">
        <is>
          <t>504741</t>
        </is>
      </c>
    </row>
    <row r="302">
      <c r="A302" s="31" t="inlineStr">
        <is>
          <t>STYLAMIND</t>
        </is>
      </c>
      <c r="B302" s="31" t="inlineStr">
        <is>
          <t>Stylam Industries Ltd</t>
        </is>
      </c>
      <c r="C302" s="31" t="inlineStr">
        <is>
          <t>building materials</t>
        </is>
      </c>
      <c r="D302" s="31" t="inlineStr">
        <is>
          <t>miscellaneous</t>
        </is>
      </c>
      <c r="E302" s="31" t="inlineStr">
        <is>
          <t>midcap</t>
        </is>
      </c>
      <c r="F302" s="31" t="n">
        <v>5790.81</v>
      </c>
      <c r="G302" s="31" t="n">
        <v>3415.2</v>
      </c>
      <c r="H302" s="31" t="n">
        <v>-0.05</v>
      </c>
      <c r="I302" s="31" t="n">
        <v>107652</v>
      </c>
      <c r="J302" s="31" t="inlineStr">
        <is>
          <t>526951</t>
        </is>
      </c>
    </row>
    <row r="303">
      <c r="A303" s="31" t="inlineStr">
        <is>
          <t>IZMO</t>
        </is>
      </c>
      <c r="B303" s="31" t="inlineStr">
        <is>
          <t>Izmo Limited</t>
        </is>
      </c>
      <c r="C303" s="31" t="inlineStr">
        <is>
          <t>i.t</t>
        </is>
      </c>
      <c r="D303" s="31" t="inlineStr">
        <is>
          <t>computers - software - medium / small</t>
        </is>
      </c>
      <c r="E303" s="31" t="inlineStr">
        <is>
          <t>smallcap</t>
        </is>
      </c>
      <c r="F303" s="31" t="n">
        <v>1652.62</v>
      </c>
      <c r="G303" s="31" t="n">
        <v>1104</v>
      </c>
      <c r="H303" s="31" t="n">
        <v>-0.05</v>
      </c>
      <c r="I303" s="31" t="n">
        <v>70875</v>
      </c>
      <c r="J303" s="31" t="inlineStr">
        <is>
          <t>532341</t>
        </is>
      </c>
    </row>
    <row r="304">
      <c r="A304" s="31" t="inlineStr">
        <is>
          <t>KKCL</t>
        </is>
      </c>
      <c r="B304" s="31" t="inlineStr">
        <is>
          <t>Kewal Kiran Clothing Limited</t>
        </is>
      </c>
      <c r="C304" s="31" t="inlineStr">
        <is>
          <t>consumer discretionary</t>
        </is>
      </c>
      <c r="D304" s="31" t="inlineStr">
        <is>
          <t>textiles - products</t>
        </is>
      </c>
      <c r="E304" s="31" t="inlineStr">
        <is>
          <t>smallcap</t>
        </is>
      </c>
      <c r="F304" s="31" t="n">
        <v>3095.43</v>
      </c>
      <c r="G304" s="31" t="n">
        <v>501.95</v>
      </c>
      <c r="H304" s="31" t="n">
        <v>-0.07000000000000001</v>
      </c>
      <c r="I304" s="31" t="n">
        <v>35517</v>
      </c>
      <c r="J304" s="31" t="inlineStr">
        <is>
          <t>532732</t>
        </is>
      </c>
    </row>
    <row r="305">
      <c r="A305" s="31" t="inlineStr">
        <is>
          <t>VENKEYS</t>
        </is>
      </c>
      <c r="B305" s="31" t="inlineStr">
        <is>
          <t>Venky's (india) Limited</t>
        </is>
      </c>
      <c r="C305" s="31" t="inlineStr">
        <is>
          <t>fmcg</t>
        </is>
      </c>
      <c r="D305" s="31" t="inlineStr">
        <is>
          <t>miscellaneous</t>
        </is>
      </c>
      <c r="E305" s="31" t="inlineStr">
        <is>
          <t>smallcap</t>
        </is>
      </c>
      <c r="F305" s="31" t="n">
        <v>2120.43</v>
      </c>
      <c r="G305" s="31" t="n">
        <v>1503.7</v>
      </c>
      <c r="H305" s="31" t="n">
        <v>-0.1</v>
      </c>
      <c r="I305" s="31" t="n">
        <v>68141</v>
      </c>
      <c r="J305" s="31" t="inlineStr">
        <is>
          <t>523261</t>
        </is>
      </c>
    </row>
    <row r="306">
      <c r="A306" s="31" t="inlineStr">
        <is>
          <t>KMEW</t>
        </is>
      </c>
      <c r="B306" s="31" t="inlineStr">
        <is>
          <t>Knowledge Marine &amp; Engineering Works Ltd</t>
        </is>
      </c>
      <c r="C306" s="31" t="inlineStr">
        <is>
          <t>transportation</t>
        </is>
      </c>
      <c r="D306" s="31" t="inlineStr">
        <is>
          <t>miscellaneous</t>
        </is>
      </c>
      <c r="E306" s="31" t="inlineStr">
        <is>
          <t>midcap</t>
        </is>
      </c>
      <c r="F306" s="31" t="n">
        <v>5940.65</v>
      </c>
      <c r="G306" s="31" t="n">
        <v>2427.8</v>
      </c>
      <c r="H306" s="31" t="n">
        <v>-0.1</v>
      </c>
      <c r="I306" s="31" t="n">
        <v>39707</v>
      </c>
      <c r="J306" s="31" t="inlineStr">
        <is>
          <t>543273</t>
        </is>
      </c>
    </row>
    <row r="307">
      <c r="A307" s="31" t="inlineStr">
        <is>
          <t>KAPSTON</t>
        </is>
      </c>
      <c r="B307" s="31" t="inlineStr">
        <is>
          <t>Kapston Services Ltd</t>
        </is>
      </c>
      <c r="C307" s="31" t="inlineStr">
        <is>
          <t>miscellaneous</t>
        </is>
      </c>
      <c r="D307" s="31" t="inlineStr">
        <is>
          <t>miscellaneous</t>
        </is>
      </c>
      <c r="E307" s="31" t="inlineStr">
        <is>
          <t>smallcap</t>
        </is>
      </c>
      <c r="F307" s="31" t="n">
        <v>1402.01</v>
      </c>
      <c r="G307" s="31" t="n">
        <v>460.2</v>
      </c>
      <c r="H307" s="31" t="n">
        <v>-0.11</v>
      </c>
      <c r="I307" s="31" t="n">
        <v>36890</v>
      </c>
      <c r="J307" s="31" t="inlineStr">
        <is>
          <t>535064</t>
        </is>
      </c>
    </row>
    <row r="308">
      <c r="A308" s="31" t="inlineStr">
        <is>
          <t>DATAPATTNS</t>
        </is>
      </c>
      <c r="B308" s="31" t="inlineStr">
        <is>
          <t>Data Patterns (India) Ltd</t>
        </is>
      </c>
      <c r="C308" s="31" t="inlineStr">
        <is>
          <t>aerospace &amp; defence</t>
        </is>
      </c>
      <c r="D308" s="31" t="inlineStr">
        <is>
          <t>electronics - components</t>
        </is>
      </c>
      <c r="E308" s="31" t="inlineStr">
        <is>
          <t>largecap</t>
        </is>
      </c>
      <c r="F308" s="31" t="n">
        <v>25665.85</v>
      </c>
      <c r="G308" s="31" t="n">
        <v>4578.9</v>
      </c>
      <c r="H308" s="31" t="n">
        <v>-0.12</v>
      </c>
      <c r="I308" s="31" t="n">
        <v>657193</v>
      </c>
      <c r="J308" s="31" t="inlineStr">
        <is>
          <t>543428</t>
        </is>
      </c>
    </row>
    <row r="309">
      <c r="A309" s="31" t="inlineStr">
        <is>
          <t>GREAVESCOT</t>
        </is>
      </c>
      <c r="B309" s="31" t="inlineStr">
        <is>
          <t>Greaves Cotton Limited</t>
        </is>
      </c>
      <c r="C309" s="31" t="inlineStr">
        <is>
          <t>industrials</t>
        </is>
      </c>
      <c r="D309" s="31" t="inlineStr">
        <is>
          <t>engines</t>
        </is>
      </c>
      <c r="E309" s="31" t="inlineStr">
        <is>
          <t>midcap</t>
        </is>
      </c>
      <c r="F309" s="31" t="n">
        <v>5738.06</v>
      </c>
      <c r="G309" s="31" t="n">
        <v>245.99</v>
      </c>
      <c r="H309" s="31" t="n">
        <v>-0.13</v>
      </c>
      <c r="I309" s="31" t="n">
        <v>1108107</v>
      </c>
      <c r="J309" s="31" t="inlineStr">
        <is>
          <t>501455</t>
        </is>
      </c>
    </row>
    <row r="310">
      <c r="A310" s="31" t="inlineStr">
        <is>
          <t>FLUOROCHEM</t>
        </is>
      </c>
      <c r="B310" s="31" t="inlineStr">
        <is>
          <t>Gujarat Fluorochemicals Ltd</t>
        </is>
      </c>
      <c r="C310" s="31" t="inlineStr">
        <is>
          <t>chemicals</t>
        </is>
      </c>
      <c r="D310" s="31" t="inlineStr">
        <is>
          <t>chemicals</t>
        </is>
      </c>
      <c r="E310" s="31" t="inlineStr">
        <is>
          <t>largecap</t>
        </is>
      </c>
      <c r="F310" s="31" t="n">
        <v>50242.09</v>
      </c>
      <c r="G310" s="31" t="n">
        <v>4563.5</v>
      </c>
      <c r="H310" s="31" t="n">
        <v>-0.22</v>
      </c>
      <c r="I310" s="31" t="n">
        <v>122548</v>
      </c>
      <c r="J310" s="31" t="inlineStr">
        <is>
          <t>542812</t>
        </is>
      </c>
    </row>
    <row r="311">
      <c r="A311" s="31" t="inlineStr">
        <is>
          <t>ICEMAKE</t>
        </is>
      </c>
      <c r="B311" s="31" t="inlineStr">
        <is>
          <t>ICE Make Refrigeration Ltd</t>
        </is>
      </c>
      <c r="C311" s="31" t="inlineStr">
        <is>
          <t>industrials</t>
        </is>
      </c>
      <c r="D311" s="31" t="inlineStr">
        <is>
          <t>engineering</t>
        </is>
      </c>
      <c r="E311" s="31" t="inlineStr">
        <is>
          <t>smallcap</t>
        </is>
      </c>
      <c r="F311" s="31" t="n">
        <v>1366.05</v>
      </c>
      <c r="G311" s="31" t="n">
        <v>863.25</v>
      </c>
      <c r="H311" s="31" t="n">
        <v>-0.28</v>
      </c>
      <c r="I311" s="31" t="n">
        <v>43856</v>
      </c>
      <c r="J311" s="31" t="inlineStr">
        <is>
          <t>535034</t>
        </is>
      </c>
    </row>
    <row r="312">
      <c r="A312" s="31" t="inlineStr">
        <is>
          <t>HITECHCORP</t>
        </is>
      </c>
      <c r="B312" s="31" t="inlineStr">
        <is>
          <t>Hitech Corporation</t>
        </is>
      </c>
      <c r="C312" s="31" t="inlineStr">
        <is>
          <t>industrials</t>
        </is>
      </c>
      <c r="D312" s="31" t="inlineStr">
        <is>
          <t>packaging</t>
        </is>
      </c>
      <c r="E312" s="31" t="inlineStr">
        <is>
          <t>smallcap</t>
        </is>
      </c>
      <c r="F312" s="31" t="n">
        <v>550.05</v>
      </c>
      <c r="G312" s="31" t="n">
        <v>319.35</v>
      </c>
      <c r="H312" s="31" t="n">
        <v>-0.28</v>
      </c>
      <c r="I312" s="31" t="n">
        <v>3887</v>
      </c>
      <c r="J312" s="31" t="inlineStr">
        <is>
          <t>526217</t>
        </is>
      </c>
    </row>
    <row r="313">
      <c r="A313" s="31" t="inlineStr">
        <is>
          <t>RPGLIFE</t>
        </is>
      </c>
      <c r="B313" s="31" t="inlineStr">
        <is>
          <t>Rpg Life Sciences Limited</t>
        </is>
      </c>
      <c r="C313" s="31" t="inlineStr">
        <is>
          <t>healthcare</t>
        </is>
      </c>
      <c r="D313" s="31" t="inlineStr">
        <is>
          <t>pharmaceuticals - indian - bulk drugs &amp; formln</t>
        </is>
      </c>
      <c r="E313" s="31" t="inlineStr">
        <is>
          <t>smallcap</t>
        </is>
      </c>
      <c r="F313" s="31" t="n">
        <v>4857.51</v>
      </c>
      <c r="G313" s="31" t="n">
        <v>2928.1</v>
      </c>
      <c r="H313" s="31" t="n">
        <v>-0.3</v>
      </c>
      <c r="I313" s="31" t="n">
        <v>16187</v>
      </c>
      <c r="J313" s="31" t="inlineStr">
        <is>
          <t>532983</t>
        </is>
      </c>
    </row>
    <row r="314">
      <c r="A314" s="31" t="inlineStr">
        <is>
          <t>ITDC</t>
        </is>
      </c>
      <c r="B314" s="31" t="inlineStr">
        <is>
          <t>India Tourism Development Corporation Ltd</t>
        </is>
      </c>
      <c r="C314" s="31" t="inlineStr">
        <is>
          <t>services</t>
        </is>
      </c>
      <c r="D314" s="31" t="inlineStr">
        <is>
          <t>hotels</t>
        </is>
      </c>
      <c r="E314" s="31" t="inlineStr">
        <is>
          <t>midcap</t>
        </is>
      </c>
      <c r="F314" s="31" t="n">
        <v>6324.64</v>
      </c>
      <c r="G314" s="31" t="n">
        <v>735.15</v>
      </c>
      <c r="H314" s="31" t="n">
        <v>-0.31</v>
      </c>
      <c r="I314" s="31" t="n">
        <v>329942</v>
      </c>
      <c r="J314" s="31" t="inlineStr">
        <is>
          <t>532189</t>
        </is>
      </c>
    </row>
    <row r="315">
      <c r="A315" s="31" t="inlineStr">
        <is>
          <t>BHEL</t>
        </is>
      </c>
      <c r="B315" s="31" t="inlineStr">
        <is>
          <t>Bharat Heavy Electricals Limited</t>
        </is>
      </c>
      <c r="C315" s="31" t="inlineStr">
        <is>
          <t>industrials</t>
        </is>
      </c>
      <c r="D315" s="31" t="inlineStr">
        <is>
          <t>electric equipment</t>
        </is>
      </c>
      <c r="E315" s="31" t="inlineStr">
        <is>
          <t>largecap</t>
        </is>
      </c>
      <c r="F315" s="31" t="n">
        <v>145306.5</v>
      </c>
      <c r="G315" s="31" t="n">
        <v>415.95</v>
      </c>
      <c r="H315" s="31" t="n">
        <v>-0.32</v>
      </c>
      <c r="I315" s="31" t="n">
        <v>9042974</v>
      </c>
      <c r="J315" s="31" t="inlineStr">
        <is>
          <t>500103</t>
        </is>
      </c>
    </row>
    <row r="316">
      <c r="A316" s="31" t="inlineStr">
        <is>
          <t>ARROWGREEN</t>
        </is>
      </c>
      <c r="B316" s="31" t="inlineStr">
        <is>
          <t>Arrow Greentech Limited</t>
        </is>
      </c>
      <c r="C316" s="31" t="inlineStr">
        <is>
          <t>plastic products</t>
        </is>
      </c>
      <c r="D316" s="31" t="inlineStr">
        <is>
          <t>plastics products</t>
        </is>
      </c>
      <c r="E316" s="31" t="inlineStr">
        <is>
          <t>smallcap</t>
        </is>
      </c>
      <c r="F316" s="31" t="n">
        <v>1069.58</v>
      </c>
      <c r="G316" s="31" t="n">
        <v>705.8</v>
      </c>
      <c r="H316" s="31" t="n">
        <v>-0.44</v>
      </c>
      <c r="I316" s="31" t="n">
        <v>12084</v>
      </c>
      <c r="J316" s="31" t="inlineStr">
        <is>
          <t>516064</t>
        </is>
      </c>
    </row>
    <row r="317">
      <c r="A317" s="31" t="inlineStr">
        <is>
          <t>CONSOFINVT</t>
        </is>
      </c>
      <c r="B317" s="31" t="inlineStr">
        <is>
          <t>Consolidated Finvest &amp; Holdings Limited</t>
        </is>
      </c>
      <c r="C317" s="31" t="inlineStr">
        <is>
          <t>financials</t>
        </is>
      </c>
      <c r="D317" s="31" t="inlineStr">
        <is>
          <t>finance &amp; investments</t>
        </is>
      </c>
      <c r="E317" s="31" t="inlineStr">
        <is>
          <t>smallcap</t>
        </is>
      </c>
      <c r="F317" s="31" t="n">
        <v>925.89</v>
      </c>
      <c r="G317" s="31" t="n">
        <v>285</v>
      </c>
      <c r="H317" s="31" t="n">
        <v>-0.5</v>
      </c>
      <c r="I317" s="31" t="n">
        <v>6283</v>
      </c>
      <c r="J317" s="31" t="inlineStr">
        <is>
          <t>500226</t>
        </is>
      </c>
    </row>
    <row r="318">
      <c r="A318" s="31" t="inlineStr">
        <is>
          <t>SANGAMIND</t>
        </is>
      </c>
      <c r="B318" s="31" t="inlineStr">
        <is>
          <t>Sangam (india) Limited</t>
        </is>
      </c>
      <c r="C318" s="31" t="inlineStr">
        <is>
          <t>textiles</t>
        </is>
      </c>
      <c r="D318" s="31" t="inlineStr">
        <is>
          <t>textiles - spinning - synthetic / blended</t>
        </is>
      </c>
      <c r="E318" s="31" t="inlineStr">
        <is>
          <t>smallcap</t>
        </is>
      </c>
      <c r="F318" s="31" t="n">
        <v>3094.43</v>
      </c>
      <c r="G318" s="31" t="n">
        <v>612.55</v>
      </c>
      <c r="H318" s="31" t="n">
        <v>-0.54</v>
      </c>
      <c r="I318" s="31" t="n">
        <v>22980</v>
      </c>
      <c r="J318" s="31" t="inlineStr">
        <is>
          <t>514234</t>
        </is>
      </c>
    </row>
    <row r="319">
      <c r="A319" s="31" t="inlineStr">
        <is>
          <t>TCPLPACK</t>
        </is>
      </c>
      <c r="B319" s="31" t="inlineStr">
        <is>
          <t>TCPL Packaging Ltd</t>
        </is>
      </c>
      <c r="C319" s="31" t="inlineStr">
        <is>
          <t>industrials</t>
        </is>
      </c>
      <c r="D319" s="31" t="inlineStr">
        <is>
          <t>packaging</t>
        </is>
      </c>
      <c r="E319" s="31" t="inlineStr">
        <is>
          <t>smallcap</t>
        </is>
      </c>
      <c r="F319" s="31" t="n">
        <v>2936.12</v>
      </c>
      <c r="G319" s="31" t="n">
        <v>3208.7</v>
      </c>
      <c r="H319" s="31" t="n">
        <v>-0.55</v>
      </c>
      <c r="I319" s="31" t="n">
        <v>1811</v>
      </c>
      <c r="J319" s="31" t="inlineStr">
        <is>
          <t>523301</t>
        </is>
      </c>
    </row>
    <row r="320">
      <c r="A320" s="31" t="inlineStr">
        <is>
          <t>BODALCHEM</t>
        </is>
      </c>
      <c r="B320" s="31" t="inlineStr">
        <is>
          <t>Bodal Chemicals Limited</t>
        </is>
      </c>
      <c r="C320" s="31" t="inlineStr">
        <is>
          <t>chemicals</t>
        </is>
      </c>
      <c r="D320" s="31" t="inlineStr">
        <is>
          <t>dyes and pigments</t>
        </is>
      </c>
      <c r="E320" s="31" t="inlineStr">
        <is>
          <t>smallcap</t>
        </is>
      </c>
      <c r="F320" s="31" t="n">
        <v>856.67</v>
      </c>
      <c r="G320" s="31" t="n">
        <v>67.59999999999999</v>
      </c>
      <c r="H320" s="31" t="n">
        <v>-0.62</v>
      </c>
      <c r="I320" s="31" t="n">
        <v>96155</v>
      </c>
      <c r="J320" s="31" t="inlineStr">
        <is>
          <t>524370</t>
        </is>
      </c>
    </row>
    <row r="321">
      <c r="A321" s="31" t="inlineStr">
        <is>
          <t>NOVARTIND</t>
        </is>
      </c>
      <c r="B321" s="31" t="inlineStr">
        <is>
          <t>Novartis India Ltd</t>
        </is>
      </c>
      <c r="C321" s="31" t="inlineStr">
        <is>
          <t>healthcare</t>
        </is>
      </c>
      <c r="D321" s="31" t="inlineStr">
        <is>
          <t>pharmaceuticals - multinational</t>
        </is>
      </c>
      <c r="E321" s="31" t="inlineStr">
        <is>
          <t>smallcap</t>
        </is>
      </c>
      <c r="F321" s="31" t="n">
        <v>4052.25</v>
      </c>
      <c r="G321" s="31" t="n">
        <v>1631</v>
      </c>
      <c r="H321" s="31" t="n">
        <v>-0.62</v>
      </c>
      <c r="I321" s="31" t="n">
        <v>17325</v>
      </c>
      <c r="J321" s="31" t="inlineStr">
        <is>
          <t>500672</t>
        </is>
      </c>
    </row>
    <row r="322">
      <c r="A322" s="31" t="inlineStr">
        <is>
          <t>ASTRAMICRO</t>
        </is>
      </c>
      <c r="B322" s="31" t="inlineStr">
        <is>
          <t>Astra Microwave Products Limited</t>
        </is>
      </c>
      <c r="C322" s="31" t="inlineStr">
        <is>
          <t>aerospace &amp; defence</t>
        </is>
      </c>
      <c r="D322" s="31" t="inlineStr">
        <is>
          <t>telecommunications - equipment</t>
        </is>
      </c>
      <c r="E322" s="31" t="inlineStr">
        <is>
          <t>midcap</t>
        </is>
      </c>
      <c r="F322" s="31" t="n">
        <v>17217.33</v>
      </c>
      <c r="G322" s="31" t="n">
        <v>1801.8</v>
      </c>
      <c r="H322" s="31" t="n">
        <v>-0.64</v>
      </c>
      <c r="I322" s="31" t="n">
        <v>270091</v>
      </c>
      <c r="J322" s="31" t="inlineStr">
        <is>
          <t>532493</t>
        </is>
      </c>
    </row>
    <row r="323">
      <c r="A323" s="31" t="inlineStr">
        <is>
          <t>ABB</t>
        </is>
      </c>
      <c r="B323" s="31" t="inlineStr">
        <is>
          <t>Abb India Limited</t>
        </is>
      </c>
      <c r="C323" s="31" t="inlineStr">
        <is>
          <t>industrials</t>
        </is>
      </c>
      <c r="D323" s="31" t="inlineStr">
        <is>
          <t>electric equipment</t>
        </is>
      </c>
      <c r="E323" s="31" t="inlineStr">
        <is>
          <t>largecap</t>
        </is>
      </c>
      <c r="F323" s="31" t="n">
        <v>156293.02</v>
      </c>
      <c r="G323" s="31" t="n">
        <v>7327.5</v>
      </c>
      <c r="H323" s="31" t="n">
        <v>-0.65</v>
      </c>
      <c r="I323" s="31" t="n">
        <v>370848</v>
      </c>
      <c r="J323" s="31" t="inlineStr">
        <is>
          <t>500002</t>
        </is>
      </c>
    </row>
    <row r="324">
      <c r="A324" s="31" t="inlineStr">
        <is>
          <t>RAIN</t>
        </is>
      </c>
      <c r="B324" s="31" t="inlineStr">
        <is>
          <t>Rain Industries Limited</t>
        </is>
      </c>
      <c r="C324" s="31" t="inlineStr">
        <is>
          <t>miscellaneous</t>
        </is>
      </c>
      <c r="D324" s="31" t="inlineStr">
        <is>
          <t>miscellaneous</t>
        </is>
      </c>
      <c r="E324" s="31" t="inlineStr">
        <is>
          <t>midcap</t>
        </is>
      </c>
      <c r="F324" s="31" t="n">
        <v>7575.51</v>
      </c>
      <c r="G324" s="31" t="n">
        <v>223.74</v>
      </c>
      <c r="H324" s="31" t="n">
        <v>-0.66</v>
      </c>
      <c r="I324" s="31" t="n">
        <v>3339585</v>
      </c>
      <c r="J324" s="31" t="inlineStr">
        <is>
          <t>500339</t>
        </is>
      </c>
    </row>
    <row r="325">
      <c r="A325" s="31" t="inlineStr">
        <is>
          <t>RITCO</t>
        </is>
      </c>
      <c r="B325" s="31" t="inlineStr">
        <is>
          <t>Ritco Logistics Ltd</t>
        </is>
      </c>
      <c r="C325" s="31" t="inlineStr">
        <is>
          <t>transportation</t>
        </is>
      </c>
      <c r="D325" s="31" t="inlineStr">
        <is>
          <t>miscellaneous</t>
        </is>
      </c>
      <c r="E325" s="31" t="inlineStr">
        <is>
          <t>smallcap</t>
        </is>
      </c>
      <c r="F325" s="31" t="n">
        <v>850.67</v>
      </c>
      <c r="G325" s="31" t="n">
        <v>295.1</v>
      </c>
      <c r="H325" s="31" t="n">
        <v>-0.71</v>
      </c>
      <c r="I325" s="31" t="n">
        <v>465386</v>
      </c>
      <c r="J325" s="31" t="inlineStr">
        <is>
          <t>542383</t>
        </is>
      </c>
    </row>
    <row r="326">
      <c r="A326" s="31" t="inlineStr">
        <is>
          <t>WANBURY</t>
        </is>
      </c>
      <c r="B326" s="31" t="inlineStr">
        <is>
          <t>Wanbury Limited</t>
        </is>
      </c>
      <c r="C326" s="31" t="inlineStr">
        <is>
          <t>healthcare</t>
        </is>
      </c>
      <c r="D326" s="31" t="inlineStr">
        <is>
          <t>pharmaceuticals - indian - bulk drugs &amp; formln</t>
        </is>
      </c>
      <c r="E326" s="31" t="inlineStr">
        <is>
          <t>smallcap</t>
        </is>
      </c>
      <c r="F326" s="31" t="n">
        <v>1159.64</v>
      </c>
      <c r="G326" s="31" t="n">
        <v>329.25</v>
      </c>
      <c r="H326" s="31" t="n">
        <v>-0.8</v>
      </c>
      <c r="I326" s="31" t="n">
        <v>188536</v>
      </c>
      <c r="J326" s="31" t="inlineStr">
        <is>
          <t>524212</t>
        </is>
      </c>
    </row>
    <row r="327">
      <c r="A327" s="31" t="inlineStr">
        <is>
          <t>RPEL</t>
        </is>
      </c>
      <c r="B327" s="31" t="inlineStr">
        <is>
          <t>Raghav Productivity Enhancers Ltd</t>
        </is>
      </c>
      <c r="C327" s="31" t="inlineStr">
        <is>
          <t>building materials</t>
        </is>
      </c>
      <c r="D327" s="31" t="inlineStr">
        <is>
          <t>refractories / intermediates</t>
        </is>
      </c>
      <c r="E327" s="31" t="inlineStr">
        <is>
          <t>midcap</t>
        </is>
      </c>
      <c r="F327" s="31" t="n">
        <v>5984.55</v>
      </c>
      <c r="G327" s="31" t="n">
        <v>1292.7</v>
      </c>
      <c r="H327" s="31" t="n">
        <v>-0.8100000000000001</v>
      </c>
      <c r="I327" s="31" t="n">
        <v>44411</v>
      </c>
      <c r="J327" s="31" t="inlineStr">
        <is>
          <t>539837</t>
        </is>
      </c>
    </row>
    <row r="328">
      <c r="A328" s="31" t="inlineStr">
        <is>
          <t>CYIENTDLM</t>
        </is>
      </c>
      <c r="B328" s="31" t="inlineStr">
        <is>
          <t>Cyient DLM Ltd</t>
        </is>
      </c>
      <c r="C328" s="31" t="inlineStr">
        <is>
          <t>consumer discretionary</t>
        </is>
      </c>
      <c r="D328" s="31" t="inlineStr">
        <is>
          <t>electronics - components</t>
        </is>
      </c>
      <c r="E328" s="31" t="inlineStr">
        <is>
          <t>midcap</t>
        </is>
      </c>
      <c r="F328" s="31" t="n">
        <v>5322.26</v>
      </c>
      <c r="G328" s="31" t="n">
        <v>665.05</v>
      </c>
      <c r="H328" s="31" t="n">
        <v>-0.8100000000000001</v>
      </c>
      <c r="I328" s="31" t="n">
        <v>315550</v>
      </c>
      <c r="J328" s="31" t="inlineStr">
        <is>
          <t>543933</t>
        </is>
      </c>
    </row>
    <row r="329">
      <c r="A329" s="31" t="inlineStr">
        <is>
          <t>INOXINDIA</t>
        </is>
      </c>
      <c r="B329" s="31" t="inlineStr">
        <is>
          <t>Inox India Ltd</t>
        </is>
      </c>
      <c r="C329" s="31" t="inlineStr">
        <is>
          <t>industrials</t>
        </is>
      </c>
      <c r="D329" s="31" t="inlineStr">
        <is>
          <t>packaging</t>
        </is>
      </c>
      <c r="E329" s="31" t="inlineStr">
        <is>
          <t>midcap</t>
        </is>
      </c>
      <c r="F329" s="31" t="n">
        <v>18189.01</v>
      </c>
      <c r="G329" s="31" t="n">
        <v>1985.9</v>
      </c>
      <c r="H329" s="31" t="n">
        <v>-0.9</v>
      </c>
      <c r="I329" s="31" t="n">
        <v>121889</v>
      </c>
      <c r="J329" s="31" t="inlineStr">
        <is>
          <t>544046</t>
        </is>
      </c>
    </row>
    <row r="330">
      <c r="A330" s="31" t="inlineStr">
        <is>
          <t>ESAFSFB</t>
        </is>
      </c>
      <c r="B330" s="31" t="inlineStr">
        <is>
          <t>ESAF Small Finance Bank Ltd</t>
        </is>
      </c>
      <c r="C330" s="31" t="inlineStr">
        <is>
          <t>bank</t>
        </is>
      </c>
      <c r="D330" s="31" t="inlineStr">
        <is>
          <t>banks - private sector</t>
        </is>
      </c>
      <c r="E330" s="31" t="inlineStr">
        <is>
          <t>smallcap</t>
        </is>
      </c>
      <c r="F330" s="31" t="n">
        <v>1996.22</v>
      </c>
      <c r="G330" s="31" t="n">
        <v>38.29</v>
      </c>
      <c r="H330" s="31" t="n">
        <v>-1.03</v>
      </c>
      <c r="I330" s="31" t="n">
        <v>4228358</v>
      </c>
      <c r="J330" s="31" t="inlineStr">
        <is>
          <t>544020</t>
        </is>
      </c>
    </row>
    <row r="331">
      <c r="A331" s="31" t="inlineStr">
        <is>
          <t>LOKESHMACH</t>
        </is>
      </c>
      <c r="B331" s="31" t="inlineStr">
        <is>
          <t>Lokesh Machines Limited</t>
        </is>
      </c>
      <c r="C331" s="31" t="inlineStr">
        <is>
          <t>industrials</t>
        </is>
      </c>
      <c r="D331" s="31" t="inlineStr">
        <is>
          <t>engineering</t>
        </is>
      </c>
      <c r="E331" s="31" t="inlineStr">
        <is>
          <t>smallcap</t>
        </is>
      </c>
      <c r="F331" s="31" t="n">
        <v>721.96</v>
      </c>
      <c r="G331" s="31" t="n">
        <v>335</v>
      </c>
      <c r="H331" s="31" t="n">
        <v>-1.18</v>
      </c>
      <c r="I331" s="31" t="n">
        <v>16831</v>
      </c>
      <c r="J331" s="31" t="inlineStr">
        <is>
          <t>532740</t>
        </is>
      </c>
    </row>
    <row r="332">
      <c r="A332" s="31" t="inlineStr">
        <is>
          <t>KANORICHEM</t>
        </is>
      </c>
      <c r="B332" s="31" t="inlineStr">
        <is>
          <t>Kanoria Chemicals &amp; Industries Limited</t>
        </is>
      </c>
      <c r="C332" s="31" t="inlineStr">
        <is>
          <t>chemicals</t>
        </is>
      </c>
      <c r="D332" s="31" t="inlineStr">
        <is>
          <t>chemicals</t>
        </is>
      </c>
      <c r="E332" s="31" t="inlineStr">
        <is>
          <t>smallcap</t>
        </is>
      </c>
      <c r="F332" s="31" t="n">
        <v>706.74</v>
      </c>
      <c r="G332" s="31" t="n">
        <v>159.73</v>
      </c>
      <c r="H332" s="31" t="n">
        <v>-1.25</v>
      </c>
      <c r="I332" s="31" t="n">
        <v>30418</v>
      </c>
      <c r="J332" s="31" t="inlineStr">
        <is>
          <t>506525</t>
        </is>
      </c>
    </row>
    <row r="333">
      <c r="A333" s="31" t="inlineStr">
        <is>
          <t>SANGHVIMOV</t>
        </is>
      </c>
      <c r="B333" s="31" t="inlineStr">
        <is>
          <t>Sanghvi Movers Limited</t>
        </is>
      </c>
      <c r="C333" s="31" t="inlineStr">
        <is>
          <t>miscellaneous</t>
        </is>
      </c>
      <c r="D333" s="31" t="inlineStr">
        <is>
          <t>miscellaneous</t>
        </is>
      </c>
      <c r="E333" s="31" t="inlineStr">
        <is>
          <t>smallcap</t>
        </is>
      </c>
      <c r="F333" s="31" t="n">
        <v>3945.27</v>
      </c>
      <c r="G333" s="31" t="n">
        <v>450</v>
      </c>
      <c r="H333" s="31" t="n">
        <v>-1.25</v>
      </c>
      <c r="I333" s="31" t="n">
        <v>353824</v>
      </c>
      <c r="J333" s="31" t="inlineStr">
        <is>
          <t>530073</t>
        </is>
      </c>
    </row>
    <row r="334">
      <c r="A334" s="31" t="inlineStr">
        <is>
          <t>GRAPHITE</t>
        </is>
      </c>
      <c r="B334" s="31" t="inlineStr">
        <is>
          <t>Graphite India Limited</t>
        </is>
      </c>
      <c r="C334" s="31" t="inlineStr">
        <is>
          <t>industrials</t>
        </is>
      </c>
      <c r="D334" s="31" t="inlineStr">
        <is>
          <t>electrodes - graphites</t>
        </is>
      </c>
      <c r="E334" s="31" t="inlineStr">
        <is>
          <t>midcap</t>
        </is>
      </c>
      <c r="F334" s="31" t="n">
        <v>13143.89</v>
      </c>
      <c r="G334" s="31" t="n">
        <v>662.65</v>
      </c>
      <c r="H334" s="31" t="n">
        <v>-1.5</v>
      </c>
      <c r="I334" s="31" t="n">
        <v>731066</v>
      </c>
      <c r="J334" s="31" t="inlineStr">
        <is>
          <t>509488</t>
        </is>
      </c>
    </row>
    <row r="335">
      <c r="A335" s="31" t="inlineStr">
        <is>
          <t>KALYANKJIL</t>
        </is>
      </c>
      <c r="B335" s="31" t="inlineStr">
        <is>
          <t>Kalyan Jewellers India Ltd</t>
        </is>
      </c>
      <c r="C335" s="31" t="inlineStr">
        <is>
          <t>consumer discretionary</t>
        </is>
      </c>
      <c r="D335" s="31" t="inlineStr">
        <is>
          <t>diamond cutting / jewellery</t>
        </is>
      </c>
      <c r="E335" s="31" t="inlineStr">
        <is>
          <t>largecap</t>
        </is>
      </c>
      <c r="F335" s="31" t="n">
        <v>59232.81</v>
      </c>
      <c r="G335" s="31" t="n">
        <v>564.6</v>
      </c>
      <c r="H335" s="31" t="n">
        <v>-1.56</v>
      </c>
      <c r="I335" s="31" t="n">
        <v>16629166</v>
      </c>
      <c r="J335" s="31" t="inlineStr">
        <is>
          <t>543278</t>
        </is>
      </c>
    </row>
    <row r="336">
      <c r="A336" s="31" t="inlineStr">
        <is>
          <t>SHAREINDIA</t>
        </is>
      </c>
      <c r="B336" s="31" t="inlineStr">
        <is>
          <t>Share India Securities Ltd</t>
        </is>
      </c>
      <c r="C336" s="31" t="inlineStr">
        <is>
          <t>financials</t>
        </is>
      </c>
      <c r="D336" s="31" t="inlineStr">
        <is>
          <t>finance &amp; investments</t>
        </is>
      </c>
      <c r="E336" s="31" t="inlineStr">
        <is>
          <t>smallcap</t>
        </is>
      </c>
      <c r="F336" s="31" t="n">
        <v>4192.04</v>
      </c>
      <c r="G336" s="31" t="n">
        <v>188.39</v>
      </c>
      <c r="H336" s="31" t="n">
        <v>-1.66</v>
      </c>
      <c r="I336" s="31" t="n">
        <v>1931245</v>
      </c>
      <c r="J336" s="31" t="inlineStr">
        <is>
          <t>540725</t>
        </is>
      </c>
    </row>
    <row r="337">
      <c r="A337" s="31" t="inlineStr">
        <is>
          <t>AKUMS</t>
        </is>
      </c>
      <c r="B337" s="31" t="inlineStr">
        <is>
          <t>Akums Drugs &amp; Pharmaceuticals Ltd</t>
        </is>
      </c>
      <c r="C337" s="31" t="inlineStr">
        <is>
          <t>healthcare</t>
        </is>
      </c>
      <c r="D337" s="31" t="inlineStr">
        <is>
          <t>pharmaceuticals - indian - bulk drugs &amp; formln</t>
        </is>
      </c>
      <c r="E337" s="31" t="inlineStr">
        <is>
          <t>midcap</t>
        </is>
      </c>
      <c r="F337" s="31" t="n">
        <v>10817.69</v>
      </c>
      <c r="G337" s="31" t="n">
        <v>675.6</v>
      </c>
      <c r="H337" s="31" t="n">
        <v>-1.7</v>
      </c>
      <c r="I337" s="31" t="n">
        <v>178763</v>
      </c>
      <c r="J337" s="31" t="inlineStr">
        <is>
          <t>544222</t>
        </is>
      </c>
    </row>
    <row r="338">
      <c r="A338" s="31" t="inlineStr">
        <is>
          <t>NRL</t>
        </is>
      </c>
      <c r="B338" s="31" t="inlineStr">
        <is>
          <t>Nupur Recyclers Ltd</t>
        </is>
      </c>
      <c r="C338" s="31" t="inlineStr">
        <is>
          <t>services</t>
        </is>
      </c>
      <c r="D338" s="31" t="inlineStr">
        <is>
          <t>trading</t>
        </is>
      </c>
      <c r="E338" s="31" t="inlineStr">
        <is>
          <t>smallcap</t>
        </is>
      </c>
      <c r="F338" s="31" t="n">
        <v>725.22</v>
      </c>
      <c r="G338" s="31" t="n">
        <v>103.1</v>
      </c>
      <c r="H338" s="31" t="n">
        <v>-1.81</v>
      </c>
      <c r="I338" s="31" t="n">
        <v>64455</v>
      </c>
      <c r="J338" s="31" t="inlineStr">
        <is>
          <t>535413</t>
        </is>
      </c>
    </row>
    <row r="339">
      <c r="A339" s="31" t="inlineStr">
        <is>
          <t>SKMEGGPROD</t>
        </is>
      </c>
      <c r="B339" s="31" t="inlineStr">
        <is>
          <t>Skm Egg Products Export (india) Limited</t>
        </is>
      </c>
      <c r="C339" s="31" t="inlineStr">
        <is>
          <t>fmcg</t>
        </is>
      </c>
      <c r="D339" s="31" t="inlineStr">
        <is>
          <t>food - processing - indian</t>
        </is>
      </c>
      <c r="E339" s="31" t="inlineStr">
        <is>
          <t>smallcap</t>
        </is>
      </c>
      <c r="F339" s="31" t="n">
        <v>1710.13</v>
      </c>
      <c r="G339" s="31" t="n">
        <v>318.8</v>
      </c>
      <c r="H339" s="31" t="n">
        <v>-1.83</v>
      </c>
      <c r="I339" s="31" t="n">
        <v>363976</v>
      </c>
      <c r="J339" s="31" t="inlineStr">
        <is>
          <t>532143</t>
        </is>
      </c>
    </row>
    <row r="340">
      <c r="A340" s="31" t="inlineStr">
        <is>
          <t>SVLL</t>
        </is>
      </c>
      <c r="B340" s="31" t="inlineStr">
        <is>
          <t>Shree Vasu Logistics Ltd</t>
        </is>
      </c>
      <c r="C340" s="31" t="inlineStr">
        <is>
          <t>transportation</t>
        </is>
      </c>
      <c r="D340" s="31" t="inlineStr">
        <is>
          <t>miscellaneous</t>
        </is>
      </c>
      <c r="E340" s="31" t="inlineStr">
        <is>
          <t>smallcap</t>
        </is>
      </c>
      <c r="F340" s="31" t="n">
        <v>887.54</v>
      </c>
      <c r="G340" s="31" t="n">
        <v>758</v>
      </c>
      <c r="H340" s="31" t="n">
        <v>-1.84</v>
      </c>
      <c r="I340" s="31" t="n">
        <v>702</v>
      </c>
      <c r="J340" s="31" t="inlineStr">
        <is>
          <t>535084</t>
        </is>
      </c>
    </row>
    <row r="341">
      <c r="A341" s="31" t="inlineStr">
        <is>
          <t>HUHTAMAKI</t>
        </is>
      </c>
      <c r="B341" s="31" t="inlineStr">
        <is>
          <t>Huhtamaki India Ltd</t>
        </is>
      </c>
      <c r="C341" s="31" t="inlineStr">
        <is>
          <t>industrials</t>
        </is>
      </c>
      <c r="D341" s="31" t="inlineStr">
        <is>
          <t>packaging</t>
        </is>
      </c>
      <c r="E341" s="31" t="inlineStr">
        <is>
          <t>smallcap</t>
        </is>
      </c>
      <c r="F341" s="31" t="n">
        <v>2406.73</v>
      </c>
      <c r="G341" s="31" t="n">
        <v>312.61</v>
      </c>
      <c r="H341" s="31" t="n">
        <v>-1.9</v>
      </c>
      <c r="I341" s="31" t="n">
        <v>3886901</v>
      </c>
      <c r="J341" s="31" t="inlineStr">
        <is>
          <t>509820</t>
        </is>
      </c>
    </row>
    <row r="342">
      <c r="A342" s="31" t="inlineStr">
        <is>
          <t>ANTELOPUS</t>
        </is>
      </c>
      <c r="B342" s="31" t="inlineStr">
        <is>
          <t>Antelopus Selan Energy Ltd</t>
        </is>
      </c>
      <c r="C342" s="31" t="inlineStr">
        <is>
          <t>energy</t>
        </is>
      </c>
      <c r="D342" s="31" t="inlineStr">
        <is>
          <t>oil drilling / allied services</t>
        </is>
      </c>
      <c r="E342" s="31" t="inlineStr">
        <is>
          <t>smallcap</t>
        </is>
      </c>
      <c r="F342" s="31" t="n">
        <v>3145.1</v>
      </c>
      <c r="G342" s="31" t="n">
        <v>875.55</v>
      </c>
      <c r="H342" s="31" t="n">
        <v>-2.11</v>
      </c>
      <c r="I342" s="31" t="n">
        <v>138813</v>
      </c>
      <c r="J342" s="31" t="inlineStr">
        <is>
          <t>530075</t>
        </is>
      </c>
    </row>
    <row r="343">
      <c r="A343" s="31" t="inlineStr">
        <is>
          <t>PANAMAPET</t>
        </is>
      </c>
      <c r="B343" s="31" t="inlineStr">
        <is>
          <t>Panama Petrochem Limited</t>
        </is>
      </c>
      <c r="C343" s="31" t="inlineStr">
        <is>
          <t>energy</t>
        </is>
      </c>
      <c r="D343" s="31" t="inlineStr">
        <is>
          <t>petrochemicals</t>
        </is>
      </c>
      <c r="E343" s="31" t="inlineStr">
        <is>
          <t>smallcap</t>
        </is>
      </c>
      <c r="F343" s="31" t="n">
        <v>3014.09</v>
      </c>
      <c r="G343" s="31" t="n">
        <v>487.1</v>
      </c>
      <c r="H343" s="31" t="n">
        <v>-2.24</v>
      </c>
      <c r="I343" s="31" t="n">
        <v>234411</v>
      </c>
      <c r="J343" s="31" t="inlineStr">
        <is>
          <t>524820</t>
        </is>
      </c>
    </row>
    <row r="344">
      <c r="A344" s="31" t="inlineStr">
        <is>
          <t>SREEL</t>
        </is>
      </c>
      <c r="B344" s="31" t="inlineStr">
        <is>
          <t>Sreeleathers Limited</t>
        </is>
      </c>
      <c r="C344" s="31" t="inlineStr">
        <is>
          <t>consumer discretionary</t>
        </is>
      </c>
      <c r="D344" s="31" t="inlineStr">
        <is>
          <t>trading</t>
        </is>
      </c>
      <c r="E344" s="31" t="inlineStr">
        <is>
          <t>smallcap</t>
        </is>
      </c>
      <c r="F344" s="31" t="n">
        <v>527.86</v>
      </c>
      <c r="G344" s="31" t="n">
        <v>222.71</v>
      </c>
      <c r="H344" s="31" t="n">
        <v>-2.31</v>
      </c>
      <c r="I344" s="31" t="n">
        <v>8964</v>
      </c>
      <c r="J344" s="31" t="inlineStr">
        <is>
          <t>535601</t>
        </is>
      </c>
    </row>
    <row r="345">
      <c r="A345" s="31" t="inlineStr">
        <is>
          <t>RUBYMILLS</t>
        </is>
      </c>
      <c r="B345" s="31" t="inlineStr">
        <is>
          <t>The Ruby Mills Limited</t>
        </is>
      </c>
      <c r="C345" s="31" t="inlineStr">
        <is>
          <t>textiles</t>
        </is>
      </c>
      <c r="D345" s="31" t="inlineStr">
        <is>
          <t>textiles - composite</t>
        </is>
      </c>
      <c r="E345" s="31" t="inlineStr">
        <is>
          <t>smallcap</t>
        </is>
      </c>
      <c r="F345" s="31" t="n">
        <v>1362.18</v>
      </c>
      <c r="G345" s="31" t="n">
        <v>397.55</v>
      </c>
      <c r="H345" s="31" t="n">
        <v>-2.41</v>
      </c>
      <c r="I345" s="31" t="n">
        <v>13332</v>
      </c>
      <c r="J345" s="31" t="inlineStr">
        <is>
          <t>503169</t>
        </is>
      </c>
    </row>
    <row r="346">
      <c r="A346" s="31" t="inlineStr">
        <is>
          <t>SATIN</t>
        </is>
      </c>
      <c r="B346" s="31" t="inlineStr">
        <is>
          <t>Satin Creditcare Network Limited</t>
        </is>
      </c>
      <c r="C346" s="31" t="inlineStr">
        <is>
          <t>financials</t>
        </is>
      </c>
      <c r="D346" s="31" t="inlineStr">
        <is>
          <t>finance &amp; investments</t>
        </is>
      </c>
      <c r="E346" s="31" t="inlineStr">
        <is>
          <t>smallcap</t>
        </is>
      </c>
      <c r="F346" s="31" t="n">
        <v>2970.23</v>
      </c>
      <c r="G346" s="31" t="n">
        <v>261.51</v>
      </c>
      <c r="H346" s="31" t="n">
        <v>-2.74</v>
      </c>
      <c r="I346" s="31" t="n">
        <v>864860</v>
      </c>
      <c r="J346" s="31" t="inlineStr">
        <is>
          <t>539404</t>
        </is>
      </c>
    </row>
    <row r="347">
      <c r="A347" s="31" t="inlineStr">
        <is>
          <t>MPSLTD</t>
        </is>
      </c>
      <c r="B347" s="31" t="inlineStr">
        <is>
          <t>Mps Limited</t>
        </is>
      </c>
      <c r="C347" s="31" t="inlineStr">
        <is>
          <t>i.t</t>
        </is>
      </c>
      <c r="D347" s="31" t="inlineStr">
        <is>
          <t>computers - software - medium / small</t>
        </is>
      </c>
      <c r="E347" s="31" t="inlineStr">
        <is>
          <t>smallcap</t>
        </is>
      </c>
      <c r="F347" s="31" t="n">
        <v>4737.8</v>
      </c>
      <c r="G347" s="31" t="n">
        <v>2687.1</v>
      </c>
      <c r="H347" s="31" t="n">
        <v>-2.98</v>
      </c>
      <c r="I347" s="31" t="n">
        <v>138352</v>
      </c>
      <c r="J347" s="31" t="inlineStr">
        <is>
          <t>532440</t>
        </is>
      </c>
    </row>
    <row r="348">
      <c r="A348" s="31" t="inlineStr">
        <is>
          <t>NUVAMA</t>
        </is>
      </c>
      <c r="B348" s="31" t="inlineStr">
        <is>
          <t>Nuvama Wealth Management Ltd</t>
        </is>
      </c>
      <c r="C348" s="31" t="inlineStr">
        <is>
          <t>financials</t>
        </is>
      </c>
      <c r="D348" s="31" t="inlineStr">
        <is>
          <t>finance &amp; investments</t>
        </is>
      </c>
      <c r="E348" s="31" t="inlineStr">
        <is>
          <t>largecap</t>
        </is>
      </c>
      <c r="F348" s="31" t="n">
        <v>36142.53</v>
      </c>
      <c r="G348" s="31" t="n">
        <v>1916.6</v>
      </c>
      <c r="H348" s="31" t="n">
        <v>-3.21</v>
      </c>
      <c r="I348" s="31" t="n">
        <v>475623</v>
      </c>
      <c r="J348" s="31" t="inlineStr">
        <is>
          <t>543988</t>
        </is>
      </c>
    </row>
    <row r="349">
      <c r="A349" s="31" t="inlineStr">
        <is>
          <t>SPECTRUM</t>
        </is>
      </c>
      <c r="B349" s="31" t="inlineStr">
        <is>
          <t>Spectrum Electrical Industries Ltd</t>
        </is>
      </c>
      <c r="C349" s="31" t="inlineStr">
        <is>
          <t>industrials</t>
        </is>
      </c>
      <c r="D349" s="31" t="inlineStr">
        <is>
          <t>electric equipment</t>
        </is>
      </c>
      <c r="E349" s="31" t="inlineStr">
        <is>
          <t>smallcap</t>
        </is>
      </c>
      <c r="F349" s="31" t="n">
        <v>3585.27</v>
      </c>
      <c r="G349" s="31" t="n">
        <v>2203.1</v>
      </c>
      <c r="H349" s="31" t="n">
        <v>-3.44</v>
      </c>
      <c r="I349" s="31" t="n">
        <v>16799</v>
      </c>
      <c r="J349" s="31" t="inlineStr">
        <is>
          <t>535112</t>
        </is>
      </c>
    </row>
    <row r="350">
      <c r="A350" s="31" t="inlineStr">
        <is>
          <t>EXIDEIND</t>
        </is>
      </c>
      <c r="B350" s="31" t="inlineStr">
        <is>
          <t>Exide Industries Limited</t>
        </is>
      </c>
      <c r="C350" s="31" t="inlineStr">
        <is>
          <t>auto</t>
        </is>
      </c>
      <c r="D350" s="31" t="inlineStr">
        <is>
          <t>auto ancillaries</t>
        </is>
      </c>
      <c r="E350" s="31" t="inlineStr">
        <is>
          <t>largecap</t>
        </is>
      </c>
      <c r="F350" s="31" t="n">
        <v>37655</v>
      </c>
      <c r="G350" s="31" t="n">
        <v>427</v>
      </c>
      <c r="H350" s="31" t="n">
        <v>-3.61</v>
      </c>
      <c r="I350" s="31" t="n">
        <v>5848999</v>
      </c>
      <c r="J350" s="31" t="inlineStr">
        <is>
          <t>500086</t>
        </is>
      </c>
    </row>
    <row r="351">
      <c r="A351" s="31" t="inlineStr">
        <is>
          <t>SPECIALITY</t>
        </is>
      </c>
      <c r="B351" s="31" t="inlineStr">
        <is>
          <t>Speciality Restaurants Limited</t>
        </is>
      </c>
      <c r="C351" s="31" t="inlineStr">
        <is>
          <t>services</t>
        </is>
      </c>
      <c r="D351" s="31" t="inlineStr">
        <is>
          <t>hotels</t>
        </is>
      </c>
      <c r="E351" s="31" t="inlineStr">
        <is>
          <t>smallcap</t>
        </is>
      </c>
      <c r="F351" s="31" t="n">
        <v>664.35</v>
      </c>
      <c r="G351" s="31" t="n">
        <v>132.03</v>
      </c>
      <c r="H351" s="31" t="n">
        <v>-4.14</v>
      </c>
      <c r="I351" s="31" t="n">
        <v>60151</v>
      </c>
      <c r="J351" s="31" t="inlineStr">
        <is>
          <t>534425</t>
        </is>
      </c>
    </row>
    <row r="352">
      <c r="A352" s="31" t="inlineStr">
        <is>
          <t>AEGISLOG</t>
        </is>
      </c>
      <c r="B352" s="31" t="inlineStr">
        <is>
          <t>Aegis Logistics Ltd</t>
        </is>
      </c>
      <c r="C352" s="31" t="inlineStr">
        <is>
          <t>services</t>
        </is>
      </c>
      <c r="D352" s="31" t="inlineStr">
        <is>
          <t>trading</t>
        </is>
      </c>
      <c r="E352" s="31" t="inlineStr">
        <is>
          <t>largecap</t>
        </is>
      </c>
      <c r="F352" s="31" t="n">
        <v>47370.96</v>
      </c>
      <c r="G352" s="31" t="n">
        <v>1291.3</v>
      </c>
      <c r="H352" s="31" t="n">
        <v>-4.32</v>
      </c>
      <c r="I352" s="31" t="n">
        <v>1130343</v>
      </c>
      <c r="J352" s="31" t="inlineStr">
        <is>
          <t>500003</t>
        </is>
      </c>
    </row>
    <row r="353">
      <c r="A353" s="31" t="inlineStr">
        <is>
          <t>BHAGERIA</t>
        </is>
      </c>
      <c r="B353" s="31" t="inlineStr">
        <is>
          <t>Bhageria Industries Limited</t>
        </is>
      </c>
      <c r="C353" s="31" t="inlineStr">
        <is>
          <t>chemicals</t>
        </is>
      </c>
      <c r="D353" s="31" t="inlineStr">
        <is>
          <t>dyes and pigments</t>
        </is>
      </c>
      <c r="E353" s="31" t="inlineStr">
        <is>
          <t>smallcap</t>
        </is>
      </c>
      <c r="F353" s="31" t="n">
        <v>999.36</v>
      </c>
      <c r="G353" s="31" t="n">
        <v>218.11</v>
      </c>
      <c r="H353" s="31" t="n">
        <v>-4.75</v>
      </c>
      <c r="I353" s="31" t="n">
        <v>58952</v>
      </c>
      <c r="J353" s="31" t="inlineStr">
        <is>
          <t>530803</t>
        </is>
      </c>
    </row>
    <row r="354">
      <c r="A354" s="31" t="inlineStr">
        <is>
          <t>EMAMIPAP</t>
        </is>
      </c>
      <c r="B354" s="31" t="inlineStr">
        <is>
          <t>Emami Paper Mills Ltd</t>
        </is>
      </c>
      <c r="C354" s="31" t="inlineStr">
        <is>
          <t>building materials</t>
        </is>
      </c>
      <c r="D354" s="31" t="inlineStr">
        <is>
          <t>paper</t>
        </is>
      </c>
      <c r="E354" s="31" t="inlineStr">
        <is>
          <t>smallcap</t>
        </is>
      </c>
      <c r="F354" s="31" t="n">
        <v>714.98</v>
      </c>
      <c r="G354" s="31" t="n">
        <v>112.28</v>
      </c>
      <c r="H354" s="31" t="n">
        <v>-4.99</v>
      </c>
      <c r="I354" s="31" t="n">
        <v>71198</v>
      </c>
      <c r="J354" s="31" t="inlineStr">
        <is>
          <t>533208</t>
        </is>
      </c>
    </row>
    <row r="355">
      <c r="A355" s="31" t="inlineStr">
        <is>
          <t>NRAIL</t>
        </is>
      </c>
      <c r="B355" s="31" t="inlineStr">
        <is>
          <t>N R Agarwal Industries Ltd</t>
        </is>
      </c>
      <c r="C355" s="31" t="inlineStr">
        <is>
          <t>building materials</t>
        </is>
      </c>
      <c r="D355" s="31" t="inlineStr">
        <is>
          <t>paper</t>
        </is>
      </c>
      <c r="E355" s="31" t="inlineStr">
        <is>
          <t>smallcap</t>
        </is>
      </c>
      <c r="F355" s="31" t="n">
        <v>866.1900000000001</v>
      </c>
      <c r="G355" s="31" t="n">
        <v>478.6</v>
      </c>
      <c r="H355" s="31" t="n">
        <v>-5.96</v>
      </c>
      <c r="I355" s="31" t="n">
        <v>30020</v>
      </c>
      <c r="J355" s="31" t="inlineStr">
        <is>
          <t>516082</t>
        </is>
      </c>
    </row>
    <row r="356">
      <c r="A356" s="31" t="inlineStr">
        <is>
          <t>BEPL</t>
        </is>
      </c>
      <c r="B356" s="31" t="inlineStr">
        <is>
          <t>Bhansali Engineering Polymers Limited</t>
        </is>
      </c>
      <c r="C356" s="31" t="inlineStr">
        <is>
          <t>energy</t>
        </is>
      </c>
      <c r="D356" s="31" t="inlineStr">
        <is>
          <t>petrochemicals</t>
        </is>
      </c>
      <c r="E356" s="31" t="inlineStr">
        <is>
          <t>smallcap</t>
        </is>
      </c>
      <c r="F356" s="31" t="n">
        <v>3031.34</v>
      </c>
      <c r="G356" s="31" t="n">
        <v>114.51</v>
      </c>
      <c r="H356" s="31" t="n">
        <v>-5.99</v>
      </c>
      <c r="I356" s="31" t="n">
        <v>4964378</v>
      </c>
      <c r="J356" s="31" t="inlineStr">
        <is>
          <t>500052</t>
        </is>
      </c>
    </row>
    <row r="357">
      <c r="A357" s="31" t="inlineStr">
        <is>
          <t>PREMIERPOL</t>
        </is>
      </c>
      <c r="B357" s="31" t="inlineStr">
        <is>
          <t>Premier Polyfilm Limited</t>
        </is>
      </c>
      <c r="C357" s="31" t="inlineStr">
        <is>
          <t>plastic products</t>
        </is>
      </c>
      <c r="D357" s="31" t="inlineStr">
        <is>
          <t>plastics products</t>
        </is>
      </c>
      <c r="E357" s="31" t="inlineStr">
        <is>
          <t>smallcap</t>
        </is>
      </c>
      <c r="F357" s="31" t="n">
        <v>830.61</v>
      </c>
      <c r="G357" s="31" t="n">
        <v>74.48</v>
      </c>
      <c r="H357" s="31" t="n">
        <v>-6.08</v>
      </c>
      <c r="I357" s="31" t="n">
        <v>328951</v>
      </c>
      <c r="J357" s="31" t="inlineStr">
        <is>
          <t>514354</t>
        </is>
      </c>
    </row>
    <row r="358">
      <c r="A358" s="31" t="inlineStr">
        <is>
          <t>GANDHAR</t>
        </is>
      </c>
      <c r="B358" s="31" t="inlineStr">
        <is>
          <t>Gandhar Oil Refinery (India) Ltd</t>
        </is>
      </c>
      <c r="C358" s="31" t="inlineStr">
        <is>
          <t>energy</t>
        </is>
      </c>
      <c r="D358" s="31" t="inlineStr">
        <is>
          <t>refineries</t>
        </is>
      </c>
      <c r="E358" s="31" t="inlineStr">
        <is>
          <t>smallcap</t>
        </is>
      </c>
      <c r="F358" s="31" t="n">
        <v>2764.71</v>
      </c>
      <c r="G358" s="31" t="n">
        <v>245.47</v>
      </c>
      <c r="H358" s="31" t="n">
        <v>-13.1</v>
      </c>
      <c r="I358" s="31" t="n">
        <v>20541880</v>
      </c>
      <c r="J358" s="31" t="inlineStr">
        <is>
          <t>544029</t>
        </is>
      </c>
    </row>
  </sheetData>
  <autoFilter ref="A1:J3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APCOTEXIND</t>
        </is>
      </c>
      <c r="E2" s="31" t="inlineStr">
        <is>
          <t>Apcotex Industries Limited</t>
        </is>
      </c>
      <c r="F2" s="31" t="inlineStr">
        <is>
          <t>Rubber Processing/Rubber Products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16</v>
      </c>
      <c r="K2" s="31" t="n">
        <v>25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E2E</t>
        </is>
      </c>
      <c r="E3" s="31" t="inlineStr">
        <is>
          <t>E2E Networks Ltd</t>
        </is>
      </c>
      <c r="F3" s="31" t="inlineStr">
        <is>
          <t>Data Centre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28</v>
      </c>
      <c r="K3" s="31" t="n">
        <v>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TFCILTD</t>
        </is>
      </c>
      <c r="E4" s="31" t="inlineStr">
        <is>
          <t>Tourism Finance Corporation Of India Limited</t>
        </is>
      </c>
      <c r="F4" s="31" t="inlineStr">
        <is>
          <t>Finance - PSU Lending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24</v>
      </c>
      <c r="K4" s="31" t="n">
        <v>14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SJS</t>
        </is>
      </c>
      <c r="E5" s="31" t="inlineStr">
        <is>
          <t>S J S Enterprises Ltd</t>
        </is>
      </c>
      <c r="F5" s="31" t="inlineStr">
        <is>
          <t>Auto Ancillaries - Diversified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THANGAMAYL</t>
        </is>
      </c>
      <c r="E6" s="31" t="inlineStr">
        <is>
          <t>Thangamayil Jewellery Limited</t>
        </is>
      </c>
      <c r="F6" s="31" t="inlineStr">
        <is>
          <t>Diamond, Gems &amp; Jewellery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24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KRISHANA</t>
        </is>
      </c>
      <c r="E7" s="31" t="inlineStr">
        <is>
          <t>Krishana Phoschem Ltd</t>
        </is>
      </c>
      <c r="F7" s="31" t="inlineStr">
        <is>
          <t>Fertilisers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24</v>
      </c>
      <c r="K7" s="31" t="n">
        <v>14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LAURUSLABS</t>
        </is>
      </c>
      <c r="E8" s="31" t="inlineStr">
        <is>
          <t>Laurus Labs Limited</t>
        </is>
      </c>
      <c r="F8" s="31" t="inlineStr">
        <is>
          <t>Pharma - API &amp; CRAMS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22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DIACABS</t>
        </is>
      </c>
      <c r="E9" s="31" t="inlineStr">
        <is>
          <t>Diamond Power Infrastructure Ltd</t>
        </is>
      </c>
      <c r="F9" s="31" t="inlineStr">
        <is>
          <t>Cables - Power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22</v>
      </c>
      <c r="K9" s="31" t="n">
        <v>28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LLOYDSME</t>
        </is>
      </c>
      <c r="E10" s="31" t="inlineStr">
        <is>
          <t>Lloyds Metals &amp; Energy Ltd</t>
        </is>
      </c>
      <c r="F10" s="31" t="inlineStr">
        <is>
          <t>Mining/Minerals - Iron Ore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20</v>
      </c>
      <c r="K10" s="31" t="n">
        <v>16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CREDITACC</t>
        </is>
      </c>
      <c r="E11" s="31" t="inlineStr">
        <is>
          <t>CreditAccess Grameen Ltd</t>
        </is>
      </c>
      <c r="F11" s="31" t="inlineStr">
        <is>
          <t>Finance &amp; Investments - Microfinance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23</v>
      </c>
      <c r="K11" s="31" t="n">
        <v>17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TMB</t>
        </is>
      </c>
      <c r="E12" s="31" t="inlineStr">
        <is>
          <t>Tamilnad Mercantile Bank Ltd</t>
        </is>
      </c>
      <c r="F12" s="31" t="inlineStr">
        <is>
          <t>Banks - Private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22</v>
      </c>
      <c r="K12" s="31" t="n">
        <v>25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KTKBANK</t>
        </is>
      </c>
      <c r="E13" s="31" t="inlineStr">
        <is>
          <t>The Karnataka Bank Limited</t>
        </is>
      </c>
      <c r="F13" s="31" t="inlineStr">
        <is>
          <t>Banks - Private</t>
        </is>
      </c>
      <c r="G13" s="31" t="n">
        <v>2</v>
      </c>
      <c r="H13" s="31" t="inlineStr">
        <is>
          <t>52W Breakout</t>
        </is>
      </c>
      <c r="I13" s="31" t="inlineStr">
        <is>
          <t>Yes</t>
        </is>
      </c>
      <c r="J13" s="31" t="n">
        <v>9</v>
      </c>
      <c r="K13" s="31" t="n">
        <v>18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IBULLSLTD</t>
        </is>
      </c>
      <c r="E14" s="31" t="inlineStr">
        <is>
          <t>Indiabulls Limited</t>
        </is>
      </c>
      <c r="F14" s="31" t="inlineStr">
        <is>
          <t>Diversified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24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SATIN</t>
        </is>
      </c>
      <c r="E15" s="31" t="inlineStr">
        <is>
          <t>Satin Creditcare Network Limited</t>
        </is>
      </c>
      <c r="F15" s="31" t="inlineStr">
        <is>
          <t>Finance &amp; Investments - Microfinance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19</v>
      </c>
      <c r="K15" s="31" t="n">
        <v>26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AURUM</t>
        </is>
      </c>
      <c r="E16" s="31" t="inlineStr">
        <is>
          <t>Aurum Proptech Ltd</t>
        </is>
      </c>
      <c r="F16" s="31" t="inlineStr">
        <is>
          <t>IT Enabled Services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24</v>
      </c>
      <c r="K16" s="31" t="n">
        <v>23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ALLDIGI</t>
        </is>
      </c>
      <c r="E17" s="31" t="inlineStr">
        <is>
          <t>Alldigi Tech Ltd</t>
        </is>
      </c>
      <c r="F17" s="31" t="inlineStr">
        <is>
          <t>IT Enabled Services</t>
        </is>
      </c>
      <c r="G17" s="31" t="n">
        <v>2</v>
      </c>
      <c r="H17" s="31" t="inlineStr">
        <is>
          <t>EMA Crossover</t>
        </is>
      </c>
      <c r="I17" s="31" t="inlineStr">
        <is>
          <t>Yes</t>
        </is>
      </c>
      <c r="J17" s="31" t="n">
        <v>5</v>
      </c>
      <c r="K17" s="31" t="n">
        <v>1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JSFB</t>
        </is>
      </c>
      <c r="E18" s="31" t="inlineStr">
        <is>
          <t>Jana Small Finance Bank Ltd</t>
        </is>
      </c>
      <c r="F18" s="31" t="inlineStr">
        <is>
          <t>Banks - Small Finance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18</v>
      </c>
      <c r="K18" s="31" t="n">
        <v>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INDIAGLYCO</t>
        </is>
      </c>
      <c r="E19" s="31" t="inlineStr">
        <is>
          <t>India Glycols Limited</t>
        </is>
      </c>
      <c r="F19" s="31" t="inlineStr">
        <is>
          <t>Alcoholic Beverages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20</v>
      </c>
      <c r="K19" s="31" t="n">
        <v>7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TINNARUBR</t>
        </is>
      </c>
      <c r="E20" s="31" t="inlineStr">
        <is>
          <t>Tinna Rubber &amp; Infrastructure Ltd</t>
        </is>
      </c>
      <c r="F20" s="31" t="inlineStr">
        <is>
          <t>Rubber Processing/Rubber Products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21</v>
      </c>
      <c r="K20" s="31" t="n">
        <v>26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UJJIVANSFB</t>
        </is>
      </c>
      <c r="E21" s="31" t="inlineStr">
        <is>
          <t>Ujjivan Small Finance Bank Ltd</t>
        </is>
      </c>
      <c r="F21" s="31" t="inlineStr">
        <is>
          <t>Banks - Small Finance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25</v>
      </c>
      <c r="K21" s="31" t="n">
        <v>14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HUHTAMAKI</t>
        </is>
      </c>
      <c r="E22" s="31" t="inlineStr">
        <is>
          <t>Huhtamaki India Ltd</t>
        </is>
      </c>
      <c r="F22" s="31" t="inlineStr">
        <is>
          <t>Packaging - FMCG/Consumers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29</v>
      </c>
      <c r="K22" s="31" t="n">
        <v>6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PAISALO</t>
        </is>
      </c>
      <c r="E23" s="31" t="inlineStr">
        <is>
          <t>Paisalo Digital Ltd</t>
        </is>
      </c>
      <c r="F23" s="31" t="inlineStr">
        <is>
          <t>Finance - Capital Markets - Brokers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19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RPEL</t>
        </is>
      </c>
      <c r="E24" s="31" t="inlineStr">
        <is>
          <t>Raghav Productivity Enhancers Ltd</t>
        </is>
      </c>
      <c r="F24" s="31" t="inlineStr">
        <is>
          <t>Steel Products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20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RPTECH</t>
        </is>
      </c>
      <c r="E25" s="31" t="inlineStr">
        <is>
          <t>Rashi Peripherals Ltd</t>
        </is>
      </c>
      <c r="F25" s="31" t="inlineStr">
        <is>
          <t>Trading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28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MENONBE</t>
        </is>
      </c>
      <c r="E26" s="31" t="inlineStr">
        <is>
          <t>Menon Bearings Limited</t>
        </is>
      </c>
      <c r="F26" s="31" t="inlineStr">
        <is>
          <t>Auto Ancillaries - Bearings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21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MONARCH</t>
        </is>
      </c>
      <c r="E27" s="31" t="inlineStr">
        <is>
          <t>Monarch Networth Capital Ltd</t>
        </is>
      </c>
      <c r="F27" s="31" t="inlineStr">
        <is>
          <t>Finance - Capital Markets - Brokers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23</v>
      </c>
      <c r="K27" s="31" t="n">
        <v>26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ADOR</t>
        </is>
      </c>
      <c r="E28" s="31" t="inlineStr">
        <is>
          <t>Ador Welding Ltd</t>
        </is>
      </c>
      <c r="F28" s="31" t="inlineStr">
        <is>
          <t>Welding Equipments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22</v>
      </c>
      <c r="K28" s="31" t="n">
        <v>29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EMCURE</t>
        </is>
      </c>
      <c r="E29" s="31" t="inlineStr">
        <is>
          <t>Emcure Pharmaceuticals Ltd</t>
        </is>
      </c>
      <c r="F29" s="31" t="inlineStr">
        <is>
          <t>Pharma - Formulators</t>
        </is>
      </c>
      <c r="G29" s="31" t="n">
        <v>2</v>
      </c>
      <c r="H29" s="31" t="inlineStr">
        <is>
          <t>52W Breakout</t>
        </is>
      </c>
      <c r="I29" s="31" t="inlineStr">
        <is>
          <t>Yes</t>
        </is>
      </c>
      <c r="J29" s="31" t="n">
        <v>13</v>
      </c>
      <c r="K29" s="31" t="n">
        <v>21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SPECTRUM</t>
        </is>
      </c>
      <c r="E30" s="31" t="inlineStr">
        <is>
          <t>Spectrum Electrical Industries Ltd</t>
        </is>
      </c>
      <c r="F30" s="31" t="inlineStr">
        <is>
          <t>Capital Goods - Electric General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18</v>
      </c>
      <c r="K30" s="31" t="n">
        <v>30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GNA</t>
        </is>
      </c>
      <c r="E31" s="31" t="inlineStr">
        <is>
          <t>Gna Axles Limited</t>
        </is>
      </c>
      <c r="F31" s="31" t="inlineStr">
        <is>
          <t>Auto &amp; Auto Ancl - CV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19</v>
      </c>
      <c r="K31" s="31" t="n">
        <v>16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BAJAJ-AUTO</t>
        </is>
      </c>
      <c r="E32" s="31" t="inlineStr">
        <is>
          <t>Bajaj Auto Limited</t>
        </is>
      </c>
      <c r="F32" s="31" t="inlineStr">
        <is>
          <t>Auto - 2 &amp; 3 Wheelers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20</v>
      </c>
      <c r="K32" s="31" t="n">
        <v>6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BHEL</t>
        </is>
      </c>
      <c r="E33" s="31" t="inlineStr">
        <is>
          <t>Bharat Heavy Electricals Limited</t>
        </is>
      </c>
      <c r="F33" s="31" t="inlineStr">
        <is>
          <t>Capital Goods - Engineering Heavy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21</v>
      </c>
      <c r="K33" s="31" t="n">
        <v>15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THYROCARE</t>
        </is>
      </c>
      <c r="E34" s="31" t="inlineStr">
        <is>
          <t>Thyrocare Technologies Limited</t>
        </is>
      </c>
      <c r="F34" s="31" t="inlineStr">
        <is>
          <t>Diagnostics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26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CGCL</t>
        </is>
      </c>
      <c r="E35" s="31" t="inlineStr">
        <is>
          <t>Capri Global Capital Limited</t>
        </is>
      </c>
      <c r="F35" s="31" t="inlineStr">
        <is>
          <t>Finance &amp; Investments - Gold Loan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18</v>
      </c>
      <c r="K35" s="31" t="n">
        <v>29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CUPID</t>
        </is>
      </c>
      <c r="E36" s="31" t="inlineStr">
        <is>
          <t>Cupid Limited</t>
        </is>
      </c>
      <c r="F36" s="31" t="inlineStr">
        <is>
          <t>Contraceptives/Protectives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20</v>
      </c>
      <c r="K36" s="31" t="n">
        <v>30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FEDERALBNK</t>
        </is>
      </c>
      <c r="E37" s="31" t="inlineStr">
        <is>
          <t>The Federal Bank  Limited</t>
        </is>
      </c>
      <c r="F37" s="31" t="inlineStr">
        <is>
          <t>Banks - Private</t>
        </is>
      </c>
      <c r="G37" s="31" t="n">
        <v>2</v>
      </c>
      <c r="H37" s="31" t="inlineStr">
        <is>
          <t>52W Breakout</t>
        </is>
      </c>
      <c r="I37" s="31" t="inlineStr">
        <is>
          <t>Yes</t>
        </is>
      </c>
      <c r="J37" s="31" t="n">
        <v>10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NILKAMAL</t>
        </is>
      </c>
      <c r="E38" s="31" t="inlineStr">
        <is>
          <t>Nilkamal Limited</t>
        </is>
      </c>
      <c r="F38" s="31" t="inlineStr">
        <is>
          <t>Plastics - Plastic &amp; Plastic Products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19</v>
      </c>
      <c r="K38" s="31" t="n">
        <v>5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DPABHUSHAN</t>
        </is>
      </c>
      <c r="E39" s="31" t="inlineStr">
        <is>
          <t>D.P. Abhushan Ltd</t>
        </is>
      </c>
      <c r="F39" s="31" t="inlineStr">
        <is>
          <t>Diamond, Gems &amp; Jewellery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22</v>
      </c>
      <c r="K39" s="31" t="n">
        <v>4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JKPAPER</t>
        </is>
      </c>
      <c r="E40" s="31" t="inlineStr">
        <is>
          <t>Jk Paper Limited</t>
        </is>
      </c>
      <c r="F40" s="31" t="inlineStr">
        <is>
          <t>Paper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19</v>
      </c>
      <c r="K40" s="31" t="n">
        <v>6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SSWL</t>
        </is>
      </c>
      <c r="E41" s="31" t="inlineStr">
        <is>
          <t>Steel Strips Wheels Limited</t>
        </is>
      </c>
      <c r="F41" s="31" t="inlineStr">
        <is>
          <t>Auto Ancillaries - Wheels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24</v>
      </c>
      <c r="K41" s="31" t="n">
        <v>27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KARURVYSYA</t>
        </is>
      </c>
      <c r="E42" s="31" t="inlineStr">
        <is>
          <t>Karur Vysya Bank Limited</t>
        </is>
      </c>
      <c r="F42" s="31" t="inlineStr">
        <is>
          <t>Banks - Private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24</v>
      </c>
      <c r="K42" s="31" t="n">
        <v>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SHAREINDIA</t>
        </is>
      </c>
      <c r="E43" s="31" t="inlineStr">
        <is>
          <t>Share India Securities Ltd</t>
        </is>
      </c>
      <c r="F43" s="31" t="inlineStr">
        <is>
          <t>Finance - Capital Markets - Brokers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19</v>
      </c>
      <c r="K43" s="31" t="n">
        <v>6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SENORES</t>
        </is>
      </c>
      <c r="E44" s="31" t="inlineStr">
        <is>
          <t>Senores Pharmaceuticals Ltd</t>
        </is>
      </c>
      <c r="F44" s="31" t="inlineStr">
        <is>
          <t>Pharma - API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23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NOVARTIND</t>
        </is>
      </c>
      <c r="E45" s="31" t="inlineStr">
        <is>
          <t>Novartis India Ltd</t>
        </is>
      </c>
      <c r="F45" s="31" t="inlineStr">
        <is>
          <t>Pharma - MNC bulk Drugs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17</v>
      </c>
      <c r="K45" s="31" t="n">
        <v>26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VADILALIND</t>
        </is>
      </c>
      <c r="E46" s="31" t="inlineStr">
        <is>
          <t>Vadilal Industries Limited</t>
        </is>
      </c>
      <c r="F46" s="31" t="inlineStr">
        <is>
          <t>FMCG - Dairy Products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16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FILATEX</t>
        </is>
      </c>
      <c r="E47" s="31" t="inlineStr">
        <is>
          <t>Filatex India Limited</t>
        </is>
      </c>
      <c r="F47" s="31" t="inlineStr">
        <is>
          <t>Textiles - Manmade Fibre - PFY/PSF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19</v>
      </c>
      <c r="K47" s="31" t="n">
        <v>15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MANAPPURAM</t>
        </is>
      </c>
      <c r="E48" s="31" t="inlineStr">
        <is>
          <t>Manappuram Finance Limited</t>
        </is>
      </c>
      <c r="F48" s="31" t="inlineStr">
        <is>
          <t>Finance &amp; Investments - Gold Loan</t>
        </is>
      </c>
      <c r="G48" s="31" t="n">
        <v>2</v>
      </c>
      <c r="H48" s="31" t="inlineStr">
        <is>
          <t>52W Breakout</t>
        </is>
      </c>
      <c r="I48" s="31" t="inlineStr">
        <is>
          <t>Yes</t>
        </is>
      </c>
      <c r="J48" s="31" t="n">
        <v>11</v>
      </c>
      <c r="K48" s="31" t="n">
        <v>14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CYIENTDLM</t>
        </is>
      </c>
      <c r="E49" s="31" t="inlineStr">
        <is>
          <t>Cyient DLM Ltd</t>
        </is>
      </c>
      <c r="F49" s="31" t="inlineStr">
        <is>
          <t>Consumer Electronics - EMS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21</v>
      </c>
      <c r="K49" s="31" t="n">
        <v>29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BHAGYANGR</t>
        </is>
      </c>
      <c r="E50" s="31" t="inlineStr">
        <is>
          <t>Bhagyanagar India</t>
        </is>
      </c>
      <c r="F50" s="31" t="inlineStr">
        <is>
          <t>Recycling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22</v>
      </c>
      <c r="K50" s="31" t="n">
        <v>25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RRKABEL</t>
        </is>
      </c>
      <c r="E51" s="31" t="inlineStr">
        <is>
          <t>R R Kabel Ltd</t>
        </is>
      </c>
      <c r="F51" s="31" t="inlineStr">
        <is>
          <t>Cables - Power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26</v>
      </c>
      <c r="K51" s="31" t="n">
        <v>29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MPSLTD</t>
        </is>
      </c>
      <c r="E52" s="31" t="inlineStr">
        <is>
          <t>Mps Limited</t>
        </is>
      </c>
      <c r="F52" s="31" t="inlineStr">
        <is>
          <t>E-Commerce - Platform - Utility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30</v>
      </c>
      <c r="K52" s="31" t="n">
        <v>4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SAREGAMA</t>
        </is>
      </c>
      <c r="E53" s="31" t="inlineStr">
        <is>
          <t>Saregama India Limited</t>
        </is>
      </c>
      <c r="F53" s="31" t="inlineStr">
        <is>
          <t>Music Licensing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16</v>
      </c>
      <c r="K53" s="31" t="n">
        <v>16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HAPPYFORGE</t>
        </is>
      </c>
      <c r="E54" s="31" t="inlineStr">
        <is>
          <t>Happy Forgings Ltd</t>
        </is>
      </c>
      <c r="F54" s="31" t="inlineStr">
        <is>
          <t>Castings, Forgings &amp; Fastners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13</v>
      </c>
      <c r="K54" s="31" t="n">
        <v>18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SUNPHARMA</t>
        </is>
      </c>
      <c r="E55" s="31" t="inlineStr">
        <is>
          <t>Sun Pharmaceuticals Industries Limited</t>
        </is>
      </c>
      <c r="F55" s="31" t="inlineStr">
        <is>
          <t>Pharma - Formulators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11</v>
      </c>
      <c r="K55" s="31" t="n">
        <v>16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TATVA</t>
        </is>
      </c>
      <c r="E56" s="31" t="inlineStr">
        <is>
          <t>Tatva Chintan Pharma Chem Ltd</t>
        </is>
      </c>
      <c r="F56" s="31" t="inlineStr">
        <is>
          <t>Speciality Chemicals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27</v>
      </c>
      <c r="K56" s="31" t="n">
        <v>6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SPORTKING</t>
        </is>
      </c>
      <c r="E57" s="31" t="inlineStr">
        <is>
          <t>Sportking India Ltd</t>
        </is>
      </c>
      <c r="F57" s="31" t="inlineStr">
        <is>
          <t>Textiles - Spinning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17</v>
      </c>
      <c r="K57" s="31" t="n">
        <v>23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KERNEX</t>
        </is>
      </c>
      <c r="E58" s="31" t="inlineStr">
        <is>
          <t>Kernex Microsystems (india) Limited</t>
        </is>
      </c>
      <c r="F58" s="31" t="inlineStr">
        <is>
          <t>Railways - Kavach/Springs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19</v>
      </c>
      <c r="K58" s="31" t="n">
        <v>28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KMEW</t>
        </is>
      </c>
      <c r="E59" s="31" t="inlineStr">
        <is>
          <t>Knowledge Marine &amp; Engineering Works Ltd</t>
        </is>
      </c>
      <c r="F59" s="31" t="inlineStr">
        <is>
          <t>Shipping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16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RAIN</t>
        </is>
      </c>
      <c r="E60" s="31" t="inlineStr">
        <is>
          <t>Rain Industries Limited</t>
        </is>
      </c>
      <c r="F60" s="31" t="inlineStr">
        <is>
          <t>Cement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24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KABRAEXTRU</t>
        </is>
      </c>
      <c r="E61" s="31" t="inlineStr">
        <is>
          <t>Kabra Extrusion Technik Limited</t>
        </is>
      </c>
      <c r="F61" s="31" t="inlineStr">
        <is>
          <t>Capital Goods - Engineering Heavy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8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MAHLIFE</t>
        </is>
      </c>
      <c r="E62" s="31" t="inlineStr">
        <is>
          <t>Mahindra Lifespace Developers Limited</t>
        </is>
      </c>
      <c r="F62" s="31" t="inlineStr">
        <is>
          <t>Construction &amp; Contracting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27</v>
      </c>
      <c r="K62" s="31" t="n">
        <v>14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HSCL</t>
        </is>
      </c>
      <c r="E63" s="31" t="inlineStr">
        <is>
          <t>Himadri Speciality Chemical Limited</t>
        </is>
      </c>
      <c r="F63" s="31" t="inlineStr">
        <is>
          <t>Carbon Black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18</v>
      </c>
      <c r="K63" s="31" t="n">
        <v>27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INDNIPPON</t>
        </is>
      </c>
      <c r="E64" s="31" t="inlineStr">
        <is>
          <t>India Nippon Electricals Limited</t>
        </is>
      </c>
      <c r="F64" s="31" t="inlineStr">
        <is>
          <t>Auto Ancillaries - Engine Parts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19</v>
      </c>
      <c r="K64" s="31" t="n">
        <v>28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TVSHLTD</t>
        </is>
      </c>
      <c r="E65" s="31" t="inlineStr">
        <is>
          <t>TVS Holdings Ltd</t>
        </is>
      </c>
      <c r="F65" s="31" t="inlineStr">
        <is>
          <t>Finance - Holding Company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25</v>
      </c>
      <c r="K65" s="31" t="n">
        <v>5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POONAWALLA</t>
        </is>
      </c>
      <c r="E66" s="31" t="inlineStr">
        <is>
          <t>Poonawalla Fincorp Ltd</t>
        </is>
      </c>
      <c r="F66" s="31" t="inlineStr">
        <is>
          <t>Conglomerate Backed NBFC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5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SOTL</t>
        </is>
      </c>
      <c r="E67" s="31" t="inlineStr">
        <is>
          <t>Savita Oil Technologies Limited</t>
        </is>
      </c>
      <c r="F67" s="31" t="inlineStr">
        <is>
          <t>Petrochem - Others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21</v>
      </c>
      <c r="K67" s="31" t="n">
        <v>25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SKYGOLD</t>
        </is>
      </c>
      <c r="E68" s="31" t="inlineStr">
        <is>
          <t>Sky Gold Ltd</t>
        </is>
      </c>
      <c r="F68" s="31" t="inlineStr">
        <is>
          <t>Diamond, Gems &amp; Jewellery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25</v>
      </c>
      <c r="K68" s="31" t="n">
        <v>19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JUBLINGREA</t>
        </is>
      </c>
      <c r="E69" s="31" t="inlineStr">
        <is>
          <t>Jubilant Ingrevia Ltd</t>
        </is>
      </c>
      <c r="F69" s="31" t="inlineStr">
        <is>
          <t>Pesticides/Agrochemicals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16</v>
      </c>
      <c r="K69" s="31" t="n">
        <v>6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INDOTECH</t>
        </is>
      </c>
      <c r="E70" s="31" t="inlineStr">
        <is>
          <t>Indo Tech Transformers Limited</t>
        </is>
      </c>
      <c r="F70" s="31" t="inlineStr">
        <is>
          <t>Capital Goods - Transformers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18</v>
      </c>
      <c r="K70" s="31" t="n">
        <v>23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LLOYDSENT</t>
        </is>
      </c>
      <c r="E71" s="31" t="inlineStr">
        <is>
          <t>Lloyds Enterprises Ltd</t>
        </is>
      </c>
      <c r="F71" s="31" t="inlineStr">
        <is>
          <t>Trading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18</v>
      </c>
      <c r="K71" s="31" t="n">
        <v>7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ACE</t>
        </is>
      </c>
      <c r="E72" s="31" t="inlineStr">
        <is>
          <t>Action Construction Equipment Limited</t>
        </is>
      </c>
      <c r="F72" s="31" t="inlineStr">
        <is>
          <t>Capital Goods - EPC/Cranes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17</v>
      </c>
      <c r="K72" s="31" t="n">
        <v>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ATUL</t>
        </is>
      </c>
      <c r="E73" s="31" t="inlineStr">
        <is>
          <t>Atul Limited</t>
        </is>
      </c>
      <c r="F73" s="31" t="inlineStr">
        <is>
          <t>Dyes &amp; Pigments</t>
        </is>
      </c>
      <c r="G73" s="31" t="n">
        <v>2</v>
      </c>
      <c r="H73" s="31" t="inlineStr">
        <is>
          <t>EMA Crossover</t>
        </is>
      </c>
      <c r="I73" s="31" t="inlineStr">
        <is>
          <t>Yes</t>
        </is>
      </c>
      <c r="J73" s="31" t="n">
        <v>15</v>
      </c>
      <c r="K73" s="31" t="n">
        <v>1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LODHA</t>
        </is>
      </c>
      <c r="E74" s="31" t="inlineStr">
        <is>
          <t>Lodha Developers Ltd</t>
        </is>
      </c>
      <c r="F74" s="31" t="inlineStr">
        <is>
          <t>Realty - National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21</v>
      </c>
      <c r="K74" s="31" t="n">
        <v>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RATNAVEER</t>
        </is>
      </c>
      <c r="E75" s="31" t="inlineStr">
        <is>
          <t>Ratnaveer Precision Engineering Ltd</t>
        </is>
      </c>
      <c r="F75" s="31" t="inlineStr">
        <is>
          <t>Stainless Steel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19</v>
      </c>
      <c r="K75" s="31" t="n">
        <v>11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DIVISLAB</t>
        </is>
      </c>
      <c r="E76" s="31" t="inlineStr">
        <is>
          <t>Divi's Laboratories Limited</t>
        </is>
      </c>
      <c r="F76" s="31" t="inlineStr">
        <is>
          <t>Pharma - API &amp; CRAMS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8</v>
      </c>
      <c r="K76" s="31" t="n">
        <v>11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AEGISVOPAK</t>
        </is>
      </c>
      <c r="E77" s="31" t="inlineStr">
        <is>
          <t>Aegis Vopak Terminals Ltd</t>
        </is>
      </c>
      <c r="F77" s="31" t="inlineStr">
        <is>
          <t>Miscellaneous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20</v>
      </c>
      <c r="K77" s="31" t="n">
        <v>8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KALYANKJIL</t>
        </is>
      </c>
      <c r="E78" s="31" t="inlineStr">
        <is>
          <t>Kalyan Jewellers India Ltd</t>
        </is>
      </c>
      <c r="F78" s="31" t="inlineStr">
        <is>
          <t>Diamond, Gems &amp; Jewellery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21</v>
      </c>
      <c r="K78" s="31" t="n">
        <v>6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SENCO</t>
        </is>
      </c>
      <c r="E79" s="31" t="inlineStr">
        <is>
          <t>Senco Gold Ltd</t>
        </is>
      </c>
      <c r="F79" s="31" t="inlineStr">
        <is>
          <t>Diamond, Gems &amp; Jewellery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20</v>
      </c>
      <c r="K79" s="31" t="n">
        <v>11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MAHLOG</t>
        </is>
      </c>
      <c r="E80" s="31" t="inlineStr">
        <is>
          <t>Mahindra Logistics Ltd</t>
        </is>
      </c>
      <c r="F80" s="31" t="inlineStr">
        <is>
          <t>Logistics - Warehousing/Supply Chain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18</v>
      </c>
      <c r="K80" s="31" t="n">
        <v>12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FAIRCHEMOR</t>
        </is>
      </c>
      <c r="E81" s="31" t="inlineStr">
        <is>
          <t>Fairchem Organics Ltd</t>
        </is>
      </c>
      <c r="F81" s="31" t="inlineStr">
        <is>
          <t>Chemicals - Organic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1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GANDHAR</t>
        </is>
      </c>
      <c r="E82" s="31" t="inlineStr">
        <is>
          <t>Gandhar Oil Refinery (India) Ltd</t>
        </is>
      </c>
      <c r="F82" s="31" t="inlineStr">
        <is>
          <t>Refineries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23</v>
      </c>
      <c r="K82" s="31" t="n">
        <v>23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BLSE</t>
        </is>
      </c>
      <c r="E83" s="31" t="inlineStr">
        <is>
          <t>BLS E-Services Ltd</t>
        </is>
      </c>
      <c r="F83" s="31" t="inlineStr">
        <is>
          <t>IT - Software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19</v>
      </c>
      <c r="K83" s="31" t="n">
        <v>30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PNGJL</t>
        </is>
      </c>
      <c r="E84" s="31" t="inlineStr">
        <is>
          <t>P N Gadgil Jewellers Ltd</t>
        </is>
      </c>
      <c r="F84" s="31" t="inlineStr">
        <is>
          <t>Diamond, Gems &amp; Jewellery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23</v>
      </c>
      <c r="K84" s="31" t="n">
        <v>6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MBAPL</t>
        </is>
      </c>
      <c r="E85" s="31" t="inlineStr">
        <is>
          <t>Madhya Bharat Agro Products Ltd</t>
        </is>
      </c>
      <c r="F85" s="31" t="inlineStr">
        <is>
          <t>Fertilisers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18</v>
      </c>
      <c r="K85" s="31" t="n">
        <v>20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TBZ</t>
        </is>
      </c>
      <c r="E86" s="31" t="inlineStr">
        <is>
          <t>Tribhovandas Bhimji Zaveri Limited</t>
        </is>
      </c>
      <c r="F86" s="31" t="inlineStr">
        <is>
          <t>Diamond, Gems &amp; Jewellery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21</v>
      </c>
      <c r="K86" s="31" t="n">
        <v>23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TVSMOTOR</t>
        </is>
      </c>
      <c r="E87" s="31" t="inlineStr">
        <is>
          <t>Tvs Motor Company Limited</t>
        </is>
      </c>
      <c r="F87" s="31" t="inlineStr">
        <is>
          <t>Auto - 2 &amp; 3 Wheelers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18</v>
      </c>
      <c r="K87" s="31" t="n">
        <v>8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RKFORGE</t>
        </is>
      </c>
      <c r="E88" s="31" t="inlineStr">
        <is>
          <t>Ramkrishna Forgings Limited</t>
        </is>
      </c>
      <c r="F88" s="31" t="inlineStr">
        <is>
          <t>Castings, Forgings &amp; Fastners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18</v>
      </c>
      <c r="K88" s="31" t="n">
        <v>9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RAJRATAN</t>
        </is>
      </c>
      <c r="E89" s="31" t="inlineStr">
        <is>
          <t>Rajratan Global Wire Ltd</t>
        </is>
      </c>
      <c r="F89" s="31" t="inlineStr">
        <is>
          <t>Tyres &amp; Tubes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19</v>
      </c>
      <c r="K89" s="31" t="n">
        <v>21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UNOMINDA</t>
        </is>
      </c>
      <c r="E90" s="31" t="inlineStr">
        <is>
          <t>Uno Minda Ltd</t>
        </is>
      </c>
      <c r="F90" s="31" t="inlineStr">
        <is>
          <t>Auto Ancillaries - Head lamps lights</t>
        </is>
      </c>
      <c r="G90" s="31" t="n">
        <v>2</v>
      </c>
      <c r="H90" s="31" t="inlineStr">
        <is>
          <t>EMA Crossover</t>
        </is>
      </c>
      <c r="I90" s="31" t="inlineStr">
        <is>
          <t>Yes</t>
        </is>
      </c>
      <c r="J90" s="31" t="n">
        <v>6</v>
      </c>
      <c r="K90" s="31" t="n">
        <v>5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TITAN</t>
        </is>
      </c>
      <c r="E91" s="31" t="inlineStr">
        <is>
          <t>Titan Company Limited</t>
        </is>
      </c>
      <c r="F91" s="31" t="inlineStr">
        <is>
          <t>Diamond, Gems &amp; Jewellery</t>
        </is>
      </c>
      <c r="G91" s="31" t="n">
        <v>2</v>
      </c>
      <c r="H91" s="31" t="inlineStr">
        <is>
          <t>52W Breakout</t>
        </is>
      </c>
      <c r="I91" s="31" t="inlineStr">
        <is>
          <t>Yes</t>
        </is>
      </c>
      <c r="J91" s="31" t="n">
        <v>9</v>
      </c>
      <c r="K91" s="31" t="n">
        <v>18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VRLLOG</t>
        </is>
      </c>
      <c r="E92" s="31" t="inlineStr">
        <is>
          <t>Vrl Logistics Limited</t>
        </is>
      </c>
      <c r="F92" s="31" t="inlineStr">
        <is>
          <t>Logistics - Warehousing/Supply Chain</t>
        </is>
      </c>
      <c r="G92" s="31" t="n">
        <v>2</v>
      </c>
      <c r="H92" s="31" t="inlineStr">
        <is>
          <t>EMA Crossover</t>
        </is>
      </c>
      <c r="I92" s="31" t="inlineStr">
        <is>
          <t>Yes</t>
        </is>
      </c>
      <c r="J92" s="31" t="n">
        <v>11</v>
      </c>
      <c r="K92" s="31" t="n">
        <v>1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VHLTD</t>
        </is>
      </c>
      <c r="E93" s="31" t="inlineStr">
        <is>
          <t>Viceroy Hotels Ltd</t>
        </is>
      </c>
      <c r="F93" s="31" t="inlineStr">
        <is>
          <t>Hotels</t>
        </is>
      </c>
      <c r="G93" s="31" t="n">
        <v>2</v>
      </c>
      <c r="H93" s="31" t="inlineStr">
        <is>
          <t>EMA Crossover</t>
        </is>
      </c>
      <c r="I93" s="31" t="inlineStr">
        <is>
          <t>Yes</t>
        </is>
      </c>
      <c r="J93" s="31" t="n">
        <v>1</v>
      </c>
      <c r="K93" s="31" t="n">
        <v>2</v>
      </c>
    </row>
  </sheetData>
  <autoFilter ref="A1:K93"/>
  <conditionalFormatting sqref="G2:G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0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IF(B2=0,"",RANK(B2,$B$2:$B$308,0))</f>
        <v/>
      </c>
      <c r="B2" s="32">
        <f>SUM(N2,Y2,AA2,AC2,AE2,AG2,AI2,AK2,AM2,AO2,AQ2,AS2,AU2,AW2,AY2,BA2,BC2,BE2,BG2,BI2,BK2,BM2,BO2,BQ2,BS2,BU2,BW2,BY2,CA2,CC2,CE2)</f>
        <v/>
      </c>
      <c r="C2" s="33" t="inlineStr">
        <is>
          <t>NH</t>
        </is>
      </c>
      <c r="D2" s="33" t="inlineStr">
        <is>
          <t>Narayana Hrudayalaya Ltd.</t>
        </is>
      </c>
      <c r="E2" s="31" t="inlineStr">
        <is>
          <t>healthcare</t>
        </is>
      </c>
      <c r="F2" s="31" t="inlineStr">
        <is>
          <t>healthcare</t>
        </is>
      </c>
      <c r="G2" s="31" t="inlineStr">
        <is>
          <t>largecap</t>
        </is>
      </c>
      <c r="H2" s="32" t="n">
        <v>40085.37</v>
      </c>
      <c r="I2" s="32" t="n">
        <v>2054</v>
      </c>
      <c r="J2" s="32" t="n">
        <v>4.72</v>
      </c>
      <c r="K2" s="32" t="n">
        <v>398068</v>
      </c>
      <c r="L2" s="31" t="n">
        <v>18</v>
      </c>
      <c r="M2" s="31" t="inlineStr">
        <is>
          <t>Underperforming</t>
        </is>
      </c>
      <c r="N2" s="32">
        <f>IF(M2="Underperforming",-5,IF(L2&gt;=95,15,IF(L2&gt;=90,10,IF(L2&gt;=80,5,0))))</f>
        <v/>
      </c>
      <c r="O2" s="32" t="n">
        <v>57.38</v>
      </c>
      <c r="P2" s="32" t="n">
        <v>28.06</v>
      </c>
      <c r="Q2" s="32" t="inlineStr"/>
      <c r="R2" s="31" t="inlineStr">
        <is>
          <t>Earnings / Momentum Support</t>
        </is>
      </c>
      <c r="S2" s="31" t="inlineStr">
        <is>
          <t>Nifty Pharma</t>
        </is>
      </c>
      <c r="T2" s="32" t="n">
        <v>12.73</v>
      </c>
      <c r="U2" s="32" t="n">
        <v>-1.06</v>
      </c>
      <c r="V2" s="32" t="n">
        <v>-12.23</v>
      </c>
      <c r="W2" s="32" t="n">
        <v>2.32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Yes due to Product Mix change or Operating Leverage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Between 12 to 20%</t>
        </is>
      </c>
      <c r="BO2" s="31">
        <f>IF(BN2="More than 20%",10,IF(BN2="Between 12 to 20%",5,IF(BN2="Less than 12%",0,0)))</f>
        <v/>
      </c>
      <c r="BP2" s="31" t="inlineStr">
        <is>
          <t>Yes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IF(B3=0,"",RANK(B3,$B$2:$B$308,0))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APOLLOPIPE</t>
        </is>
      </c>
      <c r="D3" s="31" t="inlineStr">
        <is>
          <t>Apollo Pipes Ltd</t>
        </is>
      </c>
      <c r="E3" s="31" t="inlineStr">
        <is>
          <t>plastic products</t>
        </is>
      </c>
      <c r="F3" s="31" t="inlineStr">
        <is>
          <t>plastics products</t>
        </is>
      </c>
      <c r="G3" s="31" t="inlineStr">
        <is>
          <t>smallcap</t>
        </is>
      </c>
      <c r="H3" s="32" t="n">
        <v>2159.68</v>
      </c>
      <c r="I3" s="32" t="n">
        <v>505.35</v>
      </c>
      <c r="J3" s="32" t="n">
        <v>3.07</v>
      </c>
      <c r="K3" s="32" t="n">
        <v>116605</v>
      </c>
      <c r="L3" s="31" t="n">
        <v>47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60.88</v>
      </c>
      <c r="P3" s="32" t="n">
        <v>46.68</v>
      </c>
      <c r="Q3" s="32" t="inlineStr"/>
      <c r="R3" s="31" t="inlineStr">
        <is>
          <t>Earnings / Momentum Support</t>
        </is>
      </c>
      <c r="S3" s="31" t="inlineStr">
        <is>
          <t>Nifty Infra</t>
        </is>
      </c>
      <c r="T3" s="32" t="n">
        <v>1.74</v>
      </c>
      <c r="U3" s="32" t="n">
        <v>18.3</v>
      </c>
      <c r="V3" s="32" t="n">
        <v>16.28</v>
      </c>
      <c r="W3" s="32" t="n">
        <v>8.4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Cyclical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IF(B4=0,"",RANK(B4,$B$2:$B$308,0))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APOLLOHOSP</t>
        </is>
      </c>
      <c r="D4" s="31" t="inlineStr">
        <is>
          <t>Apollo Hospitals Enterprise Limited</t>
        </is>
      </c>
      <c r="E4" s="31" t="inlineStr">
        <is>
          <t>healthcare</t>
        </is>
      </c>
      <c r="F4" s="31" t="inlineStr">
        <is>
          <t>healthcare</t>
        </is>
      </c>
      <c r="G4" s="31" t="inlineStr">
        <is>
          <t>largecap</t>
        </is>
      </c>
      <c r="H4" s="32" t="n">
        <v>126609.58</v>
      </c>
      <c r="I4" s="32" t="n">
        <v>8843.5</v>
      </c>
      <c r="J4" s="32" t="n">
        <v>0.43</v>
      </c>
      <c r="K4" s="32" t="n">
        <v>135186</v>
      </c>
      <c r="L4" s="31" t="n">
        <v>39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69.05</v>
      </c>
      <c r="P4" s="32" t="n">
        <v>27.77</v>
      </c>
      <c r="Q4" s="32" t="inlineStr"/>
      <c r="R4" s="31" t="inlineStr">
        <is>
          <t>Earnings / Momentum Support</t>
        </is>
      </c>
      <c r="S4" s="31" t="inlineStr">
        <is>
          <t>Nifty Pharma</t>
        </is>
      </c>
      <c r="T4" s="32" t="n">
        <v>12.73</v>
      </c>
      <c r="U4" s="32" t="n">
        <v>18.21</v>
      </c>
      <c r="V4" s="32" t="n">
        <v>4.86</v>
      </c>
      <c r="W4" s="32" t="n">
        <v>6.69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Cyclical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IF(B5=0,"",RANK(B5,$B$2:$B$308,0))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SCPL</t>
        </is>
      </c>
      <c r="D5" s="31" t="inlineStr">
        <is>
          <t>Sheetal Cool Products Ltd</t>
        </is>
      </c>
      <c r="E5" s="31" t="inlineStr">
        <is>
          <t>fmcg</t>
        </is>
      </c>
      <c r="F5" s="31" t="inlineStr">
        <is>
          <t>food - processing - indian</t>
        </is>
      </c>
      <c r="G5" s="31" t="inlineStr">
        <is>
          <t>smallcap</t>
        </is>
      </c>
      <c r="H5" s="32" t="n">
        <v>599.39</v>
      </c>
      <c r="I5" s="32" t="n">
        <v>599.3</v>
      </c>
      <c r="J5" s="32" t="n">
        <v>4.98</v>
      </c>
      <c r="K5" s="32" t="n">
        <v>37999</v>
      </c>
      <c r="L5" s="31" t="n">
        <v>86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70.64</v>
      </c>
      <c r="P5" s="32" t="n">
        <v>55.7</v>
      </c>
      <c r="Q5" s="32" t="inlineStr"/>
      <c r="R5" s="31" t="inlineStr">
        <is>
          <t>Earnings / Momentum Support</t>
        </is>
      </c>
      <c r="S5" s="31" t="inlineStr">
        <is>
          <t>Nifty FMCG</t>
        </is>
      </c>
      <c r="T5" s="32" t="n">
        <v>-13.73</v>
      </c>
      <c r="U5" s="32" t="n">
        <v>62.03</v>
      </c>
      <c r="V5" s="32" t="n">
        <v>87.81999999999999</v>
      </c>
      <c r="W5" s="32" t="n">
        <v>24.27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IF(B6=0,"",RANK(B6,$B$2:$B$308,0))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APCOTEXIND</t>
        </is>
      </c>
      <c r="D6" s="31" t="inlineStr">
        <is>
          <t>Apcotex Industries Limited</t>
        </is>
      </c>
      <c r="E6" s="31" t="inlineStr">
        <is>
          <t>chemicals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2908.76</v>
      </c>
      <c r="I6" s="32" t="n">
        <v>588.5</v>
      </c>
      <c r="J6" s="32" t="n">
        <v>4.89</v>
      </c>
      <c r="K6" s="32" t="n">
        <v>278947</v>
      </c>
      <c r="L6" s="31" t="n">
        <v>75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68.72</v>
      </c>
      <c r="P6" s="32" t="n">
        <v>57.67</v>
      </c>
      <c r="Q6" s="32" t="inlineStr"/>
      <c r="R6" s="31" t="inlineStr">
        <is>
          <t>Earnings / Momentum Support</t>
        </is>
      </c>
      <c r="S6" s="31" t="inlineStr">
        <is>
          <t>Nifty 50</t>
        </is>
      </c>
      <c r="T6" s="32" t="n">
        <v>-4.31</v>
      </c>
      <c r="U6" s="32" t="n">
        <v>44.24</v>
      </c>
      <c r="V6" s="32" t="n">
        <v>50.73</v>
      </c>
      <c r="W6" s="32" t="n">
        <v>17.85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Oligopoly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Cyclical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Fully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1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Sideways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Overhead supply in last 2 years in last 2 years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Between 50% to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IF(B7=0,"",RANK(B7,$B$2:$B$308,0))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PRICOLLTD</t>
        </is>
      </c>
      <c r="D7" s="31" t="inlineStr">
        <is>
          <t>Pricol Ltd.</t>
        </is>
      </c>
      <c r="E7" s="31" t="inlineStr">
        <is>
          <t>auto</t>
        </is>
      </c>
      <c r="F7" s="31" t="inlineStr">
        <is>
          <t>auto ancillaries</t>
        </is>
      </c>
      <c r="G7" s="31" t="inlineStr">
        <is>
          <t>midcap</t>
        </is>
      </c>
      <c r="H7" s="32" t="n">
        <v>7662.69</v>
      </c>
      <c r="I7" s="32" t="n">
        <v>665.35</v>
      </c>
      <c r="J7" s="32" t="n">
        <v>5.83</v>
      </c>
      <c r="K7" s="32" t="n">
        <v>1352331</v>
      </c>
      <c r="L7" s="31" t="n">
        <v>43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58.61</v>
      </c>
      <c r="P7" s="32" t="n">
        <v>19.9</v>
      </c>
      <c r="Q7" s="32" t="inlineStr"/>
      <c r="R7" s="31" t="inlineStr">
        <is>
          <t>Earnings / Momentum Support</t>
        </is>
      </c>
      <c r="S7" s="31" t="inlineStr">
        <is>
          <t>Nifty Auto</t>
        </is>
      </c>
      <c r="T7" s="32" t="n">
        <v>13.41</v>
      </c>
      <c r="U7" s="32" t="n">
        <v>36.08</v>
      </c>
      <c r="V7" s="32" t="n">
        <v>19.98</v>
      </c>
      <c r="W7" s="32" t="n">
        <v>7.62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Oligopoly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Shallow Cyclical (2 to 3 Years Growth)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Fully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Allocated capital in Non-core Areas</t>
        </is>
      </c>
      <c r="AU7" s="31">
        <f>IF(AT7="Good",10,0)</f>
        <v/>
      </c>
      <c r="AV7" s="31" t="inlineStr">
        <is>
          <t>Yes only for next 1 to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Between 12 to 20%</t>
        </is>
      </c>
      <c r="BO7" s="31">
        <f>IF(BN7="More than 20%",10,IF(BN7="Between 12 to 20%",5,IF(BN7="Less than 12%",0,0)))</f>
        <v/>
      </c>
      <c r="BP7" s="31" t="inlineStr">
        <is>
          <t>Yes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Between 1.5 to 2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IF(B8=0,"",RANK(B8,$B$2:$B$308,0))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CONFIPET</t>
        </is>
      </c>
      <c r="D8" s="31" t="inlineStr">
        <is>
          <t>Confidence Petroleum India Ltd</t>
        </is>
      </c>
      <c r="E8" s="31" t="inlineStr">
        <is>
          <t>miscellaneous</t>
        </is>
      </c>
      <c r="F8" s="31" t="inlineStr">
        <is>
          <t>miscellaneous</t>
        </is>
      </c>
      <c r="G8" s="31" t="inlineStr">
        <is>
          <t>smallcap</t>
        </is>
      </c>
      <c r="H8" s="32" t="n">
        <v>2601.45</v>
      </c>
      <c r="I8" s="32" t="n">
        <v>81.04000000000001</v>
      </c>
      <c r="J8" s="32" t="n">
        <v>3.5</v>
      </c>
      <c r="K8" s="32" t="n">
        <v>8619919</v>
      </c>
      <c r="L8" s="31" t="n">
        <v>83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70.75</v>
      </c>
      <c r="P8" s="32" t="n">
        <v>66.55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-4.31</v>
      </c>
      <c r="U8" s="32" t="n">
        <v>50.32</v>
      </c>
      <c r="V8" s="32" t="n">
        <v>57.08</v>
      </c>
      <c r="W8" s="32" t="n">
        <v>22.76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IF(B9=0,"",RANK(B9,$B$2:$B$308,0))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IBULLSLTD</t>
        </is>
      </c>
      <c r="D9" s="31" t="inlineStr">
        <is>
          <t>Indiabulls Limited</t>
        </is>
      </c>
      <c r="E9" s="31" t="inlineStr">
        <is>
          <t>miscellaneous</t>
        </is>
      </c>
      <c r="F9" s="31" t="inlineStr">
        <is>
          <t>diversified - medium / small</t>
        </is>
      </c>
      <c r="G9" s="31" t="inlineStr">
        <is>
          <t>midcap</t>
        </is>
      </c>
      <c r="H9" s="32" t="n">
        <v>7112.1</v>
      </c>
      <c r="I9" s="32" t="n">
        <v>31.16</v>
      </c>
      <c r="J9" s="32" t="n">
        <v>2.06</v>
      </c>
      <c r="K9" s="32" t="n">
        <v>4694441</v>
      </c>
      <c r="L9" s="31" t="n">
        <v>96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77.68000000000001</v>
      </c>
      <c r="P9" s="32" t="n">
        <v>47.66</v>
      </c>
      <c r="Q9" s="32" t="inlineStr"/>
      <c r="R9" s="31" t="inlineStr">
        <is>
          <t>Earnings / Momentum Support</t>
        </is>
      </c>
      <c r="S9" s="31" t="inlineStr">
        <is>
          <t>Nifty 50</t>
        </is>
      </c>
      <c r="T9" s="32" t="n">
        <v>-4.31</v>
      </c>
      <c r="U9" s="32" t="n">
        <v>97.22</v>
      </c>
      <c r="V9" s="32" t="n">
        <v>106.1</v>
      </c>
      <c r="W9" s="32" t="n">
        <v>39.18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IF(B10=0,"",RANK(B10,$B$2:$B$308,0))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PREMIERPOL</t>
        </is>
      </c>
      <c r="D10" s="31" t="inlineStr">
        <is>
          <t>Premier Polyfilm Limited</t>
        </is>
      </c>
      <c r="E10" s="31" t="inlineStr">
        <is>
          <t>plastic products</t>
        </is>
      </c>
      <c r="F10" s="31" t="inlineStr">
        <is>
          <t>plastics products</t>
        </is>
      </c>
      <c r="G10" s="31" t="inlineStr">
        <is>
          <t>smallcap</t>
        </is>
      </c>
      <c r="H10" s="32" t="n">
        <v>830.61</v>
      </c>
      <c r="I10" s="32" t="n">
        <v>74.48</v>
      </c>
      <c r="J10" s="32" t="n">
        <v>-6.08</v>
      </c>
      <c r="K10" s="32" t="n">
        <v>328951</v>
      </c>
      <c r="L10" s="31" t="n">
        <v>80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71.08</v>
      </c>
      <c r="P10" s="32" t="n">
        <v>48.57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-4.31</v>
      </c>
      <c r="U10" s="32" t="n">
        <v>54.56</v>
      </c>
      <c r="V10" s="32" t="n">
        <v>61.51</v>
      </c>
      <c r="W10" s="32" t="n">
        <v>20.65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IF(B11=0,"",RANK(B11,$B$2:$B$308,0))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ALLDIGI</t>
        </is>
      </c>
      <c r="D11" s="31" t="inlineStr">
        <is>
          <t>Alldigi Tech Ltd</t>
        </is>
      </c>
      <c r="E11" s="31" t="inlineStr">
        <is>
          <t>i.t</t>
        </is>
      </c>
      <c r="F11" s="31" t="inlineStr">
        <is>
          <t>computers - software - medium / small</t>
        </is>
      </c>
      <c r="G11" s="31" t="inlineStr">
        <is>
          <t>smallcap</t>
        </is>
      </c>
      <c r="H11" s="32" t="n">
        <v>1253.73</v>
      </c>
      <c r="I11" s="32" t="n">
        <v>872.05</v>
      </c>
      <c r="J11" s="32" t="n">
        <v>5.99</v>
      </c>
      <c r="K11" s="32" t="n">
        <v>103621</v>
      </c>
      <c r="L11" s="31" t="n">
        <v>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50.81</v>
      </c>
      <c r="P11" s="32" t="n">
        <v>24.17</v>
      </c>
      <c r="Q11" s="32" t="inlineStr"/>
      <c r="R11" s="31" t="inlineStr">
        <is>
          <t>Volume Spike / Accumulation</t>
        </is>
      </c>
      <c r="S11" s="31" t="inlineStr">
        <is>
          <t>Nifty IT</t>
        </is>
      </c>
      <c r="T11" s="32" t="n">
        <v>-19.25</v>
      </c>
      <c r="U11" s="32" t="n">
        <v>-12.24</v>
      </c>
      <c r="V11" s="32" t="n">
        <v>8.68</v>
      </c>
      <c r="W11" s="32" t="n">
        <v>-2.28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IF(B12=0,"",RANK(B12,$B$2:$B$308,0))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E2E</t>
        </is>
      </c>
      <c r="D12" s="31" t="inlineStr">
        <is>
          <t>E2E Networks Ltd</t>
        </is>
      </c>
      <c r="E12" s="31" t="inlineStr">
        <is>
          <t>i.t</t>
        </is>
      </c>
      <c r="F12" s="31" t="inlineStr">
        <is>
          <t>computers - software - medium / small</t>
        </is>
      </c>
      <c r="G12" s="31" t="inlineStr">
        <is>
          <t>midcap</t>
        </is>
      </c>
      <c r="H12" s="32" t="n">
        <v>10621.54</v>
      </c>
      <c r="I12" s="32" t="n">
        <v>542.5</v>
      </c>
      <c r="J12" s="32" t="n">
        <v>4.99</v>
      </c>
      <c r="K12" s="32" t="n">
        <v>429556</v>
      </c>
      <c r="L12" s="31" t="n">
        <v>96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71.15000000000001</v>
      </c>
      <c r="P12" s="32" t="n">
        <v>44.66</v>
      </c>
      <c r="Q12" s="32" t="inlineStr"/>
      <c r="R12" s="31" t="inlineStr">
        <is>
          <t>Earnings / Momentum Support</t>
        </is>
      </c>
      <c r="S12" s="31" t="inlineStr">
        <is>
          <t>Nifty IT</t>
        </is>
      </c>
      <c r="T12" s="32" t="n">
        <v>-19.25</v>
      </c>
      <c r="U12" s="32" t="n">
        <v>141.49</v>
      </c>
      <c r="V12" s="32" t="n">
        <v>199.05</v>
      </c>
      <c r="W12" s="32" t="n">
        <v>41.71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IF(B13=0,"",RANK(B13,$B$2:$B$308,0))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AURUM</t>
        </is>
      </c>
      <c r="D13" s="31" t="inlineStr">
        <is>
          <t>Aurum Proptech Ltd</t>
        </is>
      </c>
      <c r="E13" s="31" t="inlineStr">
        <is>
          <t>i.t</t>
        </is>
      </c>
      <c r="F13" s="31" t="inlineStr">
        <is>
          <t>computers - software - medium / small</t>
        </is>
      </c>
      <c r="G13" s="31" t="inlineStr">
        <is>
          <t>smallcap</t>
        </is>
      </c>
      <c r="H13" s="32" t="n">
        <v>1697.79</v>
      </c>
      <c r="I13" s="32" t="n">
        <v>229.68</v>
      </c>
      <c r="J13" s="32" t="n">
        <v>3.81</v>
      </c>
      <c r="K13" s="32" t="n">
        <v>162652</v>
      </c>
      <c r="L13" s="31" t="n">
        <v>42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62.1</v>
      </c>
      <c r="P13" s="32" t="n">
        <v>43.8</v>
      </c>
      <c r="Q13" s="32" t="inlineStr"/>
      <c r="R13" s="31" t="inlineStr">
        <is>
          <t>Earnings / Momentum Support</t>
        </is>
      </c>
      <c r="S13" s="31" t="inlineStr">
        <is>
          <t>Nifty IT</t>
        </is>
      </c>
      <c r="T13" s="32" t="n">
        <v>-19.25</v>
      </c>
      <c r="U13" s="32" t="n">
        <v>12.96</v>
      </c>
      <c r="V13" s="32" t="n">
        <v>39.88</v>
      </c>
      <c r="W13" s="32" t="n">
        <v>7.51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IF(B14=0,"",RANK(B14,$B$2:$B$308,0))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BUTTERFLY</t>
        </is>
      </c>
      <c r="D14" s="31" t="inlineStr">
        <is>
          <t>Butterfly Gandhimathi Appliances Limited</t>
        </is>
      </c>
      <c r="E14" s="31" t="inlineStr">
        <is>
          <t>consumer discretionary</t>
        </is>
      </c>
      <c r="F14" s="31" t="inlineStr">
        <is>
          <t>domestic appliances</t>
        </is>
      </c>
      <c r="G14" s="31" t="inlineStr">
        <is>
          <t>smallcap</t>
        </is>
      </c>
      <c r="H14" s="32" t="n">
        <v>1362.24</v>
      </c>
      <c r="I14" s="32" t="n">
        <v>766.1</v>
      </c>
      <c r="J14" s="32" t="n">
        <v>0.55</v>
      </c>
      <c r="K14" s="32" t="n">
        <v>51425</v>
      </c>
      <c r="L14" s="31" t="n">
        <v>37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64.98999999999999</v>
      </c>
      <c r="P14" s="32" t="n">
        <v>42.1</v>
      </c>
      <c r="Q14" s="32" t="inlineStr"/>
      <c r="R14" s="31" t="inlineStr">
        <is>
          <t>Earnings / Momentum Support</t>
        </is>
      </c>
      <c r="S14" s="31" t="inlineStr">
        <is>
          <t>Nifty 50</t>
        </is>
      </c>
      <c r="T14" s="32" t="n">
        <v>-4.31</v>
      </c>
      <c r="U14" s="32" t="n">
        <v>3.04</v>
      </c>
      <c r="V14" s="32" t="n">
        <v>7.67</v>
      </c>
      <c r="W14" s="32" t="n">
        <v>6.49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IF(B15=0,"",RANK(B15,$B$2:$B$308,0))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QUESS</t>
        </is>
      </c>
      <c r="D15" s="31" t="inlineStr">
        <is>
          <t>Quess Corp Limited</t>
        </is>
      </c>
      <c r="E15" s="31" t="inlineStr">
        <is>
          <t>miscellaneous</t>
        </is>
      </c>
      <c r="F15" s="31" t="inlineStr">
        <is>
          <t>diversified - large</t>
        </is>
      </c>
      <c r="G15" s="31" t="inlineStr">
        <is>
          <t>smallcap</t>
        </is>
      </c>
      <c r="H15" s="32" t="n">
        <v>4412.09</v>
      </c>
      <c r="I15" s="32" t="n">
        <v>295.75</v>
      </c>
      <c r="J15" s="32" t="n">
        <v>0.12</v>
      </c>
      <c r="K15" s="32" t="n">
        <v>123913</v>
      </c>
      <c r="L15" s="31" t="n">
        <v>70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73.31</v>
      </c>
      <c r="P15" s="32" t="n">
        <v>41.2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-4.31</v>
      </c>
      <c r="U15" s="32" t="n">
        <v>3.62</v>
      </c>
      <c r="V15" s="32" t="n">
        <v>8.279999999999999</v>
      </c>
      <c r="W15" s="32" t="n">
        <v>15.42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IF(B16=0,"",RANK(B16,$B$2:$B$308,0))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TINNARUBR</t>
        </is>
      </c>
      <c r="D16" s="31" t="inlineStr">
        <is>
          <t>Tinna Rubber &amp; Infrastructure Ltd</t>
        </is>
      </c>
      <c r="E16" s="31" t="inlineStr">
        <is>
          <t>fmcg</t>
        </is>
      </c>
      <c r="F16" s="31" t="inlineStr">
        <is>
          <t>miscellaneous</t>
        </is>
      </c>
      <c r="G16" s="31" t="inlineStr">
        <is>
          <t>smallcap</t>
        </is>
      </c>
      <c r="H16" s="32" t="n">
        <v>1979.66</v>
      </c>
      <c r="I16" s="32" t="n">
        <v>1139.3</v>
      </c>
      <c r="J16" s="32" t="n">
        <v>3.68</v>
      </c>
      <c r="K16" s="32" t="n">
        <v>284366</v>
      </c>
      <c r="L16" s="31" t="n">
        <v>51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71.78</v>
      </c>
      <c r="P16" s="32" t="n">
        <v>35.91</v>
      </c>
      <c r="Q16" s="32" t="inlineStr"/>
      <c r="R16" s="31" t="inlineStr">
        <is>
          <t>Earnings / Momentum Support</t>
        </is>
      </c>
      <c r="S16" s="31" t="inlineStr">
        <is>
          <t>Nifty FMCG</t>
        </is>
      </c>
      <c r="T16" s="32" t="n">
        <v>-13.73</v>
      </c>
      <c r="U16" s="32" t="n">
        <v>0.8</v>
      </c>
      <c r="V16" s="32" t="n">
        <v>16.84</v>
      </c>
      <c r="W16" s="32" t="n">
        <v>9.539999999999999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IF(B17=0,"",RANK(B17,$B$2:$B$308,0))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ADFFOODS</t>
        </is>
      </c>
      <c r="D17" s="31" t="inlineStr">
        <is>
          <t>Adf Foods Limited</t>
        </is>
      </c>
      <c r="E17" s="31" t="inlineStr">
        <is>
          <t>fmcg</t>
        </is>
      </c>
      <c r="F17" s="31" t="inlineStr">
        <is>
          <t>food - processing - indian</t>
        </is>
      </c>
      <c r="G17" s="31" t="inlineStr">
        <is>
          <t>smallcap</t>
        </is>
      </c>
      <c r="H17" s="32" t="n">
        <v>3373.36</v>
      </c>
      <c r="I17" s="32" t="n">
        <v>314.4</v>
      </c>
      <c r="J17" s="32" t="n">
        <v>2.39</v>
      </c>
      <c r="K17" s="32" t="n">
        <v>196201</v>
      </c>
      <c r="L17" s="31" t="n">
        <v>53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63.49</v>
      </c>
      <c r="P17" s="32" t="n">
        <v>43.72</v>
      </c>
      <c r="Q17" s="32" t="inlineStr"/>
      <c r="R17" s="31" t="inlineStr">
        <is>
          <t>Earnings / Momentum Support</t>
        </is>
      </c>
      <c r="S17" s="31" t="inlineStr">
        <is>
          <t>Nifty FMCG</t>
        </is>
      </c>
      <c r="T17" s="32" t="n">
        <v>-13.73</v>
      </c>
      <c r="U17" s="32" t="n">
        <v>10.1</v>
      </c>
      <c r="V17" s="32" t="n">
        <v>27.62</v>
      </c>
      <c r="W17" s="32" t="n">
        <v>10.19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IF(B18=0,"",RANK(B18,$B$2:$B$308,0))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INDIAGLYCO</t>
        </is>
      </c>
      <c r="D18" s="31" t="inlineStr">
        <is>
          <t>India Glycols Limited</t>
        </is>
      </c>
      <c r="E18" s="31" t="inlineStr">
        <is>
          <t>fmcg</t>
        </is>
      </c>
      <c r="F18" s="31" t="inlineStr">
        <is>
          <t>breweries &amp; distilleries</t>
        </is>
      </c>
      <c r="G18" s="31" t="inlineStr">
        <is>
          <t>midcap</t>
        </is>
      </c>
      <c r="H18" s="32" t="n">
        <v>7760.36</v>
      </c>
      <c r="I18" s="32" t="n">
        <v>1184.45</v>
      </c>
      <c r="J18" s="32" t="n">
        <v>2.3</v>
      </c>
      <c r="K18" s="32" t="n">
        <v>222525</v>
      </c>
      <c r="L18" s="31" t="n">
        <v>46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65.05</v>
      </c>
      <c r="P18" s="32" t="n">
        <v>26.51</v>
      </c>
      <c r="Q18" s="32" t="inlineStr"/>
      <c r="R18" s="31" t="inlineStr">
        <is>
          <t>Earnings / Momentum Support</t>
        </is>
      </c>
      <c r="S18" s="31" t="inlineStr">
        <is>
          <t>Nifty FMCG</t>
        </is>
      </c>
      <c r="T18" s="32" t="n">
        <v>-13.73</v>
      </c>
      <c r="U18" s="32" t="n">
        <v>22.44</v>
      </c>
      <c r="V18" s="32" t="n">
        <v>41.93</v>
      </c>
      <c r="W18" s="32" t="n">
        <v>8.220000000000001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IF(B19=0,"",RANK(B19,$B$2:$B$308,0))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BAFNAPH</t>
        </is>
      </c>
      <c r="D19" s="31" t="inlineStr">
        <is>
          <t>Bafna Pharmaceuticals Ltd</t>
        </is>
      </c>
      <c r="E19" s="31" t="inlineStr">
        <is>
          <t>healthcare</t>
        </is>
      </c>
      <c r="F19" s="31" t="inlineStr">
        <is>
          <t>pharmaceuticals - indian - formulations</t>
        </is>
      </c>
      <c r="G19" s="31" t="inlineStr">
        <is>
          <t>smallcap</t>
        </is>
      </c>
      <c r="H19" s="32" t="n">
        <v>563.38</v>
      </c>
      <c r="I19" s="32" t="n">
        <v>242.91</v>
      </c>
      <c r="J19" s="32" t="n">
        <v>2</v>
      </c>
      <c r="K19" s="32" t="n">
        <v>5947</v>
      </c>
      <c r="L19" s="31" t="n">
        <v>96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72.76000000000001</v>
      </c>
      <c r="P19" s="32" t="n">
        <v>44.82</v>
      </c>
      <c r="Q19" s="32" t="inlineStr"/>
      <c r="R19" s="31" t="inlineStr">
        <is>
          <t>Earnings / Momentum Support</t>
        </is>
      </c>
      <c r="S19" s="31" t="inlineStr">
        <is>
          <t>Nifty Pharma</t>
        </is>
      </c>
      <c r="T19" s="32" t="n">
        <v>12.73</v>
      </c>
      <c r="U19" s="32" t="n">
        <v>164.55</v>
      </c>
      <c r="V19" s="32" t="n">
        <v>134.67</v>
      </c>
      <c r="W19" s="32" t="n">
        <v>40.4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IF(B20=0,"",RANK(B20,$B$2:$B$308,0))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RPTECH</t>
        </is>
      </c>
      <c r="D20" s="31" t="inlineStr">
        <is>
          <t>Rashi Peripherals Ltd</t>
        </is>
      </c>
      <c r="E20" s="31" t="inlineStr">
        <is>
          <t>services</t>
        </is>
      </c>
      <c r="F20" s="31" t="inlineStr">
        <is>
          <t>trading</t>
        </is>
      </c>
      <c r="G20" s="31" t="inlineStr">
        <is>
          <t>midcap</t>
        </is>
      </c>
      <c r="H20" s="32" t="n">
        <v>5139.19</v>
      </c>
      <c r="I20" s="32" t="n">
        <v>801.45</v>
      </c>
      <c r="J20" s="32" t="n">
        <v>2.77</v>
      </c>
      <c r="K20" s="32" t="n">
        <v>450228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78.02</v>
      </c>
      <c r="P20" s="32" t="n">
        <v>75.34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-4.31</v>
      </c>
      <c r="U20" s="32" t="n">
        <v>165.9</v>
      </c>
      <c r="V20" s="32" t="n">
        <v>177.86</v>
      </c>
      <c r="W20" s="32" t="n">
        <v>37.98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Less than 50%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IF(B21=0,"",RANK(B21,$B$2:$B$308,0))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PRECOT</t>
        </is>
      </c>
      <c r="D21" s="31" t="inlineStr">
        <is>
          <t>Precot Meridian Limited</t>
        </is>
      </c>
      <c r="E21" s="31" t="inlineStr">
        <is>
          <t>textiles</t>
        </is>
      </c>
      <c r="F21" s="31" t="inlineStr">
        <is>
          <t>textiles - cotton/blended</t>
        </is>
      </c>
      <c r="G21" s="31" t="inlineStr">
        <is>
          <t>smallcap</t>
        </is>
      </c>
      <c r="H21" s="32" t="n">
        <v>988.5</v>
      </c>
      <c r="I21" s="32" t="n">
        <v>844.5</v>
      </c>
      <c r="J21" s="32" t="n">
        <v>2.52</v>
      </c>
      <c r="K21" s="32" t="n">
        <v>4729</v>
      </c>
      <c r="L21" s="31" t="n">
        <v>85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70.06</v>
      </c>
      <c r="P21" s="32" t="n">
        <v>45.61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-4.31</v>
      </c>
      <c r="U21" s="32" t="n">
        <v>37.67</v>
      </c>
      <c r="V21" s="32" t="n">
        <v>43.87</v>
      </c>
      <c r="W21" s="32" t="n">
        <v>23.68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IF(B22=0,"",RANK(B22,$B$2:$B$308,0))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PGIL</t>
        </is>
      </c>
      <c r="D22" s="31" t="inlineStr">
        <is>
          <t>Pearl Global Industries Limited</t>
        </is>
      </c>
      <c r="E22" s="31" t="inlineStr">
        <is>
          <t>consumer discretionary</t>
        </is>
      </c>
      <c r="F22" s="31" t="inlineStr">
        <is>
          <t>textiles - products</t>
        </is>
      </c>
      <c r="G22" s="31" t="inlineStr">
        <is>
          <t>midcap</t>
        </is>
      </c>
      <c r="H22" s="32" t="n">
        <v>9119.049999999999</v>
      </c>
      <c r="I22" s="32" t="n">
        <v>2016.6</v>
      </c>
      <c r="J22" s="32" t="n">
        <v>2.13</v>
      </c>
      <c r="K22" s="32" t="n">
        <v>69227</v>
      </c>
      <c r="L22" s="31" t="n">
        <v>59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63.19</v>
      </c>
      <c r="P22" s="32" t="n">
        <v>47.52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-4.31</v>
      </c>
      <c r="U22" s="32" t="n">
        <v>30.68</v>
      </c>
      <c r="V22" s="32" t="n">
        <v>36.56</v>
      </c>
      <c r="W22" s="32" t="n">
        <v>11.94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Between 1.5 to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IF(B23=0,"",RANK(B23,$B$2:$B$308,0))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MENONBE</t>
        </is>
      </c>
      <c r="D23" s="31" t="inlineStr">
        <is>
          <t>Menon Bearings Limited</t>
        </is>
      </c>
      <c r="E23" s="31" t="inlineStr">
        <is>
          <t>auto</t>
        </is>
      </c>
      <c r="F23" s="31" t="inlineStr">
        <is>
          <t>auto ancillaries</t>
        </is>
      </c>
      <c r="G23" s="31" t="inlineStr">
        <is>
          <t>smallcap</t>
        </is>
      </c>
      <c r="H23" s="32" t="n">
        <v>1197.97</v>
      </c>
      <c r="I23" s="32" t="n">
        <v>217.46</v>
      </c>
      <c r="J23" s="32" t="n">
        <v>1.73</v>
      </c>
      <c r="K23" s="32" t="n">
        <v>100801</v>
      </c>
      <c r="L23" s="31" t="n">
        <v>85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76.93000000000001</v>
      </c>
      <c r="P23" s="32" t="n">
        <v>48.38</v>
      </c>
      <c r="Q23" s="32" t="inlineStr"/>
      <c r="R23" s="31" t="inlineStr">
        <is>
          <t>Earnings / Momentum Support</t>
        </is>
      </c>
      <c r="S23" s="31" t="inlineStr">
        <is>
          <t>Nifty Auto</t>
        </is>
      </c>
      <c r="T23" s="32" t="n">
        <v>13.41</v>
      </c>
      <c r="U23" s="32" t="n">
        <v>59.56</v>
      </c>
      <c r="V23" s="32" t="n">
        <v>40.68</v>
      </c>
      <c r="W23" s="32" t="n">
        <v>23.69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IF(B24=0,"",RANK(B24,$B$2:$B$308,0))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ATHERENERG</t>
        </is>
      </c>
      <c r="D24" s="31" t="inlineStr">
        <is>
          <t>Ather Energy Ltd</t>
        </is>
      </c>
      <c r="E24" s="31" t="inlineStr">
        <is>
          <t>auto</t>
        </is>
      </c>
      <c r="F24" s="31" t="inlineStr">
        <is>
          <t>automobiles - scooters and 3 - wheelers</t>
        </is>
      </c>
      <c r="G24" s="31" t="inlineStr">
        <is>
          <t>largecap</t>
        </is>
      </c>
      <c r="H24" s="32" t="n">
        <v>46307.83</v>
      </c>
      <c r="I24" s="32" t="n">
        <v>1214.9</v>
      </c>
      <c r="J24" s="32" t="n">
        <v>0.51</v>
      </c>
      <c r="K24" s="32" t="n">
        <v>1911132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71.29000000000001</v>
      </c>
      <c r="P24" s="32" t="n">
        <v>56.88</v>
      </c>
      <c r="Q24" s="32" t="inlineStr"/>
      <c r="R24" s="31" t="inlineStr">
        <is>
          <t>Earnings / Momentum Support</t>
        </is>
      </c>
      <c r="S24" s="31" t="inlineStr">
        <is>
          <t>Nifty Auto</t>
        </is>
      </c>
      <c r="T24" s="32" t="n">
        <v>13.41</v>
      </c>
      <c r="U24" s="32" t="n">
        <v>275.68</v>
      </c>
      <c r="V24" s="32" t="n">
        <v>231.25</v>
      </c>
      <c r="W24" s="32" t="n">
        <v>46.25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Negative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IF(B25=0,"",RANK(B25,$B$2:$B$308,0))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STYLAMIND</t>
        </is>
      </c>
      <c r="D25" s="31" t="inlineStr">
        <is>
          <t>Stylam Industries Ltd</t>
        </is>
      </c>
      <c r="E25" s="31" t="inlineStr">
        <is>
          <t>building materials</t>
        </is>
      </c>
      <c r="F25" s="31" t="inlineStr">
        <is>
          <t>miscellaneous</t>
        </is>
      </c>
      <c r="G25" s="31" t="inlineStr">
        <is>
          <t>midcap</t>
        </is>
      </c>
      <c r="H25" s="32" t="n">
        <v>5790.81</v>
      </c>
      <c r="I25" s="32" t="n">
        <v>3415.2</v>
      </c>
      <c r="J25" s="32" t="n">
        <v>-0.05</v>
      </c>
      <c r="K25" s="32" t="n">
        <v>107652</v>
      </c>
      <c r="L25" s="31" t="n">
        <v>84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83.98</v>
      </c>
      <c r="P25" s="32" t="n">
        <v>71.48</v>
      </c>
      <c r="Q25" s="32" t="inlineStr"/>
      <c r="R25" s="31" t="inlineStr">
        <is>
          <t>Earnings / Momentum Support</t>
        </is>
      </c>
      <c r="S25" s="31" t="inlineStr">
        <is>
          <t>Nifty Infra</t>
        </is>
      </c>
      <c r="T25" s="32" t="n">
        <v>1.74</v>
      </c>
      <c r="U25" s="32" t="n">
        <v>86.75</v>
      </c>
      <c r="V25" s="32" t="n">
        <v>83.56</v>
      </c>
      <c r="W25" s="32" t="n">
        <v>23.3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IF(B26=0,"",RANK(B26,$B$2:$B$308,0))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RPEL</t>
        </is>
      </c>
      <c r="D26" s="31" t="inlineStr">
        <is>
          <t>Raghav Productivity Enhancers Ltd</t>
        </is>
      </c>
      <c r="E26" s="31" t="inlineStr">
        <is>
          <t>building materials</t>
        </is>
      </c>
      <c r="F26" s="31" t="inlineStr">
        <is>
          <t>refractories / intermediates</t>
        </is>
      </c>
      <c r="G26" s="31" t="inlineStr">
        <is>
          <t>midcap</t>
        </is>
      </c>
      <c r="H26" s="32" t="n">
        <v>5984.55</v>
      </c>
      <c r="I26" s="32" t="n">
        <v>1292.7</v>
      </c>
      <c r="J26" s="32" t="n">
        <v>-0.8100000000000001</v>
      </c>
      <c r="K26" s="32" t="n">
        <v>44411</v>
      </c>
      <c r="L26" s="31" t="n">
        <v>94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77.92</v>
      </c>
      <c r="P26" s="32" t="n">
        <v>46.8</v>
      </c>
      <c r="Q26" s="32" t="inlineStr"/>
      <c r="R26" s="31" t="inlineStr">
        <is>
          <t>Earnings / Momentum Support</t>
        </is>
      </c>
      <c r="S26" s="31" t="inlineStr">
        <is>
          <t>Nifty Infra</t>
        </is>
      </c>
      <c r="T26" s="32" t="n">
        <v>1.74</v>
      </c>
      <c r="U26" s="32" t="n">
        <v>89.84999999999999</v>
      </c>
      <c r="V26" s="32" t="n">
        <v>86.59999999999999</v>
      </c>
      <c r="W26" s="32" t="n">
        <v>35.04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IF(B27=0,"",RANK(B27,$B$2:$B$308,0))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KANORICHEM</t>
        </is>
      </c>
      <c r="D27" s="31" t="inlineStr">
        <is>
          <t>Kanoria Chemicals &amp; Industries Limited</t>
        </is>
      </c>
      <c r="E27" s="31" t="inlineStr">
        <is>
          <t>chemicals</t>
        </is>
      </c>
      <c r="F27" s="31" t="inlineStr">
        <is>
          <t>chemicals</t>
        </is>
      </c>
      <c r="G27" s="31" t="inlineStr">
        <is>
          <t>smallcap</t>
        </is>
      </c>
      <c r="H27" s="32" t="n">
        <v>706.74</v>
      </c>
      <c r="I27" s="32" t="n">
        <v>159.73</v>
      </c>
      <c r="J27" s="32" t="n">
        <v>-1.25</v>
      </c>
      <c r="K27" s="32" t="n">
        <v>30418</v>
      </c>
      <c r="L27" s="31" t="n">
        <v>95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82.63</v>
      </c>
      <c r="P27" s="32" t="n">
        <v>50.51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-4.31</v>
      </c>
      <c r="U27" s="32" t="n">
        <v>81.34999999999999</v>
      </c>
      <c r="V27" s="32" t="n">
        <v>89.52</v>
      </c>
      <c r="W27" s="32" t="n">
        <v>38.91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IF(B28=0,"",RANK(B28,$B$2:$B$308,0))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AEGISLOG</t>
        </is>
      </c>
      <c r="D28" s="31" t="inlineStr">
        <is>
          <t>Aegis Logistics Ltd</t>
        </is>
      </c>
      <c r="E28" s="31" t="inlineStr">
        <is>
          <t>services</t>
        </is>
      </c>
      <c r="F28" s="31" t="inlineStr">
        <is>
          <t>trading</t>
        </is>
      </c>
      <c r="G28" s="31" t="inlineStr">
        <is>
          <t>largecap</t>
        </is>
      </c>
      <c r="H28" s="32" t="n">
        <v>47370.96</v>
      </c>
      <c r="I28" s="32" t="n">
        <v>1291.3</v>
      </c>
      <c r="J28" s="32" t="n">
        <v>-4.32</v>
      </c>
      <c r="K28" s="32" t="n">
        <v>1130343</v>
      </c>
      <c r="L28" s="31" t="n">
        <v>94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80.14</v>
      </c>
      <c r="P28" s="32" t="n">
        <v>47.42</v>
      </c>
      <c r="Q28" s="32" t="inlineStr"/>
      <c r="R28" s="31" t="inlineStr">
        <is>
          <t>Earnings / Momentum Support</t>
        </is>
      </c>
      <c r="S28" s="31" t="inlineStr">
        <is>
          <t>Nifty 50</t>
        </is>
      </c>
      <c r="T28" s="32" t="n">
        <v>-4.31</v>
      </c>
      <c r="U28" s="32" t="n">
        <v>84.3</v>
      </c>
      <c r="V28" s="32" t="n">
        <v>92.59</v>
      </c>
      <c r="W28" s="32" t="n">
        <v>35.8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IF(B29=0,"",RANK(B29,$B$2:$B$308,0))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HESTERBIO</t>
        </is>
      </c>
      <c r="D29" s="31" t="inlineStr">
        <is>
          <t>Hester Biosciences Limited</t>
        </is>
      </c>
      <c r="E29" s="31" t="inlineStr">
        <is>
          <t>healthcare</t>
        </is>
      </c>
      <c r="F29" s="31" t="inlineStr">
        <is>
          <t>pharmaceuticals - indian - formulations</t>
        </is>
      </c>
      <c r="G29" s="31" t="inlineStr">
        <is>
          <t>smallcap</t>
        </is>
      </c>
      <c r="H29" s="32" t="n">
        <v>2013.92</v>
      </c>
      <c r="I29" s="32" t="n">
        <v>2528.4</v>
      </c>
      <c r="J29" s="32" t="n">
        <v>6.8</v>
      </c>
      <c r="K29" s="32" t="n">
        <v>41089</v>
      </c>
      <c r="L29" s="31" t="n">
        <v>80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71.09999999999999</v>
      </c>
      <c r="P29" s="32" t="n">
        <v>52.6</v>
      </c>
      <c r="Q29" s="32" t="inlineStr"/>
      <c r="R29" s="31" t="inlineStr">
        <is>
          <t>Earnings / Momentum Support</t>
        </is>
      </c>
      <c r="S29" s="31" t="inlineStr">
        <is>
          <t>Nifty Pharma</t>
        </is>
      </c>
      <c r="T29" s="32" t="n">
        <v>12.73</v>
      </c>
      <c r="U29" s="32" t="n">
        <v>32.29</v>
      </c>
      <c r="V29" s="32" t="n">
        <v>17.35</v>
      </c>
      <c r="W29" s="32" t="n">
        <v>20.5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IF(B30=0,"",RANK(B30,$B$2:$B$308,0))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SANSTAR</t>
        </is>
      </c>
      <c r="D30" s="31" t="inlineStr">
        <is>
          <t>Sanstar Ltd</t>
        </is>
      </c>
      <c r="E30" s="31" t="inlineStr">
        <is>
          <t>fmcg</t>
        </is>
      </c>
      <c r="F30" s="31" t="inlineStr">
        <is>
          <t>miscellaneous</t>
        </is>
      </c>
      <c r="G30" s="31" t="inlineStr">
        <is>
          <t>smallcap</t>
        </is>
      </c>
      <c r="H30" s="32" t="n">
        <v>2182.32</v>
      </c>
      <c r="I30" s="32" t="n">
        <v>116.24</v>
      </c>
      <c r="J30" s="32" t="n">
        <v>6.67</v>
      </c>
      <c r="K30" s="32" t="n">
        <v>889963</v>
      </c>
      <c r="L30" s="31" t="n">
        <v>42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55.98</v>
      </c>
      <c r="P30" s="32" t="n">
        <v>46.76</v>
      </c>
      <c r="Q30" s="32" t="inlineStr"/>
      <c r="R30" s="31" t="inlineStr">
        <is>
          <t>Earnings / Momentum Support</t>
        </is>
      </c>
      <c r="S30" s="31" t="inlineStr">
        <is>
          <t>Nifty FMCG</t>
        </is>
      </c>
      <c r="T30" s="32" t="n">
        <v>-13.73</v>
      </c>
      <c r="U30" s="32" t="n">
        <v>12.04</v>
      </c>
      <c r="V30" s="32" t="n">
        <v>29.88</v>
      </c>
      <c r="W30" s="32" t="n">
        <v>7.41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IF(B31=0,"",RANK(B31,$B$2:$B$308,0))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EMCURE</t>
        </is>
      </c>
      <c r="D31" s="31" t="inlineStr">
        <is>
          <t>Emcure Pharmaceuticals Ltd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largecap</t>
        </is>
      </c>
      <c r="H31" s="32" t="n">
        <v>35678.84</v>
      </c>
      <c r="I31" s="32" t="n">
        <v>1924.8</v>
      </c>
      <c r="J31" s="32" t="n">
        <v>2.33</v>
      </c>
      <c r="K31" s="32" t="n">
        <v>253294</v>
      </c>
      <c r="L31" s="31" t="n">
        <v>49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66.58</v>
      </c>
      <c r="P31" s="32" t="n">
        <v>58.83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12.73</v>
      </c>
      <c r="U31" s="32" t="n">
        <v>33.89</v>
      </c>
      <c r="V31" s="32" t="n">
        <v>18.77</v>
      </c>
      <c r="W31" s="32" t="n">
        <v>9.23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IF(B32=0,"",RANK(B32,$B$2:$B$308,0))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RADICO</t>
        </is>
      </c>
      <c r="D32" s="31" t="inlineStr">
        <is>
          <t>Radico Khaitan Limited</t>
        </is>
      </c>
      <c r="E32" s="31" t="inlineStr">
        <is>
          <t>fmcg</t>
        </is>
      </c>
      <c r="F32" s="31" t="inlineStr">
        <is>
          <t>breweries &amp; distilleries</t>
        </is>
      </c>
      <c r="G32" s="31" t="inlineStr">
        <is>
          <t>largecap</t>
        </is>
      </c>
      <c r="H32" s="32" t="n">
        <v>54795.33</v>
      </c>
      <c r="I32" s="32" t="n">
        <v>4149.5</v>
      </c>
      <c r="J32" s="32" t="n">
        <v>1.42</v>
      </c>
      <c r="K32" s="32" t="n">
        <v>515365</v>
      </c>
      <c r="L32" s="31" t="n">
        <v>70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79.97</v>
      </c>
      <c r="P32" s="32" t="n">
        <v>57.38</v>
      </c>
      <c r="Q32" s="32" t="inlineStr"/>
      <c r="R32" s="31" t="inlineStr">
        <is>
          <t>Earnings / Momentum Support</t>
        </is>
      </c>
      <c r="S32" s="31" t="inlineStr">
        <is>
          <t>Nifty FMCG</t>
        </is>
      </c>
      <c r="T32" s="32" t="n">
        <v>-13.73</v>
      </c>
      <c r="U32" s="32" t="n">
        <v>50.97</v>
      </c>
      <c r="V32" s="32" t="n">
        <v>75</v>
      </c>
      <c r="W32" s="32" t="n">
        <v>14.99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B2C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IF(B33=0,"",RANK(B33,$B$2:$B$308,0))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METROPOLIS</t>
        </is>
      </c>
      <c r="D33" s="31" t="inlineStr">
        <is>
          <t>Metropolis Healthcare Ltd</t>
        </is>
      </c>
      <c r="E33" s="31" t="inlineStr">
        <is>
          <t>healthcare</t>
        </is>
      </c>
      <c r="F33" s="31" t="inlineStr">
        <is>
          <t>healthcare</t>
        </is>
      </c>
      <c r="G33" s="31" t="inlineStr">
        <is>
          <t>midcap</t>
        </is>
      </c>
      <c r="H33" s="32" t="n">
        <v>11823.11</v>
      </c>
      <c r="I33" s="32" t="n">
        <v>577.35</v>
      </c>
      <c r="J33" s="32" t="n">
        <v>1.25</v>
      </c>
      <c r="K33" s="32" t="n">
        <v>357337</v>
      </c>
      <c r="L33" s="31" t="n">
        <v>45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62.24</v>
      </c>
      <c r="P33" s="32" t="n">
        <v>41.57</v>
      </c>
      <c r="Q33" s="32" t="inlineStr"/>
      <c r="R33" s="31" t="inlineStr">
        <is>
          <t>Earnings / Momentum Support</t>
        </is>
      </c>
      <c r="S33" s="31" t="inlineStr">
        <is>
          <t>Nifty Pharma</t>
        </is>
      </c>
      <c r="T33" s="32" t="n">
        <v>12.73</v>
      </c>
      <c r="U33" s="32" t="n">
        <v>16.33</v>
      </c>
      <c r="V33" s="32" t="n">
        <v>3.19</v>
      </c>
      <c r="W33" s="32" t="n">
        <v>7.97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IF(B34=0,"",RANK(B34,$B$2:$B$308,0))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CARTRADE</t>
        </is>
      </c>
      <c r="D34" s="31" t="inlineStr">
        <is>
          <t>Cartrade Tech Ltd</t>
        </is>
      </c>
      <c r="E34" s="31" t="inlineStr">
        <is>
          <t>consumer discretionary</t>
        </is>
      </c>
      <c r="F34" s="31" t="inlineStr">
        <is>
          <t>miscellaneous</t>
        </is>
      </c>
      <c r="G34" s="31" t="inlineStr">
        <is>
          <t>midcap</t>
        </is>
      </c>
      <c r="H34" s="32" t="n">
        <v>12756.84</v>
      </c>
      <c r="I34" s="32" t="n">
        <v>2978.5</v>
      </c>
      <c r="J34" s="32" t="n">
        <v>12.13</v>
      </c>
      <c r="K34" s="32" t="n">
        <v>3555902</v>
      </c>
      <c r="L34" s="31" t="n">
        <v>82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61.59</v>
      </c>
      <c r="P34" s="32" t="n">
        <v>28.76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-4.31</v>
      </c>
      <c r="U34" s="32" t="n">
        <v>40.2</v>
      </c>
      <c r="V34" s="32" t="n">
        <v>46.51</v>
      </c>
      <c r="W34" s="32" t="n">
        <v>22.66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IF(B35=0,"",RANK(B35,$B$2:$B$308,0))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OCCLLTD</t>
        </is>
      </c>
      <c r="D35" s="31" t="inlineStr">
        <is>
          <t>OCCL Ltd</t>
        </is>
      </c>
      <c r="E35" s="31" t="inlineStr">
        <is>
          <t>chemicals</t>
        </is>
      </c>
      <c r="F35" s="31" t="inlineStr">
        <is>
          <t>chemicals</t>
        </is>
      </c>
      <c r="G35" s="31" t="inlineStr">
        <is>
          <t>smallcap</t>
        </is>
      </c>
      <c r="H35" s="32" t="n">
        <v>724.08</v>
      </c>
      <c r="I35" s="32" t="n">
        <v>152.2</v>
      </c>
      <c r="J35" s="32" t="n">
        <v>4.99</v>
      </c>
      <c r="K35" s="32" t="n">
        <v>151676</v>
      </c>
      <c r="L35" s="31" t="n">
        <v>63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73.72</v>
      </c>
      <c r="P35" s="32" t="n">
        <v>30.52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-4.31</v>
      </c>
      <c r="U35" s="32" t="n">
        <v>7.27</v>
      </c>
      <c r="V35" s="32" t="n">
        <v>12.1</v>
      </c>
      <c r="W35" s="32" t="n">
        <v>13.17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IF(B36=0,"",RANK(B36,$B$2:$B$308,0))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UNIPARTS</t>
        </is>
      </c>
      <c r="D36" s="31" t="inlineStr">
        <is>
          <t>Uniparts India Ltd</t>
        </is>
      </c>
      <c r="E36" s="31" t="inlineStr">
        <is>
          <t>industrials</t>
        </is>
      </c>
      <c r="F36" s="31" t="inlineStr">
        <is>
          <t>engineering</t>
        </is>
      </c>
      <c r="G36" s="31" t="inlineStr">
        <is>
          <t>smallcap</t>
        </is>
      </c>
      <c r="H36" s="32" t="n">
        <v>3112.62</v>
      </c>
      <c r="I36" s="32" t="n">
        <v>704.8</v>
      </c>
      <c r="J36" s="32" t="n">
        <v>2.22</v>
      </c>
      <c r="K36" s="32" t="n">
        <v>109878</v>
      </c>
      <c r="L36" s="31" t="n">
        <v>86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69.59</v>
      </c>
      <c r="P36" s="32" t="n">
        <v>56.83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-4.31</v>
      </c>
      <c r="U36" s="32" t="n">
        <v>101.16</v>
      </c>
      <c r="V36" s="32" t="n">
        <v>110.21</v>
      </c>
      <c r="W36" s="32" t="n">
        <v>24.09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IF(B37=0,"",RANK(B37,$B$2:$B$308,0))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ADOR</t>
        </is>
      </c>
      <c r="D37" s="31" t="inlineStr">
        <is>
          <t>Ador Welding Ltd</t>
        </is>
      </c>
      <c r="E37" s="31" t="inlineStr">
        <is>
          <t>industrials</t>
        </is>
      </c>
      <c r="F37" s="31" t="inlineStr">
        <is>
          <t>electrodes - welding equipment</t>
        </is>
      </c>
      <c r="G37" s="31" t="inlineStr">
        <is>
          <t>smallcap</t>
        </is>
      </c>
      <c r="H37" s="32" t="n">
        <v>2599.81</v>
      </c>
      <c r="I37" s="32" t="n">
        <v>1523</v>
      </c>
      <c r="J37" s="32" t="n">
        <v>1.95</v>
      </c>
      <c r="K37" s="32" t="n">
        <v>41485</v>
      </c>
      <c r="L37" s="31" t="n">
        <v>81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81.73</v>
      </c>
      <c r="P37" s="32" t="n">
        <v>43.29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-4.31</v>
      </c>
      <c r="U37" s="32" t="n">
        <v>45.54</v>
      </c>
      <c r="V37" s="32" t="n">
        <v>52.09</v>
      </c>
      <c r="W37" s="32" t="n">
        <v>20.93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IF(B38=0,"",RANK(B38,$B$2:$B$308,0))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GNA</t>
        </is>
      </c>
      <c r="D38" s="31" t="inlineStr">
        <is>
          <t>Gna Axles Limited</t>
        </is>
      </c>
      <c r="E38" s="31" t="inlineStr">
        <is>
          <t>auto</t>
        </is>
      </c>
      <c r="F38" s="31" t="inlineStr">
        <is>
          <t>auto ancillaries</t>
        </is>
      </c>
      <c r="G38" s="31" t="inlineStr">
        <is>
          <t>smallcap</t>
        </is>
      </c>
      <c r="H38" s="32" t="n">
        <v>2176.59</v>
      </c>
      <c r="I38" s="32" t="n">
        <v>511.85</v>
      </c>
      <c r="J38" s="32" t="n">
        <v>0.96</v>
      </c>
      <c r="K38" s="32" t="n">
        <v>212597</v>
      </c>
      <c r="L38" s="31" t="n">
        <v>76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63.95</v>
      </c>
      <c r="P38" s="32" t="n">
        <v>26.19</v>
      </c>
      <c r="Q38" s="32" t="inlineStr"/>
      <c r="R38" s="31" t="inlineStr">
        <is>
          <t>Earnings / Momentum Support</t>
        </is>
      </c>
      <c r="S38" s="31" t="inlineStr">
        <is>
          <t>Nifty Auto</t>
        </is>
      </c>
      <c r="T38" s="32" t="n">
        <v>13.41</v>
      </c>
      <c r="U38" s="32" t="n">
        <v>68.69</v>
      </c>
      <c r="V38" s="32" t="n">
        <v>48.74</v>
      </c>
      <c r="W38" s="32" t="n">
        <v>18.24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IF(B39=0,"",RANK(B39,$B$2:$B$308,0))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GANESHBE</t>
        </is>
      </c>
      <c r="D39" s="31" t="inlineStr">
        <is>
          <t>Ganesh Benzoplast Ltd</t>
        </is>
      </c>
      <c r="E39" s="31" t="inlineStr">
        <is>
          <t>miscellaneous</t>
        </is>
      </c>
      <c r="F39" s="31" t="inlineStr">
        <is>
          <t>miscellaneous</t>
        </is>
      </c>
      <c r="G39" s="31" t="inlineStr">
        <is>
          <t>smallcap</t>
        </is>
      </c>
      <c r="H39" s="32" t="n">
        <v>802.03</v>
      </c>
      <c r="I39" s="32" t="n">
        <v>112.35</v>
      </c>
      <c r="J39" s="32" t="n">
        <v>0.84</v>
      </c>
      <c r="K39" s="32" t="n">
        <v>517305</v>
      </c>
      <c r="L39" s="31" t="n">
        <v>40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62.76</v>
      </c>
      <c r="P39" s="32" t="n">
        <v>27.43</v>
      </c>
      <c r="Q39" s="32" t="inlineStr"/>
      <c r="R39" s="31" t="inlineStr">
        <is>
          <t>Earnings / Momentum Support</t>
        </is>
      </c>
      <c r="S39" s="31" t="inlineStr">
        <is>
          <t>Nifty 50</t>
        </is>
      </c>
      <c r="T39" s="32" t="n">
        <v>-4.31</v>
      </c>
      <c r="U39" s="32" t="n">
        <v>15.85</v>
      </c>
      <c r="V39" s="32" t="n">
        <v>21.06</v>
      </c>
      <c r="W39" s="32" t="n">
        <v>7.03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IF(B40=0,"",RANK(B40,$B$2:$B$308,0))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CENTENKA</t>
        </is>
      </c>
      <c r="D40" s="31" t="inlineStr">
        <is>
          <t>Century Enka Limited</t>
        </is>
      </c>
      <c r="E40" s="31" t="inlineStr">
        <is>
          <t>textiles</t>
        </is>
      </c>
      <c r="F40" s="31" t="inlineStr">
        <is>
          <t>textiles - manmade</t>
        </is>
      </c>
      <c r="G40" s="31" t="inlineStr">
        <is>
          <t>smallcap</t>
        </is>
      </c>
      <c r="H40" s="32" t="n">
        <v>1254.66</v>
      </c>
      <c r="I40" s="32" t="n">
        <v>577.8</v>
      </c>
      <c r="J40" s="32" t="n">
        <v>0.63</v>
      </c>
      <c r="K40" s="32" t="n">
        <v>117955</v>
      </c>
      <c r="L40" s="31" t="n">
        <v>56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67.16</v>
      </c>
      <c r="P40" s="32" t="n">
        <v>56.03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-4.31</v>
      </c>
      <c r="U40" s="32" t="n">
        <v>14.21</v>
      </c>
      <c r="V40" s="32" t="n">
        <v>19.35</v>
      </c>
      <c r="W40" s="32" t="n">
        <v>11.07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IF(B41=0,"",RANK(B41,$B$2:$B$308,0))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BAJAJ-AUTO</t>
        </is>
      </c>
      <c r="D41" s="31" t="inlineStr">
        <is>
          <t>Bajaj Auto Limited</t>
        </is>
      </c>
      <c r="E41" s="31" t="inlineStr">
        <is>
          <t>auto</t>
        </is>
      </c>
      <c r="F41" s="31" t="inlineStr">
        <is>
          <t>automobiles - scooters and 3 - wheelers</t>
        </is>
      </c>
      <c r="G41" s="31" t="inlineStr">
        <is>
          <t>largecap</t>
        </is>
      </c>
      <c r="H41" s="32" t="n">
        <v>311081.09</v>
      </c>
      <c r="I41" s="32" t="n">
        <v>11183.5</v>
      </c>
      <c r="J41" s="32" t="n">
        <v>0.48</v>
      </c>
      <c r="K41" s="32" t="n">
        <v>270544</v>
      </c>
      <c r="L41" s="31" t="n">
        <v>38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68.66</v>
      </c>
      <c r="P41" s="32" t="n">
        <v>20.35</v>
      </c>
      <c r="Q41" s="32" t="inlineStr"/>
      <c r="R41" s="31" t="inlineStr">
        <is>
          <t>Earnings / Momentum Support</t>
        </is>
      </c>
      <c r="S41" s="31" t="inlineStr">
        <is>
          <t>Nifty Auto</t>
        </is>
      </c>
      <c r="T41" s="32" t="n">
        <v>13.41</v>
      </c>
      <c r="U41" s="32" t="n">
        <v>26.86</v>
      </c>
      <c r="V41" s="32" t="n">
        <v>11.86</v>
      </c>
      <c r="W41" s="32" t="n">
        <v>6.6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IF(B42=0,"",RANK(B42,$B$2:$B$308,0))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BHEL</t>
        </is>
      </c>
      <c r="D42" s="31" t="inlineStr">
        <is>
          <t>Bharat Heavy Electricals Limited</t>
        </is>
      </c>
      <c r="E42" s="31" t="inlineStr">
        <is>
          <t>industrials</t>
        </is>
      </c>
      <c r="F42" s="31" t="inlineStr">
        <is>
          <t>electric equipment</t>
        </is>
      </c>
      <c r="G42" s="31" t="inlineStr">
        <is>
          <t>largecap</t>
        </is>
      </c>
      <c r="H42" s="32" t="n">
        <v>145306.5</v>
      </c>
      <c r="I42" s="32" t="n">
        <v>415.95</v>
      </c>
      <c r="J42" s="32" t="n">
        <v>-0.32</v>
      </c>
      <c r="K42" s="32" t="n">
        <v>9042974</v>
      </c>
      <c r="L42" s="31" t="n">
        <v>75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66.37</v>
      </c>
      <c r="P42" s="32" t="n">
        <v>46.07</v>
      </c>
      <c r="Q42" s="32" t="inlineStr"/>
      <c r="R42" s="31" t="inlineStr">
        <is>
          <t>Earnings / Momentum Support</t>
        </is>
      </c>
      <c r="S42" s="31" t="inlineStr">
        <is>
          <t>Nifty 500</t>
        </is>
      </c>
      <c r="T42" s="32" t="n">
        <v>-0.44</v>
      </c>
      <c r="U42" s="32" t="n">
        <v>74.69</v>
      </c>
      <c r="V42" s="32" t="n">
        <v>75.47</v>
      </c>
      <c r="W42" s="32" t="n">
        <v>17.73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IF(B43=0,"",RANK(B43,$B$2:$B$308,0))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SANGAMIND</t>
        </is>
      </c>
      <c r="D43" s="31" t="inlineStr">
        <is>
          <t>Sangam (india) Limited</t>
        </is>
      </c>
      <c r="E43" s="31" t="inlineStr">
        <is>
          <t>textiles</t>
        </is>
      </c>
      <c r="F43" s="31" t="inlineStr">
        <is>
          <t>textiles - spinning - synthetic / blended</t>
        </is>
      </c>
      <c r="G43" s="31" t="inlineStr">
        <is>
          <t>smallcap</t>
        </is>
      </c>
      <c r="H43" s="32" t="n">
        <v>3094.43</v>
      </c>
      <c r="I43" s="32" t="n">
        <v>612.55</v>
      </c>
      <c r="J43" s="32" t="n">
        <v>-0.54</v>
      </c>
      <c r="K43" s="32" t="n">
        <v>22980</v>
      </c>
      <c r="L43" s="31" t="n">
        <v>58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72.53</v>
      </c>
      <c r="P43" s="32" t="n">
        <v>47.34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-4.31</v>
      </c>
      <c r="U43" s="32" t="n">
        <v>38.56</v>
      </c>
      <c r="V43" s="32" t="n">
        <v>44.79</v>
      </c>
      <c r="W43" s="32" t="n">
        <v>11.4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IF(B44=0,"",RANK(B44,$B$2:$B$308,0))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SANGHVIMOV</t>
        </is>
      </c>
      <c r="D44" s="31" t="inlineStr">
        <is>
          <t>Sanghvi Movers Limited</t>
        </is>
      </c>
      <c r="E44" s="31" t="inlineStr">
        <is>
          <t>miscellaneous</t>
        </is>
      </c>
      <c r="F44" s="31" t="inlineStr">
        <is>
          <t>miscellaneous</t>
        </is>
      </c>
      <c r="G44" s="31" t="inlineStr">
        <is>
          <t>smallcap</t>
        </is>
      </c>
      <c r="H44" s="32" t="n">
        <v>3945.27</v>
      </c>
      <c r="I44" s="32" t="n">
        <v>450</v>
      </c>
      <c r="J44" s="32" t="n">
        <v>-1.25</v>
      </c>
      <c r="K44" s="32" t="n">
        <v>353824</v>
      </c>
      <c r="L44" s="31" t="n">
        <v>88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66.48999999999999</v>
      </c>
      <c r="P44" s="32" t="n">
        <v>35.96</v>
      </c>
      <c r="Q44" s="32" t="inlineStr"/>
      <c r="R44" s="31" t="inlineStr">
        <is>
          <t>Earnings / Momentum Support</t>
        </is>
      </c>
      <c r="S44" s="31" t="inlineStr">
        <is>
          <t>Nifty 50</t>
        </is>
      </c>
      <c r="T44" s="32" t="n">
        <v>-4.31</v>
      </c>
      <c r="U44" s="32" t="n">
        <v>76.28</v>
      </c>
      <c r="V44" s="32" t="n">
        <v>84.20999999999999</v>
      </c>
      <c r="W44" s="32" t="n">
        <v>25.72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IF(B45=0,"",RANK(B45,$B$2:$B$308,0))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NRL</t>
        </is>
      </c>
      <c r="D45" s="31" t="inlineStr">
        <is>
          <t>Nupur Recyclers Ltd</t>
        </is>
      </c>
      <c r="E45" s="31" t="inlineStr">
        <is>
          <t>services</t>
        </is>
      </c>
      <c r="F45" s="31" t="inlineStr">
        <is>
          <t>trading</t>
        </is>
      </c>
      <c r="G45" s="31" t="inlineStr">
        <is>
          <t>smallcap</t>
        </is>
      </c>
      <c r="H45" s="32" t="n">
        <v>725.22</v>
      </c>
      <c r="I45" s="32" t="n">
        <v>103.1</v>
      </c>
      <c r="J45" s="32" t="n">
        <v>-1.81</v>
      </c>
      <c r="K45" s="32" t="n">
        <v>64455</v>
      </c>
      <c r="L45" s="31" t="n">
        <v>91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81.16</v>
      </c>
      <c r="P45" s="32" t="n">
        <v>45.34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-4.31</v>
      </c>
      <c r="U45" s="32" t="n">
        <v>38.85</v>
      </c>
      <c r="V45" s="32" t="n">
        <v>45.1</v>
      </c>
      <c r="W45" s="32" t="n">
        <v>31.24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IF(B46=0,"",RANK(B46,$B$2:$B$308,0))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SPECTRUM</t>
        </is>
      </c>
      <c r="D46" s="31" t="inlineStr">
        <is>
          <t>Spectrum Electrical Industries Ltd</t>
        </is>
      </c>
      <c r="E46" s="31" t="inlineStr">
        <is>
          <t>industrials</t>
        </is>
      </c>
      <c r="F46" s="31" t="inlineStr">
        <is>
          <t>electric equipment</t>
        </is>
      </c>
      <c r="G46" s="31" t="inlineStr">
        <is>
          <t>smallcap</t>
        </is>
      </c>
      <c r="H46" s="32" t="n">
        <v>3585.27</v>
      </c>
      <c r="I46" s="32" t="n">
        <v>2203.1</v>
      </c>
      <c r="J46" s="32" t="n">
        <v>-3.44</v>
      </c>
      <c r="K46" s="32" t="n">
        <v>16799</v>
      </c>
      <c r="L46" s="31" t="n">
        <v>93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74.76000000000001</v>
      </c>
      <c r="P46" s="32" t="n">
        <v>47.7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-4.31</v>
      </c>
      <c r="U46" s="32" t="n">
        <v>45.77</v>
      </c>
      <c r="V46" s="32" t="n">
        <v>52.33</v>
      </c>
      <c r="W46" s="32" t="n">
        <v>34.45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Between 0.7 to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IF(B47=0,"",RANK(B47,$B$2:$B$308,0))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CUPID</t>
        </is>
      </c>
      <c r="D47" s="31" t="inlineStr">
        <is>
          <t>Cupid Limited</t>
        </is>
      </c>
      <c r="E47" s="31" t="inlineStr">
        <is>
          <t>fmcg</t>
        </is>
      </c>
      <c r="F47" s="31" t="inlineStr">
        <is>
          <t>personal care - indian</t>
        </is>
      </c>
      <c r="G47" s="31" t="inlineStr">
        <is>
          <t>largecap</t>
        </is>
      </c>
      <c r="H47" s="32" t="n">
        <v>28699.09</v>
      </c>
      <c r="I47" s="32" t="n">
        <v>221.46</v>
      </c>
      <c r="J47" s="32" t="n">
        <v>3.76</v>
      </c>
      <c r="K47" s="32" t="n">
        <v>24777700</v>
      </c>
      <c r="L47" s="31" t="n">
        <v>99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87.79000000000001</v>
      </c>
      <c r="P47" s="32" t="n">
        <v>67.22</v>
      </c>
      <c r="Q47" s="32" t="inlineStr"/>
      <c r="R47" s="31" t="inlineStr">
        <is>
          <t>Earnings / Momentum Support</t>
        </is>
      </c>
      <c r="S47" s="31" t="inlineStr">
        <is>
          <t>Nifty FMCG</t>
        </is>
      </c>
      <c r="T47" s="32" t="n">
        <v>-13.73</v>
      </c>
      <c r="U47" s="32" t="n">
        <v>631.6900000000001</v>
      </c>
      <c r="V47" s="32" t="n">
        <v>748.13</v>
      </c>
      <c r="W47" s="32" t="n">
        <v>76.51000000000001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IF(B48=0,"",RANK(B48,$B$2:$B$308,0))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THYROCARE</t>
        </is>
      </c>
      <c r="D48" s="31" t="inlineStr">
        <is>
          <t>Thyrocare Technologies Limited</t>
        </is>
      </c>
      <c r="E48" s="31" t="inlineStr">
        <is>
          <t>healthcare</t>
        </is>
      </c>
      <c r="F48" s="31" t="inlineStr">
        <is>
          <t>healthcare</t>
        </is>
      </c>
      <c r="G48" s="31" t="inlineStr">
        <is>
          <t>midcap</t>
        </is>
      </c>
      <c r="H48" s="32" t="n">
        <v>8980.9</v>
      </c>
      <c r="I48" s="32" t="n">
        <v>584.05</v>
      </c>
      <c r="J48" s="32" t="n">
        <v>3.51</v>
      </c>
      <c r="K48" s="32" t="n">
        <v>3960893</v>
      </c>
      <c r="L48" s="31" t="n">
        <v>72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67.27</v>
      </c>
      <c r="P48" s="32" t="n">
        <v>51.99</v>
      </c>
      <c r="Q48" s="32" t="inlineStr"/>
      <c r="R48" s="31" t="inlineStr">
        <is>
          <t>Earnings / Momentum Support</t>
        </is>
      </c>
      <c r="S48" s="31" t="inlineStr">
        <is>
          <t>Nifty Pharma</t>
        </is>
      </c>
      <c r="T48" s="32" t="n">
        <v>12.73</v>
      </c>
      <c r="U48" s="32" t="n">
        <v>31.42</v>
      </c>
      <c r="V48" s="32" t="n">
        <v>16.58</v>
      </c>
      <c r="W48" s="32" t="n">
        <v>16.09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IF(B49=0,"",RANK(B49,$B$2:$B$308,0))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KOPRAN</t>
        </is>
      </c>
      <c r="D49" s="31" t="inlineStr">
        <is>
          <t>Kopran Limited</t>
        </is>
      </c>
      <c r="E49" s="31" t="inlineStr">
        <is>
          <t>healthcare</t>
        </is>
      </c>
      <c r="F49" s="31" t="inlineStr">
        <is>
          <t>pharmaceuticals - indian - bulk drugs &amp; formln</t>
        </is>
      </c>
      <c r="G49" s="31" t="inlineStr">
        <is>
          <t>smallcap</t>
        </is>
      </c>
      <c r="H49" s="32" t="n">
        <v>959.63</v>
      </c>
      <c r="I49" s="32" t="n">
        <v>201.21</v>
      </c>
      <c r="J49" s="32" t="n">
        <v>1.24</v>
      </c>
      <c r="K49" s="32" t="n">
        <v>51205</v>
      </c>
      <c r="L49" s="31" t="n">
        <v>54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62.52</v>
      </c>
      <c r="P49" s="32" t="n">
        <v>39.37</v>
      </c>
      <c r="Q49" s="32" t="inlineStr"/>
      <c r="R49" s="31" t="inlineStr">
        <is>
          <t>Earnings / Momentum Support</t>
        </is>
      </c>
      <c r="S49" s="31" t="inlineStr">
        <is>
          <t>Nifty Pharma</t>
        </is>
      </c>
      <c r="T49" s="32" t="n">
        <v>12.73</v>
      </c>
      <c r="U49" s="32" t="n">
        <v>17.07</v>
      </c>
      <c r="V49" s="32" t="n">
        <v>3.85</v>
      </c>
      <c r="W49" s="32" t="n">
        <v>10.32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IF(B50=0,"",RANK(B50,$B$2:$B$308,0))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PGHL</t>
        </is>
      </c>
      <c r="D50" s="31" t="inlineStr">
        <is>
          <t>Procter &amp; Gamble Health Ltd</t>
        </is>
      </c>
      <c r="E50" s="31" t="inlineStr">
        <is>
          <t>healthcare</t>
        </is>
      </c>
      <c r="F50" s="31" t="inlineStr">
        <is>
          <t>pharmaceuticals - multinational</t>
        </is>
      </c>
      <c r="G50" s="31" t="inlineStr">
        <is>
          <t>midcap</t>
        </is>
      </c>
      <c r="H50" s="32" t="n">
        <v>11144.83</v>
      </c>
      <c r="I50" s="32" t="n">
        <v>6784</v>
      </c>
      <c r="J50" s="32" t="n">
        <v>1.04</v>
      </c>
      <c r="K50" s="32" t="n">
        <v>5453</v>
      </c>
      <c r="L50" s="31" t="n">
        <v>55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76.34999999999999</v>
      </c>
      <c r="P50" s="32" t="n">
        <v>66.56999999999999</v>
      </c>
      <c r="Q50" s="32" t="inlineStr"/>
      <c r="R50" s="31" t="inlineStr">
        <is>
          <t>Earnings / Momentum Support</t>
        </is>
      </c>
      <c r="S50" s="31" t="inlineStr">
        <is>
          <t>Nifty Pharma</t>
        </is>
      </c>
      <c r="T50" s="32" t="n">
        <v>12.73</v>
      </c>
      <c r="U50" s="32" t="n">
        <v>19.87</v>
      </c>
      <c r="V50" s="32" t="n">
        <v>6.33</v>
      </c>
      <c r="W50" s="32" t="n">
        <v>10.71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IF(B51=0,"",RANK(B51,$B$2:$B$308,0))</f>
        <v/>
      </c>
      <c r="B51" s="32">
        <f>SUM(N51,Y51,AA51,AC51,AE51,AG51,AI51,AK51,AM51,AO51,AQ51,AS51,AU51,AW51,AY51,BA51,BC51,BE51,BG51,BI51,BK51,BM51,BO51,BQ51,BS51,BU51,BW51,BY51,CA51,CC51,CE51)</f>
        <v/>
      </c>
      <c r="C51" s="33" t="inlineStr">
        <is>
          <t>SANOFICONR</t>
        </is>
      </c>
      <c r="D51" s="33" t="inlineStr">
        <is>
          <t>Sanofi Consumer Healthcare India Ltd</t>
        </is>
      </c>
      <c r="E51" s="31" t="inlineStr">
        <is>
          <t>healthcare</t>
        </is>
      </c>
      <c r="F51" s="31" t="inlineStr">
        <is>
          <t>pharmaceuticals - multinational</t>
        </is>
      </c>
      <c r="G51" s="31" t="inlineStr">
        <is>
          <t>midcap</t>
        </is>
      </c>
      <c r="H51" s="32" t="n">
        <v>10766.12</v>
      </c>
      <c r="I51" s="32" t="n">
        <v>4685.2</v>
      </c>
      <c r="J51" s="32" t="n">
        <v>0.22</v>
      </c>
      <c r="K51" s="32" t="n">
        <v>4106</v>
      </c>
      <c r="L51" s="31" t="n">
        <v>9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53.47</v>
      </c>
      <c r="P51" s="32" t="n">
        <v>41.29</v>
      </c>
      <c r="Q51" s="32" t="inlineStr"/>
      <c r="R51" s="31" t="inlineStr">
        <is>
          <t>Earnings / Momentum Support</t>
        </is>
      </c>
      <c r="S51" s="31" t="inlineStr">
        <is>
          <t>Nifty Pharma</t>
        </is>
      </c>
      <c r="T51" s="32" t="n">
        <v>12.73</v>
      </c>
      <c r="U51" s="32" t="n">
        <v>-4.64</v>
      </c>
      <c r="V51" s="32" t="n">
        <v>-15.41</v>
      </c>
      <c r="W51" s="32" t="n">
        <v>0.08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IF(B52=0,"",RANK(B52,$B$2:$B$308,0))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IZMO</t>
        </is>
      </c>
      <c r="D52" s="31" t="inlineStr">
        <is>
          <t>Izmo Limited</t>
        </is>
      </c>
      <c r="E52" s="31" t="inlineStr">
        <is>
          <t>i.t</t>
        </is>
      </c>
      <c r="F52" s="31" t="inlineStr">
        <is>
          <t>computers - software - medium / small</t>
        </is>
      </c>
      <c r="G52" s="31" t="inlineStr">
        <is>
          <t>smallcap</t>
        </is>
      </c>
      <c r="H52" s="32" t="n">
        <v>1652.62</v>
      </c>
      <c r="I52" s="32" t="n">
        <v>1104</v>
      </c>
      <c r="J52" s="32" t="n">
        <v>-0.05</v>
      </c>
      <c r="K52" s="32" t="n">
        <v>70875</v>
      </c>
      <c r="L52" s="31" t="n">
        <v>97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66.45999999999999</v>
      </c>
      <c r="P52" s="32" t="n">
        <v>34.41</v>
      </c>
      <c r="Q52" s="32" t="inlineStr"/>
      <c r="R52" s="31" t="inlineStr">
        <is>
          <t>Earnings / Momentum Support</t>
        </is>
      </c>
      <c r="S52" s="31" t="inlineStr">
        <is>
          <t>Nifty IT</t>
        </is>
      </c>
      <c r="T52" s="32" t="n">
        <v>-19.25</v>
      </c>
      <c r="U52" s="32" t="n">
        <v>190.35</v>
      </c>
      <c r="V52" s="32" t="n">
        <v>259.55</v>
      </c>
      <c r="W52" s="32" t="n">
        <v>42.97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IF(B53=0,"",RANK(B53,$B$2:$B$308,0))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VENKEYS</t>
        </is>
      </c>
      <c r="D53" s="31" t="inlineStr">
        <is>
          <t>Venky's (india) Limited</t>
        </is>
      </c>
      <c r="E53" s="31" t="inlineStr">
        <is>
          <t>fmcg</t>
        </is>
      </c>
      <c r="F53" s="31" t="inlineStr">
        <is>
          <t>miscellaneous</t>
        </is>
      </c>
      <c r="G53" s="31" t="inlineStr">
        <is>
          <t>smallcap</t>
        </is>
      </c>
      <c r="H53" s="32" t="n">
        <v>2120.43</v>
      </c>
      <c r="I53" s="32" t="n">
        <v>1503.7</v>
      </c>
      <c r="J53" s="32" t="n">
        <v>-0.1</v>
      </c>
      <c r="K53" s="32" t="n">
        <v>68141</v>
      </c>
      <c r="L53" s="31" t="n">
        <v>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53.75</v>
      </c>
      <c r="P53" s="32" t="n">
        <v>36.86</v>
      </c>
      <c r="Q53" s="32" t="inlineStr"/>
      <c r="R53" s="31" t="inlineStr">
        <is>
          <t>Earnings / Momentum Support</t>
        </is>
      </c>
      <c r="S53" s="31" t="inlineStr">
        <is>
          <t>Nifty FMCG</t>
        </is>
      </c>
      <c r="T53" s="32" t="n">
        <v>-13.73</v>
      </c>
      <c r="U53" s="32" t="n">
        <v>-7.57</v>
      </c>
      <c r="V53" s="32" t="n">
        <v>7.13</v>
      </c>
      <c r="W53" s="32" t="n">
        <v>-3.14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B2C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IF(B54=0,"",RANK(B54,$B$2:$B$308,0))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SKMEGGPROD</t>
        </is>
      </c>
      <c r="D54" s="31" t="inlineStr">
        <is>
          <t>Skm Egg Products Export (india) Limited</t>
        </is>
      </c>
      <c r="E54" s="31" t="inlineStr">
        <is>
          <t>fmcg</t>
        </is>
      </c>
      <c r="F54" s="31" t="inlineStr">
        <is>
          <t>food - processing - indian</t>
        </is>
      </c>
      <c r="G54" s="31" t="inlineStr">
        <is>
          <t>smallcap</t>
        </is>
      </c>
      <c r="H54" s="32" t="n">
        <v>1710.13</v>
      </c>
      <c r="I54" s="32" t="n">
        <v>318.8</v>
      </c>
      <c r="J54" s="32" t="n">
        <v>-1.83</v>
      </c>
      <c r="K54" s="32" t="n">
        <v>363976</v>
      </c>
      <c r="L54" s="31" t="n">
        <v>94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79.78</v>
      </c>
      <c r="P54" s="32" t="n">
        <v>48.79</v>
      </c>
      <c r="Q54" s="32" t="inlineStr"/>
      <c r="R54" s="31" t="inlineStr">
        <is>
          <t>Earnings / Momentum Support</t>
        </is>
      </c>
      <c r="S54" s="31" t="inlineStr">
        <is>
          <t>Nifty FMCG</t>
        </is>
      </c>
      <c r="T54" s="32" t="n">
        <v>-13.73</v>
      </c>
      <c r="U54" s="32" t="n">
        <v>118.17</v>
      </c>
      <c r="V54" s="32" t="n">
        <v>152.89</v>
      </c>
      <c r="W54" s="32" t="n">
        <v>35.71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B2C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IF(B55=0,"",RANK(B55,$B$2:$B$308,0))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MPSLTD</t>
        </is>
      </c>
      <c r="D55" s="31" t="inlineStr">
        <is>
          <t>Mps Limited</t>
        </is>
      </c>
      <c r="E55" s="31" t="inlineStr">
        <is>
          <t>i.t</t>
        </is>
      </c>
      <c r="F55" s="31" t="inlineStr">
        <is>
          <t>computers - software - medium / small</t>
        </is>
      </c>
      <c r="G55" s="31" t="inlineStr">
        <is>
          <t>smallcap</t>
        </is>
      </c>
      <c r="H55" s="32" t="n">
        <v>4737.8</v>
      </c>
      <c r="I55" s="32" t="n">
        <v>2687.1</v>
      </c>
      <c r="J55" s="32" t="n">
        <v>-2.98</v>
      </c>
      <c r="K55" s="32" t="n">
        <v>138352</v>
      </c>
      <c r="L55" s="31" t="n">
        <v>82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78.68000000000001</v>
      </c>
      <c r="P55" s="32" t="n">
        <v>26.49</v>
      </c>
      <c r="Q55" s="32" t="inlineStr"/>
      <c r="R55" s="31" t="inlineStr">
        <is>
          <t>Earnings / Momentum Support</t>
        </is>
      </c>
      <c r="S55" s="31" t="inlineStr">
        <is>
          <t>Nifty IT</t>
        </is>
      </c>
      <c r="T55" s="32" t="n">
        <v>-19.25</v>
      </c>
      <c r="U55" s="32" t="n">
        <v>17.67</v>
      </c>
      <c r="V55" s="32" t="n">
        <v>45.71</v>
      </c>
      <c r="W55" s="32" t="n">
        <v>21.8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IF(B56=0,"",RANK(B56,$B$2:$B$308,0))</f>
        <v/>
      </c>
      <c r="B56" s="32">
        <f>SUM(N56,Y56,AA56,AC56,AE56,AG56,AI56,AK56,AM56,AO56,AQ56,AS56,AU56,AW56,AY56,BA56,BC56,BE56,BG56,BI56,BK56,BM56,BO56,BQ56,BS56,BU56,BW56,BY56,CA56,CC56,CE56)</f>
        <v/>
      </c>
      <c r="C56" s="33" t="inlineStr">
        <is>
          <t>DPABHUSHAN</t>
        </is>
      </c>
      <c r="D56" s="33" t="inlineStr">
        <is>
          <t>D.P. Abhushan Ltd</t>
        </is>
      </c>
      <c r="E56" s="31" t="inlineStr">
        <is>
          <t>consumer discretionary</t>
        </is>
      </c>
      <c r="F56" s="31" t="inlineStr">
        <is>
          <t>diamond cutting / jewellery</t>
        </is>
      </c>
      <c r="G56" s="31" t="inlineStr">
        <is>
          <t>smallcap</t>
        </is>
      </c>
      <c r="H56" s="32" t="n">
        <v>3031.66</v>
      </c>
      <c r="I56" s="32" t="n">
        <v>1412.35</v>
      </c>
      <c r="J56" s="32" t="n">
        <v>6.35</v>
      </c>
      <c r="K56" s="32" t="n">
        <v>96545</v>
      </c>
      <c r="L56" s="31" t="n">
        <v>9</v>
      </c>
      <c r="M56" s="31" t="inlineStr">
        <is>
          <t>Underperforming</t>
        </is>
      </c>
      <c r="N56" s="32">
        <f>IF(M56="Underperforming",-5,IF(L56&gt;=95,15,IF(L56&gt;=90,10,IF(L56&gt;=80,5,0))))</f>
        <v/>
      </c>
      <c r="O56" s="32" t="n">
        <v>61.82</v>
      </c>
      <c r="P56" s="32" t="n">
        <v>29.5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-4.31</v>
      </c>
      <c r="U56" s="32" t="n">
        <v>-20.87</v>
      </c>
      <c r="V56" s="32" t="n">
        <v>-17.31</v>
      </c>
      <c r="W56" s="32" t="n">
        <v>0.22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IF(B57=0,"",RANK(B57,$B$2:$B$308,0))</f>
        <v/>
      </c>
      <c r="B57" s="32">
        <f>SUM(N57,Y57,AA57,AC57,AE57,AG57,AI57,AK57,AM57,AO57,AQ57,AS57,AU57,AW57,AY57,BA57,BC57,BE57,BG57,BI57,BK57,BM57,BO57,BQ57,BS57,BU57,BW57,BY57,CA57,CC57,CE57)</f>
        <v/>
      </c>
      <c r="C57" s="33" t="inlineStr">
        <is>
          <t>NILKAMAL</t>
        </is>
      </c>
      <c r="D57" s="33" t="inlineStr">
        <is>
          <t>Nilkamal Limited</t>
        </is>
      </c>
      <c r="E57" s="31" t="inlineStr">
        <is>
          <t>plastic products</t>
        </is>
      </c>
      <c r="F57" s="31" t="inlineStr">
        <is>
          <t>plastics products</t>
        </is>
      </c>
      <c r="G57" s="31" t="inlineStr">
        <is>
          <t>smallcap</t>
        </is>
      </c>
      <c r="H57" s="32" t="n">
        <v>2501.16</v>
      </c>
      <c r="I57" s="32" t="n">
        <v>1775.2</v>
      </c>
      <c r="J57" s="32" t="n">
        <v>5.91</v>
      </c>
      <c r="K57" s="32" t="n">
        <v>115784</v>
      </c>
      <c r="L57" s="31" t="n">
        <v>36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74.88</v>
      </c>
      <c r="P57" s="32" t="n">
        <v>20.5</v>
      </c>
      <c r="Q57" s="32" t="inlineStr"/>
      <c r="R57" s="31" t="inlineStr">
        <is>
          <t>Earnings / Momentum Support</t>
        </is>
      </c>
      <c r="S57" s="31" t="inlineStr">
        <is>
          <t>Nifty 50</t>
        </is>
      </c>
      <c r="T57" s="32" t="n">
        <v>-4.31</v>
      </c>
      <c r="U57" s="32" t="n">
        <v>-5.27</v>
      </c>
      <c r="V57" s="32" t="n">
        <v>-1.01</v>
      </c>
      <c r="W57" s="32" t="n">
        <v>6.11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IF(B58=0,"",RANK(B58,$B$2:$B$308,0))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THANGAMAYL</t>
        </is>
      </c>
      <c r="D58" s="31" t="inlineStr">
        <is>
          <t>Thangamayil Jewellery Limited</t>
        </is>
      </c>
      <c r="E58" s="31" t="inlineStr">
        <is>
          <t>consumer discretionary</t>
        </is>
      </c>
      <c r="F58" s="31" t="inlineStr">
        <is>
          <t>diamond cutting / jewellery</t>
        </is>
      </c>
      <c r="G58" s="31" t="inlineStr">
        <is>
          <t>largecap</t>
        </is>
      </c>
      <c r="H58" s="32" t="n">
        <v>21466.8</v>
      </c>
      <c r="I58" s="32" t="n">
        <v>7309.5</v>
      </c>
      <c r="J58" s="32" t="n">
        <v>5.84</v>
      </c>
      <c r="K58" s="32" t="n">
        <v>301466</v>
      </c>
      <c r="L58" s="31" t="n">
        <v>98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78.66</v>
      </c>
      <c r="P58" s="32" t="n">
        <v>51.63</v>
      </c>
      <c r="Q58" s="32" t="inlineStr"/>
      <c r="R58" s="31" t="inlineStr">
        <is>
          <t>Earnings / Momentum Support</t>
        </is>
      </c>
      <c r="S58" s="31" t="inlineStr">
        <is>
          <t>Nifty 50</t>
        </is>
      </c>
      <c r="T58" s="32" t="n">
        <v>-4.31</v>
      </c>
      <c r="U58" s="32" t="n">
        <v>277.72</v>
      </c>
      <c r="V58" s="32" t="n">
        <v>294.71</v>
      </c>
      <c r="W58" s="32" t="n">
        <v>51.45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IF(B59=0,"",RANK(B59,$B$2:$B$308,0))</f>
        <v/>
      </c>
      <c r="B59" s="32">
        <f>SUM(N59,Y59,AA59,AC59,AE59,AG59,AI59,AK59,AM59,AO59,AQ59,AS59,AU59,AW59,AY59,BA59,BC59,BE59,BG59,BI59,BK59,BM59,BO59,BQ59,BS59,BU59,BW59,BY59,CA59,CC59,CE59)</f>
        <v/>
      </c>
      <c r="C59" s="33" t="inlineStr">
        <is>
          <t>IMPAL</t>
        </is>
      </c>
      <c r="D59" s="33" t="inlineStr">
        <is>
          <t>India Motor Parts And Accessories Limited</t>
        </is>
      </c>
      <c r="E59" s="31" t="inlineStr">
        <is>
          <t>auto</t>
        </is>
      </c>
      <c r="F59" s="31" t="inlineStr">
        <is>
          <t>auto ancillaries</t>
        </is>
      </c>
      <c r="G59" s="31" t="inlineStr">
        <is>
          <t>smallcap</t>
        </is>
      </c>
      <c r="H59" s="32" t="n">
        <v>1342.97</v>
      </c>
      <c r="I59" s="32" t="n">
        <v>1132.4</v>
      </c>
      <c r="J59" s="32" t="n">
        <v>5.23</v>
      </c>
      <c r="K59" s="32" t="n">
        <v>5400</v>
      </c>
      <c r="L59" s="31" t="n">
        <v>18</v>
      </c>
      <c r="M59" s="31" t="inlineStr">
        <is>
          <t>Underperforming</t>
        </is>
      </c>
      <c r="N59" s="32">
        <f>IF(M59="Underperforming",-5,IF(L59&gt;=95,15,IF(L59&gt;=90,10,IF(L59&gt;=80,5,0))))</f>
        <v/>
      </c>
      <c r="O59" s="32" t="n">
        <v>55.94</v>
      </c>
      <c r="P59" s="32" t="n">
        <v>31.45</v>
      </c>
      <c r="Q59" s="32" t="inlineStr"/>
      <c r="R59" s="31" t="inlineStr">
        <is>
          <t>Earnings / Momentum Support</t>
        </is>
      </c>
      <c r="S59" s="31" t="inlineStr">
        <is>
          <t>Nifty Auto</t>
        </is>
      </c>
      <c r="T59" s="32" t="n">
        <v>13.41</v>
      </c>
      <c r="U59" s="32" t="n">
        <v>0.87</v>
      </c>
      <c r="V59" s="32" t="n">
        <v>-11.06</v>
      </c>
      <c r="W59" s="32" t="n">
        <v>2.24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IF(B60=0,"",RANK(B60,$B$2:$B$308,0))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GRWRHITECH</t>
        </is>
      </c>
      <c r="D60" s="31" t="inlineStr">
        <is>
          <t>Garware Hi Tech Films Ltd</t>
        </is>
      </c>
      <c r="E60" s="31" t="inlineStr">
        <is>
          <t>industrials</t>
        </is>
      </c>
      <c r="F60" s="31" t="inlineStr">
        <is>
          <t>packaging</t>
        </is>
      </c>
      <c r="G60" s="31" t="inlineStr">
        <is>
          <t>midcap</t>
        </is>
      </c>
      <c r="H60" s="32" t="n">
        <v>16037.32</v>
      </c>
      <c r="I60" s="32" t="n">
        <v>7160</v>
      </c>
      <c r="J60" s="32" t="n">
        <v>3.72</v>
      </c>
      <c r="K60" s="32" t="n">
        <v>76292</v>
      </c>
      <c r="L60" s="31" t="n">
        <v>92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76.23</v>
      </c>
      <c r="P60" s="32" t="n">
        <v>55.09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-4.31</v>
      </c>
      <c r="U60" s="32" t="n">
        <v>88.45</v>
      </c>
      <c r="V60" s="32" t="n">
        <v>96.93000000000001</v>
      </c>
      <c r="W60" s="32" t="n">
        <v>32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IF(B61=0,"",RANK(B61,$B$2:$B$308,0))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UFBL</t>
        </is>
      </c>
      <c r="D61" s="31" t="inlineStr">
        <is>
          <t>United Foodbrands Ltd</t>
        </is>
      </c>
      <c r="E61" s="31" t="inlineStr">
        <is>
          <t>consumer discretionary</t>
        </is>
      </c>
      <c r="F61" s="31" t="inlineStr">
        <is>
          <t>hotels</t>
        </is>
      </c>
      <c r="G61" s="31" t="inlineStr">
        <is>
          <t>smallcap</t>
        </is>
      </c>
      <c r="H61" s="32" t="n">
        <v>2637.74</v>
      </c>
      <c r="I61" s="32" t="n">
        <v>699.35</v>
      </c>
      <c r="J61" s="32" t="n">
        <v>3.63</v>
      </c>
      <c r="K61" s="32" t="n">
        <v>100422</v>
      </c>
      <c r="L61" s="31" t="n">
        <v>98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73.41</v>
      </c>
      <c r="P61" s="32" t="n">
        <v>55.18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-4.31</v>
      </c>
      <c r="U61" s="32" t="n">
        <v>120.68</v>
      </c>
      <c r="V61" s="32" t="n">
        <v>130.61</v>
      </c>
      <c r="W61" s="32" t="n">
        <v>54.31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More than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IF(B62=0,"",RANK(B62,$B$2:$B$308,0))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SJS</t>
        </is>
      </c>
      <c r="D62" s="31" t="inlineStr">
        <is>
          <t>S J S Enterprises Ltd</t>
        </is>
      </c>
      <c r="E62" s="31" t="inlineStr">
        <is>
          <t>auto</t>
        </is>
      </c>
      <c r="F62" s="31" t="inlineStr">
        <is>
          <t>plastics products</t>
        </is>
      </c>
      <c r="G62" s="31" t="inlineStr">
        <is>
          <t>midcap</t>
        </is>
      </c>
      <c r="H62" s="32" t="n">
        <v>7475.12</v>
      </c>
      <c r="I62" s="32" t="n">
        <v>2419.3</v>
      </c>
      <c r="J62" s="32" t="n">
        <v>3.58</v>
      </c>
      <c r="K62" s="32" t="n">
        <v>150999</v>
      </c>
      <c r="L62" s="31" t="n">
        <v>76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68.70999999999999</v>
      </c>
      <c r="P62" s="32" t="n">
        <v>38.83</v>
      </c>
      <c r="Q62" s="32" t="inlineStr"/>
      <c r="R62" s="31" t="inlineStr">
        <is>
          <t>Earnings / Momentum Support</t>
        </is>
      </c>
      <c r="S62" s="31" t="inlineStr">
        <is>
          <t>Nifty Auto</t>
        </is>
      </c>
      <c r="T62" s="32" t="n">
        <v>13.41</v>
      </c>
      <c r="U62" s="32" t="n">
        <v>76.45</v>
      </c>
      <c r="V62" s="32" t="n">
        <v>55.58</v>
      </c>
      <c r="W62" s="32" t="n">
        <v>18.09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IF(B63=0,"",RANK(B63,$B$2:$B$308,0))</f>
        <v/>
      </c>
      <c r="B63" s="32">
        <f>SUM(N63,Y63,AA63,AC63,AE63,AG63,AI63,AK63,AM63,AO63,AQ63,AS63,AU63,AW63,AY63,BA63,BC63,BE63,BG63,BI63,BK63,BM63,BO63,BQ63,BS63,BU63,BW63,BY63,CA63,CC63,CE63)</f>
        <v/>
      </c>
      <c r="C63" s="33" t="inlineStr">
        <is>
          <t>JKPAPER</t>
        </is>
      </c>
      <c r="D63" s="33" t="inlineStr">
        <is>
          <t>Jk Paper Limited</t>
        </is>
      </c>
      <c r="E63" s="31" t="inlineStr">
        <is>
          <t>building materials</t>
        </is>
      </c>
      <c r="F63" s="31" t="inlineStr">
        <is>
          <t>paper</t>
        </is>
      </c>
      <c r="G63" s="31" t="inlineStr">
        <is>
          <t>midcap</t>
        </is>
      </c>
      <c r="H63" s="32" t="n">
        <v>7279.04</v>
      </c>
      <c r="I63" s="32" t="n">
        <v>414.55</v>
      </c>
      <c r="J63" s="32" t="n">
        <v>3.26</v>
      </c>
      <c r="K63" s="32" t="n">
        <v>2094793</v>
      </c>
      <c r="L63" s="31" t="n">
        <v>7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64.02</v>
      </c>
      <c r="P63" s="32" t="n">
        <v>22.06</v>
      </c>
      <c r="Q63" s="32" t="inlineStr"/>
      <c r="R63" s="31" t="inlineStr">
        <is>
          <t>Earnings / Momentum Support</t>
        </is>
      </c>
      <c r="S63" s="31" t="inlineStr">
        <is>
          <t>Nifty Infra</t>
        </is>
      </c>
      <c r="T63" s="32" t="n">
        <v>1.74</v>
      </c>
      <c r="U63" s="32" t="n">
        <v>-4.04</v>
      </c>
      <c r="V63" s="32" t="n">
        <v>-5.68</v>
      </c>
      <c r="W63" s="32" t="n">
        <v>-0.71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IF(B64=0,"",RANK(B64,$B$2:$B$308,0))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STOVEKRAFT</t>
        </is>
      </c>
      <c r="D64" s="31" t="inlineStr">
        <is>
          <t>Stove Kraft Ltd</t>
        </is>
      </c>
      <c r="E64" s="31" t="inlineStr">
        <is>
          <t>consumer discretionary</t>
        </is>
      </c>
      <c r="F64" s="31" t="inlineStr">
        <is>
          <t>domestic appliances</t>
        </is>
      </c>
      <c r="G64" s="31" t="inlineStr">
        <is>
          <t>smallcap</t>
        </is>
      </c>
      <c r="H64" s="32" t="n">
        <v>2560.52</v>
      </c>
      <c r="I64" s="32" t="n">
        <v>795.9</v>
      </c>
      <c r="J64" s="32" t="n">
        <v>2.91</v>
      </c>
      <c r="K64" s="32" t="n">
        <v>211211</v>
      </c>
      <c r="L64" s="31" t="n">
        <v>76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71.8</v>
      </c>
      <c r="P64" s="32" t="n">
        <v>44.96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-4.31</v>
      </c>
      <c r="U64" s="32" t="n">
        <v>35.37</v>
      </c>
      <c r="V64" s="32" t="n">
        <v>41.46</v>
      </c>
      <c r="W64" s="32" t="n">
        <v>18.02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IF(B65=0,"",RANK(B65,$B$2:$B$308,0))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SANSERA</t>
        </is>
      </c>
      <c r="D65" s="31" t="inlineStr">
        <is>
          <t>Sansera Engineering Ltd</t>
        </is>
      </c>
      <c r="E65" s="31" t="inlineStr">
        <is>
          <t>auto</t>
        </is>
      </c>
      <c r="F65" s="31" t="inlineStr">
        <is>
          <t>auto ancillaries</t>
        </is>
      </c>
      <c r="G65" s="31" t="inlineStr">
        <is>
          <t>midcap</t>
        </is>
      </c>
      <c r="H65" s="32" t="n">
        <v>19873.66</v>
      </c>
      <c r="I65" s="32" t="n">
        <v>3273</v>
      </c>
      <c r="J65" s="32" t="n">
        <v>2.77</v>
      </c>
      <c r="K65" s="32" t="n">
        <v>106918</v>
      </c>
      <c r="L65" s="31" t="n">
        <v>88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72.97</v>
      </c>
      <c r="P65" s="32" t="n">
        <v>52.34</v>
      </c>
      <c r="Q65" s="32" t="inlineStr"/>
      <c r="R65" s="31" t="inlineStr">
        <is>
          <t>Earnings / Momentum Support</t>
        </is>
      </c>
      <c r="S65" s="31" t="inlineStr">
        <is>
          <t>Nifty Auto</t>
        </is>
      </c>
      <c r="T65" s="32" t="n">
        <v>13.41</v>
      </c>
      <c r="U65" s="32" t="n">
        <v>137.65</v>
      </c>
      <c r="V65" s="32" t="n">
        <v>109.54</v>
      </c>
      <c r="W65" s="32" t="n">
        <v>26.81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Between 50% to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IF(B66=0,"",RANK(B66,$B$2:$B$308,0))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MOTHERSON</t>
        </is>
      </c>
      <c r="D66" s="31" t="inlineStr">
        <is>
          <t>Samvardhana Motherson International Ltd</t>
        </is>
      </c>
      <c r="E66" s="31" t="inlineStr">
        <is>
          <t>auto</t>
        </is>
      </c>
      <c r="F66" s="31" t="inlineStr">
        <is>
          <t>auto ancillaries</t>
        </is>
      </c>
      <c r="G66" s="31" t="inlineStr">
        <is>
          <t>largecap</t>
        </is>
      </c>
      <c r="H66" s="32" t="n">
        <v>153619.91</v>
      </c>
      <c r="I66" s="32" t="n">
        <v>148.97</v>
      </c>
      <c r="J66" s="32" t="n">
        <v>2.35</v>
      </c>
      <c r="K66" s="32" t="n">
        <v>13920800</v>
      </c>
      <c r="L66" s="31" t="n">
        <v>55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62.85</v>
      </c>
      <c r="P66" s="32" t="n">
        <v>32.15</v>
      </c>
      <c r="Q66" s="32" t="inlineStr"/>
      <c r="R66" s="31" t="inlineStr">
        <is>
          <t>Earnings / Momentum Support</t>
        </is>
      </c>
      <c r="S66" s="31" t="inlineStr">
        <is>
          <t>Nifty Auto</t>
        </is>
      </c>
      <c r="T66" s="32" t="n">
        <v>13.41</v>
      </c>
      <c r="U66" s="32" t="n">
        <v>43.48</v>
      </c>
      <c r="V66" s="32" t="n">
        <v>26.51</v>
      </c>
      <c r="W66" s="32" t="n">
        <v>10.72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IF(B67=0,"",RANK(B67,$B$2:$B$308,0))</f>
        <v/>
      </c>
      <c r="B67" s="32">
        <f>SUM(N67,Y67,AA67,AC67,AE67,AG67,AI67,AK67,AM67,AO67,AQ67,AS67,AU67,AW67,AY67,BA67,BC67,BE67,BG67,BI67,BK67,BM67,BO67,BQ67,BS67,BU67,BW67,BY67,CA67,CC67,CE67)</f>
        <v/>
      </c>
      <c r="C67" s="33" t="inlineStr">
        <is>
          <t>SSWL</t>
        </is>
      </c>
      <c r="D67" s="33" t="inlineStr">
        <is>
          <t>Steel Strips Wheels Limited</t>
        </is>
      </c>
      <c r="E67" s="31" t="inlineStr">
        <is>
          <t>auto</t>
        </is>
      </c>
      <c r="F67" s="31" t="inlineStr">
        <is>
          <t>auto ancillaries</t>
        </is>
      </c>
      <c r="G67" s="31" t="inlineStr">
        <is>
          <t>smallcap</t>
        </is>
      </c>
      <c r="H67" s="32" t="n">
        <v>4531.67</v>
      </c>
      <c r="I67" s="32" t="n">
        <v>293.95</v>
      </c>
      <c r="J67" s="32" t="n">
        <v>1.96</v>
      </c>
      <c r="K67" s="32" t="n">
        <v>1751734</v>
      </c>
      <c r="L67" s="31" t="n">
        <v>35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72.62</v>
      </c>
      <c r="P67" s="32" t="n">
        <v>20.01</v>
      </c>
      <c r="Q67" s="32" t="inlineStr"/>
      <c r="R67" s="31" t="inlineStr">
        <is>
          <t>Earnings / Momentum Support</t>
        </is>
      </c>
      <c r="S67" s="31" t="inlineStr">
        <is>
          <t>Nifty Auto</t>
        </is>
      </c>
      <c r="T67" s="32" t="n">
        <v>13.41</v>
      </c>
      <c r="U67" s="32" t="n">
        <v>4.51</v>
      </c>
      <c r="V67" s="32" t="n">
        <v>-7.85</v>
      </c>
      <c r="W67" s="32" t="n">
        <v>5.81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IF(B68=0,"",RANK(B68,$B$2:$B$308,0))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TTKPRESTIG</t>
        </is>
      </c>
      <c r="D68" s="31" t="inlineStr">
        <is>
          <t>Ttk Prestige Limited</t>
        </is>
      </c>
      <c r="E68" s="31" t="inlineStr">
        <is>
          <t>consumer discretionary</t>
        </is>
      </c>
      <c r="F68" s="31" t="inlineStr">
        <is>
          <t>domestic appliances</t>
        </is>
      </c>
      <c r="G68" s="31" t="inlineStr">
        <is>
          <t>midcap</t>
        </is>
      </c>
      <c r="H68" s="32" t="n">
        <v>8810.74</v>
      </c>
      <c r="I68" s="32" t="n">
        <v>655.35</v>
      </c>
      <c r="J68" s="32" t="n">
        <v>1.87</v>
      </c>
      <c r="K68" s="32" t="n">
        <v>67198</v>
      </c>
      <c r="L68" s="31" t="n">
        <v>36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63.6</v>
      </c>
      <c r="P68" s="32" t="n">
        <v>41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-4.31</v>
      </c>
      <c r="U68" s="32" t="n">
        <v>2.97</v>
      </c>
      <c r="V68" s="32" t="n">
        <v>7.61</v>
      </c>
      <c r="W68" s="32" t="n">
        <v>6.04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IF(B69=0,"",RANK(B69,$B$2:$B$308,0))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SOLARINDS</t>
        </is>
      </c>
      <c r="D69" s="31" t="inlineStr">
        <is>
          <t>Solar Industries India Limited</t>
        </is>
      </c>
      <c r="E69" s="31" t="inlineStr">
        <is>
          <t>aerospace &amp; defence</t>
        </is>
      </c>
      <c r="F69" s="31" t="inlineStr">
        <is>
          <t>chemicals</t>
        </is>
      </c>
      <c r="G69" s="31" t="inlineStr">
        <is>
          <t>largecap</t>
        </is>
      </c>
      <c r="H69" s="32" t="n">
        <v>167352.31</v>
      </c>
      <c r="I69" s="32" t="n">
        <v>18628</v>
      </c>
      <c r="J69" s="32" t="n">
        <v>0.72</v>
      </c>
      <c r="K69" s="32" t="n">
        <v>55560</v>
      </c>
      <c r="L69" s="31" t="n">
        <v>54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65.25</v>
      </c>
      <c r="P69" s="32" t="n">
        <v>40.26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-4.31</v>
      </c>
      <c r="U69" s="32" t="n">
        <v>27.5</v>
      </c>
      <c r="V69" s="32" t="n">
        <v>33.24</v>
      </c>
      <c r="W69" s="32" t="n">
        <v>10.31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IF(B70=0,"",RANK(B70,$B$2:$B$308,0))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SONACOMS</t>
        </is>
      </c>
      <c r="D70" s="31" t="inlineStr">
        <is>
          <t>Sona BLW Precision Forgings Ltd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largecap</t>
        </is>
      </c>
      <c r="H70" s="32" t="n">
        <v>44658.98</v>
      </c>
      <c r="I70" s="32" t="n">
        <v>720.9</v>
      </c>
      <c r="J70" s="32" t="n">
        <v>0.41</v>
      </c>
      <c r="K70" s="32" t="n">
        <v>2803460</v>
      </c>
      <c r="L70" s="31" t="n">
        <v>61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75.94</v>
      </c>
      <c r="P70" s="32" t="n">
        <v>43.85</v>
      </c>
      <c r="Q70" s="32" t="inlineStr"/>
      <c r="R70" s="31" t="inlineStr">
        <is>
          <t>Earnings / Momentum Support</t>
        </is>
      </c>
      <c r="S70" s="31" t="inlineStr">
        <is>
          <t>Nifty Auto</t>
        </is>
      </c>
      <c r="T70" s="32" t="n">
        <v>13.41</v>
      </c>
      <c r="U70" s="32" t="n">
        <v>47.83</v>
      </c>
      <c r="V70" s="32" t="n">
        <v>30.34</v>
      </c>
      <c r="W70" s="32" t="n">
        <v>12.69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IF(B71=0,"",RANK(B71,$B$2:$B$308,0))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CENTURYPLY</t>
        </is>
      </c>
      <c r="D71" s="31" t="inlineStr">
        <is>
          <t>Century Plyboards (india) Limited</t>
        </is>
      </c>
      <c r="E71" s="31" t="inlineStr">
        <is>
          <t>building materials</t>
        </is>
      </c>
      <c r="F71" s="31" t="inlineStr">
        <is>
          <t>miscellaneous</t>
        </is>
      </c>
      <c r="G71" s="31" t="inlineStr">
        <is>
          <t>midcap</t>
        </is>
      </c>
      <c r="H71" s="32" t="n">
        <v>17600.54</v>
      </c>
      <c r="I71" s="32" t="n">
        <v>792.65</v>
      </c>
      <c r="J71" s="32" t="n">
        <v>0.06</v>
      </c>
      <c r="K71" s="32" t="n">
        <v>37113</v>
      </c>
      <c r="L71" s="31" t="n">
        <v>20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55.94</v>
      </c>
      <c r="P71" s="32" t="n">
        <v>21.26</v>
      </c>
      <c r="Q71" s="32" t="inlineStr"/>
      <c r="R71" s="31" t="inlineStr">
        <is>
          <t>Earnings / Momentum Support</t>
        </is>
      </c>
      <c r="S71" s="31" t="inlineStr">
        <is>
          <t>Nifty Infra</t>
        </is>
      </c>
      <c r="T71" s="32" t="n">
        <v>1.74</v>
      </c>
      <c r="U71" s="32" t="n">
        <v>10.65</v>
      </c>
      <c r="V71" s="32" t="n">
        <v>8.76</v>
      </c>
      <c r="W71" s="32" t="n">
        <v>2.96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IF(B72=0,"",RANK(B72,$B$2:$B$308,0))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HITECHCORP</t>
        </is>
      </c>
      <c r="D72" s="31" t="inlineStr">
        <is>
          <t>Hitech Corporation</t>
        </is>
      </c>
      <c r="E72" s="31" t="inlineStr">
        <is>
          <t>industrials</t>
        </is>
      </c>
      <c r="F72" s="31" t="inlineStr">
        <is>
          <t>packaging</t>
        </is>
      </c>
      <c r="G72" s="31" t="inlineStr">
        <is>
          <t>smallcap</t>
        </is>
      </c>
      <c r="H72" s="32" t="n">
        <v>550.05</v>
      </c>
      <c r="I72" s="32" t="n">
        <v>319.35</v>
      </c>
      <c r="J72" s="32" t="n">
        <v>-0.28</v>
      </c>
      <c r="K72" s="32" t="n">
        <v>3887</v>
      </c>
      <c r="L72" s="31" t="n">
        <v>97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80.03</v>
      </c>
      <c r="P72" s="32" t="n">
        <v>51.79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-4.31</v>
      </c>
      <c r="U72" s="32" t="n">
        <v>60.99</v>
      </c>
      <c r="V72" s="32" t="n">
        <v>68.23999999999999</v>
      </c>
      <c r="W72" s="32" t="n">
        <v>45.5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IF(B73=0,"",RANK(B73,$B$2:$B$308,0))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HUHTAMAKI</t>
        </is>
      </c>
      <c r="D73" s="31" t="inlineStr">
        <is>
          <t>Huhtamaki India Ltd</t>
        </is>
      </c>
      <c r="E73" s="31" t="inlineStr">
        <is>
          <t>industrials</t>
        </is>
      </c>
      <c r="F73" s="31" t="inlineStr">
        <is>
          <t>packaging</t>
        </is>
      </c>
      <c r="G73" s="31" t="inlineStr">
        <is>
          <t>smallcap</t>
        </is>
      </c>
      <c r="H73" s="32" t="n">
        <v>2406.73</v>
      </c>
      <c r="I73" s="32" t="n">
        <v>312.61</v>
      </c>
      <c r="J73" s="32" t="n">
        <v>-1.9</v>
      </c>
      <c r="K73" s="32" t="n">
        <v>3886901</v>
      </c>
      <c r="L73" s="31" t="n">
        <v>91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81.59</v>
      </c>
      <c r="P73" s="32" t="n">
        <v>24.01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-4.31</v>
      </c>
      <c r="U73" s="32" t="n">
        <v>47.36</v>
      </c>
      <c r="V73" s="32" t="n">
        <v>53.99</v>
      </c>
      <c r="W73" s="32" t="n">
        <v>29.63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IF(B74=0,"",RANK(B74,$B$2:$B$308,0))</f>
        <v/>
      </c>
      <c r="B74" s="32">
        <f>SUM(N74,Y74,AA74,AC74,AE74,AG74,AI74,AK74,AM74,AO74,AQ74,AS74,AU74,AW74,AY74,BA74,BC74,BE74,BG74,BI74,BK74,BM74,BO74,BQ74,BS74,BU74,BW74,BY74,CA74,CC74,CE74)</f>
        <v/>
      </c>
      <c r="C74" s="33" t="inlineStr">
        <is>
          <t>SREEL</t>
        </is>
      </c>
      <c r="D74" s="33" t="inlineStr">
        <is>
          <t>Sreeleathers Limited</t>
        </is>
      </c>
      <c r="E74" s="31" t="inlineStr">
        <is>
          <t>consumer discretionary</t>
        </is>
      </c>
      <c r="F74" s="31" t="inlineStr">
        <is>
          <t>trading</t>
        </is>
      </c>
      <c r="G74" s="31" t="inlineStr">
        <is>
          <t>smallcap</t>
        </is>
      </c>
      <c r="H74" s="32" t="n">
        <v>527.86</v>
      </c>
      <c r="I74" s="32" t="n">
        <v>222.71</v>
      </c>
      <c r="J74" s="32" t="n">
        <v>-2.31</v>
      </c>
      <c r="K74" s="32" t="n">
        <v>8964</v>
      </c>
      <c r="L74" s="31" t="n">
        <v>33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65.98</v>
      </c>
      <c r="P74" s="32" t="n">
        <v>36.03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-4.31</v>
      </c>
      <c r="U74" s="32" t="n">
        <v>-4.6</v>
      </c>
      <c r="V74" s="32" t="n">
        <v>-0.31</v>
      </c>
      <c r="W74" s="32" t="n">
        <v>5.53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IF(B75=0,"",RANK(B75,$B$2:$B$308,0))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SAREGAMA</t>
        </is>
      </c>
      <c r="D75" s="31" t="inlineStr">
        <is>
          <t>Saregama India Limited</t>
        </is>
      </c>
      <c r="E75" s="31" t="inlineStr">
        <is>
          <t>media</t>
        </is>
      </c>
      <c r="F75" s="31" t="inlineStr">
        <is>
          <t>entertainment / electronic media software</t>
        </is>
      </c>
      <c r="G75" s="31" t="inlineStr">
        <is>
          <t>midcap</t>
        </is>
      </c>
      <c r="H75" s="32" t="n">
        <v>9572.99</v>
      </c>
      <c r="I75" s="32" t="n">
        <v>514.85</v>
      </c>
      <c r="J75" s="32" t="n">
        <v>3.7</v>
      </c>
      <c r="K75" s="32" t="n">
        <v>625299</v>
      </c>
      <c r="L75" s="31" t="n">
        <v>59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70.02</v>
      </c>
      <c r="P75" s="32" t="n">
        <v>44.05</v>
      </c>
      <c r="Q75" s="32" t="inlineStr"/>
      <c r="R75" s="31" t="inlineStr">
        <is>
          <t>Earnings / Momentum Support</t>
        </is>
      </c>
      <c r="S75" s="31" t="inlineStr">
        <is>
          <t>Nifty IT</t>
        </is>
      </c>
      <c r="T75" s="32" t="n">
        <v>-19.25</v>
      </c>
      <c r="U75" s="32" t="n">
        <v>3.34</v>
      </c>
      <c r="V75" s="32" t="n">
        <v>27.97</v>
      </c>
      <c r="W75" s="32" t="n">
        <v>11.65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IF(B76=0,"",RANK(B76,$B$2:$B$308,0))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NEULANDLAB</t>
        </is>
      </c>
      <c r="D76" s="31" t="inlineStr">
        <is>
          <t>Neuland Laboratories Limited</t>
        </is>
      </c>
      <c r="E76" s="31" t="inlineStr">
        <is>
          <t>healthcare</t>
        </is>
      </c>
      <c r="F76" s="31" t="inlineStr">
        <is>
          <t>pharmaceuticals - indian - bulk drugs</t>
        </is>
      </c>
      <c r="G76" s="31" t="inlineStr">
        <is>
          <t>largecap</t>
        </is>
      </c>
      <c r="H76" s="32" t="n">
        <v>23794.31</v>
      </c>
      <c r="I76" s="32" t="n">
        <v>18994</v>
      </c>
      <c r="J76" s="32" t="n">
        <v>2.42</v>
      </c>
      <c r="K76" s="32" t="n">
        <v>27760</v>
      </c>
      <c r="L76" s="31" t="n">
        <v>64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63.62</v>
      </c>
      <c r="P76" s="32" t="n">
        <v>45.96</v>
      </c>
      <c r="Q76" s="32" t="inlineStr"/>
      <c r="R76" s="31" t="inlineStr">
        <is>
          <t>Earnings / Momentum Support</t>
        </is>
      </c>
      <c r="S76" s="31" t="inlineStr">
        <is>
          <t>Nifty Pharma</t>
        </is>
      </c>
      <c r="T76" s="32" t="n">
        <v>12.73</v>
      </c>
      <c r="U76" s="32" t="n">
        <v>35.03</v>
      </c>
      <c r="V76" s="32" t="n">
        <v>19.78</v>
      </c>
      <c r="W76" s="32" t="n">
        <v>13.19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IF(B77=0,"",RANK(B77,$B$2:$B$308,0))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SENORES</t>
        </is>
      </c>
      <c r="D77" s="31" t="inlineStr">
        <is>
          <t>Senores Pharmaceuticals Ltd</t>
        </is>
      </c>
      <c r="E77" s="31" t="inlineStr">
        <is>
          <t>healthcare</t>
        </is>
      </c>
      <c r="F77" s="31" t="inlineStr">
        <is>
          <t>pharmaceuticals - indian - formulations</t>
        </is>
      </c>
      <c r="G77" s="31" t="inlineStr">
        <is>
          <t>midcap</t>
        </is>
      </c>
      <c r="H77" s="32" t="n">
        <v>6389.94</v>
      </c>
      <c r="I77" s="32" t="n">
        <v>1412</v>
      </c>
      <c r="J77" s="32" t="n">
        <v>1.77</v>
      </c>
      <c r="K77" s="32" t="n">
        <v>422207</v>
      </c>
      <c r="L77" s="31" t="n">
        <v>90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74.84</v>
      </c>
      <c r="P77" s="32" t="n">
        <v>63.31</v>
      </c>
      <c r="Q77" s="32" t="inlineStr"/>
      <c r="R77" s="31" t="inlineStr">
        <is>
          <t>Earnings / Momentum Support</t>
        </is>
      </c>
      <c r="S77" s="31" t="inlineStr">
        <is>
          <t>Nifty Pharma</t>
        </is>
      </c>
      <c r="T77" s="32" t="n">
        <v>12.73</v>
      </c>
      <c r="U77" s="32" t="n">
        <v>107.41</v>
      </c>
      <c r="V77" s="32" t="n">
        <v>83.98999999999999</v>
      </c>
      <c r="W77" s="32" t="n">
        <v>28.35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Yes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IF(B78=0,"",RANK(B78,$B$2:$B$308,0))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VADILALIND</t>
        </is>
      </c>
      <c r="D78" s="31" t="inlineStr">
        <is>
          <t>Vadilal Industries Limited</t>
        </is>
      </c>
      <c r="E78" s="31" t="inlineStr">
        <is>
          <t>fmcg</t>
        </is>
      </c>
      <c r="F78" s="31" t="inlineStr">
        <is>
          <t>food - processing - indian</t>
        </is>
      </c>
      <c r="G78" s="31" t="inlineStr">
        <is>
          <t>smallcap</t>
        </is>
      </c>
      <c r="H78" s="32" t="n">
        <v>4823.39</v>
      </c>
      <c r="I78" s="32" t="n">
        <v>6761.5</v>
      </c>
      <c r="J78" s="32" t="n">
        <v>0.76</v>
      </c>
      <c r="K78" s="32" t="n">
        <v>5183</v>
      </c>
      <c r="L78" s="31" t="n">
        <v>71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72.5</v>
      </c>
      <c r="P78" s="32" t="n">
        <v>32.58</v>
      </c>
      <c r="Q78" s="32" t="inlineStr"/>
      <c r="R78" s="31" t="inlineStr">
        <is>
          <t>Earnings / Momentum Support</t>
        </is>
      </c>
      <c r="S78" s="31" t="inlineStr">
        <is>
          <t>Nifty FMCG</t>
        </is>
      </c>
      <c r="T78" s="32" t="n">
        <v>-13.73</v>
      </c>
      <c r="U78" s="32" t="n">
        <v>26.81</v>
      </c>
      <c r="V78" s="32" t="n">
        <v>46.99</v>
      </c>
      <c r="W78" s="32" t="n">
        <v>15.98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B2C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IF(B79=0,"",RANK(B79,$B$2:$B$308,0))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NOVARTIND</t>
        </is>
      </c>
      <c r="D79" s="31" t="inlineStr">
        <is>
          <t>Novartis India Ltd</t>
        </is>
      </c>
      <c r="E79" s="31" t="inlineStr">
        <is>
          <t>healthcare</t>
        </is>
      </c>
      <c r="F79" s="31" t="inlineStr">
        <is>
          <t>pharmaceuticals - multinational</t>
        </is>
      </c>
      <c r="G79" s="31" t="inlineStr">
        <is>
          <t>smallcap</t>
        </is>
      </c>
      <c r="H79" s="32" t="n">
        <v>4052.25</v>
      </c>
      <c r="I79" s="32" t="n">
        <v>1631</v>
      </c>
      <c r="J79" s="32" t="n">
        <v>-0.62</v>
      </c>
      <c r="K79" s="32" t="n">
        <v>17325</v>
      </c>
      <c r="L79" s="31" t="n">
        <v>89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74.90000000000001</v>
      </c>
      <c r="P79" s="32" t="n">
        <v>72.34</v>
      </c>
      <c r="Q79" s="32" t="inlineStr"/>
      <c r="R79" s="31" t="inlineStr">
        <is>
          <t>Earnings / Momentum Support</t>
        </is>
      </c>
      <c r="S79" s="31" t="inlineStr">
        <is>
          <t>Nifty Pharma</t>
        </is>
      </c>
      <c r="T79" s="32" t="n">
        <v>12.73</v>
      </c>
      <c r="U79" s="32" t="n">
        <v>61.69</v>
      </c>
      <c r="V79" s="32" t="n">
        <v>43.42</v>
      </c>
      <c r="W79" s="32" t="n">
        <v>28.16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Between 12 to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IF(B80=0,"",RANK(B80,$B$2:$B$308,0))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GABRIEL</t>
        </is>
      </c>
      <c r="D80" s="31" t="inlineStr">
        <is>
          <t>Gabriel India Limited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largecap</t>
        </is>
      </c>
      <c r="H80" s="32" t="n">
        <v>24165.31</v>
      </c>
      <c r="I80" s="32" t="n">
        <v>1437.8</v>
      </c>
      <c r="J80" s="32" t="n">
        <v>5.45</v>
      </c>
      <c r="K80" s="32" t="n">
        <v>662635</v>
      </c>
      <c r="L80" s="31" t="n">
        <v>66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69.61</v>
      </c>
      <c r="P80" s="32" t="n">
        <v>30.82</v>
      </c>
      <c r="Q80" s="32" t="inlineStr"/>
      <c r="R80" s="31" t="inlineStr">
        <is>
          <t>Earnings / Momentum Support</t>
        </is>
      </c>
      <c r="S80" s="31" t="inlineStr">
        <is>
          <t>Nifty Auto</t>
        </is>
      </c>
      <c r="T80" s="32" t="n">
        <v>13.41</v>
      </c>
      <c r="U80" s="32" t="n">
        <v>32.19</v>
      </c>
      <c r="V80" s="32" t="n">
        <v>16.56</v>
      </c>
      <c r="W80" s="32" t="n">
        <v>14.07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Between 1.5 to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IF(B81=0,"",RANK(B81,$B$2:$B$308,0))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VAIBHAVGBL</t>
        </is>
      </c>
      <c r="D81" s="31" t="inlineStr">
        <is>
          <t>Vaibhav Global Limited</t>
        </is>
      </c>
      <c r="E81" s="31" t="inlineStr">
        <is>
          <t>consumer discretionary</t>
        </is>
      </c>
      <c r="F81" s="31" t="inlineStr">
        <is>
          <t>diamond cutting / jewellery</t>
        </is>
      </c>
      <c r="G81" s="31" t="inlineStr">
        <is>
          <t>smallcap</t>
        </is>
      </c>
      <c r="H81" s="32" t="n">
        <v>4216.27</v>
      </c>
      <c r="I81" s="32" t="n">
        <v>264.99</v>
      </c>
      <c r="J81" s="32" t="n">
        <v>5.18</v>
      </c>
      <c r="K81" s="32" t="n">
        <v>675981</v>
      </c>
      <c r="L81" s="31" t="n">
        <v>36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58.25</v>
      </c>
      <c r="P81" s="32" t="n">
        <v>23.34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-4.31</v>
      </c>
      <c r="U81" s="32" t="n">
        <v>10.96</v>
      </c>
      <c r="V81" s="32" t="n">
        <v>15.96</v>
      </c>
      <c r="W81" s="32" t="n">
        <v>6.02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IF(B82=0,"",RANK(B82,$B$2:$B$308,0))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MUNJALAU</t>
        </is>
      </c>
      <c r="D82" s="31" t="inlineStr">
        <is>
          <t>Munjal Auto Industries Limited</t>
        </is>
      </c>
      <c r="E82" s="31" t="inlineStr">
        <is>
          <t>auto</t>
        </is>
      </c>
      <c r="F82" s="31" t="inlineStr">
        <is>
          <t>auto ancillaries</t>
        </is>
      </c>
      <c r="G82" s="31" t="inlineStr">
        <is>
          <t>smallcap</t>
        </is>
      </c>
      <c r="H82" s="32" t="n">
        <v>997.7</v>
      </c>
      <c r="I82" s="32" t="n">
        <v>104.9</v>
      </c>
      <c r="J82" s="32" t="n">
        <v>5.14</v>
      </c>
      <c r="K82" s="32" t="n">
        <v>1121215</v>
      </c>
      <c r="L82" s="31" t="n">
        <v>61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62.52</v>
      </c>
      <c r="P82" s="32" t="n">
        <v>40.81</v>
      </c>
      <c r="Q82" s="32" t="inlineStr"/>
      <c r="R82" s="31" t="inlineStr">
        <is>
          <t>Earnings / Momentum Support</t>
        </is>
      </c>
      <c r="S82" s="31" t="inlineStr">
        <is>
          <t>Nifty Auto</t>
        </is>
      </c>
      <c r="T82" s="32" t="n">
        <v>13.41</v>
      </c>
      <c r="U82" s="32" t="n">
        <v>32.99</v>
      </c>
      <c r="V82" s="32" t="n">
        <v>17.26</v>
      </c>
      <c r="W82" s="32" t="n">
        <v>12.5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IF(B83=0,"",RANK(B83,$B$2:$B$308,0))</f>
        <v/>
      </c>
      <c r="B83" s="32">
        <f>SUM(N83,Y83,AA83,AC83,AE83,AG83,AI83,AK83,AM83,AO83,AQ83,AS83,AU83,AW83,AY83,BA83,BC83,BE83,BG83,BI83,BK83,BM83,BO83,BQ83,BS83,BU83,BW83,BY83,CA83,CC83,CE83)</f>
        <v/>
      </c>
      <c r="C83" s="33" t="inlineStr">
        <is>
          <t>WSTCSTPAPR</t>
        </is>
      </c>
      <c r="D83" s="33" t="inlineStr">
        <is>
          <t>West Coast Paper Mills Limited</t>
        </is>
      </c>
      <c r="E83" s="31" t="inlineStr">
        <is>
          <t>building materials</t>
        </is>
      </c>
      <c r="F83" s="31" t="inlineStr">
        <is>
          <t>paper</t>
        </is>
      </c>
      <c r="G83" s="31" t="inlineStr">
        <is>
          <t>smallcap</t>
        </is>
      </c>
      <c r="H83" s="32" t="n">
        <v>3656.14</v>
      </c>
      <c r="I83" s="32" t="n">
        <v>581.7</v>
      </c>
      <c r="J83" s="32" t="n">
        <v>5.09</v>
      </c>
      <c r="K83" s="32" t="n">
        <v>542425</v>
      </c>
      <c r="L83" s="31" t="n">
        <v>11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62.88</v>
      </c>
      <c r="P83" s="32" t="n">
        <v>39.24</v>
      </c>
      <c r="Q83" s="32" t="inlineStr"/>
      <c r="R83" s="31" t="inlineStr">
        <is>
          <t>Earnings / Momentum Support</t>
        </is>
      </c>
      <c r="S83" s="31" t="inlineStr">
        <is>
          <t>Nifty Infra</t>
        </is>
      </c>
      <c r="T83" s="32" t="n">
        <v>1.74</v>
      </c>
      <c r="U83" s="32" t="n">
        <v>-6.14</v>
      </c>
      <c r="V83" s="32" t="n">
        <v>-7.75</v>
      </c>
      <c r="W83" s="32" t="n">
        <v>0.65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Between 12 to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IF(B84=0,"",RANK(B84,$B$2:$B$308,0))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JAYAGROGN</t>
        </is>
      </c>
      <c r="D84" s="31" t="inlineStr">
        <is>
          <t>Jayant Agro Organics Limited</t>
        </is>
      </c>
      <c r="E84" s="31" t="inlineStr">
        <is>
          <t>chemicals</t>
        </is>
      </c>
      <c r="F84" s="31" t="inlineStr">
        <is>
          <t>chemicals</t>
        </is>
      </c>
      <c r="G84" s="31" t="inlineStr">
        <is>
          <t>smallcap</t>
        </is>
      </c>
      <c r="H84" s="32" t="n">
        <v>666.96</v>
      </c>
      <c r="I84" s="32" t="n">
        <v>232.68</v>
      </c>
      <c r="J84" s="32" t="n">
        <v>4.66</v>
      </c>
      <c r="K84" s="32" t="n">
        <v>13851</v>
      </c>
      <c r="L84" s="31" t="n">
        <v>10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57.07</v>
      </c>
      <c r="P84" s="32" t="n">
        <v>36.73</v>
      </c>
      <c r="Q84" s="32" t="inlineStr"/>
      <c r="R84" s="31" t="inlineStr">
        <is>
          <t>Earnings / Momentum Support</t>
        </is>
      </c>
      <c r="S84" s="31" t="inlineStr">
        <is>
          <t>Nifty IT</t>
        </is>
      </c>
      <c r="T84" s="32" t="n">
        <v>-19.25</v>
      </c>
      <c r="U84" s="32" t="n">
        <v>-14.82</v>
      </c>
      <c r="V84" s="32" t="n">
        <v>5.48</v>
      </c>
      <c r="W84" s="32" t="n">
        <v>0.51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IF(B85=0,"",RANK(B85,$B$2:$B$308,0))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BHAGYANGR</t>
        </is>
      </c>
      <c r="D85" s="31" t="inlineStr">
        <is>
          <t>Bhagyanagar India</t>
        </is>
      </c>
      <c r="E85" s="31" t="inlineStr">
        <is>
          <t>power &amp; utilities</t>
        </is>
      </c>
      <c r="F85" s="31" t="inlineStr">
        <is>
          <t>power generation and supply</t>
        </is>
      </c>
      <c r="G85" s="31" t="inlineStr">
        <is>
          <t>smallcap</t>
        </is>
      </c>
      <c r="H85" s="32" t="n">
        <v>1314.67</v>
      </c>
      <c r="I85" s="32" t="n">
        <v>426.7</v>
      </c>
      <c r="J85" s="32" t="n">
        <v>3.85</v>
      </c>
      <c r="K85" s="32" t="n">
        <v>278017</v>
      </c>
      <c r="L85" s="31" t="n">
        <v>98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79.56999999999999</v>
      </c>
      <c r="P85" s="32" t="n">
        <v>71.23</v>
      </c>
      <c r="Q85" s="32" t="inlineStr"/>
      <c r="R85" s="31" t="inlineStr">
        <is>
          <t>Earnings / Momentum Support</t>
        </is>
      </c>
      <c r="S85" s="31" t="inlineStr">
        <is>
          <t>Nifty IT</t>
        </is>
      </c>
      <c r="T85" s="32" t="n">
        <v>-19.25</v>
      </c>
      <c r="U85" s="32" t="n">
        <v>318.35</v>
      </c>
      <c r="V85" s="32" t="n">
        <v>418.04</v>
      </c>
      <c r="W85" s="32" t="n">
        <v>54.66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IF(B86=0,"",RANK(B86,$B$2:$B$308,0))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KRISHANA</t>
        </is>
      </c>
      <c r="D86" s="31" t="inlineStr">
        <is>
          <t>Krishana Phoschem Ltd</t>
        </is>
      </c>
      <c r="E86" s="31" t="inlineStr">
        <is>
          <t>chemicals</t>
        </is>
      </c>
      <c r="F86" s="31" t="inlineStr">
        <is>
          <t>fertilizers</t>
        </is>
      </c>
      <c r="G86" s="31" t="inlineStr">
        <is>
          <t>smallcap</t>
        </is>
      </c>
      <c r="H86" s="32" t="n">
        <v>1001.92</v>
      </c>
      <c r="I86" s="32" t="n">
        <v>167.65</v>
      </c>
      <c r="J86" s="32" t="n">
        <v>3.46</v>
      </c>
      <c r="K86" s="32" t="n">
        <v>2829905</v>
      </c>
      <c r="L86" s="31" t="n">
        <v>71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72.56</v>
      </c>
      <c r="P86" s="32" t="n">
        <v>44.14</v>
      </c>
      <c r="Q86" s="32" t="inlineStr"/>
      <c r="R86" s="31" t="inlineStr">
        <is>
          <t>Earnings / Momentum Support</t>
        </is>
      </c>
      <c r="S86" s="31" t="inlineStr">
        <is>
          <t>Nifty 50</t>
        </is>
      </c>
      <c r="T86" s="32" t="n">
        <v>-4.31</v>
      </c>
      <c r="U86" s="32" t="n">
        <v>54.74</v>
      </c>
      <c r="V86" s="32" t="n">
        <v>61.7</v>
      </c>
      <c r="W86" s="32" t="n">
        <v>15.65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IF(B87=0,"",RANK(B87,$B$2:$B$308,0))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POLYPLEX</t>
        </is>
      </c>
      <c r="D87" s="31" t="inlineStr">
        <is>
          <t>Polyplex Corporation Limited</t>
        </is>
      </c>
      <c r="E87" s="31" t="inlineStr">
        <is>
          <t>industrials</t>
        </is>
      </c>
      <c r="F87" s="31" t="inlineStr">
        <is>
          <t>packaging</t>
        </is>
      </c>
      <c r="G87" s="31" t="inlineStr">
        <is>
          <t>smallcap</t>
        </is>
      </c>
      <c r="H87" s="32" t="n">
        <v>3544.05</v>
      </c>
      <c r="I87" s="32" t="n">
        <v>1161.9</v>
      </c>
      <c r="J87" s="32" t="n">
        <v>2.92</v>
      </c>
      <c r="K87" s="32" t="n">
        <v>117512</v>
      </c>
      <c r="L87" s="31" t="n">
        <v>38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70.98</v>
      </c>
      <c r="P87" s="32" t="n">
        <v>44.86</v>
      </c>
      <c r="Q87" s="32" t="inlineStr"/>
      <c r="R87" s="31" t="inlineStr">
        <is>
          <t>Earnings / Momentum Support</t>
        </is>
      </c>
      <c r="S87" s="31" t="inlineStr">
        <is>
          <t>Nifty 50</t>
        </is>
      </c>
      <c r="T87" s="32" t="n">
        <v>-4.31</v>
      </c>
      <c r="U87" s="32" t="n">
        <v>0.43</v>
      </c>
      <c r="V87" s="32" t="n">
        <v>4.95</v>
      </c>
      <c r="W87" s="32" t="n">
        <v>6.59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IF(B88=0,"",RANK(B88,$B$2:$B$308,0))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PIDILITIND</t>
        </is>
      </c>
      <c r="D88" s="31" t="inlineStr">
        <is>
          <t>Pidilite Industries Limited</t>
        </is>
      </c>
      <c r="E88" s="31" t="inlineStr">
        <is>
          <t>chemicals</t>
        </is>
      </c>
      <c r="F88" s="31" t="inlineStr">
        <is>
          <t>chemicals</t>
        </is>
      </c>
      <c r="G88" s="31" t="inlineStr">
        <is>
          <t>largecap</t>
        </is>
      </c>
      <c r="H88" s="32" t="n">
        <v>159882.33</v>
      </c>
      <c r="I88" s="32" t="n">
        <v>1611.3</v>
      </c>
      <c r="J88" s="32" t="n">
        <v>2.57</v>
      </c>
      <c r="K88" s="32" t="n">
        <v>1161586</v>
      </c>
      <c r="L88" s="31" t="n">
        <v>28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63.1</v>
      </c>
      <c r="P88" s="32" t="n">
        <v>23.16</v>
      </c>
      <c r="Q88" s="32" t="inlineStr"/>
      <c r="R88" s="31" t="inlineStr">
        <is>
          <t>Earnings / Momentum Support</t>
        </is>
      </c>
      <c r="S88" s="31" t="inlineStr">
        <is>
          <t>Nifty 500</t>
        </is>
      </c>
      <c r="T88" s="32" t="n">
        <v>-0.44</v>
      </c>
      <c r="U88" s="32" t="n">
        <v>9.51</v>
      </c>
      <c r="V88" s="32" t="n">
        <v>10</v>
      </c>
      <c r="W88" s="32" t="n">
        <v>4.73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Between 1.5 to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IF(B89=0,"",RANK(B89,$B$2:$B$308,0))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HAPPYFORGE</t>
        </is>
      </c>
      <c r="D89" s="31" t="inlineStr">
        <is>
          <t>Happy Forgings Ltd</t>
        </is>
      </c>
      <c r="E89" s="31" t="inlineStr">
        <is>
          <t>industrials</t>
        </is>
      </c>
      <c r="F89" s="31" t="inlineStr">
        <is>
          <t>castings &amp; forgings</t>
        </is>
      </c>
      <c r="G89" s="31" t="inlineStr">
        <is>
          <t>midcap</t>
        </is>
      </c>
      <c r="H89" s="32" t="n">
        <v>15246.88</v>
      </c>
      <c r="I89" s="32" t="n">
        <v>1650.7</v>
      </c>
      <c r="J89" s="32" t="n">
        <v>2.18</v>
      </c>
      <c r="K89" s="32" t="n">
        <v>69759</v>
      </c>
      <c r="L89" s="31" t="n">
        <v>70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72.73</v>
      </c>
      <c r="P89" s="32" t="n">
        <v>47.72</v>
      </c>
      <c r="Q89" s="32" t="inlineStr"/>
      <c r="R89" s="31" t="inlineStr">
        <is>
          <t>Earnings / Momentum Support</t>
        </is>
      </c>
      <c r="S89" s="31" t="inlineStr">
        <is>
          <t>Nifty Infra</t>
        </is>
      </c>
      <c r="T89" s="32" t="n">
        <v>1.74</v>
      </c>
      <c r="U89" s="32" t="n">
        <v>70.2</v>
      </c>
      <c r="V89" s="32" t="n">
        <v>67.28</v>
      </c>
      <c r="W89" s="32" t="n">
        <v>15.45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IF(B90=0,"",RANK(B90,$B$2:$B$308,0))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DIVGIITTS</t>
        </is>
      </c>
      <c r="D90" s="31" t="inlineStr">
        <is>
          <t>Divgi Torqtransfer Systems Ltd</t>
        </is>
      </c>
      <c r="E90" s="31" t="inlineStr">
        <is>
          <t>auto</t>
        </is>
      </c>
      <c r="F90" s="31" t="inlineStr">
        <is>
          <t>auto ancillaries</t>
        </is>
      </c>
      <c r="G90" s="31" t="inlineStr">
        <is>
          <t>smallcap</t>
        </is>
      </c>
      <c r="H90" s="32" t="n">
        <v>2891.92</v>
      </c>
      <c r="I90" s="32" t="n">
        <v>962.35</v>
      </c>
      <c r="J90" s="32" t="n">
        <v>1.77</v>
      </c>
      <c r="K90" s="32" t="n">
        <v>25653</v>
      </c>
      <c r="L90" s="31" t="n">
        <v>60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63.4</v>
      </c>
      <c r="P90" s="32" t="n">
        <v>40.77</v>
      </c>
      <c r="Q90" s="32" t="inlineStr"/>
      <c r="R90" s="31" t="inlineStr">
        <is>
          <t>Earnings / Momentum Support</t>
        </is>
      </c>
      <c r="S90" s="31" t="inlineStr">
        <is>
          <t>Nifty Auto</t>
        </is>
      </c>
      <c r="T90" s="32" t="n">
        <v>13.41</v>
      </c>
      <c r="U90" s="32" t="n">
        <v>45.56</v>
      </c>
      <c r="V90" s="32" t="n">
        <v>28.35</v>
      </c>
      <c r="W90" s="32" t="n">
        <v>12.18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IF(B91=0,"",RANK(B91,$B$2:$B$308,0))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RRKABEL</t>
        </is>
      </c>
      <c r="D91" s="31" t="inlineStr">
        <is>
          <t>R R Kabel Ltd</t>
        </is>
      </c>
      <c r="E91" s="31" t="inlineStr">
        <is>
          <t>industrials</t>
        </is>
      </c>
      <c r="F91" s="31" t="inlineStr">
        <is>
          <t>cables - power</t>
        </is>
      </c>
      <c r="G91" s="31" t="inlineStr">
        <is>
          <t>largecap</t>
        </is>
      </c>
      <c r="H91" s="32" t="n">
        <v>28203.99</v>
      </c>
      <c r="I91" s="32" t="n">
        <v>2525.3</v>
      </c>
      <c r="J91" s="32" t="n">
        <v>1.27</v>
      </c>
      <c r="K91" s="32" t="n">
        <v>1757341</v>
      </c>
      <c r="L91" s="31" t="n">
        <v>83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72.17</v>
      </c>
      <c r="P91" s="32" t="n">
        <v>63.59</v>
      </c>
      <c r="Q91" s="32" t="inlineStr"/>
      <c r="R91" s="31" t="inlineStr">
        <is>
          <t>Earnings / Momentum Support</t>
        </is>
      </c>
      <c r="S91" s="31" t="inlineStr">
        <is>
          <t>Nifty Energy</t>
        </is>
      </c>
      <c r="T91" s="32" t="n">
        <v>8.41</v>
      </c>
      <c r="U91" s="32" t="n">
        <v>56.69</v>
      </c>
      <c r="V91" s="32" t="n">
        <v>44.54</v>
      </c>
      <c r="W91" s="32" t="n">
        <v>22.92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IF(B92=0,"",RANK(B92,$B$2:$B$308,0))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FILATEX</t>
        </is>
      </c>
      <c r="D92" s="31" t="inlineStr">
        <is>
          <t>Filatex India Limited</t>
        </is>
      </c>
      <c r="E92" s="31" t="inlineStr">
        <is>
          <t>textiles</t>
        </is>
      </c>
      <c r="F92" s="31" t="inlineStr">
        <is>
          <t>textiles - manmade</t>
        </is>
      </c>
      <c r="G92" s="31" t="inlineStr">
        <is>
          <t>smallcap</t>
        </is>
      </c>
      <c r="H92" s="32" t="n">
        <v>3278.48</v>
      </c>
      <c r="I92" s="32" t="n">
        <v>74.64</v>
      </c>
      <c r="J92" s="32" t="n">
        <v>1.1</v>
      </c>
      <c r="K92" s="32" t="n">
        <v>3571940</v>
      </c>
      <c r="L92" s="31" t="n">
        <v>87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76.95</v>
      </c>
      <c r="P92" s="32" t="n">
        <v>27.39</v>
      </c>
      <c r="Q92" s="32" t="inlineStr"/>
      <c r="R92" s="31" t="inlineStr">
        <is>
          <t>Earnings / Momentum Support</t>
        </is>
      </c>
      <c r="S92" s="31" t="inlineStr">
        <is>
          <t>Nifty 50</t>
        </is>
      </c>
      <c r="T92" s="32" t="n">
        <v>-4.31</v>
      </c>
      <c r="U92" s="32" t="n">
        <v>24.86</v>
      </c>
      <c r="V92" s="32" t="n">
        <v>30.48</v>
      </c>
      <c r="W92" s="32" t="n">
        <v>25.08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Between 12 to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IF(B93=0,"",RANK(B93,$B$2:$B$308,0))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FIEMIND</t>
        </is>
      </c>
      <c r="D93" s="31" t="inlineStr">
        <is>
          <t>Fiem Industries Limited</t>
        </is>
      </c>
      <c r="E93" s="31" t="inlineStr">
        <is>
          <t>auto</t>
        </is>
      </c>
      <c r="F93" s="31" t="inlineStr">
        <is>
          <t>auto ancillaries</t>
        </is>
      </c>
      <c r="G93" s="31" t="inlineStr">
        <is>
          <t>midcap</t>
        </is>
      </c>
      <c r="H93" s="32" t="n">
        <v>6137.48</v>
      </c>
      <c r="I93" s="32" t="n">
        <v>2356.6</v>
      </c>
      <c r="J93" s="32" t="n">
        <v>1.06</v>
      </c>
      <c r="K93" s="32" t="n">
        <v>67883</v>
      </c>
      <c r="L93" s="31" t="n">
        <v>21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61.44</v>
      </c>
      <c r="P93" s="32" t="n">
        <v>23.24</v>
      </c>
      <c r="Q93" s="32" t="inlineStr"/>
      <c r="R93" s="31" t="inlineStr">
        <is>
          <t>Earnings / Momentum Support</t>
        </is>
      </c>
      <c r="S93" s="31" t="inlineStr">
        <is>
          <t>Nifty Auto</t>
        </is>
      </c>
      <c r="T93" s="32" t="n">
        <v>13.41</v>
      </c>
      <c r="U93" s="32" t="n">
        <v>15.26</v>
      </c>
      <c r="V93" s="32" t="n">
        <v>1.62</v>
      </c>
      <c r="W93" s="32" t="n">
        <v>3.12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Less than 50%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IF(B94=0,"",RANK(B94,$B$2:$B$308,0))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KRONOX</t>
        </is>
      </c>
      <c r="D94" s="33" t="inlineStr">
        <is>
          <t>Kronox Lab Sciences Ltd</t>
        </is>
      </c>
      <c r="E94" s="31" t="inlineStr">
        <is>
          <t>chemicals</t>
        </is>
      </c>
      <c r="F94" s="31" t="inlineStr">
        <is>
          <t>chemicals</t>
        </is>
      </c>
      <c r="G94" s="31" t="inlineStr">
        <is>
          <t>smallcap</t>
        </is>
      </c>
      <c r="H94" s="32" t="n">
        <v>572.85</v>
      </c>
      <c r="I94" s="32" t="n">
        <v>155.55</v>
      </c>
      <c r="J94" s="32" t="n">
        <v>0.75</v>
      </c>
      <c r="K94" s="32" t="n">
        <v>102020</v>
      </c>
      <c r="L94" s="31" t="n">
        <v>19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60.09</v>
      </c>
      <c r="P94" s="32" t="n">
        <v>20.73</v>
      </c>
      <c r="Q94" s="32" t="inlineStr"/>
      <c r="R94" s="31" t="inlineStr">
        <is>
          <t>Earnings / Momentum Support</t>
        </is>
      </c>
      <c r="S94" s="31" t="inlineStr">
        <is>
          <t>Nifty 50</t>
        </is>
      </c>
      <c r="T94" s="32" t="n">
        <v>-4.31</v>
      </c>
      <c r="U94" s="32" t="n">
        <v>-14.58</v>
      </c>
      <c r="V94" s="32" t="n">
        <v>-10.73</v>
      </c>
      <c r="W94" s="32" t="n">
        <v>2.76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Between 50% to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IF(B95=0,"",RANK(B95,$B$2:$B$308,0))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KAJARIACER</t>
        </is>
      </c>
      <c r="D95" s="31" t="inlineStr">
        <is>
          <t>Kajaria Ceramics Limited</t>
        </is>
      </c>
      <c r="E95" s="31" t="inlineStr">
        <is>
          <t>building materials</t>
        </is>
      </c>
      <c r="F95" s="31" t="inlineStr">
        <is>
          <t>ceramics - tiles / sanitaryware</t>
        </is>
      </c>
      <c r="G95" s="31" t="inlineStr">
        <is>
          <t>midcap</t>
        </is>
      </c>
      <c r="H95" s="32" t="n">
        <v>19349.99</v>
      </c>
      <c r="I95" s="32" t="n">
        <v>1220</v>
      </c>
      <c r="J95" s="32" t="n">
        <v>0.42</v>
      </c>
      <c r="K95" s="32" t="n">
        <v>206695</v>
      </c>
      <c r="L95" s="31" t="n">
        <v>17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62.67</v>
      </c>
      <c r="P95" s="32" t="n">
        <v>24.5</v>
      </c>
      <c r="Q95" s="32" t="inlineStr"/>
      <c r="R95" s="31" t="inlineStr">
        <is>
          <t>Earnings / Momentum Support</t>
        </is>
      </c>
      <c r="S95" s="31" t="inlineStr">
        <is>
          <t>Nifty Infra</t>
        </is>
      </c>
      <c r="T95" s="32" t="n">
        <v>1.74</v>
      </c>
      <c r="U95" s="32" t="n">
        <v>2.08</v>
      </c>
      <c r="V95" s="32" t="n">
        <v>0.33</v>
      </c>
      <c r="W95" s="32" t="n">
        <v>2.19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No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IF(B96=0,"",RANK(B96,$B$2:$B$308,0))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GHCLTEXTIL</t>
        </is>
      </c>
      <c r="D96" s="31" t="inlineStr">
        <is>
          <t>GHCL Textiles Ltd</t>
        </is>
      </c>
      <c r="E96" s="31" t="inlineStr">
        <is>
          <t>textiles</t>
        </is>
      </c>
      <c r="F96" s="31" t="inlineStr">
        <is>
          <t>textiles - spinning - synthetic / blended</t>
        </is>
      </c>
      <c r="G96" s="31" t="inlineStr">
        <is>
          <t>smallcap</t>
        </is>
      </c>
      <c r="H96" s="32" t="n">
        <v>1107.07</v>
      </c>
      <c r="I96" s="32" t="n">
        <v>116.15</v>
      </c>
      <c r="J96" s="32" t="n">
        <v>0.28</v>
      </c>
      <c r="K96" s="32" t="n">
        <v>938372</v>
      </c>
      <c r="L96" s="31" t="n">
        <v>66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71.91</v>
      </c>
      <c r="P96" s="32" t="n">
        <v>27.37</v>
      </c>
      <c r="Q96" s="32" t="inlineStr"/>
      <c r="R96" s="31" t="inlineStr">
        <is>
          <t>Earnings / Momentum Support</t>
        </is>
      </c>
      <c r="S96" s="31" t="inlineStr">
        <is>
          <t>Nifty 50</t>
        </is>
      </c>
      <c r="T96" s="32" t="n">
        <v>-4.31</v>
      </c>
      <c r="U96" s="32" t="n">
        <v>27.06</v>
      </c>
      <c r="V96" s="32" t="n">
        <v>32.78</v>
      </c>
      <c r="W96" s="32" t="n">
        <v>13.85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Less than 50%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IF(B97=0,"",RANK(B97,$B$2:$B$308,0))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WELCORP</t>
        </is>
      </c>
      <c r="D97" s="31" t="inlineStr">
        <is>
          <t>Welspun Corp Limited</t>
        </is>
      </c>
      <c r="E97" s="31" t="inlineStr">
        <is>
          <t>industrials</t>
        </is>
      </c>
      <c r="F97" s="31" t="inlineStr">
        <is>
          <t>steel - large</t>
        </is>
      </c>
      <c r="G97" s="31" t="inlineStr">
        <is>
          <t>largecap</t>
        </is>
      </c>
      <c r="H97" s="32" t="n">
        <v>42124.73</v>
      </c>
      <c r="I97" s="32" t="n">
        <v>1599.8</v>
      </c>
      <c r="J97" s="32" t="n">
        <v>0.18</v>
      </c>
      <c r="K97" s="32" t="n">
        <v>944994</v>
      </c>
      <c r="L97" s="31" t="n">
        <v>86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83</v>
      </c>
      <c r="P97" s="32" t="n">
        <v>68.90000000000001</v>
      </c>
      <c r="Q97" s="32" t="inlineStr"/>
      <c r="R97" s="31" t="inlineStr">
        <is>
          <t>Earnings / Momentum Support</t>
        </is>
      </c>
      <c r="S97" s="31" t="inlineStr">
        <is>
          <t>Nifty Metal</t>
        </is>
      </c>
      <c r="T97" s="32" t="n">
        <v>31.49</v>
      </c>
      <c r="U97" s="32" t="n">
        <v>71.81999999999999</v>
      </c>
      <c r="V97" s="32" t="n">
        <v>30.67</v>
      </c>
      <c r="W97" s="32" t="n">
        <v>23.89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IF(B98=0,"",RANK(B98,$B$2:$B$308,0))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ASHIANA</t>
        </is>
      </c>
      <c r="D98" s="31" t="inlineStr">
        <is>
          <t>Ashiana Housing Limited</t>
        </is>
      </c>
      <c r="E98" s="31" t="inlineStr">
        <is>
          <t>realty</t>
        </is>
      </c>
      <c r="F98" s="31" t="inlineStr">
        <is>
          <t>construction</t>
        </is>
      </c>
      <c r="G98" s="31" t="inlineStr">
        <is>
          <t>smallcap</t>
        </is>
      </c>
      <c r="H98" s="32" t="n">
        <v>3887.3</v>
      </c>
      <c r="I98" s="32" t="n">
        <v>386.9</v>
      </c>
      <c r="J98" s="32" t="n">
        <v>0.05</v>
      </c>
      <c r="K98" s="32" t="n">
        <v>49299</v>
      </c>
      <c r="L98" s="31" t="n">
        <v>32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63.36</v>
      </c>
      <c r="P98" s="32" t="n">
        <v>42.16</v>
      </c>
      <c r="Q98" s="32" t="inlineStr"/>
      <c r="R98" s="31" t="inlineStr">
        <is>
          <t>Earnings / Momentum Support</t>
        </is>
      </c>
      <c r="S98" s="31" t="inlineStr">
        <is>
          <t>Nifty Realty</t>
        </is>
      </c>
      <c r="T98" s="32" t="n">
        <v>-8.119999999999999</v>
      </c>
      <c r="U98" s="32" t="n">
        <v>14.82</v>
      </c>
      <c r="V98" s="32" t="n">
        <v>24.97</v>
      </c>
      <c r="W98" s="32" t="n">
        <v>5.44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IF(B99=0,"",RANK(B99,$B$2:$B$308,0))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CYIENTDLM</t>
        </is>
      </c>
      <c r="D99" s="31" t="inlineStr">
        <is>
          <t>Cyient DLM Ltd</t>
        </is>
      </c>
      <c r="E99" s="31" t="inlineStr">
        <is>
          <t>consumer discretionary</t>
        </is>
      </c>
      <c r="F99" s="31" t="inlineStr">
        <is>
          <t>electronics - components</t>
        </is>
      </c>
      <c r="G99" s="31" t="inlineStr">
        <is>
          <t>midcap</t>
        </is>
      </c>
      <c r="H99" s="32" t="n">
        <v>5322.26</v>
      </c>
      <c r="I99" s="32" t="n">
        <v>665.05</v>
      </c>
      <c r="J99" s="32" t="n">
        <v>-0.8100000000000001</v>
      </c>
      <c r="K99" s="32" t="n">
        <v>315550</v>
      </c>
      <c r="L99" s="31" t="n">
        <v>82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82.97</v>
      </c>
      <c r="P99" s="32" t="n">
        <v>53.07</v>
      </c>
      <c r="Q99" s="32" t="inlineStr"/>
      <c r="R99" s="31" t="inlineStr">
        <is>
          <t>Earnings / Momentum Support</t>
        </is>
      </c>
      <c r="S99" s="31" t="inlineStr">
        <is>
          <t>Nifty Infra</t>
        </is>
      </c>
      <c r="T99" s="32" t="n">
        <v>1.74</v>
      </c>
      <c r="U99" s="32" t="n">
        <v>20.92</v>
      </c>
      <c r="V99" s="32" t="n">
        <v>18.85</v>
      </c>
      <c r="W99" s="32" t="n">
        <v>21.45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IF(B100=0,"",RANK(B100,$B$2:$B$308,0))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RUBYMILLS</t>
        </is>
      </c>
      <c r="D100" s="31" t="inlineStr">
        <is>
          <t>The Ruby Mills Limited</t>
        </is>
      </c>
      <c r="E100" s="31" t="inlineStr">
        <is>
          <t>textiles</t>
        </is>
      </c>
      <c r="F100" s="31" t="inlineStr">
        <is>
          <t>textiles - composite</t>
        </is>
      </c>
      <c r="G100" s="31" t="inlineStr">
        <is>
          <t>smallcap</t>
        </is>
      </c>
      <c r="H100" s="32" t="n">
        <v>1362.18</v>
      </c>
      <c r="I100" s="32" t="n">
        <v>397.55</v>
      </c>
      <c r="J100" s="32" t="n">
        <v>-2.41</v>
      </c>
      <c r="K100" s="32" t="n">
        <v>13332</v>
      </c>
      <c r="L100" s="31" t="n">
        <v>92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79.38</v>
      </c>
      <c r="P100" s="32" t="n">
        <v>53.88</v>
      </c>
      <c r="Q100" s="32" t="inlineStr"/>
      <c r="R100" s="31" t="inlineStr">
        <is>
          <t>Earnings / Momentum Support</t>
        </is>
      </c>
      <c r="S100" s="31" t="inlineStr">
        <is>
          <t>Nifty 50</t>
        </is>
      </c>
      <c r="T100" s="32" t="n">
        <v>-4.31</v>
      </c>
      <c r="U100" s="32" t="n">
        <v>73.17</v>
      </c>
      <c r="V100" s="32" t="n">
        <v>80.97</v>
      </c>
      <c r="W100" s="32" t="n">
        <v>31.66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Less than 12%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IF(B101=0,"",RANK(B101,$B$2:$B$308,0))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BHAGERIA</t>
        </is>
      </c>
      <c r="D101" s="31" t="inlineStr">
        <is>
          <t>Bhageria Industries Limited</t>
        </is>
      </c>
      <c r="E101" s="31" t="inlineStr">
        <is>
          <t>chemicals</t>
        </is>
      </c>
      <c r="F101" s="31" t="inlineStr">
        <is>
          <t>dyes and pigments</t>
        </is>
      </c>
      <c r="G101" s="31" t="inlineStr">
        <is>
          <t>smallcap</t>
        </is>
      </c>
      <c r="H101" s="32" t="n">
        <v>999.36</v>
      </c>
      <c r="I101" s="32" t="n">
        <v>218.11</v>
      </c>
      <c r="J101" s="32" t="n">
        <v>-4.75</v>
      </c>
      <c r="K101" s="32" t="n">
        <v>58952</v>
      </c>
      <c r="L101" s="31" t="n">
        <v>61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65.73999999999999</v>
      </c>
      <c r="P101" s="32" t="n">
        <v>25.56</v>
      </c>
      <c r="Q101" s="32" t="inlineStr"/>
      <c r="R101" s="31" t="inlineStr">
        <is>
          <t>Earnings / Momentum Support</t>
        </is>
      </c>
      <c r="S101" s="31" t="inlineStr">
        <is>
          <t>Nifty IT</t>
        </is>
      </c>
      <c r="T101" s="32" t="n">
        <v>-19.25</v>
      </c>
      <c r="U101" s="32" t="n">
        <v>18.5</v>
      </c>
      <c r="V101" s="32" t="n">
        <v>46.74</v>
      </c>
      <c r="W101" s="32" t="n">
        <v>12.46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IF(B102=0,"",RANK(B102,$B$2:$B$308,0))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LAURUSLABS</t>
        </is>
      </c>
      <c r="D102" s="31" t="inlineStr">
        <is>
          <t>Laurus Labs Limited</t>
        </is>
      </c>
      <c r="E102" s="31" t="inlineStr">
        <is>
          <t>healthcare</t>
        </is>
      </c>
      <c r="F102" s="31" t="inlineStr">
        <is>
          <t>pharmaceuticals - indian - bulk drugs &amp; formln</t>
        </is>
      </c>
      <c r="G102" s="31" t="inlineStr">
        <is>
          <t>largecap</t>
        </is>
      </c>
      <c r="H102" s="32" t="n">
        <v>86504.75999999999</v>
      </c>
      <c r="I102" s="32" t="n">
        <v>1713.4</v>
      </c>
      <c r="J102" s="32" t="n">
        <v>7.01</v>
      </c>
      <c r="K102" s="32" t="n">
        <v>7989771</v>
      </c>
      <c r="L102" s="31" t="n">
        <v>85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80.12</v>
      </c>
      <c r="P102" s="32" t="n">
        <v>57.56</v>
      </c>
      <c r="Q102" s="32" t="inlineStr"/>
      <c r="R102" s="31" t="inlineStr">
        <is>
          <t>Earnings / Momentum Support</t>
        </is>
      </c>
      <c r="S102" s="31" t="inlineStr">
        <is>
          <t>Nifty Pharma</t>
        </is>
      </c>
      <c r="T102" s="32" t="n">
        <v>12.73</v>
      </c>
      <c r="U102" s="32" t="n">
        <v>91.48</v>
      </c>
      <c r="V102" s="32" t="n">
        <v>69.84999999999999</v>
      </c>
      <c r="W102" s="32" t="n">
        <v>23.57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Yes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Annuity, Lower One Time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IF(B103=0,"",RANK(B103,$B$2:$B$308,0))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PICCADIL</t>
        </is>
      </c>
      <c r="D103" s="31" t="inlineStr">
        <is>
          <t>Piccadily Agro Industries Ltd</t>
        </is>
      </c>
      <c r="E103" s="31" t="inlineStr">
        <is>
          <t>fmcg</t>
        </is>
      </c>
      <c r="F103" s="31" t="inlineStr">
        <is>
          <t>breweries &amp; distilleries</t>
        </is>
      </c>
      <c r="G103" s="31" t="inlineStr">
        <is>
          <t>midcap</t>
        </is>
      </c>
      <c r="H103" s="32" t="n">
        <v>7266.74</v>
      </c>
      <c r="I103" s="32" t="n">
        <v>757.05</v>
      </c>
      <c r="J103" s="32" t="n">
        <v>2.69</v>
      </c>
      <c r="K103" s="32" t="n">
        <v>256342</v>
      </c>
      <c r="L103" s="31" t="n">
        <v>50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70.52</v>
      </c>
      <c r="P103" s="32" t="n">
        <v>43.33</v>
      </c>
      <c r="Q103" s="32" t="inlineStr"/>
      <c r="R103" s="31" t="inlineStr">
        <is>
          <t>Earnings / Momentum Support</t>
        </is>
      </c>
      <c r="S103" s="31" t="inlineStr">
        <is>
          <t>Nifty FMCG</t>
        </is>
      </c>
      <c r="T103" s="32" t="n">
        <v>-13.73</v>
      </c>
      <c r="U103" s="32" t="n">
        <v>21.09</v>
      </c>
      <c r="V103" s="32" t="n">
        <v>40.36</v>
      </c>
      <c r="W103" s="32" t="n">
        <v>9.48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B2C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Annuity, Lower One Time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IF(B104=0,"",RANK(B104,$B$2:$B$308,0))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3" t="inlineStr">
        <is>
          <t>RAINBOW</t>
        </is>
      </c>
      <c r="D104" s="33" t="inlineStr">
        <is>
          <t>Rainbow Childrens Medicare Ltd</t>
        </is>
      </c>
      <c r="E104" s="31" t="inlineStr">
        <is>
          <t>healthcare</t>
        </is>
      </c>
      <c r="F104" s="31" t="inlineStr">
        <is>
          <t>healthcare</t>
        </is>
      </c>
      <c r="G104" s="31" t="inlineStr">
        <is>
          <t>midcap</t>
        </is>
      </c>
      <c r="H104" s="32" t="n">
        <v>14805.29</v>
      </c>
      <c r="I104" s="32" t="n">
        <v>1483.5</v>
      </c>
      <c r="J104" s="32" t="n">
        <v>1.76</v>
      </c>
      <c r="K104" s="32" t="n">
        <v>44019</v>
      </c>
      <c r="L104" s="31" t="n">
        <v>20</v>
      </c>
      <c r="M104" s="31" t="inlineStr">
        <is>
          <t>Underperforming</t>
        </is>
      </c>
      <c r="N104" s="32">
        <f>IF(M104="Underperforming",-5,IF(L104&gt;=95,15,IF(L104&gt;=90,10,IF(L104&gt;=80,5,0))))</f>
        <v/>
      </c>
      <c r="O104" s="32" t="n">
        <v>63.15</v>
      </c>
      <c r="P104" s="32" t="n">
        <v>35.54</v>
      </c>
      <c r="Q104" s="32" t="inlineStr"/>
      <c r="R104" s="31" t="inlineStr">
        <is>
          <t>Earnings / Momentum Support</t>
        </is>
      </c>
      <c r="S104" s="31" t="inlineStr">
        <is>
          <t>Nifty Pharma</t>
        </is>
      </c>
      <c r="T104" s="32" t="n">
        <v>12.73</v>
      </c>
      <c r="U104" s="32" t="n">
        <v>-6.11</v>
      </c>
      <c r="V104" s="32" t="n">
        <v>-16.72</v>
      </c>
      <c r="W104" s="32" t="n">
        <v>2.92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Yes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Annuity, Lower One Time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IF(B105=0,"",RANK(B105,$B$2:$B$308,0))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SUNPHARMA</t>
        </is>
      </c>
      <c r="D105" s="31" t="inlineStr">
        <is>
          <t>Sun Pharmaceuticals Industries Limited</t>
        </is>
      </c>
      <c r="E105" s="31" t="inlineStr">
        <is>
          <t>healthcare</t>
        </is>
      </c>
      <c r="F105" s="31" t="inlineStr">
        <is>
          <t>pharmaceuticals - indian - bulk drugs &amp; formln</t>
        </is>
      </c>
      <c r="G105" s="31" t="inlineStr">
        <is>
          <t>largecap</t>
        </is>
      </c>
      <c r="H105" s="32" t="n">
        <v>465734.91</v>
      </c>
      <c r="I105" s="32" t="n">
        <v>1973.7</v>
      </c>
      <c r="J105" s="32" t="n">
        <v>1.68</v>
      </c>
      <c r="K105" s="32" t="n">
        <v>5414380</v>
      </c>
      <c r="L105" s="31" t="n">
        <v>41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65.48999999999999</v>
      </c>
      <c r="P105" s="32" t="n">
        <v>22.05</v>
      </c>
      <c r="Q105" s="32" t="inlineStr"/>
      <c r="R105" s="31" t="inlineStr">
        <is>
          <t>Earnings / Momentum Support</t>
        </is>
      </c>
      <c r="S105" s="31" t="inlineStr">
        <is>
          <t>Nifty Pharma</t>
        </is>
      </c>
      <c r="T105" s="32" t="n">
        <v>12.73</v>
      </c>
      <c r="U105" s="32" t="n">
        <v>15.29</v>
      </c>
      <c r="V105" s="32" t="n">
        <v>2.27</v>
      </c>
      <c r="W105" s="32" t="n">
        <v>7.24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Yes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Annuity, Lower One Time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Between 1.5 to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IF(B106=0,"",RANK(B106,$B$2:$B$308,0))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TECHM</t>
        </is>
      </c>
      <c r="D106" s="31" t="inlineStr">
        <is>
          <t>Tech Mahindra Limited</t>
        </is>
      </c>
      <c r="E106" s="31" t="inlineStr">
        <is>
          <t>i.t</t>
        </is>
      </c>
      <c r="F106" s="31" t="inlineStr">
        <is>
          <t>computers - software - large</t>
        </is>
      </c>
      <c r="G106" s="31" t="inlineStr">
        <is>
          <t>largecap</t>
        </is>
      </c>
      <c r="H106" s="32" t="n">
        <v>152840.04</v>
      </c>
      <c r="I106" s="32" t="n">
        <v>1575</v>
      </c>
      <c r="J106" s="32" t="n">
        <v>0.99</v>
      </c>
      <c r="K106" s="32" t="n">
        <v>1513324</v>
      </c>
      <c r="L106" s="31" t="n">
        <v>38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59.68</v>
      </c>
      <c r="P106" s="32" t="n">
        <v>12.47</v>
      </c>
      <c r="Q106" s="32" t="inlineStr"/>
      <c r="R106" s="31" t="inlineStr">
        <is>
          <t>Earnings / Momentum Support</t>
        </is>
      </c>
      <c r="S106" s="31" t="inlineStr">
        <is>
          <t>Nifty IT</t>
        </is>
      </c>
      <c r="T106" s="32" t="n">
        <v>-19.25</v>
      </c>
      <c r="U106" s="32" t="n">
        <v>10.59</v>
      </c>
      <c r="V106" s="32" t="n">
        <v>36.95</v>
      </c>
      <c r="W106" s="32" t="n">
        <v>6.58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Annuity, Lower One Time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0 to 20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IF(B107=0,"",RANK(B107,$B$2:$B$308,0))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NGLFINE</t>
        </is>
      </c>
      <c r="D107" s="31" t="inlineStr">
        <is>
          <t>NGL Fine Chem Ltd</t>
        </is>
      </c>
      <c r="E107" s="31" t="inlineStr">
        <is>
          <t>healthcare</t>
        </is>
      </c>
      <c r="F107" s="31" t="inlineStr">
        <is>
          <t>pharmaceuticals - indian - bulk drugs</t>
        </is>
      </c>
      <c r="G107" s="31" t="inlineStr">
        <is>
          <t>smallcap</t>
        </is>
      </c>
      <c r="H107" s="32" t="n">
        <v>1980.37</v>
      </c>
      <c r="I107" s="32" t="n">
        <v>3226.5</v>
      </c>
      <c r="J107" s="32" t="n">
        <v>0.66</v>
      </c>
      <c r="K107" s="32" t="n">
        <v>7529</v>
      </c>
      <c r="L107" s="31" t="n">
        <v>91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76.45999999999999</v>
      </c>
      <c r="P107" s="32" t="n">
        <v>67.56999999999999</v>
      </c>
      <c r="Q107" s="32" t="inlineStr"/>
      <c r="R107" s="31" t="inlineStr">
        <is>
          <t>Earnings / Momentum Support</t>
        </is>
      </c>
      <c r="S107" s="31" t="inlineStr">
        <is>
          <t>Nifty Pharma</t>
        </is>
      </c>
      <c r="T107" s="32" t="n">
        <v>12.73</v>
      </c>
      <c r="U107" s="32" t="n">
        <v>150.67</v>
      </c>
      <c r="V107" s="32" t="n">
        <v>122.36</v>
      </c>
      <c r="W107" s="32" t="n">
        <v>30.43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Yes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Annuity, Lower One Time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Between 50% to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IF(B108=0,"",RANK(B108,$B$2:$B$308,0))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MARICO</t>
        </is>
      </c>
      <c r="D108" s="31" t="inlineStr">
        <is>
          <t>Marico Limited</t>
        </is>
      </c>
      <c r="E108" s="31" t="inlineStr">
        <is>
          <t>fmcg</t>
        </is>
      </c>
      <c r="F108" s="31" t="inlineStr">
        <is>
          <t>solvent extraction</t>
        </is>
      </c>
      <c r="G108" s="31" t="inlineStr">
        <is>
          <t>largecap</t>
        </is>
      </c>
      <c r="H108" s="32" t="n">
        <v>111089.94</v>
      </c>
      <c r="I108" s="32" t="n">
        <v>858.65</v>
      </c>
      <c r="J108" s="32" t="n">
        <v>0.36</v>
      </c>
      <c r="K108" s="32" t="n">
        <v>1006199</v>
      </c>
      <c r="L108" s="31" t="n">
        <v>35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67.14</v>
      </c>
      <c r="P108" s="32" t="n">
        <v>29.79</v>
      </c>
      <c r="Q108" s="32" t="inlineStr"/>
      <c r="R108" s="31" t="inlineStr">
        <is>
          <t>Earnings / Momentum Support</t>
        </is>
      </c>
      <c r="S108" s="31" t="inlineStr">
        <is>
          <t>Nifty FMCG</t>
        </is>
      </c>
      <c r="T108" s="32" t="n">
        <v>-13.73</v>
      </c>
      <c r="U108" s="32" t="n">
        <v>18.36</v>
      </c>
      <c r="V108" s="32" t="n">
        <v>37.19</v>
      </c>
      <c r="W108" s="32" t="n">
        <v>5.8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B2C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Between 12 to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IF(B109=0,"",RANK(B109,$B$2:$B$308,0))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WANBURY</t>
        </is>
      </c>
      <c r="D109" s="31" t="inlineStr">
        <is>
          <t>Wanbury Limited</t>
        </is>
      </c>
      <c r="E109" s="31" t="inlineStr">
        <is>
          <t>healthcare</t>
        </is>
      </c>
      <c r="F109" s="31" t="inlineStr">
        <is>
          <t>pharmaceuticals - indian - bulk drugs &amp; formln</t>
        </is>
      </c>
      <c r="G109" s="31" t="inlineStr">
        <is>
          <t>smallcap</t>
        </is>
      </c>
      <c r="H109" s="32" t="n">
        <v>1159.64</v>
      </c>
      <c r="I109" s="32" t="n">
        <v>329.25</v>
      </c>
      <c r="J109" s="32" t="n">
        <v>-0.8</v>
      </c>
      <c r="K109" s="32" t="n">
        <v>188536</v>
      </c>
      <c r="L109" s="31" t="n">
        <v>69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66.34999999999999</v>
      </c>
      <c r="P109" s="32" t="n">
        <v>21.38</v>
      </c>
      <c r="Q109" s="32" t="inlineStr"/>
      <c r="R109" s="31" t="inlineStr">
        <is>
          <t>Earnings / Momentum Support</t>
        </is>
      </c>
      <c r="S109" s="31" t="inlineStr">
        <is>
          <t>Nifty Pharma</t>
        </is>
      </c>
      <c r="T109" s="32" t="n">
        <v>12.73</v>
      </c>
      <c r="U109" s="32" t="n">
        <v>35.77</v>
      </c>
      <c r="V109" s="32" t="n">
        <v>20.44</v>
      </c>
      <c r="W109" s="32" t="n">
        <v>14.82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IF(B110=0,"",RANK(B110,$B$2:$B$308,0))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KABRAEXTRU</t>
        </is>
      </c>
      <c r="D110" s="31" t="inlineStr">
        <is>
          <t>Kabra Extrusion Technik Limited</t>
        </is>
      </c>
      <c r="E110" s="31" t="inlineStr">
        <is>
          <t>industrials</t>
        </is>
      </c>
      <c r="F110" s="31" t="inlineStr">
        <is>
          <t>engineering</t>
        </is>
      </c>
      <c r="G110" s="31" t="inlineStr">
        <is>
          <t>smallcap</t>
        </is>
      </c>
      <c r="H110" s="32" t="n">
        <v>1317.78</v>
      </c>
      <c r="I110" s="32" t="n">
        <v>404.8</v>
      </c>
      <c r="J110" s="32" t="n">
        <v>7.43</v>
      </c>
      <c r="K110" s="32" t="n">
        <v>577413</v>
      </c>
      <c r="L110" s="31" t="n">
        <v>56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77.36</v>
      </c>
      <c r="P110" s="32" t="n">
        <v>24.27</v>
      </c>
      <c r="Q110" s="32" t="inlineStr"/>
      <c r="R110" s="31" t="inlineStr">
        <is>
          <t>Earnings / Momentum Support</t>
        </is>
      </c>
      <c r="S110" s="31" t="inlineStr">
        <is>
          <t>Nifty Infra</t>
        </is>
      </c>
      <c r="T110" s="32" t="n">
        <v>1.74</v>
      </c>
      <c r="U110" s="32" t="n">
        <v>6.76</v>
      </c>
      <c r="V110" s="32" t="n">
        <v>4.94</v>
      </c>
      <c r="W110" s="32" t="n">
        <v>11.12</v>
      </c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IF(B111=0,"",RANK(B111,$B$2:$B$308,0))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KERNEX</t>
        </is>
      </c>
      <c r="D111" s="31" t="inlineStr">
        <is>
          <t>Kernex Microsystems (india) Limited</t>
        </is>
      </c>
      <c r="E111" s="31" t="inlineStr">
        <is>
          <t>consumer discretionary</t>
        </is>
      </c>
      <c r="F111" s="31" t="inlineStr">
        <is>
          <t>electronics - components</t>
        </is>
      </c>
      <c r="G111" s="31" t="inlineStr">
        <is>
          <t>smallcap</t>
        </is>
      </c>
      <c r="H111" s="32" t="n">
        <v>3705.53</v>
      </c>
      <c r="I111" s="32" t="n">
        <v>2321.2</v>
      </c>
      <c r="J111" s="32" t="n">
        <v>5.26</v>
      </c>
      <c r="K111" s="32" t="n">
        <v>215636</v>
      </c>
      <c r="L111" s="31" t="n">
        <v>93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67.95</v>
      </c>
      <c r="P111" s="32" t="n">
        <v>56.4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-4.31</v>
      </c>
      <c r="U111" s="32" t="n">
        <v>114.16</v>
      </c>
      <c r="V111" s="32" t="n">
        <v>123.8</v>
      </c>
      <c r="W111" s="32" t="n">
        <v>33.12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Negative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IF(B112=0,"",RANK(B112,$B$2:$B$308,0))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TATVA</t>
        </is>
      </c>
      <c r="D112" s="31" t="inlineStr">
        <is>
          <t>Tatva Chintan Pharma Chem Ltd</t>
        </is>
      </c>
      <c r="E112" s="31" t="inlineStr">
        <is>
          <t>chemicals</t>
        </is>
      </c>
      <c r="F112" s="31" t="inlineStr">
        <is>
          <t>chemicals</t>
        </is>
      </c>
      <c r="G112" s="31" t="inlineStr">
        <is>
          <t>smallcap</t>
        </is>
      </c>
      <c r="H112" s="32" t="n">
        <v>4029.05</v>
      </c>
      <c r="I112" s="32" t="n">
        <v>1800.1</v>
      </c>
      <c r="J112" s="32" t="n">
        <v>4.51</v>
      </c>
      <c r="K112" s="32" t="n">
        <v>242226</v>
      </c>
      <c r="L112" s="31" t="n">
        <v>73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73.97</v>
      </c>
      <c r="P112" s="32" t="n">
        <v>22.3</v>
      </c>
      <c r="Q112" s="32" t="inlineStr"/>
      <c r="R112" s="31" t="inlineStr">
        <is>
          <t>Earnings / Momentum Support</t>
        </is>
      </c>
      <c r="S112" s="31" t="inlineStr">
        <is>
          <t>Nifty 50</t>
        </is>
      </c>
      <c r="T112" s="32" t="n">
        <v>-4.31</v>
      </c>
      <c r="U112" s="32" t="n">
        <v>50.48</v>
      </c>
      <c r="V112" s="32" t="n">
        <v>57.25</v>
      </c>
      <c r="W112" s="32" t="n">
        <v>16.93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IF(B113=0,"",RANK(B113,$B$2:$B$308,0))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VISAKAIND</t>
        </is>
      </c>
      <c r="D113" s="33" t="inlineStr">
        <is>
          <t>Visaka Industries Limited</t>
        </is>
      </c>
      <c r="E113" s="31" t="inlineStr">
        <is>
          <t>building materials</t>
        </is>
      </c>
      <c r="F113" s="31" t="inlineStr">
        <is>
          <t>cement products</t>
        </is>
      </c>
      <c r="G113" s="31" t="inlineStr">
        <is>
          <t>smallcap</t>
        </is>
      </c>
      <c r="H113" s="32" t="n">
        <v>689.9400000000001</v>
      </c>
      <c r="I113" s="32" t="n">
        <v>82.29000000000001</v>
      </c>
      <c r="J113" s="32" t="n">
        <v>3.06</v>
      </c>
      <c r="K113" s="32" t="n">
        <v>320941</v>
      </c>
      <c r="L113" s="31" t="n">
        <v>34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64.28</v>
      </c>
      <c r="P113" s="32" t="n">
        <v>32.49</v>
      </c>
      <c r="Q113" s="32" t="inlineStr"/>
      <c r="R113" s="31" t="inlineStr">
        <is>
          <t>Earnings / Momentum Support</t>
        </is>
      </c>
      <c r="S113" s="31" t="inlineStr">
        <is>
          <t>Nifty Infra</t>
        </is>
      </c>
      <c r="T113" s="32" t="n">
        <v>1.74</v>
      </c>
      <c r="U113" s="32" t="n">
        <v>-2.47</v>
      </c>
      <c r="V113" s="32" t="n">
        <v>-4.13</v>
      </c>
      <c r="W113" s="32" t="n">
        <v>5.66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IF(B114=0,"",RANK(B114,$B$2:$B$308,0))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SHAILY</t>
        </is>
      </c>
      <c r="D114" s="31" t="inlineStr">
        <is>
          <t>Shaily Engineering Plastics Ltd</t>
        </is>
      </c>
      <c r="E114" s="31" t="inlineStr">
        <is>
          <t>plastic products</t>
        </is>
      </c>
      <c r="F114" s="31" t="inlineStr">
        <is>
          <t>plastics products</t>
        </is>
      </c>
      <c r="G114" s="31" t="inlineStr">
        <is>
          <t>midcap</t>
        </is>
      </c>
      <c r="H114" s="32" t="n">
        <v>13659.21</v>
      </c>
      <c r="I114" s="32" t="n">
        <v>3049.7</v>
      </c>
      <c r="J114" s="32" t="n">
        <v>2.69</v>
      </c>
      <c r="K114" s="32" t="n">
        <v>187201</v>
      </c>
      <c r="L114" s="31" t="n">
        <v>79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62.55</v>
      </c>
      <c r="P114" s="32" t="n">
        <v>27.64</v>
      </c>
      <c r="Q114" s="32" t="inlineStr"/>
      <c r="R114" s="31" t="inlineStr">
        <is>
          <t>Earnings / Momentum Support</t>
        </is>
      </c>
      <c r="S114" s="31" t="inlineStr">
        <is>
          <t>Nifty 50</t>
        </is>
      </c>
      <c r="T114" s="32" t="n">
        <v>-4.31</v>
      </c>
      <c r="U114" s="32" t="n">
        <v>87.33</v>
      </c>
      <c r="V114" s="32" t="n">
        <v>95.76000000000001</v>
      </c>
      <c r="W114" s="32" t="n">
        <v>20.35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IF(B115=0,"",RANK(B115,$B$2:$B$308,0))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PSPPROJECT</t>
        </is>
      </c>
      <c r="D115" s="31" t="inlineStr">
        <is>
          <t>PSP Projects Ltd</t>
        </is>
      </c>
      <c r="E115" s="31" t="inlineStr">
        <is>
          <t>realty</t>
        </is>
      </c>
      <c r="F115" s="31" t="inlineStr">
        <is>
          <t>construction</t>
        </is>
      </c>
      <c r="G115" s="31" t="inlineStr">
        <is>
          <t>smallcap</t>
        </is>
      </c>
      <c r="H115" s="32" t="n">
        <v>4087.86</v>
      </c>
      <c r="I115" s="32" t="n">
        <v>1055.9</v>
      </c>
      <c r="J115" s="32" t="n">
        <v>2.4</v>
      </c>
      <c r="K115" s="32" t="n">
        <v>79166</v>
      </c>
      <c r="L115" s="31" t="n">
        <v>70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67.43000000000001</v>
      </c>
      <c r="P115" s="32" t="n">
        <v>31.76</v>
      </c>
      <c r="Q115" s="32" t="inlineStr"/>
      <c r="R115" s="31" t="inlineStr">
        <is>
          <t>Earnings / Momentum Support</t>
        </is>
      </c>
      <c r="S115" s="31" t="inlineStr">
        <is>
          <t>Nifty Realty</t>
        </is>
      </c>
      <c r="T115" s="32" t="n">
        <v>-8.119999999999999</v>
      </c>
      <c r="U115" s="32" t="n">
        <v>27.97</v>
      </c>
      <c r="V115" s="32" t="n">
        <v>39.28</v>
      </c>
      <c r="W115" s="32" t="n">
        <v>15.49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IF(B116=0,"",RANK(B116,$B$2:$B$308,0))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MINDACORP</t>
        </is>
      </c>
      <c r="D116" s="31" t="inlineStr">
        <is>
          <t>Minda Corporation Limited</t>
        </is>
      </c>
      <c r="E116" s="31" t="inlineStr">
        <is>
          <t>auto</t>
        </is>
      </c>
      <c r="F116" s="31" t="inlineStr">
        <is>
          <t>auto ancillaries</t>
        </is>
      </c>
      <c r="G116" s="31" t="inlineStr">
        <is>
          <t>midcap</t>
        </is>
      </c>
      <c r="H116" s="32" t="n">
        <v>16172.53</v>
      </c>
      <c r="I116" s="32" t="n">
        <v>692.55</v>
      </c>
      <c r="J116" s="32" t="n">
        <v>2.38</v>
      </c>
      <c r="K116" s="32" t="n">
        <v>363763</v>
      </c>
      <c r="L116" s="31" t="n">
        <v>57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64.95</v>
      </c>
      <c r="P116" s="32" t="n">
        <v>29.58</v>
      </c>
      <c r="Q116" s="32" t="inlineStr"/>
      <c r="R116" s="31" t="inlineStr">
        <is>
          <t>Earnings / Momentum Support</t>
        </is>
      </c>
      <c r="S116" s="31" t="inlineStr">
        <is>
          <t>Nifty Auto</t>
        </is>
      </c>
      <c r="T116" s="32" t="n">
        <v>13.41</v>
      </c>
      <c r="U116" s="32" t="n">
        <v>28.43</v>
      </c>
      <c r="V116" s="32" t="n">
        <v>13.24</v>
      </c>
      <c r="W116" s="32" t="n">
        <v>11.18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IF(B117=0,"",RANK(B117,$B$2:$B$308,0))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DIFFNKG</t>
        </is>
      </c>
      <c r="D117" s="31" t="inlineStr">
        <is>
          <t>Diffusion Engineers Ltd</t>
        </is>
      </c>
      <c r="E117" s="31" t="inlineStr">
        <is>
          <t>industrials</t>
        </is>
      </c>
      <c r="F117" s="31" t="inlineStr">
        <is>
          <t>electrodes - welding equipment</t>
        </is>
      </c>
      <c r="G117" s="31" t="inlineStr">
        <is>
          <t>smallcap</t>
        </is>
      </c>
      <c r="H117" s="32" t="n">
        <v>1479.65</v>
      </c>
      <c r="I117" s="32" t="n">
        <v>404.05</v>
      </c>
      <c r="J117" s="32" t="n">
        <v>2.2</v>
      </c>
      <c r="K117" s="32" t="n">
        <v>76782</v>
      </c>
      <c r="L117" s="31" t="n">
        <v>59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64.43000000000001</v>
      </c>
      <c r="P117" s="32" t="n">
        <v>30.78</v>
      </c>
      <c r="Q117" s="32" t="inlineStr"/>
      <c r="R117" s="31" t="inlineStr">
        <is>
          <t>Earnings / Momentum Support</t>
        </is>
      </c>
      <c r="S117" s="31" t="inlineStr">
        <is>
          <t>Nifty 50</t>
        </is>
      </c>
      <c r="T117" s="32" t="n">
        <v>-4.31</v>
      </c>
      <c r="U117" s="32" t="n">
        <v>17.11</v>
      </c>
      <c r="V117" s="32" t="n">
        <v>22.38</v>
      </c>
      <c r="W117" s="32" t="n">
        <v>11.55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Less than 50%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IF(B118=0,"",RANK(B118,$B$2:$B$308,0))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IKIO</t>
        </is>
      </c>
      <c r="D118" s="31" t="inlineStr">
        <is>
          <t>IKIO Lighting Ltd</t>
        </is>
      </c>
      <c r="E118" s="31" t="inlineStr">
        <is>
          <t>consumer discretionary</t>
        </is>
      </c>
      <c r="F118" s="31" t="inlineStr">
        <is>
          <t>electric equipment</t>
        </is>
      </c>
      <c r="G118" s="31" t="inlineStr">
        <is>
          <t>smallcap</t>
        </is>
      </c>
      <c r="H118" s="32" t="n">
        <v>1582.86</v>
      </c>
      <c r="I118" s="32" t="n">
        <v>207.98</v>
      </c>
      <c r="J118" s="32" t="n">
        <v>1.54</v>
      </c>
      <c r="K118" s="32" t="n">
        <v>283051</v>
      </c>
      <c r="L118" s="31" t="n">
        <v>58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62.39</v>
      </c>
      <c r="P118" s="32" t="n">
        <v>28.4</v>
      </c>
      <c r="Q118" s="32" t="inlineStr"/>
      <c r="R118" s="31" t="inlineStr">
        <is>
          <t>Earnings / Momentum Support</t>
        </is>
      </c>
      <c r="S118" s="31" t="inlineStr">
        <is>
          <t>Nifty 50</t>
        </is>
      </c>
      <c r="T118" s="32" t="n">
        <v>-4.31</v>
      </c>
      <c r="U118" s="32" t="n">
        <v>-0.79</v>
      </c>
      <c r="V118" s="32" t="n">
        <v>3.68</v>
      </c>
      <c r="W118" s="32" t="n">
        <v>11.29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Less than 50%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IF(B119=0,"",RANK(B119,$B$2:$B$308,0))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MAHLIFE</t>
        </is>
      </c>
      <c r="D119" s="31" t="inlineStr">
        <is>
          <t>Mahindra Lifespace Developers Limited</t>
        </is>
      </c>
      <c r="E119" s="31" t="inlineStr">
        <is>
          <t>realty</t>
        </is>
      </c>
      <c r="F119" s="31" t="inlineStr">
        <is>
          <t>construction</t>
        </is>
      </c>
      <c r="G119" s="31" t="inlineStr">
        <is>
          <t>midcap</t>
        </is>
      </c>
      <c r="H119" s="32" t="n">
        <v>7992.88</v>
      </c>
      <c r="I119" s="32" t="n">
        <v>380.25</v>
      </c>
      <c r="J119" s="32" t="n">
        <v>1.49</v>
      </c>
      <c r="K119" s="32" t="n">
        <v>485785</v>
      </c>
      <c r="L119" s="31" t="n">
        <v>23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58.05</v>
      </c>
      <c r="P119" s="32" t="n">
        <v>12.34</v>
      </c>
      <c r="Q119" s="32" t="inlineStr"/>
      <c r="R119" s="31" t="inlineStr">
        <is>
          <t>Earnings / Momentum Support</t>
        </is>
      </c>
      <c r="S119" s="31" t="inlineStr">
        <is>
          <t>Nifty Realty</t>
        </is>
      </c>
      <c r="T119" s="32" t="n">
        <v>-8.119999999999999</v>
      </c>
      <c r="U119" s="32" t="n">
        <v>-1.54</v>
      </c>
      <c r="V119" s="32" t="n">
        <v>7.16</v>
      </c>
      <c r="W119" s="32" t="n">
        <v>3.28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0 to 20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IF(B120=0,"",RANK(B120,$B$2:$B$308,0))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SPORTKING</t>
        </is>
      </c>
      <c r="D120" s="31" t="inlineStr">
        <is>
          <t>Sportking India Ltd</t>
        </is>
      </c>
      <c r="E120" s="31" t="inlineStr">
        <is>
          <t>textiles</t>
        </is>
      </c>
      <c r="F120" s="31" t="inlineStr">
        <is>
          <t>textiles - spinning - synthetic / blended</t>
        </is>
      </c>
      <c r="G120" s="31" t="inlineStr">
        <is>
          <t>smallcap</t>
        </is>
      </c>
      <c r="H120" s="32" t="n">
        <v>2716.04</v>
      </c>
      <c r="I120" s="32" t="n">
        <v>215.56</v>
      </c>
      <c r="J120" s="32" t="n">
        <v>0.85</v>
      </c>
      <c r="K120" s="32" t="n">
        <v>377432</v>
      </c>
      <c r="L120" s="31" t="n">
        <v>89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84.68000000000001</v>
      </c>
      <c r="P120" s="32" t="n">
        <v>69.34999999999999</v>
      </c>
      <c r="Q120" s="32" t="inlineStr"/>
      <c r="R120" s="31" t="inlineStr">
        <is>
          <t>Earnings / Momentum Support</t>
        </is>
      </c>
      <c r="S120" s="31" t="inlineStr">
        <is>
          <t>Nifty 50</t>
        </is>
      </c>
      <c r="T120" s="32" t="n">
        <v>-4.31</v>
      </c>
      <c r="U120" s="32" t="n">
        <v>66.97</v>
      </c>
      <c r="V120" s="32" t="n">
        <v>74.48999999999999</v>
      </c>
      <c r="W120" s="32" t="n">
        <v>27.95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Above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IF(B121=0,"",RANK(B121,$B$2:$B$308,0))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SFL</t>
        </is>
      </c>
      <c r="D121" s="31" t="inlineStr">
        <is>
          <t>Sheela Foam Limited</t>
        </is>
      </c>
      <c r="E121" s="31" t="inlineStr">
        <is>
          <t>consumer discretionary</t>
        </is>
      </c>
      <c r="F121" s="31" t="inlineStr">
        <is>
          <t>miscellaneous</t>
        </is>
      </c>
      <c r="G121" s="31" t="inlineStr">
        <is>
          <t>midcap</t>
        </is>
      </c>
      <c r="H121" s="32" t="n">
        <v>8320.75</v>
      </c>
      <c r="I121" s="32" t="n">
        <v>767.2</v>
      </c>
      <c r="J121" s="32" t="n">
        <v>0.6899999999999999</v>
      </c>
      <c r="K121" s="32" t="n">
        <v>180984</v>
      </c>
      <c r="L121" s="31" t="n">
        <v>67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70.5</v>
      </c>
      <c r="P121" s="32" t="n">
        <v>36.03</v>
      </c>
      <c r="Q121" s="32" t="inlineStr"/>
      <c r="R121" s="31" t="inlineStr">
        <is>
          <t>Earnings / Momentum Support</t>
        </is>
      </c>
      <c r="S121" s="31" t="inlineStr">
        <is>
          <t>Nifty 50</t>
        </is>
      </c>
      <c r="T121" s="32" t="n">
        <v>-4.31</v>
      </c>
      <c r="U121" s="32" t="n">
        <v>15.44</v>
      </c>
      <c r="V121" s="32" t="n">
        <v>20.63</v>
      </c>
      <c r="W121" s="32" t="n">
        <v>14.3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IF(B122=0,"",RANK(B122,$B$2:$B$308,0))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CHEVIOT</t>
        </is>
      </c>
      <c r="D122" s="31" t="inlineStr">
        <is>
          <t>Cheviot Company Ltd</t>
        </is>
      </c>
      <c r="E122" s="31" t="inlineStr">
        <is>
          <t>textiles</t>
        </is>
      </c>
      <c r="F122" s="31" t="inlineStr">
        <is>
          <t>textiles - jute - yarn / products</t>
        </is>
      </c>
      <c r="G122" s="31" t="inlineStr">
        <is>
          <t>smallcap</t>
        </is>
      </c>
      <c r="H122" s="32" t="n">
        <v>673.92</v>
      </c>
      <c r="I122" s="32" t="n">
        <v>1161.1</v>
      </c>
      <c r="J122" s="32" t="n">
        <v>0.65</v>
      </c>
      <c r="K122" s="32" t="n">
        <v>2113</v>
      </c>
      <c r="L122" s="31" t="n">
        <v>13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55.97</v>
      </c>
      <c r="P122" s="32" t="n">
        <v>24.28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-4.31</v>
      </c>
      <c r="U122" s="32" t="n">
        <v>-1.99</v>
      </c>
      <c r="V122" s="32" t="n">
        <v>2.42</v>
      </c>
      <c r="W122" s="32" t="n">
        <v>1.21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Between 50% to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IF(B123=0,"",RANK(B123,$B$2:$B$308,0))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VISHNU</t>
        </is>
      </c>
      <c r="D123" s="31" t="inlineStr">
        <is>
          <t>Vishnu Chemicals Limited</t>
        </is>
      </c>
      <c r="E123" s="31" t="inlineStr">
        <is>
          <t>chemicals</t>
        </is>
      </c>
      <c r="F123" s="31" t="inlineStr">
        <is>
          <t>chemicals</t>
        </is>
      </c>
      <c r="G123" s="31" t="inlineStr">
        <is>
          <t>smallcap</t>
        </is>
      </c>
      <c r="H123" s="32" t="n">
        <v>4257.02</v>
      </c>
      <c r="I123" s="32" t="n">
        <v>636.3</v>
      </c>
      <c r="J123" s="32" t="n">
        <v>0.62</v>
      </c>
      <c r="K123" s="32" t="n">
        <v>121792</v>
      </c>
      <c r="L123" s="31" t="n">
        <v>40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64.19</v>
      </c>
      <c r="P123" s="32" t="n">
        <v>48.55</v>
      </c>
      <c r="Q123" s="32" t="inlineStr"/>
      <c r="R123" s="31" t="inlineStr">
        <is>
          <t>Earnings / Momentum Support</t>
        </is>
      </c>
      <c r="S123" s="31" t="inlineStr">
        <is>
          <t>Nifty 50</t>
        </is>
      </c>
      <c r="T123" s="32" t="n">
        <v>-4.31</v>
      </c>
      <c r="U123" s="32" t="n">
        <v>27.02</v>
      </c>
      <c r="V123" s="32" t="n">
        <v>32.73</v>
      </c>
      <c r="W123" s="32" t="n">
        <v>6.82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Between 50% to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IF(B124=0,"",RANK(B124,$B$2:$B$308,0))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XPROINDIA</t>
        </is>
      </c>
      <c r="D124" s="31" t="inlineStr">
        <is>
          <t>Xpro India Limited</t>
        </is>
      </c>
      <c r="E124" s="31" t="inlineStr">
        <is>
          <t>industrials</t>
        </is>
      </c>
      <c r="F124" s="31" t="inlineStr">
        <is>
          <t>packaging</t>
        </is>
      </c>
      <c r="G124" s="31" t="inlineStr">
        <is>
          <t>smallcap</t>
        </is>
      </c>
      <c r="H124" s="32" t="n">
        <v>3253.47</v>
      </c>
      <c r="I124" s="32" t="n">
        <v>1394.1</v>
      </c>
      <c r="J124" s="32" t="n">
        <v>0.57</v>
      </c>
      <c r="K124" s="32" t="n">
        <v>32790</v>
      </c>
      <c r="L124" s="31" t="n">
        <v>58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63.41</v>
      </c>
      <c r="P124" s="32" t="n">
        <v>44.01</v>
      </c>
      <c r="Q124" s="32" t="inlineStr"/>
      <c r="R124" s="31" t="inlineStr">
        <is>
          <t>Earnings / Momentum Support</t>
        </is>
      </c>
      <c r="S124" s="31" t="inlineStr">
        <is>
          <t>Nifty 50</t>
        </is>
      </c>
      <c r="T124" s="32" t="n">
        <v>-4.31</v>
      </c>
      <c r="U124" s="32" t="n">
        <v>17.24</v>
      </c>
      <c r="V124" s="32" t="n">
        <v>22.51</v>
      </c>
      <c r="W124" s="32" t="n">
        <v>11.46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Between 1.5 to 2</t>
        </is>
      </c>
      <c r="BU124" s="31">
        <f>IF(BT124="Above 2",0,IF(BT124="Between 1.5 to 2",5,IF(BT124="Less than 1.5",10,0)))</f>
        <v/>
      </c>
      <c r="BV124" s="31" t="inlineStr">
        <is>
          <t>Less than 50%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IF(B125=0,"",RANK(B125,$B$2:$B$308,0))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JGCHEM</t>
        </is>
      </c>
      <c r="D125" s="31" t="inlineStr">
        <is>
          <t>J.G.Chemicals Ltd</t>
        </is>
      </c>
      <c r="E125" s="31" t="inlineStr">
        <is>
          <t>chemicals</t>
        </is>
      </c>
      <c r="F125" s="31" t="inlineStr">
        <is>
          <t>chemicals</t>
        </is>
      </c>
      <c r="G125" s="31" t="inlineStr">
        <is>
          <t>smallcap</t>
        </is>
      </c>
      <c r="H125" s="32" t="n">
        <v>1980.27</v>
      </c>
      <c r="I125" s="32" t="n">
        <v>507.75</v>
      </c>
      <c r="J125" s="32" t="n">
        <v>0.47</v>
      </c>
      <c r="K125" s="32" t="n">
        <v>157788</v>
      </c>
      <c r="L125" s="31" t="n">
        <v>49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68.31</v>
      </c>
      <c r="P125" s="32" t="n">
        <v>25.91</v>
      </c>
      <c r="Q125" s="32" t="inlineStr"/>
      <c r="R125" s="31" t="inlineStr">
        <is>
          <t>Earnings / Momentum Support</t>
        </is>
      </c>
      <c r="S125" s="31" t="inlineStr">
        <is>
          <t>Nifty IT</t>
        </is>
      </c>
      <c r="T125" s="32" t="n">
        <v>-19.25</v>
      </c>
      <c r="U125" s="32" t="n">
        <v>6.63</v>
      </c>
      <c r="V125" s="32" t="n">
        <v>32.04</v>
      </c>
      <c r="W125" s="32" t="n">
        <v>9.07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Between 12 to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Between 1.5 to 2</t>
        </is>
      </c>
      <c r="BU125" s="31">
        <f>IF(BT125="Above 2",0,IF(BT125="Between 1.5 to 2",5,IF(BT125="Less than 1.5",10,0)))</f>
        <v/>
      </c>
      <c r="BV125" s="31" t="inlineStr">
        <is>
          <t>Between 50% to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IF(B126=0,"",RANK(B126,$B$2:$B$308,0))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SWANDEF</t>
        </is>
      </c>
      <c r="D126" s="31" t="inlineStr">
        <is>
          <t>Swan Defence and Heavy Industries Ltd</t>
        </is>
      </c>
      <c r="E126" s="31" t="inlineStr">
        <is>
          <t>transportation</t>
        </is>
      </c>
      <c r="F126" s="31" t="inlineStr">
        <is>
          <t>miscellaneous</t>
        </is>
      </c>
      <c r="G126" s="31" t="inlineStr">
        <is>
          <t>midcap</t>
        </is>
      </c>
      <c r="H126" s="32" t="n">
        <v>12789.65</v>
      </c>
      <c r="I126" s="32" t="n">
        <v>2430.7</v>
      </c>
      <c r="J126" s="32" t="n">
        <v>0.12</v>
      </c>
      <c r="K126" s="32" t="n">
        <v>14027</v>
      </c>
      <c r="L126" s="31" t="n">
        <v>99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69.44</v>
      </c>
      <c r="P126" s="32" t="n">
        <v>49.68</v>
      </c>
      <c r="Q126" s="32" t="inlineStr"/>
      <c r="R126" s="31" t="inlineStr">
        <is>
          <t>Earnings / Momentum Support</t>
        </is>
      </c>
      <c r="S126" s="31" t="inlineStr">
        <is>
          <t>Nifty 50</t>
        </is>
      </c>
      <c r="T126" s="32" t="n">
        <v>-4.31</v>
      </c>
      <c r="U126" s="32" t="n">
        <v>692.72</v>
      </c>
      <c r="V126" s="32" t="n">
        <v>728.39</v>
      </c>
      <c r="W126" s="32" t="n">
        <v>69.84999999999999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Negative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More than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IF(B127=0,"",RANK(B127,$B$2:$B$308,0))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HSCL</t>
        </is>
      </c>
      <c r="D127" s="31" t="inlineStr">
        <is>
          <t>Himadri Speciality Chemical Limited</t>
        </is>
      </c>
      <c r="E127" s="31" t="inlineStr">
        <is>
          <t>chemicals</t>
        </is>
      </c>
      <c r="F127" s="31" t="inlineStr">
        <is>
          <t>chemicals</t>
        </is>
      </c>
      <c r="G127" s="31" t="inlineStr">
        <is>
          <t>largecap</t>
        </is>
      </c>
      <c r="H127" s="32" t="n">
        <v>39836.08</v>
      </c>
      <c r="I127" s="32" t="n">
        <v>790.45</v>
      </c>
      <c r="J127" s="32" t="n">
        <v>0.11</v>
      </c>
      <c r="K127" s="32" t="n">
        <v>7101930</v>
      </c>
      <c r="L127" s="31" t="n">
        <v>78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77.83</v>
      </c>
      <c r="P127" s="32" t="n">
        <v>43.86</v>
      </c>
      <c r="Q127" s="32" t="inlineStr"/>
      <c r="R127" s="31" t="inlineStr">
        <is>
          <t>Earnings / Momentum Support</t>
        </is>
      </c>
      <c r="S127" s="31" t="inlineStr">
        <is>
          <t>Nifty 50</t>
        </is>
      </c>
      <c r="T127" s="32" t="n">
        <v>-4.31</v>
      </c>
      <c r="U127" s="32" t="n">
        <v>58.65</v>
      </c>
      <c r="V127" s="32" t="n">
        <v>65.79000000000001</v>
      </c>
      <c r="W127" s="32" t="n">
        <v>19.08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IF(B128=0,"",RANK(B128,$B$2:$B$308,0))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INDNIPPON</t>
        </is>
      </c>
      <c r="D128" s="31" t="inlineStr">
        <is>
          <t>India Nippon Electricals Limited</t>
        </is>
      </c>
      <c r="E128" s="31" t="inlineStr">
        <is>
          <t>auto</t>
        </is>
      </c>
      <c r="F128" s="31" t="inlineStr">
        <is>
          <t>auto ancillaries</t>
        </is>
      </c>
      <c r="G128" s="31" t="inlineStr">
        <is>
          <t>smallcap</t>
        </is>
      </c>
      <c r="H128" s="32" t="n">
        <v>2710.05</v>
      </c>
      <c r="I128" s="32" t="n">
        <v>1198.9</v>
      </c>
      <c r="J128" s="32" t="n">
        <v>0.08</v>
      </c>
      <c r="K128" s="32" t="n">
        <v>22084</v>
      </c>
      <c r="L128" s="31" t="n">
        <v>85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75.79000000000001</v>
      </c>
      <c r="P128" s="32" t="n">
        <v>36.07</v>
      </c>
      <c r="Q128" s="32" t="inlineStr"/>
      <c r="R128" s="31" t="inlineStr">
        <is>
          <t>Earnings / Momentum Support</t>
        </is>
      </c>
      <c r="S128" s="31" t="inlineStr">
        <is>
          <t>Nifty Auto</t>
        </is>
      </c>
      <c r="T128" s="32" t="n">
        <v>13.41</v>
      </c>
      <c r="U128" s="32" t="n">
        <v>58.64</v>
      </c>
      <c r="V128" s="32" t="n">
        <v>39.88</v>
      </c>
      <c r="W128" s="32" t="n">
        <v>23.7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Less than 50%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IF(B129=0,"",RANK(B129,$B$2:$B$308,0))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KMEW</t>
        </is>
      </c>
      <c r="D129" s="31" t="inlineStr">
        <is>
          <t>Knowledge Marine &amp; Engineering Works Ltd</t>
        </is>
      </c>
      <c r="E129" s="31" t="inlineStr">
        <is>
          <t>transportation</t>
        </is>
      </c>
      <c r="F129" s="31" t="inlineStr">
        <is>
          <t>miscellaneous</t>
        </is>
      </c>
      <c r="G129" s="31" t="inlineStr">
        <is>
          <t>midcap</t>
        </is>
      </c>
      <c r="H129" s="32" t="n">
        <v>5940.65</v>
      </c>
      <c r="I129" s="32" t="n">
        <v>2427.8</v>
      </c>
      <c r="J129" s="32" t="n">
        <v>-0.1</v>
      </c>
      <c r="K129" s="32" t="n">
        <v>39707</v>
      </c>
      <c r="L129" s="31" t="n">
        <v>93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70.90000000000001</v>
      </c>
      <c r="P129" s="32" t="n">
        <v>47.24</v>
      </c>
      <c r="Q129" s="32" t="inlineStr"/>
      <c r="R129" s="31" t="inlineStr">
        <is>
          <t>Earnings / Momentum Support</t>
        </is>
      </c>
      <c r="S129" s="31" t="inlineStr">
        <is>
          <t>Nifty 50</t>
        </is>
      </c>
      <c r="T129" s="32" t="n">
        <v>-4.31</v>
      </c>
      <c r="U129" s="32" t="n">
        <v>183.53</v>
      </c>
      <c r="V129" s="32" t="n">
        <v>196.29</v>
      </c>
      <c r="W129" s="32" t="n">
        <v>33.55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Negative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IF(B130=0,"",RANK(B130,$B$2:$B$308,0))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ASTRAMICRO</t>
        </is>
      </c>
      <c r="D130" s="31" t="inlineStr">
        <is>
          <t>Astra Microwave Products Limited</t>
        </is>
      </c>
      <c r="E130" s="31" t="inlineStr">
        <is>
          <t>aerospace &amp; defence</t>
        </is>
      </c>
      <c r="F130" s="31" t="inlineStr">
        <is>
          <t>telecommunications - equipment</t>
        </is>
      </c>
      <c r="G130" s="31" t="inlineStr">
        <is>
          <t>midcap</t>
        </is>
      </c>
      <c r="H130" s="32" t="n">
        <v>17217.33</v>
      </c>
      <c r="I130" s="32" t="n">
        <v>1801.8</v>
      </c>
      <c r="J130" s="32" t="n">
        <v>-0.64</v>
      </c>
      <c r="K130" s="32" t="n">
        <v>270091</v>
      </c>
      <c r="L130" s="31" t="n">
        <v>89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76.65000000000001</v>
      </c>
      <c r="P130" s="32" t="n">
        <v>54.61</v>
      </c>
      <c r="Q130" s="32" t="inlineStr"/>
      <c r="R130" s="31" t="inlineStr">
        <is>
          <t>Earnings / Momentum Support</t>
        </is>
      </c>
      <c r="S130" s="31" t="inlineStr">
        <is>
          <t>Nifty 50</t>
        </is>
      </c>
      <c r="T130" s="32" t="n">
        <v>-4.31</v>
      </c>
      <c r="U130" s="32" t="n">
        <v>86.36</v>
      </c>
      <c r="V130" s="32" t="n">
        <v>94.75</v>
      </c>
      <c r="W130" s="32" t="n">
        <v>28.31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Oligopoly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IF(B131=0,"",RANK(B131,$B$2:$B$308,0))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RAIN</t>
        </is>
      </c>
      <c r="D131" s="31" t="inlineStr">
        <is>
          <t>Rain Industries Limited</t>
        </is>
      </c>
      <c r="E131" s="31" t="inlineStr">
        <is>
          <t>miscellaneous</t>
        </is>
      </c>
      <c r="F131" s="31" t="inlineStr">
        <is>
          <t>miscellaneous</t>
        </is>
      </c>
      <c r="G131" s="31" t="inlineStr">
        <is>
          <t>midcap</t>
        </is>
      </c>
      <c r="H131" s="32" t="n">
        <v>7575.51</v>
      </c>
      <c r="I131" s="32" t="n">
        <v>223.74</v>
      </c>
      <c r="J131" s="32" t="n">
        <v>-0.66</v>
      </c>
      <c r="K131" s="32" t="n">
        <v>3339585</v>
      </c>
      <c r="L131" s="31" t="n">
        <v>89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75.67</v>
      </c>
      <c r="P131" s="32" t="n">
        <v>43.89</v>
      </c>
      <c r="Q131" s="32" t="inlineStr"/>
      <c r="R131" s="31" t="inlineStr">
        <is>
          <t>Earnings / Momentum Support</t>
        </is>
      </c>
      <c r="S131" s="31" t="inlineStr">
        <is>
          <t>Nifty 50</t>
        </is>
      </c>
      <c r="T131" s="32" t="n">
        <v>-4.31</v>
      </c>
      <c r="U131" s="32" t="n">
        <v>46</v>
      </c>
      <c r="V131" s="32" t="n">
        <v>52.57</v>
      </c>
      <c r="W131" s="32" t="n">
        <v>26.91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Above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More than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IF(B132=0,"",RANK(B132,$B$2:$B$308,0))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NRAIL</t>
        </is>
      </c>
      <c r="D132" s="31" t="inlineStr">
        <is>
          <t>N R Agarwal Industries Ltd</t>
        </is>
      </c>
      <c r="E132" s="31" t="inlineStr">
        <is>
          <t>building materials</t>
        </is>
      </c>
      <c r="F132" s="31" t="inlineStr">
        <is>
          <t>paper</t>
        </is>
      </c>
      <c r="G132" s="31" t="inlineStr">
        <is>
          <t>smallcap</t>
        </is>
      </c>
      <c r="H132" s="32" t="n">
        <v>866.1900000000001</v>
      </c>
      <c r="I132" s="32" t="n">
        <v>478.6</v>
      </c>
      <c r="J132" s="32" t="n">
        <v>-5.96</v>
      </c>
      <c r="K132" s="32" t="n">
        <v>30020</v>
      </c>
      <c r="L132" s="31" t="n">
        <v>18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61.24</v>
      </c>
      <c r="P132" s="32" t="n">
        <v>22.05</v>
      </c>
      <c r="Q132" s="32" t="inlineStr"/>
      <c r="R132" s="31" t="inlineStr">
        <is>
          <t>Earnings / Momentum Support</t>
        </is>
      </c>
      <c r="S132" s="31" t="inlineStr">
        <is>
          <t>Nifty Infra</t>
        </is>
      </c>
      <c r="T132" s="32" t="n">
        <v>1.74</v>
      </c>
      <c r="U132" s="32" t="n">
        <v>19.09</v>
      </c>
      <c r="V132" s="32" t="n">
        <v>17.05</v>
      </c>
      <c r="W132" s="32" t="n">
        <v>2.3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Between 50% to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IF(B133=0,"",RANK(B133,$B$2:$B$308,0))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CAPLIPOINT</t>
        </is>
      </c>
      <c r="D133" s="31" t="inlineStr">
        <is>
          <t>Caplin Point Laboratories Limited</t>
        </is>
      </c>
      <c r="E133" s="31" t="inlineStr">
        <is>
          <t>healthcare</t>
        </is>
      </c>
      <c r="F133" s="31" t="inlineStr">
        <is>
          <t>pharmaceuticals - indian - formulations</t>
        </is>
      </c>
      <c r="G133" s="31" t="inlineStr">
        <is>
          <t>midcap</t>
        </is>
      </c>
      <c r="H133" s="32" t="n">
        <v>18752.85</v>
      </c>
      <c r="I133" s="32" t="n">
        <v>2621.4</v>
      </c>
      <c r="J133" s="32" t="n">
        <v>6.25</v>
      </c>
      <c r="K133" s="32" t="n">
        <v>354020</v>
      </c>
      <c r="L133" s="31" t="n">
        <v>68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68.95999999999999</v>
      </c>
      <c r="P133" s="32" t="n">
        <v>38.2</v>
      </c>
      <c r="Q133" s="32" t="inlineStr"/>
      <c r="R133" s="31" t="inlineStr">
        <is>
          <t>Earnings / Momentum Support</t>
        </is>
      </c>
      <c r="S133" s="31" t="inlineStr">
        <is>
          <t>Nifty Pharma</t>
        </is>
      </c>
      <c r="T133" s="32" t="n">
        <v>12.73</v>
      </c>
      <c r="U133" s="32" t="n">
        <v>21.52</v>
      </c>
      <c r="V133" s="32" t="n">
        <v>7.8</v>
      </c>
      <c r="W133" s="32" t="n">
        <v>14.35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Between 12 to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Between 1.5 to 2</t>
        </is>
      </c>
      <c r="BU133" s="31">
        <f>IF(BT133="Above 2",0,IF(BT133="Between 1.5 to 2",5,IF(BT133="Less than 1.5",10,0)))</f>
        <v/>
      </c>
      <c r="BV133" s="31" t="inlineStr">
        <is>
          <t>Between 50% to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IF(B134=0,"",RANK(B134,$B$2:$B$308,0))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MANORAMA</t>
        </is>
      </c>
      <c r="D134" s="31" t="inlineStr">
        <is>
          <t>Manorama Industries Ltd</t>
        </is>
      </c>
      <c r="E134" s="31" t="inlineStr">
        <is>
          <t>fmcg</t>
        </is>
      </c>
      <c r="F134" s="31" t="inlineStr">
        <is>
          <t>food - processing - indian</t>
        </is>
      </c>
      <c r="G134" s="31" t="inlineStr">
        <is>
          <t>midcap</t>
        </is>
      </c>
      <c r="H134" s="32" t="n">
        <v>9466.790000000001</v>
      </c>
      <c r="I134" s="32" t="n">
        <v>1658.9</v>
      </c>
      <c r="J134" s="32" t="n">
        <v>4.63</v>
      </c>
      <c r="K134" s="32" t="n">
        <v>286631</v>
      </c>
      <c r="L134" s="31" t="n">
        <v>23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59.66</v>
      </c>
      <c r="P134" s="32" t="n">
        <v>13.03</v>
      </c>
      <c r="Q134" s="32" t="inlineStr"/>
      <c r="R134" s="31" t="inlineStr">
        <is>
          <t>Earnings / Momentum Support</t>
        </is>
      </c>
      <c r="S134" s="31" t="inlineStr">
        <is>
          <t>Nifty FMCG</t>
        </is>
      </c>
      <c r="T134" s="32" t="n">
        <v>-13.73</v>
      </c>
      <c r="U134" s="32" t="n">
        <v>2.05</v>
      </c>
      <c r="V134" s="32" t="n">
        <v>18.29</v>
      </c>
      <c r="W134" s="32" t="n">
        <v>3.39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B2C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Between 50% to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IF(B135=0,"",RANK(B135,$B$2:$B$308,0))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LALPATHLAB</t>
        </is>
      </c>
      <c r="D135" s="31" t="inlineStr">
        <is>
          <t>Dr. Lal Path Labs Ltd.</t>
        </is>
      </c>
      <c r="E135" s="31" t="inlineStr">
        <is>
          <t>healthcare</t>
        </is>
      </c>
      <c r="F135" s="31" t="inlineStr">
        <is>
          <t>healthcare</t>
        </is>
      </c>
      <c r="G135" s="31" t="inlineStr">
        <is>
          <t>largecap</t>
        </is>
      </c>
      <c r="H135" s="32" t="n">
        <v>29490.84</v>
      </c>
      <c r="I135" s="32" t="n">
        <v>1827.2</v>
      </c>
      <c r="J135" s="32" t="n">
        <v>3.87</v>
      </c>
      <c r="K135" s="32" t="n">
        <v>2106429</v>
      </c>
      <c r="L135" s="31" t="n">
        <v>47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67.13</v>
      </c>
      <c r="P135" s="32" t="n">
        <v>35.87</v>
      </c>
      <c r="Q135" s="32" t="inlineStr"/>
      <c r="R135" s="31" t="inlineStr">
        <is>
          <t>Earnings / Momentum Support</t>
        </is>
      </c>
      <c r="S135" s="31" t="inlineStr">
        <is>
          <t>Nifty Pharma</t>
        </is>
      </c>
      <c r="T135" s="32" t="n">
        <v>12.73</v>
      </c>
      <c r="U135" s="32" t="n">
        <v>15.38</v>
      </c>
      <c r="V135" s="32" t="n">
        <v>2.35</v>
      </c>
      <c r="W135" s="32" t="n">
        <v>8.539999999999999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IF(B136=0,"",RANK(B136,$B$2:$B$308,0))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SHILPAMED</t>
        </is>
      </c>
      <c r="D136" s="31" t="inlineStr">
        <is>
          <t>Shilpa Medicare Limited</t>
        </is>
      </c>
      <c r="E136" s="31" t="inlineStr">
        <is>
          <t>healthcare</t>
        </is>
      </c>
      <c r="F136" s="31" t="inlineStr">
        <is>
          <t>pharmaceuticals - indian - formulations</t>
        </is>
      </c>
      <c r="G136" s="31" t="inlineStr">
        <is>
          <t>midcap</t>
        </is>
      </c>
      <c r="H136" s="32" t="n">
        <v>11856.17</v>
      </c>
      <c r="I136" s="32" t="n">
        <v>620.6</v>
      </c>
      <c r="J136" s="32" t="n">
        <v>2.38</v>
      </c>
      <c r="K136" s="32" t="n">
        <v>305420</v>
      </c>
      <c r="L136" s="31" t="n">
        <v>79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78.20999999999999</v>
      </c>
      <c r="P136" s="32" t="n">
        <v>68.39</v>
      </c>
      <c r="Q136" s="32" t="inlineStr"/>
      <c r="R136" s="31" t="inlineStr">
        <is>
          <t>Earnings / Momentum Support</t>
        </is>
      </c>
      <c r="S136" s="31" t="inlineStr">
        <is>
          <t>Nifty Pharma</t>
        </is>
      </c>
      <c r="T136" s="32" t="n">
        <v>12.73</v>
      </c>
      <c r="U136" s="32" t="n">
        <v>33.37</v>
      </c>
      <c r="V136" s="32" t="n">
        <v>18.31</v>
      </c>
      <c r="W136" s="32" t="n">
        <v>20.27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IF(B137=0,"",RANK(B137,$B$2:$B$308,0))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3" t="inlineStr">
        <is>
          <t>MANKIND</t>
        </is>
      </c>
      <c r="D137" s="33" t="inlineStr">
        <is>
          <t>Mankind Pharma Ltd</t>
        </is>
      </c>
      <c r="E137" s="31" t="inlineStr">
        <is>
          <t>healthcare</t>
        </is>
      </c>
      <c r="F137" s="31" t="inlineStr">
        <is>
          <t>pharmaceuticals - indian - bulk drugs &amp; formln</t>
        </is>
      </c>
      <c r="G137" s="31" t="inlineStr">
        <is>
          <t>largecap</t>
        </is>
      </c>
      <c r="H137" s="32" t="n">
        <v>103546.35</v>
      </c>
      <c r="I137" s="32" t="n">
        <v>2551.6</v>
      </c>
      <c r="J137" s="32" t="n">
        <v>1.77</v>
      </c>
      <c r="K137" s="32" t="n">
        <v>185805</v>
      </c>
      <c r="L137" s="31" t="n">
        <v>15</v>
      </c>
      <c r="M137" s="31" t="inlineStr">
        <is>
          <t>Underperforming</t>
        </is>
      </c>
      <c r="N137" s="32">
        <f>IF(M137="Underperforming",-5,IF(L137&gt;=95,15,IF(L137&gt;=90,10,IF(L137&gt;=80,5,0))))</f>
        <v/>
      </c>
      <c r="O137" s="32" t="n">
        <v>61.25</v>
      </c>
      <c r="P137" s="32" t="n">
        <v>29.99</v>
      </c>
      <c r="Q137" s="32" t="inlineStr"/>
      <c r="R137" s="31" t="inlineStr">
        <is>
          <t>Earnings / Momentum Support</t>
        </is>
      </c>
      <c r="S137" s="31" t="inlineStr">
        <is>
          <t>Nifty Pharma</t>
        </is>
      </c>
      <c r="T137" s="32" t="n">
        <v>12.73</v>
      </c>
      <c r="U137" s="32" t="n">
        <v>-3.66</v>
      </c>
      <c r="V137" s="32" t="n">
        <v>-14.54</v>
      </c>
      <c r="W137" s="32" t="n">
        <v>1.77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Yes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Between 1.5 to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IF(B138=0,"",RANK(B138,$B$2:$B$308,0))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ARTEMISMED</t>
        </is>
      </c>
      <c r="D138" s="31" t="inlineStr">
        <is>
          <t>Artemis Medicare Services Ltd</t>
        </is>
      </c>
      <c r="E138" s="31" t="inlineStr">
        <is>
          <t>healthcare</t>
        </is>
      </c>
      <c r="F138" s="31" t="inlineStr">
        <is>
          <t>healthcare</t>
        </is>
      </c>
      <c r="G138" s="31" t="inlineStr">
        <is>
          <t>smallcap</t>
        </is>
      </c>
      <c r="H138" s="32" t="n">
        <v>4365.29</v>
      </c>
      <c r="I138" s="32" t="n">
        <v>278.5</v>
      </c>
      <c r="J138" s="32" t="n">
        <v>1</v>
      </c>
      <c r="K138" s="32" t="n">
        <v>142749</v>
      </c>
      <c r="L138" s="31" t="n">
        <v>39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59.25</v>
      </c>
      <c r="P138" s="32" t="n">
        <v>20.74</v>
      </c>
      <c r="Q138" s="32" t="inlineStr"/>
      <c r="R138" s="31" t="inlineStr">
        <is>
          <t>Earnings / Momentum Support</t>
        </is>
      </c>
      <c r="S138" s="31" t="inlineStr">
        <is>
          <t>Nifty Pharma</t>
        </is>
      </c>
      <c r="T138" s="32" t="n">
        <v>12.73</v>
      </c>
      <c r="U138" s="32" t="n">
        <v>14.97</v>
      </c>
      <c r="V138" s="32" t="n">
        <v>1.98</v>
      </c>
      <c r="W138" s="32" t="n">
        <v>6.76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Yes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IF(B139=0,"",RANK(B139,$B$2:$B$308,0))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AKUMS</t>
        </is>
      </c>
      <c r="D139" s="31" t="inlineStr">
        <is>
          <t>Akums Drugs &amp; Pharmaceuticals Ltd</t>
        </is>
      </c>
      <c r="E139" s="31" t="inlineStr">
        <is>
          <t>healthcare</t>
        </is>
      </c>
      <c r="F139" s="31" t="inlineStr">
        <is>
          <t>pharmaceuticals - indian - bulk drugs &amp; formln</t>
        </is>
      </c>
      <c r="G139" s="31" t="inlineStr">
        <is>
          <t>midcap</t>
        </is>
      </c>
      <c r="H139" s="32" t="n">
        <v>10817.69</v>
      </c>
      <c r="I139" s="32" t="n">
        <v>675.6</v>
      </c>
      <c r="J139" s="32" t="n">
        <v>-1.7</v>
      </c>
      <c r="K139" s="32" t="n">
        <v>178763</v>
      </c>
      <c r="L139" s="31" t="n">
        <v>65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70.73999999999999</v>
      </c>
      <c r="P139" s="32" t="n">
        <v>49.65</v>
      </c>
      <c r="Q139" s="32" t="inlineStr"/>
      <c r="R139" s="31" t="inlineStr">
        <is>
          <t>Earnings / Momentum Support</t>
        </is>
      </c>
      <c r="S139" s="31" t="inlineStr">
        <is>
          <t>Nifty Pharma</t>
        </is>
      </c>
      <c r="T139" s="32" t="n">
        <v>12.73</v>
      </c>
      <c r="U139" s="32" t="n">
        <v>30.24</v>
      </c>
      <c r="V139" s="32" t="n">
        <v>15.53</v>
      </c>
      <c r="W139" s="32" t="n">
        <v>13.74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IF(B140=0,"",RANK(B140,$B$2:$B$308,0))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3" t="inlineStr">
        <is>
          <t>TNPL</t>
        </is>
      </c>
      <c r="D140" s="33" t="inlineStr">
        <is>
          <t>Tamil Nadu Newsprint &amp; Papers Limited</t>
        </is>
      </c>
      <c r="E140" s="31" t="inlineStr">
        <is>
          <t>building materials</t>
        </is>
      </c>
      <c r="F140" s="31" t="inlineStr">
        <is>
          <t>paper</t>
        </is>
      </c>
      <c r="G140" s="31" t="inlineStr">
        <is>
          <t>smallcap</t>
        </is>
      </c>
      <c r="H140" s="32" t="n">
        <v>1036.43</v>
      </c>
      <c r="I140" s="32" t="n">
        <v>156.04</v>
      </c>
      <c r="J140" s="32" t="n">
        <v>4.2</v>
      </c>
      <c r="K140" s="32" t="n">
        <v>639163</v>
      </c>
      <c r="L140" s="31" t="n">
        <v>4</v>
      </c>
      <c r="M140" s="31" t="inlineStr">
        <is>
          <t>Underperforming</t>
        </is>
      </c>
      <c r="N140" s="32">
        <f>IF(M140="Underperforming",-5,IF(L140&gt;=95,15,IF(L140&gt;=90,10,IF(L140&gt;=80,5,0))))</f>
        <v/>
      </c>
      <c r="O140" s="32" t="n">
        <v>55.88</v>
      </c>
      <c r="P140" s="32" t="n">
        <v>12.81</v>
      </c>
      <c r="Q140" s="32" t="inlineStr"/>
      <c r="R140" s="31" t="inlineStr">
        <is>
          <t>Earnings / Momentum Support</t>
        </is>
      </c>
      <c r="S140" s="31" t="inlineStr">
        <is>
          <t>Nifty Infra</t>
        </is>
      </c>
      <c r="T140" s="32" t="n">
        <v>1.74</v>
      </c>
      <c r="U140" s="32" t="n">
        <v>-12.81</v>
      </c>
      <c r="V140" s="32" t="n">
        <v>-14.31</v>
      </c>
      <c r="W140" s="32" t="n">
        <v>-1.85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IF(B141=0,"",RANK(B141,$B$2:$B$308,0))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SETL</t>
        </is>
      </c>
      <c r="D141" s="31" t="inlineStr">
        <is>
          <t>Standard Enginnering Technology Ltd</t>
        </is>
      </c>
      <c r="E141" s="31" t="inlineStr">
        <is>
          <t>industrials</t>
        </is>
      </c>
      <c r="F141" s="31" t="inlineStr">
        <is>
          <t>engineering</t>
        </is>
      </c>
      <c r="G141" s="31" t="inlineStr">
        <is>
          <t>midcap</t>
        </is>
      </c>
      <c r="H141" s="32" t="n">
        <v>5440.14</v>
      </c>
      <c r="I141" s="32" t="n">
        <v>282.8</v>
      </c>
      <c r="J141" s="32" t="n">
        <v>3.7</v>
      </c>
      <c r="K141" s="32" t="n">
        <v>630188</v>
      </c>
      <c r="L141" s="31" t="n">
        <v>94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77.95</v>
      </c>
      <c r="P141" s="32" t="n">
        <v>40.36</v>
      </c>
      <c r="Q141" s="32" t="inlineStr"/>
      <c r="R141" s="31" t="inlineStr">
        <is>
          <t>Earnings / Momentum Support</t>
        </is>
      </c>
      <c r="S141" s="31" t="inlineStr">
        <is>
          <t>Nifty Infra</t>
        </is>
      </c>
      <c r="T141" s="32" t="n">
        <v>1.74</v>
      </c>
      <c r="U141" s="32" t="n">
        <v>52.76</v>
      </c>
      <c r="V141" s="32" t="n">
        <v>50.14</v>
      </c>
      <c r="W141" s="32" t="n">
        <v>37.4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Less than 50%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IF(B142=0,"",RANK(B142,$B$2:$B$308,0))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VARROC</t>
        </is>
      </c>
      <c r="D142" s="31" t="inlineStr">
        <is>
          <t>Varroc Engineering Ltd</t>
        </is>
      </c>
      <c r="E142" s="31" t="inlineStr">
        <is>
          <t>auto</t>
        </is>
      </c>
      <c r="F142" s="31" t="inlineStr">
        <is>
          <t>auto ancillaries</t>
        </is>
      </c>
      <c r="G142" s="31" t="inlineStr">
        <is>
          <t>midcap</t>
        </is>
      </c>
      <c r="H142" s="32" t="n">
        <v>9820.35</v>
      </c>
      <c r="I142" s="32" t="n">
        <v>665.7</v>
      </c>
      <c r="J142" s="32" t="n">
        <v>3.57</v>
      </c>
      <c r="K142" s="32" t="n">
        <v>158687</v>
      </c>
      <c r="L142" s="31" t="n">
        <v>43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62.48</v>
      </c>
      <c r="P142" s="32" t="n">
        <v>30.26</v>
      </c>
      <c r="Q142" s="32" t="inlineStr"/>
      <c r="R142" s="31" t="inlineStr">
        <is>
          <t>Earnings / Momentum Support</t>
        </is>
      </c>
      <c r="S142" s="31" t="inlineStr">
        <is>
          <t>Nifty Auto</t>
        </is>
      </c>
      <c r="T142" s="32" t="n">
        <v>13.41</v>
      </c>
      <c r="U142" s="32" t="n">
        <v>16.11</v>
      </c>
      <c r="V142" s="32" t="n">
        <v>2.38</v>
      </c>
      <c r="W142" s="32" t="n">
        <v>7.58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Between 50% to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IF(B143=0,"",RANK(B143,$B$2:$B$308,0))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SKYGOLD</t>
        </is>
      </c>
      <c r="D143" s="31" t="inlineStr">
        <is>
          <t>Sky Gold Ltd</t>
        </is>
      </c>
      <c r="E143" s="31" t="inlineStr">
        <is>
          <t>consumer discretionary</t>
        </is>
      </c>
      <c r="F143" s="31" t="inlineStr">
        <is>
          <t>diamond cutting / jewellery</t>
        </is>
      </c>
      <c r="G143" s="31" t="inlineStr">
        <is>
          <t>midcap</t>
        </is>
      </c>
      <c r="H143" s="32" t="n">
        <v>10124.11</v>
      </c>
      <c r="I143" s="32" t="n">
        <v>671.65</v>
      </c>
      <c r="J143" s="32" t="n">
        <v>2.75</v>
      </c>
      <c r="K143" s="32" t="n">
        <v>892937</v>
      </c>
      <c r="L143" s="31" t="n">
        <v>91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74.56</v>
      </c>
      <c r="P143" s="32" t="n">
        <v>57.91</v>
      </c>
      <c r="Q143" s="32" t="inlineStr"/>
      <c r="R143" s="31" t="inlineStr">
        <is>
          <t>Earnings / Momentum Support</t>
        </is>
      </c>
      <c r="S143" s="31" t="inlineStr">
        <is>
          <t>Nifty 50</t>
        </is>
      </c>
      <c r="T143" s="32" t="n">
        <v>-4.31</v>
      </c>
      <c r="U143" s="32" t="n">
        <v>116.6</v>
      </c>
      <c r="V143" s="32" t="n">
        <v>126.35</v>
      </c>
      <c r="W143" s="32" t="n">
        <v>31.47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Negative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Between 0.7 to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IF(B144=0,"",RANK(B144,$B$2:$B$308,0))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ASIANPAINT</t>
        </is>
      </c>
      <c r="D144" s="31" t="inlineStr">
        <is>
          <t>Asian Paints Limited</t>
        </is>
      </c>
      <c r="E144" s="31" t="inlineStr">
        <is>
          <t>building materials</t>
        </is>
      </c>
      <c r="F144" s="31" t="inlineStr">
        <is>
          <t>paints / varnishes</t>
        </is>
      </c>
      <c r="G144" s="31" t="inlineStr">
        <is>
          <t>largecap</t>
        </is>
      </c>
      <c r="H144" s="32" t="n">
        <v>253026.79</v>
      </c>
      <c r="I144" s="32" t="n">
        <v>2710.2</v>
      </c>
      <c r="J144" s="32" t="n">
        <v>2.74</v>
      </c>
      <c r="K144" s="32" t="n">
        <v>715239</v>
      </c>
      <c r="L144" s="31" t="n">
        <v>30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54.62</v>
      </c>
      <c r="P144" s="32" t="n">
        <v>19.41</v>
      </c>
      <c r="Q144" s="32" t="inlineStr"/>
      <c r="R144" s="31" t="inlineStr">
        <is>
          <t>Earnings / Momentum Support</t>
        </is>
      </c>
      <c r="S144" s="31" t="inlineStr">
        <is>
          <t>Nifty Infra</t>
        </is>
      </c>
      <c r="T144" s="32" t="n">
        <v>1.74</v>
      </c>
      <c r="U144" s="32" t="n">
        <v>14.03</v>
      </c>
      <c r="V144" s="32" t="n">
        <v>12.08</v>
      </c>
      <c r="W144" s="32" t="n">
        <v>4.98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0 to 20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IF(B145=0,"",RANK(B145,$B$2:$B$308,0))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JUBLINGREA</t>
        </is>
      </c>
      <c r="D145" s="33" t="inlineStr">
        <is>
          <t>Jubilant Ingrevia Ltd</t>
        </is>
      </c>
      <c r="E145" s="31" t="inlineStr">
        <is>
          <t>chemicals</t>
        </is>
      </c>
      <c r="F145" s="31" t="inlineStr">
        <is>
          <t>chemicals</t>
        </is>
      </c>
      <c r="G145" s="31" t="inlineStr">
        <is>
          <t>midcap</t>
        </is>
      </c>
      <c r="H145" s="32" t="n">
        <v>11556.64</v>
      </c>
      <c r="I145" s="32" t="n">
        <v>744.1</v>
      </c>
      <c r="J145" s="32" t="n">
        <v>2.56</v>
      </c>
      <c r="K145" s="32" t="n">
        <v>445843</v>
      </c>
      <c r="L145" s="31" t="n">
        <v>6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57.98</v>
      </c>
      <c r="P145" s="32" t="n">
        <v>19.22</v>
      </c>
      <c r="Q145" s="32" t="inlineStr"/>
      <c r="R145" s="31" t="inlineStr">
        <is>
          <t>Earnings / Momentum Support</t>
        </is>
      </c>
      <c r="S145" s="31" t="inlineStr">
        <is>
          <t>Nifty 50</t>
        </is>
      </c>
      <c r="T145" s="32" t="n">
        <v>-4.31</v>
      </c>
      <c r="U145" s="32" t="n">
        <v>-6.27</v>
      </c>
      <c r="V145" s="32" t="n">
        <v>-2.05</v>
      </c>
      <c r="W145" s="32" t="n">
        <v>-1.12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0 to 20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IF(B146=0,"",RANK(B146,$B$2:$B$308,0))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SHRIPISTON</t>
        </is>
      </c>
      <c r="D146" s="31" t="inlineStr">
        <is>
          <t>Shriram Pistons &amp; Rings Limited</t>
        </is>
      </c>
      <c r="E146" s="31" t="inlineStr">
        <is>
          <t>auto</t>
        </is>
      </c>
      <c r="F146" s="31" t="inlineStr">
        <is>
          <t>auto ancillaries</t>
        </is>
      </c>
      <c r="G146" s="31" t="inlineStr">
        <is>
          <t>midcap</t>
        </is>
      </c>
      <c r="H146" s="32" t="n">
        <v>18324.29</v>
      </c>
      <c r="I146" s="32" t="n">
        <v>4241.8</v>
      </c>
      <c r="J146" s="32" t="n">
        <v>1.97</v>
      </c>
      <c r="K146" s="32" t="n">
        <v>37326</v>
      </c>
      <c r="L146" s="31" t="n">
        <v>66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69.18000000000001</v>
      </c>
      <c r="P146" s="32" t="n">
        <v>39.03</v>
      </c>
      <c r="Q146" s="32" t="inlineStr"/>
      <c r="R146" s="31" t="inlineStr">
        <is>
          <t>Earnings / Momentum Support</t>
        </is>
      </c>
      <c r="S146" s="31" t="inlineStr">
        <is>
          <t>Nifty Auto</t>
        </is>
      </c>
      <c r="T146" s="32" t="n">
        <v>13.41</v>
      </c>
      <c r="U146" s="32" t="n">
        <v>71.08</v>
      </c>
      <c r="V146" s="32" t="n">
        <v>50.84</v>
      </c>
      <c r="W146" s="32" t="n">
        <v>14.07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IF(B147=0,"",RANK(B147,$B$2:$B$308,0))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SUNDRMFAST</t>
        </is>
      </c>
      <c r="D147" s="33" t="inlineStr">
        <is>
          <t>Sundram Fasteners Limited</t>
        </is>
      </c>
      <c r="E147" s="31" t="inlineStr">
        <is>
          <t>auto</t>
        </is>
      </c>
      <c r="F147" s="31" t="inlineStr">
        <is>
          <t>auto ancillaries</t>
        </is>
      </c>
      <c r="G147" s="31" t="inlineStr">
        <is>
          <t>midcap</t>
        </is>
      </c>
      <c r="H147" s="32" t="n">
        <v>19764.67</v>
      </c>
      <c r="I147" s="32" t="n">
        <v>958.3</v>
      </c>
      <c r="J147" s="32" t="n">
        <v>1.88</v>
      </c>
      <c r="K147" s="32" t="n">
        <v>42536</v>
      </c>
      <c r="L147" s="31" t="n">
        <v>21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59.81</v>
      </c>
      <c r="P147" s="32" t="n">
        <v>14.68</v>
      </c>
      <c r="Q147" s="32" t="inlineStr"/>
      <c r="R147" s="31" t="inlineStr">
        <is>
          <t>Earnings / Momentum Support</t>
        </is>
      </c>
      <c r="S147" s="31" t="inlineStr">
        <is>
          <t>Nifty Auto</t>
        </is>
      </c>
      <c r="T147" s="32" t="n">
        <v>13.41</v>
      </c>
      <c r="U147" s="32" t="n">
        <v>-4.24</v>
      </c>
      <c r="V147" s="32" t="n">
        <v>-15.56</v>
      </c>
      <c r="W147" s="32" t="n">
        <v>2.97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IF(B148=0,"",RANK(B148,$B$2:$B$308,0))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NAHARSPING</t>
        </is>
      </c>
      <c r="D148" s="31" t="inlineStr">
        <is>
          <t>Nahar Spinning Mills Limited</t>
        </is>
      </c>
      <c r="E148" s="31" t="inlineStr">
        <is>
          <t>textiles</t>
        </is>
      </c>
      <c r="F148" s="31" t="inlineStr">
        <is>
          <t>textiles - cotton/blended</t>
        </is>
      </c>
      <c r="G148" s="31" t="inlineStr">
        <is>
          <t>smallcap</t>
        </is>
      </c>
      <c r="H148" s="32" t="n">
        <v>993.78</v>
      </c>
      <c r="I148" s="32" t="n">
        <v>279.65</v>
      </c>
      <c r="J148" s="32" t="n">
        <v>1.49</v>
      </c>
      <c r="K148" s="32" t="n">
        <v>7379</v>
      </c>
      <c r="L148" s="31" t="n">
        <v>46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61.92</v>
      </c>
      <c r="P148" s="32" t="n">
        <v>22.84</v>
      </c>
      <c r="Q148" s="32" t="inlineStr"/>
      <c r="R148" s="31" t="inlineStr">
        <is>
          <t>Earnings / Momentum Support</t>
        </is>
      </c>
      <c r="S148" s="31" t="inlineStr">
        <is>
          <t>Nifty 50</t>
        </is>
      </c>
      <c r="T148" s="32" t="n">
        <v>-4.31</v>
      </c>
      <c r="U148" s="32" t="n">
        <v>7.27</v>
      </c>
      <c r="V148" s="32" t="n">
        <v>12.1</v>
      </c>
      <c r="W148" s="32" t="n">
        <v>8.369999999999999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Between 12 to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IF(B149=0,"",RANK(B149,$B$2:$B$308,0))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HEG</t>
        </is>
      </c>
      <c r="D149" s="31" t="inlineStr">
        <is>
          <t>Heg Limited</t>
        </is>
      </c>
      <c r="E149" s="31" t="inlineStr">
        <is>
          <t>industrials</t>
        </is>
      </c>
      <c r="F149" s="31" t="inlineStr">
        <is>
          <t>electrodes - graphites</t>
        </is>
      </c>
      <c r="G149" s="31" t="inlineStr">
        <is>
          <t>midcap</t>
        </is>
      </c>
      <c r="H149" s="32" t="n">
        <v>12411.35</v>
      </c>
      <c r="I149" s="32" t="n">
        <v>652.5</v>
      </c>
      <c r="J149" s="32" t="n">
        <v>1.45</v>
      </c>
      <c r="K149" s="32" t="n">
        <v>3378029</v>
      </c>
      <c r="L149" s="31" t="n">
        <v>30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62.26</v>
      </c>
      <c r="P149" s="32" t="n">
        <v>25.54</v>
      </c>
      <c r="Q149" s="32" t="inlineStr"/>
      <c r="R149" s="31" t="inlineStr">
        <is>
          <t>Earnings / Momentum Support</t>
        </is>
      </c>
      <c r="S149" s="31" t="inlineStr">
        <is>
          <t>Nifty 50</t>
        </is>
      </c>
      <c r="T149" s="32" t="n">
        <v>-4.31</v>
      </c>
      <c r="U149" s="32" t="n">
        <v>26.36</v>
      </c>
      <c r="V149" s="32" t="n">
        <v>32.04</v>
      </c>
      <c r="W149" s="32" t="n">
        <v>4.96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Between 12 to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IF(B150=0,"",RANK(B150,$B$2:$B$308,0))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RSWM</t>
        </is>
      </c>
      <c r="D150" s="31" t="inlineStr">
        <is>
          <t>Rswm Limited</t>
        </is>
      </c>
      <c r="E150" s="31" t="inlineStr">
        <is>
          <t>textiles</t>
        </is>
      </c>
      <c r="F150" s="31" t="inlineStr">
        <is>
          <t>textiles - cotton/blended</t>
        </is>
      </c>
      <c r="G150" s="31" t="inlineStr">
        <is>
          <t>smallcap</t>
        </is>
      </c>
      <c r="H150" s="32" t="n">
        <v>997.1900000000001</v>
      </c>
      <c r="I150" s="32" t="n">
        <v>213.67</v>
      </c>
      <c r="J150" s="32" t="n">
        <v>0.93</v>
      </c>
      <c r="K150" s="32" t="n">
        <v>47082</v>
      </c>
      <c r="L150" s="31" t="n">
        <v>67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67.37</v>
      </c>
      <c r="P150" s="32" t="n">
        <v>37.87</v>
      </c>
      <c r="Q150" s="32" t="inlineStr"/>
      <c r="R150" s="31" t="inlineStr">
        <is>
          <t>Earnings / Momentum Support</t>
        </is>
      </c>
      <c r="S150" s="31" t="inlineStr">
        <is>
          <t>Nifty 50</t>
        </is>
      </c>
      <c r="T150" s="32" t="n">
        <v>-4.31</v>
      </c>
      <c r="U150" s="32" t="n">
        <v>30.68</v>
      </c>
      <c r="V150" s="32" t="n">
        <v>36.56</v>
      </c>
      <c r="W150" s="32" t="n">
        <v>14.2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More than 1.2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IF(B151=0,"",RANK(B151,$B$2:$B$308,0))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YASHO</t>
        </is>
      </c>
      <c r="D151" s="31" t="inlineStr">
        <is>
          <t>Yasho Industries Ltd</t>
        </is>
      </c>
      <c r="E151" s="31" t="inlineStr">
        <is>
          <t>chemicals</t>
        </is>
      </c>
      <c r="F151" s="31" t="inlineStr">
        <is>
          <t>chemicals</t>
        </is>
      </c>
      <c r="G151" s="31" t="inlineStr">
        <is>
          <t>smallcap</t>
        </is>
      </c>
      <c r="H151" s="32" t="n">
        <v>3702.43</v>
      </c>
      <c r="I151" s="32" t="n">
        <v>3092.6</v>
      </c>
      <c r="J151" s="32" t="n">
        <v>0.67</v>
      </c>
      <c r="K151" s="32" t="n">
        <v>12164</v>
      </c>
      <c r="L151" s="31" t="n">
        <v>95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84.06999999999999</v>
      </c>
      <c r="P151" s="32" t="n">
        <v>54.23</v>
      </c>
      <c r="Q151" s="32" t="inlineStr"/>
      <c r="R151" s="31" t="inlineStr">
        <is>
          <t>Earnings / Momentum Support</t>
        </is>
      </c>
      <c r="S151" s="31" t="inlineStr">
        <is>
          <t>Nifty 50</t>
        </is>
      </c>
      <c r="T151" s="32" t="n">
        <v>-4.31</v>
      </c>
      <c r="U151" s="32" t="n">
        <v>56.49</v>
      </c>
      <c r="V151" s="32" t="n">
        <v>63.53</v>
      </c>
      <c r="W151" s="32" t="n">
        <v>38.84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More than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IF(B152=0,"",RANK(B152,$B$2:$B$308,0))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SOTL</t>
        </is>
      </c>
      <c r="D152" s="31" t="inlineStr">
        <is>
          <t>Savita Oil Technologies Limited</t>
        </is>
      </c>
      <c r="E152" s="31" t="inlineStr">
        <is>
          <t>energy</t>
        </is>
      </c>
      <c r="F152" s="31" t="inlineStr">
        <is>
          <t>petrochemicals</t>
        </is>
      </c>
      <c r="G152" s="31" t="inlineStr">
        <is>
          <t>smallcap</t>
        </is>
      </c>
      <c r="H152" s="32" t="n">
        <v>4427.29</v>
      </c>
      <c r="I152" s="32" t="n">
        <v>649.35</v>
      </c>
      <c r="J152" s="32" t="n">
        <v>0.5600000000000001</v>
      </c>
      <c r="K152" s="32" t="n">
        <v>555851</v>
      </c>
      <c r="L152" s="31" t="n">
        <v>81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70.29000000000001</v>
      </c>
      <c r="P152" s="32" t="n">
        <v>43.28</v>
      </c>
      <c r="Q152" s="32" t="inlineStr"/>
      <c r="R152" s="31" t="inlineStr">
        <is>
          <t>Earnings / Momentum Support</t>
        </is>
      </c>
      <c r="S152" s="31" t="inlineStr">
        <is>
          <t>Nifty Energy</t>
        </is>
      </c>
      <c r="T152" s="32" t="n">
        <v>8.41</v>
      </c>
      <c r="U152" s="32" t="n">
        <v>39.93</v>
      </c>
      <c r="V152" s="32" t="n">
        <v>29.08</v>
      </c>
      <c r="W152" s="32" t="n">
        <v>21.2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Oligopoly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Cyclical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Volatile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IF(B153=0,"",RANK(B153,$B$2:$B$308,0))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ORBTEXP</t>
        </is>
      </c>
      <c r="D153" s="31" t="inlineStr">
        <is>
          <t>Orbit Exports Limited</t>
        </is>
      </c>
      <c r="E153" s="31" t="inlineStr">
        <is>
          <t>textiles</t>
        </is>
      </c>
      <c r="F153" s="31" t="inlineStr">
        <is>
          <t>textiles - processing</t>
        </is>
      </c>
      <c r="G153" s="31" t="inlineStr">
        <is>
          <t>smallcap</t>
        </is>
      </c>
      <c r="H153" s="32" t="n">
        <v>644.35</v>
      </c>
      <c r="I153" s="32" t="n">
        <v>244.07</v>
      </c>
      <c r="J153" s="32" t="n">
        <v>0.42</v>
      </c>
      <c r="K153" s="32" t="n">
        <v>7061</v>
      </c>
      <c r="L153" s="31" t="n">
        <v>60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69.8</v>
      </c>
      <c r="P153" s="32" t="n">
        <v>34.11</v>
      </c>
      <c r="Q153" s="32" t="inlineStr"/>
      <c r="R153" s="31" t="inlineStr">
        <is>
          <t>Earnings / Momentum Support</t>
        </is>
      </c>
      <c r="S153" s="31" t="inlineStr">
        <is>
          <t>Nifty 50</t>
        </is>
      </c>
      <c r="T153" s="32" t="n">
        <v>-4.31</v>
      </c>
      <c r="U153" s="32" t="n">
        <v>-1.83</v>
      </c>
      <c r="V153" s="32" t="n">
        <v>2.59</v>
      </c>
      <c r="W153" s="32" t="n">
        <v>12.16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IF(B154=0,"",RANK(B154,$B$2:$B$308,0))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NELCO</t>
        </is>
      </c>
      <c r="D154" s="31" t="inlineStr">
        <is>
          <t>Nelco Limited</t>
        </is>
      </c>
      <c r="E154" s="31" t="inlineStr">
        <is>
          <t>telecom</t>
        </is>
      </c>
      <c r="F154" s="31" t="inlineStr">
        <is>
          <t>telecommunications - service provider</t>
        </is>
      </c>
      <c r="G154" s="31" t="inlineStr">
        <is>
          <t>smallcap</t>
        </is>
      </c>
      <c r="H154" s="32" t="n">
        <v>2128.5</v>
      </c>
      <c r="I154" s="32" t="n">
        <v>933.75</v>
      </c>
      <c r="J154" s="32" t="n">
        <v>0.1</v>
      </c>
      <c r="K154" s="32" t="n">
        <v>313008</v>
      </c>
      <c r="L154" s="31" t="n">
        <v>60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64.15000000000001</v>
      </c>
      <c r="P154" s="32" t="n">
        <v>25.14</v>
      </c>
      <c r="Q154" s="32" t="inlineStr"/>
      <c r="R154" s="31" t="inlineStr">
        <is>
          <t>Earnings / Momentum Support</t>
        </is>
      </c>
      <c r="S154" s="31" t="inlineStr">
        <is>
          <t>Nifty 50</t>
        </is>
      </c>
      <c r="T154" s="32" t="n">
        <v>-4.31</v>
      </c>
      <c r="U154" s="32" t="n">
        <v>9.31</v>
      </c>
      <c r="V154" s="32" t="n">
        <v>14.23</v>
      </c>
      <c r="W154" s="32" t="n">
        <v>12.4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Oligopoly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IF(B155=0,"",RANK(B155,$B$2:$B$308,0))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ADANIENSOL</t>
        </is>
      </c>
      <c r="D155" s="31" t="inlineStr">
        <is>
          <t>Adani Energy Solutions Ltd</t>
        </is>
      </c>
      <c r="E155" s="31" t="inlineStr">
        <is>
          <t>power &amp; utilities</t>
        </is>
      </c>
      <c r="F155" s="31" t="inlineStr">
        <is>
          <t>power generation and supply</t>
        </is>
      </c>
      <c r="G155" s="31" t="inlineStr">
        <is>
          <t>largecap</t>
        </is>
      </c>
      <c r="H155" s="32" t="n">
        <v>204482.33</v>
      </c>
      <c r="I155" s="32" t="n">
        <v>1703.3</v>
      </c>
      <c r="J155" s="32" t="n">
        <v>0.06</v>
      </c>
      <c r="K155" s="32" t="n">
        <v>2632783</v>
      </c>
      <c r="L155" s="31" t="n">
        <v>84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73.90000000000001</v>
      </c>
      <c r="P155" s="32" t="n">
        <v>55.13</v>
      </c>
      <c r="Q155" s="32" t="inlineStr"/>
      <c r="R155" s="31" t="inlineStr">
        <is>
          <t>Earnings / Momentum Support</t>
        </is>
      </c>
      <c r="S155" s="31" t="inlineStr">
        <is>
          <t>Nifty IT</t>
        </is>
      </c>
      <c r="T155" s="32" t="n">
        <v>-19.25</v>
      </c>
      <c r="U155" s="32" t="n">
        <v>108.31</v>
      </c>
      <c r="V155" s="32" t="n">
        <v>157.95</v>
      </c>
      <c r="W155" s="32" t="n">
        <v>23.29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IF(B156=0,"",RANK(B156,$B$2:$B$308,0))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3" t="inlineStr">
        <is>
          <t>KKCL</t>
        </is>
      </c>
      <c r="D156" s="33" t="inlineStr">
        <is>
          <t>Kewal Kiran Clothing Limited</t>
        </is>
      </c>
      <c r="E156" s="31" t="inlineStr">
        <is>
          <t>consumer discretionary</t>
        </is>
      </c>
      <c r="F156" s="31" t="inlineStr">
        <is>
          <t>textiles - products</t>
        </is>
      </c>
      <c r="G156" s="31" t="inlineStr">
        <is>
          <t>smallcap</t>
        </is>
      </c>
      <c r="H156" s="32" t="n">
        <v>3095.43</v>
      </c>
      <c r="I156" s="32" t="n">
        <v>501.95</v>
      </c>
      <c r="J156" s="32" t="n">
        <v>-0.07000000000000001</v>
      </c>
      <c r="K156" s="32" t="n">
        <v>35517</v>
      </c>
      <c r="L156" s="31" t="n">
        <v>8</v>
      </c>
      <c r="M156" s="31" t="inlineStr">
        <is>
          <t>Underperforming</t>
        </is>
      </c>
      <c r="N156" s="32">
        <f>IF(M156="Underperforming",-5,IF(L156&gt;=95,15,IF(L156&gt;=90,10,IF(L156&gt;=80,5,0))))</f>
        <v/>
      </c>
      <c r="O156" s="32" t="n">
        <v>55.83</v>
      </c>
      <c r="P156" s="32" t="n">
        <v>14.58</v>
      </c>
      <c r="Q156" s="32" t="inlineStr"/>
      <c r="R156" s="31" t="inlineStr">
        <is>
          <t>Earnings / Momentum Support</t>
        </is>
      </c>
      <c r="S156" s="31" t="inlineStr">
        <is>
          <t>Nifty 50</t>
        </is>
      </c>
      <c r="T156" s="32" t="n">
        <v>-4.31</v>
      </c>
      <c r="U156" s="32" t="n">
        <v>-7.4</v>
      </c>
      <c r="V156" s="32" t="n">
        <v>-3.23</v>
      </c>
      <c r="W156" s="32" t="n">
        <v>0.01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IF(B157=0,"",RANK(B157,$B$2:$B$308,0))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GREAVESCOT</t>
        </is>
      </c>
      <c r="D157" s="31" t="inlineStr">
        <is>
          <t>Greaves Cotton Limited</t>
        </is>
      </c>
      <c r="E157" s="31" t="inlineStr">
        <is>
          <t>industrials</t>
        </is>
      </c>
      <c r="F157" s="31" t="inlineStr">
        <is>
          <t>engines</t>
        </is>
      </c>
      <c r="G157" s="31" t="inlineStr">
        <is>
          <t>midcap</t>
        </is>
      </c>
      <c r="H157" s="32" t="n">
        <v>5738.06</v>
      </c>
      <c r="I157" s="32" t="n">
        <v>245.99</v>
      </c>
      <c r="J157" s="32" t="n">
        <v>-0.13</v>
      </c>
      <c r="K157" s="32" t="n">
        <v>1108107</v>
      </c>
      <c r="L157" s="31" t="n">
        <v>77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68.53</v>
      </c>
      <c r="P157" s="32" t="n">
        <v>29.95</v>
      </c>
      <c r="Q157" s="32" t="inlineStr"/>
      <c r="R157" s="31" t="inlineStr">
        <is>
          <t>Earnings / Momentum Support</t>
        </is>
      </c>
      <c r="S157" s="31" t="inlineStr">
        <is>
          <t>Nifty 50</t>
        </is>
      </c>
      <c r="T157" s="32" t="n">
        <v>-4.31</v>
      </c>
      <c r="U157" s="32" t="n">
        <v>23.07</v>
      </c>
      <c r="V157" s="32" t="n">
        <v>28.61</v>
      </c>
      <c r="W157" s="32" t="n">
        <v>19.06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IF(B158=0,"",RANK(B158,$B$2:$B$308,0))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ABB</t>
        </is>
      </c>
      <c r="D158" s="31" t="inlineStr">
        <is>
          <t>Abb India Limited</t>
        </is>
      </c>
      <c r="E158" s="31" t="inlineStr">
        <is>
          <t>industrials</t>
        </is>
      </c>
      <c r="F158" s="31" t="inlineStr">
        <is>
          <t>electric equipment</t>
        </is>
      </c>
      <c r="G158" s="31" t="inlineStr">
        <is>
          <t>largecap</t>
        </is>
      </c>
      <c r="H158" s="32" t="n">
        <v>156293.02</v>
      </c>
      <c r="I158" s="32" t="n">
        <v>7327.5</v>
      </c>
      <c r="J158" s="32" t="n">
        <v>-0.65</v>
      </c>
      <c r="K158" s="32" t="n">
        <v>370848</v>
      </c>
      <c r="L158" s="31" t="n">
        <v>45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61.07</v>
      </c>
      <c r="P158" s="32" t="n">
        <v>33.57</v>
      </c>
      <c r="Q158" s="32" t="inlineStr"/>
      <c r="R158" s="31" t="inlineStr">
        <is>
          <t>Earnings / Momentum Support</t>
        </is>
      </c>
      <c r="S158" s="31" t="inlineStr">
        <is>
          <t>Nifty 50</t>
        </is>
      </c>
      <c r="T158" s="32" t="n">
        <v>-4.31</v>
      </c>
      <c r="U158" s="32" t="n">
        <v>31.49</v>
      </c>
      <c r="V158" s="32" t="n">
        <v>37.4</v>
      </c>
      <c r="W158" s="32" t="n">
        <v>8.16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IF(B159=0,"",RANK(B159,$B$2:$B$308,0))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EXIDEIND</t>
        </is>
      </c>
      <c r="D159" s="31" t="inlineStr">
        <is>
          <t>Exide Industries Limited</t>
        </is>
      </c>
      <c r="E159" s="31" t="inlineStr">
        <is>
          <t>auto</t>
        </is>
      </c>
      <c r="F159" s="31" t="inlineStr">
        <is>
          <t>auto ancillaries</t>
        </is>
      </c>
      <c r="G159" s="31" t="inlineStr">
        <is>
          <t>largecap</t>
        </is>
      </c>
      <c r="H159" s="32" t="n">
        <v>37655</v>
      </c>
      <c r="I159" s="32" t="n">
        <v>427</v>
      </c>
      <c r="J159" s="32" t="n">
        <v>-3.61</v>
      </c>
      <c r="K159" s="32" t="n">
        <v>5848999</v>
      </c>
      <c r="L159" s="31" t="n">
        <v>54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71.75</v>
      </c>
      <c r="P159" s="32" t="n">
        <v>38.12</v>
      </c>
      <c r="Q159" s="32" t="inlineStr"/>
      <c r="R159" s="31" t="inlineStr">
        <is>
          <t>Earnings / Momentum Support</t>
        </is>
      </c>
      <c r="S159" s="31" t="inlineStr">
        <is>
          <t>Nifty Auto</t>
        </is>
      </c>
      <c r="T159" s="32" t="n">
        <v>13.41</v>
      </c>
      <c r="U159" s="32" t="n">
        <v>13.86</v>
      </c>
      <c r="V159" s="32" t="n">
        <v>0.39</v>
      </c>
      <c r="W159" s="32" t="n">
        <v>10.23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IF(B160=0,"",RANK(B160,$B$2:$B$308,0))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SPECIALITY</t>
        </is>
      </c>
      <c r="D160" s="31" t="inlineStr">
        <is>
          <t>Speciality Restaurants Limited</t>
        </is>
      </c>
      <c r="E160" s="31" t="inlineStr">
        <is>
          <t>services</t>
        </is>
      </c>
      <c r="F160" s="31" t="inlineStr">
        <is>
          <t>hotels</t>
        </is>
      </c>
      <c r="G160" s="31" t="inlineStr">
        <is>
          <t>smallcap</t>
        </is>
      </c>
      <c r="H160" s="32" t="n">
        <v>664.35</v>
      </c>
      <c r="I160" s="32" t="n">
        <v>132.03</v>
      </c>
      <c r="J160" s="32" t="n">
        <v>-4.14</v>
      </c>
      <c r="K160" s="32" t="n">
        <v>60151</v>
      </c>
      <c r="L160" s="31" t="n">
        <v>53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66.29000000000001</v>
      </c>
      <c r="P160" s="32" t="n">
        <v>20.88</v>
      </c>
      <c r="Q160" s="32" t="inlineStr"/>
      <c r="R160" s="31" t="inlineStr">
        <is>
          <t>Earnings / Momentum Support</t>
        </is>
      </c>
      <c r="S160" s="31" t="inlineStr">
        <is>
          <t>Nifty 50</t>
        </is>
      </c>
      <c r="T160" s="32" t="n">
        <v>-4.31</v>
      </c>
      <c r="U160" s="32" t="n">
        <v>4.37</v>
      </c>
      <c r="V160" s="32" t="n">
        <v>9.06</v>
      </c>
      <c r="W160" s="32" t="n">
        <v>10.18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IF(B161=0,"",RANK(B161,$B$2:$B$308,0))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SAILIFE</t>
        </is>
      </c>
      <c r="D161" s="31" t="inlineStr">
        <is>
          <t>Sai Life Sciences Ltd</t>
        </is>
      </c>
      <c r="E161" s="31" t="inlineStr">
        <is>
          <t>healthcare</t>
        </is>
      </c>
      <c r="F161" s="31" t="inlineStr">
        <is>
          <t>pharmaceuticals - indian - bulk drugs &amp; formln</t>
        </is>
      </c>
      <c r="G161" s="31" t="inlineStr">
        <is>
          <t>largecap</t>
        </is>
      </c>
      <c r="H161" s="32" t="n">
        <v>26172.74</v>
      </c>
      <c r="I161" s="32" t="n">
        <v>1287</v>
      </c>
      <c r="J161" s="32" t="n">
        <v>4.39</v>
      </c>
      <c r="K161" s="32" t="n">
        <v>476995</v>
      </c>
      <c r="L161" s="31" t="n">
        <v>63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68</v>
      </c>
      <c r="P161" s="32" t="n">
        <v>29.83</v>
      </c>
      <c r="Q161" s="32" t="inlineStr"/>
      <c r="R161" s="31" t="inlineStr">
        <is>
          <t>Earnings / Momentum Support</t>
        </is>
      </c>
      <c r="S161" s="31" t="inlineStr">
        <is>
          <t>Nifty Pharma</t>
        </is>
      </c>
      <c r="T161" s="32" t="n">
        <v>12.73</v>
      </c>
      <c r="U161" s="32" t="n">
        <v>47.04</v>
      </c>
      <c r="V161" s="32" t="n">
        <v>30.43</v>
      </c>
      <c r="W161" s="32" t="n">
        <v>13.01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Yes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Between 12 to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IF(B162=0,"",RANK(B162,$B$2:$B$308,0))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GPTHEALTH</t>
        </is>
      </c>
      <c r="D162" s="33" t="inlineStr">
        <is>
          <t>GPT Healthcare Ltd</t>
        </is>
      </c>
      <c r="E162" s="31" t="inlineStr">
        <is>
          <t>healthcare</t>
        </is>
      </c>
      <c r="F162" s="31" t="inlineStr">
        <is>
          <t>healthcare</t>
        </is>
      </c>
      <c r="G162" s="31" t="inlineStr">
        <is>
          <t>smallcap</t>
        </is>
      </c>
      <c r="H162" s="32" t="n">
        <v>1309.92</v>
      </c>
      <c r="I162" s="32" t="n">
        <v>165.99</v>
      </c>
      <c r="J162" s="32" t="n">
        <v>3.98</v>
      </c>
      <c r="K162" s="32" t="n">
        <v>485454</v>
      </c>
      <c r="L162" s="31" t="n">
        <v>25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65.28</v>
      </c>
      <c r="P162" s="32" t="n">
        <v>39.74</v>
      </c>
      <c r="Q162" s="32" t="inlineStr"/>
      <c r="R162" s="31" t="inlineStr">
        <is>
          <t>Earnings / Momentum Support</t>
        </is>
      </c>
      <c r="S162" s="31" t="inlineStr">
        <is>
          <t>Nifty Pharma</t>
        </is>
      </c>
      <c r="T162" s="32" t="n">
        <v>12.73</v>
      </c>
      <c r="U162" s="32" t="n">
        <v>0.76</v>
      </c>
      <c r="V162" s="32" t="n">
        <v>-10.62</v>
      </c>
      <c r="W162" s="32" t="n">
        <v>4.08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Yes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Between 12 to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IF(B163=0,"",RANK(B163,$B$2:$B$308,0))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ONESOURCE</t>
        </is>
      </c>
      <c r="D163" s="33" t="inlineStr">
        <is>
          <t>OneSource Specialty Pharma Ltd</t>
        </is>
      </c>
      <c r="E163" s="31" t="inlineStr">
        <is>
          <t>healthcare</t>
        </is>
      </c>
      <c r="F163" s="31" t="inlineStr">
        <is>
          <t>pharmaceuticals - indian - bulk drugs &amp; formln</t>
        </is>
      </c>
      <c r="G163" s="31" t="inlineStr">
        <is>
          <t>midcap</t>
        </is>
      </c>
      <c r="H163" s="32" t="n">
        <v>18961.27</v>
      </c>
      <c r="I163" s="32" t="n">
        <v>1688.9</v>
      </c>
      <c r="J163" s="32" t="n">
        <v>2.12</v>
      </c>
      <c r="K163" s="32" t="n">
        <v>717187</v>
      </c>
      <c r="L163" s="31" t="n">
        <v>2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50.33</v>
      </c>
      <c r="P163" s="32" t="n">
        <v>9.199999999999999</v>
      </c>
      <c r="Q163" s="32" t="inlineStr"/>
      <c r="R163" s="31" t="inlineStr">
        <is>
          <t>Earnings / Momentum Support</t>
        </is>
      </c>
      <c r="S163" s="31" t="inlineStr">
        <is>
          <t>Nifty Pharma</t>
        </is>
      </c>
      <c r="T163" s="32" t="n">
        <v>12.73</v>
      </c>
      <c r="U163" s="32" t="n">
        <v>-15.35</v>
      </c>
      <c r="V163" s="32" t="n">
        <v>-24.91</v>
      </c>
      <c r="W163" s="32" t="n">
        <v>-3.87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Yes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IF(B164=0,"",RANK(B164,$B$2:$B$308,0))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HMVL</t>
        </is>
      </c>
      <c r="D164" s="31" t="inlineStr">
        <is>
          <t>Hindustan Media Ventures Limited</t>
        </is>
      </c>
      <c r="E164" s="31" t="inlineStr">
        <is>
          <t>media</t>
        </is>
      </c>
      <c r="F164" s="31" t="inlineStr">
        <is>
          <t>entertainment / electronic media software</t>
        </is>
      </c>
      <c r="G164" s="31" t="inlineStr">
        <is>
          <t>smallcap</t>
        </is>
      </c>
      <c r="H164" s="32" t="n">
        <v>688.09</v>
      </c>
      <c r="I164" s="32" t="n">
        <v>95.25</v>
      </c>
      <c r="J164" s="32" t="n">
        <v>1.98</v>
      </c>
      <c r="K164" s="32" t="n">
        <v>67277</v>
      </c>
      <c r="L164" s="31" t="n">
        <v>59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70.92</v>
      </c>
      <c r="P164" s="32" t="n">
        <v>31.51</v>
      </c>
      <c r="Q164" s="32" t="inlineStr"/>
      <c r="R164" s="31" t="inlineStr">
        <is>
          <t>Earnings / Momentum Support</t>
        </is>
      </c>
      <c r="S164" s="31" t="inlineStr">
        <is>
          <t>Nifty IT</t>
        </is>
      </c>
      <c r="T164" s="32" t="n">
        <v>-19.25</v>
      </c>
      <c r="U164" s="32" t="n">
        <v>6.14</v>
      </c>
      <c r="V164" s="32" t="n">
        <v>31.43</v>
      </c>
      <c r="W164" s="32" t="n">
        <v>11.61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IF(B165=0,"",RANK(B165,$B$2:$B$308,0))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TIPSMUSIC</t>
        </is>
      </c>
      <c r="D165" s="31" t="inlineStr">
        <is>
          <t>Tips Music Ltd</t>
        </is>
      </c>
      <c r="E165" s="31" t="inlineStr">
        <is>
          <t>media</t>
        </is>
      </c>
      <c r="F165" s="31" t="inlineStr">
        <is>
          <t>entertainment / electronic media software</t>
        </is>
      </c>
      <c r="G165" s="31" t="inlineStr">
        <is>
          <t>midcap</t>
        </is>
      </c>
      <c r="H165" s="32" t="n">
        <v>8941.18</v>
      </c>
      <c r="I165" s="32" t="n">
        <v>712.55</v>
      </c>
      <c r="J165" s="32" t="n">
        <v>1.87</v>
      </c>
      <c r="K165" s="32" t="n">
        <v>586014</v>
      </c>
      <c r="L165" s="31" t="n">
        <v>31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61.04</v>
      </c>
      <c r="P165" s="32" t="n">
        <v>39.44</v>
      </c>
      <c r="Q165" s="32" t="inlineStr"/>
      <c r="R165" s="31" t="inlineStr">
        <is>
          <t>Earnings / Momentum Support</t>
        </is>
      </c>
      <c r="S165" s="31" t="inlineStr">
        <is>
          <t>Nifty IT</t>
        </is>
      </c>
      <c r="T165" s="32" t="n">
        <v>-19.25</v>
      </c>
      <c r="U165" s="32" t="n">
        <v>17.71</v>
      </c>
      <c r="V165" s="32" t="n">
        <v>45.77</v>
      </c>
      <c r="W165" s="32" t="n">
        <v>5.08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IF(B166=0,"",RANK(B166,$B$2:$B$308,0))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HNDFDS</t>
        </is>
      </c>
      <c r="D166" s="31" t="inlineStr">
        <is>
          <t>Hindustan Foods Ltd</t>
        </is>
      </c>
      <c r="E166" s="31" t="inlineStr">
        <is>
          <t>fmcg</t>
        </is>
      </c>
      <c r="F166" s="31" t="inlineStr">
        <is>
          <t>diversified - large</t>
        </is>
      </c>
      <c r="G166" s="31" t="inlineStr">
        <is>
          <t>midcap</t>
        </is>
      </c>
      <c r="H166" s="32" t="n">
        <v>6993.51</v>
      </c>
      <c r="I166" s="32" t="n">
        <v>578.15</v>
      </c>
      <c r="J166" s="32" t="n">
        <v>0.16</v>
      </c>
      <c r="K166" s="32" t="n">
        <v>80724</v>
      </c>
      <c r="L166" s="31" t="n">
        <v>15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63.01</v>
      </c>
      <c r="P166" s="32" t="n">
        <v>33.55</v>
      </c>
      <c r="Q166" s="32" t="inlineStr"/>
      <c r="R166" s="31" t="inlineStr">
        <is>
          <t>Earnings / Momentum Support</t>
        </is>
      </c>
      <c r="S166" s="31" t="inlineStr">
        <is>
          <t>Nifty FMCG</t>
        </is>
      </c>
      <c r="T166" s="32" t="n">
        <v>-13.73</v>
      </c>
      <c r="U166" s="32" t="n">
        <v>-1.7</v>
      </c>
      <c r="V166" s="32" t="n">
        <v>13.95</v>
      </c>
      <c r="W166" s="32" t="n">
        <v>1.82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B2C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Between 1.5 to 2</t>
        </is>
      </c>
      <c r="BU166" s="31">
        <f>IF(BT166="Above 2",0,IF(BT166="Between 1.5 to 2",5,IF(BT166="Less than 1.5",10,0)))</f>
        <v/>
      </c>
      <c r="BV166" s="31" t="inlineStr">
        <is>
          <t>Less than 50%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IF(B167=0,"",RANK(B167,$B$2:$B$308,0))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ATUL</t>
        </is>
      </c>
      <c r="D167" s="31" t="inlineStr">
        <is>
          <t>Atul Limited</t>
        </is>
      </c>
      <c r="E167" s="31" t="inlineStr">
        <is>
          <t>chemicals</t>
        </is>
      </c>
      <c r="F167" s="31" t="inlineStr">
        <is>
          <t>chemicals</t>
        </is>
      </c>
      <c r="G167" s="31" t="inlineStr">
        <is>
          <t>midcap</t>
        </is>
      </c>
      <c r="H167" s="32" t="n">
        <v>18864.8</v>
      </c>
      <c r="I167" s="32" t="n">
        <v>6789.5</v>
      </c>
      <c r="J167" s="32" t="n">
        <v>5.96</v>
      </c>
      <c r="K167" s="32" t="n">
        <v>328187</v>
      </c>
      <c r="L167" s="31" t="n">
        <v>6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48.57</v>
      </c>
      <c r="P167" s="32" t="n">
        <v>11.34</v>
      </c>
      <c r="Q167" s="32" t="inlineStr"/>
      <c r="R167" s="31" t="inlineStr">
        <is>
          <t>Volume Spike / Accumulation</t>
        </is>
      </c>
      <c r="S167" s="31" t="inlineStr">
        <is>
          <t>Nifty 50</t>
        </is>
      </c>
      <c r="T167" s="32" t="n">
        <v>-4.31</v>
      </c>
      <c r="U167" s="32" t="n">
        <v>-3.42</v>
      </c>
      <c r="V167" s="32" t="n">
        <v>0.93</v>
      </c>
      <c r="W167" s="32" t="n">
        <v>-1.06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Below 45</t>
        </is>
      </c>
      <c r="BA167" s="31">
        <f>IF(AZ167="Between 50 to 75",10,IF(AZ167="Above 75",0,0))</f>
        <v/>
      </c>
      <c r="BB167" s="31" t="inlineStr">
        <is>
          <t>Stage 4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IF(B168=0,"",RANK(B168,$B$2:$B$308,0))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OAL</t>
        </is>
      </c>
      <c r="D168" s="31" t="inlineStr">
        <is>
          <t>Oriental Aromatics Ltd</t>
        </is>
      </c>
      <c r="E168" s="31" t="inlineStr">
        <is>
          <t>chemicals</t>
        </is>
      </c>
      <c r="F168" s="31" t="inlineStr">
        <is>
          <t>chemicals</t>
        </is>
      </c>
      <c r="G168" s="31" t="inlineStr">
        <is>
          <t>smallcap</t>
        </is>
      </c>
      <c r="H168" s="32" t="n">
        <v>1255.28</v>
      </c>
      <c r="I168" s="32" t="n">
        <v>392.45</v>
      </c>
      <c r="J168" s="32" t="n">
        <v>5.21</v>
      </c>
      <c r="K168" s="32" t="n">
        <v>104430</v>
      </c>
      <c r="L168" s="31" t="n">
        <v>32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65.33</v>
      </c>
      <c r="P168" s="32" t="n">
        <v>24.6</v>
      </c>
      <c r="Q168" s="32" t="inlineStr"/>
      <c r="R168" s="31" t="inlineStr">
        <is>
          <t>Earnings / Momentum Support</t>
        </is>
      </c>
      <c r="S168" s="31" t="inlineStr">
        <is>
          <t>Nifty IT</t>
        </is>
      </c>
      <c r="T168" s="32" t="n">
        <v>-19.25</v>
      </c>
      <c r="U168" s="32" t="n">
        <v>-2.08</v>
      </c>
      <c r="V168" s="32" t="n">
        <v>21.26</v>
      </c>
      <c r="W168" s="32" t="n">
        <v>5.32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Less than 50%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IF(B169=0,"",RANK(B169,$B$2:$B$308,0))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LLOYDSENT</t>
        </is>
      </c>
      <c r="D169" s="31" t="inlineStr">
        <is>
          <t>Lloyds Enterprises Ltd</t>
        </is>
      </c>
      <c r="E169" s="31" t="inlineStr">
        <is>
          <t>services</t>
        </is>
      </c>
      <c r="F169" s="31" t="inlineStr">
        <is>
          <t>trading</t>
        </is>
      </c>
      <c r="G169" s="31" t="inlineStr">
        <is>
          <t>midcap</t>
        </is>
      </c>
      <c r="H169" s="32" t="n">
        <v>11913.21</v>
      </c>
      <c r="I169" s="32" t="n">
        <v>81.64</v>
      </c>
      <c r="J169" s="32" t="n">
        <v>4.61</v>
      </c>
      <c r="K169" s="32" t="n">
        <v>5630540</v>
      </c>
      <c r="L169" s="31" t="n">
        <v>27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62.48</v>
      </c>
      <c r="P169" s="32" t="n">
        <v>34.96</v>
      </c>
      <c r="Q169" s="32" t="inlineStr"/>
      <c r="R169" s="31" t="inlineStr">
        <is>
          <t>Earnings / Momentum Support</t>
        </is>
      </c>
      <c r="S169" s="31" t="inlineStr">
        <is>
          <t>Nifty 50</t>
        </is>
      </c>
      <c r="T169" s="32" t="n">
        <v>-4.31</v>
      </c>
      <c r="U169" s="32" t="n">
        <v>-1.36</v>
      </c>
      <c r="V169" s="32" t="n">
        <v>3.08</v>
      </c>
      <c r="W169" s="32" t="n">
        <v>4.54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Negative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IF(B170=0,"",RANK(B170,$B$2:$B$308,0))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VINCOFE</t>
        </is>
      </c>
      <c r="D170" s="31" t="inlineStr">
        <is>
          <t>Vintage Coffee &amp; Beverages Ltd</t>
        </is>
      </c>
      <c r="E170" s="31" t="inlineStr">
        <is>
          <t>consumer discretionary</t>
        </is>
      </c>
      <c r="F170" s="31" t="inlineStr">
        <is>
          <t>trading</t>
        </is>
      </c>
      <c r="G170" s="31" t="inlineStr">
        <is>
          <t>smallcap</t>
        </is>
      </c>
      <c r="H170" s="32" t="n">
        <v>2275.36</v>
      </c>
      <c r="I170" s="32" t="n">
        <v>162.87</v>
      </c>
      <c r="J170" s="32" t="n">
        <v>4.28</v>
      </c>
      <c r="K170" s="32" t="n">
        <v>3500698</v>
      </c>
      <c r="L170" s="31" t="n">
        <v>36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56.44</v>
      </c>
      <c r="P170" s="32" t="n">
        <v>22.47</v>
      </c>
      <c r="Q170" s="32" t="inlineStr"/>
      <c r="R170" s="31" t="inlineStr">
        <is>
          <t>Earnings / Momentum Support</t>
        </is>
      </c>
      <c r="S170" s="31" t="inlineStr">
        <is>
          <t>Nifty 50</t>
        </is>
      </c>
      <c r="T170" s="32" t="n">
        <v>-4.31</v>
      </c>
      <c r="U170" s="32" t="n">
        <v>6.57</v>
      </c>
      <c r="V170" s="32" t="n">
        <v>11.37</v>
      </c>
      <c r="W170" s="32" t="n">
        <v>5.97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Less than 50%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IF(B171=0,"",RANK(B171,$B$2:$B$308,0))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JINDWORLD</t>
        </is>
      </c>
      <c r="D171" s="33" t="inlineStr">
        <is>
          <t>Jindal Worldwide Limited</t>
        </is>
      </c>
      <c r="E171" s="31" t="inlineStr">
        <is>
          <t>textiles</t>
        </is>
      </c>
      <c r="F171" s="31" t="inlineStr">
        <is>
          <t>textiles - products</t>
        </is>
      </c>
      <c r="G171" s="31" t="inlineStr">
        <is>
          <t>smallcap</t>
        </is>
      </c>
      <c r="H171" s="32" t="n">
        <v>3792.84</v>
      </c>
      <c r="I171" s="32" t="n">
        <v>39.43</v>
      </c>
      <c r="J171" s="32" t="n">
        <v>4.23</v>
      </c>
      <c r="K171" s="32" t="n">
        <v>55992502</v>
      </c>
      <c r="L171" s="31" t="n">
        <v>64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66.91</v>
      </c>
      <c r="P171" s="32" t="n">
        <v>27.57</v>
      </c>
      <c r="Q171" s="32" t="inlineStr"/>
      <c r="R171" s="31" t="inlineStr">
        <is>
          <t>Earnings / Momentum Support</t>
        </is>
      </c>
      <c r="S171" s="31" t="inlineStr">
        <is>
          <t>Nifty 50</t>
        </is>
      </c>
      <c r="T171" s="32" t="n">
        <v>-4.31</v>
      </c>
      <c r="U171" s="32" t="n">
        <v>-6.34</v>
      </c>
      <c r="V171" s="32" t="n">
        <v>-2.12</v>
      </c>
      <c r="W171" s="32" t="n">
        <v>13.32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Between 12 to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IF(B172=0,"",RANK(B172,$B$2:$B$308,0))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POWERMECH</t>
        </is>
      </c>
      <c r="D172" s="33" t="inlineStr">
        <is>
          <t>Power Mech Projects Limited</t>
        </is>
      </c>
      <c r="E172" s="31" t="inlineStr">
        <is>
          <t>realty</t>
        </is>
      </c>
      <c r="F172" s="31" t="inlineStr">
        <is>
          <t>engineering - turnkey services</t>
        </is>
      </c>
      <c r="G172" s="31" t="inlineStr">
        <is>
          <t>midcap</t>
        </is>
      </c>
      <c r="H172" s="32" t="n">
        <v>8200</v>
      </c>
      <c r="I172" s="32" t="n">
        <v>2692.9</v>
      </c>
      <c r="J172" s="32" t="n">
        <v>3.83</v>
      </c>
      <c r="K172" s="32" t="n">
        <v>133658</v>
      </c>
      <c r="L172" s="31" t="n">
        <v>3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54.43</v>
      </c>
      <c r="P172" s="32" t="n">
        <v>18.34</v>
      </c>
      <c r="Q172" s="32" t="inlineStr"/>
      <c r="R172" s="31" t="inlineStr">
        <is>
          <t>Earnings / Momentum Support</t>
        </is>
      </c>
      <c r="S172" s="31" t="inlineStr">
        <is>
          <t>Nifty Realty</t>
        </is>
      </c>
      <c r="T172" s="32" t="n">
        <v>-8.119999999999999</v>
      </c>
      <c r="U172" s="32" t="n">
        <v>-22.12</v>
      </c>
      <c r="V172" s="32" t="n">
        <v>-15.24</v>
      </c>
      <c r="W172" s="32" t="n">
        <v>-2.72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IF(B173=0,"",RANK(B173,$B$2:$B$308,0))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AETHER</t>
        </is>
      </c>
      <c r="D173" s="31" t="inlineStr">
        <is>
          <t>Aether Industries Ltd</t>
        </is>
      </c>
      <c r="E173" s="31" t="inlineStr">
        <is>
          <t>chemicals</t>
        </is>
      </c>
      <c r="F173" s="31" t="inlineStr">
        <is>
          <t>chemicals</t>
        </is>
      </c>
      <c r="G173" s="31" t="inlineStr">
        <is>
          <t>midcap</t>
        </is>
      </c>
      <c r="H173" s="32" t="n">
        <v>18944.72</v>
      </c>
      <c r="I173" s="32" t="n">
        <v>1480.1</v>
      </c>
      <c r="J173" s="32" t="n">
        <v>3.68</v>
      </c>
      <c r="K173" s="32" t="n">
        <v>224382</v>
      </c>
      <c r="L173" s="31" t="n">
        <v>78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68.67</v>
      </c>
      <c r="P173" s="32" t="n">
        <v>44.79</v>
      </c>
      <c r="Q173" s="32" t="inlineStr"/>
      <c r="R173" s="31" t="inlineStr">
        <is>
          <t>Earnings / Momentum Support</t>
        </is>
      </c>
      <c r="S173" s="31" t="inlineStr">
        <is>
          <t>Nifty 50</t>
        </is>
      </c>
      <c r="T173" s="32" t="n">
        <v>-4.31</v>
      </c>
      <c r="U173" s="32" t="n">
        <v>82.67</v>
      </c>
      <c r="V173" s="32" t="n">
        <v>90.89</v>
      </c>
      <c r="W173" s="32" t="n">
        <v>19.17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Less than 50%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IF(B174=0,"",RANK(B174,$B$2:$B$308,0))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INDOTECH</t>
        </is>
      </c>
      <c r="D174" s="31" t="inlineStr">
        <is>
          <t>Indo Tech Transformers Limited</t>
        </is>
      </c>
      <c r="E174" s="31" t="inlineStr">
        <is>
          <t>industrials</t>
        </is>
      </c>
      <c r="F174" s="31" t="inlineStr">
        <is>
          <t>electric equipment</t>
        </is>
      </c>
      <c r="G174" s="31" t="inlineStr">
        <is>
          <t>smallcap</t>
        </is>
      </c>
      <c r="H174" s="32" t="n">
        <v>3629.92</v>
      </c>
      <c r="I174" s="32" t="n">
        <v>3503.4</v>
      </c>
      <c r="J174" s="32" t="n">
        <v>2.5</v>
      </c>
      <c r="K174" s="32" t="n">
        <v>29769</v>
      </c>
      <c r="L174" s="31" t="n">
        <v>93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75.40000000000001</v>
      </c>
      <c r="P174" s="32" t="n">
        <v>48.73</v>
      </c>
      <c r="Q174" s="32" t="inlineStr"/>
      <c r="R174" s="31" t="inlineStr">
        <is>
          <t>Earnings / Momentum Support</t>
        </is>
      </c>
      <c r="S174" s="31" t="inlineStr">
        <is>
          <t>Nifty Infra</t>
        </is>
      </c>
      <c r="T174" s="32" t="n">
        <v>1.74</v>
      </c>
      <c r="U174" s="32" t="n">
        <v>80.76000000000001</v>
      </c>
      <c r="V174" s="32" t="n">
        <v>77.67</v>
      </c>
      <c r="W174" s="32" t="n">
        <v>34.4</v>
      </c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Between 12 to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IF(B175=0,"",RANK(B175,$B$2:$B$308,0))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ACE</t>
        </is>
      </c>
      <c r="D175" s="33" t="inlineStr">
        <is>
          <t>Action Construction Equipment Limited</t>
        </is>
      </c>
      <c r="E175" s="31" t="inlineStr">
        <is>
          <t>industrials</t>
        </is>
      </c>
      <c r="F175" s="31" t="inlineStr">
        <is>
          <t>engineering</t>
        </is>
      </c>
      <c r="G175" s="31" t="inlineStr">
        <is>
          <t>midcap</t>
        </is>
      </c>
      <c r="H175" s="32" t="n">
        <v>12377.51</v>
      </c>
      <c r="I175" s="32" t="n">
        <v>1061.8</v>
      </c>
      <c r="J175" s="32" t="n">
        <v>2.16</v>
      </c>
      <c r="K175" s="32" t="n">
        <v>716079</v>
      </c>
      <c r="L175" s="31" t="n">
        <v>22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63.3</v>
      </c>
      <c r="P175" s="32" t="n">
        <v>16.68</v>
      </c>
      <c r="Q175" s="32" t="inlineStr"/>
      <c r="R175" s="31" t="inlineStr">
        <is>
          <t>Earnings / Momentum Support</t>
        </is>
      </c>
      <c r="S175" s="31" t="inlineStr">
        <is>
          <t>Nifty 50</t>
        </is>
      </c>
      <c r="T175" s="32" t="n">
        <v>-4.31</v>
      </c>
      <c r="U175" s="32" t="n">
        <v>-5.51</v>
      </c>
      <c r="V175" s="32" t="n">
        <v>-1.26</v>
      </c>
      <c r="W175" s="32" t="n">
        <v>3.2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IF(B176=0,"",RANK(B176,$B$2:$B$308,0))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BIRLACABLE</t>
        </is>
      </c>
      <c r="D176" s="31" t="inlineStr">
        <is>
          <t>Birla Cable Limited</t>
        </is>
      </c>
      <c r="E176" s="31" t="inlineStr">
        <is>
          <t>industrials</t>
        </is>
      </c>
      <c r="F176" s="31" t="inlineStr">
        <is>
          <t>cables - telephone</t>
        </is>
      </c>
      <c r="G176" s="31" t="inlineStr">
        <is>
          <t>smallcap</t>
        </is>
      </c>
      <c r="H176" s="32" t="n">
        <v>591.9299999999999</v>
      </c>
      <c r="I176" s="32" t="n">
        <v>200.98</v>
      </c>
      <c r="J176" s="32" t="n">
        <v>1.86</v>
      </c>
      <c r="K176" s="32" t="n">
        <v>63779</v>
      </c>
      <c r="L176" s="31" t="n">
        <v>25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57.14</v>
      </c>
      <c r="P176" s="32" t="n">
        <v>41.85</v>
      </c>
      <c r="Q176" s="32" t="inlineStr"/>
      <c r="R176" s="31" t="inlineStr">
        <is>
          <t>Earnings / Momentum Support</t>
        </is>
      </c>
      <c r="S176" s="31" t="inlineStr">
        <is>
          <t>Nifty Infra</t>
        </is>
      </c>
      <c r="T176" s="32" t="n">
        <v>1.74</v>
      </c>
      <c r="U176" s="32" t="n">
        <v>2.54</v>
      </c>
      <c r="V176" s="32" t="n">
        <v>0.78</v>
      </c>
      <c r="W176" s="32" t="n">
        <v>4.22</v>
      </c>
      <c r="X176" s="31" t="inlineStr">
        <is>
          <t>Cyclical in an Upturn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Negative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IF(B177=0,"",RANK(B177,$B$2:$B$308,0))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ORIENTHOT</t>
        </is>
      </c>
      <c r="D177" s="33" t="inlineStr">
        <is>
          <t>Oriental Hotels Limited</t>
        </is>
      </c>
      <c r="E177" s="31" t="inlineStr">
        <is>
          <t>services</t>
        </is>
      </c>
      <c r="F177" s="31" t="inlineStr">
        <is>
          <t>hotels</t>
        </is>
      </c>
      <c r="G177" s="31" t="inlineStr">
        <is>
          <t>smallcap</t>
        </is>
      </c>
      <c r="H177" s="32" t="n">
        <v>2408.23</v>
      </c>
      <c r="I177" s="32" t="n">
        <v>137.35</v>
      </c>
      <c r="J177" s="32" t="n">
        <v>1.86</v>
      </c>
      <c r="K177" s="32" t="n">
        <v>368592</v>
      </c>
      <c r="L177" s="31" t="n">
        <v>48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63.19</v>
      </c>
      <c r="P177" s="32" t="n">
        <v>27.17</v>
      </c>
      <c r="Q177" s="32" t="inlineStr"/>
      <c r="R177" s="31" t="inlineStr">
        <is>
          <t>Earnings / Momentum Support</t>
        </is>
      </c>
      <c r="S177" s="31" t="inlineStr">
        <is>
          <t>Nifty 50</t>
        </is>
      </c>
      <c r="T177" s="32" t="n">
        <v>-4.31</v>
      </c>
      <c r="U177" s="32" t="n">
        <v>-7.66</v>
      </c>
      <c r="V177" s="32" t="n">
        <v>-3.5</v>
      </c>
      <c r="W177" s="32" t="n">
        <v>8.75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Less than 12%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IF(B178=0,"",RANK(B178,$B$2:$B$308,0))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UNIVCABLES</t>
        </is>
      </c>
      <c r="D178" s="31" t="inlineStr">
        <is>
          <t>Universal Cables Limited</t>
        </is>
      </c>
      <c r="E178" s="31" t="inlineStr">
        <is>
          <t>industrials</t>
        </is>
      </c>
      <c r="F178" s="31" t="inlineStr">
        <is>
          <t>cables - power</t>
        </is>
      </c>
      <c r="G178" s="31" t="inlineStr">
        <is>
          <t>smallcap</t>
        </is>
      </c>
      <c r="H178" s="32" t="n">
        <v>4284.19</v>
      </c>
      <c r="I178" s="32" t="n">
        <v>1256.2</v>
      </c>
      <c r="J178" s="32" t="n">
        <v>1.73</v>
      </c>
      <c r="K178" s="32" t="n">
        <v>126439</v>
      </c>
      <c r="L178" s="31" t="n">
        <v>75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64.16</v>
      </c>
      <c r="P178" s="32" t="n">
        <v>55.02</v>
      </c>
      <c r="Q178" s="32" t="inlineStr"/>
      <c r="R178" s="31" t="inlineStr">
        <is>
          <t>Earnings / Momentum Support</t>
        </is>
      </c>
      <c r="S178" s="31" t="inlineStr">
        <is>
          <t>Nifty Energy</t>
        </is>
      </c>
      <c r="T178" s="32" t="n">
        <v>8.41</v>
      </c>
      <c r="U178" s="32" t="n">
        <v>52.2</v>
      </c>
      <c r="V178" s="32" t="n">
        <v>40.4</v>
      </c>
      <c r="W178" s="32" t="n">
        <v>17.73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IF(B179=0,"",RANK(B179,$B$2:$B$308,0))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STEELCAS</t>
        </is>
      </c>
      <c r="D179" s="31" t="inlineStr">
        <is>
          <t>Steelcast Ltd</t>
        </is>
      </c>
      <c r="E179" s="31" t="inlineStr">
        <is>
          <t>industrials</t>
        </is>
      </c>
      <c r="F179" s="31" t="inlineStr">
        <is>
          <t>castings &amp; forgings</t>
        </is>
      </c>
      <c r="G179" s="31" t="inlineStr">
        <is>
          <t>smallcap</t>
        </is>
      </c>
      <c r="H179" s="32" t="n">
        <v>3103.3</v>
      </c>
      <c r="I179" s="32" t="n">
        <v>311.45</v>
      </c>
      <c r="J179" s="32" t="n">
        <v>1.57</v>
      </c>
      <c r="K179" s="32" t="n">
        <v>48582</v>
      </c>
      <c r="L179" s="31" t="n">
        <v>51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68.38</v>
      </c>
      <c r="P179" s="32" t="n">
        <v>39.38</v>
      </c>
      <c r="Q179" s="32" t="inlineStr"/>
      <c r="R179" s="31" t="inlineStr">
        <is>
          <t>Earnings / Momentum Support</t>
        </is>
      </c>
      <c r="S179" s="31" t="inlineStr">
        <is>
          <t>Nifty 50</t>
        </is>
      </c>
      <c r="T179" s="32" t="n">
        <v>-4.31</v>
      </c>
      <c r="U179" s="32" t="n">
        <v>31.82</v>
      </c>
      <c r="V179" s="32" t="n">
        <v>37.75</v>
      </c>
      <c r="W179" s="32" t="n">
        <v>9.699999999999999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IF(B180=0,"",RANK(B180,$B$2:$B$308,0))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SUPRAJIT</t>
        </is>
      </c>
      <c r="D180" s="33" t="inlineStr">
        <is>
          <t>Suprajit Engineering Limited</t>
        </is>
      </c>
      <c r="E180" s="31" t="inlineStr">
        <is>
          <t>auto</t>
        </is>
      </c>
      <c r="F180" s="31" t="inlineStr">
        <is>
          <t>auto ancillaries</t>
        </is>
      </c>
      <c r="G180" s="31" t="inlineStr">
        <is>
          <t>midcap</t>
        </is>
      </c>
      <c r="H180" s="32" t="n">
        <v>6645.26</v>
      </c>
      <c r="I180" s="32" t="n">
        <v>491.4</v>
      </c>
      <c r="J180" s="32" t="n">
        <v>1.43</v>
      </c>
      <c r="K180" s="32" t="n">
        <v>51535</v>
      </c>
      <c r="L180" s="31" t="n">
        <v>27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57.28</v>
      </c>
      <c r="P180" s="32" t="n">
        <v>37.48</v>
      </c>
      <c r="Q180" s="32" t="inlineStr"/>
      <c r="R180" s="31" t="inlineStr">
        <is>
          <t>Earnings / Momentum Support</t>
        </is>
      </c>
      <c r="S180" s="31" t="inlineStr">
        <is>
          <t>Nifty Auto</t>
        </is>
      </c>
      <c r="T180" s="32" t="n">
        <v>13.41</v>
      </c>
      <c r="U180" s="32" t="n">
        <v>6.04</v>
      </c>
      <c r="V180" s="32" t="n">
        <v>-6.5</v>
      </c>
      <c r="W180" s="32" t="n">
        <v>4.55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IF(B181=0,"",RANK(B181,$B$2:$B$308,0))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NYKAA</t>
        </is>
      </c>
      <c r="D181" s="31" t="inlineStr">
        <is>
          <t>FSN E-Commerce Ventures Ltd</t>
        </is>
      </c>
      <c r="E181" s="31" t="inlineStr">
        <is>
          <t>i.t</t>
        </is>
      </c>
      <c r="F181" s="31" t="inlineStr">
        <is>
          <t>trading</t>
        </is>
      </c>
      <c r="G181" s="31" t="inlineStr">
        <is>
          <t>largecap</t>
        </is>
      </c>
      <c r="H181" s="32" t="n">
        <v>92444.24000000001</v>
      </c>
      <c r="I181" s="32" t="n">
        <v>326.75</v>
      </c>
      <c r="J181" s="32" t="n">
        <v>1.22</v>
      </c>
      <c r="K181" s="32" t="n">
        <v>3589386</v>
      </c>
      <c r="L181" s="31" t="n">
        <v>66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69.76000000000001</v>
      </c>
      <c r="P181" s="32" t="n">
        <v>38.18</v>
      </c>
      <c r="Q181" s="32" t="inlineStr"/>
      <c r="R181" s="31" t="inlineStr">
        <is>
          <t>Earnings / Momentum Support</t>
        </is>
      </c>
      <c r="S181" s="31" t="inlineStr">
        <is>
          <t>Nifty IT</t>
        </is>
      </c>
      <c r="T181" s="32" t="n">
        <v>-19.25</v>
      </c>
      <c r="U181" s="32" t="n">
        <v>52.1</v>
      </c>
      <c r="V181" s="32" t="n">
        <v>88.34999999999999</v>
      </c>
      <c r="W181" s="32" t="n">
        <v>13.87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IF(B182=0,"",RANK(B182,$B$2:$B$308,0))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ASKAUTOLTD</t>
        </is>
      </c>
      <c r="D182" s="33" t="inlineStr">
        <is>
          <t>ASK Automotive Ltd</t>
        </is>
      </c>
      <c r="E182" s="31" t="inlineStr">
        <is>
          <t>auto</t>
        </is>
      </c>
      <c r="F182" s="31" t="inlineStr">
        <is>
          <t>auto ancillaries</t>
        </is>
      </c>
      <c r="G182" s="31" t="inlineStr">
        <is>
          <t>midcap</t>
        </is>
      </c>
      <c r="H182" s="32" t="n">
        <v>10040.47</v>
      </c>
      <c r="I182" s="32" t="n">
        <v>514.4</v>
      </c>
      <c r="J182" s="32" t="n">
        <v>1</v>
      </c>
      <c r="K182" s="32" t="n">
        <v>327078</v>
      </c>
      <c r="L182" s="31" t="n">
        <v>11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64.18000000000001</v>
      </c>
      <c r="P182" s="32" t="n">
        <v>10.56</v>
      </c>
      <c r="Q182" s="32" t="inlineStr"/>
      <c r="R182" s="31" t="inlineStr">
        <is>
          <t>Earnings / Momentum Support</t>
        </is>
      </c>
      <c r="S182" s="31" t="inlineStr">
        <is>
          <t>Nifty Auto</t>
        </is>
      </c>
      <c r="T182" s="32" t="n">
        <v>13.41</v>
      </c>
      <c r="U182" s="32" t="n">
        <v>-8.220000000000001</v>
      </c>
      <c r="V182" s="32" t="n">
        <v>-19.08</v>
      </c>
      <c r="W182" s="32" t="n">
        <v>0.58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IF(B183=0,"",RANK(B183,$B$2:$B$308,0))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PAYTM</t>
        </is>
      </c>
      <c r="D183" s="31" t="inlineStr">
        <is>
          <t>One 97 Communications Ltd</t>
        </is>
      </c>
      <c r="E183" s="31" t="inlineStr">
        <is>
          <t>i.t</t>
        </is>
      </c>
      <c r="F183" s="31" t="inlineStr">
        <is>
          <t>miscellaneous</t>
        </is>
      </c>
      <c r="G183" s="31" t="inlineStr">
        <is>
          <t>largecap</t>
        </is>
      </c>
      <c r="H183" s="32" t="n">
        <v>82168.03999999999</v>
      </c>
      <c r="I183" s="32" t="n">
        <v>1289.4</v>
      </c>
      <c r="J183" s="32" t="n">
        <v>0.48</v>
      </c>
      <c r="K183" s="32" t="n">
        <v>2199063</v>
      </c>
      <c r="L183" s="31" t="n">
        <v>39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58.88</v>
      </c>
      <c r="P183" s="32" t="n">
        <v>16.25</v>
      </c>
      <c r="Q183" s="32" t="inlineStr"/>
      <c r="R183" s="31" t="inlineStr">
        <is>
          <t>Earnings / Momentum Support</t>
        </is>
      </c>
      <c r="S183" s="31" t="inlineStr">
        <is>
          <t>Nifty IT</t>
        </is>
      </c>
      <c r="T183" s="32" t="n">
        <v>-19.25</v>
      </c>
      <c r="U183" s="32" t="n">
        <v>20.18</v>
      </c>
      <c r="V183" s="32" t="n">
        <v>48.82</v>
      </c>
      <c r="W183" s="32" t="n">
        <v>6.69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Between 1.5 to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IF(B184=0,"",RANK(B184,$B$2:$B$308,0))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DATAPATTNS</t>
        </is>
      </c>
      <c r="D184" s="31" t="inlineStr">
        <is>
          <t>Data Patterns (India) Ltd</t>
        </is>
      </c>
      <c r="E184" s="31" t="inlineStr">
        <is>
          <t>aerospace &amp; defence</t>
        </is>
      </c>
      <c r="F184" s="31" t="inlineStr">
        <is>
          <t>electronics - components</t>
        </is>
      </c>
      <c r="G184" s="31" t="inlineStr">
        <is>
          <t>largecap</t>
        </is>
      </c>
      <c r="H184" s="32" t="n">
        <v>25665.85</v>
      </c>
      <c r="I184" s="32" t="n">
        <v>4578.9</v>
      </c>
      <c r="J184" s="32" t="n">
        <v>-0.12</v>
      </c>
      <c r="K184" s="32" t="n">
        <v>657193</v>
      </c>
      <c r="L184" s="31" t="n">
        <v>77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64.45</v>
      </c>
      <c r="P184" s="32" t="n">
        <v>31.91</v>
      </c>
      <c r="Q184" s="32" t="inlineStr"/>
      <c r="R184" s="31" t="inlineStr">
        <is>
          <t>Earnings / Momentum Support</t>
        </is>
      </c>
      <c r="S184" s="31" t="inlineStr">
        <is>
          <t>Nifty 50</t>
        </is>
      </c>
      <c r="T184" s="32" t="n">
        <v>-4.31</v>
      </c>
      <c r="U184" s="32" t="n">
        <v>72.12</v>
      </c>
      <c r="V184" s="32" t="n">
        <v>79.86</v>
      </c>
      <c r="W184" s="32" t="n">
        <v>19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Less than 50%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IF(B185=0,"",RANK(B185,$B$2:$B$308,0))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ITDC</t>
        </is>
      </c>
      <c r="D185" s="31" t="inlineStr">
        <is>
          <t>India Tourism Development Corporation Ltd</t>
        </is>
      </c>
      <c r="E185" s="31" t="inlineStr">
        <is>
          <t>services</t>
        </is>
      </c>
      <c r="F185" s="31" t="inlineStr">
        <is>
          <t>hotels</t>
        </is>
      </c>
      <c r="G185" s="31" t="inlineStr">
        <is>
          <t>midcap</t>
        </is>
      </c>
      <c r="H185" s="32" t="n">
        <v>6324.64</v>
      </c>
      <c r="I185" s="32" t="n">
        <v>735.15</v>
      </c>
      <c r="J185" s="32" t="n">
        <v>-0.31</v>
      </c>
      <c r="K185" s="32" t="n">
        <v>329942</v>
      </c>
      <c r="L185" s="31" t="n">
        <v>58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64.14</v>
      </c>
      <c r="P185" s="32" t="n">
        <v>38.33</v>
      </c>
      <c r="Q185" s="32" t="inlineStr"/>
      <c r="R185" s="31" t="inlineStr">
        <is>
          <t>Earnings / Momentum Support</t>
        </is>
      </c>
      <c r="S185" s="31" t="inlineStr">
        <is>
          <t>Nifty 50</t>
        </is>
      </c>
      <c r="T185" s="32" t="n">
        <v>-4.31</v>
      </c>
      <c r="U185" s="32" t="n">
        <v>27.61</v>
      </c>
      <c r="V185" s="32" t="n">
        <v>33.36</v>
      </c>
      <c r="W185" s="32" t="n">
        <v>11.34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IF(B186=0,"",RANK(B186,$B$2:$B$308,0))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BODALCHEM</t>
        </is>
      </c>
      <c r="D186" s="33" t="inlineStr">
        <is>
          <t>Bodal Chemicals Limited</t>
        </is>
      </c>
      <c r="E186" s="31" t="inlineStr">
        <is>
          <t>chemicals</t>
        </is>
      </c>
      <c r="F186" s="31" t="inlineStr">
        <is>
          <t>dyes and pigments</t>
        </is>
      </c>
      <c r="G186" s="31" t="inlineStr">
        <is>
          <t>smallcap</t>
        </is>
      </c>
      <c r="H186" s="32" t="n">
        <v>856.67</v>
      </c>
      <c r="I186" s="32" t="n">
        <v>67.59999999999999</v>
      </c>
      <c r="J186" s="32" t="n">
        <v>-0.62</v>
      </c>
      <c r="K186" s="32" t="n">
        <v>96155</v>
      </c>
      <c r="L186" s="31" t="n">
        <v>12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55.49</v>
      </c>
      <c r="P186" s="32" t="n">
        <v>37.2</v>
      </c>
      <c r="Q186" s="32" t="inlineStr"/>
      <c r="R186" s="31" t="inlineStr">
        <is>
          <t>Earnings / Momentum Support</t>
        </is>
      </c>
      <c r="S186" s="31" t="inlineStr">
        <is>
          <t>Nifty 50</t>
        </is>
      </c>
      <c r="T186" s="32" t="n">
        <v>-4.31</v>
      </c>
      <c r="U186" s="32" t="n">
        <v>-8.869999999999999</v>
      </c>
      <c r="V186" s="32" t="n">
        <v>-4.77</v>
      </c>
      <c r="W186" s="32" t="n">
        <v>0.9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Between 0.7 to 1.2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IF(B187=0,"",RANK(B187,$B$2:$B$308,0))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3" t="inlineStr">
        <is>
          <t>BEPL</t>
        </is>
      </c>
      <c r="D187" s="33" t="inlineStr">
        <is>
          <t>Bhansali Engineering Polymers Limited</t>
        </is>
      </c>
      <c r="E187" s="31" t="inlineStr">
        <is>
          <t>energy</t>
        </is>
      </c>
      <c r="F187" s="31" t="inlineStr">
        <is>
          <t>petrochemicals</t>
        </is>
      </c>
      <c r="G187" s="31" t="inlineStr">
        <is>
          <t>smallcap</t>
        </is>
      </c>
      <c r="H187" s="32" t="n">
        <v>3031.34</v>
      </c>
      <c r="I187" s="32" t="n">
        <v>114.51</v>
      </c>
      <c r="J187" s="32" t="n">
        <v>-5.99</v>
      </c>
      <c r="K187" s="32" t="n">
        <v>4964378</v>
      </c>
      <c r="L187" s="31" t="n">
        <v>29</v>
      </c>
      <c r="M187" s="31" t="inlineStr">
        <is>
          <t>Underperforming</t>
        </is>
      </c>
      <c r="N187" s="32">
        <f>IF(M187="Underperforming",-5,IF(L187&gt;=95,15,IF(L187&gt;=90,10,IF(L187&gt;=80,5,0))))</f>
        <v/>
      </c>
      <c r="O187" s="32" t="n">
        <v>74.81999999999999</v>
      </c>
      <c r="P187" s="32" t="n">
        <v>42.47</v>
      </c>
      <c r="Q187" s="32" t="inlineStr"/>
      <c r="R187" s="31" t="inlineStr">
        <is>
          <t>Earnings / Momentum Support</t>
        </is>
      </c>
      <c r="S187" s="31" t="inlineStr">
        <is>
          <t>Nifty Energy</t>
        </is>
      </c>
      <c r="T187" s="32" t="n">
        <v>8.41</v>
      </c>
      <c r="U187" s="32" t="n">
        <v>2.5</v>
      </c>
      <c r="V187" s="32" t="n">
        <v>-5.44</v>
      </c>
      <c r="W187" s="32" t="n">
        <v>4.89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Oligopoly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IF(B188=0,"",RANK(B188,$B$2:$B$308,0))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DIVISLAB</t>
        </is>
      </c>
      <c r="D188" s="33" t="inlineStr">
        <is>
          <t>Divi's Laboratories Limited</t>
        </is>
      </c>
      <c r="E188" s="31" t="inlineStr">
        <is>
          <t>healthcare</t>
        </is>
      </c>
      <c r="F188" s="31" t="inlineStr">
        <is>
          <t>pharmaceuticals - indian - bulk drugs</t>
        </is>
      </c>
      <c r="G188" s="31" t="inlineStr">
        <is>
          <t>largecap</t>
        </is>
      </c>
      <c r="H188" s="32" t="n">
        <v>192424.9</v>
      </c>
      <c r="I188" s="32" t="n">
        <v>7414</v>
      </c>
      <c r="J188" s="32" t="n">
        <v>2.28</v>
      </c>
      <c r="K188" s="32" t="n">
        <v>544701</v>
      </c>
      <c r="L188" s="31" t="n">
        <v>31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70.65000000000001</v>
      </c>
      <c r="P188" s="32" t="n">
        <v>23.17</v>
      </c>
      <c r="Q188" s="32" t="inlineStr"/>
      <c r="R188" s="31" t="inlineStr">
        <is>
          <t>Earnings / Momentum Support</t>
        </is>
      </c>
      <c r="S188" s="31" t="inlineStr">
        <is>
          <t>Nifty Pharma</t>
        </is>
      </c>
      <c r="T188" s="32" t="n">
        <v>12.73</v>
      </c>
      <c r="U188" s="32" t="n">
        <v>10</v>
      </c>
      <c r="V188" s="32" t="n">
        <v>-2.42</v>
      </c>
      <c r="W188" s="32" t="n">
        <v>5.09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Yes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Annuity, Lower One Time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Between 12 to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IF(B189=0,"",RANK(B189,$B$2:$B$308,0))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PYRAMID</t>
        </is>
      </c>
      <c r="D189" s="31" t="inlineStr">
        <is>
          <t>Pyramid Technoplast Ltd</t>
        </is>
      </c>
      <c r="E189" s="31" t="inlineStr">
        <is>
          <t>industrials</t>
        </is>
      </c>
      <c r="F189" s="31" t="inlineStr">
        <is>
          <t>packaging</t>
        </is>
      </c>
      <c r="G189" s="31" t="inlineStr">
        <is>
          <t>smallcap</t>
        </is>
      </c>
      <c r="H189" s="32" t="n">
        <v>604.04</v>
      </c>
      <c r="I189" s="32" t="n">
        <v>195.96</v>
      </c>
      <c r="J189" s="32" t="n">
        <v>19.34</v>
      </c>
      <c r="K189" s="32" t="n">
        <v>4561988</v>
      </c>
      <c r="L189" s="31" t="n">
        <v>7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50.61</v>
      </c>
      <c r="P189" s="32" t="n">
        <v>8.300000000000001</v>
      </c>
      <c r="Q189" s="32" t="inlineStr"/>
      <c r="R189" s="31" t="inlineStr">
        <is>
          <t>Volume Spike / Accumulation</t>
        </is>
      </c>
      <c r="S189" s="31" t="inlineStr">
        <is>
          <t>Nifty 50</t>
        </is>
      </c>
      <c r="T189" s="32" t="n">
        <v>-4.31</v>
      </c>
      <c r="U189" s="32" t="n">
        <v>-1.14</v>
      </c>
      <c r="V189" s="32" t="n">
        <v>3.31</v>
      </c>
      <c r="W189" s="32" t="n">
        <v>-0.3</v>
      </c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Negative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IF(B190=0,"",RANK(B190,$B$2:$B$308,0))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RATNAVEER</t>
        </is>
      </c>
      <c r="D190" s="33" t="inlineStr">
        <is>
          <t>Ratnaveer Precision Engineering Ltd</t>
        </is>
      </c>
      <c r="E190" s="31" t="inlineStr">
        <is>
          <t>metals &amp; mining</t>
        </is>
      </c>
      <c r="F190" s="31" t="inlineStr">
        <is>
          <t>steel - medium / small</t>
        </is>
      </c>
      <c r="G190" s="31" t="inlineStr">
        <is>
          <t>smallcap</t>
        </is>
      </c>
      <c r="H190" s="32" t="n">
        <v>1275.75</v>
      </c>
      <c r="I190" s="32" t="n">
        <v>199.61</v>
      </c>
      <c r="J190" s="32" t="n">
        <v>11.76</v>
      </c>
      <c r="K190" s="32" t="n">
        <v>53640552</v>
      </c>
      <c r="L190" s="31" t="n">
        <v>41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56.66</v>
      </c>
      <c r="P190" s="32" t="n">
        <v>49.35</v>
      </c>
      <c r="Q190" s="32" t="inlineStr"/>
      <c r="R190" s="31" t="inlineStr">
        <is>
          <t>Volume Spike / Accumulation</t>
        </is>
      </c>
      <c r="S190" s="31" t="inlineStr">
        <is>
          <t>Nifty Metal</t>
        </is>
      </c>
      <c r="T190" s="32" t="n">
        <v>31.49</v>
      </c>
      <c r="U190" s="32" t="n">
        <v>20.72</v>
      </c>
      <c r="V190" s="32" t="n">
        <v>-8.19</v>
      </c>
      <c r="W190" s="32" t="n">
        <v>7.17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Cyclical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Volatile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IF(B191=0,"",RANK(B191,$B$2:$B$308,0))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SENCO</t>
        </is>
      </c>
      <c r="D191" s="31" t="inlineStr">
        <is>
          <t>Senco Gold Ltd</t>
        </is>
      </c>
      <c r="E191" s="31" t="inlineStr">
        <is>
          <t>consumer discretionary</t>
        </is>
      </c>
      <c r="F191" s="31" t="inlineStr">
        <is>
          <t>diamond cutting / jewellery</t>
        </is>
      </c>
      <c r="G191" s="31" t="inlineStr">
        <is>
          <t>midcap</t>
        </is>
      </c>
      <c r="H191" s="32" t="n">
        <v>6272.56</v>
      </c>
      <c r="I191" s="32" t="n">
        <v>417.95</v>
      </c>
      <c r="J191" s="32" t="n">
        <v>9.17</v>
      </c>
      <c r="K191" s="32" t="n">
        <v>18605457</v>
      </c>
      <c r="L191" s="31" t="n">
        <v>40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62.4</v>
      </c>
      <c r="P191" s="32" t="n">
        <v>27.53</v>
      </c>
      <c r="Q191" s="32" t="inlineStr"/>
      <c r="R191" s="31" t="inlineStr">
        <is>
          <t>Volume Spike / Accumulation</t>
        </is>
      </c>
      <c r="S191" s="31" t="inlineStr">
        <is>
          <t>Nifty 50</t>
        </is>
      </c>
      <c r="T191" s="32" t="n">
        <v>-4.31</v>
      </c>
      <c r="U191" s="32" t="n">
        <v>13.12</v>
      </c>
      <c r="V191" s="32" t="n">
        <v>18.21</v>
      </c>
      <c r="W191" s="32" t="n">
        <v>6.97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Negative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Between 0.7 to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IF(B192=0,"",RANK(B192,$B$2:$B$308,0))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LXCHEM</t>
        </is>
      </c>
      <c r="D192" s="33" t="inlineStr">
        <is>
          <t>Laxmi Organic Industries Ltd</t>
        </is>
      </c>
      <c r="E192" s="31" t="inlineStr">
        <is>
          <t>chemicals</t>
        </is>
      </c>
      <c r="F192" s="31" t="inlineStr">
        <is>
          <t>chemicals</t>
        </is>
      </c>
      <c r="G192" s="31" t="inlineStr">
        <is>
          <t>midcap</t>
        </is>
      </c>
      <c r="H192" s="32" t="n">
        <v>5053.01</v>
      </c>
      <c r="I192" s="32" t="n">
        <v>193.05</v>
      </c>
      <c r="J192" s="32" t="n">
        <v>5.91</v>
      </c>
      <c r="K192" s="32" t="n">
        <v>3877963</v>
      </c>
      <c r="L192" s="31" t="n">
        <v>34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64.02</v>
      </c>
      <c r="P192" s="32" t="n">
        <v>26.75</v>
      </c>
      <c r="Q192" s="32" t="inlineStr"/>
      <c r="R192" s="31" t="inlineStr">
        <is>
          <t>Earnings / Momentum Support</t>
        </is>
      </c>
      <c r="S192" s="31" t="inlineStr">
        <is>
          <t>Nifty 50</t>
        </is>
      </c>
      <c r="T192" s="32" t="n">
        <v>-4.31</v>
      </c>
      <c r="U192" s="32" t="n">
        <v>-11.24</v>
      </c>
      <c r="V192" s="32" t="n">
        <v>-7.25</v>
      </c>
      <c r="W192" s="32" t="n">
        <v>5.76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Less than 12%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IF(B193=0,"",RANK(B193,$B$2:$B$308,0))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ETERNAL</t>
        </is>
      </c>
      <c r="D193" s="31" t="inlineStr">
        <is>
          <t>Eternal Ltd</t>
        </is>
      </c>
      <c r="E193" s="31" t="inlineStr">
        <is>
          <t>i.t</t>
        </is>
      </c>
      <c r="F193" s="31" t="inlineStr">
        <is>
          <t>miscellaneous</t>
        </is>
      </c>
      <c r="G193" s="31" t="inlineStr">
        <is>
          <t>largecap</t>
        </is>
      </c>
      <c r="H193" s="32" t="n">
        <v>270209.82</v>
      </c>
      <c r="I193" s="32" t="n">
        <v>295.85</v>
      </c>
      <c r="J193" s="32" t="n">
        <v>5.66</v>
      </c>
      <c r="K193" s="32" t="n">
        <v>48012383</v>
      </c>
      <c r="L193" s="31" t="n">
        <v>10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55.72</v>
      </c>
      <c r="P193" s="32" t="n">
        <v>13.09</v>
      </c>
      <c r="Q193" s="32" t="inlineStr"/>
      <c r="R193" s="31" t="inlineStr">
        <is>
          <t>Earnings / Momentum Support</t>
        </is>
      </c>
      <c r="S193" s="31" t="inlineStr">
        <is>
          <t>Nifty IT</t>
        </is>
      </c>
      <c r="T193" s="32" t="n">
        <v>-19.25</v>
      </c>
      <c r="U193" s="32" t="n">
        <v>-9.84</v>
      </c>
      <c r="V193" s="32" t="n">
        <v>11.65</v>
      </c>
      <c r="W193" s="32" t="n">
        <v>0.34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IF(B194=0,"",RANK(B194,$B$2:$B$308,0))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FAIRCHEMOR</t>
        </is>
      </c>
      <c r="D194" s="31" t="inlineStr">
        <is>
          <t>Fairchem Organics Ltd</t>
        </is>
      </c>
      <c r="E194" s="31" t="inlineStr">
        <is>
          <t>chemicals</t>
        </is>
      </c>
      <c r="F194" s="31" t="inlineStr">
        <is>
          <t>chemicals</t>
        </is>
      </c>
      <c r="G194" s="31" t="inlineStr">
        <is>
          <t>smallcap</t>
        </is>
      </c>
      <c r="H194" s="32" t="n">
        <v>967.49</v>
      </c>
      <c r="I194" s="32" t="n">
        <v>806.5</v>
      </c>
      <c r="J194" s="32" t="n">
        <v>5</v>
      </c>
      <c r="K194" s="32" t="n">
        <v>141631</v>
      </c>
      <c r="L194" s="31" t="n">
        <v>37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66.34</v>
      </c>
      <c r="P194" s="32" t="n">
        <v>19.33</v>
      </c>
      <c r="Q194" s="32" t="inlineStr"/>
      <c r="R194" s="31" t="inlineStr">
        <is>
          <t>Earnings / Momentum Support</t>
        </is>
      </c>
      <c r="S194" s="31" t="inlineStr">
        <is>
          <t>Nifty IT</t>
        </is>
      </c>
      <c r="T194" s="32" t="n">
        <v>-19.25</v>
      </c>
      <c r="U194" s="32" t="n">
        <v>-14.93</v>
      </c>
      <c r="V194" s="32" t="n">
        <v>5.34</v>
      </c>
      <c r="W194" s="32" t="n">
        <v>6.41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IF(B195=0,"",RANK(B195,$B$2:$B$308,0))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3" t="inlineStr">
        <is>
          <t>SICALLOG</t>
        </is>
      </c>
      <c r="D195" s="33" t="inlineStr">
        <is>
          <t>Sical Logistics Ltd</t>
        </is>
      </c>
      <c r="E195" s="31" t="inlineStr">
        <is>
          <t>transportation</t>
        </is>
      </c>
      <c r="F195" s="31" t="inlineStr">
        <is>
          <t>miscellaneous</t>
        </is>
      </c>
      <c r="G195" s="31" t="inlineStr">
        <is>
          <t>smallcap</t>
        </is>
      </c>
      <c r="H195" s="32" t="n">
        <v>774.47</v>
      </c>
      <c r="I195" s="32" t="n">
        <v>101.92</v>
      </c>
      <c r="J195" s="32" t="n">
        <v>5</v>
      </c>
      <c r="K195" s="32" t="n">
        <v>52165</v>
      </c>
      <c r="L195" s="31" t="n">
        <v>44</v>
      </c>
      <c r="M195" s="31" t="inlineStr">
        <is>
          <t>Underperforming</t>
        </is>
      </c>
      <c r="N195" s="32">
        <f>IF(M195="Underperforming",-5,IF(L195&gt;=95,15,IF(L195&gt;=90,10,IF(L195&gt;=80,5,0))))</f>
        <v/>
      </c>
      <c r="O195" s="32" t="n">
        <v>64.5</v>
      </c>
      <c r="P195" s="32" t="n">
        <v>25.98</v>
      </c>
      <c r="Q195" s="32" t="inlineStr"/>
      <c r="R195" s="31" t="inlineStr">
        <is>
          <t>Earnings / Momentum Support</t>
        </is>
      </c>
      <c r="S195" s="31" t="inlineStr">
        <is>
          <t>Nifty 50</t>
        </is>
      </c>
      <c r="T195" s="32" t="n">
        <v>-4.31</v>
      </c>
      <c r="U195" s="32" t="n">
        <v>-12.9</v>
      </c>
      <c r="V195" s="32" t="n">
        <v>-8.98</v>
      </c>
      <c r="W195" s="32" t="n">
        <v>7.83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Between 50% to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More than 1.2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IF(B196=0,"",RANK(B196,$B$2:$B$308,0))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LODHA</t>
        </is>
      </c>
      <c r="D196" s="33" t="inlineStr">
        <is>
          <t>Lodha Developers Ltd</t>
        </is>
      </c>
      <c r="E196" s="31" t="inlineStr">
        <is>
          <t>realty</t>
        </is>
      </c>
      <c r="F196" s="31" t="inlineStr">
        <is>
          <t>construction</t>
        </is>
      </c>
      <c r="G196" s="31" t="inlineStr">
        <is>
          <t>largecap</t>
        </is>
      </c>
      <c r="H196" s="32" t="n">
        <v>114306.39</v>
      </c>
      <c r="I196" s="32" t="n">
        <v>1198.7</v>
      </c>
      <c r="J196" s="32" t="n">
        <v>4.77</v>
      </c>
      <c r="K196" s="32" t="n">
        <v>4971286</v>
      </c>
      <c r="L196" s="31" t="n">
        <v>32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59.86</v>
      </c>
      <c r="P196" s="32" t="n">
        <v>15.13</v>
      </c>
      <c r="Q196" s="32" t="inlineStr"/>
      <c r="R196" s="31" t="inlineStr">
        <is>
          <t>Earnings / Momentum Support</t>
        </is>
      </c>
      <c r="S196" s="31" t="inlineStr">
        <is>
          <t>Nifty Realty</t>
        </is>
      </c>
      <c r="T196" s="32" t="n">
        <v>-8.119999999999999</v>
      </c>
      <c r="U196" s="32" t="n">
        <v>-17.46</v>
      </c>
      <c r="V196" s="32" t="n">
        <v>-10.16</v>
      </c>
      <c r="W196" s="32" t="n">
        <v>5.32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IF(B197=0,"",RANK(B197,$B$2:$B$308,0))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RICOAUTO</t>
        </is>
      </c>
      <c r="D197" s="31" t="inlineStr">
        <is>
          <t>Rico Auto Industries Limited</t>
        </is>
      </c>
      <c r="E197" s="31" t="inlineStr">
        <is>
          <t>auto</t>
        </is>
      </c>
      <c r="F197" s="31" t="inlineStr">
        <is>
          <t>auto ancillaries</t>
        </is>
      </c>
      <c r="G197" s="31" t="inlineStr">
        <is>
          <t>smallcap</t>
        </is>
      </c>
      <c r="H197" s="32" t="n">
        <v>1881.41</v>
      </c>
      <c r="I197" s="32" t="n">
        <v>145.59</v>
      </c>
      <c r="J197" s="32" t="n">
        <v>4.69</v>
      </c>
      <c r="K197" s="32" t="n">
        <v>4112427</v>
      </c>
      <c r="L197" s="31" t="n">
        <v>65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58.29</v>
      </c>
      <c r="P197" s="32" t="n">
        <v>32.43</v>
      </c>
      <c r="Q197" s="32" t="inlineStr"/>
      <c r="R197" s="31" t="inlineStr">
        <is>
          <t>Earnings / Momentum Support</t>
        </is>
      </c>
      <c r="S197" s="31" t="inlineStr">
        <is>
          <t>Nifty Auto</t>
        </is>
      </c>
      <c r="T197" s="32" t="n">
        <v>13.41</v>
      </c>
      <c r="U197" s="32" t="n">
        <v>69.67</v>
      </c>
      <c r="V197" s="32" t="n">
        <v>49.6</v>
      </c>
      <c r="W197" s="32" t="n">
        <v>13.64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Between 0.7 to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IF(B198=0,"",RANK(B198,$B$2:$B$308,0))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TTKHLTCARE</t>
        </is>
      </c>
      <c r="D198" s="33" t="inlineStr">
        <is>
          <t>Ttk Healthcare Limited</t>
        </is>
      </c>
      <c r="E198" s="31" t="inlineStr">
        <is>
          <t>miscellaneous</t>
        </is>
      </c>
      <c r="F198" s="31" t="inlineStr">
        <is>
          <t>diversified - medium / small</t>
        </is>
      </c>
      <c r="G198" s="31" t="inlineStr">
        <is>
          <t>smallcap</t>
        </is>
      </c>
      <c r="H198" s="32" t="n">
        <v>1479.73</v>
      </c>
      <c r="I198" s="32" t="n">
        <v>1088.8</v>
      </c>
      <c r="J198" s="32" t="n">
        <v>3.97</v>
      </c>
      <c r="K198" s="32" t="n">
        <v>102563</v>
      </c>
      <c r="L198" s="31" t="n">
        <v>3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65.56</v>
      </c>
      <c r="P198" s="32" t="n">
        <v>11.61</v>
      </c>
      <c r="Q198" s="32" t="inlineStr"/>
      <c r="R198" s="31" t="inlineStr">
        <is>
          <t>Volume Spike / Accumulation</t>
        </is>
      </c>
      <c r="S198" s="31" t="inlineStr">
        <is>
          <t>Nifty Infra</t>
        </is>
      </c>
      <c r="T198" s="32" t="n">
        <v>1.74</v>
      </c>
      <c r="U198" s="32" t="n">
        <v>-25.24</v>
      </c>
      <c r="V198" s="32" t="n">
        <v>-26.52</v>
      </c>
      <c r="W198" s="32" t="n">
        <v>-2.39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Negative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IF(B199=0,"",RANK(B199,$B$2:$B$308,0))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DEEPAKFERT</t>
        </is>
      </c>
      <c r="D199" s="31" t="inlineStr">
        <is>
          <t>Deepak Fertilizers And Petrochemicals Corporation Limited</t>
        </is>
      </c>
      <c r="E199" s="31" t="inlineStr">
        <is>
          <t>chemicals</t>
        </is>
      </c>
      <c r="F199" s="31" t="inlineStr">
        <is>
          <t>chemicals</t>
        </is>
      </c>
      <c r="G199" s="31" t="inlineStr">
        <is>
          <t>midcap</t>
        </is>
      </c>
      <c r="H199" s="32" t="n">
        <v>19859.73</v>
      </c>
      <c r="I199" s="32" t="n">
        <v>1634.5</v>
      </c>
      <c r="J199" s="32" t="n">
        <v>3.9</v>
      </c>
      <c r="K199" s="32" t="n">
        <v>326561</v>
      </c>
      <c r="L199" s="31" t="n">
        <v>42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63.56</v>
      </c>
      <c r="P199" s="32" t="n">
        <v>43.79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-4.31</v>
      </c>
      <c r="U199" s="32" t="n">
        <v>3.29</v>
      </c>
      <c r="V199" s="32" t="n">
        <v>7.94</v>
      </c>
      <c r="W199" s="32" t="n">
        <v>7.51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Above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Less than 50%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Between 0.7 to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IF(B200=0,"",RANK(B200,$B$2:$B$308,0))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AEGISVOPAK</t>
        </is>
      </c>
      <c r="D200" s="31" t="inlineStr">
        <is>
          <t>Aegis Vopak Terminals Ltd</t>
        </is>
      </c>
      <c r="E200" s="31" t="inlineStr">
        <is>
          <t>transportation</t>
        </is>
      </c>
      <c r="F200" s="31" t="inlineStr">
        <is>
          <t>miscellaneous</t>
        </is>
      </c>
      <c r="G200" s="31" t="inlineStr">
        <is>
          <t>largecap</t>
        </is>
      </c>
      <c r="H200" s="32" t="n">
        <v>32424.26</v>
      </c>
      <c r="I200" s="32" t="n">
        <v>303.49</v>
      </c>
      <c r="J200" s="32" t="n">
        <v>3.71</v>
      </c>
      <c r="K200" s="32" t="n">
        <v>3083157</v>
      </c>
      <c r="L200" s="31" t="n">
        <v>74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65.29000000000001</v>
      </c>
      <c r="P200" s="32" t="n">
        <v>29.21</v>
      </c>
      <c r="Q200" s="32" t="inlineStr"/>
      <c r="R200" s="31" t="inlineStr">
        <is>
          <t>Earnings / Momentum Support</t>
        </is>
      </c>
      <c r="S200" s="31" t="inlineStr">
        <is>
          <t>Nifty 50</t>
        </is>
      </c>
      <c r="T200" s="32" t="n">
        <v>-4.31</v>
      </c>
      <c r="U200" s="32" t="n">
        <v>14.01</v>
      </c>
      <c r="V200" s="32" t="n">
        <v>19.14</v>
      </c>
      <c r="W200" s="32" t="n">
        <v>17.14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Between 12 to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IF(B201=0,"",RANK(B201,$B$2:$B$308,0))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LLOYDSENGG</t>
        </is>
      </c>
      <c r="D201" s="31" t="inlineStr">
        <is>
          <t>Lloyds Engineering Works Ltd</t>
        </is>
      </c>
      <c r="E201" s="31" t="inlineStr">
        <is>
          <t>industrials</t>
        </is>
      </c>
      <c r="F201" s="31" t="inlineStr">
        <is>
          <t>engineering</t>
        </is>
      </c>
      <c r="G201" s="31" t="inlineStr">
        <is>
          <t>midcap</t>
        </is>
      </c>
      <c r="H201" s="32" t="n">
        <v>13088.78</v>
      </c>
      <c r="I201" s="32" t="n">
        <v>91.33</v>
      </c>
      <c r="J201" s="32" t="n">
        <v>3.29</v>
      </c>
      <c r="K201" s="32" t="n">
        <v>9220184</v>
      </c>
      <c r="L201" s="31" t="n">
        <v>77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71.84</v>
      </c>
      <c r="P201" s="32" t="n">
        <v>43.74</v>
      </c>
      <c r="Q201" s="32" t="inlineStr"/>
      <c r="R201" s="31" t="inlineStr">
        <is>
          <t>Earnings / Momentum Support</t>
        </is>
      </c>
      <c r="S201" s="31" t="inlineStr">
        <is>
          <t>Nifty 50</t>
        </is>
      </c>
      <c r="T201" s="32" t="n">
        <v>-4.31</v>
      </c>
      <c r="U201" s="32" t="n">
        <v>21.55</v>
      </c>
      <c r="V201" s="32" t="n">
        <v>27.02</v>
      </c>
      <c r="W201" s="32" t="n">
        <v>19.07</v>
      </c>
      <c r="X201" s="31" t="inlineStr">
        <is>
          <t>Cyclical in an Upturn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Negative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IF(B202=0,"",RANK(B202,$B$2:$B$308,0))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UNIVPHOTO</t>
        </is>
      </c>
      <c r="D202" s="31" t="inlineStr">
        <is>
          <t>Universus Photo Imagings Ltd</t>
        </is>
      </c>
      <c r="E202" s="31" t="inlineStr">
        <is>
          <t>consumer discretionary</t>
        </is>
      </c>
      <c r="F202" s="31" t="inlineStr">
        <is>
          <t>photographic and allied products</t>
        </is>
      </c>
      <c r="G202" s="31" t="inlineStr">
        <is>
          <t>smallcap</t>
        </is>
      </c>
      <c r="H202" s="32" t="n">
        <v>520.78</v>
      </c>
      <c r="I202" s="32" t="n">
        <v>489.05</v>
      </c>
      <c r="J202" s="32" t="n">
        <v>2.8</v>
      </c>
      <c r="K202" s="32" t="n">
        <v>2015</v>
      </c>
      <c r="L202" s="31" t="n">
        <v>83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63.22</v>
      </c>
      <c r="P202" s="32" t="n">
        <v>15.65</v>
      </c>
      <c r="Q202" s="32" t="inlineStr"/>
      <c r="R202" s="31" t="inlineStr">
        <is>
          <t>Earnings / Momentum Support</t>
        </is>
      </c>
      <c r="S202" s="31" t="inlineStr">
        <is>
          <t>Nifty 50</t>
        </is>
      </c>
      <c r="T202" s="32" t="n">
        <v>-4.31</v>
      </c>
      <c r="U202" s="32" t="n">
        <v>78.19</v>
      </c>
      <c r="V202" s="32" t="n">
        <v>86.20999999999999</v>
      </c>
      <c r="W202" s="32" t="n">
        <v>22.79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Negative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IF(B203=0,"",RANK(B203,$B$2:$B$308,0))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GODREJPROP</t>
        </is>
      </c>
      <c r="D203" s="33" t="inlineStr">
        <is>
          <t>Godrej Properties Limited</t>
        </is>
      </c>
      <c r="E203" s="31" t="inlineStr">
        <is>
          <t>realty</t>
        </is>
      </c>
      <c r="F203" s="31" t="inlineStr">
        <is>
          <t>construction</t>
        </is>
      </c>
      <c r="G203" s="31" t="inlineStr">
        <is>
          <t>largecap</t>
        </is>
      </c>
      <c r="H203" s="32" t="n">
        <v>61109.71</v>
      </c>
      <c r="I203" s="32" t="n">
        <v>2078.8</v>
      </c>
      <c r="J203" s="32" t="n">
        <v>2.47</v>
      </c>
      <c r="K203" s="32" t="n">
        <v>732918</v>
      </c>
      <c r="L203" s="31" t="n">
        <v>17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58.37</v>
      </c>
      <c r="P203" s="32" t="n">
        <v>10.57</v>
      </c>
      <c r="Q203" s="32" t="inlineStr"/>
      <c r="R203" s="31" t="inlineStr">
        <is>
          <t>Earnings / Momentum Support</t>
        </is>
      </c>
      <c r="S203" s="31" t="inlineStr">
        <is>
          <t>Nifty Realty</t>
        </is>
      </c>
      <c r="T203" s="32" t="n">
        <v>-8.119999999999999</v>
      </c>
      <c r="U203" s="32" t="n">
        <v>-11.13</v>
      </c>
      <c r="V203" s="32" t="n">
        <v>-3.28</v>
      </c>
      <c r="W203" s="32" t="n">
        <v>2.23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Less than 1.5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IF(B204=0,"",RANK(B204,$B$2:$B$308,0))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NAUKRI</t>
        </is>
      </c>
      <c r="D204" s="31" t="inlineStr">
        <is>
          <t>Info Edge (india) Limited</t>
        </is>
      </c>
      <c r="E204" s="31" t="inlineStr">
        <is>
          <t>i.t</t>
        </is>
      </c>
      <c r="F204" s="31" t="inlineStr">
        <is>
          <t>miscellaneous</t>
        </is>
      </c>
      <c r="G204" s="31" t="inlineStr">
        <is>
          <t>largecap</t>
        </is>
      </c>
      <c r="H204" s="32" t="n">
        <v>75573.42</v>
      </c>
      <c r="I204" s="32" t="n">
        <v>1194.3</v>
      </c>
      <c r="J204" s="32" t="n">
        <v>2.47</v>
      </c>
      <c r="K204" s="32" t="n">
        <v>2342436</v>
      </c>
      <c r="L204" s="31" t="n">
        <v>12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58.56</v>
      </c>
      <c r="P204" s="32" t="n">
        <v>19.08</v>
      </c>
      <c r="Q204" s="32" t="inlineStr"/>
      <c r="R204" s="31" t="inlineStr">
        <is>
          <t>Earnings / Momentum Support</t>
        </is>
      </c>
      <c r="S204" s="31" t="inlineStr">
        <is>
          <t>Nifty IT</t>
        </is>
      </c>
      <c r="T204" s="32" t="n">
        <v>-19.25</v>
      </c>
      <c r="U204" s="32" t="n">
        <v>-18.29</v>
      </c>
      <c r="V204" s="32" t="n">
        <v>1.18</v>
      </c>
      <c r="W204" s="32" t="n">
        <v>0.75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IF(B205=0,"",RANK(B205,$B$2:$B$308,0))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TIRUPATIFL</t>
        </is>
      </c>
      <c r="D205" s="31" t="inlineStr">
        <is>
          <t>Tirupati Forge Ltd</t>
        </is>
      </c>
      <c r="E205" s="31" t="inlineStr">
        <is>
          <t>industrials</t>
        </is>
      </c>
      <c r="F205" s="31" t="inlineStr">
        <is>
          <t>castings &amp; forgings</t>
        </is>
      </c>
      <c r="G205" s="31" t="inlineStr">
        <is>
          <t>smallcap</t>
        </is>
      </c>
      <c r="H205" s="32" t="n">
        <v>950.97</v>
      </c>
      <c r="I205" s="32" t="n">
        <v>75.31</v>
      </c>
      <c r="J205" s="32" t="n">
        <v>2.31</v>
      </c>
      <c r="K205" s="32" t="n">
        <v>466189</v>
      </c>
      <c r="L205" s="31" t="n">
        <v>90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80.94</v>
      </c>
      <c r="P205" s="32" t="n">
        <v>39.94</v>
      </c>
      <c r="Q205" s="32" t="inlineStr"/>
      <c r="R205" s="31" t="inlineStr">
        <is>
          <t>Earnings / Momentum Support</t>
        </is>
      </c>
      <c r="S205" s="31" t="inlineStr">
        <is>
          <t>Nifty 50</t>
        </is>
      </c>
      <c r="T205" s="32" t="n">
        <v>-4.31</v>
      </c>
      <c r="U205" s="32" t="n">
        <v>84.90000000000001</v>
      </c>
      <c r="V205" s="32" t="n">
        <v>93.22</v>
      </c>
      <c r="W205" s="32" t="n">
        <v>28.89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Above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IF(B206=0,"",RANK(B206,$B$2:$B$308,0))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GALAPREC</t>
        </is>
      </c>
      <c r="D206" s="31" t="inlineStr">
        <is>
          <t>Gala Precision Engineering Ltd</t>
        </is>
      </c>
      <c r="E206" s="31" t="inlineStr">
        <is>
          <t>industrials</t>
        </is>
      </c>
      <c r="F206" s="31" t="inlineStr">
        <is>
          <t>fasteners</t>
        </is>
      </c>
      <c r="G206" s="31" t="inlineStr">
        <is>
          <t>smallcap</t>
        </is>
      </c>
      <c r="H206" s="32" t="n">
        <v>1469.12</v>
      </c>
      <c r="I206" s="32" t="n">
        <v>1164.2</v>
      </c>
      <c r="J206" s="32" t="n">
        <v>1.56</v>
      </c>
      <c r="K206" s="32" t="n">
        <v>33678</v>
      </c>
      <c r="L206" s="31" t="n">
        <v>79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73.41</v>
      </c>
      <c r="P206" s="32" t="n">
        <v>51.3</v>
      </c>
      <c r="Q206" s="32" t="inlineStr"/>
      <c r="R206" s="31" t="inlineStr">
        <is>
          <t>Earnings / Momentum Support</t>
        </is>
      </c>
      <c r="S206" s="31" t="inlineStr">
        <is>
          <t>Nifty 50</t>
        </is>
      </c>
      <c r="T206" s="32" t="n">
        <v>-4.31</v>
      </c>
      <c r="U206" s="32" t="n">
        <v>33.87</v>
      </c>
      <c r="V206" s="32" t="n">
        <v>39.9</v>
      </c>
      <c r="W206" s="32" t="n">
        <v>19.49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IF(B207=0,"",RANK(B207,$B$2:$B$308,0))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KANPRPLA</t>
        </is>
      </c>
      <c r="D207" s="31" t="inlineStr">
        <is>
          <t>Kanpur Plastipack Ltd</t>
        </is>
      </c>
      <c r="E207" s="31" t="inlineStr">
        <is>
          <t>industrials</t>
        </is>
      </c>
      <c r="F207" s="31" t="inlineStr">
        <is>
          <t>packaging</t>
        </is>
      </c>
      <c r="G207" s="31" t="inlineStr">
        <is>
          <t>smallcap</t>
        </is>
      </c>
      <c r="H207" s="32" t="n">
        <v>541.6</v>
      </c>
      <c r="I207" s="32" t="n">
        <v>224.54</v>
      </c>
      <c r="J207" s="32" t="n">
        <v>1.49</v>
      </c>
      <c r="K207" s="32" t="n">
        <v>48793</v>
      </c>
      <c r="L207" s="31" t="n">
        <v>24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62.17</v>
      </c>
      <c r="P207" s="32" t="n">
        <v>12.41</v>
      </c>
      <c r="Q207" s="32" t="inlineStr"/>
      <c r="R207" s="31" t="inlineStr">
        <is>
          <t>Earnings / Momentum Support</t>
        </is>
      </c>
      <c r="S207" s="31" t="inlineStr">
        <is>
          <t>Nifty 50</t>
        </is>
      </c>
      <c r="T207" s="32" t="n">
        <v>-4.31</v>
      </c>
      <c r="U207" s="32" t="n">
        <v>10.76</v>
      </c>
      <c r="V207" s="32" t="n">
        <v>15.74</v>
      </c>
      <c r="W207" s="32" t="n">
        <v>3.91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IF(B208=0,"",RANK(B208,$B$2:$B$308,0))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MMP</t>
        </is>
      </c>
      <c r="D208" s="33" t="inlineStr">
        <is>
          <t>MMP Industries Ltd</t>
        </is>
      </c>
      <c r="E208" s="31" t="inlineStr">
        <is>
          <t>metals &amp; mining</t>
        </is>
      </c>
      <c r="F208" s="31" t="inlineStr">
        <is>
          <t>aluminium and aluminium products</t>
        </is>
      </c>
      <c r="G208" s="31" t="inlineStr">
        <is>
          <t>smallcap</t>
        </is>
      </c>
      <c r="H208" s="32" t="n">
        <v>533</v>
      </c>
      <c r="I208" s="32" t="n">
        <v>285.05</v>
      </c>
      <c r="J208" s="32" t="n">
        <v>1.19</v>
      </c>
      <c r="K208" s="32" t="n">
        <v>23515</v>
      </c>
      <c r="L208" s="31" t="n">
        <v>16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56.55</v>
      </c>
      <c r="P208" s="32" t="n">
        <v>33.03</v>
      </c>
      <c r="Q208" s="32" t="inlineStr"/>
      <c r="R208" s="31" t="inlineStr">
        <is>
          <t>Earnings / Momentum Support</t>
        </is>
      </c>
      <c r="S208" s="31" t="inlineStr">
        <is>
          <t>Nifty Metal</t>
        </is>
      </c>
      <c r="T208" s="32" t="n">
        <v>31.49</v>
      </c>
      <c r="U208" s="32" t="n">
        <v>-1.03</v>
      </c>
      <c r="V208" s="32" t="n">
        <v>-24.73</v>
      </c>
      <c r="W208" s="32" t="n">
        <v>2.09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Cyclical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Volatile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IF(B209=0,"",RANK(B209,$B$2:$B$308,0))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MUNJALSHOW</t>
        </is>
      </c>
      <c r="D209" s="33" t="inlineStr">
        <is>
          <t>Munjal Showa Limited</t>
        </is>
      </c>
      <c r="E209" s="31" t="inlineStr">
        <is>
          <t>auto</t>
        </is>
      </c>
      <c r="F209" s="31" t="inlineStr">
        <is>
          <t>auto ancillaries</t>
        </is>
      </c>
      <c r="G209" s="31" t="inlineStr">
        <is>
          <t>smallcap</t>
        </is>
      </c>
      <c r="H209" s="32" t="n">
        <v>543.21</v>
      </c>
      <c r="I209" s="32" t="n">
        <v>136.93</v>
      </c>
      <c r="J209" s="32" t="n">
        <v>0.82</v>
      </c>
      <c r="K209" s="32" t="n">
        <v>33075</v>
      </c>
      <c r="L209" s="31" t="n">
        <v>8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56.94</v>
      </c>
      <c r="P209" s="32" t="n">
        <v>27.53</v>
      </c>
      <c r="Q209" s="32" t="inlineStr"/>
      <c r="R209" s="31" t="inlineStr">
        <is>
          <t>Earnings / Momentum Support</t>
        </is>
      </c>
      <c r="S209" s="31" t="inlineStr">
        <is>
          <t>Nifty Auto</t>
        </is>
      </c>
      <c r="T209" s="32" t="n">
        <v>13.41</v>
      </c>
      <c r="U209" s="32" t="n">
        <v>-7.39</v>
      </c>
      <c r="V209" s="32" t="n">
        <v>-18.34</v>
      </c>
      <c r="W209" s="32" t="n">
        <v>0.01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Between 1.5 to 2</t>
        </is>
      </c>
      <c r="BU209" s="31">
        <f>IF(BT209="Above 2",0,IF(BT209="Between 1.5 to 2",5,IF(BT209="Less than 1.5",10,0)))</f>
        <v/>
      </c>
      <c r="BV209" s="31" t="inlineStr">
        <is>
          <t>Negative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IF(B210=0,"",RANK(B210,$B$2:$B$308,0))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SHYAMMETL</t>
        </is>
      </c>
      <c r="D210" s="33" t="inlineStr">
        <is>
          <t>Shyam Metalics &amp; Energy Ltd</t>
        </is>
      </c>
      <c r="E210" s="31" t="inlineStr">
        <is>
          <t>metals &amp; mining</t>
        </is>
      </c>
      <c r="F210" s="31" t="inlineStr">
        <is>
          <t>steel - large</t>
        </is>
      </c>
      <c r="G210" s="31" t="inlineStr">
        <is>
          <t>largecap</t>
        </is>
      </c>
      <c r="H210" s="32" t="n">
        <v>28679.4</v>
      </c>
      <c r="I210" s="32" t="n">
        <v>1035.1</v>
      </c>
      <c r="J210" s="32" t="n">
        <v>0.74</v>
      </c>
      <c r="K210" s="32" t="n">
        <v>215142</v>
      </c>
      <c r="L210" s="31" t="n">
        <v>38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65.87</v>
      </c>
      <c r="P210" s="32" t="n">
        <v>20.06</v>
      </c>
      <c r="Q210" s="32" t="inlineStr"/>
      <c r="R210" s="31" t="inlineStr">
        <is>
          <t>Earnings / Momentum Support</t>
        </is>
      </c>
      <c r="S210" s="31" t="inlineStr">
        <is>
          <t>Nifty Metal</t>
        </is>
      </c>
      <c r="T210" s="32" t="n">
        <v>31.49</v>
      </c>
      <c r="U210" s="32" t="n">
        <v>12.72</v>
      </c>
      <c r="V210" s="32" t="n">
        <v>-14.28</v>
      </c>
      <c r="W210" s="32" t="n">
        <v>6.54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Cyclical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Volatile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IF(B211=0,"",RANK(B211,$B$2:$B$308,0))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MAHLOG</t>
        </is>
      </c>
      <c r="D211" s="31" t="inlineStr">
        <is>
          <t>Mahindra Logistics Ltd</t>
        </is>
      </c>
      <c r="E211" s="31" t="inlineStr">
        <is>
          <t>transportation</t>
        </is>
      </c>
      <c r="F211" s="31" t="inlineStr">
        <is>
          <t>miscellaneous</t>
        </is>
      </c>
      <c r="G211" s="31" t="inlineStr">
        <is>
          <t>smallcap</t>
        </is>
      </c>
      <c r="H211" s="32" t="n">
        <v>4131.13</v>
      </c>
      <c r="I211" s="32" t="n">
        <v>419.1</v>
      </c>
      <c r="J211" s="32" t="n">
        <v>0.66</v>
      </c>
      <c r="K211" s="32" t="n">
        <v>920860</v>
      </c>
      <c r="L211" s="31" t="n">
        <v>35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61.92</v>
      </c>
      <c r="P211" s="32" t="n">
        <v>19.39</v>
      </c>
      <c r="Q211" s="32" t="inlineStr"/>
      <c r="R211" s="31" t="inlineStr">
        <is>
          <t>Earnings / Momentum Support</t>
        </is>
      </c>
      <c r="S211" s="31" t="inlineStr">
        <is>
          <t>Nifty 50</t>
        </is>
      </c>
      <c r="T211" s="32" t="n">
        <v>-4.31</v>
      </c>
      <c r="U211" s="32" t="n">
        <v>19.64</v>
      </c>
      <c r="V211" s="32" t="n">
        <v>25.03</v>
      </c>
      <c r="W211" s="32" t="n">
        <v>5.89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IF(B212=0,"",RANK(B212,$B$2:$B$308,0))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VSSL</t>
        </is>
      </c>
      <c r="D212" s="33" t="inlineStr">
        <is>
          <t>Vardhman Special Steels Limited</t>
        </is>
      </c>
      <c r="E212" s="31" t="inlineStr">
        <is>
          <t>metals &amp; mining</t>
        </is>
      </c>
      <c r="F212" s="31" t="inlineStr">
        <is>
          <t>steel - medium / small</t>
        </is>
      </c>
      <c r="G212" s="31" t="inlineStr">
        <is>
          <t>smallcap</t>
        </is>
      </c>
      <c r="H212" s="32" t="n">
        <v>2864.31</v>
      </c>
      <c r="I212" s="32" t="n">
        <v>297.3</v>
      </c>
      <c r="J212" s="32" t="n">
        <v>0.35</v>
      </c>
      <c r="K212" s="32" t="n">
        <v>64711</v>
      </c>
      <c r="L212" s="31" t="n">
        <v>40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62.35</v>
      </c>
      <c r="P212" s="32" t="n">
        <v>21.44</v>
      </c>
      <c r="Q212" s="32" t="inlineStr"/>
      <c r="R212" s="31" t="inlineStr">
        <is>
          <t>Earnings / Momentum Support</t>
        </is>
      </c>
      <c r="S212" s="31" t="inlineStr">
        <is>
          <t>Nifty Metal</t>
        </is>
      </c>
      <c r="T212" s="32" t="n">
        <v>31.49</v>
      </c>
      <c r="U212" s="32" t="n">
        <v>17.35</v>
      </c>
      <c r="V212" s="32" t="n">
        <v>-10.76</v>
      </c>
      <c r="W212" s="32" t="n">
        <v>6.81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Cyclical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Volatile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IF(B213=0,"",RANK(B213,$B$2:$B$308,0))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MANGLMCEM</t>
        </is>
      </c>
      <c r="D213" s="31" t="inlineStr">
        <is>
          <t>Mangalam Cement Limited</t>
        </is>
      </c>
      <c r="E213" s="31" t="inlineStr">
        <is>
          <t>building materials</t>
        </is>
      </c>
      <c r="F213" s="31" t="inlineStr">
        <is>
          <t>cement - north india</t>
        </is>
      </c>
      <c r="G213" s="31" t="inlineStr">
        <is>
          <t>smallcap</t>
        </is>
      </c>
      <c r="H213" s="32" t="n">
        <v>2705.87</v>
      </c>
      <c r="I213" s="32" t="n">
        <v>984.7</v>
      </c>
      <c r="J213" s="32" t="n">
        <v>0.07000000000000001</v>
      </c>
      <c r="K213" s="32" t="n">
        <v>13172</v>
      </c>
      <c r="L213" s="31" t="n">
        <v>44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66.48999999999999</v>
      </c>
      <c r="P213" s="32" t="n">
        <v>21.44</v>
      </c>
      <c r="Q213" s="32" t="inlineStr"/>
      <c r="R213" s="31" t="inlineStr">
        <is>
          <t>Earnings / Momentum Support</t>
        </is>
      </c>
      <c r="S213" s="31" t="inlineStr">
        <is>
          <t>Nifty Infra</t>
        </is>
      </c>
      <c r="T213" s="32" t="n">
        <v>1.74</v>
      </c>
      <c r="U213" s="32" t="n">
        <v>34.75</v>
      </c>
      <c r="V213" s="32" t="n">
        <v>32.45</v>
      </c>
      <c r="W213" s="32" t="n">
        <v>7.96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Less than 50%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Between 0.7 to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IF(B214=0,"",RANK(B214,$B$2:$B$308,0))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ARROWGREEN</t>
        </is>
      </c>
      <c r="D214" s="33" t="inlineStr">
        <is>
          <t>Arrow Greentech Limited</t>
        </is>
      </c>
      <c r="E214" s="31" t="inlineStr">
        <is>
          <t>plastic products</t>
        </is>
      </c>
      <c r="F214" s="31" t="inlineStr">
        <is>
          <t>plastics products</t>
        </is>
      </c>
      <c r="G214" s="31" t="inlineStr">
        <is>
          <t>smallcap</t>
        </is>
      </c>
      <c r="H214" s="32" t="n">
        <v>1069.58</v>
      </c>
      <c r="I214" s="32" t="n">
        <v>705.8</v>
      </c>
      <c r="J214" s="32" t="n">
        <v>-0.44</v>
      </c>
      <c r="K214" s="32" t="n">
        <v>12084</v>
      </c>
      <c r="L214" s="31" t="n">
        <v>48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67.33</v>
      </c>
      <c r="P214" s="32" t="n">
        <v>29.43</v>
      </c>
      <c r="Q214" s="32" t="inlineStr"/>
      <c r="R214" s="31" t="inlineStr">
        <is>
          <t>Earnings / Momentum Support</t>
        </is>
      </c>
      <c r="S214" s="31" t="inlineStr">
        <is>
          <t>Nifty 50</t>
        </is>
      </c>
      <c r="T214" s="32" t="n">
        <v>-4.31</v>
      </c>
      <c r="U214" s="32" t="n">
        <v>-6.02</v>
      </c>
      <c r="V214" s="32" t="n">
        <v>-1.79</v>
      </c>
      <c r="W214" s="32" t="n">
        <v>8.93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Between 50% to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IF(B215=0,"",RANK(B215,$B$2:$B$308,0))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KALYANKJIL</t>
        </is>
      </c>
      <c r="D215" s="31" t="inlineStr">
        <is>
          <t>Kalyan Jewellers India Ltd</t>
        </is>
      </c>
      <c r="E215" s="31" t="inlineStr">
        <is>
          <t>consumer discretionary</t>
        </is>
      </c>
      <c r="F215" s="31" t="inlineStr">
        <is>
          <t>diamond cutting / jewellery</t>
        </is>
      </c>
      <c r="G215" s="31" t="inlineStr">
        <is>
          <t>largecap</t>
        </is>
      </c>
      <c r="H215" s="32" t="n">
        <v>59232.81</v>
      </c>
      <c r="I215" s="32" t="n">
        <v>564.6</v>
      </c>
      <c r="J215" s="32" t="n">
        <v>-1.56</v>
      </c>
      <c r="K215" s="32" t="n">
        <v>16629166</v>
      </c>
      <c r="L215" s="31" t="n">
        <v>54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69.90000000000001</v>
      </c>
      <c r="P215" s="32" t="n">
        <v>25.76</v>
      </c>
      <c r="Q215" s="32" t="inlineStr"/>
      <c r="R215" s="31" t="inlineStr">
        <is>
          <t>Earnings / Momentum Support</t>
        </is>
      </c>
      <c r="S215" s="31" t="inlineStr">
        <is>
          <t>Nifty 50</t>
        </is>
      </c>
      <c r="T215" s="32" t="n">
        <v>-4.31</v>
      </c>
      <c r="U215" s="32" t="n">
        <v>-3.16</v>
      </c>
      <c r="V215" s="32" t="n">
        <v>1.2</v>
      </c>
      <c r="W215" s="32" t="n">
        <v>10.23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Between 50% to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IF(B216=0,"",RANK(B216,$B$2:$B$308,0))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ANTELOPUS</t>
        </is>
      </c>
      <c r="D216" s="31" t="inlineStr">
        <is>
          <t>Antelopus Selan Energy Ltd</t>
        </is>
      </c>
      <c r="E216" s="31" t="inlineStr">
        <is>
          <t>energy</t>
        </is>
      </c>
      <c r="F216" s="31" t="inlineStr">
        <is>
          <t>oil drilling / allied services</t>
        </is>
      </c>
      <c r="G216" s="31" t="inlineStr">
        <is>
          <t>smallcap</t>
        </is>
      </c>
      <c r="H216" s="32" t="n">
        <v>3145.1</v>
      </c>
      <c r="I216" s="32" t="n">
        <v>875.55</v>
      </c>
      <c r="J216" s="32" t="n">
        <v>-2.11</v>
      </c>
      <c r="K216" s="32" t="n">
        <v>138813</v>
      </c>
      <c r="L216" s="31" t="n">
        <v>63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66.73</v>
      </c>
      <c r="P216" s="32" t="n">
        <v>51.92</v>
      </c>
      <c r="Q216" s="32" t="inlineStr"/>
      <c r="R216" s="31" t="inlineStr">
        <is>
          <t>Earnings / Momentum Support</t>
        </is>
      </c>
      <c r="S216" s="31" t="inlineStr">
        <is>
          <t>Nifty Energy</t>
        </is>
      </c>
      <c r="T216" s="32" t="n">
        <v>8.41</v>
      </c>
      <c r="U216" s="32" t="n">
        <v>25.19</v>
      </c>
      <c r="V216" s="32" t="n">
        <v>15.48</v>
      </c>
      <c r="W216" s="32" t="n">
        <v>13.1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Oligopoly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Yes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Cyclical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Volatile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Above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IF(B217=0,"",RANK(B217,$B$2:$B$308,0))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GANDHAR</t>
        </is>
      </c>
      <c r="D217" s="31" t="inlineStr">
        <is>
          <t>Gandhar Oil Refinery (India) Ltd</t>
        </is>
      </c>
      <c r="E217" s="31" t="inlineStr">
        <is>
          <t>energy</t>
        </is>
      </c>
      <c r="F217" s="31" t="inlineStr">
        <is>
          <t>refineries</t>
        </is>
      </c>
      <c r="G217" s="31" t="inlineStr">
        <is>
          <t>smallcap</t>
        </is>
      </c>
      <c r="H217" s="32" t="n">
        <v>2764.71</v>
      </c>
      <c r="I217" s="32" t="n">
        <v>245.47</v>
      </c>
      <c r="J217" s="32" t="n">
        <v>-13.1</v>
      </c>
      <c r="K217" s="32" t="n">
        <v>20541880</v>
      </c>
      <c r="L217" s="31" t="n">
        <v>68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84.16</v>
      </c>
      <c r="P217" s="32" t="n">
        <v>53.15</v>
      </c>
      <c r="Q217" s="32" t="inlineStr"/>
      <c r="R217" s="31" t="inlineStr">
        <is>
          <t>Earnings / Momentum Support</t>
        </is>
      </c>
      <c r="S217" s="31" t="inlineStr">
        <is>
          <t>Nifty Energy</t>
        </is>
      </c>
      <c r="T217" s="32" t="n">
        <v>8.41</v>
      </c>
      <c r="U217" s="32" t="n">
        <v>24.11</v>
      </c>
      <c r="V217" s="32" t="n">
        <v>14.48</v>
      </c>
      <c r="W217" s="32" t="n">
        <v>14.4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Oligopoly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Yes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IF(B218=0,"",RANK(B218,$B$2:$B$308,0))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PPLPHARMA</t>
        </is>
      </c>
      <c r="D218" s="33" t="inlineStr">
        <is>
          <t>Piramal Pharma Ltd</t>
        </is>
      </c>
      <c r="E218" s="31" t="inlineStr">
        <is>
          <t>healthcare</t>
        </is>
      </c>
      <c r="F218" s="31" t="inlineStr">
        <is>
          <t>pharmaceuticals - indian - bulk drugs &amp; formln</t>
        </is>
      </c>
      <c r="G218" s="31" t="inlineStr">
        <is>
          <t>largecap</t>
        </is>
      </c>
      <c r="H218" s="32" t="n">
        <v>24133.35</v>
      </c>
      <c r="I218" s="32" t="n">
        <v>192.05</v>
      </c>
      <c r="J218" s="32" t="n">
        <v>5.95</v>
      </c>
      <c r="K218" s="32" t="n">
        <v>15154930</v>
      </c>
      <c r="L218" s="31" t="n">
        <v>11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58.73</v>
      </c>
      <c r="P218" s="32" t="n">
        <v>19.24</v>
      </c>
      <c r="Q218" s="32" t="inlineStr"/>
      <c r="R218" s="31" t="inlineStr">
        <is>
          <t>Earnings / Momentum Support</t>
        </is>
      </c>
      <c r="S218" s="31" t="inlineStr">
        <is>
          <t>Nifty Pharma</t>
        </is>
      </c>
      <c r="T218" s="32" t="n">
        <v>12.73</v>
      </c>
      <c r="U218" s="32" t="n">
        <v>-10.36</v>
      </c>
      <c r="V218" s="32" t="n">
        <v>-20.49</v>
      </c>
      <c r="W218" s="32" t="n">
        <v>0.65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Annuity, Lower One Time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IF(B219=0,"",RANK(B219,$B$2:$B$308,0))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PVRINOX</t>
        </is>
      </c>
      <c r="D219" s="31" t="inlineStr">
        <is>
          <t>PVR Inox Ltd</t>
        </is>
      </c>
      <c r="E219" s="31" t="inlineStr">
        <is>
          <t>media</t>
        </is>
      </c>
      <c r="F219" s="31" t="inlineStr">
        <is>
          <t>entertainment / electronic media software</t>
        </is>
      </c>
      <c r="G219" s="31" t="inlineStr">
        <is>
          <t>midcap</t>
        </is>
      </c>
      <c r="H219" s="32" t="n">
        <v>10447.99</v>
      </c>
      <c r="I219" s="32" t="n">
        <v>1123.2</v>
      </c>
      <c r="J219" s="32" t="n">
        <v>5.57</v>
      </c>
      <c r="K219" s="32" t="n">
        <v>1608571</v>
      </c>
      <c r="L219" s="31" t="n">
        <v>22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58.34</v>
      </c>
      <c r="P219" s="32" t="n">
        <v>10.79</v>
      </c>
      <c r="Q219" s="32" t="inlineStr"/>
      <c r="R219" s="31" t="inlineStr">
        <is>
          <t>Earnings / Momentum Support</t>
        </is>
      </c>
      <c r="S219" s="31" t="inlineStr">
        <is>
          <t>Nifty IT</t>
        </is>
      </c>
      <c r="T219" s="32" t="n">
        <v>-19.25</v>
      </c>
      <c r="U219" s="32" t="n">
        <v>6.38</v>
      </c>
      <c r="V219" s="32" t="n">
        <v>31.74</v>
      </c>
      <c r="W219" s="32" t="n">
        <v>3.21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Between 0.7 to 1.2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IF(B220=0,"",RANK(B220,$B$2:$B$308,0))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MEDANTA</t>
        </is>
      </c>
      <c r="D220" s="33" t="inlineStr">
        <is>
          <t>Global Health Ltd</t>
        </is>
      </c>
      <c r="E220" s="31" t="inlineStr">
        <is>
          <t>healthcare</t>
        </is>
      </c>
      <c r="F220" s="31" t="inlineStr">
        <is>
          <t>healthcare</t>
        </is>
      </c>
      <c r="G220" s="31" t="inlineStr">
        <is>
          <t>largecap</t>
        </is>
      </c>
      <c r="H220" s="32" t="n">
        <v>36862.32</v>
      </c>
      <c r="I220" s="32" t="n">
        <v>1407.2</v>
      </c>
      <c r="J220" s="32" t="n">
        <v>2.64</v>
      </c>
      <c r="K220" s="32" t="n">
        <v>320048</v>
      </c>
      <c r="L220" s="31" t="n">
        <v>39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66.3</v>
      </c>
      <c r="P220" s="32" t="n">
        <v>16.11</v>
      </c>
      <c r="Q220" s="32" t="inlineStr"/>
      <c r="R220" s="31" t="inlineStr">
        <is>
          <t>Earnings / Momentum Support</t>
        </is>
      </c>
      <c r="S220" s="31" t="inlineStr">
        <is>
          <t>Nifty Pharma</t>
        </is>
      </c>
      <c r="T220" s="32" t="n">
        <v>12.73</v>
      </c>
      <c r="U220" s="32" t="n">
        <v>3.66</v>
      </c>
      <c r="V220" s="32" t="n">
        <v>-8.050000000000001</v>
      </c>
      <c r="W220" s="32" t="n">
        <v>6.73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Yes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Annuity, Lower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Between 1.5 to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IF(B221=0,"",RANK(B221,$B$2:$B$308,0))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TARSONS</t>
        </is>
      </c>
      <c r="D221" s="33" t="inlineStr">
        <is>
          <t>Tarsons Products Ltd</t>
        </is>
      </c>
      <c r="E221" s="31" t="inlineStr">
        <is>
          <t>healthcare</t>
        </is>
      </c>
      <c r="F221" s="31" t="inlineStr">
        <is>
          <t>miscellaneous</t>
        </is>
      </c>
      <c r="G221" s="31" t="inlineStr">
        <is>
          <t>smallcap</t>
        </is>
      </c>
      <c r="H221" s="32" t="n">
        <v>1664.03</v>
      </c>
      <c r="I221" s="32" t="n">
        <v>320.9</v>
      </c>
      <c r="J221" s="32" t="n">
        <v>2.61</v>
      </c>
      <c r="K221" s="32" t="n">
        <v>208664</v>
      </c>
      <c r="L221" s="31" t="n">
        <v>55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68.36</v>
      </c>
      <c r="P221" s="32" t="n">
        <v>28.8</v>
      </c>
      <c r="Q221" s="32" t="inlineStr"/>
      <c r="R221" s="31" t="inlineStr">
        <is>
          <t>Earnings / Momentum Support</t>
        </is>
      </c>
      <c r="S221" s="31" t="inlineStr">
        <is>
          <t>Nifty Pharma</t>
        </is>
      </c>
      <c r="T221" s="32" t="n">
        <v>12.73</v>
      </c>
      <c r="U221" s="32" t="n">
        <v>-16.43</v>
      </c>
      <c r="V221" s="32" t="n">
        <v>-25.87</v>
      </c>
      <c r="W221" s="32" t="n">
        <v>10.46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IF(B222=0,"",RANK(B222,$B$2:$B$308,0))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COLPAL</t>
        </is>
      </c>
      <c r="D222" s="31" t="inlineStr">
        <is>
          <t>Colgate Palmolive (india) Limited</t>
        </is>
      </c>
      <c r="E222" s="31" t="inlineStr">
        <is>
          <t>fmcg</t>
        </is>
      </c>
      <c r="F222" s="31" t="inlineStr">
        <is>
          <t>personal care - multinational</t>
        </is>
      </c>
      <c r="G222" s="31" t="inlineStr">
        <is>
          <t>largecap</t>
        </is>
      </c>
      <c r="H222" s="32" t="n">
        <v>56738.92</v>
      </c>
      <c r="I222" s="32" t="n">
        <v>2136.6</v>
      </c>
      <c r="J222" s="32" t="n">
        <v>2.42</v>
      </c>
      <c r="K222" s="32" t="n">
        <v>381885</v>
      </c>
      <c r="L222" s="31" t="n">
        <v>3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51.28</v>
      </c>
      <c r="P222" s="32" t="n">
        <v>9.83</v>
      </c>
      <c r="Q222" s="32" t="inlineStr"/>
      <c r="R222" s="31" t="inlineStr">
        <is>
          <t>Earnings / Momentum Support</t>
        </is>
      </c>
      <c r="S222" s="31" t="inlineStr">
        <is>
          <t>Nifty FMCG</t>
        </is>
      </c>
      <c r="T222" s="32" t="n">
        <v>-13.73</v>
      </c>
      <c r="U222" s="32" t="n">
        <v>-12.75</v>
      </c>
      <c r="V222" s="32" t="n">
        <v>1.13</v>
      </c>
      <c r="W222" s="32" t="n">
        <v>-3.03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B2C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Annuity, Lower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Less than 12%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IF(B223=0,"",RANK(B223,$B$2:$B$308,0))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BLSE</t>
        </is>
      </c>
      <c r="D223" s="31" t="inlineStr">
        <is>
          <t>BLS E-Services Ltd</t>
        </is>
      </c>
      <c r="E223" s="31" t="inlineStr">
        <is>
          <t>i.t</t>
        </is>
      </c>
      <c r="F223" s="31" t="inlineStr">
        <is>
          <t>computers - software - medium / small</t>
        </is>
      </c>
      <c r="G223" s="31" t="inlineStr">
        <is>
          <t>smallcap</t>
        </is>
      </c>
      <c r="H223" s="32" t="n">
        <v>2565.06</v>
      </c>
      <c r="I223" s="32" t="n">
        <v>288.32</v>
      </c>
      <c r="J223" s="32" t="n">
        <v>2.13</v>
      </c>
      <c r="K223" s="32" t="n">
        <v>1807981</v>
      </c>
      <c r="L223" s="31" t="n">
        <v>84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78.59</v>
      </c>
      <c r="P223" s="32" t="n">
        <v>38.53</v>
      </c>
      <c r="Q223" s="32" t="inlineStr"/>
      <c r="R223" s="31" t="inlineStr">
        <is>
          <t>Earnings / Momentum Support</t>
        </is>
      </c>
      <c r="S223" s="31" t="inlineStr">
        <is>
          <t>Nifty IT</t>
        </is>
      </c>
      <c r="T223" s="32" t="n">
        <v>-19.25</v>
      </c>
      <c r="U223" s="32" t="n">
        <v>53.98</v>
      </c>
      <c r="V223" s="32" t="n">
        <v>90.68000000000001</v>
      </c>
      <c r="W223" s="32" t="n">
        <v>23.19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Above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Between 50% to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IF(B224=0,"",RANK(B224,$B$2:$B$308,0))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TORNTPHARM</t>
        </is>
      </c>
      <c r="D224" s="31" t="inlineStr">
        <is>
          <t>Torrent Pharmaceuticals Limited</t>
        </is>
      </c>
      <c r="E224" s="31" t="inlineStr">
        <is>
          <t>healthcare</t>
        </is>
      </c>
      <c r="F224" s="31" t="inlineStr">
        <is>
          <t>pharmaceuticals - indian - formulations</t>
        </is>
      </c>
      <c r="G224" s="31" t="inlineStr">
        <is>
          <t>largecap</t>
        </is>
      </c>
      <c r="H224" s="32" t="n">
        <v>188719.51</v>
      </c>
      <c r="I224" s="32" t="n">
        <v>5019.5</v>
      </c>
      <c r="J224" s="32" t="n">
        <v>1.17</v>
      </c>
      <c r="K224" s="32" t="n">
        <v>267708</v>
      </c>
      <c r="L224" s="31" t="n">
        <v>57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70.51000000000001</v>
      </c>
      <c r="P224" s="32" t="n">
        <v>41.65</v>
      </c>
      <c r="Q224" s="32" t="inlineStr"/>
      <c r="R224" s="31" t="inlineStr">
        <is>
          <t>Earnings / Momentum Support</t>
        </is>
      </c>
      <c r="S224" s="31" t="inlineStr">
        <is>
          <t>Nifty Pharma</t>
        </is>
      </c>
      <c r="T224" s="32" t="n">
        <v>12.73</v>
      </c>
      <c r="U224" s="32" t="n">
        <v>38.89</v>
      </c>
      <c r="V224" s="32" t="n">
        <v>23.21</v>
      </c>
      <c r="W224" s="32" t="n">
        <v>11.22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Above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Between 0.7 to 1.2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IF(B225=0,"",RANK(B225,$B$2:$B$308,0))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UNITDSPR</t>
        </is>
      </c>
      <c r="D225" s="31" t="inlineStr">
        <is>
          <t>United Spirits Ltd</t>
        </is>
      </c>
      <c r="E225" s="31" t="inlineStr">
        <is>
          <t>fmcg</t>
        </is>
      </c>
      <c r="F225" s="31" t="inlineStr">
        <is>
          <t>breweries &amp; distilleries</t>
        </is>
      </c>
      <c r="G225" s="31" t="inlineStr">
        <is>
          <t>largecap</t>
        </is>
      </c>
      <c r="H225" s="32" t="n">
        <v>106716.92</v>
      </c>
      <c r="I225" s="32" t="n">
        <v>1482</v>
      </c>
      <c r="J225" s="32" t="n">
        <v>1.01</v>
      </c>
      <c r="K225" s="32" t="n">
        <v>1154306</v>
      </c>
      <c r="L225" s="31" t="n">
        <v>16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64.17</v>
      </c>
      <c r="P225" s="32" t="n">
        <v>16.29</v>
      </c>
      <c r="Q225" s="32" t="inlineStr"/>
      <c r="R225" s="31" t="inlineStr">
        <is>
          <t>Earnings / Momentum Support</t>
        </is>
      </c>
      <c r="S225" s="31" t="inlineStr">
        <is>
          <t>Nifty FMCG</t>
        </is>
      </c>
      <c r="T225" s="32" t="n">
        <v>-13.73</v>
      </c>
      <c r="U225" s="32" t="n">
        <v>2.84</v>
      </c>
      <c r="V225" s="32" t="n">
        <v>19.21</v>
      </c>
      <c r="W225" s="32" t="n">
        <v>1.89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B2C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IF(B226=0,"",RANK(B226,$B$2:$B$308,0))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ONWARDTEC</t>
        </is>
      </c>
      <c r="D226" s="31" t="inlineStr">
        <is>
          <t>Onward Technologies Limited</t>
        </is>
      </c>
      <c r="E226" s="31" t="inlineStr">
        <is>
          <t>i.t</t>
        </is>
      </c>
      <c r="F226" s="31" t="inlineStr">
        <is>
          <t>computers - software - medium / small</t>
        </is>
      </c>
      <c r="G226" s="31" t="inlineStr">
        <is>
          <t>smallcap</t>
        </is>
      </c>
      <c r="H226" s="32" t="n">
        <v>646.49</v>
      </c>
      <c r="I226" s="32" t="n">
        <v>292.75</v>
      </c>
      <c r="J226" s="32" t="n">
        <v>0.72</v>
      </c>
      <c r="K226" s="32" t="n">
        <v>178828</v>
      </c>
      <c r="L226" s="31" t="n">
        <v>24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58.36</v>
      </c>
      <c r="P226" s="32" t="n">
        <v>17.53</v>
      </c>
      <c r="Q226" s="32" t="inlineStr"/>
      <c r="R226" s="31" t="inlineStr">
        <is>
          <t>Earnings / Momentum Support</t>
        </is>
      </c>
      <c r="S226" s="31" t="inlineStr">
        <is>
          <t>Nifty IT</t>
        </is>
      </c>
      <c r="T226" s="32" t="n">
        <v>-19.25</v>
      </c>
      <c r="U226" s="32" t="n">
        <v>-11.36</v>
      </c>
      <c r="V226" s="32" t="n">
        <v>9.76</v>
      </c>
      <c r="W226" s="32" t="n">
        <v>4.02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IF(B227=0,"",RANK(B227,$B$2:$B$308,0))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BALRAMCHIN</t>
        </is>
      </c>
      <c r="D227" s="31" t="inlineStr">
        <is>
          <t>Balrampur Chini Mills Limited</t>
        </is>
      </c>
      <c r="E227" s="31" t="inlineStr">
        <is>
          <t>fmcg</t>
        </is>
      </c>
      <c r="F227" s="31" t="inlineStr">
        <is>
          <t>sugar</t>
        </is>
      </c>
      <c r="G227" s="31" t="inlineStr">
        <is>
          <t>midcap</t>
        </is>
      </c>
      <c r="H227" s="32" t="n">
        <v>12890.47</v>
      </c>
      <c r="I227" s="32" t="n">
        <v>611.65</v>
      </c>
      <c r="J227" s="32" t="n">
        <v>0.25</v>
      </c>
      <c r="K227" s="32" t="n">
        <v>208287</v>
      </c>
      <c r="L227" s="31" t="n">
        <v>37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75.12</v>
      </c>
      <c r="P227" s="32" t="n">
        <v>38.36</v>
      </c>
      <c r="Q227" s="32" t="inlineStr"/>
      <c r="R227" s="31" t="inlineStr">
        <is>
          <t>Earnings / Momentum Support</t>
        </is>
      </c>
      <c r="S227" s="31" t="inlineStr">
        <is>
          <t>Nifty FMCG</t>
        </is>
      </c>
      <c r="T227" s="32" t="n">
        <v>-13.73</v>
      </c>
      <c r="U227" s="32" t="n">
        <v>-1.41</v>
      </c>
      <c r="V227" s="32" t="n">
        <v>14.28</v>
      </c>
      <c r="W227" s="32" t="n">
        <v>6.14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B2C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Above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Between 0.7 to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IF(B228=0,"",RANK(B228,$B$2:$B$308,0))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MBAPL</t>
        </is>
      </c>
      <c r="D228" s="31" t="inlineStr">
        <is>
          <t>Madhya Bharat Agro Products Ltd</t>
        </is>
      </c>
      <c r="E228" s="31" t="inlineStr">
        <is>
          <t>chemicals</t>
        </is>
      </c>
      <c r="F228" s="31" t="inlineStr">
        <is>
          <t>fertilizers</t>
        </is>
      </c>
      <c r="G228" s="31" t="inlineStr">
        <is>
          <t>smallcap</t>
        </is>
      </c>
      <c r="H228" s="32" t="n">
        <v>1299.07</v>
      </c>
      <c r="I228" s="32" t="n">
        <v>163.95</v>
      </c>
      <c r="J228" s="32" t="n">
        <v>10.59</v>
      </c>
      <c r="K228" s="32" t="n">
        <v>5234794</v>
      </c>
      <c r="L228" s="31" t="n">
        <v>82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84.20999999999999</v>
      </c>
      <c r="P228" s="32" t="n">
        <v>60.5</v>
      </c>
      <c r="Q228" s="32" t="inlineStr"/>
      <c r="R228" s="31" t="inlineStr">
        <is>
          <t>Earnings / Momentum Support</t>
        </is>
      </c>
      <c r="S228" s="31" t="inlineStr">
        <is>
          <t>Nifty 50</t>
        </is>
      </c>
      <c r="T228" s="32" t="n">
        <v>-4.31</v>
      </c>
      <c r="U228" s="32" t="n">
        <v>72.86</v>
      </c>
      <c r="V228" s="32" t="n">
        <v>80.63</v>
      </c>
      <c r="W228" s="32" t="n">
        <v>22.4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Above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Between 12 to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More than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IF(B229=0,"",RANK(B229,$B$2:$B$308,0))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TBZ</t>
        </is>
      </c>
      <c r="D229" s="31" t="inlineStr">
        <is>
          <t>Tribhovandas Bhimji Zaveri Limited</t>
        </is>
      </c>
      <c r="E229" s="31" t="inlineStr">
        <is>
          <t>consumer discretionary</t>
        </is>
      </c>
      <c r="F229" s="31" t="inlineStr">
        <is>
          <t>diamond cutting / jewellery</t>
        </is>
      </c>
      <c r="G229" s="31" t="inlineStr">
        <is>
          <t>smallcap</t>
        </is>
      </c>
      <c r="H229" s="32" t="n">
        <v>1727.59</v>
      </c>
      <c r="I229" s="32" t="n">
        <v>280.22</v>
      </c>
      <c r="J229" s="32" t="n">
        <v>8.24</v>
      </c>
      <c r="K229" s="32" t="n">
        <v>2863637</v>
      </c>
      <c r="L229" s="31" t="n">
        <v>88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78.26000000000001</v>
      </c>
      <c r="P229" s="32" t="n">
        <v>33.19</v>
      </c>
      <c r="Q229" s="32" t="inlineStr"/>
      <c r="R229" s="31" t="inlineStr">
        <is>
          <t>Earnings / Momentum Support</t>
        </is>
      </c>
      <c r="S229" s="31" t="inlineStr">
        <is>
          <t>Nifty 50</t>
        </is>
      </c>
      <c r="T229" s="32" t="n">
        <v>-4.31</v>
      </c>
      <c r="U229" s="32" t="n">
        <v>38.51</v>
      </c>
      <c r="V229" s="32" t="n">
        <v>44.74</v>
      </c>
      <c r="W229" s="32" t="n">
        <v>26.17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Above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Between 1.5 to 2</t>
        </is>
      </c>
      <c r="BU229" s="31">
        <f>IF(BT229="Above 2",0,IF(BT229="Between 1.5 to 2",5,IF(BT229="Less than 1.5",10,0)))</f>
        <v/>
      </c>
      <c r="BV229" s="31" t="inlineStr">
        <is>
          <t>Less than 50% and Borrowings are increasing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Between 0.7 to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IF(B230=0,"",RANK(B230,$B$2:$B$308,0))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REDINGTON</t>
        </is>
      </c>
      <c r="D230" s="33" t="inlineStr">
        <is>
          <t>Redington (india) Limited</t>
        </is>
      </c>
      <c r="E230" s="31" t="inlineStr">
        <is>
          <t>services</t>
        </is>
      </c>
      <c r="F230" s="31" t="inlineStr">
        <is>
          <t>trading</t>
        </is>
      </c>
      <c r="G230" s="31" t="inlineStr">
        <is>
          <t>largecap</t>
        </is>
      </c>
      <c r="H230" s="32" t="n">
        <v>20251.87</v>
      </c>
      <c r="I230" s="32" t="n">
        <v>278.15</v>
      </c>
      <c r="J230" s="32" t="n">
        <v>7.37</v>
      </c>
      <c r="K230" s="32" t="n">
        <v>8059901</v>
      </c>
      <c r="L230" s="31" t="n">
        <v>22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53.92</v>
      </c>
      <c r="P230" s="32" t="n">
        <v>22.32</v>
      </c>
      <c r="Q230" s="32" t="inlineStr"/>
      <c r="R230" s="31" t="inlineStr">
        <is>
          <t>Earnings / Momentum Support</t>
        </is>
      </c>
      <c r="S230" s="31" t="inlineStr">
        <is>
          <t>Nifty 50</t>
        </is>
      </c>
      <c r="T230" s="32" t="n">
        <v>-4.31</v>
      </c>
      <c r="U230" s="32" t="n">
        <v>-10.01</v>
      </c>
      <c r="V230" s="32" t="n">
        <v>-5.96</v>
      </c>
      <c r="W230" s="32" t="n">
        <v>3.13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Less than 50%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IF(B231=0,"",RANK(B231,$B$2:$B$308,0))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PNGJL</t>
        </is>
      </c>
      <c r="D231" s="31" t="inlineStr">
        <is>
          <t>P N Gadgil Jewellers Ltd</t>
        </is>
      </c>
      <c r="E231" s="31" t="inlineStr">
        <is>
          <t>consumer discretionary</t>
        </is>
      </c>
      <c r="F231" s="31" t="inlineStr">
        <is>
          <t>diamond cutting / jewellery</t>
        </is>
      </c>
      <c r="G231" s="31" t="inlineStr">
        <is>
          <t>midcap</t>
        </is>
      </c>
      <c r="H231" s="32" t="n">
        <v>8780.33</v>
      </c>
      <c r="I231" s="32" t="n">
        <v>689.05</v>
      </c>
      <c r="J231" s="32" t="n">
        <v>6.5</v>
      </c>
      <c r="K231" s="32" t="n">
        <v>2989095</v>
      </c>
      <c r="L231" s="31" t="n">
        <v>19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57.9</v>
      </c>
      <c r="P231" s="32" t="n">
        <v>11.55</v>
      </c>
      <c r="Q231" s="32" t="inlineStr"/>
      <c r="R231" s="31" t="inlineStr">
        <is>
          <t>Volume Spike / Accumulation</t>
        </is>
      </c>
      <c r="S231" s="31" t="inlineStr">
        <is>
          <t>Nifty 50</t>
        </is>
      </c>
      <c r="T231" s="32" t="n">
        <v>-4.31</v>
      </c>
      <c r="U231" s="32" t="n">
        <v>11.23</v>
      </c>
      <c r="V231" s="32" t="n">
        <v>16.23</v>
      </c>
      <c r="W231" s="32" t="n">
        <v>2.44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3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Negative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Between 0.7 to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IF(B232=0,"",RANK(B232,$B$2:$B$308,0))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MARINE</t>
        </is>
      </c>
      <c r="D232" s="31" t="inlineStr">
        <is>
          <t>Marine Electricals (India) Ltd</t>
        </is>
      </c>
      <c r="E232" s="31" t="inlineStr">
        <is>
          <t>industrials</t>
        </is>
      </c>
      <c r="F232" s="31" t="inlineStr">
        <is>
          <t>electric equipment</t>
        </is>
      </c>
      <c r="G232" s="31" t="inlineStr">
        <is>
          <t>smallcap</t>
        </is>
      </c>
      <c r="H232" s="32" t="n">
        <v>3565.78</v>
      </c>
      <c r="I232" s="32" t="n">
        <v>269.95</v>
      </c>
      <c r="J232" s="32" t="n">
        <v>5.95</v>
      </c>
      <c r="K232" s="32" t="n">
        <v>1123801</v>
      </c>
      <c r="L232" s="31" t="n">
        <v>57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57</v>
      </c>
      <c r="P232" s="32" t="n">
        <v>29</v>
      </c>
      <c r="Q232" s="32" t="inlineStr"/>
      <c r="R232" s="31" t="inlineStr">
        <is>
          <t>Earnings / Momentum Support</t>
        </is>
      </c>
      <c r="S232" s="31" t="inlineStr">
        <is>
          <t>Nifty 50</t>
        </is>
      </c>
      <c r="T232" s="32" t="n">
        <v>-4.31</v>
      </c>
      <c r="U232" s="32" t="n">
        <v>34.49</v>
      </c>
      <c r="V232" s="32" t="n">
        <v>40.54</v>
      </c>
      <c r="W232" s="32" t="n">
        <v>11.27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Between 1.5 to 2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IF(B233=0,"",RANK(B233,$B$2:$B$308,0))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IGPL</t>
        </is>
      </c>
      <c r="D233" s="33" t="inlineStr">
        <is>
          <t>Ig Petrochemicals Limited</t>
        </is>
      </c>
      <c r="E233" s="31" t="inlineStr">
        <is>
          <t>chemicals</t>
        </is>
      </c>
      <c r="F233" s="31" t="inlineStr">
        <is>
          <t>chemicals</t>
        </is>
      </c>
      <c r="G233" s="31" t="inlineStr">
        <is>
          <t>smallcap</t>
        </is>
      </c>
      <c r="H233" s="32" t="n">
        <v>1390.54</v>
      </c>
      <c r="I233" s="32" t="n">
        <v>472.75</v>
      </c>
      <c r="J233" s="32" t="n">
        <v>4.69</v>
      </c>
      <c r="K233" s="32" t="n">
        <v>139288</v>
      </c>
      <c r="L233" s="31" t="n">
        <v>12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57.58</v>
      </c>
      <c r="P233" s="32" t="n">
        <v>19.56</v>
      </c>
      <c r="Q233" s="32" t="inlineStr"/>
      <c r="R233" s="31" t="inlineStr">
        <is>
          <t>Earnings / Momentum Support</t>
        </is>
      </c>
      <c r="S233" s="31" t="inlineStr">
        <is>
          <t>Nifty 50</t>
        </is>
      </c>
      <c r="T233" s="32" t="n">
        <v>-4.31</v>
      </c>
      <c r="U233" s="32" t="n">
        <v>-4.74</v>
      </c>
      <c r="V233" s="32" t="n">
        <v>-0.45</v>
      </c>
      <c r="W233" s="32" t="n">
        <v>0.8100000000000001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IF(B234=0,"",RANK(B234,$B$2:$B$308,0))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GAEL</t>
        </is>
      </c>
      <c r="D234" s="31" t="inlineStr">
        <is>
          <t>Gujarat Ambuja Exports Limited</t>
        </is>
      </c>
      <c r="E234" s="31" t="inlineStr">
        <is>
          <t>fmcg</t>
        </is>
      </c>
      <c r="F234" s="31" t="inlineStr">
        <is>
          <t>miscellaneous</t>
        </is>
      </c>
      <c r="G234" s="31" t="inlineStr">
        <is>
          <t>midcap</t>
        </is>
      </c>
      <c r="H234" s="32" t="n">
        <v>6955.28</v>
      </c>
      <c r="I234" s="32" t="n">
        <v>157.31</v>
      </c>
      <c r="J234" s="32" t="n">
        <v>3.74</v>
      </c>
      <c r="K234" s="32" t="n">
        <v>3107123</v>
      </c>
      <c r="L234" s="31" t="n">
        <v>35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52.93</v>
      </c>
      <c r="P234" s="32" t="n">
        <v>35.89</v>
      </c>
      <c r="Q234" s="32" t="inlineStr"/>
      <c r="R234" s="31" t="inlineStr">
        <is>
          <t>Earnings / Momentum Support</t>
        </is>
      </c>
      <c r="S234" s="31" t="inlineStr">
        <is>
          <t>Nifty FMCG</t>
        </is>
      </c>
      <c r="T234" s="32" t="n">
        <v>-13.73</v>
      </c>
      <c r="U234" s="32" t="n">
        <v>30.8</v>
      </c>
      <c r="V234" s="32" t="n">
        <v>51.62</v>
      </c>
      <c r="W234" s="32" t="n">
        <v>5.8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Oligopoly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Shallow Cyclical (2 to 3 Years Growth)</t>
        </is>
      </c>
      <c r="AG234" s="31">
        <f>IF(AF234="Structural (10 Years Consistency)",10,IF(AF234="Shallow Cyclical (2 to 3 years growth)",5,0))</f>
        <v/>
      </c>
      <c r="AH234" s="31" t="inlineStr">
        <is>
          <t>Yes due to Product Mix change or Operating Leverage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Allocated capital in Non-core Areas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Sideways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Overhead supply in last 2 years in last 2 years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More than 15%</t>
        </is>
      </c>
      <c r="CC234" s="31">
        <f>IF(CB234="More than 15%",-10,IF(CB234="Less than 15%",10,0))</f>
        <v/>
      </c>
      <c r="CD234" s="31" t="inlineStr">
        <is>
          <t>Yes Upto 10%</t>
        </is>
      </c>
      <c r="CE234" s="31">
        <f>IF(CD234="Yes, more than 10%",-10,IF(CD234="No",10,0))</f>
        <v/>
      </c>
    </row>
    <row r="235">
      <c r="A235" s="31">
        <f>IF(B235=0,"",RANK(B235,$B$2:$B$308,0))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SUMICHEM</t>
        </is>
      </c>
      <c r="D235" s="33" t="inlineStr">
        <is>
          <t>Sumitomo Chemical India Ltd</t>
        </is>
      </c>
      <c r="E235" s="31" t="inlineStr">
        <is>
          <t>chemicals</t>
        </is>
      </c>
      <c r="F235" s="31" t="inlineStr">
        <is>
          <t>pesticides / agrochemicals - indian</t>
        </is>
      </c>
      <c r="G235" s="31" t="inlineStr">
        <is>
          <t>largecap</t>
        </is>
      </c>
      <c r="H235" s="32" t="n">
        <v>25978.04</v>
      </c>
      <c r="I235" s="32" t="n">
        <v>538.85</v>
      </c>
      <c r="J235" s="32" t="n">
        <v>3.54</v>
      </c>
      <c r="K235" s="32" t="n">
        <v>1891044</v>
      </c>
      <c r="L235" s="31" t="n">
        <v>19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59.96</v>
      </c>
      <c r="P235" s="32" t="n">
        <v>31.45</v>
      </c>
      <c r="Q235" s="32" t="inlineStr"/>
      <c r="R235" s="31" t="inlineStr">
        <is>
          <t>Earnings / Momentum Support</t>
        </is>
      </c>
      <c r="S235" s="31" t="inlineStr">
        <is>
          <t>Nifty 50</t>
        </is>
      </c>
      <c r="T235" s="32" t="n">
        <v>-4.31</v>
      </c>
      <c r="U235" s="32" t="n">
        <v>-10.8</v>
      </c>
      <c r="V235" s="32" t="n">
        <v>-6.79</v>
      </c>
      <c r="W235" s="32" t="n">
        <v>2.65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Between 50% to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IF(B236=0,"",RANK(B236,$B$2:$B$308,0))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GUJALKALI</t>
        </is>
      </c>
      <c r="D236" s="31" t="inlineStr">
        <is>
          <t>Gujarat Alkalies And Chemicals Limited</t>
        </is>
      </c>
      <c r="E236" s="31" t="inlineStr">
        <is>
          <t>chemicals</t>
        </is>
      </c>
      <c r="F236" s="31" t="inlineStr">
        <is>
          <t>chemicals</t>
        </is>
      </c>
      <c r="G236" s="31" t="inlineStr">
        <is>
          <t>smallcap</t>
        </is>
      </c>
      <c r="H236" s="32" t="n">
        <v>4955.52</v>
      </c>
      <c r="I236" s="32" t="n">
        <v>694.1</v>
      </c>
      <c r="J236" s="32" t="n">
        <v>2.86</v>
      </c>
      <c r="K236" s="32" t="n">
        <v>328088</v>
      </c>
      <c r="L236" s="31" t="n">
        <v>27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58.31</v>
      </c>
      <c r="P236" s="32" t="n">
        <v>34.22</v>
      </c>
      <c r="Q236" s="32" t="inlineStr"/>
      <c r="R236" s="31" t="inlineStr">
        <is>
          <t>Earnings / Momentum Support</t>
        </is>
      </c>
      <c r="S236" s="31" t="inlineStr">
        <is>
          <t>Nifty 50</t>
        </is>
      </c>
      <c r="T236" s="32" t="n">
        <v>-4.31</v>
      </c>
      <c r="U236" s="32" t="n">
        <v>16.58</v>
      </c>
      <c r="V236" s="32" t="n">
        <v>21.82</v>
      </c>
      <c r="W236" s="32" t="n">
        <v>4.55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Oligopoly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Shallow Cyclical (2 to 3 Years Growth)</t>
        </is>
      </c>
      <c r="AG236" s="31">
        <f>IF(AF236="Structural (10 Years Consistency)",10,IF(AF236="Shallow Cyclical (2 to 3 years growth)",5,0))</f>
        <v/>
      </c>
      <c r="AH236" s="31" t="inlineStr">
        <is>
          <t>Yes due to Product Mix change or Operating Leverage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Volatile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Allocated capital in Non-core Areas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Sideways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Overhead supply in last 2 years in last 2 years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Less than 1.5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More than 15%</t>
        </is>
      </c>
      <c r="CC236" s="31">
        <f>IF(CB236="More than 15%",-10,IF(CB236="Less than 15%",10,0))</f>
        <v/>
      </c>
      <c r="CD236" s="31" t="inlineStr">
        <is>
          <t>Yes Upto 10%</t>
        </is>
      </c>
      <c r="CE236" s="31">
        <f>IF(CD236="Yes, more than 10%",-10,IF(CD236="No",10,0))</f>
        <v/>
      </c>
    </row>
    <row r="237">
      <c r="A237" s="31">
        <f>IF(B237=0,"",RANK(B237,$B$2:$B$308,0))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OMAXE</t>
        </is>
      </c>
      <c r="D237" s="33" t="inlineStr">
        <is>
          <t>Omaxe Limited</t>
        </is>
      </c>
      <c r="E237" s="31" t="inlineStr">
        <is>
          <t>realty</t>
        </is>
      </c>
      <c r="F237" s="31" t="inlineStr">
        <is>
          <t>construction</t>
        </is>
      </c>
      <c r="G237" s="31" t="inlineStr">
        <is>
          <t>smallcap</t>
        </is>
      </c>
      <c r="H237" s="32" t="n">
        <v>1603.31</v>
      </c>
      <c r="I237" s="32" t="n">
        <v>89.95</v>
      </c>
      <c r="J237" s="32" t="n">
        <v>2.61</v>
      </c>
      <c r="K237" s="32" t="n">
        <v>426419</v>
      </c>
      <c r="L237" s="31" t="n">
        <v>18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57.48</v>
      </c>
      <c r="P237" s="32" t="n">
        <v>22.81</v>
      </c>
      <c r="Q237" s="32" t="inlineStr"/>
      <c r="R237" s="31" t="inlineStr">
        <is>
          <t>Earnings / Momentum Support</t>
        </is>
      </c>
      <c r="S237" s="31" t="inlineStr">
        <is>
          <t>Nifty Realty</t>
        </is>
      </c>
      <c r="T237" s="32" t="n">
        <v>-8.119999999999999</v>
      </c>
      <c r="U237" s="32" t="n">
        <v>-11.01</v>
      </c>
      <c r="V237" s="32" t="n">
        <v>-3.15</v>
      </c>
      <c r="W237" s="32" t="n">
        <v>2.25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Negative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IF(B238=0,"",RANK(B238,$B$2:$B$308,0))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EICHERMOT</t>
        </is>
      </c>
      <c r="D238" s="31" t="inlineStr">
        <is>
          <t>Eicher Motors Limited</t>
        </is>
      </c>
      <c r="E238" s="31" t="inlineStr">
        <is>
          <t>auto</t>
        </is>
      </c>
      <c r="F238" s="31" t="inlineStr">
        <is>
          <t>automobiles - motorcycles / mopeds</t>
        </is>
      </c>
      <c r="G238" s="31" t="inlineStr">
        <is>
          <t>largecap</t>
        </is>
      </c>
      <c r="H238" s="32" t="n">
        <v>209386.72</v>
      </c>
      <c r="I238" s="32" t="n">
        <v>7769.5</v>
      </c>
      <c r="J238" s="32" t="n">
        <v>1.86</v>
      </c>
      <c r="K238" s="32" t="n">
        <v>367549</v>
      </c>
      <c r="L238" s="31" t="n">
        <v>44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57.92</v>
      </c>
      <c r="P238" s="32" t="n">
        <v>6.85</v>
      </c>
      <c r="Q238" s="32" t="inlineStr"/>
      <c r="R238" s="31" t="inlineStr">
        <is>
          <t>Earnings / Momentum Support</t>
        </is>
      </c>
      <c r="S238" s="31" t="inlineStr">
        <is>
          <t>Nifty Auto</t>
        </is>
      </c>
      <c r="T238" s="32" t="n">
        <v>13.41</v>
      </c>
      <c r="U238" s="32" t="n">
        <v>36.15</v>
      </c>
      <c r="V238" s="32" t="n">
        <v>20.04</v>
      </c>
      <c r="W238" s="32" t="n">
        <v>7.86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IF(B239=0,"",RANK(B239,$B$2:$B$308,0))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RELTD</t>
        </is>
      </c>
      <c r="D239" s="31" t="inlineStr">
        <is>
          <t>Ravindra Energy Ltd</t>
        </is>
      </c>
      <c r="E239" s="31" t="inlineStr">
        <is>
          <t>industrials</t>
        </is>
      </c>
      <c r="F239" s="31" t="inlineStr">
        <is>
          <t>electric equipment</t>
        </is>
      </c>
      <c r="G239" s="31" t="inlineStr">
        <is>
          <t>smallcap</t>
        </is>
      </c>
      <c r="H239" s="32" t="n">
        <v>3404.13</v>
      </c>
      <c r="I239" s="32" t="n">
        <v>174.03</v>
      </c>
      <c r="J239" s="32" t="n">
        <v>1.5</v>
      </c>
      <c r="K239" s="32" t="n">
        <v>195941</v>
      </c>
      <c r="L239" s="31" t="n">
        <v>47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61.12</v>
      </c>
      <c r="P239" s="32" t="n">
        <v>23.03</v>
      </c>
      <c r="Q239" s="32" t="inlineStr"/>
      <c r="R239" s="31" t="inlineStr">
        <is>
          <t>Earnings / Momentum Support</t>
        </is>
      </c>
      <c r="S239" s="31" t="inlineStr">
        <is>
          <t>Nifty 50</t>
        </is>
      </c>
      <c r="T239" s="32" t="n">
        <v>-4.31</v>
      </c>
      <c r="U239" s="32" t="n">
        <v>23.87</v>
      </c>
      <c r="V239" s="32" t="n">
        <v>29.45</v>
      </c>
      <c r="W239" s="32" t="n">
        <v>8.42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More than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IF(B240=0,"",RANK(B240,$B$2:$B$308,0))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BHARATFORG</t>
        </is>
      </c>
      <c r="D240" s="31" t="inlineStr">
        <is>
          <t>Bharat Forge Limited</t>
        </is>
      </c>
      <c r="E240" s="31" t="inlineStr">
        <is>
          <t>industrials</t>
        </is>
      </c>
      <c r="F240" s="31" t="inlineStr">
        <is>
          <t>castings &amp; forgings</t>
        </is>
      </c>
      <c r="G240" s="31" t="inlineStr">
        <is>
          <t>largecap</t>
        </is>
      </c>
      <c r="H240" s="32" t="n">
        <v>102865.55</v>
      </c>
      <c r="I240" s="32" t="n">
        <v>2181.3</v>
      </c>
      <c r="J240" s="32" t="n">
        <v>1.38</v>
      </c>
      <c r="K240" s="32" t="n">
        <v>704988</v>
      </c>
      <c r="L240" s="31" t="n">
        <v>72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69.34999999999999</v>
      </c>
      <c r="P240" s="32" t="n">
        <v>45.64</v>
      </c>
      <c r="Q240" s="32" t="inlineStr"/>
      <c r="R240" s="31" t="inlineStr">
        <is>
          <t>Earnings / Momentum Support</t>
        </is>
      </c>
      <c r="S240" s="31" t="inlineStr">
        <is>
          <t>Nifty 500</t>
        </is>
      </c>
      <c r="T240" s="32" t="n">
        <v>-0.44</v>
      </c>
      <c r="U240" s="32" t="n">
        <v>79.45</v>
      </c>
      <c r="V240" s="32" t="n">
        <v>80.25</v>
      </c>
      <c r="W240" s="32" t="n">
        <v>16.16</v>
      </c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Above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Between 50% to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Between 0.7 to 1.2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IF(B241=0,"",RANK(B241,$B$2:$B$308,0))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ANDHRSUGAR</t>
        </is>
      </c>
      <c r="D241" s="31" t="inlineStr">
        <is>
          <t>The Andhra Sugars Limited</t>
        </is>
      </c>
      <c r="E241" s="31" t="inlineStr">
        <is>
          <t>chemicals</t>
        </is>
      </c>
      <c r="F241" s="31" t="inlineStr">
        <is>
          <t>chlor alkali / soda ash</t>
        </is>
      </c>
      <c r="G241" s="31" t="inlineStr">
        <is>
          <t>smallcap</t>
        </is>
      </c>
      <c r="H241" s="32" t="n">
        <v>1170.08</v>
      </c>
      <c r="I241" s="32" t="n">
        <v>87.45</v>
      </c>
      <c r="J241" s="32" t="n">
        <v>1.3</v>
      </c>
      <c r="K241" s="32" t="n">
        <v>345153</v>
      </c>
      <c r="L241" s="31" t="n">
        <v>14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54.36</v>
      </c>
      <c r="P241" s="32" t="n">
        <v>19.28</v>
      </c>
      <c r="Q241" s="32" t="inlineStr"/>
      <c r="R241" s="31" t="inlineStr">
        <is>
          <t>Earnings / Momentum Support</t>
        </is>
      </c>
      <c r="S241" s="31" t="inlineStr">
        <is>
          <t>Nifty 50</t>
        </is>
      </c>
      <c r="T241" s="32" t="n">
        <v>-4.31</v>
      </c>
      <c r="U241" s="32" t="n">
        <v>8.550000000000001</v>
      </c>
      <c r="V241" s="32" t="n">
        <v>13.44</v>
      </c>
      <c r="W241" s="32" t="n">
        <v>1.4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IF(B242=0,"",RANK(B242,$B$2:$B$308,0))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GOODLUCK</t>
        </is>
      </c>
      <c r="D242" s="31" t="inlineStr">
        <is>
          <t>Goodluck India Limited</t>
        </is>
      </c>
      <c r="E242" s="31" t="inlineStr">
        <is>
          <t>metals &amp; mining</t>
        </is>
      </c>
      <c r="F242" s="31" t="inlineStr">
        <is>
          <t>steel - medium / small</t>
        </is>
      </c>
      <c r="G242" s="31" t="inlineStr">
        <is>
          <t>midcap</t>
        </is>
      </c>
      <c r="H242" s="32" t="n">
        <v>5024.33</v>
      </c>
      <c r="I242" s="32" t="n">
        <v>1527.6</v>
      </c>
      <c r="J242" s="32" t="n">
        <v>1.06</v>
      </c>
      <c r="K242" s="32" t="n">
        <v>74674</v>
      </c>
      <c r="L242" s="31" t="n">
        <v>60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62.34</v>
      </c>
      <c r="P242" s="32" t="n">
        <v>40.4</v>
      </c>
      <c r="Q242" s="32" t="inlineStr"/>
      <c r="R242" s="31" t="inlineStr">
        <is>
          <t>Earnings / Momentum Support</t>
        </is>
      </c>
      <c r="S242" s="31" t="inlineStr">
        <is>
          <t>Nifty Metal</t>
        </is>
      </c>
      <c r="T242" s="32" t="n">
        <v>31.49</v>
      </c>
      <c r="U242" s="32" t="n">
        <v>36.57</v>
      </c>
      <c r="V242" s="32" t="n">
        <v>3.86</v>
      </c>
      <c r="W242" s="32" t="n">
        <v>12.28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Cyclical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Volatile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Less than 50%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IF(B243=0,"",RANK(B243,$B$2:$B$308,0))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HAL</t>
        </is>
      </c>
      <c r="D243" s="31" t="inlineStr">
        <is>
          <t>Hindustan Aeronautics Ltd</t>
        </is>
      </c>
      <c r="E243" s="31" t="inlineStr">
        <is>
          <t>aerospace &amp; defence</t>
        </is>
      </c>
      <c r="F243" s="31" t="inlineStr">
        <is>
          <t>engineering</t>
        </is>
      </c>
      <c r="G243" s="31" t="inlineStr">
        <is>
          <t>largecap</t>
        </is>
      </c>
      <c r="H243" s="32" t="n">
        <v>305857.56</v>
      </c>
      <c r="I243" s="32" t="n">
        <v>4619</v>
      </c>
      <c r="J243" s="32" t="n">
        <v>1</v>
      </c>
      <c r="K243" s="32" t="n">
        <v>694103</v>
      </c>
      <c r="L243" s="31" t="n">
        <v>16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57.48</v>
      </c>
      <c r="P243" s="32" t="n">
        <v>19.67</v>
      </c>
      <c r="Q243" s="32" t="inlineStr"/>
      <c r="R243" s="31" t="inlineStr">
        <is>
          <t>Earnings / Momentum Support</t>
        </is>
      </c>
      <c r="S243" s="31" t="inlineStr">
        <is>
          <t>Nifty 500</t>
        </is>
      </c>
      <c r="T243" s="32" t="n">
        <v>-0.44</v>
      </c>
      <c r="U243" s="32" t="n">
        <v>1.63</v>
      </c>
      <c r="V243" s="32" t="n">
        <v>2.08</v>
      </c>
      <c r="W243" s="32" t="n">
        <v>1.97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Less than 12%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IF(B244=0,"",RANK(B244,$B$2:$B$308,0))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INDHOTEL</t>
        </is>
      </c>
      <c r="D244" s="33" t="inlineStr">
        <is>
          <t>The Indian Hotels Company Limited</t>
        </is>
      </c>
      <c r="E244" s="31" t="inlineStr">
        <is>
          <t>services</t>
        </is>
      </c>
      <c r="F244" s="31" t="inlineStr">
        <is>
          <t>hotels</t>
        </is>
      </c>
      <c r="G244" s="31" t="inlineStr">
        <is>
          <t>largecap</t>
        </is>
      </c>
      <c r="H244" s="32" t="n">
        <v>103547.58</v>
      </c>
      <c r="I244" s="32" t="n">
        <v>733.75</v>
      </c>
      <c r="J244" s="32" t="n">
        <v>0.87</v>
      </c>
      <c r="K244" s="32" t="n">
        <v>1143931</v>
      </c>
      <c r="L244" s="31" t="n">
        <v>20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58.83</v>
      </c>
      <c r="P244" s="32" t="n">
        <v>12.1</v>
      </c>
      <c r="Q244" s="32" t="inlineStr"/>
      <c r="R244" s="31" t="inlineStr">
        <is>
          <t>Earnings / Momentum Support</t>
        </is>
      </c>
      <c r="S244" s="31" t="inlineStr">
        <is>
          <t>Nifty 500</t>
        </is>
      </c>
      <c r="T244" s="32" t="n">
        <v>-0.44</v>
      </c>
      <c r="U244" s="32" t="n">
        <v>-2.07</v>
      </c>
      <c r="V244" s="32" t="n">
        <v>-1.64</v>
      </c>
      <c r="W244" s="32" t="n">
        <v>2.96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IF(B245=0,"",RANK(B245,$B$2:$B$308,0))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AZAD</t>
        </is>
      </c>
      <c r="D245" s="31" t="inlineStr">
        <is>
          <t>Azad Engineering Ltd</t>
        </is>
      </c>
      <c r="E245" s="31" t="inlineStr">
        <is>
          <t>aerospace &amp; defence</t>
        </is>
      </c>
      <c r="F245" s="31" t="inlineStr">
        <is>
          <t>engineering</t>
        </is>
      </c>
      <c r="G245" s="31" t="inlineStr">
        <is>
          <t>midcap</t>
        </is>
      </c>
      <c r="H245" s="32" t="n">
        <v>15751.49</v>
      </c>
      <c r="I245" s="32" t="n">
        <v>2441.6</v>
      </c>
      <c r="J245" s="32" t="n">
        <v>0.11</v>
      </c>
      <c r="K245" s="32" t="n">
        <v>579495</v>
      </c>
      <c r="L245" s="31" t="n">
        <v>69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65.17</v>
      </c>
      <c r="P245" s="32" t="n">
        <v>31.82</v>
      </c>
      <c r="Q245" s="32" t="inlineStr"/>
      <c r="R245" s="31" t="inlineStr">
        <is>
          <t>Earnings / Momentum Support</t>
        </is>
      </c>
      <c r="S245" s="31" t="inlineStr">
        <is>
          <t>Nifty 50</t>
        </is>
      </c>
      <c r="T245" s="32" t="n">
        <v>-4.31</v>
      </c>
      <c r="U245" s="32" t="n">
        <v>56.88</v>
      </c>
      <c r="V245" s="32" t="n">
        <v>63.94</v>
      </c>
      <c r="W245" s="32" t="n">
        <v>14.85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Negative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IF(B246=0,"",RANK(B246,$B$2:$B$308,0))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SBC</t>
        </is>
      </c>
      <c r="D246" s="31" t="inlineStr">
        <is>
          <t>SBC Exports Ltd</t>
        </is>
      </c>
      <c r="E246" s="31" t="inlineStr">
        <is>
          <t>textiles</t>
        </is>
      </c>
      <c r="F246" s="31" t="inlineStr">
        <is>
          <t>textiles - products</t>
        </is>
      </c>
      <c r="G246" s="31" t="inlineStr">
        <is>
          <t>smallcap</t>
        </is>
      </c>
      <c r="H246" s="32" t="n">
        <v>2003.33</v>
      </c>
      <c r="I246" s="32" t="n">
        <v>42.09</v>
      </c>
      <c r="J246" s="32" t="n">
        <v>0.05</v>
      </c>
      <c r="K246" s="32" t="n">
        <v>7111649</v>
      </c>
      <c r="L246" s="31" t="n">
        <v>87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72.22</v>
      </c>
      <c r="P246" s="32" t="n">
        <v>41.31</v>
      </c>
      <c r="Q246" s="32" t="inlineStr"/>
      <c r="R246" s="31" t="inlineStr">
        <is>
          <t>Earnings / Momentum Support</t>
        </is>
      </c>
      <c r="S246" s="31" t="inlineStr">
        <is>
          <t>Nifty 50</t>
        </is>
      </c>
      <c r="T246" s="32" t="n">
        <v>-4.31</v>
      </c>
      <c r="U246" s="32" t="n">
        <v>141.64</v>
      </c>
      <c r="V246" s="32" t="n">
        <v>152.52</v>
      </c>
      <c r="W246" s="32" t="n">
        <v>25.21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Above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Between 1.5 to 2</t>
        </is>
      </c>
      <c r="BU246" s="31">
        <f>IF(BT246="Above 2",0,IF(BT246="Between 1.5 to 2",5,IF(BT246="Less than 1.5",10,0)))</f>
        <v/>
      </c>
      <c r="BV246" s="31" t="inlineStr">
        <is>
          <t>Negative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More than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IF(B247=0,"",RANK(B247,$B$2:$B$308,0))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FLUOROCHEM</t>
        </is>
      </c>
      <c r="D247" s="31" t="inlineStr">
        <is>
          <t>Gujarat Fluorochemicals Ltd</t>
        </is>
      </c>
      <c r="E247" s="31" t="inlineStr">
        <is>
          <t>chemicals</t>
        </is>
      </c>
      <c r="F247" s="31" t="inlineStr">
        <is>
          <t>chemicals</t>
        </is>
      </c>
      <c r="G247" s="31" t="inlineStr">
        <is>
          <t>largecap</t>
        </is>
      </c>
      <c r="H247" s="32" t="n">
        <v>50242.09</v>
      </c>
      <c r="I247" s="32" t="n">
        <v>4563.5</v>
      </c>
      <c r="J247" s="32" t="n">
        <v>-0.22</v>
      </c>
      <c r="K247" s="32" t="n">
        <v>122548</v>
      </c>
      <c r="L247" s="31" t="n">
        <v>65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74.27</v>
      </c>
      <c r="P247" s="32" t="n">
        <v>23.89</v>
      </c>
      <c r="Q247" s="32" t="inlineStr"/>
      <c r="R247" s="31" t="inlineStr">
        <is>
          <t>Earnings / Momentum Support</t>
        </is>
      </c>
      <c r="S247" s="31" t="inlineStr">
        <is>
          <t>Nifty 50</t>
        </is>
      </c>
      <c r="T247" s="32" t="n">
        <v>-4.31</v>
      </c>
      <c r="U247" s="32" t="n">
        <v>30.45</v>
      </c>
      <c r="V247" s="32" t="n">
        <v>36.32</v>
      </c>
      <c r="W247" s="32" t="n">
        <v>13.73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Shallow Cyclical (2 to 3 Years Growth)</t>
        </is>
      </c>
      <c r="AG247" s="31">
        <f>IF(AF247="Structural (10 Years Consistency)",10,IF(AF247="Shallow Cyclical (2 to 3 years growth)",5,0))</f>
        <v/>
      </c>
      <c r="AH247" s="31" t="inlineStr">
        <is>
          <t>Yes due to Product Mix change or Operating Leverage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Allocated capital in Non-core Areas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Sideways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Overhead supply in last 2 years in last 2 years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More than 15%</t>
        </is>
      </c>
      <c r="CC247" s="31">
        <f>IF(CB247="More than 15%",-10,IF(CB247="Less than 15%",10,0))</f>
        <v/>
      </c>
      <c r="CD247" s="31" t="inlineStr">
        <is>
          <t>Yes Upto 10%</t>
        </is>
      </c>
      <c r="CE247" s="31">
        <f>IF(CD247="Yes, more than 10%",-10,IF(CD247="No",10,0))</f>
        <v/>
      </c>
    </row>
    <row r="248">
      <c r="A248" s="31">
        <f>IF(B248=0,"",RANK(B248,$B$2:$B$308,0))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INOXINDIA</t>
        </is>
      </c>
      <c r="D248" s="31" t="inlineStr">
        <is>
          <t>Inox India Ltd</t>
        </is>
      </c>
      <c r="E248" s="31" t="inlineStr">
        <is>
          <t>industrials</t>
        </is>
      </c>
      <c r="F248" s="31" t="inlineStr">
        <is>
          <t>packaging</t>
        </is>
      </c>
      <c r="G248" s="31" t="inlineStr">
        <is>
          <t>midcap</t>
        </is>
      </c>
      <c r="H248" s="32" t="n">
        <v>18189.01</v>
      </c>
      <c r="I248" s="32" t="n">
        <v>1985.9</v>
      </c>
      <c r="J248" s="32" t="n">
        <v>-0.9</v>
      </c>
      <c r="K248" s="32" t="n">
        <v>121889</v>
      </c>
      <c r="L248" s="31" t="n">
        <v>77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82.51000000000001</v>
      </c>
      <c r="P248" s="32" t="n">
        <v>66.20999999999999</v>
      </c>
      <c r="Q248" s="32" t="inlineStr"/>
      <c r="R248" s="31" t="inlineStr">
        <is>
          <t>Earnings / Momentum Support</t>
        </is>
      </c>
      <c r="S248" s="31" t="inlineStr">
        <is>
          <t>Nifty 50</t>
        </is>
      </c>
      <c r="T248" s="32" t="n">
        <v>-4.31</v>
      </c>
      <c r="U248" s="32" t="n">
        <v>66.89</v>
      </c>
      <c r="V248" s="32" t="n">
        <v>74.41</v>
      </c>
      <c r="W248" s="32" t="n">
        <v>18.97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Above 40</t>
        </is>
      </c>
      <c r="AY248" s="31">
        <f>IF(AX248="Above 40",20,IF(AX248="20 to 40",10,IF(AX248="0 to 20",-5,0)))</f>
        <v/>
      </c>
      <c r="AZ248" s="31" t="inlineStr">
        <is>
          <t>Above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Between 12 to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Less than 50%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IF(B249=0,"",RANK(B249,$B$2:$B$308,0))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INDSWFTLAB</t>
        </is>
      </c>
      <c r="D249" s="31" t="inlineStr">
        <is>
          <t>Ind-swift Laboratories Limited</t>
        </is>
      </c>
      <c r="E249" s="31" t="inlineStr">
        <is>
          <t>healthcare</t>
        </is>
      </c>
      <c r="F249" s="31" t="inlineStr">
        <is>
          <t>pharmaceuticals - indian - bulk drugs &amp; formln</t>
        </is>
      </c>
      <c r="G249" s="31" t="inlineStr">
        <is>
          <t>smallcap</t>
        </is>
      </c>
      <c r="H249" s="32" t="n">
        <v>1978.29</v>
      </c>
      <c r="I249" s="32" t="n">
        <v>239.91</v>
      </c>
      <c r="J249" s="32" t="n">
        <v>5.46</v>
      </c>
      <c r="K249" s="32" t="n">
        <v>478681</v>
      </c>
      <c r="L249" s="31" t="n">
        <v>92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76.52</v>
      </c>
      <c r="P249" s="32" t="n">
        <v>53.41</v>
      </c>
      <c r="Q249" s="32" t="inlineStr"/>
      <c r="R249" s="31" t="inlineStr">
        <is>
          <t>Earnings / Momentum Support</t>
        </is>
      </c>
      <c r="S249" s="31" t="inlineStr">
        <is>
          <t>Nifty Pharma</t>
        </is>
      </c>
      <c r="T249" s="32" t="n">
        <v>12.73</v>
      </c>
      <c r="U249" s="32" t="n">
        <v>117.38</v>
      </c>
      <c r="V249" s="32" t="n">
        <v>92.83</v>
      </c>
      <c r="W249" s="32" t="n">
        <v>32.28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Yes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Annuity, Lower One Time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Above 40</t>
        </is>
      </c>
      <c r="AY249" s="31">
        <f>IF(AX249="Above 40",20,IF(AX249="20 to 40",10,IF(AX249="0 to 20",-5,0)))</f>
        <v/>
      </c>
      <c r="AZ249" s="31" t="inlineStr">
        <is>
          <t>Above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Negative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IF(B250=0,"",RANK(B250,$B$2:$B$308,0))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AVADHSUGAR</t>
        </is>
      </c>
      <c r="D250" s="31" t="inlineStr">
        <is>
          <t>Avadh Sugar &amp; Energy</t>
        </is>
      </c>
      <c r="E250" s="31" t="inlineStr">
        <is>
          <t>fmcg</t>
        </is>
      </c>
      <c r="F250" s="31" t="inlineStr">
        <is>
          <t>sugar</t>
        </is>
      </c>
      <c r="G250" s="31" t="inlineStr">
        <is>
          <t>smallcap</t>
        </is>
      </c>
      <c r="H250" s="32" t="n">
        <v>1051.67</v>
      </c>
      <c r="I250" s="32" t="n">
        <v>533.75</v>
      </c>
      <c r="J250" s="32" t="n">
        <v>1.6</v>
      </c>
      <c r="K250" s="32" t="n">
        <v>32832</v>
      </c>
      <c r="L250" s="31" t="n">
        <v>42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67.31</v>
      </c>
      <c r="P250" s="32" t="n">
        <v>35.68</v>
      </c>
      <c r="Q250" s="32" t="inlineStr"/>
      <c r="R250" s="31" t="inlineStr">
        <is>
          <t>Earnings / Momentum Support</t>
        </is>
      </c>
      <c r="S250" s="31" t="inlineStr">
        <is>
          <t>Nifty FMCG</t>
        </is>
      </c>
      <c r="T250" s="32" t="n">
        <v>-13.73</v>
      </c>
      <c r="U250" s="32" t="n">
        <v>10.91</v>
      </c>
      <c r="V250" s="32" t="n">
        <v>28.56</v>
      </c>
      <c r="W250" s="32" t="n">
        <v>7.47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B2C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Between 50% to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IF(B251=0,"",RANK(B251,$B$2:$B$308,0))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BIOCON</t>
        </is>
      </c>
      <c r="D251" s="33" t="inlineStr">
        <is>
          <t>Biocon Limited</t>
        </is>
      </c>
      <c r="E251" s="31" t="inlineStr">
        <is>
          <t>healthcare</t>
        </is>
      </c>
      <c r="F251" s="31" t="inlineStr">
        <is>
          <t>pharmaceuticals - indian - bulk drugs &amp; formln</t>
        </is>
      </c>
      <c r="G251" s="31" t="inlineStr">
        <is>
          <t>largecap</t>
        </is>
      </c>
      <c r="H251" s="32" t="n">
        <v>70671.69</v>
      </c>
      <c r="I251" s="32" t="n">
        <v>436.25</v>
      </c>
      <c r="J251" s="32" t="n">
        <v>0.6</v>
      </c>
      <c r="K251" s="32" t="n">
        <v>2570388</v>
      </c>
      <c r="L251" s="31" t="n">
        <v>41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63.06</v>
      </c>
      <c r="P251" s="32" t="n">
        <v>23.13</v>
      </c>
      <c r="Q251" s="32" t="inlineStr"/>
      <c r="R251" s="31" t="inlineStr">
        <is>
          <t>Earnings / Momentum Support</t>
        </is>
      </c>
      <c r="S251" s="31" t="inlineStr">
        <is>
          <t>Nifty Pharma</t>
        </is>
      </c>
      <c r="T251" s="32" t="n">
        <v>12.73</v>
      </c>
      <c r="U251" s="32" t="n">
        <v>10.15</v>
      </c>
      <c r="V251" s="32" t="n">
        <v>-2.29</v>
      </c>
      <c r="W251" s="32" t="n">
        <v>7.36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Between 50% to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IF(B252=0,"",RANK(B252,$B$2:$B$308,0))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KECL</t>
        </is>
      </c>
      <c r="D252" s="33" t="inlineStr">
        <is>
          <t>Kirloskar Electric Company Limited</t>
        </is>
      </c>
      <c r="E252" s="31" t="inlineStr">
        <is>
          <t>industrials</t>
        </is>
      </c>
      <c r="F252" s="31" t="inlineStr">
        <is>
          <t>electric equipment</t>
        </is>
      </c>
      <c r="G252" s="31" t="inlineStr">
        <is>
          <t>smallcap</t>
        </is>
      </c>
      <c r="H252" s="32" t="n">
        <v>829.1799999999999</v>
      </c>
      <c r="I252" s="32" t="n">
        <v>137.33</v>
      </c>
      <c r="J252" s="32" t="n">
        <v>10</v>
      </c>
      <c r="K252" s="32" t="n">
        <v>418474</v>
      </c>
      <c r="L252" s="31" t="n">
        <v>3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58.14</v>
      </c>
      <c r="P252" s="32" t="n">
        <v>27.13</v>
      </c>
      <c r="Q252" s="32" t="inlineStr"/>
      <c r="R252" s="31" t="inlineStr">
        <is>
          <t>Earnings / Momentum Support</t>
        </is>
      </c>
      <c r="S252" s="31" t="inlineStr">
        <is>
          <t>Nifty Infra</t>
        </is>
      </c>
      <c r="T252" s="32" t="n">
        <v>1.74</v>
      </c>
      <c r="U252" s="32" t="n">
        <v>-13.35</v>
      </c>
      <c r="V252" s="32" t="n">
        <v>-14.83</v>
      </c>
      <c r="W252" s="32" t="n">
        <v>-2.6</v>
      </c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Between 50% to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Between 0.7 to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IF(B253=0,"",RANK(B253,$B$2:$B$308,0))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RKFORGE</t>
        </is>
      </c>
      <c r="D253" s="33" t="inlineStr">
        <is>
          <t>Ramkrishna Forgings Limited</t>
        </is>
      </c>
      <c r="E253" s="31" t="inlineStr">
        <is>
          <t>industrials</t>
        </is>
      </c>
      <c r="F253" s="31" t="inlineStr">
        <is>
          <t>castings &amp; forgings</t>
        </is>
      </c>
      <c r="G253" s="31" t="inlineStr">
        <is>
          <t>midcap</t>
        </is>
      </c>
      <c r="H253" s="32" t="n">
        <v>10578.61</v>
      </c>
      <c r="I253" s="32" t="n">
        <v>625.45</v>
      </c>
      <c r="J253" s="32" t="n">
        <v>7.71</v>
      </c>
      <c r="K253" s="32" t="n">
        <v>12147443</v>
      </c>
      <c r="L253" s="31" t="n">
        <v>9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53.96</v>
      </c>
      <c r="P253" s="32" t="n">
        <v>8.08</v>
      </c>
      <c r="Q253" s="32" t="inlineStr"/>
      <c r="R253" s="31" t="inlineStr">
        <is>
          <t>Volume Spike / Accumulation</t>
        </is>
      </c>
      <c r="S253" s="31" t="inlineStr">
        <is>
          <t>Nifty 50</t>
        </is>
      </c>
      <c r="T253" s="32" t="n">
        <v>-4.31</v>
      </c>
      <c r="U253" s="32" t="n">
        <v>-6.93</v>
      </c>
      <c r="V253" s="32" t="n">
        <v>-2.74</v>
      </c>
      <c r="W253" s="32" t="n">
        <v>0.16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IF(B254=0,"",RANK(B254,$B$2:$B$308,0))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ANANTRAJ</t>
        </is>
      </c>
      <c r="D254" s="31" t="inlineStr">
        <is>
          <t>Anant Raj Limited</t>
        </is>
      </c>
      <c r="E254" s="31" t="inlineStr">
        <is>
          <t>realty</t>
        </is>
      </c>
      <c r="F254" s="31" t="inlineStr">
        <is>
          <t>construction</t>
        </is>
      </c>
      <c r="G254" s="31" t="inlineStr">
        <is>
          <t>largecap</t>
        </is>
      </c>
      <c r="H254" s="32" t="n">
        <v>21108.58</v>
      </c>
      <c r="I254" s="32" t="n">
        <v>616.9</v>
      </c>
      <c r="J254" s="32" t="n">
        <v>5.17</v>
      </c>
      <c r="K254" s="32" t="n">
        <v>4640775</v>
      </c>
      <c r="L254" s="31" t="n">
        <v>23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57.15</v>
      </c>
      <c r="P254" s="32" t="n">
        <v>17.84</v>
      </c>
      <c r="Q254" s="32" t="inlineStr"/>
      <c r="R254" s="31" t="inlineStr">
        <is>
          <t>Earnings / Momentum Support</t>
        </is>
      </c>
      <c r="S254" s="31" t="inlineStr">
        <is>
          <t>Nifty Realty</t>
        </is>
      </c>
      <c r="T254" s="32" t="n">
        <v>-8.119999999999999</v>
      </c>
      <c r="U254" s="32" t="n">
        <v>0.49</v>
      </c>
      <c r="V254" s="32" t="n">
        <v>9.369999999999999</v>
      </c>
      <c r="W254" s="32" t="n">
        <v>3.59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Between 1.5 to 2</t>
        </is>
      </c>
      <c r="BU254" s="31">
        <f>IF(BT254="Above 2",0,IF(BT254="Between 1.5 to 2",5,IF(BT254="Less than 1.5",10,0)))</f>
        <v/>
      </c>
      <c r="BV254" s="31" t="inlineStr">
        <is>
          <t>Negative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IF(B255=0,"",RANK(B255,$B$2:$B$308,0))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SAMBHV</t>
        </is>
      </c>
      <c r="D255" s="33" t="inlineStr">
        <is>
          <t>Sambhv Steel Tubes Ltd</t>
        </is>
      </c>
      <c r="E255" s="31" t="inlineStr">
        <is>
          <t>metals &amp; mining</t>
        </is>
      </c>
      <c r="F255" s="31" t="inlineStr">
        <is>
          <t>steel - medium / small</t>
        </is>
      </c>
      <c r="G255" s="31" t="inlineStr">
        <is>
          <t>smallcap</t>
        </is>
      </c>
      <c r="H255" s="32" t="n">
        <v>3415.83</v>
      </c>
      <c r="I255" s="32" t="n">
        <v>121.69</v>
      </c>
      <c r="J255" s="32" t="n">
        <v>4.98</v>
      </c>
      <c r="K255" s="32" t="n">
        <v>1861564</v>
      </c>
      <c r="L255" s="31" t="n">
        <v>7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59.45</v>
      </c>
      <c r="P255" s="32" t="n">
        <v>23.63</v>
      </c>
      <c r="Q255" s="32" t="inlineStr"/>
      <c r="R255" s="31" t="inlineStr">
        <is>
          <t>Earnings / Momentum Support</t>
        </is>
      </c>
      <c r="S255" s="31" t="inlineStr">
        <is>
          <t>Nifty Metal</t>
        </is>
      </c>
      <c r="T255" s="32" t="n">
        <v>31.49</v>
      </c>
      <c r="U255" s="32" t="n">
        <v>-6.1</v>
      </c>
      <c r="V255" s="32" t="n">
        <v>-28.59</v>
      </c>
      <c r="W255" s="32" t="n">
        <v>-0.51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Cyclical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Volatile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IF(B256=0,"",RANK(B256,$B$2:$B$308,0))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SUYOG</t>
        </is>
      </c>
      <c r="D256" s="31" t="inlineStr">
        <is>
          <t>Suyog Telematics Ltd</t>
        </is>
      </c>
      <c r="E256" s="31" t="inlineStr">
        <is>
          <t>telecom</t>
        </is>
      </c>
      <c r="F256" s="31" t="inlineStr">
        <is>
          <t>transmisson line towers / equipment</t>
        </is>
      </c>
      <c r="G256" s="31" t="inlineStr">
        <is>
          <t>smallcap</t>
        </is>
      </c>
      <c r="H256" s="32" t="n">
        <v>996.48</v>
      </c>
      <c r="I256" s="32" t="n">
        <v>885.4</v>
      </c>
      <c r="J256" s="32" t="n">
        <v>4.11</v>
      </c>
      <c r="K256" s="32" t="n">
        <v>39422</v>
      </c>
      <c r="L256" s="31" t="n">
        <v>30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57.9</v>
      </c>
      <c r="P256" s="32" t="n">
        <v>16.14</v>
      </c>
      <c r="Q256" s="32" t="inlineStr"/>
      <c r="R256" s="31" t="inlineStr">
        <is>
          <t>Earnings / Momentum Support</t>
        </is>
      </c>
      <c r="S256" s="31" t="inlineStr">
        <is>
          <t>Nifty 50</t>
        </is>
      </c>
      <c r="T256" s="32" t="n">
        <v>-4.31</v>
      </c>
      <c r="U256" s="32" t="n">
        <v>-0.86</v>
      </c>
      <c r="V256" s="32" t="n">
        <v>3.6</v>
      </c>
      <c r="W256" s="32" t="n">
        <v>4.99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Oligopoly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Yes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Less than 50%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Between 0.7 to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IF(B257=0,"",RANK(B257,$B$2:$B$308,0))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DIACABS</t>
        </is>
      </c>
      <c r="D257" s="31" t="inlineStr">
        <is>
          <t>Diamond Power Infrastructure Ltd</t>
        </is>
      </c>
      <c r="E257" s="31" t="inlineStr">
        <is>
          <t>industrials</t>
        </is>
      </c>
      <c r="F257" s="31" t="inlineStr">
        <is>
          <t>cables - power</t>
        </is>
      </c>
      <c r="G257" s="31" t="inlineStr">
        <is>
          <t>midcap</t>
        </is>
      </c>
      <c r="H257" s="32" t="n">
        <v>15553.55</v>
      </c>
      <c r="I257" s="32" t="n">
        <v>307.17</v>
      </c>
      <c r="J257" s="32" t="n">
        <v>4.07</v>
      </c>
      <c r="K257" s="32" t="n">
        <v>8209562</v>
      </c>
      <c r="L257" s="31" t="n">
        <v>74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83.59999999999999</v>
      </c>
      <c r="P257" s="32" t="n">
        <v>56.5</v>
      </c>
      <c r="Q257" s="32" t="inlineStr"/>
      <c r="R257" s="31" t="inlineStr">
        <is>
          <t>Earnings / Momentum Support</t>
        </is>
      </c>
      <c r="S257" s="31" t="inlineStr">
        <is>
          <t>Nifty Energy</t>
        </is>
      </c>
      <c r="T257" s="32" t="n">
        <v>8.41</v>
      </c>
      <c r="U257" s="32" t="n">
        <v>31.69</v>
      </c>
      <c r="V257" s="32" t="n">
        <v>21.48</v>
      </c>
      <c r="W257" s="32" t="n">
        <v>17.59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Above 40</t>
        </is>
      </c>
      <c r="AY257" s="31">
        <f>IF(AX257="Above 40",20,IF(AX257="20 to 40",10,IF(AX257="0 to 20",-5,0)))</f>
        <v/>
      </c>
      <c r="AZ257" s="31" t="inlineStr">
        <is>
          <t>Above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Negative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IF(B258=0,"",RANK(B258,$B$2:$B$308,0))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SUNFLAG</t>
        </is>
      </c>
      <c r="D258" s="33" t="inlineStr">
        <is>
          <t>Sunflag Iron And Steel Company Limited</t>
        </is>
      </c>
      <c r="E258" s="31" t="inlineStr">
        <is>
          <t>metals &amp; mining</t>
        </is>
      </c>
      <c r="F258" s="31" t="inlineStr">
        <is>
          <t>steel - medium / small</t>
        </is>
      </c>
      <c r="G258" s="31" t="inlineStr">
        <is>
          <t>midcap</t>
        </is>
      </c>
      <c r="H258" s="32" t="n">
        <v>6284.25</v>
      </c>
      <c r="I258" s="32" t="n">
        <v>362.15</v>
      </c>
      <c r="J258" s="32" t="n">
        <v>3.86</v>
      </c>
      <c r="K258" s="32" t="n">
        <v>253363</v>
      </c>
      <c r="L258" s="31" t="n">
        <v>49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59.35</v>
      </c>
      <c r="P258" s="32" t="n">
        <v>44.53</v>
      </c>
      <c r="Q258" s="32" t="inlineStr"/>
      <c r="R258" s="31" t="inlineStr">
        <is>
          <t>Earnings / Momentum Support</t>
        </is>
      </c>
      <c r="S258" s="31" t="inlineStr">
        <is>
          <t>Nifty Metal</t>
        </is>
      </c>
      <c r="T258" s="32" t="n">
        <v>31.49</v>
      </c>
      <c r="U258" s="32" t="n">
        <v>16.87</v>
      </c>
      <c r="V258" s="32" t="n">
        <v>-11.12</v>
      </c>
      <c r="W258" s="32" t="n">
        <v>9.19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Cyclical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Volatile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Above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IF(B259=0,"",RANK(B259,$B$2:$B$308,0))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ENDURANCE</t>
        </is>
      </c>
      <c r="D259" s="33" t="inlineStr">
        <is>
          <t>Endurance Technologies Limited</t>
        </is>
      </c>
      <c r="E259" s="31" t="inlineStr">
        <is>
          <t>auto</t>
        </is>
      </c>
      <c r="F259" s="31" t="inlineStr">
        <is>
          <t>auto ancillaries</t>
        </is>
      </c>
      <c r="G259" s="31" t="inlineStr">
        <is>
          <t>largecap</t>
        </is>
      </c>
      <c r="H259" s="32" t="n">
        <v>37050.59</v>
      </c>
      <c r="I259" s="32" t="n">
        <v>2732.8</v>
      </c>
      <c r="J259" s="32" t="n">
        <v>3.75</v>
      </c>
      <c r="K259" s="32" t="n">
        <v>60908</v>
      </c>
      <c r="L259" s="31" t="n">
        <v>25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53.12</v>
      </c>
      <c r="P259" s="32" t="n">
        <v>14.11</v>
      </c>
      <c r="Q259" s="32" t="inlineStr"/>
      <c r="R259" s="31" t="inlineStr">
        <is>
          <t>Earnings / Momentum Support</t>
        </is>
      </c>
      <c r="S259" s="31" t="inlineStr">
        <is>
          <t>Nifty Auto</t>
        </is>
      </c>
      <c r="T259" s="32" t="n">
        <v>13.41</v>
      </c>
      <c r="U259" s="32" t="n">
        <v>3.04</v>
      </c>
      <c r="V259" s="32" t="n">
        <v>-9.140000000000001</v>
      </c>
      <c r="W259" s="32" t="n">
        <v>4.03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Between 12 to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IF(B260=0,"",RANK(B260,$B$2:$B$308,0))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EPL</t>
        </is>
      </c>
      <c r="D260" s="31" t="inlineStr">
        <is>
          <t>EPL Ltd</t>
        </is>
      </c>
      <c r="E260" s="31" t="inlineStr">
        <is>
          <t>industrials</t>
        </is>
      </c>
      <c r="F260" s="31" t="inlineStr">
        <is>
          <t>packaging</t>
        </is>
      </c>
      <c r="G260" s="31" t="inlineStr">
        <is>
          <t>midcap</t>
        </is>
      </c>
      <c r="H260" s="32" t="n">
        <v>7464.44</v>
      </c>
      <c r="I260" s="32" t="n">
        <v>239.06</v>
      </c>
      <c r="J260" s="32" t="n">
        <v>2.57</v>
      </c>
      <c r="K260" s="32" t="n">
        <v>231791</v>
      </c>
      <c r="L260" s="31" t="n">
        <v>16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56.44</v>
      </c>
      <c r="P260" s="32" t="n">
        <v>8.859999999999999</v>
      </c>
      <c r="Q260" s="32" t="inlineStr"/>
      <c r="R260" s="31" t="inlineStr">
        <is>
          <t>Earnings / Momentum Support</t>
        </is>
      </c>
      <c r="S260" s="31" t="inlineStr">
        <is>
          <t>Nifty 50</t>
        </is>
      </c>
      <c r="T260" s="32" t="n">
        <v>-4.31</v>
      </c>
      <c r="U260" s="32" t="n">
        <v>5.48</v>
      </c>
      <c r="V260" s="32" t="n">
        <v>10.23</v>
      </c>
      <c r="W260" s="32" t="n">
        <v>1.91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IF(B261=0,"",RANK(B261,$B$2:$B$308,0))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HIRECT</t>
        </is>
      </c>
      <c r="D261" s="31" t="inlineStr">
        <is>
          <t>Hind Rectifiers Limited</t>
        </is>
      </c>
      <c r="E261" s="31" t="inlineStr">
        <is>
          <t>consumer discretionary</t>
        </is>
      </c>
      <c r="F261" s="31" t="inlineStr">
        <is>
          <t>electronics - components</t>
        </is>
      </c>
      <c r="G261" s="31" t="inlineStr">
        <is>
          <t>smallcap</t>
        </is>
      </c>
      <c r="H261" s="32" t="n">
        <v>4474.92</v>
      </c>
      <c r="I261" s="32" t="n">
        <v>1332.3</v>
      </c>
      <c r="J261" s="32" t="n">
        <v>2.34</v>
      </c>
      <c r="K261" s="32" t="n">
        <v>161969</v>
      </c>
      <c r="L261" s="31" t="n">
        <v>83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76.39</v>
      </c>
      <c r="P261" s="32" t="n">
        <v>32.01</v>
      </c>
      <c r="Q261" s="32" t="inlineStr"/>
      <c r="R261" s="31" t="inlineStr">
        <is>
          <t>Earnings / Momentum Support</t>
        </is>
      </c>
      <c r="S261" s="31" t="inlineStr">
        <is>
          <t>Nifty Infra</t>
        </is>
      </c>
      <c r="T261" s="32" t="n">
        <v>1.74</v>
      </c>
      <c r="U261" s="32" t="n">
        <v>87.20999999999999</v>
      </c>
      <c r="V261" s="32" t="n">
        <v>84.01000000000001</v>
      </c>
      <c r="W261" s="32" t="n">
        <v>22.67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Above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IF(B262=0,"",RANK(B262,$B$2:$B$308,0))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MMFL</t>
        </is>
      </c>
      <c r="D262" s="31" t="inlineStr">
        <is>
          <t>Mm Forgings Limited</t>
        </is>
      </c>
      <c r="E262" s="31" t="inlineStr">
        <is>
          <t>industrials</t>
        </is>
      </c>
      <c r="F262" s="31" t="inlineStr">
        <is>
          <t>castings &amp; forgings</t>
        </is>
      </c>
      <c r="G262" s="31" t="inlineStr">
        <is>
          <t>smallcap</t>
        </is>
      </c>
      <c r="H262" s="32" t="n">
        <v>2664.42</v>
      </c>
      <c r="I262" s="32" t="n">
        <v>559.5</v>
      </c>
      <c r="J262" s="32" t="n">
        <v>1.39</v>
      </c>
      <c r="K262" s="32" t="n">
        <v>85615</v>
      </c>
      <c r="L262" s="31" t="n">
        <v>62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71.68000000000001</v>
      </c>
      <c r="P262" s="32" t="n">
        <v>18.19</v>
      </c>
      <c r="Q262" s="32" t="inlineStr"/>
      <c r="R262" s="31" t="inlineStr">
        <is>
          <t>Earnings / Momentum Support</t>
        </is>
      </c>
      <c r="S262" s="31" t="inlineStr">
        <is>
          <t>Nifty 50</t>
        </is>
      </c>
      <c r="T262" s="32" t="n">
        <v>-4.31</v>
      </c>
      <c r="U262" s="32" t="n">
        <v>56.26</v>
      </c>
      <c r="V262" s="32" t="n">
        <v>63.29</v>
      </c>
      <c r="W262" s="32" t="n">
        <v>12.81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More than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IF(B263=0,"",RANK(B263,$B$2:$B$308,0))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ULTRACEMCO</t>
        </is>
      </c>
      <c r="D263" s="33" t="inlineStr">
        <is>
          <t>Ultratech Cement Limited</t>
        </is>
      </c>
      <c r="E263" s="31" t="inlineStr">
        <is>
          <t>building materials</t>
        </is>
      </c>
      <c r="F263" s="31" t="inlineStr">
        <is>
          <t>cement - north india</t>
        </is>
      </c>
      <c r="G263" s="31" t="inlineStr">
        <is>
          <t>largecap</t>
        </is>
      </c>
      <c r="H263" s="32" t="n">
        <v>349076.95</v>
      </c>
      <c r="I263" s="32" t="n">
        <v>11881</v>
      </c>
      <c r="J263" s="32" t="n">
        <v>0.3</v>
      </c>
      <c r="K263" s="32" t="n">
        <v>250956</v>
      </c>
      <c r="L263" s="31" t="n">
        <v>5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52.9</v>
      </c>
      <c r="P263" s="32" t="n">
        <v>13.28</v>
      </c>
      <c r="Q263" s="32" t="inlineStr"/>
      <c r="R263" s="31" t="inlineStr">
        <is>
          <t>Earnings / Momentum Support</t>
        </is>
      </c>
      <c r="S263" s="31" t="inlineStr">
        <is>
          <t>Nifty Infra</t>
        </is>
      </c>
      <c r="T263" s="32" t="n">
        <v>1.74</v>
      </c>
      <c r="U263" s="32" t="n">
        <v>-5.57</v>
      </c>
      <c r="V263" s="32" t="n">
        <v>-7.19</v>
      </c>
      <c r="W263" s="32" t="n">
        <v>-1.4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Between 12 to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IF(B264=0,"",RANK(B264,$B$2:$B$308,0))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TVSMOTOR</t>
        </is>
      </c>
      <c r="D264" s="31" t="inlineStr">
        <is>
          <t>Tvs Motor Company Limited</t>
        </is>
      </c>
      <c r="E264" s="31" t="inlineStr">
        <is>
          <t>auto</t>
        </is>
      </c>
      <c r="F264" s="31" t="inlineStr">
        <is>
          <t>automobiles - motorcycles / mopeds</t>
        </is>
      </c>
      <c r="G264" s="31" t="inlineStr">
        <is>
          <t>largecap</t>
        </is>
      </c>
      <c r="H264" s="32" t="n">
        <v>183868.21</v>
      </c>
      <c r="I264" s="32" t="n">
        <v>3876.4</v>
      </c>
      <c r="J264" s="32" t="n">
        <v>0.16</v>
      </c>
      <c r="K264" s="32" t="n">
        <v>576740</v>
      </c>
      <c r="L264" s="31" t="n">
        <v>29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61.34</v>
      </c>
      <c r="P264" s="32" t="n">
        <v>12.38</v>
      </c>
      <c r="Q264" s="32" t="inlineStr"/>
      <c r="R264" s="31" t="inlineStr">
        <is>
          <t>Earnings / Momentum Support</t>
        </is>
      </c>
      <c r="S264" s="31" t="inlineStr">
        <is>
          <t>Nifty Auto</t>
        </is>
      </c>
      <c r="T264" s="32" t="n">
        <v>13.41</v>
      </c>
      <c r="U264" s="32" t="n">
        <v>27.43</v>
      </c>
      <c r="V264" s="32" t="n">
        <v>12.36</v>
      </c>
      <c r="W264" s="32" t="n">
        <v>4.91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Less than 1.5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More than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IF(B265=0,"",RANK(B265,$B$2:$B$308,0))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INDIANHUME</t>
        </is>
      </c>
      <c r="D265" s="33" t="inlineStr">
        <is>
          <t>Indian Hume Pipe Company Limited</t>
        </is>
      </c>
      <c r="E265" s="31" t="inlineStr">
        <is>
          <t>realty</t>
        </is>
      </c>
      <c r="F265" s="31" t="inlineStr">
        <is>
          <t>construction</t>
        </is>
      </c>
      <c r="G265" s="31" t="inlineStr">
        <is>
          <t>smallcap</t>
        </is>
      </c>
      <c r="H265" s="32" t="n">
        <v>2039.57</v>
      </c>
      <c r="I265" s="32" t="n">
        <v>387</v>
      </c>
      <c r="J265" s="32" t="n">
        <v>-0.04</v>
      </c>
      <c r="K265" s="32" t="n">
        <v>45948</v>
      </c>
      <c r="L265" s="31" t="n">
        <v>24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62.16</v>
      </c>
      <c r="P265" s="32" t="n">
        <v>16.28</v>
      </c>
      <c r="Q265" s="32" t="inlineStr"/>
      <c r="R265" s="31" t="inlineStr">
        <is>
          <t>Earnings / Momentum Support</t>
        </is>
      </c>
      <c r="S265" s="31" t="inlineStr">
        <is>
          <t>Nifty Realty</t>
        </is>
      </c>
      <c r="T265" s="32" t="n">
        <v>-8.119999999999999</v>
      </c>
      <c r="U265" s="32" t="n">
        <v>-9.41</v>
      </c>
      <c r="V265" s="32" t="n">
        <v>-1.4</v>
      </c>
      <c r="W265" s="32" t="n">
        <v>3.61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IF(B266=0,"",RANK(B266,$B$2:$B$308,0))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SVLL</t>
        </is>
      </c>
      <c r="D266" s="31" t="inlineStr">
        <is>
          <t>Shree Vasu Logistics Ltd</t>
        </is>
      </c>
      <c r="E266" s="31" t="inlineStr">
        <is>
          <t>transportation</t>
        </is>
      </c>
      <c r="F266" s="31" t="inlineStr">
        <is>
          <t>miscellaneous</t>
        </is>
      </c>
      <c r="G266" s="31" t="inlineStr">
        <is>
          <t>smallcap</t>
        </is>
      </c>
      <c r="H266" s="32" t="n">
        <v>887.54</v>
      </c>
      <c r="I266" s="32" t="n">
        <v>758</v>
      </c>
      <c r="J266" s="32" t="n">
        <v>-1.84</v>
      </c>
      <c r="K266" s="32" t="n">
        <v>702</v>
      </c>
      <c r="L266" s="31" t="n">
        <v>49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63.03</v>
      </c>
      <c r="P266" s="32" t="n">
        <v>31.58</v>
      </c>
      <c r="Q266" s="32" t="inlineStr"/>
      <c r="R266" s="31" t="inlineStr">
        <is>
          <t>Earnings / Momentum Support</t>
        </is>
      </c>
      <c r="S266" s="31" t="inlineStr">
        <is>
          <t>Nifty 50</t>
        </is>
      </c>
      <c r="T266" s="32" t="n">
        <v>-4.31</v>
      </c>
      <c r="U266" s="32" t="n">
        <v>-1.68</v>
      </c>
      <c r="V266" s="32" t="n">
        <v>2.74</v>
      </c>
      <c r="W266" s="32" t="n">
        <v>9.1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Between 50% to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More than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IF(B267=0,"",RANK(B267,$B$2:$B$308,0))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PANAMAPET</t>
        </is>
      </c>
      <c r="D267" s="31" t="inlineStr">
        <is>
          <t>Panama Petrochem Limited</t>
        </is>
      </c>
      <c r="E267" s="31" t="inlineStr">
        <is>
          <t>energy</t>
        </is>
      </c>
      <c r="F267" s="31" t="inlineStr">
        <is>
          <t>petrochemicals</t>
        </is>
      </c>
      <c r="G267" s="31" t="inlineStr">
        <is>
          <t>smallcap</t>
        </is>
      </c>
      <c r="H267" s="32" t="n">
        <v>3014.09</v>
      </c>
      <c r="I267" s="32" t="n">
        <v>487.1</v>
      </c>
      <c r="J267" s="32" t="n">
        <v>-2.24</v>
      </c>
      <c r="K267" s="32" t="n">
        <v>234411</v>
      </c>
      <c r="L267" s="31" t="n">
        <v>73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71.33</v>
      </c>
      <c r="P267" s="32" t="n">
        <v>43.87</v>
      </c>
      <c r="Q267" s="32" t="inlineStr"/>
      <c r="R267" s="31" t="inlineStr">
        <is>
          <t>Earnings / Momentum Support</t>
        </is>
      </c>
      <c r="S267" s="31" t="inlineStr">
        <is>
          <t>Nifty Energy</t>
        </is>
      </c>
      <c r="T267" s="32" t="n">
        <v>8.41</v>
      </c>
      <c r="U267" s="32" t="n">
        <v>17.3</v>
      </c>
      <c r="V267" s="32" t="n">
        <v>8.199999999999999</v>
      </c>
      <c r="W267" s="32" t="n">
        <v>16.41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Oligopoly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Yes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Negative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IF(B268=0,"",RANK(B268,$B$2:$B$308,0))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SILVERTUC</t>
        </is>
      </c>
      <c r="D268" s="33" t="inlineStr">
        <is>
          <t>Silver Touch Technologies Ltd</t>
        </is>
      </c>
      <c r="E268" s="31" t="inlineStr">
        <is>
          <t>i.t</t>
        </is>
      </c>
      <c r="F268" s="31" t="inlineStr">
        <is>
          <t>computers - software - medium / small</t>
        </is>
      </c>
      <c r="G268" s="31" t="inlineStr">
        <is>
          <t>smallcap</t>
        </is>
      </c>
      <c r="H268" s="32" t="n">
        <v>2537.98</v>
      </c>
      <c r="I268" s="32" t="n">
        <v>202.42</v>
      </c>
      <c r="J268" s="32" t="n">
        <v>1.14</v>
      </c>
      <c r="K268" s="32" t="n">
        <v>498869</v>
      </c>
      <c r="L268" s="31" t="n">
        <v>6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43.67</v>
      </c>
      <c r="P268" s="32" t="n">
        <v>22.75</v>
      </c>
      <c r="Q268" s="32" t="inlineStr"/>
      <c r="R268" s="31" t="inlineStr">
        <is>
          <t>Earnings / Momentum Support</t>
        </is>
      </c>
      <c r="S268" s="31" t="inlineStr">
        <is>
          <t>Nifty IT</t>
        </is>
      </c>
      <c r="T268" s="32" t="n">
        <v>-19.25</v>
      </c>
      <c r="U268" s="32" t="n">
        <v>-74.51000000000001</v>
      </c>
      <c r="V268" s="32" t="n">
        <v>-68.44</v>
      </c>
      <c r="W268" s="32" t="n">
        <v>-1.06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Annuity, Lower One Time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Below 45</t>
        </is>
      </c>
      <c r="BA268" s="31">
        <f>IF(AZ268="Between 50 to 75",10,IF(AZ268="Above 75",0,0))</f>
        <v/>
      </c>
      <c r="BB268" s="31" t="inlineStr">
        <is>
          <t>Stage 4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Between 1.5 to 2</t>
        </is>
      </c>
      <c r="BU268" s="31">
        <f>IF(BT268="Above 2",0,IF(BT268="Between 1.5 to 2",5,IF(BT268="Less than 1.5",10,0)))</f>
        <v/>
      </c>
      <c r="BV268" s="31" t="inlineStr">
        <is>
          <t>Less than 50%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IF(B269=0,"",RANK(B269,$B$2:$B$308,0))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RAJRATAN</t>
        </is>
      </c>
      <c r="D269" s="33" t="inlineStr">
        <is>
          <t>Rajratan Global Wire Ltd</t>
        </is>
      </c>
      <c r="E269" s="31" t="inlineStr">
        <is>
          <t>metals &amp; mining</t>
        </is>
      </c>
      <c r="F269" s="31" t="inlineStr">
        <is>
          <t>steel - medium / small</t>
        </is>
      </c>
      <c r="G269" s="31" t="inlineStr">
        <is>
          <t>smallcap</t>
        </is>
      </c>
      <c r="H269" s="32" t="n">
        <v>2479.15</v>
      </c>
      <c r="I269" s="32" t="n">
        <v>504.5</v>
      </c>
      <c r="J269" s="32" t="n">
        <v>3.32</v>
      </c>
      <c r="K269" s="32" t="n">
        <v>459053</v>
      </c>
      <c r="L269" s="31" t="n">
        <v>51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61.59</v>
      </c>
      <c r="P269" s="32" t="n">
        <v>13.72</v>
      </c>
      <c r="Q269" s="32" t="inlineStr"/>
      <c r="R269" s="31" t="inlineStr">
        <is>
          <t>Earnings / Momentum Support</t>
        </is>
      </c>
      <c r="S269" s="31" t="inlineStr">
        <is>
          <t>Nifty Metal</t>
        </is>
      </c>
      <c r="T269" s="32" t="n">
        <v>31.49</v>
      </c>
      <c r="U269" s="32" t="n">
        <v>16.62</v>
      </c>
      <c r="V269" s="32" t="n">
        <v>-11.31</v>
      </c>
      <c r="W269" s="32" t="n">
        <v>9.619999999999999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Cyclical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Volatile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IF(B270=0,"",RANK(B270,$B$2:$B$308,0))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UNOMINDA</t>
        </is>
      </c>
      <c r="D270" s="33" t="inlineStr">
        <is>
          <t>Uno Minda Ltd</t>
        </is>
      </c>
      <c r="E270" s="31" t="inlineStr">
        <is>
          <t>auto</t>
        </is>
      </c>
      <c r="F270" s="31" t="inlineStr">
        <is>
          <t>auto ancillaries</t>
        </is>
      </c>
      <c r="G270" s="31" t="inlineStr">
        <is>
          <t>largecap</t>
        </is>
      </c>
      <c r="H270" s="32" t="n">
        <v>65080.55</v>
      </c>
      <c r="I270" s="32" t="n">
        <v>1162.4</v>
      </c>
      <c r="J270" s="32" t="n">
        <v>3.14</v>
      </c>
      <c r="K270" s="32" t="n">
        <v>923914</v>
      </c>
      <c r="L270" s="31" t="n">
        <v>19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49.56</v>
      </c>
      <c r="P270" s="32" t="n">
        <v>16.91</v>
      </c>
      <c r="Q270" s="32" t="inlineStr"/>
      <c r="R270" s="31" t="inlineStr">
        <is>
          <t>Earnings / Momentum Support</t>
        </is>
      </c>
      <c r="S270" s="31" t="inlineStr">
        <is>
          <t>Nifty Auto</t>
        </is>
      </c>
      <c r="T270" s="32" t="n">
        <v>13.41</v>
      </c>
      <c r="U270" s="32" t="n">
        <v>6.28</v>
      </c>
      <c r="V270" s="32" t="n">
        <v>-6.29</v>
      </c>
      <c r="W270" s="32" t="n">
        <v>2.51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Below 45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IF(B271=0,"",RANK(B271,$B$2:$B$308,0))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TIMETECHNO</t>
        </is>
      </c>
      <c r="D271" s="33" t="inlineStr">
        <is>
          <t>Time Technoplast Limited</t>
        </is>
      </c>
      <c r="E271" s="31" t="inlineStr">
        <is>
          <t>plastic products</t>
        </is>
      </c>
      <c r="F271" s="31" t="inlineStr">
        <is>
          <t>plastics products</t>
        </is>
      </c>
      <c r="G271" s="31" t="inlineStr">
        <is>
          <t>midcap</t>
        </is>
      </c>
      <c r="H271" s="32" t="n">
        <v>9934.91</v>
      </c>
      <c r="I271" s="32" t="n">
        <v>206.75</v>
      </c>
      <c r="J271" s="32" t="n">
        <v>2.73</v>
      </c>
      <c r="K271" s="32" t="n">
        <v>4606690</v>
      </c>
      <c r="L271" s="31" t="n">
        <v>10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58.85</v>
      </c>
      <c r="P271" s="32" t="n">
        <v>10.37</v>
      </c>
      <c r="Q271" s="32" t="inlineStr"/>
      <c r="R271" s="31" t="inlineStr">
        <is>
          <t>Earnings / Momentum Support</t>
        </is>
      </c>
      <c r="S271" s="31" t="inlineStr">
        <is>
          <t>Nifty 50</t>
        </is>
      </c>
      <c r="T271" s="32" t="n">
        <v>-4.31</v>
      </c>
      <c r="U271" s="32" t="n">
        <v>-9.800000000000001</v>
      </c>
      <c r="V271" s="32" t="n">
        <v>-5.74</v>
      </c>
      <c r="W271" s="32" t="n">
        <v>0.33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Between 1.5 to 2</t>
        </is>
      </c>
      <c r="BU271" s="31">
        <f>IF(BT271="Above 2",0,IF(BT271="Between 1.5 to 2",5,IF(BT271="Less than 1.5",10,0)))</f>
        <v/>
      </c>
      <c r="BV271" s="31" t="inlineStr">
        <is>
          <t>Less than 50%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IF(B272=0,"",RANK(B272,$B$2:$B$308,0))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KIRLFER</t>
        </is>
      </c>
      <c r="D272" s="33" t="inlineStr">
        <is>
          <t>Kirloskar Ferrous Industries Ltd</t>
        </is>
      </c>
      <c r="E272" s="31" t="inlineStr">
        <is>
          <t>metals &amp; mining</t>
        </is>
      </c>
      <c r="F272" s="31" t="inlineStr">
        <is>
          <t>steel - large</t>
        </is>
      </c>
      <c r="G272" s="31" t="inlineStr">
        <is>
          <t>midcap</t>
        </is>
      </c>
      <c r="H272" s="32" t="n">
        <v>7765.37</v>
      </c>
      <c r="I272" s="32" t="n">
        <v>480.95</v>
      </c>
      <c r="J272" s="32" t="n">
        <v>2.19</v>
      </c>
      <c r="K272" s="32" t="n">
        <v>109886</v>
      </c>
      <c r="L272" s="31" t="n">
        <v>4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55.99</v>
      </c>
      <c r="P272" s="32" t="n">
        <v>13.51</v>
      </c>
      <c r="Q272" s="32" t="inlineStr"/>
      <c r="R272" s="31" t="inlineStr">
        <is>
          <t>Earnings / Momentum Support</t>
        </is>
      </c>
      <c r="S272" s="31" t="inlineStr">
        <is>
          <t>Nifty Metal</t>
        </is>
      </c>
      <c r="T272" s="32" t="n">
        <v>31.49</v>
      </c>
      <c r="U272" s="32" t="n">
        <v>-16.84</v>
      </c>
      <c r="V272" s="32" t="n">
        <v>-36.76</v>
      </c>
      <c r="W272" s="32" t="n">
        <v>-2.22</v>
      </c>
      <c r="X272" s="31" t="inlineStr">
        <is>
          <t>Cyclical in an Upturn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Cyclical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Volatile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IF(B273=0,"",RANK(B273,$B$2:$B$308,0))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IRISDOREME</t>
        </is>
      </c>
      <c r="D273" s="31" t="inlineStr">
        <is>
          <t>Iris Clothings Ltd</t>
        </is>
      </c>
      <c r="E273" s="31" t="inlineStr">
        <is>
          <t>consumer discretionary</t>
        </is>
      </c>
      <c r="F273" s="31" t="inlineStr">
        <is>
          <t>textiles - products</t>
        </is>
      </c>
      <c r="G273" s="31" t="inlineStr">
        <is>
          <t>smallcap</t>
        </is>
      </c>
      <c r="H273" s="32" t="n">
        <v>910.36</v>
      </c>
      <c r="I273" s="32" t="n">
        <v>48.29</v>
      </c>
      <c r="J273" s="32" t="n">
        <v>0.96</v>
      </c>
      <c r="K273" s="32" t="n">
        <v>1814818</v>
      </c>
      <c r="L273" s="31" t="n">
        <v>74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75.90000000000001</v>
      </c>
      <c r="P273" s="32" t="n">
        <v>31.45</v>
      </c>
      <c r="Q273" s="32" t="inlineStr"/>
      <c r="R273" s="31" t="inlineStr">
        <is>
          <t>Earnings / Momentum Support</t>
        </is>
      </c>
      <c r="S273" s="31" t="inlineStr">
        <is>
          <t>Nifty 50</t>
        </is>
      </c>
      <c r="T273" s="32" t="n">
        <v>-4.31</v>
      </c>
      <c r="U273" s="32" t="n">
        <v>56.92</v>
      </c>
      <c r="V273" s="32" t="n">
        <v>63.98</v>
      </c>
      <c r="W273" s="32" t="n">
        <v>17.33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Above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Negative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IF(B274=0,"",RANK(B274,$B$2:$B$308,0))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TEXINFRA</t>
        </is>
      </c>
      <c r="D274" s="31" t="inlineStr">
        <is>
          <t>Texmaco Infrastructure &amp; Holdings Limited</t>
        </is>
      </c>
      <c r="E274" s="31" t="inlineStr">
        <is>
          <t>realty</t>
        </is>
      </c>
      <c r="F274" s="31" t="inlineStr">
        <is>
          <t>construction</t>
        </is>
      </c>
      <c r="G274" s="31" t="inlineStr">
        <is>
          <t>smallcap</t>
        </is>
      </c>
      <c r="H274" s="32" t="n">
        <v>1432.53</v>
      </c>
      <c r="I274" s="32" t="n">
        <v>113.2</v>
      </c>
      <c r="J274" s="32" t="n">
        <v>0.6899999999999999</v>
      </c>
      <c r="K274" s="32" t="n">
        <v>119740</v>
      </c>
      <c r="L274" s="31" t="n">
        <v>29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64.44</v>
      </c>
      <c r="P274" s="32" t="n">
        <v>33.91</v>
      </c>
      <c r="Q274" s="32" t="inlineStr"/>
      <c r="R274" s="31" t="inlineStr">
        <is>
          <t>Earnings / Momentum Support</t>
        </is>
      </c>
      <c r="S274" s="31" t="inlineStr">
        <is>
          <t>Nifty Realty</t>
        </is>
      </c>
      <c r="T274" s="32" t="n">
        <v>-8.119999999999999</v>
      </c>
      <c r="U274" s="32" t="n">
        <v>10.81</v>
      </c>
      <c r="V274" s="32" t="n">
        <v>20.6</v>
      </c>
      <c r="W274" s="32" t="n">
        <v>4.74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Negative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IF(B275=0,"",RANK(B275,$B$2:$B$308,0))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SHREECEM</t>
        </is>
      </c>
      <c r="D275" s="33" t="inlineStr">
        <is>
          <t>Shree Cements Limited</t>
        </is>
      </c>
      <c r="E275" s="31" t="inlineStr">
        <is>
          <t>building materials</t>
        </is>
      </c>
      <c r="F275" s="31" t="inlineStr">
        <is>
          <t>cement - north india</t>
        </is>
      </c>
      <c r="G275" s="31" t="inlineStr">
        <is>
          <t>largecap</t>
        </is>
      </c>
      <c r="H275" s="32" t="n">
        <v>96479.92</v>
      </c>
      <c r="I275" s="32" t="n">
        <v>26860</v>
      </c>
      <c r="J275" s="32" t="n">
        <v>0.45</v>
      </c>
      <c r="K275" s="32" t="n">
        <v>12362</v>
      </c>
      <c r="L275" s="31" t="n">
        <v>5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56.72</v>
      </c>
      <c r="P275" s="32" t="n">
        <v>14.3</v>
      </c>
      <c r="Q275" s="32" t="inlineStr"/>
      <c r="R275" s="31" t="inlineStr">
        <is>
          <t>Earnings / Momentum Support</t>
        </is>
      </c>
      <c r="S275" s="31" t="inlineStr">
        <is>
          <t>Nifty Infra</t>
        </is>
      </c>
      <c r="T275" s="32" t="n">
        <v>1.74</v>
      </c>
      <c r="U275" s="32" t="n">
        <v>-13.25</v>
      </c>
      <c r="V275" s="32" t="n">
        <v>-14.73</v>
      </c>
      <c r="W275" s="32" t="n">
        <v>-1.66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IF(B276=0,"",RANK(B276,$B$2:$B$308,0))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BHARTIHEXA</t>
        </is>
      </c>
      <c r="D276" s="33" t="inlineStr">
        <is>
          <t>Bharti Hexacom Ltd</t>
        </is>
      </c>
      <c r="E276" s="31" t="inlineStr">
        <is>
          <t>telecom-service</t>
        </is>
      </c>
      <c r="F276" s="31" t="inlineStr">
        <is>
          <t>telecommunications - service provider</t>
        </is>
      </c>
      <c r="G276" s="31" t="inlineStr">
        <is>
          <t>largecap</t>
        </is>
      </c>
      <c r="H276" s="32" t="n">
        <v>80380</v>
      </c>
      <c r="I276" s="32" t="n">
        <v>1614.3</v>
      </c>
      <c r="J276" s="32" t="n">
        <v>0.42</v>
      </c>
      <c r="K276" s="32" t="n">
        <v>175287</v>
      </c>
      <c r="L276" s="31" t="n">
        <v>7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54.1</v>
      </c>
      <c r="P276" s="32" t="n">
        <v>22.06</v>
      </c>
      <c r="Q276" s="32" t="inlineStr"/>
      <c r="R276" s="31" t="inlineStr">
        <is>
          <t>Earnings / Momentum Support</t>
        </is>
      </c>
      <c r="S276" s="31" t="inlineStr">
        <is>
          <t>Nifty 500</t>
        </is>
      </c>
      <c r="T276" s="32" t="n">
        <v>-0.44</v>
      </c>
      <c r="U276" s="32" t="n">
        <v>-9.630000000000001</v>
      </c>
      <c r="V276" s="32" t="n">
        <v>-9.23</v>
      </c>
      <c r="W276" s="32" t="n">
        <v>-0.91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Oligopoly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Between 0.7 to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IF(B277=0,"",RANK(B277,$B$2:$B$308,0))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MANALIPETC</t>
        </is>
      </c>
      <c r="D277" s="33" t="inlineStr">
        <is>
          <t>Manali Petrochemicals Limited</t>
        </is>
      </c>
      <c r="E277" s="31" t="inlineStr">
        <is>
          <t>energy</t>
        </is>
      </c>
      <c r="F277" s="31" t="inlineStr">
        <is>
          <t>petrochemicals</t>
        </is>
      </c>
      <c r="G277" s="31" t="inlineStr">
        <is>
          <t>smallcap</t>
        </is>
      </c>
      <c r="H277" s="32" t="n">
        <v>1148.44</v>
      </c>
      <c r="I277" s="32" t="n">
        <v>66.97</v>
      </c>
      <c r="J277" s="32" t="n">
        <v>0.3</v>
      </c>
      <c r="K277" s="32" t="n">
        <v>665825</v>
      </c>
      <c r="L277" s="31" t="n">
        <v>5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60.37</v>
      </c>
      <c r="P277" s="32" t="n">
        <v>25.87</v>
      </c>
      <c r="Q277" s="32" t="inlineStr"/>
      <c r="R277" s="31" t="inlineStr">
        <is>
          <t>Earnings / Momentum Support</t>
        </is>
      </c>
      <c r="S277" s="31" t="inlineStr">
        <is>
          <t>Nifty Energy</t>
        </is>
      </c>
      <c r="T277" s="32" t="n">
        <v>8.41</v>
      </c>
      <c r="U277" s="32" t="n">
        <v>-21.51</v>
      </c>
      <c r="V277" s="32" t="n">
        <v>-27.6</v>
      </c>
      <c r="W277" s="32" t="n">
        <v>-1.78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Oligopoly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IF(B278=0,"",RANK(B278,$B$2:$B$308,0))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KAPSTON</t>
        </is>
      </c>
      <c r="D278" s="31" t="inlineStr">
        <is>
          <t>Kapston Services Ltd</t>
        </is>
      </c>
      <c r="E278" s="31" t="inlineStr">
        <is>
          <t>miscellaneous</t>
        </is>
      </c>
      <c r="F278" s="31" t="inlineStr">
        <is>
          <t>miscellaneous</t>
        </is>
      </c>
      <c r="G278" s="31" t="inlineStr">
        <is>
          <t>smallcap</t>
        </is>
      </c>
      <c r="H278" s="32" t="n">
        <v>1402.01</v>
      </c>
      <c r="I278" s="32" t="n">
        <v>460.2</v>
      </c>
      <c r="J278" s="32" t="n">
        <v>-0.11</v>
      </c>
      <c r="K278" s="32" t="n">
        <v>36890</v>
      </c>
      <c r="L278" s="31" t="n">
        <v>84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74.37</v>
      </c>
      <c r="P278" s="32" t="n">
        <v>23.97</v>
      </c>
      <c r="Q278" s="32" t="inlineStr"/>
      <c r="R278" s="31" t="inlineStr">
        <is>
          <t>Earnings / Momentum Support</t>
        </is>
      </c>
      <c r="S278" s="31" t="inlineStr">
        <is>
          <t>Nifty 50</t>
        </is>
      </c>
      <c r="T278" s="32" t="n">
        <v>-4.31</v>
      </c>
      <c r="U278" s="32" t="n">
        <v>92.62</v>
      </c>
      <c r="V278" s="32" t="n">
        <v>101.29</v>
      </c>
      <c r="W278" s="32" t="n">
        <v>23.38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3</t>
        </is>
      </c>
      <c r="BC278" s="31">
        <f>IF(BB278="Stage 2",20,IF(BB278="Stage 1",0,IF(BB278="Stage 3",5,IF(BB278="Stage 4",-5,0))))</f>
        <v/>
      </c>
      <c r="BD278" s="31" t="inlineStr">
        <is>
          <t>Negative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Less than 50% and Borrowings are increasing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More than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IF(B279=0,"",RANK(B279,$B$2:$B$308,0))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GRAPHITE</t>
        </is>
      </c>
      <c r="D279" s="31" t="inlineStr">
        <is>
          <t>Graphite India Limited</t>
        </is>
      </c>
      <c r="E279" s="31" t="inlineStr">
        <is>
          <t>industrials</t>
        </is>
      </c>
      <c r="F279" s="31" t="inlineStr">
        <is>
          <t>electrodes - graphites</t>
        </is>
      </c>
      <c r="G279" s="31" t="inlineStr">
        <is>
          <t>midcap</t>
        </is>
      </c>
      <c r="H279" s="32" t="n">
        <v>13143.89</v>
      </c>
      <c r="I279" s="32" t="n">
        <v>662.65</v>
      </c>
      <c r="J279" s="32" t="n">
        <v>-1.5</v>
      </c>
      <c r="K279" s="32" t="n">
        <v>731066</v>
      </c>
      <c r="L279" s="31" t="n">
        <v>24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53.91</v>
      </c>
      <c r="P279" s="32" t="n">
        <v>18.89</v>
      </c>
      <c r="Q279" s="32" t="inlineStr"/>
      <c r="R279" s="31" t="inlineStr">
        <is>
          <t>Earnings / Momentum Support</t>
        </is>
      </c>
      <c r="S279" s="31" t="inlineStr">
        <is>
          <t>Nifty 50</t>
        </is>
      </c>
      <c r="T279" s="32" t="n">
        <v>-4.31</v>
      </c>
      <c r="U279" s="32" t="n">
        <v>25.42</v>
      </c>
      <c r="V279" s="32" t="n">
        <v>31.06</v>
      </c>
      <c r="W279" s="32" t="n">
        <v>3.77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Less than 50%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IF(B280=0,"",RANK(B280,$B$2:$B$308,0))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MAXHEALTH</t>
        </is>
      </c>
      <c r="D280" s="33" t="inlineStr">
        <is>
          <t>Max Healthcare Institute Ltd</t>
        </is>
      </c>
      <c r="E280" s="31" t="inlineStr">
        <is>
          <t>healthcare</t>
        </is>
      </c>
      <c r="F280" s="31" t="inlineStr">
        <is>
          <t>healthcare</t>
        </is>
      </c>
      <c r="G280" s="31" t="inlineStr">
        <is>
          <t>largecap</t>
        </is>
      </c>
      <c r="H280" s="32" t="n">
        <v>105149.26</v>
      </c>
      <c r="I280" s="32" t="n">
        <v>1114.6</v>
      </c>
      <c r="J280" s="32" t="n">
        <v>3.17</v>
      </c>
      <c r="K280" s="32" t="n">
        <v>1759824</v>
      </c>
      <c r="L280" s="31" t="n">
        <v>6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53.17</v>
      </c>
      <c r="P280" s="32" t="n">
        <v>14.63</v>
      </c>
      <c r="Q280" s="32" t="inlineStr"/>
      <c r="R280" s="31" t="inlineStr">
        <is>
          <t>Earnings / Momentum Support</t>
        </is>
      </c>
      <c r="S280" s="31" t="inlineStr">
        <is>
          <t>Nifty Pharma</t>
        </is>
      </c>
      <c r="T280" s="32" t="n">
        <v>12.73</v>
      </c>
      <c r="U280" s="32" t="n">
        <v>-15.48</v>
      </c>
      <c r="V280" s="32" t="n">
        <v>-25.02</v>
      </c>
      <c r="W280" s="32" t="n">
        <v>-1.28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Yes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Annuity, Lower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IF(B281=0,"",RANK(B281,$B$2:$B$308,0))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HCG</t>
        </is>
      </c>
      <c r="D281" s="31" t="inlineStr">
        <is>
          <t>Healthcare Global Enterprises Limited</t>
        </is>
      </c>
      <c r="E281" s="31" t="inlineStr">
        <is>
          <t>healthcare</t>
        </is>
      </c>
      <c r="F281" s="31" t="inlineStr">
        <is>
          <t>healthcare</t>
        </is>
      </c>
      <c r="G281" s="31" t="inlineStr">
        <is>
          <t>midcap</t>
        </is>
      </c>
      <c r="H281" s="32" t="n">
        <v>9951.74</v>
      </c>
      <c r="I281" s="32" t="n">
        <v>676.95</v>
      </c>
      <c r="J281" s="32" t="n">
        <v>1.56</v>
      </c>
      <c r="K281" s="32" t="n">
        <v>148812</v>
      </c>
      <c r="L281" s="31" t="n">
        <v>45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60.48</v>
      </c>
      <c r="P281" s="32" t="n">
        <v>24</v>
      </c>
      <c r="Q281" s="32" t="inlineStr"/>
      <c r="R281" s="31" t="inlineStr">
        <is>
          <t>Earnings / Momentum Support</t>
        </is>
      </c>
      <c r="S281" s="31" t="inlineStr">
        <is>
          <t>Nifty Pharma</t>
        </is>
      </c>
      <c r="T281" s="32" t="n">
        <v>12.73</v>
      </c>
      <c r="U281" s="32" t="n">
        <v>16.94</v>
      </c>
      <c r="V281" s="32" t="n">
        <v>3.73</v>
      </c>
      <c r="W281" s="32" t="n">
        <v>8.17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Annuity, Lower One Time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More than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IF(B282=0,"",RANK(B282,$B$2:$B$308,0))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RPGLIFE</t>
        </is>
      </c>
      <c r="D282" s="31" t="inlineStr">
        <is>
          <t>Rpg Life Sciences Limited</t>
        </is>
      </c>
      <c r="E282" s="31" t="inlineStr">
        <is>
          <t>healthcare</t>
        </is>
      </c>
      <c r="F282" s="31" t="inlineStr">
        <is>
          <t>pharmaceuticals - indian - bulk drugs &amp; formln</t>
        </is>
      </c>
      <c r="G282" s="31" t="inlineStr">
        <is>
          <t>smallcap</t>
        </is>
      </c>
      <c r="H282" s="32" t="n">
        <v>4857.51</v>
      </c>
      <c r="I282" s="32" t="n">
        <v>2928.1</v>
      </c>
      <c r="J282" s="32" t="n">
        <v>-0.3</v>
      </c>
      <c r="K282" s="32" t="n">
        <v>16187</v>
      </c>
      <c r="L282" s="31" t="n">
        <v>68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76.62</v>
      </c>
      <c r="P282" s="32" t="n">
        <v>29.83</v>
      </c>
      <c r="Q282" s="32" t="inlineStr"/>
      <c r="R282" s="31" t="inlineStr">
        <is>
          <t>Earnings / Momentum Support</t>
        </is>
      </c>
      <c r="S282" s="31" t="inlineStr">
        <is>
          <t>Nifty Pharma</t>
        </is>
      </c>
      <c r="T282" s="32" t="n">
        <v>12.73</v>
      </c>
      <c r="U282" s="32" t="n">
        <v>19.03</v>
      </c>
      <c r="V282" s="32" t="n">
        <v>5.59</v>
      </c>
      <c r="W282" s="32" t="n">
        <v>14.43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Yes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Annuity, Lower One Time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Above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Less than 50%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IF(B283=0,"",RANK(B283,$B$2:$B$308,0))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ASIANENE</t>
        </is>
      </c>
      <c r="D283" s="31" t="inlineStr">
        <is>
          <t>Asian Energy Services Ltd</t>
        </is>
      </c>
      <c r="E283" s="31" t="inlineStr">
        <is>
          <t>energy</t>
        </is>
      </c>
      <c r="F283" s="31" t="inlineStr">
        <is>
          <t>oil drilling / allied services</t>
        </is>
      </c>
      <c r="G283" s="31" t="inlineStr">
        <is>
          <t>smallcap</t>
        </is>
      </c>
      <c r="H283" s="32" t="n">
        <v>1729.76</v>
      </c>
      <c r="I283" s="32" t="n">
        <v>383.8</v>
      </c>
      <c r="J283" s="32" t="n">
        <v>7.9</v>
      </c>
      <c r="K283" s="32" t="n">
        <v>1432312</v>
      </c>
      <c r="L283" s="31" t="n">
        <v>46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57.29</v>
      </c>
      <c r="P283" s="32" t="n">
        <v>13.12</v>
      </c>
      <c r="Q283" s="32" t="inlineStr"/>
      <c r="R283" s="31" t="inlineStr">
        <is>
          <t>Earnings / Momentum Support</t>
        </is>
      </c>
      <c r="S283" s="31" t="inlineStr">
        <is>
          <t>Nifty Energy</t>
        </is>
      </c>
      <c r="T283" s="32" t="n">
        <v>8.41</v>
      </c>
      <c r="U283" s="32" t="n">
        <v>17.9</v>
      </c>
      <c r="V283" s="32" t="n">
        <v>8.76</v>
      </c>
      <c r="W283" s="32" t="n">
        <v>8.279999999999999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Oligopoly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Yes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Cyclical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Volatile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3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Less than 1.5</t>
        </is>
      </c>
      <c r="BU283" s="31">
        <f>IF(BT283="Above 2",0,IF(BT283="Between 1.5 to 2",5,IF(BT283="Less than 1.5",10,0)))</f>
        <v/>
      </c>
      <c r="BV283" s="31" t="inlineStr">
        <is>
          <t>Between 50% to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IF(B284=0,"",RANK(B284,$B$2:$B$308,0))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DEEPINDS</t>
        </is>
      </c>
      <c r="D284" s="33" t="inlineStr">
        <is>
          <t>Deep Industries Ltd</t>
        </is>
      </c>
      <c r="E284" s="31" t="inlineStr">
        <is>
          <t>energy</t>
        </is>
      </c>
      <c r="F284" s="31" t="inlineStr">
        <is>
          <t>oil drilling / allied services</t>
        </is>
      </c>
      <c r="G284" s="31" t="inlineStr">
        <is>
          <t>smallcap</t>
        </is>
      </c>
      <c r="H284" s="32" t="n">
        <v>3069.44</v>
      </c>
      <c r="I284" s="32" t="n">
        <v>516.45</v>
      </c>
      <c r="J284" s="32" t="n">
        <v>7.68</v>
      </c>
      <c r="K284" s="32" t="n">
        <v>1633199</v>
      </c>
      <c r="L284" s="31" t="n">
        <v>13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54.35</v>
      </c>
      <c r="P284" s="32" t="n">
        <v>12.23</v>
      </c>
      <c r="Q284" s="32" t="inlineStr"/>
      <c r="R284" s="31" t="inlineStr">
        <is>
          <t>Earnings / Momentum Support</t>
        </is>
      </c>
      <c r="S284" s="31" t="inlineStr">
        <is>
          <t>Nifty Energy</t>
        </is>
      </c>
      <c r="T284" s="32" t="n">
        <v>8.41</v>
      </c>
      <c r="U284" s="32" t="n">
        <v>0.27</v>
      </c>
      <c r="V284" s="32" t="n">
        <v>-7.51</v>
      </c>
      <c r="W284" s="32" t="n">
        <v>1.2</v>
      </c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Oligopoly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Yes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IF(B285=0,"",RANK(B285,$B$2:$B$308,0))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LANDMARK</t>
        </is>
      </c>
      <c r="D285" s="31" t="inlineStr">
        <is>
          <t>Landmark Cars Ltd</t>
        </is>
      </c>
      <c r="E285" s="31" t="inlineStr">
        <is>
          <t>consumer discretionary</t>
        </is>
      </c>
      <c r="F285" s="31" t="inlineStr">
        <is>
          <t>trading</t>
        </is>
      </c>
      <c r="G285" s="31" t="inlineStr">
        <is>
          <t>smallcap</t>
        </is>
      </c>
      <c r="H285" s="32" t="n">
        <v>2126.32</v>
      </c>
      <c r="I285" s="32" t="n">
        <v>538.5</v>
      </c>
      <c r="J285" s="32" t="n">
        <v>5.01</v>
      </c>
      <c r="K285" s="32" t="n">
        <v>678636</v>
      </c>
      <c r="L285" s="31" t="n">
        <v>51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62.62</v>
      </c>
      <c r="P285" s="32" t="n">
        <v>18.61</v>
      </c>
      <c r="Q285" s="32" t="inlineStr"/>
      <c r="R285" s="31" t="inlineStr">
        <is>
          <t>Earnings / Momentum Support</t>
        </is>
      </c>
      <c r="S285" s="31" t="inlineStr">
        <is>
          <t>Nifty 50</t>
        </is>
      </c>
      <c r="T285" s="32" t="n">
        <v>-4.31</v>
      </c>
      <c r="U285" s="32" t="n">
        <v>3.13</v>
      </c>
      <c r="V285" s="32" t="n">
        <v>7.77</v>
      </c>
      <c r="W285" s="32" t="n">
        <v>9.67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More than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IF(B286=0,"",RANK(B286,$B$2:$B$308,0))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RAMRAT</t>
        </is>
      </c>
      <c r="D286" s="33" t="inlineStr">
        <is>
          <t>Ram Ratna Wires Ltd</t>
        </is>
      </c>
      <c r="E286" s="31" t="inlineStr">
        <is>
          <t>metals &amp; mining</t>
        </is>
      </c>
      <c r="F286" s="31" t="inlineStr">
        <is>
          <t>mining / minerals / metals</t>
        </is>
      </c>
      <c r="G286" s="31" t="inlineStr">
        <is>
          <t>smallcap</t>
        </is>
      </c>
      <c r="H286" s="32" t="n">
        <v>3865.59</v>
      </c>
      <c r="I286" s="32" t="n">
        <v>425.3</v>
      </c>
      <c r="J286" s="32" t="n">
        <v>2.7</v>
      </c>
      <c r="K286" s="32" t="n">
        <v>105248</v>
      </c>
      <c r="L286" s="31" t="n">
        <v>33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59.71</v>
      </c>
      <c r="P286" s="32" t="n">
        <v>45.16</v>
      </c>
      <c r="Q286" s="32" t="inlineStr"/>
      <c r="R286" s="31" t="inlineStr">
        <is>
          <t>Earnings / Momentum Support</t>
        </is>
      </c>
      <c r="S286" s="31" t="inlineStr">
        <is>
          <t>Nifty Metal</t>
        </is>
      </c>
      <c r="T286" s="32" t="n">
        <v>31.49</v>
      </c>
      <c r="U286" s="32" t="n">
        <v>18.75</v>
      </c>
      <c r="V286" s="32" t="n">
        <v>-9.69</v>
      </c>
      <c r="W286" s="32" t="n">
        <v>5.5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Cyclical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Volatile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Above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Negative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IF(B287=0,"",RANK(B287,$B$2:$B$308,0))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OPTIEMUS</t>
        </is>
      </c>
      <c r="D287" s="31" t="inlineStr">
        <is>
          <t>Optiemus Infracom Ltd</t>
        </is>
      </c>
      <c r="E287" s="31" t="inlineStr">
        <is>
          <t>telecom</t>
        </is>
      </c>
      <c r="F287" s="31" t="inlineStr">
        <is>
          <t>trading</t>
        </is>
      </c>
      <c r="G287" s="31" t="inlineStr">
        <is>
          <t>midcap</t>
        </is>
      </c>
      <c r="H287" s="32" t="n">
        <v>5320.88</v>
      </c>
      <c r="I287" s="32" t="n">
        <v>610.45</v>
      </c>
      <c r="J287" s="32" t="n">
        <v>1.75</v>
      </c>
      <c r="K287" s="32" t="n">
        <v>90875</v>
      </c>
      <c r="L287" s="31" t="n">
        <v>67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68.56999999999999</v>
      </c>
      <c r="P287" s="32" t="n">
        <v>23.36</v>
      </c>
      <c r="Q287" s="32" t="inlineStr"/>
      <c r="R287" s="31" t="inlineStr">
        <is>
          <t>Earnings / Momentum Support</t>
        </is>
      </c>
      <c r="S287" s="31" t="inlineStr">
        <is>
          <t>Nifty 50</t>
        </is>
      </c>
      <c r="T287" s="32" t="n">
        <v>-4.31</v>
      </c>
      <c r="U287" s="32" t="n">
        <v>4.38</v>
      </c>
      <c r="V287" s="32" t="n">
        <v>9.08</v>
      </c>
      <c r="W287" s="32" t="n">
        <v>14.19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Oligopoly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Negative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IF(B288=0,"",RANK(B288,$B$2:$B$308,0))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TITAN</t>
        </is>
      </c>
      <c r="D288" s="31" t="inlineStr">
        <is>
          <t>Titan Company Limited</t>
        </is>
      </c>
      <c r="E288" s="31" t="inlineStr">
        <is>
          <t>consumer discretionary</t>
        </is>
      </c>
      <c r="F288" s="31" t="inlineStr">
        <is>
          <t>diamond cutting / jewellery</t>
        </is>
      </c>
      <c r="G288" s="31" t="inlineStr">
        <is>
          <t>largecap</t>
        </is>
      </c>
      <c r="H288" s="32" t="n">
        <v>415217.59</v>
      </c>
      <c r="I288" s="32" t="n">
        <v>4740.1</v>
      </c>
      <c r="J288" s="32" t="n">
        <v>1.35</v>
      </c>
      <c r="K288" s="32" t="n">
        <v>500721</v>
      </c>
      <c r="L288" s="31" t="n">
        <v>43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63.93</v>
      </c>
      <c r="P288" s="32" t="n">
        <v>18.27</v>
      </c>
      <c r="Q288" s="32" t="inlineStr"/>
      <c r="R288" s="31" t="inlineStr">
        <is>
          <t>Earnings / Momentum Support</t>
        </is>
      </c>
      <c r="S288" s="31" t="inlineStr">
        <is>
          <t>Nifty 50</t>
        </is>
      </c>
      <c r="T288" s="32" t="n">
        <v>-4.31</v>
      </c>
      <c r="U288" s="32" t="n">
        <v>35.51</v>
      </c>
      <c r="V288" s="32" t="n">
        <v>41.61</v>
      </c>
      <c r="W288" s="32" t="n">
        <v>7.6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More than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IF(B289=0,"",RANK(B289,$B$2:$B$308,0))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SIEMENS</t>
        </is>
      </c>
      <c r="D289" s="31" t="inlineStr">
        <is>
          <t>Siemens Limited</t>
        </is>
      </c>
      <c r="E289" s="31" t="inlineStr">
        <is>
          <t>industrials</t>
        </is>
      </c>
      <c r="F289" s="31" t="inlineStr">
        <is>
          <t>electric equipment</t>
        </is>
      </c>
      <c r="G289" s="31" t="inlineStr">
        <is>
          <t>largecap</t>
        </is>
      </c>
      <c r="H289" s="32" t="n">
        <v>131401.34</v>
      </c>
      <c r="I289" s="32" t="n">
        <v>3718</v>
      </c>
      <c r="J289" s="32" t="n">
        <v>0.76</v>
      </c>
      <c r="K289" s="32" t="n">
        <v>273869</v>
      </c>
      <c r="L289" s="31" t="n">
        <v>25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56.35</v>
      </c>
      <c r="P289" s="32" t="n">
        <v>23.69</v>
      </c>
      <c r="Q289" s="32" t="inlineStr"/>
      <c r="R289" s="31" t="inlineStr">
        <is>
          <t>Earnings / Momentum Support</t>
        </is>
      </c>
      <c r="S289" s="31" t="inlineStr">
        <is>
          <t>Nifty 500</t>
        </is>
      </c>
      <c r="T289" s="32" t="n">
        <v>-0.44</v>
      </c>
      <c r="U289" s="32" t="n">
        <v>21.45</v>
      </c>
      <c r="V289" s="32" t="n">
        <v>21.98</v>
      </c>
      <c r="W289" s="32" t="n">
        <v>4.17</v>
      </c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Less than 12%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Negative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IF(B290=0,"",RANK(B290,$B$2:$B$308,0))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GODREJIND</t>
        </is>
      </c>
      <c r="D290" s="31" t="inlineStr">
        <is>
          <t>Godrej Industries Limited</t>
        </is>
      </c>
      <c r="E290" s="31" t="inlineStr">
        <is>
          <t>chemicals</t>
        </is>
      </c>
      <c r="F290" s="31" t="inlineStr">
        <is>
          <t>chemicals</t>
        </is>
      </c>
      <c r="G290" s="31" t="inlineStr">
        <is>
          <t>largecap</t>
        </is>
      </c>
      <c r="H290" s="32" t="n">
        <v>44869.14</v>
      </c>
      <c r="I290" s="32" t="n">
        <v>1332.9</v>
      </c>
      <c r="J290" s="32" t="n">
        <v>0.05</v>
      </c>
      <c r="K290" s="32" t="n">
        <v>57846</v>
      </c>
      <c r="L290" s="31" t="n">
        <v>57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64.43000000000001</v>
      </c>
      <c r="P290" s="32" t="n">
        <v>38.97</v>
      </c>
      <c r="Q290" s="32" t="inlineStr"/>
      <c r="R290" s="31" t="inlineStr">
        <is>
          <t>Earnings / Momentum Support</t>
        </is>
      </c>
      <c r="S290" s="31" t="inlineStr">
        <is>
          <t>Nifty 50</t>
        </is>
      </c>
      <c r="T290" s="32" t="n">
        <v>-4.31</v>
      </c>
      <c r="U290" s="32" t="n">
        <v>17.29</v>
      </c>
      <c r="V290" s="32" t="n">
        <v>22.57</v>
      </c>
      <c r="W290" s="32" t="n">
        <v>11.2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Negative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IF(B291=0,"",RANK(B291,$B$2:$B$308,0))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LOKESHMACH</t>
        </is>
      </c>
      <c r="D291" s="31" t="inlineStr">
        <is>
          <t>Lokesh Machines Limited</t>
        </is>
      </c>
      <c r="E291" s="31" t="inlineStr">
        <is>
          <t>industrials</t>
        </is>
      </c>
      <c r="F291" s="31" t="inlineStr">
        <is>
          <t>engineering</t>
        </is>
      </c>
      <c r="G291" s="31" t="inlineStr">
        <is>
          <t>smallcap</t>
        </is>
      </c>
      <c r="H291" s="32" t="n">
        <v>721.96</v>
      </c>
      <c r="I291" s="32" t="n">
        <v>335</v>
      </c>
      <c r="J291" s="32" t="n">
        <v>-1.18</v>
      </c>
      <c r="K291" s="32" t="n">
        <v>16831</v>
      </c>
      <c r="L291" s="31" t="n">
        <v>79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75.44</v>
      </c>
      <c r="P291" s="32" t="n">
        <v>45.58</v>
      </c>
      <c r="Q291" s="32" t="inlineStr"/>
      <c r="R291" s="31" t="inlineStr">
        <is>
          <t>Earnings / Momentum Support</t>
        </is>
      </c>
      <c r="S291" s="31" t="inlineStr">
        <is>
          <t>Nifty 50</t>
        </is>
      </c>
      <c r="T291" s="32" t="n">
        <v>-4.31</v>
      </c>
      <c r="U291" s="32" t="n">
        <v>63.87</v>
      </c>
      <c r="V291" s="32" t="n">
        <v>71.25</v>
      </c>
      <c r="W291" s="32" t="n">
        <v>20.12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Above 40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Negative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Between 0.7 to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IF(B292=0,"",RANK(B292,$B$2:$B$308,0))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EMAMIPAP</t>
        </is>
      </c>
      <c r="D292" s="33" t="inlineStr">
        <is>
          <t>Emami Paper Mills Ltd</t>
        </is>
      </c>
      <c r="E292" s="31" t="inlineStr">
        <is>
          <t>building materials</t>
        </is>
      </c>
      <c r="F292" s="31" t="inlineStr">
        <is>
          <t>paper</t>
        </is>
      </c>
      <c r="G292" s="31" t="inlineStr">
        <is>
          <t>smallcap</t>
        </is>
      </c>
      <c r="H292" s="32" t="n">
        <v>714.98</v>
      </c>
      <c r="I292" s="32" t="n">
        <v>112.28</v>
      </c>
      <c r="J292" s="32" t="n">
        <v>-4.99</v>
      </c>
      <c r="K292" s="32" t="n">
        <v>71198</v>
      </c>
      <c r="L292" s="31" t="n">
        <v>20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76.8</v>
      </c>
      <c r="P292" s="32" t="n">
        <v>13.23</v>
      </c>
      <c r="Q292" s="32" t="inlineStr"/>
      <c r="R292" s="31" t="inlineStr">
        <is>
          <t>Earnings / Momentum Support</t>
        </is>
      </c>
      <c r="S292" s="31" t="inlineStr">
        <is>
          <t>Nifty Infra</t>
        </is>
      </c>
      <c r="T292" s="32" t="n">
        <v>1.74</v>
      </c>
      <c r="U292" s="32" t="n">
        <v>-10.22</v>
      </c>
      <c r="V292" s="32" t="n">
        <v>-11.76</v>
      </c>
      <c r="W292" s="32" t="n">
        <v>2.78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Above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More than 1.2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IF(B293=0,"",RANK(B293,$B$2:$B$308,0))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ARIHANT</t>
        </is>
      </c>
      <c r="D293" s="33" t="inlineStr">
        <is>
          <t>Arihant Foundations &amp; Housing Limited</t>
        </is>
      </c>
      <c r="E293" s="31" t="inlineStr">
        <is>
          <t>realty</t>
        </is>
      </c>
      <c r="F293" s="31" t="inlineStr">
        <is>
          <t>construction</t>
        </is>
      </c>
      <c r="G293" s="31" t="inlineStr">
        <is>
          <t>smallcap</t>
        </is>
      </c>
      <c r="H293" s="32" t="n">
        <v>1018.19</v>
      </c>
      <c r="I293" s="32" t="n">
        <v>1081.4</v>
      </c>
      <c r="J293" s="32" t="n">
        <v>5.84</v>
      </c>
      <c r="K293" s="32" t="n">
        <v>7647</v>
      </c>
      <c r="L293" s="31" t="n">
        <v>1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56.3</v>
      </c>
      <c r="P293" s="32" t="n">
        <v>21.62</v>
      </c>
      <c r="Q293" s="32" t="inlineStr"/>
      <c r="R293" s="31" t="inlineStr">
        <is>
          <t>Earnings / Momentum Support</t>
        </is>
      </c>
      <c r="S293" s="31" t="inlineStr">
        <is>
          <t>Nifty Realty</t>
        </is>
      </c>
      <c r="T293" s="32" t="n">
        <v>-8.119999999999999</v>
      </c>
      <c r="U293" s="32" t="n">
        <v>-36.76</v>
      </c>
      <c r="V293" s="32" t="n">
        <v>-31.17</v>
      </c>
      <c r="W293" s="32" t="n">
        <v>-11.87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4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IF(B294=0,"",RANK(B294,$B$2:$B$308,0))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SALSTEEL</t>
        </is>
      </c>
      <c r="D294" s="31" t="inlineStr">
        <is>
          <t>SAL Steel</t>
        </is>
      </c>
      <c r="E294" s="31" t="inlineStr">
        <is>
          <t>metals &amp; mining</t>
        </is>
      </c>
      <c r="F294" s="31" t="inlineStr">
        <is>
          <t>steel - sponge iron</t>
        </is>
      </c>
      <c r="G294" s="31" t="inlineStr">
        <is>
          <t>smallcap</t>
        </is>
      </c>
      <c r="H294" s="32" t="n">
        <v>820.97</v>
      </c>
      <c r="I294" s="32" t="n">
        <v>59.54</v>
      </c>
      <c r="J294" s="32" t="n">
        <v>4.99</v>
      </c>
      <c r="K294" s="32" t="n">
        <v>197903</v>
      </c>
      <c r="L294" s="31" t="n">
        <v>90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58.77</v>
      </c>
      <c r="P294" s="32" t="n">
        <v>24.01</v>
      </c>
      <c r="Q294" s="32" t="inlineStr"/>
      <c r="R294" s="31" t="inlineStr">
        <is>
          <t>Earnings / Momentum Support</t>
        </is>
      </c>
      <c r="S294" s="31" t="inlineStr">
        <is>
          <t>Nifty Metal</t>
        </is>
      </c>
      <c r="T294" s="32" t="n">
        <v>31.49</v>
      </c>
      <c r="U294" s="32" t="n">
        <v>216.19</v>
      </c>
      <c r="V294" s="32" t="n">
        <v>140.46</v>
      </c>
      <c r="W294" s="32" t="n">
        <v>28.4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Cyclical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Volatile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Less than 1.5</t>
        </is>
      </c>
      <c r="BU294" s="31">
        <f>IF(BT294="Above 2",0,IF(BT294="Between 1.5 to 2",5,IF(BT294="Less than 1.5",10,0)))</f>
        <v/>
      </c>
      <c r="BV294" s="31" t="inlineStr">
        <is>
          <t>Negative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More than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IF(B295=0,"",RANK(B295,$B$2:$B$308,0))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KAMDHENU</t>
        </is>
      </c>
      <c r="D295" s="33" t="inlineStr">
        <is>
          <t>Kamdhenu Limited</t>
        </is>
      </c>
      <c r="E295" s="31" t="inlineStr">
        <is>
          <t>metals &amp; mining</t>
        </is>
      </c>
      <c r="F295" s="31" t="inlineStr">
        <is>
          <t>steel - medium / small</t>
        </is>
      </c>
      <c r="G295" s="31" t="inlineStr">
        <is>
          <t>smallcap</t>
        </is>
      </c>
      <c r="H295" s="32" t="n">
        <v>1018.73</v>
      </c>
      <c r="I295" s="32" t="n">
        <v>36.76</v>
      </c>
      <c r="J295" s="32" t="n">
        <v>1.72</v>
      </c>
      <c r="K295" s="32" t="n">
        <v>836699</v>
      </c>
      <c r="L295" s="31" t="n">
        <v>65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73.70999999999999</v>
      </c>
      <c r="P295" s="32" t="n">
        <v>34.95</v>
      </c>
      <c r="Q295" s="32" t="inlineStr"/>
      <c r="R295" s="31" t="inlineStr">
        <is>
          <t>Earnings / Momentum Support</t>
        </is>
      </c>
      <c r="S295" s="31" t="inlineStr">
        <is>
          <t>Nifty Metal</t>
        </is>
      </c>
      <c r="T295" s="32" t="n">
        <v>31.49</v>
      </c>
      <c r="U295" s="32" t="n">
        <v>12.5</v>
      </c>
      <c r="V295" s="32" t="n">
        <v>-14.45</v>
      </c>
      <c r="W295" s="32" t="n">
        <v>13.64</v>
      </c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Cyclical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Volatile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Between 50% to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IF(B296=0,"",RANK(B296,$B$2:$B$308,0))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SANATHAN</t>
        </is>
      </c>
      <c r="D296" s="33" t="inlineStr">
        <is>
          <t>Sanathan Textiles Ltd</t>
        </is>
      </c>
      <c r="E296" s="31" t="inlineStr">
        <is>
          <t>textiles</t>
        </is>
      </c>
      <c r="F296" s="31" t="inlineStr">
        <is>
          <t>textiles - cotton/blended</t>
        </is>
      </c>
      <c r="G296" s="31" t="inlineStr">
        <is>
          <t>smallcap</t>
        </is>
      </c>
      <c r="H296" s="32" t="n">
        <v>4076.72</v>
      </c>
      <c r="I296" s="32" t="n">
        <v>488.25</v>
      </c>
      <c r="J296" s="32" t="n">
        <v>1.09</v>
      </c>
      <c r="K296" s="32" t="n">
        <v>91043</v>
      </c>
      <c r="L296" s="31" t="n">
        <v>12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64.73999999999999</v>
      </c>
      <c r="P296" s="32" t="n">
        <v>14.18</v>
      </c>
      <c r="Q296" s="32" t="inlineStr"/>
      <c r="R296" s="31" t="inlineStr">
        <is>
          <t>Earnings / Momentum Support</t>
        </is>
      </c>
      <c r="S296" s="31" t="inlineStr">
        <is>
          <t>Nifty 50</t>
        </is>
      </c>
      <c r="T296" s="32" t="n">
        <v>-4.31</v>
      </c>
      <c r="U296" s="32" t="n">
        <v>-7.74</v>
      </c>
      <c r="V296" s="32" t="n">
        <v>-3.58</v>
      </c>
      <c r="W296" s="32" t="n">
        <v>0.99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Between 0.7 to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IF(B297=0,"",RANK(B297,$B$2:$B$308,0))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TCPLPACK</t>
        </is>
      </c>
      <c r="D297" s="33" t="inlineStr">
        <is>
          <t>TCPL Packaging Ltd</t>
        </is>
      </c>
      <c r="E297" s="31" t="inlineStr">
        <is>
          <t>industrials</t>
        </is>
      </c>
      <c r="F297" s="31" t="inlineStr">
        <is>
          <t>packaging</t>
        </is>
      </c>
      <c r="G297" s="31" t="inlineStr">
        <is>
          <t>smallcap</t>
        </is>
      </c>
      <c r="H297" s="32" t="n">
        <v>2936.12</v>
      </c>
      <c r="I297" s="32" t="n">
        <v>3208.7</v>
      </c>
      <c r="J297" s="32" t="n">
        <v>-0.55</v>
      </c>
      <c r="K297" s="32" t="n">
        <v>1811</v>
      </c>
      <c r="L297" s="31" t="n">
        <v>17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62.89</v>
      </c>
      <c r="P297" s="32" t="n">
        <v>18.35</v>
      </c>
      <c r="Q297" s="32" t="inlineStr"/>
      <c r="R297" s="31" t="inlineStr">
        <is>
          <t>Earnings / Momentum Support</t>
        </is>
      </c>
      <c r="S297" s="31" t="inlineStr">
        <is>
          <t>Nifty Infra</t>
        </is>
      </c>
      <c r="T297" s="32" t="n">
        <v>1.74</v>
      </c>
      <c r="U297" s="32" t="n">
        <v>-14.32</v>
      </c>
      <c r="V297" s="32" t="n">
        <v>-15.79</v>
      </c>
      <c r="W297" s="32" t="n">
        <v>2.11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Between 0.7 to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IF(B298=0,"",RANK(B298,$B$2:$B$308,0))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ENTERO</t>
        </is>
      </c>
      <c r="D298" s="33" t="inlineStr">
        <is>
          <t>Entero Healthcare Solutions Ltd</t>
        </is>
      </c>
      <c r="E298" s="31" t="inlineStr">
        <is>
          <t>healthcare</t>
        </is>
      </c>
      <c r="F298" s="31" t="inlineStr">
        <is>
          <t>trading</t>
        </is>
      </c>
      <c r="G298" s="31" t="inlineStr">
        <is>
          <t>midcap</t>
        </is>
      </c>
      <c r="H298" s="32" t="n">
        <v>5351.6</v>
      </c>
      <c r="I298" s="32" t="n">
        <v>1273.4</v>
      </c>
      <c r="J298" s="32" t="n">
        <v>3.56</v>
      </c>
      <c r="K298" s="32" t="n">
        <v>165836</v>
      </c>
      <c r="L298" s="31" t="n">
        <v>9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53.91</v>
      </c>
      <c r="P298" s="32" t="n">
        <v>17.92</v>
      </c>
      <c r="Q298" s="32" t="inlineStr"/>
      <c r="R298" s="31" t="inlineStr">
        <is>
          <t>Earnings / Momentum Support</t>
        </is>
      </c>
      <c r="S298" s="31" t="inlineStr">
        <is>
          <t>Nifty Pharma</t>
        </is>
      </c>
      <c r="T298" s="32" t="n">
        <v>12.73</v>
      </c>
      <c r="U298" s="32" t="n">
        <v>1</v>
      </c>
      <c r="V298" s="32" t="n">
        <v>-10.41</v>
      </c>
      <c r="W298" s="32" t="n">
        <v>0.1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Yes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Annuity, Lower One Time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Less than 50%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IF(B299=0,"",RANK(B299,$B$2:$B$308,0))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VRLLOG</t>
        </is>
      </c>
      <c r="D299" s="33" t="inlineStr">
        <is>
          <t>Vrl Logistics Limited</t>
        </is>
      </c>
      <c r="E299" s="31" t="inlineStr">
        <is>
          <t>transportation</t>
        </is>
      </c>
      <c r="F299" s="31" t="inlineStr">
        <is>
          <t>miscellaneous</t>
        </is>
      </c>
      <c r="G299" s="31" t="inlineStr">
        <is>
          <t>smallcap</t>
        </is>
      </c>
      <c r="H299" s="32" t="n">
        <v>4252.89</v>
      </c>
      <c r="I299" s="32" t="n">
        <v>262.75</v>
      </c>
      <c r="J299" s="32" t="n">
        <v>8.08</v>
      </c>
      <c r="K299" s="32" t="n">
        <v>2163637</v>
      </c>
      <c r="L299" s="31" t="n">
        <v>2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47.69</v>
      </c>
      <c r="P299" s="32" t="n">
        <v>6.6</v>
      </c>
      <c r="Q299" s="32" t="inlineStr"/>
      <c r="R299" s="31" t="inlineStr">
        <is>
          <t>Volume Spike / Accumulation</t>
        </is>
      </c>
      <c r="S299" s="31" t="inlineStr">
        <is>
          <t>Nifty 50</t>
        </is>
      </c>
      <c r="T299" s="32" t="n">
        <v>-4.31</v>
      </c>
      <c r="U299" s="32" t="n">
        <v>-19.32</v>
      </c>
      <c r="V299" s="32" t="n">
        <v>-15.69</v>
      </c>
      <c r="W299" s="32" t="n">
        <v>-4.54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Below 45</t>
        </is>
      </c>
      <c r="BA299" s="31">
        <f>IF(AZ299="Between 50 to 75",10,IF(AZ299="Above 75",0,0))</f>
        <v/>
      </c>
      <c r="BB299" s="31" t="inlineStr">
        <is>
          <t>Stage 4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Between 0.7 to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IF(B300=0,"",RANK(B300,$B$2:$B$308,0))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CONCOR</t>
        </is>
      </c>
      <c r="D300" s="33" t="inlineStr">
        <is>
          <t>Container Corporation Of India Limited</t>
        </is>
      </c>
      <c r="E300" s="31" t="inlineStr">
        <is>
          <t>transportation</t>
        </is>
      </c>
      <c r="F300" s="31" t="inlineStr">
        <is>
          <t>miscellaneous</t>
        </is>
      </c>
      <c r="G300" s="31" t="inlineStr">
        <is>
          <t>largecap</t>
        </is>
      </c>
      <c r="H300" s="32" t="n">
        <v>36371.06</v>
      </c>
      <c r="I300" s="32" t="n">
        <v>510.5</v>
      </c>
      <c r="J300" s="32" t="n">
        <v>6.9</v>
      </c>
      <c r="K300" s="32" t="n">
        <v>13227175</v>
      </c>
      <c r="L300" s="31" t="n">
        <v>1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47.47</v>
      </c>
      <c r="P300" s="32" t="n">
        <v>12.25</v>
      </c>
      <c r="Q300" s="32" t="inlineStr"/>
      <c r="R300" s="31" t="inlineStr">
        <is>
          <t>Earnings / Momentum Support</t>
        </is>
      </c>
      <c r="S300" s="31" t="inlineStr">
        <is>
          <t>Nifty 500</t>
        </is>
      </c>
      <c r="T300" s="32" t="n">
        <v>-0.44</v>
      </c>
      <c r="U300" s="32" t="n">
        <v>-19.06</v>
      </c>
      <c r="V300" s="32" t="n">
        <v>-18.7</v>
      </c>
      <c r="W300" s="32" t="n">
        <v>-4.96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Below 45</t>
        </is>
      </c>
      <c r="BA300" s="31">
        <f>IF(AZ300="Between 50 to 75",10,IF(AZ300="Above 75",0,0))</f>
        <v/>
      </c>
      <c r="BB300" s="31" t="inlineStr">
        <is>
          <t>Stage 4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IF(B301=0,"",RANK(B301,$B$2:$B$308,0))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TBOTEK</t>
        </is>
      </c>
      <c r="D301" s="31" t="inlineStr">
        <is>
          <t>TBO Tek Ltd</t>
        </is>
      </c>
      <c r="E301" s="31" t="inlineStr">
        <is>
          <t>i.t</t>
        </is>
      </c>
      <c r="F301" s="31" t="inlineStr">
        <is>
          <t>travel agencies</t>
        </is>
      </c>
      <c r="G301" s="31" t="inlineStr">
        <is>
          <t>midcap</t>
        </is>
      </c>
      <c r="H301" s="32" t="n">
        <v>15517.19</v>
      </c>
      <c r="I301" s="32" t="n">
        <v>1519.2</v>
      </c>
      <c r="J301" s="32" t="n">
        <v>6.31</v>
      </c>
      <c r="K301" s="32" t="n">
        <v>211003</v>
      </c>
      <c r="L301" s="31" t="n">
        <v>28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54.31</v>
      </c>
      <c r="P301" s="32" t="n">
        <v>15.44</v>
      </c>
      <c r="Q301" s="32" t="inlineStr"/>
      <c r="R301" s="31" t="inlineStr">
        <is>
          <t>Earnings / Momentum Support</t>
        </is>
      </c>
      <c r="S301" s="31" t="inlineStr">
        <is>
          <t>Nifty IT</t>
        </is>
      </c>
      <c r="T301" s="32" t="n">
        <v>-19.25</v>
      </c>
      <c r="U301" s="32" t="n">
        <v>4.25</v>
      </c>
      <c r="V301" s="32" t="n">
        <v>29.09</v>
      </c>
      <c r="W301" s="32" t="n">
        <v>4.58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Negative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IF(B302=0,"",RANK(B302,$B$2:$B$308,0))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RITCO</t>
        </is>
      </c>
      <c r="D302" s="31" t="inlineStr">
        <is>
          <t>Ritco Logistics Ltd</t>
        </is>
      </c>
      <c r="E302" s="31" t="inlineStr">
        <is>
          <t>transportation</t>
        </is>
      </c>
      <c r="F302" s="31" t="inlineStr">
        <is>
          <t>miscellaneous</t>
        </is>
      </c>
      <c r="G302" s="31" t="inlineStr">
        <is>
          <t>smallcap</t>
        </is>
      </c>
      <c r="H302" s="32" t="n">
        <v>850.67</v>
      </c>
      <c r="I302" s="32" t="n">
        <v>295.1</v>
      </c>
      <c r="J302" s="32" t="n">
        <v>-0.71</v>
      </c>
      <c r="K302" s="32" t="n">
        <v>465386</v>
      </c>
      <c r="L302" s="31" t="n">
        <v>53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64.19</v>
      </c>
      <c r="P302" s="32" t="n">
        <v>31.73</v>
      </c>
      <c r="Q302" s="32" t="inlineStr"/>
      <c r="R302" s="31" t="inlineStr">
        <is>
          <t>Earnings / Momentum Support</t>
        </is>
      </c>
      <c r="S302" s="31" t="inlineStr">
        <is>
          <t>Nifty 50</t>
        </is>
      </c>
      <c r="T302" s="32" t="n">
        <v>-4.31</v>
      </c>
      <c r="U302" s="32" t="n">
        <v>2.48</v>
      </c>
      <c r="V302" s="32" t="n">
        <v>7.09</v>
      </c>
      <c r="W302" s="32" t="n">
        <v>10.15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Negative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More than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IF(B303=0,"",RANK(B303,$B$2:$B$308,0))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LLOYDSME</t>
        </is>
      </c>
      <c r="D303" s="33" t="inlineStr">
        <is>
          <t>Lloyds Metals &amp; Energy Ltd</t>
        </is>
      </c>
      <c r="E303" s="31" t="inlineStr">
        <is>
          <t>metals &amp; mining</t>
        </is>
      </c>
      <c r="F303" s="31" t="inlineStr">
        <is>
          <t>mining / minerals / metals</t>
        </is>
      </c>
      <c r="G303" s="31" t="inlineStr">
        <is>
          <t>largecap</t>
        </is>
      </c>
      <c r="H303" s="32" t="n">
        <v>109232.09</v>
      </c>
      <c r="I303" s="32" t="n">
        <v>2014.9</v>
      </c>
      <c r="J303" s="32" t="n">
        <v>3.83</v>
      </c>
      <c r="K303" s="32" t="n">
        <v>1480673</v>
      </c>
      <c r="L303" s="31" t="n">
        <v>48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74.59</v>
      </c>
      <c r="P303" s="32" t="n">
        <v>44.25</v>
      </c>
      <c r="Q303" s="32" t="inlineStr"/>
      <c r="R303" s="31" t="inlineStr">
        <is>
          <t>Earnings / Momentum Support</t>
        </is>
      </c>
      <c r="S303" s="31" t="inlineStr">
        <is>
          <t>Nifty Metal</t>
        </is>
      </c>
      <c r="T303" s="32" t="n">
        <v>31.49</v>
      </c>
      <c r="U303" s="32" t="n">
        <v>26.75</v>
      </c>
      <c r="V303" s="32" t="n">
        <v>-3.61</v>
      </c>
      <c r="W303" s="32" t="n">
        <v>8.960000000000001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Cyclical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Volatile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Above 40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Less than 50% and Borrowings are increasing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More than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IF(B304=0,"",RANK(B304,$B$2:$B$308,0))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M&amp;M</t>
        </is>
      </c>
      <c r="D304" s="33" t="inlineStr">
        <is>
          <t>Mahindra &amp; Mahindra Limited</t>
        </is>
      </c>
      <c r="E304" s="31" t="inlineStr">
        <is>
          <t>auto</t>
        </is>
      </c>
      <c r="F304" s="31" t="inlineStr">
        <is>
          <t>automobiles - passenger cars</t>
        </is>
      </c>
      <c r="G304" s="31" t="inlineStr">
        <is>
          <t>largecap</t>
        </is>
      </c>
      <c r="H304" s="32" t="n">
        <v>393129.2</v>
      </c>
      <c r="I304" s="32" t="n">
        <v>3238.6</v>
      </c>
      <c r="J304" s="32" t="n">
        <v>2.44</v>
      </c>
      <c r="K304" s="32" t="n">
        <v>2264570</v>
      </c>
      <c r="L304" s="31" t="n">
        <v>11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49.18</v>
      </c>
      <c r="P304" s="32" t="n">
        <v>8.74</v>
      </c>
      <c r="Q304" s="32" t="inlineStr"/>
      <c r="R304" s="31" t="inlineStr">
        <is>
          <t>Earnings / Momentum Support</t>
        </is>
      </c>
      <c r="S304" s="31" t="inlineStr">
        <is>
          <t>Nifty Auto</t>
        </is>
      </c>
      <c r="T304" s="32" t="n">
        <v>13.41</v>
      </c>
      <c r="U304" s="32" t="n">
        <v>0.63</v>
      </c>
      <c r="V304" s="32" t="n">
        <v>-11.27</v>
      </c>
      <c r="W304" s="32" t="n">
        <v>0.5600000000000001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Below 45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Less than 50% and Borrowings are increasing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More than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IF(B305=0,"",RANK(B305,$B$2:$B$308,0))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VHLTD</t>
        </is>
      </c>
      <c r="D305" s="31" t="inlineStr">
        <is>
          <t>Viceroy Hotels Ltd</t>
        </is>
      </c>
      <c r="E305" s="31" t="inlineStr">
        <is>
          <t>services</t>
        </is>
      </c>
      <c r="F305" s="31" t="inlineStr">
        <is>
          <t>hotels</t>
        </is>
      </c>
      <c r="G305" s="31" t="inlineStr">
        <is>
          <t>smallcap</t>
        </is>
      </c>
      <c r="H305" s="32" t="n">
        <v>891.97</v>
      </c>
      <c r="I305" s="32" t="n">
        <v>134.09</v>
      </c>
      <c r="J305" s="32" t="n">
        <v>1.59</v>
      </c>
      <c r="K305" s="32" t="n">
        <v>92015</v>
      </c>
      <c r="L305" s="31" t="n">
        <v>26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46.94</v>
      </c>
      <c r="P305" s="32" t="n">
        <v>13.79</v>
      </c>
      <c r="Q305" s="32" t="inlineStr"/>
      <c r="R305" s="31" t="inlineStr">
        <is>
          <t>Earnings / Momentum Support</t>
        </is>
      </c>
      <c r="S305" s="31" t="inlineStr">
        <is>
          <t>Nifty 50</t>
        </is>
      </c>
      <c r="T305" s="32" t="n">
        <v>-4.31</v>
      </c>
      <c r="U305" s="32" t="n">
        <v>25.43</v>
      </c>
      <c r="V305" s="32" t="n">
        <v>31.07</v>
      </c>
      <c r="W305" s="32" t="n">
        <v>4.29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Below 45</t>
        </is>
      </c>
      <c r="BA305" s="31">
        <f>IF(AZ305="Between 50 to 75",10,IF(AZ305="Above 75",0,0))</f>
        <v/>
      </c>
      <c r="BB305" s="31" t="inlineStr">
        <is>
          <t>Stage 4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Between 0.7 to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IF(B306=0,"",RANK(B306,$B$2:$B$308,0))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GANDHITUBE</t>
        </is>
      </c>
      <c r="D306" s="33" t="inlineStr">
        <is>
          <t>Gandhi Special Tubes Limited</t>
        </is>
      </c>
      <c r="E306" s="31" t="inlineStr">
        <is>
          <t>metals &amp; mining</t>
        </is>
      </c>
      <c r="F306" s="31" t="inlineStr">
        <is>
          <t>steel - medium / small</t>
        </is>
      </c>
      <c r="G306" s="31" t="inlineStr">
        <is>
          <t>smallcap</t>
        </is>
      </c>
      <c r="H306" s="32" t="n">
        <v>1054.79</v>
      </c>
      <c r="I306" s="32" t="n">
        <v>875.85</v>
      </c>
      <c r="J306" s="32" t="n">
        <v>0.9</v>
      </c>
      <c r="K306" s="32" t="n">
        <v>4803</v>
      </c>
      <c r="L306" s="31" t="n">
        <v>27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54.21</v>
      </c>
      <c r="P306" s="32" t="n">
        <v>12.2</v>
      </c>
      <c r="Q306" s="32" t="inlineStr"/>
      <c r="R306" s="31" t="inlineStr">
        <is>
          <t>Earnings / Momentum Support</t>
        </is>
      </c>
      <c r="S306" s="31" t="inlineStr">
        <is>
          <t>Nifty Metal</t>
        </is>
      </c>
      <c r="T306" s="32" t="n">
        <v>31.49</v>
      </c>
      <c r="U306" s="32" t="n">
        <v>20.74</v>
      </c>
      <c r="V306" s="32" t="n">
        <v>-8.18</v>
      </c>
      <c r="W306" s="32" t="n">
        <v>4.51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Between 50% to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IF(B307=0,"",RANK(B307,$B$2:$B$308,0))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ICEMAKE</t>
        </is>
      </c>
      <c r="D307" s="31" t="inlineStr">
        <is>
          <t>ICE Make Refrigeration Ltd</t>
        </is>
      </c>
      <c r="E307" s="31" t="inlineStr">
        <is>
          <t>industrials</t>
        </is>
      </c>
      <c r="F307" s="31" t="inlineStr">
        <is>
          <t>engineering</t>
        </is>
      </c>
      <c r="G307" s="31" t="inlineStr">
        <is>
          <t>smallcap</t>
        </is>
      </c>
      <c r="H307" s="32" t="n">
        <v>1366.05</v>
      </c>
      <c r="I307" s="32" t="n">
        <v>863.25</v>
      </c>
      <c r="J307" s="32" t="n">
        <v>-0.28</v>
      </c>
      <c r="K307" s="32" t="n">
        <v>43856</v>
      </c>
      <c r="L307" s="31" t="n">
        <v>26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59.78</v>
      </c>
      <c r="P307" s="32" t="n">
        <v>19.04</v>
      </c>
      <c r="Q307" s="32" t="inlineStr"/>
      <c r="R307" s="31" t="inlineStr">
        <is>
          <t>Earnings / Momentum Support</t>
        </is>
      </c>
      <c r="S307" s="31" t="inlineStr">
        <is>
          <t>Nifty 50</t>
        </is>
      </c>
      <c r="T307" s="32" t="n">
        <v>-4.31</v>
      </c>
      <c r="U307" s="32" t="n">
        <v>10.57</v>
      </c>
      <c r="V307" s="32" t="n">
        <v>15.55</v>
      </c>
      <c r="W307" s="32" t="n">
        <v>4.24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Negative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Between 0.7 to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IF(B308=0,"",RANK(B308,$B$2:$B$308,0))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SGIL</t>
        </is>
      </c>
      <c r="D308" s="31" t="inlineStr">
        <is>
          <t>Synergy Green Industries Ltd</t>
        </is>
      </c>
      <c r="E308" s="31" t="inlineStr">
        <is>
          <t>industrials</t>
        </is>
      </c>
      <c r="F308" s="31" t="inlineStr">
        <is>
          <t>castings &amp; forgings</t>
        </is>
      </c>
      <c r="G308" s="31" t="inlineStr">
        <is>
          <t>smallcap</t>
        </is>
      </c>
      <c r="H308" s="32" t="n">
        <v>926.83</v>
      </c>
      <c r="I308" s="32" t="n">
        <v>599.75</v>
      </c>
      <c r="J308" s="32" t="n">
        <v>0.58</v>
      </c>
      <c r="K308" s="32" t="n">
        <v>7999</v>
      </c>
      <c r="L308" s="31" t="n">
        <v>33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59.09</v>
      </c>
      <c r="P308" s="32" t="n">
        <v>19.11</v>
      </c>
      <c r="Q308" s="32" t="inlineStr"/>
      <c r="R308" s="31" t="inlineStr">
        <is>
          <t>Earnings / Momentum Support</t>
        </is>
      </c>
      <c r="S308" s="31" t="inlineStr">
        <is>
          <t>Nifty Infra</t>
        </is>
      </c>
      <c r="T308" s="32" t="n">
        <v>1.74</v>
      </c>
      <c r="U308" s="32" t="n">
        <v>11.73</v>
      </c>
      <c r="V308" s="32" t="n">
        <v>9.81</v>
      </c>
      <c r="W308" s="32" t="n">
        <v>5.57</v>
      </c>
      <c r="X308" s="31" t="inlineStr">
        <is>
          <t>Cyclical in an Upturn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Less than 50% and Borrowings are increasing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More than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</sheetData>
  <autoFilter ref="A1:CE308"/>
  <conditionalFormatting sqref="B2:B30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0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0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0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0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0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0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0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0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0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0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0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0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0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0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0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0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0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0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0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0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0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0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0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0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0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0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0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0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0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08">
    <cfRule type="cellIs" priority="36" operator="equal" dxfId="3" stopIfTrue="1">
      <formula>"Underperforming"</formula>
    </cfRule>
  </conditionalFormatting>
  <conditionalFormatting sqref="N2:N308">
    <cfRule type="cellIs" priority="37" operator="equal" dxfId="3" stopIfTrue="1">
      <formula>-5</formula>
    </cfRule>
  </conditionalFormatting>
  <conditionalFormatting sqref="Q2:Q308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08" showDropDown="0" showInputMessage="0" showErrorMessage="0" allowBlank="1" type="list">
      <formula1>"Growing Industry,Stagnant Industry,Cyclical in an Upturn"</formula1>
    </dataValidation>
    <dataValidation sqref="Z2:Z30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08" showDropDown="0" showInputMessage="0" showErrorMessage="0" allowBlank="1" type="list">
      <formula1>"Yes,No"</formula1>
    </dataValidation>
    <dataValidation sqref="AD2:AD308" showDropDown="0" showInputMessage="0" showErrorMessage="0" allowBlank="1" type="list">
      <formula1>"Tailwind,Headwind"</formula1>
    </dataValidation>
    <dataValidation sqref="AF2:AF308" showDropDown="0" showInputMessage="0" showErrorMessage="0" allowBlank="1" type="list">
      <formula1>"Structural (10 Years Consistency),Shallow Cyclical (2 to 3 Years Growth),Cyclical"</formula1>
    </dataValidation>
    <dataValidation sqref="AH2:AH308" showDropDown="0" showInputMessage="0" showErrorMessage="0" allowBlank="1" type="list">
      <formula1>"Yes due to Product Mix change or Operating Leverage,Yes, these are peak margins,No"</formula1>
    </dataValidation>
    <dataValidation sqref="AJ2:AJ308" showDropDown="0" showInputMessage="0" showErrorMessage="0" allowBlank="1" type="list">
      <formula1>"Stable,Volatile"</formula1>
    </dataValidation>
    <dataValidation sqref="AL2:AL308" showDropDown="0" showInputMessage="0" showErrorMessage="0" allowBlank="1" type="list">
      <formula1>"Yes,No"</formula1>
    </dataValidation>
    <dataValidation sqref="AN2:AN308" showDropDown="0" showInputMessage="0" showErrorMessage="0" allowBlank="1" type="list">
      <formula1>"B2C,B2B,B2G"</formula1>
    </dataValidation>
    <dataValidation sqref="AP2:AP308" showDropDown="0" showInputMessage="0" showErrorMessage="0" allowBlank="1" type="list">
      <formula1>"Yes,No"</formula1>
    </dataValidation>
    <dataValidation sqref="AR2:AR308" showDropDown="0" showInputMessage="0" showErrorMessage="0" allowBlank="1" type="list">
      <formula1>"Fully Annuity,Higher Annuity, Lower One time,Higher One Time, Lower Annuity,Fully One Time"</formula1>
    </dataValidation>
    <dataValidation sqref="AT2:AT308" showDropDown="0" showInputMessage="0" showErrorMessage="0" allowBlank="1" type="list">
      <formula1>"Good,Allocated capital in Non-core Areas"</formula1>
    </dataValidation>
    <dataValidation sqref="AV2:AV308" showDropDown="0" showInputMessage="0" showErrorMessage="0" allowBlank="1" type="list">
      <formula1>"Yes for more than 2 years,Yes only for next 1 to 2 years,No"</formula1>
    </dataValidation>
    <dataValidation sqref="AX2:AX308" showDropDown="0" showInputMessage="0" showErrorMessage="0" allowBlank="1" type="list">
      <formula1>"Above 40,20 to 40,0 to 20"</formula1>
    </dataValidation>
    <dataValidation sqref="AZ2:AZ308" showDropDown="0" showInputMessage="0" showErrorMessage="0" allowBlank="1" type="list">
      <formula1>"Between 50 to 75,Above 75,Below 45"</formula1>
    </dataValidation>
    <dataValidation sqref="BB2:BB308" showDropDown="0" showInputMessage="0" showErrorMessage="0" allowBlank="1" type="list">
      <formula1>"Stage 1,Stage 2,Stage 3,Stage 4"</formula1>
    </dataValidation>
    <dataValidation sqref="BD2:BD308" showDropDown="0" showInputMessage="0" showErrorMessage="0" allowBlank="1" type="list">
      <formula1>"Positive Trend,Negative Trend"</formula1>
    </dataValidation>
    <dataValidation sqref="BF2:BF308" showDropDown="0" showInputMessage="0" showErrorMessage="0" allowBlank="1" type="list">
      <formula1>"Uptrend,Sideways,Downtrend"</formula1>
    </dataValidation>
    <dataValidation sqref="BH2:BH308" showDropDown="0" showInputMessage="0" showErrorMessage="0" allowBlank="1" type="list">
      <formula1>"Uptrend,Sideways,Downtrend"</formula1>
    </dataValidation>
    <dataValidation sqref="BJ2:BJ30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08" showDropDown="0" showInputMessage="0" showErrorMessage="0" allowBlank="1" type="list">
      <formula1>"Yes,No"</formula1>
    </dataValidation>
    <dataValidation sqref="BN2:BN308" showDropDown="0" showInputMessage="0" showErrorMessage="0" allowBlank="1" type="list">
      <formula1>"More than 20%,Between 12 to 20%,Less than 12%"</formula1>
    </dataValidation>
    <dataValidation sqref="BP2:BP308" showDropDown="0" showInputMessage="0" showErrorMessage="0" allowBlank="1" type="list">
      <formula1>"Yes,No"</formula1>
    </dataValidation>
    <dataValidation sqref="BR2:BR308" showDropDown="0" showInputMessage="0" showErrorMessage="0" allowBlank="1" type="list">
      <formula1>"Yes,No"</formula1>
    </dataValidation>
    <dataValidation sqref="BT2:BT308" showDropDown="0" showInputMessage="0" showErrorMessage="0" allowBlank="1" type="list">
      <formula1>"Above 2,Between 1.5 to 2,Less than 1.5"</formula1>
    </dataValidation>
    <dataValidation sqref="BV2:BV308" showDropDown="0" showInputMessage="0" showErrorMessage="0" allowBlank="1" type="list">
      <formula1>"Above 70%,Between 50% to 70%,Less than 50%,Less than 50% and Borrowings are increasing,Negative"</formula1>
    </dataValidation>
    <dataValidation sqref="BX2:BX308" showDropDown="0" showInputMessage="0" showErrorMessage="0" allowBlank="1" type="list">
      <formula1>"More than 1.2,Between 0.7 to 1.2,Less than 0.7"</formula1>
    </dataValidation>
    <dataValidation sqref="BZ2:BZ308" showDropDown="0" showInputMessage="0" showErrorMessage="0" allowBlank="1" type="list">
      <formula1>"Yes,No"</formula1>
    </dataValidation>
    <dataValidation sqref="CB2:CB308" showDropDown="0" showInputMessage="0" showErrorMessage="0" allowBlank="1" type="list">
      <formula1>"More than 15%,Less than 15%"</formula1>
    </dataValidation>
    <dataValidation sqref="CD2:CD30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IF(B2=0,"",RANK(B2,$B$2:$B$51,0))</f>
        <v/>
      </c>
      <c r="B2" s="32">
        <f>SUM(N2,Y2,AA2,AC2,AE2,AG2,AI2,AK2,AM2,AO2,AQ2,AS2,AU2,AW2,AY2,BA2,BC2,BE2,BG2,BI2,BK2,BM2,BO2,BQ2,BS2,BU2,BW2,BY2,CA2)</f>
        <v/>
      </c>
      <c r="C2" s="31" t="inlineStr">
        <is>
          <t>ARMANFIN</t>
        </is>
      </c>
      <c r="D2" s="31" t="inlineStr">
        <is>
          <t>Arman Financial Services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2016</v>
      </c>
      <c r="I2" s="32" t="n">
        <v>1993.4</v>
      </c>
      <c r="J2" s="32" t="n">
        <v>3.97</v>
      </c>
      <c r="K2" s="32" t="n">
        <v>40012</v>
      </c>
      <c r="L2" s="31" t="n">
        <v>50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62.9</v>
      </c>
      <c r="P2" s="32" t="n">
        <v>19.93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0.29</v>
      </c>
      <c r="U2" s="32" t="n">
        <v>15.24</v>
      </c>
      <c r="V2" s="32" t="n">
        <v>14.9</v>
      </c>
      <c r="W2" s="32" t="n">
        <v>9.35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Cyclical in an Uptick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Not Applicable</t>
        </is>
      </c>
      <c r="AK2" s="31">
        <f>IF(AJ2="Yes",10,0)</f>
        <v/>
      </c>
      <c r="AL2" s="31" t="inlineStr">
        <is>
          <t>Yes</t>
        </is>
      </c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Not Applicable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Sideways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IF(B3=0,"",RANK(B3,$B$2:$B$51,0))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TMB</t>
        </is>
      </c>
      <c r="D3" s="31" t="inlineStr">
        <is>
          <t>Tamilnad Mercantile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12739.37</v>
      </c>
      <c r="I3" s="32" t="n">
        <v>893.65</v>
      </c>
      <c r="J3" s="32" t="n">
        <v>11.08</v>
      </c>
      <c r="K3" s="32" t="n">
        <v>7671271</v>
      </c>
      <c r="L3" s="31" t="n">
        <v>78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67.73999999999999</v>
      </c>
      <c r="P3" s="32" t="n">
        <v>36.52</v>
      </c>
      <c r="Q3" s="32" t="inlineStr"/>
      <c r="R3" s="31" t="inlineStr">
        <is>
          <t>Volume Spike / Accumulation</t>
        </is>
      </c>
      <c r="S3" s="31" t="inlineStr">
        <is>
          <t>Nifty Bank</t>
        </is>
      </c>
      <c r="T3" s="32" t="n">
        <v>0.29</v>
      </c>
      <c r="U3" s="32" t="n">
        <v>84.11</v>
      </c>
      <c r="V3" s="32" t="n">
        <v>83.56999999999999</v>
      </c>
      <c r="W3" s="32" t="n">
        <v>19.1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IF(B4=0,"",RANK(B4,$B$2:$B$51,0))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MANBA</t>
        </is>
      </c>
      <c r="D4" s="31" t="inlineStr">
        <is>
          <t>Manba Finance Ltd</t>
        </is>
      </c>
      <c r="E4" s="31" t="inlineStr">
        <is>
          <t>financials</t>
        </is>
      </c>
      <c r="F4" s="31" t="inlineStr">
        <is>
          <t>finance &amp; investments</t>
        </is>
      </c>
      <c r="G4" s="31" t="inlineStr">
        <is>
          <t>smallcap</t>
        </is>
      </c>
      <c r="H4" s="32" t="n">
        <v>694.36</v>
      </c>
      <c r="I4" s="32" t="n">
        <v>146.37</v>
      </c>
      <c r="J4" s="32" t="n">
        <v>5.9</v>
      </c>
      <c r="K4" s="32" t="n">
        <v>2948629</v>
      </c>
      <c r="L4" s="31" t="n">
        <v>41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62.66</v>
      </c>
      <c r="P4" s="32" t="n">
        <v>25.47</v>
      </c>
      <c r="Q4" s="32" t="inlineStr"/>
      <c r="R4" s="31" t="inlineStr">
        <is>
          <t>Volume Spike / Accumulation</t>
        </is>
      </c>
      <c r="S4" s="31" t="inlineStr">
        <is>
          <t>Nifty Bank</t>
        </is>
      </c>
      <c r="T4" s="32" t="n">
        <v>0.29</v>
      </c>
      <c r="U4" s="32" t="n">
        <v>1.6</v>
      </c>
      <c r="V4" s="32" t="n">
        <v>1.3</v>
      </c>
      <c r="W4" s="32" t="n">
        <v>7.22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IF(B5=0,"",RANK(B5,$B$2:$B$51,0))</f>
        <v/>
      </c>
      <c r="B5" s="32">
        <f>SUM(N5,Y5,AA5,AC5,AE5,AG5,AI5,AK5,AM5,AO5,AQ5,AS5,AU5,AW5,AY5,BA5,BC5,BE5,BG5,BI5,BK5,BM5,BO5,BQ5,BS5,BU5,BW5,BY5,CA5)</f>
        <v/>
      </c>
      <c r="C5" s="31" t="inlineStr">
        <is>
          <t>CREDITACC</t>
        </is>
      </c>
      <c r="D5" s="31" t="inlineStr">
        <is>
          <t>CreditAccess Grameen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largecap</t>
        </is>
      </c>
      <c r="H5" s="32" t="n">
        <v>24320.99</v>
      </c>
      <c r="I5" s="32" t="n">
        <v>1591.1</v>
      </c>
      <c r="J5" s="32" t="n">
        <v>4.84</v>
      </c>
      <c r="K5" s="32" t="n">
        <v>3825382</v>
      </c>
      <c r="L5" s="31" t="n">
        <v>46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61.28</v>
      </c>
      <c r="P5" s="32" t="n">
        <v>44.95</v>
      </c>
      <c r="Q5" s="32" t="inlineStr"/>
      <c r="R5" s="31" t="inlineStr">
        <is>
          <t>Volume Spike / Accumulation</t>
        </is>
      </c>
      <c r="S5" s="31" t="inlineStr">
        <is>
          <t>Nifty Bank</t>
        </is>
      </c>
      <c r="T5" s="32" t="n">
        <v>0.29</v>
      </c>
      <c r="U5" s="32" t="n">
        <v>16.01</v>
      </c>
      <c r="V5" s="32" t="n">
        <v>15.67</v>
      </c>
      <c r="W5" s="32" t="n">
        <v>8.18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IF(B6=0,"",RANK(B6,$B$2:$B$51,0))</f>
        <v/>
      </c>
      <c r="B6" s="32">
        <f>SUM(N6,Y6,AA6,AC6,AE6,AG6,AI6,AK6,AM6,AO6,AQ6,AS6,AU6,AW6,AY6,BA6,BC6,BE6,BG6,BI6,BK6,BM6,BO6,BQ6,BS6,BU6,BW6,BY6,CA6)</f>
        <v/>
      </c>
      <c r="C6" s="31" t="inlineStr">
        <is>
          <t>DHANBANK</t>
        </is>
      </c>
      <c r="D6" s="31" t="inlineStr">
        <is>
          <t>Dhanlaxmi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smallcap</t>
        </is>
      </c>
      <c r="H6" s="32" t="n">
        <v>1353.42</v>
      </c>
      <c r="I6" s="32" t="n">
        <v>35.4</v>
      </c>
      <c r="J6" s="32" t="n">
        <v>3.24</v>
      </c>
      <c r="K6" s="32" t="n">
        <v>3148881</v>
      </c>
      <c r="L6" s="31" t="n">
        <v>56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64.33</v>
      </c>
      <c r="P6" s="32" t="n">
        <v>42.25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0.29</v>
      </c>
      <c r="U6" s="32" t="n">
        <v>23.04</v>
      </c>
      <c r="V6" s="32" t="n">
        <v>22.68</v>
      </c>
      <c r="W6" s="32" t="n">
        <v>10.9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IF(B7=0,"",RANK(B7,$B$2:$B$51,0))</f>
        <v/>
      </c>
      <c r="B7" s="32">
        <f>SUM(N7,Y7,AA7,AC7,AE7,AG7,AI7,AK7,AM7,AO7,AQ7,AS7,AU7,AW7,AY7,BA7,BC7,BE7,BG7,BI7,BK7,BM7,BO7,BQ7,BS7,BU7,BW7,BY7,CA7)</f>
        <v/>
      </c>
      <c r="C7" s="31" t="inlineStr">
        <is>
          <t>KTKBANK</t>
        </is>
      </c>
      <c r="D7" s="31" t="inlineStr">
        <is>
          <t>The Karnataka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midcap</t>
        </is>
      </c>
      <c r="H7" s="32" t="n">
        <v>10578.35</v>
      </c>
      <c r="I7" s="32" t="n">
        <v>285.55</v>
      </c>
      <c r="J7" s="32" t="n">
        <v>2.09</v>
      </c>
      <c r="K7" s="32" t="n">
        <v>3550008</v>
      </c>
      <c r="L7" s="31" t="n">
        <v>62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66.44</v>
      </c>
      <c r="P7" s="32" t="n">
        <v>46.56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0.29</v>
      </c>
      <c r="U7" s="32" t="n">
        <v>53.05</v>
      </c>
      <c r="V7" s="32" t="n">
        <v>52.61</v>
      </c>
      <c r="W7" s="32" t="n">
        <v>12.85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IF(B8=0,"",RANK(B8,$B$2:$B$51,0))</f>
        <v/>
      </c>
      <c r="B8" s="32">
        <f>SUM(N8,Y8,AA8,AC8,AE8,AG8,AI8,AK8,AM8,AO8,AQ8,AS8,AU8,AW8,AY8,BA8,BC8,BE8,BG8,BI8,BK8,BM8,BO8,BQ8,BS8,BU8,BW8,BY8,CA8)</f>
        <v/>
      </c>
      <c r="C8" s="31" t="inlineStr">
        <is>
          <t>ESAFSFB</t>
        </is>
      </c>
      <c r="D8" s="31" t="inlineStr">
        <is>
          <t>ESAF Small Finance Bank Ltd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smallcap</t>
        </is>
      </c>
      <c r="H8" s="32" t="n">
        <v>1996.22</v>
      </c>
      <c r="I8" s="32" t="n">
        <v>38.29</v>
      </c>
      <c r="J8" s="32" t="n">
        <v>-1.03</v>
      </c>
      <c r="K8" s="32" t="n">
        <v>4228358</v>
      </c>
      <c r="L8" s="31" t="n">
        <v>80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69.13</v>
      </c>
      <c r="P8" s="32" t="n">
        <v>26.08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0.29</v>
      </c>
      <c r="U8" s="32" t="n">
        <v>21.17</v>
      </c>
      <c r="V8" s="32" t="n">
        <v>20.82</v>
      </c>
      <c r="W8" s="32" t="n">
        <v>20.46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IF(B9=0,"",RANK(B9,$B$2:$B$51,0))</f>
        <v/>
      </c>
      <c r="B9" s="32">
        <f>SUM(N9,Y9,AA9,AC9,AE9,AG9,AI9,AK9,AM9,AO9,AQ9,AS9,AU9,AW9,AY9,BA9,BC9,BE9,BG9,BI9,BK9,BM9,BO9,BQ9,BS9,BU9,BW9,BY9,CA9)</f>
        <v/>
      </c>
      <c r="C9" s="31" t="inlineStr">
        <is>
          <t>SATIN</t>
        </is>
      </c>
      <c r="D9" s="31" t="inlineStr">
        <is>
          <t>Satin Creditcare Network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2970.23</v>
      </c>
      <c r="I9" s="32" t="n">
        <v>261.51</v>
      </c>
      <c r="J9" s="32" t="n">
        <v>-2.74</v>
      </c>
      <c r="K9" s="32" t="n">
        <v>864860</v>
      </c>
      <c r="L9" s="31" t="n">
        <v>88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75.77</v>
      </c>
      <c r="P9" s="32" t="n">
        <v>71.02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0.29</v>
      </c>
      <c r="U9" s="32" t="n">
        <v>79.26000000000001</v>
      </c>
      <c r="V9" s="32" t="n">
        <v>78.73999999999999</v>
      </c>
      <c r="W9" s="32" t="n">
        <v>26.56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IF(B10=0,"",RANK(B10,$B$2:$B$51,0))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TFCILTD</t>
        </is>
      </c>
      <c r="D10" s="31" t="inlineStr">
        <is>
          <t>Tourism Finance Corporation Of India Limited</t>
        </is>
      </c>
      <c r="E10" s="31" t="inlineStr">
        <is>
          <t>financials</t>
        </is>
      </c>
      <c r="F10" s="31" t="inlineStr">
        <is>
          <t>finance - term-lending institutions</t>
        </is>
      </c>
      <c r="G10" s="31" t="inlineStr">
        <is>
          <t>smallcap</t>
        </is>
      </c>
      <c r="H10" s="32" t="n">
        <v>4040.4</v>
      </c>
      <c r="I10" s="32" t="n">
        <v>94.8</v>
      </c>
      <c r="J10" s="32" t="n">
        <v>8.630000000000001</v>
      </c>
      <c r="K10" s="32" t="n">
        <v>43311808</v>
      </c>
      <c r="L10" s="31" t="n">
        <v>65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65.3</v>
      </c>
      <c r="P10" s="32" t="n">
        <v>43.84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0.29</v>
      </c>
      <c r="U10" s="32" t="n">
        <v>51.21</v>
      </c>
      <c r="V10" s="32" t="n">
        <v>50.78</v>
      </c>
      <c r="W10" s="32" t="n">
        <v>13.76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IF(B11=0,"",RANK(B11,$B$2:$B$51,0))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FUSION</t>
        </is>
      </c>
      <c r="D11" s="31" t="inlineStr">
        <is>
          <t>Fusion Micro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3508.76</v>
      </c>
      <c r="I11" s="32" t="n">
        <v>220.7</v>
      </c>
      <c r="J11" s="32" t="n">
        <v>1.95</v>
      </c>
      <c r="K11" s="32" t="n">
        <v>554472</v>
      </c>
      <c r="L11" s="31" t="n">
        <v>52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59.32</v>
      </c>
      <c r="P11" s="32" t="n">
        <v>29.59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0.29</v>
      </c>
      <c r="U11" s="32" t="n">
        <v>27.28</v>
      </c>
      <c r="V11" s="32" t="n">
        <v>26.91</v>
      </c>
      <c r="W11" s="32" t="n">
        <v>9.800000000000001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IF(B12=0,"",RANK(B12,$B$2:$B$51,0))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STARHEALTH</t>
        </is>
      </c>
      <c r="D12" s="31" t="inlineStr">
        <is>
          <t>Star Health &amp; Allied Insurance Company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largecap</t>
        </is>
      </c>
      <c r="H12" s="32" t="n">
        <v>34184.55</v>
      </c>
      <c r="I12" s="32" t="n">
        <v>592.05</v>
      </c>
      <c r="J12" s="32" t="n">
        <v>1.94</v>
      </c>
      <c r="K12" s="32" t="n">
        <v>380389</v>
      </c>
      <c r="L12" s="31" t="n">
        <v>52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66.05</v>
      </c>
      <c r="P12" s="32" t="n">
        <v>47.03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0.29</v>
      </c>
      <c r="U12" s="32" t="n">
        <v>36.63</v>
      </c>
      <c r="V12" s="32" t="n">
        <v>36.23</v>
      </c>
      <c r="W12" s="32" t="n">
        <v>9.82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IF(B13=0,"",RANK(B13,$B$2:$B$51,0))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WELINV</t>
        </is>
      </c>
      <c r="D13" s="31" t="inlineStr">
        <is>
          <t>Welspun Investments And Commercials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693.62</v>
      </c>
      <c r="I13" s="32" t="n">
        <v>1931.9</v>
      </c>
      <c r="J13" s="32" t="n">
        <v>1.79</v>
      </c>
      <c r="K13" s="32" t="n">
        <v>467</v>
      </c>
      <c r="L13" s="31" t="n">
        <v>78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75.34</v>
      </c>
      <c r="P13" s="32" t="n">
        <v>54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0.29</v>
      </c>
      <c r="U13" s="32" t="n">
        <v>77.38</v>
      </c>
      <c r="V13" s="32" t="n">
        <v>76.87</v>
      </c>
      <c r="W13" s="32" t="n">
        <v>19.4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Above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IF(B14=0,"",RANK(B14,$B$2:$B$51,0))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RANEHOLDIN</t>
        </is>
      </c>
      <c r="D14" s="31" t="inlineStr">
        <is>
          <t>Rane Holdings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2482.05</v>
      </c>
      <c r="I14" s="32" t="n">
        <v>1762.7</v>
      </c>
      <c r="J14" s="32" t="n">
        <v>1.4</v>
      </c>
      <c r="K14" s="32" t="n">
        <v>8218</v>
      </c>
      <c r="L14" s="31" t="n">
        <v>74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67.95</v>
      </c>
      <c r="P14" s="32" t="n">
        <v>38.32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0.29</v>
      </c>
      <c r="U14" s="32" t="n">
        <v>13.67</v>
      </c>
      <c r="V14" s="32" t="n">
        <v>13.34</v>
      </c>
      <c r="W14" s="32" t="n">
        <v>17.12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IF(B15=0,"",RANK(B15,$B$2:$B$51,0))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UJJIVANSFB</t>
        </is>
      </c>
      <c r="D15" s="31" t="inlineStr">
        <is>
          <t>Ujjivan Small Finance Bank Ltd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midcap</t>
        </is>
      </c>
      <c r="H15" s="32" t="n">
        <v>13756.85</v>
      </c>
      <c r="I15" s="32" t="n">
        <v>71.56999999999999</v>
      </c>
      <c r="J15" s="32" t="n">
        <v>1.2</v>
      </c>
      <c r="K15" s="32" t="n">
        <v>49027357</v>
      </c>
      <c r="L15" s="31" t="n">
        <v>71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68.23</v>
      </c>
      <c r="P15" s="32" t="n">
        <v>31.29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0.29</v>
      </c>
      <c r="U15" s="32" t="n">
        <v>63.25</v>
      </c>
      <c r="V15" s="32" t="n">
        <v>62.78</v>
      </c>
      <c r="W15" s="32" t="n">
        <v>16.08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IF(B16=0,"",RANK(B16,$B$2:$B$51,0))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CUB</t>
        </is>
      </c>
      <c r="D16" s="31" t="inlineStr">
        <is>
          <t>City Union Bank Limited</t>
        </is>
      </c>
      <c r="E16" s="31" t="inlineStr">
        <is>
          <t>bank</t>
        </is>
      </c>
      <c r="F16" s="31" t="inlineStr">
        <is>
          <t>banks - private sector</t>
        </is>
      </c>
      <c r="G16" s="31" t="inlineStr">
        <is>
          <t>largecap</t>
        </is>
      </c>
      <c r="H16" s="32" t="n">
        <v>21772.55</v>
      </c>
      <c r="I16" s="32" t="n">
        <v>221.45</v>
      </c>
      <c r="J16" s="32" t="n">
        <v>0.77</v>
      </c>
      <c r="K16" s="32" t="n">
        <v>1372673</v>
      </c>
      <c r="L16" s="31" t="n">
        <v>52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59.94</v>
      </c>
      <c r="P16" s="32" t="n">
        <v>23.58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0.29</v>
      </c>
      <c r="U16" s="32" t="n">
        <v>41.46</v>
      </c>
      <c r="V16" s="32" t="n">
        <v>41.05</v>
      </c>
      <c r="W16" s="32" t="n">
        <v>9.94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IF(B17=0,"",RANK(B17,$B$2:$B$51,0))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PAISALO</t>
        </is>
      </c>
      <c r="D17" s="31" t="inlineStr">
        <is>
          <t>Paisalo Digital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midcap</t>
        </is>
      </c>
      <c r="H17" s="32" t="n">
        <v>6382.12</v>
      </c>
      <c r="I17" s="32" t="n">
        <v>70.44</v>
      </c>
      <c r="J17" s="32" t="n">
        <v>0.38</v>
      </c>
      <c r="K17" s="32" t="n">
        <v>11574048</v>
      </c>
      <c r="L17" s="31" t="n">
        <v>90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77.56</v>
      </c>
      <c r="P17" s="32" t="n">
        <v>56.9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0.29</v>
      </c>
      <c r="U17" s="32" t="n">
        <v>116.33</v>
      </c>
      <c r="V17" s="32" t="n">
        <v>115.7</v>
      </c>
      <c r="W17" s="32" t="n">
        <v>29.61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Above 40</t>
        </is>
      </c>
      <c r="BM17" s="31">
        <f>IF(BL17="Above 40",20,IF(BL17="20 to 40",10,IF(BL17="0 to 20",-5,0)))</f>
        <v/>
      </c>
      <c r="BN17" s="31" t="inlineStr">
        <is>
          <t>Above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IF(B18=0,"",RANK(B18,$B$2:$B$51,0))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JSFB</t>
        </is>
      </c>
      <c r="D18" s="31" t="inlineStr">
        <is>
          <t>Jana Small Finance Bank Ltd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5656.29</v>
      </c>
      <c r="I18" s="32" t="n">
        <v>537.25</v>
      </c>
      <c r="J18" s="32" t="n">
        <v>0.06</v>
      </c>
      <c r="K18" s="32" t="n">
        <v>428226</v>
      </c>
      <c r="L18" s="31" t="n">
        <v>44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67.3</v>
      </c>
      <c r="P18" s="32" t="n">
        <v>34.48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0.29</v>
      </c>
      <c r="U18" s="32" t="n">
        <v>18.94</v>
      </c>
      <c r="V18" s="32" t="n">
        <v>18.59</v>
      </c>
      <c r="W18" s="32" t="n">
        <v>7.87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IF(B19=0,"",RANK(B19,$B$2:$B$51,0))</f>
        <v/>
      </c>
      <c r="B19" s="32">
        <f>SUM(N19,Y19,AA19,AC19,AE19,AG19,AI19,AK19,AM19,AO19,AQ19,AS19,AU19,AW19,AY19,BA19,BC19,BE19,BG19,BI19,BK19,BM19,BO19,BQ19,BS19,BU19,BW19,BY19,CA19)</f>
        <v/>
      </c>
      <c r="C19" s="33" t="inlineStr">
        <is>
          <t>MONARCH</t>
        </is>
      </c>
      <c r="D19" s="33" t="inlineStr">
        <is>
          <t>Monarch Networth Capital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2837.26</v>
      </c>
      <c r="I19" s="32" t="n">
        <v>397.6</v>
      </c>
      <c r="J19" s="32" t="n">
        <v>11.14</v>
      </c>
      <c r="K19" s="32" t="n">
        <v>5152604</v>
      </c>
      <c r="L19" s="31" t="n">
        <v>28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64.65000000000001</v>
      </c>
      <c r="P19" s="32" t="n">
        <v>24.55</v>
      </c>
      <c r="Q19" s="32" t="inlineStr"/>
      <c r="R19" s="31" t="inlineStr">
        <is>
          <t>Volume Spike / Accumulation</t>
        </is>
      </c>
      <c r="S19" s="31" t="inlineStr">
        <is>
          <t>Nifty Bank</t>
        </is>
      </c>
      <c r="T19" s="32" t="n">
        <v>0.29</v>
      </c>
      <c r="U19" s="32" t="n">
        <v>-2.03</v>
      </c>
      <c r="V19" s="32" t="n">
        <v>-2.31</v>
      </c>
      <c r="W19" s="32" t="n">
        <v>4.6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IF(B20=0,"",RANK(B20,$B$2:$B$51,0))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J&amp;KBANK</t>
        </is>
      </c>
      <c r="D20" s="31" t="inlineStr">
        <is>
          <t>The Jammu &amp; Kashmir Bank Limited</t>
        </is>
      </c>
      <c r="E20" s="31" t="inlineStr">
        <is>
          <t>bank</t>
        </is>
      </c>
      <c r="F20" s="31" t="inlineStr">
        <is>
          <t>banks - private sector</t>
        </is>
      </c>
      <c r="G20" s="31" t="inlineStr">
        <is>
          <t>midcap</t>
        </is>
      </c>
      <c r="H20" s="32" t="n">
        <v>19003.11</v>
      </c>
      <c r="I20" s="32" t="n">
        <v>177.51</v>
      </c>
      <c r="J20" s="32" t="n">
        <v>2.86</v>
      </c>
      <c r="K20" s="32" t="n">
        <v>3410387</v>
      </c>
      <c r="L20" s="31" t="n">
        <v>76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65.69</v>
      </c>
      <c r="P20" s="32" t="n">
        <v>58.82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0.29</v>
      </c>
      <c r="U20" s="32" t="n">
        <v>61.05</v>
      </c>
      <c r="V20" s="32" t="n">
        <v>60.59</v>
      </c>
      <c r="W20" s="32" t="n">
        <v>18.41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IF(B21=0,"",RANK(B21,$B$2:$B$51,0))</f>
        <v/>
      </c>
      <c r="B21" s="32">
        <f>SUM(N21,Y21,AA21,AC21,AE21,AG21,AI21,AK21,AM21,AO21,AQ21,AS21,AU21,AW21,AY21,BA21,BC21,BE21,BG21,BI21,BK21,BM21,BO21,BQ21,BS21,BU21,BW21,BY21,CA21)</f>
        <v/>
      </c>
      <c r="C21" s="33" t="inlineStr">
        <is>
          <t>CAPITALSFB</t>
        </is>
      </c>
      <c r="D21" s="33" t="inlineStr">
        <is>
          <t>Capital Small Finance Bank Ltd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smallcap</t>
        </is>
      </c>
      <c r="H21" s="32" t="n">
        <v>1327.58</v>
      </c>
      <c r="I21" s="32" t="n">
        <v>299.85</v>
      </c>
      <c r="J21" s="32" t="n">
        <v>2.69</v>
      </c>
      <c r="K21" s="32" t="n">
        <v>75000</v>
      </c>
      <c r="L21" s="31" t="n">
        <v>21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57.84</v>
      </c>
      <c r="P21" s="32" t="n">
        <v>29.32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0.29</v>
      </c>
      <c r="U21" s="32" t="n">
        <v>-1.56</v>
      </c>
      <c r="V21" s="32" t="n">
        <v>-1.85</v>
      </c>
      <c r="W21" s="32" t="n">
        <v>2.98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IF(B22=0,"",RANK(B22,$B$2:$B$51,0))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AUBANK</t>
        </is>
      </c>
      <c r="D22" s="31" t="inlineStr">
        <is>
          <t>AU Small Finance Bank Ltd</t>
        </is>
      </c>
      <c r="E22" s="31" t="inlineStr">
        <is>
          <t>bank</t>
        </is>
      </c>
      <c r="F22" s="31" t="inlineStr">
        <is>
          <t>banks - private sector</t>
        </is>
      </c>
      <c r="G22" s="31" t="inlineStr">
        <is>
          <t>largecap</t>
        </is>
      </c>
      <c r="H22" s="32" t="n">
        <v>75196.78</v>
      </c>
      <c r="I22" s="32" t="n">
        <v>1052.2</v>
      </c>
      <c r="J22" s="32" t="n">
        <v>4.8</v>
      </c>
      <c r="K22" s="32" t="n">
        <v>5047131</v>
      </c>
      <c r="L22" s="31" t="n">
        <v>34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52.42</v>
      </c>
      <c r="P22" s="32" t="n">
        <v>25.14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0.29</v>
      </c>
      <c r="U22" s="32" t="n">
        <v>36.9</v>
      </c>
      <c r="V22" s="32" t="n">
        <v>36.5</v>
      </c>
      <c r="W22" s="32" t="n">
        <v>5.67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IF(B23=0,"",RANK(B23,$B$2:$B$51,0))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LTF</t>
        </is>
      </c>
      <c r="D23" s="31" t="inlineStr">
        <is>
          <t>L&amp;T Finance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75766.50999999999</v>
      </c>
      <c r="I23" s="32" t="n">
        <v>312.25</v>
      </c>
      <c r="J23" s="32" t="n">
        <v>3.26</v>
      </c>
      <c r="K23" s="32" t="n">
        <v>5922451</v>
      </c>
      <c r="L23" s="31" t="n">
        <v>52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55.25</v>
      </c>
      <c r="P23" s="32" t="n">
        <v>21.83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0.29</v>
      </c>
      <c r="U23" s="32" t="n">
        <v>49.1</v>
      </c>
      <c r="V23" s="32" t="n">
        <v>48.66</v>
      </c>
      <c r="W23" s="32" t="n">
        <v>9.91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IF(B24=0,"",RANK(B24,$B$2:$B$51,0))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CGCL</t>
        </is>
      </c>
      <c r="D24" s="31" t="inlineStr">
        <is>
          <t>Capri Global Capital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largecap</t>
        </is>
      </c>
      <c r="H24" s="32" t="n">
        <v>22921.39</v>
      </c>
      <c r="I24" s="32" t="n">
        <v>244.27</v>
      </c>
      <c r="J24" s="32" t="n">
        <v>2.54</v>
      </c>
      <c r="K24" s="32" t="n">
        <v>2052332</v>
      </c>
      <c r="L24" s="31" t="n">
        <v>61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66.13</v>
      </c>
      <c r="P24" s="32" t="n">
        <v>37.77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0.29</v>
      </c>
      <c r="U24" s="32" t="n">
        <v>30.29</v>
      </c>
      <c r="V24" s="32" t="n">
        <v>29.91</v>
      </c>
      <c r="W24" s="32" t="n">
        <v>12.64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IF(B25=0,"",RANK(B25,$B$2:$B$51,0))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FEDERALBNK</t>
        </is>
      </c>
      <c r="D25" s="31" t="inlineStr">
        <is>
          <t>The Federal Bank 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87442.62</v>
      </c>
      <c r="I25" s="32" t="n">
        <v>356.5</v>
      </c>
      <c r="J25" s="32" t="n">
        <v>0.62</v>
      </c>
      <c r="K25" s="32" t="n">
        <v>6585012</v>
      </c>
      <c r="L25" s="31" t="n">
        <v>71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77.86</v>
      </c>
      <c r="P25" s="32" t="n">
        <v>31.07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0.29</v>
      </c>
      <c r="U25" s="32" t="n">
        <v>71.25</v>
      </c>
      <c r="V25" s="32" t="n">
        <v>70.76000000000001</v>
      </c>
      <c r="W25" s="32" t="n">
        <v>15.89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Above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IF(B26=0,"",RANK(B26,$B$2:$B$51,0))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NIVABUPA</t>
        </is>
      </c>
      <c r="D26" s="31" t="inlineStr">
        <is>
          <t>Niva Bupa Health Insurance Company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midcap</t>
        </is>
      </c>
      <c r="H26" s="32" t="n">
        <v>16021.76</v>
      </c>
      <c r="I26" s="32" t="n">
        <v>86.92</v>
      </c>
      <c r="J26" s="32" t="n">
        <v>0.32</v>
      </c>
      <c r="K26" s="32" t="n">
        <v>408564</v>
      </c>
      <c r="L26" s="31" t="n">
        <v>23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61.34</v>
      </c>
      <c r="P26" s="32" t="n">
        <v>32.54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0.29</v>
      </c>
      <c r="U26" s="32" t="n">
        <v>3.23</v>
      </c>
      <c r="V26" s="32" t="n">
        <v>2.93</v>
      </c>
      <c r="W26" s="32" t="n">
        <v>3.42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IF(B27=0,"",RANK(B27,$B$2:$B$51,0))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IIFL</t>
        </is>
      </c>
      <c r="D27" s="31" t="inlineStr">
        <is>
          <t>IIFL Finance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largecap</t>
        </is>
      </c>
      <c r="H27" s="32" t="n">
        <v>23671.46</v>
      </c>
      <c r="I27" s="32" t="n">
        <v>573.2</v>
      </c>
      <c r="J27" s="32" t="n">
        <v>2.99</v>
      </c>
      <c r="K27" s="32" t="n">
        <v>1874996</v>
      </c>
      <c r="L27" s="31" t="n">
        <v>50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61.23</v>
      </c>
      <c r="P27" s="32" t="n">
        <v>17.91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0.29</v>
      </c>
      <c r="U27" s="32" t="n">
        <v>8.48</v>
      </c>
      <c r="V27" s="32" t="n">
        <v>8.16</v>
      </c>
      <c r="W27" s="32" t="n">
        <v>9.529999999999999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IF(B28=0,"",RANK(B28,$B$2:$B$51,0))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SOUTHBANK</t>
        </is>
      </c>
      <c r="D28" s="31" t="inlineStr">
        <is>
          <t>The South Indian Bank Limited</t>
        </is>
      </c>
      <c r="E28" s="31" t="inlineStr">
        <is>
          <t>bank</t>
        </is>
      </c>
      <c r="F28" s="31" t="inlineStr">
        <is>
          <t>banks - private sector</t>
        </is>
      </c>
      <c r="G28" s="31" t="inlineStr">
        <is>
          <t>midcap</t>
        </is>
      </c>
      <c r="H28" s="32" t="n">
        <v>12179.24</v>
      </c>
      <c r="I28" s="32" t="n">
        <v>47.9</v>
      </c>
      <c r="J28" s="32" t="n">
        <v>2.97</v>
      </c>
      <c r="K28" s="32" t="n">
        <v>15756388</v>
      </c>
      <c r="L28" s="31" t="n">
        <v>69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61.84</v>
      </c>
      <c r="P28" s="32" t="n">
        <v>25.65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0.29</v>
      </c>
      <c r="U28" s="32" t="n">
        <v>58.6</v>
      </c>
      <c r="V28" s="32" t="n">
        <v>58.14</v>
      </c>
      <c r="W28" s="32" t="n">
        <v>14.94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IF(B29=0,"",RANK(B29,$B$2:$B$51,0))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MUTHOOTMF</t>
        </is>
      </c>
      <c r="D29" s="31" t="inlineStr">
        <is>
          <t>Muthoot Microfin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4264.18</v>
      </c>
      <c r="I29" s="32" t="n">
        <v>255.03</v>
      </c>
      <c r="J29" s="32" t="n">
        <v>1.97</v>
      </c>
      <c r="K29" s="32" t="n">
        <v>550120</v>
      </c>
      <c r="L29" s="31" t="n">
        <v>73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76.23999999999999</v>
      </c>
      <c r="P29" s="32" t="n">
        <v>41.25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0.29</v>
      </c>
      <c r="U29" s="32" t="n">
        <v>49.34</v>
      </c>
      <c r="V29" s="32" t="n">
        <v>48.9</v>
      </c>
      <c r="W29" s="32" t="n">
        <v>16.2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Above 40</t>
        </is>
      </c>
      <c r="BM29" s="31">
        <f>IF(BL29="Above 40",20,IF(BL29="20 to 40",10,IF(BL29="0 to 20",-5,0)))</f>
        <v/>
      </c>
      <c r="BN29" s="31" t="inlineStr">
        <is>
          <t>Above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IF(B30=0,"",RANK(B30,$B$2:$B$51,0))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MANAPPURAM</t>
        </is>
      </c>
      <c r="D30" s="31" t="inlineStr">
        <is>
          <t>Manappuram Finance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33153.87</v>
      </c>
      <c r="I30" s="32" t="n">
        <v>359.85</v>
      </c>
      <c r="J30" s="32" t="n">
        <v>1.95</v>
      </c>
      <c r="K30" s="32" t="n">
        <v>3881990</v>
      </c>
      <c r="L30" s="31" t="n">
        <v>55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65.48</v>
      </c>
      <c r="P30" s="32" t="n">
        <v>16.23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0.29</v>
      </c>
      <c r="U30" s="32" t="n">
        <v>33.8</v>
      </c>
      <c r="V30" s="32" t="n">
        <v>33.42</v>
      </c>
      <c r="W30" s="32" t="n">
        <v>10.75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IF(B31=0,"",RANK(B31,$B$2:$B$51,0))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M&amp;MFIN</t>
        </is>
      </c>
      <c r="D31" s="31" t="inlineStr">
        <is>
          <t>Mahindra &amp; Mahindra Financial Services Limited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49552.47</v>
      </c>
      <c r="I31" s="32" t="n">
        <v>363</v>
      </c>
      <c r="J31" s="32" t="n">
        <v>1.82</v>
      </c>
      <c r="K31" s="32" t="n">
        <v>3518187</v>
      </c>
      <c r="L31" s="31" t="n">
        <v>64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60.99</v>
      </c>
      <c r="P31" s="32" t="n">
        <v>17.44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0.29</v>
      </c>
      <c r="U31" s="32" t="n">
        <v>43.85</v>
      </c>
      <c r="V31" s="32" t="n">
        <v>43.43</v>
      </c>
      <c r="W31" s="32" t="n">
        <v>13.58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IF(B32=0,"",RANK(B32,$B$2:$B$51,0))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ANANDRATHI</t>
        </is>
      </c>
      <c r="D32" s="31" t="inlineStr">
        <is>
          <t>Anand Rathi Wealth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33907.29</v>
      </c>
      <c r="I32" s="32" t="n">
        <v>2052.1</v>
      </c>
      <c r="J32" s="32" t="n">
        <v>0.49</v>
      </c>
      <c r="K32" s="32" t="n">
        <v>110241</v>
      </c>
      <c r="L32" s="31" t="n">
        <v>62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69.68000000000001</v>
      </c>
      <c r="P32" s="32" t="n">
        <v>49.58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0.29</v>
      </c>
      <c r="U32" s="32" t="n">
        <v>57.93</v>
      </c>
      <c r="V32" s="32" t="n">
        <v>57.47</v>
      </c>
      <c r="W32" s="32" t="n">
        <v>12.95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Above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IF(B33=0,"",RANK(B33,$B$2:$B$51,0))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KARURVYSYA</t>
        </is>
      </c>
      <c r="D33" s="31" t="inlineStr">
        <is>
          <t>Karur Vysya Bank Limited</t>
        </is>
      </c>
      <c r="E33" s="31" t="inlineStr">
        <is>
          <t>bank</t>
        </is>
      </c>
      <c r="F33" s="31" t="inlineStr">
        <is>
          <t>banks - private sector</t>
        </is>
      </c>
      <c r="G33" s="31" t="inlineStr">
        <is>
          <t>largecap</t>
        </is>
      </c>
      <c r="H33" s="32" t="n">
        <v>32760.41</v>
      </c>
      <c r="I33" s="32" t="n">
        <v>339.65</v>
      </c>
      <c r="J33" s="32" t="n">
        <v>0.22</v>
      </c>
      <c r="K33" s="32" t="n">
        <v>2727470</v>
      </c>
      <c r="L33" s="31" t="n">
        <v>62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69.56</v>
      </c>
      <c r="P33" s="32" t="n">
        <v>17.16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0.29</v>
      </c>
      <c r="U33" s="32" t="n">
        <v>58.85</v>
      </c>
      <c r="V33" s="32" t="n">
        <v>58.39</v>
      </c>
      <c r="W33" s="32" t="n">
        <v>12.95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IF(B34=0,"",RANK(B34,$B$2:$B$51,0))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SHAREINDIA</t>
        </is>
      </c>
      <c r="D34" s="31" t="inlineStr">
        <is>
          <t>Share India Securities Ltd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smallcap</t>
        </is>
      </c>
      <c r="H34" s="32" t="n">
        <v>4192.04</v>
      </c>
      <c r="I34" s="32" t="n">
        <v>188.39</v>
      </c>
      <c r="J34" s="32" t="n">
        <v>-1.66</v>
      </c>
      <c r="K34" s="32" t="n">
        <v>1931245</v>
      </c>
      <c r="L34" s="31" t="n">
        <v>56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69.79000000000001</v>
      </c>
      <c r="P34" s="32" t="n">
        <v>18.67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0.29</v>
      </c>
      <c r="U34" s="32" t="n">
        <v>12.2</v>
      </c>
      <c r="V34" s="32" t="n">
        <v>11.88</v>
      </c>
      <c r="W34" s="32" t="n">
        <v>10.95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IF(B35=0,"",RANK(B35,$B$2:$B$51,0))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NUVAMA</t>
        </is>
      </c>
      <c r="D35" s="31" t="inlineStr">
        <is>
          <t>Nuvama Wealth Management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36142.53</v>
      </c>
      <c r="I35" s="32" t="n">
        <v>1916.6</v>
      </c>
      <c r="J35" s="32" t="n">
        <v>-3.21</v>
      </c>
      <c r="K35" s="32" t="n">
        <v>475623</v>
      </c>
      <c r="L35" s="31" t="n">
        <v>75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69.64</v>
      </c>
      <c r="P35" s="32" t="n">
        <v>42.07</v>
      </c>
      <c r="Q35" s="32" t="inlineStr"/>
      <c r="R35" s="31" t="inlineStr">
        <is>
          <t>Earnings / Momentum Support</t>
        </is>
      </c>
      <c r="S35" s="31" t="inlineStr">
        <is>
          <t>Nifty Bank</t>
        </is>
      </c>
      <c r="T35" s="32" t="n">
        <v>0.29</v>
      </c>
      <c r="U35" s="32" t="n">
        <v>37.34</v>
      </c>
      <c r="V35" s="32" t="n">
        <v>36.94</v>
      </c>
      <c r="W35" s="32" t="n">
        <v>17.89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Above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IF(B36=0,"",RANK(B36,$B$2:$B$51,0))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CHOLAFIN</t>
        </is>
      </c>
      <c r="D36" s="31" t="inlineStr">
        <is>
          <t>Cholamandalam Investment And Finance Company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147020.04</v>
      </c>
      <c r="I36" s="32" t="n">
        <v>1785.2</v>
      </c>
      <c r="J36" s="32" t="n">
        <v>3.53</v>
      </c>
      <c r="K36" s="32" t="n">
        <v>1963093</v>
      </c>
      <c r="L36" s="31" t="n">
        <v>32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55.34</v>
      </c>
      <c r="P36" s="32" t="n">
        <v>13.62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0.29</v>
      </c>
      <c r="U36" s="32" t="n">
        <v>14.8</v>
      </c>
      <c r="V36" s="32" t="n">
        <v>14.47</v>
      </c>
      <c r="W36" s="32" t="n">
        <v>5.12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IF(B37=0,"",RANK(B37,$B$2:$B$51,0))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POONAWALLA</t>
        </is>
      </c>
      <c r="D37" s="31" t="inlineStr">
        <is>
          <t>Poonawalla Fincorp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40476.52</v>
      </c>
      <c r="I37" s="32" t="n">
        <v>465.1</v>
      </c>
      <c r="J37" s="32" t="n">
        <v>1.17</v>
      </c>
      <c r="K37" s="32" t="n">
        <v>664006</v>
      </c>
      <c r="L37" s="31" t="n">
        <v>29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55.94</v>
      </c>
      <c r="P37" s="32" t="n">
        <v>13.43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0.29</v>
      </c>
      <c r="U37" s="32" t="n">
        <v>11.23</v>
      </c>
      <c r="V37" s="32" t="n">
        <v>10.9</v>
      </c>
      <c r="W37" s="32" t="n">
        <v>4.8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IF(B38=0,"",RANK(B38,$B$2:$B$51,0))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TVSHLTD</t>
        </is>
      </c>
      <c r="D38" s="31" t="inlineStr">
        <is>
          <t>TVS Holdings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29605.64</v>
      </c>
      <c r="I38" s="32" t="n">
        <v>14694</v>
      </c>
      <c r="J38" s="32" t="n">
        <v>0.42</v>
      </c>
      <c r="K38" s="32" t="n">
        <v>6708</v>
      </c>
      <c r="L38" s="31" t="n">
        <v>33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58.43</v>
      </c>
      <c r="P38" s="32" t="n">
        <v>14.01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0.29</v>
      </c>
      <c r="U38" s="32" t="n">
        <v>22.99</v>
      </c>
      <c r="V38" s="32" t="n">
        <v>22.63</v>
      </c>
      <c r="W38" s="32" t="n">
        <v>5.49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between 2.5x to 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IF(B39=0,"",RANK(B39,$B$2:$B$51,0))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CHOICEIN</t>
        </is>
      </c>
      <c r="D39" s="31" t="inlineStr">
        <is>
          <t>Choice International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midcap</t>
        </is>
      </c>
      <c r="H39" s="32" t="n">
        <v>17758.63</v>
      </c>
      <c r="I39" s="32" t="n">
        <v>800</v>
      </c>
      <c r="J39" s="32" t="n">
        <v>0.36</v>
      </c>
      <c r="K39" s="32" t="n">
        <v>505379</v>
      </c>
      <c r="L39" s="31" t="n">
        <v>26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59.02</v>
      </c>
      <c r="P39" s="32" t="n">
        <v>21.1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0.29</v>
      </c>
      <c r="U39" s="32" t="n">
        <v>5.99</v>
      </c>
      <c r="V39" s="32" t="n">
        <v>5.68</v>
      </c>
      <c r="W39" s="32" t="n">
        <v>4.23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IF(B40=0,"",RANK(B40,$B$2:$B$51,0))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CONSOFINVT</t>
        </is>
      </c>
      <c r="D40" s="31" t="inlineStr">
        <is>
          <t>Consolidated Finvest &amp; Holdings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smallcap</t>
        </is>
      </c>
      <c r="H40" s="32" t="n">
        <v>925.89</v>
      </c>
      <c r="I40" s="32" t="n">
        <v>285</v>
      </c>
      <c r="J40" s="32" t="n">
        <v>-0.5</v>
      </c>
      <c r="K40" s="32" t="n">
        <v>6283</v>
      </c>
      <c r="L40" s="31" t="n">
        <v>68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75.88</v>
      </c>
      <c r="P40" s="32" t="n">
        <v>29.42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0.29</v>
      </c>
      <c r="U40" s="32" t="n">
        <v>40.91</v>
      </c>
      <c r="V40" s="32" t="n">
        <v>40.5</v>
      </c>
      <c r="W40" s="32" t="n">
        <v>14.7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less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Above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IF(B41=0,"",RANK(B41,$B$2:$B$51,0))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IDFCFIRSTB</t>
        </is>
      </c>
      <c r="D41" s="31" t="inlineStr">
        <is>
          <t>IDFC First Bank Ltd</t>
        </is>
      </c>
      <c r="E41" s="31" t="inlineStr">
        <is>
          <t>bank</t>
        </is>
      </c>
      <c r="F41" s="31" t="inlineStr">
        <is>
          <t>banks - private sector</t>
        </is>
      </c>
      <c r="G41" s="31" t="inlineStr">
        <is>
          <t>largecap</t>
        </is>
      </c>
      <c r="H41" s="32" t="n">
        <v>69598.45</v>
      </c>
      <c r="I41" s="32" t="n">
        <v>84.88</v>
      </c>
      <c r="J41" s="32" t="n">
        <v>5.06</v>
      </c>
      <c r="K41" s="32" t="n">
        <v>177923165</v>
      </c>
      <c r="L41" s="31" t="n">
        <v>43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61.48</v>
      </c>
      <c r="P41" s="32" t="n">
        <v>18.3</v>
      </c>
      <c r="Q41" s="32" t="inlineStr"/>
      <c r="R41" s="31" t="inlineStr">
        <is>
          <t>Earnings / Momentum Support</t>
        </is>
      </c>
      <c r="S41" s="31" t="inlineStr">
        <is>
          <t>Nifty Bank</t>
        </is>
      </c>
      <c r="T41" s="32" t="n">
        <v>0.29</v>
      </c>
      <c r="U41" s="32" t="n">
        <v>14.27</v>
      </c>
      <c r="V41" s="32" t="n">
        <v>13.94</v>
      </c>
      <c r="W41" s="32" t="n">
        <v>7.62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3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IF(B42=0,"",RANK(B42,$B$2:$B$51,0))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PNB</t>
        </is>
      </c>
      <c r="D42" s="31" t="inlineStr">
        <is>
          <t>Punjab National Bank Ltd</t>
        </is>
      </c>
      <c r="E42" s="31" t="inlineStr">
        <is>
          <t>bank</t>
        </is>
      </c>
      <c r="F42" s="31" t="inlineStr">
        <is>
          <t>banks - public sector</t>
        </is>
      </c>
      <c r="G42" s="31" t="inlineStr">
        <is>
          <t>largecap</t>
        </is>
      </c>
      <c r="H42" s="32" t="n">
        <v>126859.11</v>
      </c>
      <c r="I42" s="32" t="n">
        <v>111.62</v>
      </c>
      <c r="J42" s="32" t="n">
        <v>1.12</v>
      </c>
      <c r="K42" s="32" t="n">
        <v>12850732</v>
      </c>
      <c r="L42" s="31" t="n">
        <v>13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52.87</v>
      </c>
      <c r="P42" s="32" t="n">
        <v>9.51</v>
      </c>
      <c r="Q42" s="32" t="inlineStr"/>
      <c r="R42" s="31" t="inlineStr">
        <is>
          <t>Earnings / Momentum Support</t>
        </is>
      </c>
      <c r="S42" s="31" t="inlineStr">
        <is>
          <t>Nifty Bank</t>
        </is>
      </c>
      <c r="T42" s="32" t="n">
        <v>0.29</v>
      </c>
      <c r="U42" s="32" t="n">
        <v>4.78</v>
      </c>
      <c r="V42" s="32" t="n">
        <v>4.47</v>
      </c>
      <c r="W42" s="32" t="n">
        <v>1.12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3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IF(B43=0,"",RANK(B43,$B$2:$B$51,0))</f>
        <v/>
      </c>
      <c r="B43" s="32">
        <f>SUM(N43,Y43,AA43,AC43,AE43,AG43,AI43,AK43,AM43,AO43,AQ43,AS43,AU43,AW43,AY43,BA43,BC43,BE43,BG43,BI43,BK43,BM43,BO43,BQ43,BS43,BU43,BW43,BY43,CA43)</f>
        <v/>
      </c>
      <c r="C43" s="33" t="inlineStr">
        <is>
          <t>INDOSTAR</t>
        </is>
      </c>
      <c r="D43" s="33" t="inlineStr">
        <is>
          <t>Indostar Capital Finance Ltd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smallcap</t>
        </is>
      </c>
      <c r="H43" s="32" t="n">
        <v>4209.29</v>
      </c>
      <c r="I43" s="32" t="n">
        <v>268.5</v>
      </c>
      <c r="J43" s="32" t="n">
        <v>3.07</v>
      </c>
      <c r="K43" s="32" t="n">
        <v>76295</v>
      </c>
      <c r="L43" s="31" t="n">
        <v>35</v>
      </c>
      <c r="M43" s="31" t="inlineStr">
        <is>
          <t>Underperforming</t>
        </is>
      </c>
      <c r="N43" s="32">
        <f>IF(M43="Underperforming",-5,IF(L43&gt;=95,15,IF(L43&gt;=90,10,IF(L43&gt;=80,5,0))))</f>
        <v/>
      </c>
      <c r="O43" s="32" t="n">
        <v>57.96</v>
      </c>
      <c r="P43" s="32" t="n">
        <v>19.79</v>
      </c>
      <c r="Q43" s="32" t="inlineStr"/>
      <c r="R43" s="31" t="inlineStr">
        <is>
          <t>Earnings / Momentum Support</t>
        </is>
      </c>
      <c r="S43" s="31" t="inlineStr">
        <is>
          <t>Nifty Bank</t>
        </is>
      </c>
      <c r="T43" s="32" t="n">
        <v>0.29</v>
      </c>
      <c r="U43" s="32" t="n">
        <v>-11</v>
      </c>
      <c r="V43" s="32" t="n">
        <v>-11.26</v>
      </c>
      <c r="W43" s="32" t="n">
        <v>5.86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3</t>
        </is>
      </c>
      <c r="BQ43" s="31">
        <f>IF(BP43="Stage 2",20,IF(BP43="Stage 1",0,IF(BP43="Stage 3",5,IF(BP43="Stage 4",-5,0))))</f>
        <v/>
      </c>
      <c r="BR43" s="31" t="inlineStr">
        <is>
          <t>Negative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IF(B44=0,"",RANK(B44,$B$2:$B$51,0))</f>
        <v/>
      </c>
      <c r="B44" s="32">
        <f>SUM(N44,Y44,AA44,AC44,AE44,AG44,AI44,AK44,AM44,AO44,AQ44,AS44,AU44,AW44,AY44,BA44,BC44,BE44,BG44,BI44,BK44,BM44,BO44,BQ44,BS44,BU44,BW44,BY44,CA44)</f>
        <v/>
      </c>
      <c r="C44" s="33" t="inlineStr">
        <is>
          <t>RECLTD</t>
        </is>
      </c>
      <c r="D44" s="33" t="inlineStr">
        <is>
          <t>REC Ltd</t>
        </is>
      </c>
      <c r="E44" s="31" t="inlineStr">
        <is>
          <t>financials</t>
        </is>
      </c>
      <c r="F44" s="31" t="inlineStr">
        <is>
          <t>finance - term-lending institutions</t>
        </is>
      </c>
      <c r="G44" s="31" t="inlineStr">
        <is>
          <t>largecap</t>
        </is>
      </c>
      <c r="H44" s="32" t="n">
        <v>95217.38</v>
      </c>
      <c r="I44" s="32" t="n">
        <v>368.15</v>
      </c>
      <c r="J44" s="32" t="n">
        <v>1.81</v>
      </c>
      <c r="K44" s="32" t="n">
        <v>9400642</v>
      </c>
      <c r="L44" s="31" t="n">
        <v>5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53.8</v>
      </c>
      <c r="P44" s="32" t="n">
        <v>7.75</v>
      </c>
      <c r="Q44" s="32" t="inlineStr"/>
      <c r="R44" s="31" t="inlineStr">
        <is>
          <t>Earnings / Momentum Support</t>
        </is>
      </c>
      <c r="S44" s="31" t="inlineStr">
        <is>
          <t>Nifty Bank</t>
        </is>
      </c>
      <c r="T44" s="32" t="n">
        <v>0.29</v>
      </c>
      <c r="U44" s="32" t="n">
        <v>-4.89</v>
      </c>
      <c r="V44" s="32" t="n">
        <v>-5.17</v>
      </c>
      <c r="W44" s="32" t="n">
        <v>-1.59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3</t>
        </is>
      </c>
      <c r="BQ44" s="31">
        <f>IF(BP44="Stage 2",20,IF(BP44="Stage 1",0,IF(BP44="Stage 3",5,IF(BP44="Stage 4",-5,0))))</f>
        <v/>
      </c>
      <c r="BR44" s="31" t="inlineStr">
        <is>
          <t>Negative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IF(B45=0,"",RANK(B45,$B$2:$B$51,0))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BAJFINANCE</t>
        </is>
      </c>
      <c r="D45" s="31" t="inlineStr">
        <is>
          <t>Bajaj Finance Limited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largecap</t>
        </is>
      </c>
      <c r="H45" s="32" t="n">
        <v>630564.65</v>
      </c>
      <c r="I45" s="32" t="n">
        <v>1048.3</v>
      </c>
      <c r="J45" s="32" t="n">
        <v>3.51</v>
      </c>
      <c r="K45" s="32" t="n">
        <v>7610916</v>
      </c>
      <c r="L45" s="31" t="n">
        <v>30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57.43</v>
      </c>
      <c r="P45" s="32" t="n">
        <v>13.8</v>
      </c>
      <c r="Q45" s="32" t="inlineStr"/>
      <c r="R45" s="31" t="inlineStr">
        <is>
          <t>Earnings / Momentum Support</t>
        </is>
      </c>
      <c r="S45" s="31" t="inlineStr">
        <is>
          <t>Nifty Bank</t>
        </is>
      </c>
      <c r="T45" s="32" t="n">
        <v>0.29</v>
      </c>
      <c r="U45" s="32" t="n">
        <v>11.52</v>
      </c>
      <c r="V45" s="32" t="n">
        <v>11.2</v>
      </c>
      <c r="W45" s="32" t="n">
        <v>4.98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above 5x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3</t>
        </is>
      </c>
      <c r="BQ45" s="31">
        <f>IF(BP45="Stage 2",20,IF(BP45="Stage 1",0,IF(BP45="Stage 3",5,IF(BP45="Stage 4",-5,0))))</f>
        <v/>
      </c>
      <c r="BR45" s="31" t="inlineStr">
        <is>
          <t>Negative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IF(B46=0,"",RANK(B46,$B$2:$B$51,0))</f>
        <v/>
      </c>
      <c r="B46" s="32">
        <f>SUM(N46,Y46,AA46,AC46,AE46,AG46,AI46,AK46,AM46,AO46,AQ46,AS46,AU46,AW46,AY46,BA46,BC46,BE46,BG46,BI46,BK46,BM46,BO46,BQ46,BS46,BU46,BW46,BY46,CA46)</f>
        <v/>
      </c>
      <c r="C46" s="31" t="inlineStr">
        <is>
          <t>360ONE</t>
        </is>
      </c>
      <c r="D46" s="31" t="inlineStr">
        <is>
          <t>360 ONE WAM Ltd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largecap</t>
        </is>
      </c>
      <c r="H46" s="32" t="n">
        <v>44828.89</v>
      </c>
      <c r="I46" s="32" t="n">
        <v>1132.7</v>
      </c>
      <c r="J46" s="32" t="n">
        <v>2.76</v>
      </c>
      <c r="K46" s="32" t="n">
        <v>928617</v>
      </c>
      <c r="L46" s="31" t="n">
        <v>17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51.28</v>
      </c>
      <c r="P46" s="32" t="n">
        <v>12.05</v>
      </c>
      <c r="Q46" s="32" t="inlineStr"/>
      <c r="R46" s="31" t="inlineStr">
        <is>
          <t>Earnings / Momentum Support</t>
        </is>
      </c>
      <c r="S46" s="31" t="inlineStr">
        <is>
          <t>Nifty Bank</t>
        </is>
      </c>
      <c r="T46" s="32" t="n">
        <v>0.29</v>
      </c>
      <c r="U46" s="32" t="n">
        <v>3.38</v>
      </c>
      <c r="V46" s="32" t="n">
        <v>3.08</v>
      </c>
      <c r="W46" s="32" t="n">
        <v>2.21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between 2.5x to 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3</t>
        </is>
      </c>
      <c r="BQ46" s="31">
        <f>IF(BP46="Stage 2",20,IF(BP46="Stage 1",0,IF(BP46="Stage 3",5,IF(BP46="Stage 4",-5,0))))</f>
        <v/>
      </c>
      <c r="BR46" s="31" t="inlineStr">
        <is>
          <t>Negative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IF(B47=0,"",RANK(B47,$B$2:$B$51,0))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SBILIFE</t>
        </is>
      </c>
      <c r="D47" s="31" t="inlineStr">
        <is>
          <t>SBI Life Insurance Company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largecap</t>
        </is>
      </c>
      <c r="H47" s="32" t="n">
        <v>186462.29</v>
      </c>
      <c r="I47" s="32" t="n">
        <v>1866.8</v>
      </c>
      <c r="J47" s="32" t="n">
        <v>0.44</v>
      </c>
      <c r="K47" s="32" t="n">
        <v>1098594</v>
      </c>
      <c r="L47" s="31" t="n">
        <v>14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50.18</v>
      </c>
      <c r="P47" s="32" t="n">
        <v>10.87</v>
      </c>
      <c r="Q47" s="32" t="inlineStr"/>
      <c r="R47" s="31" t="inlineStr">
        <is>
          <t>Earnings / Momentum Support</t>
        </is>
      </c>
      <c r="S47" s="31" t="inlineStr">
        <is>
          <t>Nifty Bank</t>
        </is>
      </c>
      <c r="T47" s="32" t="n">
        <v>0.29</v>
      </c>
      <c r="U47" s="32" t="n">
        <v>1.59</v>
      </c>
      <c r="V47" s="32" t="n">
        <v>1.29</v>
      </c>
      <c r="W47" s="32" t="n">
        <v>1.57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above 5x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3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IF(B48=0,"",RANK(B48,$B$2:$B$51,0))</f>
        <v/>
      </c>
      <c r="B48" s="32">
        <f>SUM(N48,Y48,AA48,AC48,AE48,AG48,AI48,AK48,AM48,AO48,AQ48,AS48,AU48,AW48,AY48,BA48,BC48,BE48,BG48,BI48,BK48,BM48,BO48,BQ48,BS48,BU48,BW48,BY48,CA48)</f>
        <v/>
      </c>
      <c r="C48" s="33" t="inlineStr">
        <is>
          <t>AIIL</t>
        </is>
      </c>
      <c r="D48" s="33" t="inlineStr">
        <is>
          <t>Authum Investment &amp; Infrastructure Ltd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largecap</t>
        </is>
      </c>
      <c r="H48" s="32" t="n">
        <v>45102.37</v>
      </c>
      <c r="I48" s="32" t="n">
        <v>551.7</v>
      </c>
      <c r="J48" s="32" t="n">
        <v>3.88</v>
      </c>
      <c r="K48" s="32" t="n">
        <v>283202</v>
      </c>
      <c r="L48" s="31" t="n">
        <v>15</v>
      </c>
      <c r="M48" s="31" t="inlineStr">
        <is>
          <t>Underperforming</t>
        </is>
      </c>
      <c r="N48" s="32">
        <f>IF(M48="Underperforming",-5,IF(L48&gt;=95,15,IF(L48&gt;=90,10,IF(L48&gt;=80,5,0))))</f>
        <v/>
      </c>
      <c r="O48" s="32" t="n">
        <v>52.69</v>
      </c>
      <c r="P48" s="32" t="n">
        <v>11.38</v>
      </c>
      <c r="Q48" s="32" t="inlineStr"/>
      <c r="R48" s="31" t="inlineStr">
        <is>
          <t>Earnings / Momentum Support</t>
        </is>
      </c>
      <c r="S48" s="31" t="inlineStr">
        <is>
          <t>Nifty Bank</t>
        </is>
      </c>
      <c r="T48" s="32" t="n">
        <v>0.29</v>
      </c>
      <c r="U48" s="32" t="n">
        <v>-3.11</v>
      </c>
      <c r="V48" s="32" t="n">
        <v>-3.39</v>
      </c>
      <c r="W48" s="32" t="n">
        <v>1.63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between 2.5x to 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3</t>
        </is>
      </c>
      <c r="BQ48" s="31">
        <f>IF(BP48="Stage 2",20,IF(BP48="Stage 1",0,IF(BP48="Stage 3",5,IF(BP48="Stage 4",-5,0))))</f>
        <v/>
      </c>
      <c r="BR48" s="31" t="inlineStr">
        <is>
          <t>Negative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IF(B49=0,"",RANK(B49,$B$2:$B$51,0))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BAJAJFINSV</t>
        </is>
      </c>
      <c r="D49" s="33" t="inlineStr">
        <is>
          <t>Bajaj Finserv Limited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largecap</t>
        </is>
      </c>
      <c r="H49" s="32" t="n">
        <v>300375.22</v>
      </c>
      <c r="I49" s="32" t="n">
        <v>1913</v>
      </c>
      <c r="J49" s="32" t="n">
        <v>1.93</v>
      </c>
      <c r="K49" s="32" t="n">
        <v>651274</v>
      </c>
      <c r="L49" s="31" t="n">
        <v>10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52.6</v>
      </c>
      <c r="P49" s="32" t="n">
        <v>13.62</v>
      </c>
      <c r="Q49" s="32" t="inlineStr"/>
      <c r="R49" s="31" t="inlineStr">
        <is>
          <t>Earnings / Momentum Support</t>
        </is>
      </c>
      <c r="S49" s="31" t="inlineStr">
        <is>
          <t>Nifty Bank</t>
        </is>
      </c>
      <c r="T49" s="32" t="n">
        <v>0.29</v>
      </c>
      <c r="U49" s="32" t="n">
        <v>-5.41</v>
      </c>
      <c r="V49" s="32" t="n">
        <v>-5.69</v>
      </c>
      <c r="W49" s="32" t="n">
        <v>0.4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between 2.5x to 5x and Growth less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3</t>
        </is>
      </c>
      <c r="BQ49" s="31">
        <f>IF(BP49="Stage 2",20,IF(BP49="Stage 1",0,IF(BP49="Stage 3",5,IF(BP49="Stage 4",-5,0))))</f>
        <v/>
      </c>
      <c r="BR49" s="31" t="inlineStr">
        <is>
          <t>Negative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IF(B50=0,"",RANK(B50,$B$2:$B$51,0))</f>
        <v/>
      </c>
      <c r="B50" s="32">
        <f>SUM(N50,Y50,AA50,AC50,AE50,AG50,AI50,AK50,AM50,AO50,AQ50,AS50,AU50,AW50,AY50,BA50,BC50,BE50,BG50,BI50,BK50,BM50,BO50,BQ50,BS50,BU50,BW50,BY50,CA50)</f>
        <v/>
      </c>
      <c r="C50" s="33" t="inlineStr">
        <is>
          <t>CARERATING</t>
        </is>
      </c>
      <c r="D50" s="33" t="inlineStr">
        <is>
          <t>CARE Ratings Ltd</t>
        </is>
      </c>
      <c r="E50" s="31" t="inlineStr">
        <is>
          <t>financials</t>
        </is>
      </c>
      <c r="F50" s="31" t="inlineStr">
        <is>
          <t>miscellaneous</t>
        </is>
      </c>
      <c r="G50" s="31" t="inlineStr">
        <is>
          <t>midcap</t>
        </is>
      </c>
      <c r="H50" s="32" t="n">
        <v>5050.15</v>
      </c>
      <c r="I50" s="32" t="n">
        <v>1700.6</v>
      </c>
      <c r="J50" s="32" t="n">
        <v>1.23</v>
      </c>
      <c r="K50" s="32" t="n">
        <v>138919</v>
      </c>
      <c r="L50" s="31" t="n">
        <v>14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55.44</v>
      </c>
      <c r="P50" s="32" t="n">
        <v>18.59</v>
      </c>
      <c r="Q50" s="32" t="inlineStr"/>
      <c r="R50" s="31" t="inlineStr">
        <is>
          <t>Earnings / Momentum Support</t>
        </is>
      </c>
      <c r="S50" s="31" t="inlineStr">
        <is>
          <t>Nifty Bank</t>
        </is>
      </c>
      <c r="T50" s="32" t="n">
        <v>0.29</v>
      </c>
      <c r="U50" s="32" t="n">
        <v>-2.62</v>
      </c>
      <c r="V50" s="32" t="n">
        <v>-2.91</v>
      </c>
      <c r="W50" s="32" t="n">
        <v>1.35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above 5x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3</t>
        </is>
      </c>
      <c r="BQ50" s="31">
        <f>IF(BP50="Stage 2",20,IF(BP50="Stage 1",0,IF(BP50="Stage 3",5,IF(BP50="Stage 4",-5,0))))</f>
        <v/>
      </c>
      <c r="BR50" s="31" t="inlineStr">
        <is>
          <t>Negative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IF(B51=0,"",RANK(B51,$B$2:$B$51,0))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ICICIBANK</t>
        </is>
      </c>
      <c r="D51" s="33" t="inlineStr">
        <is>
          <t>Icici Bank Limited</t>
        </is>
      </c>
      <c r="E51" s="31" t="inlineStr">
        <is>
          <t>bank</t>
        </is>
      </c>
      <c r="F51" s="31" t="inlineStr">
        <is>
          <t>banks - private sector</t>
        </is>
      </c>
      <c r="G51" s="31" t="inlineStr">
        <is>
          <t>largecap</t>
        </is>
      </c>
      <c r="H51" s="32" t="n">
        <v>1027907.4</v>
      </c>
      <c r="I51" s="32" t="n">
        <v>1445.7</v>
      </c>
      <c r="J51" s="32" t="n">
        <v>0.89</v>
      </c>
      <c r="K51" s="32" t="n">
        <v>10608300</v>
      </c>
      <c r="L51" s="31" t="n">
        <v>14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62.19</v>
      </c>
      <c r="P51" s="32" t="n">
        <v>17.06</v>
      </c>
      <c r="Q51" s="32" t="inlineStr"/>
      <c r="R51" s="31" t="inlineStr">
        <is>
          <t>Earnings / Momentum Support</t>
        </is>
      </c>
      <c r="S51" s="31" t="inlineStr">
        <is>
          <t>Nifty Bank</t>
        </is>
      </c>
      <c r="T51" s="32" t="n">
        <v>0.29</v>
      </c>
      <c r="U51" s="32" t="n">
        <v>-2.24</v>
      </c>
      <c r="V51" s="32" t="n">
        <v>-2.53</v>
      </c>
      <c r="W51" s="32" t="n">
        <v>1.26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No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between 2.5x to 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3</t>
        </is>
      </c>
      <c r="BQ51" s="31">
        <f>IF(BP51="Stage 2",20,IF(BP51="Stage 1",0,IF(BP51="Stage 3",5,IF(BP51="Stage 4",-5,0))))</f>
        <v/>
      </c>
      <c r="BR51" s="31" t="inlineStr">
        <is>
          <t>Negative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</sheetData>
  <autoFilter ref="A1:CA51"/>
  <conditionalFormatting sqref="B2:B5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1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1">
    <cfRule type="cellIs" priority="34" operator="equal" dxfId="3" stopIfTrue="1">
      <formula>"Underperforming"</formula>
    </cfRule>
  </conditionalFormatting>
  <conditionalFormatting sqref="N2:N51">
    <cfRule type="cellIs" priority="35" operator="equal" dxfId="3" stopIfTrue="1">
      <formula>-5</formula>
    </cfRule>
  </conditionalFormatting>
  <conditionalFormatting sqref="Q2:Q51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1" showDropDown="0" showInputMessage="0" showErrorMessage="0" allowBlank="1" type="list">
      <formula1>"Growing Industry,Stagnant Industry,Cyclical in an Upturn"</formula1>
    </dataValidation>
    <dataValidation sqref="Z2:Z51" showDropDown="0" showInputMessage="0" showErrorMessage="0" allowBlank="1" type="list">
      <formula1>"Fragmented with Low ROE,Fragmented with High ROE,Highly Cyclical"</formula1>
    </dataValidation>
    <dataValidation sqref="AB2:AB51" showDropDown="0" showInputMessage="0" showErrorMessage="0" allowBlank="1" type="list">
      <formula1>"Yes,No"</formula1>
    </dataValidation>
    <dataValidation sqref="AD2:AD51" showDropDown="0" showInputMessage="0" showErrorMessage="0" allowBlank="1" type="list">
      <formula1>"Tailwind,Headwind"</formula1>
    </dataValidation>
    <dataValidation sqref="AF2:AF5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1" showDropDown="0" showInputMessage="0" showErrorMessage="0" allowBlank="1" type="list">
      <formula1>"Yes,No"</formula1>
    </dataValidation>
    <dataValidation sqref="AJ2:AJ51" showDropDown="0" showInputMessage="0" showErrorMessage="0" allowBlank="1" type="list">
      <formula1>"Yes,No,Not Applicable"</formula1>
    </dataValidation>
    <dataValidation sqref="AL2:AL51" showDropDown="0" showInputMessage="0" showErrorMessage="0" allowBlank="1" type="list">
      <formula1>"Yes,No"</formula1>
    </dataValidation>
    <dataValidation sqref="AN2:AN51" showDropDown="0" showInputMessage="0" showErrorMessage="0" allowBlank="1" type="list">
      <formula1>"Yes,No"</formula1>
    </dataValidation>
    <dataValidation sqref="AP2:AP51" showDropDown="0" showInputMessage="0" showErrorMessage="0" allowBlank="1" type="list">
      <formula1>"Yes,No"</formula1>
    </dataValidation>
    <dataValidation sqref="AR2:AR51" showDropDown="0" showInputMessage="0" showErrorMessage="0" allowBlank="1" type="list">
      <formula1>"Yes,No"</formula1>
    </dataValidation>
    <dataValidation sqref="AT2:AT51" showDropDown="0" showInputMessage="0" showErrorMessage="0" allowBlank="1" type="list">
      <formula1>"No,Yes"</formula1>
    </dataValidation>
    <dataValidation sqref="AV2:AV51" showDropDown="0" showInputMessage="0" showErrorMessage="0" allowBlank="1" type="list">
      <formula1>"No,Yes"</formula1>
    </dataValidation>
    <dataValidation sqref="AX2:AX51" showDropDown="0" showInputMessage="0" showErrorMessage="0" allowBlank="1" type="list">
      <formula1>"No,Yes CEO Resignation,Yes CEO Retirement"</formula1>
    </dataValidation>
    <dataValidation sqref="AZ2:AZ51" showDropDown="0" showInputMessage="0" showErrorMessage="0" allowBlank="1" type="list">
      <formula1>"No,Yes"</formula1>
    </dataValidation>
    <dataValidation sqref="BB2:BB51" showDropDown="0" showInputMessage="0" showErrorMessage="0" allowBlank="1" type="list">
      <formula1>"No,Yes"</formula1>
    </dataValidation>
    <dataValidation sqref="BD2:BD51" showDropDown="0" showInputMessage="0" showErrorMessage="0" allowBlank="1" type="list">
      <formula1>"Yes,No"</formula1>
    </dataValidation>
    <dataValidation sqref="BF2:BF51" showDropDown="0" showInputMessage="0" showErrorMessage="0" allowBlank="1" type="list">
      <formula1>"Yes,No"</formula1>
    </dataValidation>
    <dataValidation sqref="BH2:BH51" showDropDown="0" showInputMessage="0" showErrorMessage="0" allowBlank="1" type="list">
      <formula1>"Yes,No"</formula1>
    </dataValidation>
    <dataValidation sqref="BJ2:BJ5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1" showDropDown="0" showInputMessage="0" showErrorMessage="0" allowBlank="1" type="list">
      <formula1>"Above 40,20 to 40,0 to 20"</formula1>
    </dataValidation>
    <dataValidation sqref="BN2:BN51" showDropDown="0" showInputMessage="0" showErrorMessage="0" allowBlank="1" type="list">
      <formula1>"Between 50 to 75,Above 75,Below 45"</formula1>
    </dataValidation>
    <dataValidation sqref="BP2:BP51" showDropDown="0" showInputMessage="0" showErrorMessage="0" allowBlank="1" type="list">
      <formula1>"Stage 1,Stage 2,Stage 3,Stage 4"</formula1>
    </dataValidation>
    <dataValidation sqref="BR2:BR51" showDropDown="0" showInputMessage="0" showErrorMessage="0" allowBlank="1" type="list">
      <formula1>"Positive Trend,Negative Trend"</formula1>
    </dataValidation>
    <dataValidation sqref="BT2:BT51" showDropDown="0" showInputMessage="0" showErrorMessage="0" allowBlank="1" type="list">
      <formula1>"Uptrend,Sideways,Downtrend"</formula1>
    </dataValidation>
    <dataValidation sqref="BV2:BV51" showDropDown="0" showInputMessage="0" showErrorMessage="0" allowBlank="1" type="list">
      <formula1>"Uptrend,Sideways,Downtrend"</formula1>
    </dataValidation>
    <dataValidation sqref="BX2:BX5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IF(B2=0,"",RANK(B2,$B$2:$B$19,0))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139.2</v>
      </c>
      <c r="E2" s="32" t="inlineStr">
        <is>
          <t>5%</t>
        </is>
      </c>
      <c r="F2" s="32" t="n">
        <v>50000</v>
      </c>
      <c r="G2" s="32" t="n">
        <v>84</v>
      </c>
      <c r="H2" s="31" t="inlineStr">
        <is>
          <t>APCOTEXIND</t>
        </is>
      </c>
      <c r="I2" s="31" t="inlineStr">
        <is>
          <t>Apcotex Industries Limited</t>
        </is>
      </c>
      <c r="J2" s="31" t="inlineStr">
        <is>
          <t>chemicals</t>
        </is>
      </c>
      <c r="K2" s="31" t="inlineStr">
        <is>
          <t>miscellaneous</t>
        </is>
      </c>
      <c r="L2" s="31" t="inlineStr">
        <is>
          <t>smallcap</t>
        </is>
      </c>
      <c r="M2" s="32" t="n">
        <v>2908.76</v>
      </c>
      <c r="N2" s="32" t="n">
        <v>588.5</v>
      </c>
      <c r="O2" s="32" t="n">
        <v>4.89</v>
      </c>
      <c r="P2" s="32" t="n">
        <v>278947</v>
      </c>
      <c r="Q2" s="31" t="n">
        <v>75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68.72</v>
      </c>
      <c r="U2" s="32" t="n">
        <v>57.67</v>
      </c>
      <c r="V2" s="32" t="inlineStr"/>
      <c r="W2" s="31" t="inlineStr">
        <is>
          <t>Earnings / Momentum Support</t>
        </is>
      </c>
      <c r="X2" s="31" t="inlineStr">
        <is>
          <t>Nifty 50</t>
        </is>
      </c>
      <c r="Y2" s="32" t="n">
        <v>-4.31</v>
      </c>
      <c r="Z2" s="32" t="n">
        <v>44.24</v>
      </c>
      <c r="AA2" s="32" t="n">
        <v>50.73</v>
      </c>
      <c r="AB2" s="32" t="n">
        <v>17.85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Oligopoly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Cyclical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Fully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1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Sideways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Overhead supply in last 2 years in last 2 years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Between 50% to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IF(B3=0,"",RANK(B3,$B$2:$B$19,0))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138.9</v>
      </c>
      <c r="E3" s="32" t="inlineStr">
        <is>
          <t>5%</t>
        </is>
      </c>
      <c r="F3" s="32" t="n">
        <v>50000</v>
      </c>
      <c r="G3" s="32" t="n">
        <v>92</v>
      </c>
      <c r="H3" s="31" t="inlineStr">
        <is>
          <t>E2E</t>
        </is>
      </c>
      <c r="I3" s="31" t="inlineStr">
        <is>
          <t>E2E Networks Ltd</t>
        </is>
      </c>
      <c r="J3" s="31" t="inlineStr">
        <is>
          <t>i.t</t>
        </is>
      </c>
      <c r="K3" s="31" t="inlineStr">
        <is>
          <t>computers - software - medium / small</t>
        </is>
      </c>
      <c r="L3" s="31" t="inlineStr">
        <is>
          <t>midcap</t>
        </is>
      </c>
      <c r="M3" s="32" t="n">
        <v>10621.54</v>
      </c>
      <c r="N3" s="32" t="n">
        <v>542.5</v>
      </c>
      <c r="O3" s="32" t="n">
        <v>4.99</v>
      </c>
      <c r="P3" s="32" t="n">
        <v>429556</v>
      </c>
      <c r="Q3" s="31" t="n">
        <v>96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71.15000000000001</v>
      </c>
      <c r="U3" s="32" t="n">
        <v>44.66</v>
      </c>
      <c r="V3" s="32" t="inlineStr"/>
      <c r="W3" s="31" t="inlineStr">
        <is>
          <t>Earnings / Momentum Support</t>
        </is>
      </c>
      <c r="X3" s="31" t="inlineStr">
        <is>
          <t>Nifty IT</t>
        </is>
      </c>
      <c r="Y3" s="32" t="n">
        <v>-19.25</v>
      </c>
      <c r="Z3" s="32" t="n">
        <v>141.49</v>
      </c>
      <c r="AA3" s="32" t="n">
        <v>199.05</v>
      </c>
      <c r="AB3" s="32" t="n">
        <v>41.71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IF(B4=0,"",RANK(B4,$B$2:$B$19,0))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EMA Crossover</t>
        </is>
      </c>
      <c r="D4" s="32" t="n">
        <v>138.8</v>
      </c>
      <c r="E4" s="32" t="inlineStr">
        <is>
          <t>7%</t>
        </is>
      </c>
      <c r="F4" s="32" t="n">
        <v>70000</v>
      </c>
      <c r="G4" s="32" t="n">
        <v>80</v>
      </c>
      <c r="H4" s="31" t="inlineStr">
        <is>
          <t>ALLDIGI</t>
        </is>
      </c>
      <c r="I4" s="31" t="inlineStr">
        <is>
          <t>Alldigi Tech Ltd</t>
        </is>
      </c>
      <c r="J4" s="31" t="inlineStr">
        <is>
          <t>i.t</t>
        </is>
      </c>
      <c r="K4" s="31" t="inlineStr">
        <is>
          <t>computers - software - medium / small</t>
        </is>
      </c>
      <c r="L4" s="31" t="inlineStr">
        <is>
          <t>smallcap</t>
        </is>
      </c>
      <c r="M4" s="32" t="n">
        <v>1253.73</v>
      </c>
      <c r="N4" s="32" t="n">
        <v>872.05</v>
      </c>
      <c r="O4" s="32" t="n">
        <v>5.99</v>
      </c>
      <c r="P4" s="32" t="n">
        <v>103621</v>
      </c>
      <c r="Q4" s="31" t="n">
        <v>4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50.81</v>
      </c>
      <c r="U4" s="32" t="n">
        <v>24.17</v>
      </c>
      <c r="V4" s="32" t="inlineStr"/>
      <c r="W4" s="31" t="inlineStr">
        <is>
          <t>Volume Spike / Accumulation</t>
        </is>
      </c>
      <c r="X4" s="31" t="inlineStr">
        <is>
          <t>Nifty IT</t>
        </is>
      </c>
      <c r="Y4" s="32" t="n">
        <v>-19.25</v>
      </c>
      <c r="Z4" s="32" t="n">
        <v>-12.24</v>
      </c>
      <c r="AA4" s="32" t="n">
        <v>8.68</v>
      </c>
      <c r="AB4" s="32" t="n">
        <v>-2.28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IF(B5=0,"",RANK(B5,$B$2:$B$19,0))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</v>
      </c>
      <c r="E5" s="32" t="inlineStr">
        <is>
          <t>5%</t>
        </is>
      </c>
      <c r="F5" s="32" t="n">
        <v>50000</v>
      </c>
      <c r="G5" s="32" t="n">
        <v>25</v>
      </c>
      <c r="H5" s="31" t="inlineStr">
        <is>
          <t>EMCURE</t>
        </is>
      </c>
      <c r="I5" s="31" t="inlineStr">
        <is>
          <t>Emcure Pharmaceuticals Ltd</t>
        </is>
      </c>
      <c r="J5" s="31" t="inlineStr">
        <is>
          <t>healthcare</t>
        </is>
      </c>
      <c r="K5" s="31" t="inlineStr">
        <is>
          <t>pharmaceuticals - indian - bulk drugs &amp; formln</t>
        </is>
      </c>
      <c r="L5" s="31" t="inlineStr">
        <is>
          <t>largecap</t>
        </is>
      </c>
      <c r="M5" s="32" t="n">
        <v>35678.84</v>
      </c>
      <c r="N5" s="32" t="n">
        <v>1924.8</v>
      </c>
      <c r="O5" s="32" t="n">
        <v>2.33</v>
      </c>
      <c r="P5" s="32" t="n">
        <v>253294</v>
      </c>
      <c r="Q5" s="31" t="n">
        <v>49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66.58</v>
      </c>
      <c r="U5" s="32" t="n">
        <v>58.83</v>
      </c>
      <c r="V5" s="32" t="inlineStr"/>
      <c r="W5" s="31" t="inlineStr">
        <is>
          <t>Earnings / Momentum Support</t>
        </is>
      </c>
      <c r="X5" s="31" t="inlineStr">
        <is>
          <t>Nifty Pharma</t>
        </is>
      </c>
      <c r="Y5" s="32" t="n">
        <v>12.73</v>
      </c>
      <c r="Z5" s="32" t="n">
        <v>33.89</v>
      </c>
      <c r="AA5" s="32" t="n">
        <v>18.77</v>
      </c>
      <c r="AB5" s="32" t="n">
        <v>9.23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Between 50% to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IF(B6=0,"",RANK(B6,$B$2:$B$19,0))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139.5</v>
      </c>
      <c r="E6" s="32" t="inlineStr">
        <is>
          <t>5%</t>
        </is>
      </c>
      <c r="F6" s="32" t="n">
        <v>50000</v>
      </c>
      <c r="G6" s="32" t="n">
        <v>6</v>
      </c>
      <c r="H6" s="31" t="inlineStr">
        <is>
          <t>THANGAMAYL</t>
        </is>
      </c>
      <c r="I6" s="31" t="inlineStr">
        <is>
          <t>Thangamayil Jewellery Limited</t>
        </is>
      </c>
      <c r="J6" s="31" t="inlineStr">
        <is>
          <t>consumer discretionary</t>
        </is>
      </c>
      <c r="K6" s="31" t="inlineStr">
        <is>
          <t>diamond cutting / jewellery</t>
        </is>
      </c>
      <c r="L6" s="31" t="inlineStr">
        <is>
          <t>largecap</t>
        </is>
      </c>
      <c r="M6" s="32" t="n">
        <v>21466.8</v>
      </c>
      <c r="N6" s="32" t="n">
        <v>7309.5</v>
      </c>
      <c r="O6" s="32" t="n">
        <v>5.84</v>
      </c>
      <c r="P6" s="32" t="n">
        <v>301466</v>
      </c>
      <c r="Q6" s="31" t="n">
        <v>98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78.66</v>
      </c>
      <c r="U6" s="32" t="n">
        <v>51.63</v>
      </c>
      <c r="V6" s="32" t="inlineStr"/>
      <c r="W6" s="31" t="inlineStr">
        <is>
          <t>Earnings / Momentum Support</t>
        </is>
      </c>
      <c r="X6" s="31" t="inlineStr">
        <is>
          <t>Nifty 50</t>
        </is>
      </c>
      <c r="Y6" s="32" t="n">
        <v>-4.31</v>
      </c>
      <c r="Z6" s="32" t="n">
        <v>277.72</v>
      </c>
      <c r="AA6" s="32" t="n">
        <v>294.71</v>
      </c>
      <c r="AB6" s="32" t="n">
        <v>51.45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Between 50% to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IF(B7=0,"",RANK(B7,$B$2:$B$19,0))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139.4</v>
      </c>
      <c r="E7" s="32" t="inlineStr">
        <is>
          <t>5%</t>
        </is>
      </c>
      <c r="F7" s="32" t="n">
        <v>50000</v>
      </c>
      <c r="G7" s="32" t="n">
        <v>20</v>
      </c>
      <c r="H7" s="31" t="inlineStr">
        <is>
          <t>SJS</t>
        </is>
      </c>
      <c r="I7" s="31" t="inlineStr">
        <is>
          <t>S J S Enterprises Ltd</t>
        </is>
      </c>
      <c r="J7" s="31" t="inlineStr">
        <is>
          <t>auto</t>
        </is>
      </c>
      <c r="K7" s="31" t="inlineStr">
        <is>
          <t>plastics products</t>
        </is>
      </c>
      <c r="L7" s="31" t="inlineStr">
        <is>
          <t>midcap</t>
        </is>
      </c>
      <c r="M7" s="32" t="n">
        <v>7475.12</v>
      </c>
      <c r="N7" s="32" t="n">
        <v>2419.3</v>
      </c>
      <c r="O7" s="32" t="n">
        <v>3.58</v>
      </c>
      <c r="P7" s="32" t="n">
        <v>150999</v>
      </c>
      <c r="Q7" s="31" t="n">
        <v>76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68.70999999999999</v>
      </c>
      <c r="U7" s="32" t="n">
        <v>38.83</v>
      </c>
      <c r="V7" s="32" t="inlineStr"/>
      <c r="W7" s="31" t="inlineStr">
        <is>
          <t>Earnings / Momentum Support</t>
        </is>
      </c>
      <c r="X7" s="31" t="inlineStr">
        <is>
          <t>Nifty Auto</t>
        </is>
      </c>
      <c r="Y7" s="32" t="n">
        <v>13.41</v>
      </c>
      <c r="Z7" s="32" t="n">
        <v>76.45</v>
      </c>
      <c r="AA7" s="32" t="n">
        <v>55.58</v>
      </c>
      <c r="AB7" s="32" t="n">
        <v>18.09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IF(B8=0,"",RANK(B8,$B$2:$B$19,0))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139.4</v>
      </c>
      <c r="E8" s="32" t="inlineStr">
        <is>
          <t>5%</t>
        </is>
      </c>
      <c r="F8" s="32" t="n">
        <v>50000</v>
      </c>
      <c r="G8" s="32" t="n">
        <v>30</v>
      </c>
      <c r="H8" s="31" t="inlineStr">
        <is>
          <t>HAPPYFORGE</t>
        </is>
      </c>
      <c r="I8" s="31" t="inlineStr">
        <is>
          <t>Happy Forgings Ltd</t>
        </is>
      </c>
      <c r="J8" s="31" t="inlineStr">
        <is>
          <t>industrials</t>
        </is>
      </c>
      <c r="K8" s="31" t="inlineStr">
        <is>
          <t>castings &amp; forgings</t>
        </is>
      </c>
      <c r="L8" s="31" t="inlineStr">
        <is>
          <t>midcap</t>
        </is>
      </c>
      <c r="M8" s="32" t="n">
        <v>15246.88</v>
      </c>
      <c r="N8" s="32" t="n">
        <v>1650.7</v>
      </c>
      <c r="O8" s="32" t="n">
        <v>2.18</v>
      </c>
      <c r="P8" s="32" t="n">
        <v>69759</v>
      </c>
      <c r="Q8" s="31" t="n">
        <v>70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72.73</v>
      </c>
      <c r="U8" s="32" t="n">
        <v>47.72</v>
      </c>
      <c r="V8" s="32" t="inlineStr"/>
      <c r="W8" s="31" t="inlineStr">
        <is>
          <t>Earnings / Momentum Support</t>
        </is>
      </c>
      <c r="X8" s="31" t="inlineStr">
        <is>
          <t>Nifty Infra</t>
        </is>
      </c>
      <c r="Y8" s="32" t="n">
        <v>1.74</v>
      </c>
      <c r="Z8" s="32" t="n">
        <v>70.2</v>
      </c>
      <c r="AA8" s="32" t="n">
        <v>67.28</v>
      </c>
      <c r="AB8" s="32" t="n">
        <v>15.45</v>
      </c>
      <c r="AC8" s="31" t="inlineStr">
        <is>
          <t>Cyclical in an Upturn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IF(B9=0,"",RANK(B9,$B$2:$B$19,0))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138.9</v>
      </c>
      <c r="E9" s="32" t="inlineStr">
        <is>
          <t>5%</t>
        </is>
      </c>
      <c r="F9" s="32" t="n">
        <v>50000</v>
      </c>
      <c r="G9" s="32" t="n">
        <v>298</v>
      </c>
      <c r="H9" s="31" t="inlineStr">
        <is>
          <t>KRISHANA</t>
        </is>
      </c>
      <c r="I9" s="31" t="inlineStr">
        <is>
          <t>Krishana Phoschem Ltd</t>
        </is>
      </c>
      <c r="J9" s="31" t="inlineStr">
        <is>
          <t>chemicals</t>
        </is>
      </c>
      <c r="K9" s="31" t="inlineStr">
        <is>
          <t>fertilizers</t>
        </is>
      </c>
      <c r="L9" s="31" t="inlineStr">
        <is>
          <t>smallcap</t>
        </is>
      </c>
      <c r="M9" s="32" t="n">
        <v>1001.92</v>
      </c>
      <c r="N9" s="32" t="n">
        <v>167.65</v>
      </c>
      <c r="O9" s="32" t="n">
        <v>3.46</v>
      </c>
      <c r="P9" s="32" t="n">
        <v>2829905</v>
      </c>
      <c r="Q9" s="31" t="n">
        <v>71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72.56</v>
      </c>
      <c r="U9" s="32" t="n">
        <v>44.14</v>
      </c>
      <c r="V9" s="32" t="inlineStr"/>
      <c r="W9" s="31" t="inlineStr">
        <is>
          <t>Earnings / Momentum Support</t>
        </is>
      </c>
      <c r="X9" s="31" t="inlineStr">
        <is>
          <t>Nifty 50</t>
        </is>
      </c>
      <c r="Y9" s="32" t="n">
        <v>-4.31</v>
      </c>
      <c r="Z9" s="32" t="n">
        <v>54.74</v>
      </c>
      <c r="AA9" s="32" t="n">
        <v>61.7</v>
      </c>
      <c r="AB9" s="32" t="n">
        <v>15.65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More than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IF(B10=0,"",RANK(B10,$B$2:$B$19,0))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139.8</v>
      </c>
      <c r="E10" s="32" t="inlineStr">
        <is>
          <t>5%</t>
        </is>
      </c>
      <c r="F10" s="32" t="n">
        <v>50000</v>
      </c>
      <c r="G10" s="32" t="n">
        <v>25</v>
      </c>
      <c r="H10" s="31" t="inlineStr">
        <is>
          <t>SUNPHARMA</t>
        </is>
      </c>
      <c r="I10" s="31" t="inlineStr">
        <is>
          <t>Sun Pharmaceuticals Industries Limited</t>
        </is>
      </c>
      <c r="J10" s="31" t="inlineStr">
        <is>
          <t>healthcare</t>
        </is>
      </c>
      <c r="K10" s="31" t="inlineStr">
        <is>
          <t>pharmaceuticals - indian - bulk drugs &amp; formln</t>
        </is>
      </c>
      <c r="L10" s="31" t="inlineStr">
        <is>
          <t>largecap</t>
        </is>
      </c>
      <c r="M10" s="32" t="n">
        <v>465734.91</v>
      </c>
      <c r="N10" s="32" t="n">
        <v>1973.7</v>
      </c>
      <c r="O10" s="32" t="n">
        <v>1.68</v>
      </c>
      <c r="P10" s="32" t="n">
        <v>5414380</v>
      </c>
      <c r="Q10" s="31" t="n">
        <v>41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65.48999999999999</v>
      </c>
      <c r="U10" s="32" t="n">
        <v>22.05</v>
      </c>
      <c r="V10" s="32" t="inlineStr"/>
      <c r="W10" s="31" t="inlineStr">
        <is>
          <t>Earnings / Momentum Support</t>
        </is>
      </c>
      <c r="X10" s="31" t="inlineStr">
        <is>
          <t>Nifty Pharma</t>
        </is>
      </c>
      <c r="Y10" s="32" t="n">
        <v>12.73</v>
      </c>
      <c r="Z10" s="32" t="n">
        <v>15.29</v>
      </c>
      <c r="AA10" s="32" t="n">
        <v>2.27</v>
      </c>
      <c r="AB10" s="32" t="n">
        <v>7.24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Between 1.5 to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IF(B11=0,"",RANK(B11,$B$2:$B$19,0))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138.8</v>
      </c>
      <c r="E11" s="32" t="inlineStr">
        <is>
          <t>5%</t>
        </is>
      </c>
      <c r="F11" s="32" t="n">
        <v>50000</v>
      </c>
      <c r="G11" s="32" t="n">
        <v>29</v>
      </c>
      <c r="H11" s="31" t="inlineStr">
        <is>
          <t>LAURUSLABS</t>
        </is>
      </c>
      <c r="I11" s="31" t="inlineStr">
        <is>
          <t>Laurus Labs Limited</t>
        </is>
      </c>
      <c r="J11" s="31" t="inlineStr">
        <is>
          <t>healthcare</t>
        </is>
      </c>
      <c r="K11" s="31" t="inlineStr">
        <is>
          <t>pharmaceuticals - indian - bulk drugs &amp; formln</t>
        </is>
      </c>
      <c r="L11" s="31" t="inlineStr">
        <is>
          <t>largecap</t>
        </is>
      </c>
      <c r="M11" s="32" t="n">
        <v>86504.75999999999</v>
      </c>
      <c r="N11" s="32" t="n">
        <v>1713.4</v>
      </c>
      <c r="O11" s="32" t="n">
        <v>7.01</v>
      </c>
      <c r="P11" s="32" t="n">
        <v>7989771</v>
      </c>
      <c r="Q11" s="31" t="n">
        <v>85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80.12</v>
      </c>
      <c r="U11" s="32" t="n">
        <v>57.56</v>
      </c>
      <c r="V11" s="32" t="inlineStr"/>
      <c r="W11" s="31" t="inlineStr">
        <is>
          <t>Earnings / Momentum Support</t>
        </is>
      </c>
      <c r="X11" s="31" t="inlineStr">
        <is>
          <t>Nifty Pharma</t>
        </is>
      </c>
      <c r="Y11" s="32" t="n">
        <v>12.73</v>
      </c>
      <c r="Z11" s="32" t="n">
        <v>91.48</v>
      </c>
      <c r="AA11" s="32" t="n">
        <v>69.84999999999999</v>
      </c>
      <c r="AB11" s="32" t="n">
        <v>23.57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IF(B12=0,"",RANK(B12,$B$2:$B$19,0))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EMA Crossover</t>
        </is>
      </c>
      <c r="D12" s="32" t="n">
        <v>143.7</v>
      </c>
      <c r="E12" s="32" t="inlineStr">
        <is>
          <t>7%</t>
        </is>
      </c>
      <c r="F12" s="32" t="n">
        <v>70000</v>
      </c>
      <c r="G12" s="32" t="n">
        <v>10</v>
      </c>
      <c r="H12" s="31" t="inlineStr">
        <is>
          <t>ATUL</t>
        </is>
      </c>
      <c r="I12" s="31" t="inlineStr">
        <is>
          <t>Atul Limited</t>
        </is>
      </c>
      <c r="J12" s="31" t="inlineStr">
        <is>
          <t>chemicals</t>
        </is>
      </c>
      <c r="K12" s="31" t="inlineStr">
        <is>
          <t>chemicals</t>
        </is>
      </c>
      <c r="L12" s="31" t="inlineStr">
        <is>
          <t>midcap</t>
        </is>
      </c>
      <c r="M12" s="32" t="n">
        <v>18864.8</v>
      </c>
      <c r="N12" s="32" t="n">
        <v>6789.5</v>
      </c>
      <c r="O12" s="32" t="n">
        <v>5.96</v>
      </c>
      <c r="P12" s="32" t="n">
        <v>328187</v>
      </c>
      <c r="Q12" s="31" t="n">
        <v>6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48.57</v>
      </c>
      <c r="U12" s="32" t="n">
        <v>11.34</v>
      </c>
      <c r="V12" s="32" t="inlineStr"/>
      <c r="W12" s="31" t="inlineStr">
        <is>
          <t>Volume Spike / Accumulation</t>
        </is>
      </c>
      <c r="X12" s="31" t="inlineStr">
        <is>
          <t>Nifty 50</t>
        </is>
      </c>
      <c r="Y12" s="32" t="n">
        <v>-4.31</v>
      </c>
      <c r="Z12" s="32" t="n">
        <v>-3.42</v>
      </c>
      <c r="AA12" s="32" t="n">
        <v>0.93</v>
      </c>
      <c r="AB12" s="32" t="n">
        <v>-1.06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0 to 20</t>
        </is>
      </c>
      <c r="BD12" s="31">
        <f>IF(BC12="Above 40",20,IF(BC12="20 to 40",10,IF(BC12="0 to 20",-5,0)))</f>
        <v/>
      </c>
      <c r="BE12" s="31" t="inlineStr">
        <is>
          <t>Below 45</t>
        </is>
      </c>
      <c r="BF12" s="31">
        <f>IF(BE12="Between 50 to 75",10,IF(BE12="Above 75",0,0))</f>
        <v/>
      </c>
      <c r="BG12" s="31" t="inlineStr">
        <is>
          <t>Stage 4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Less than 1.5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IF(B13=0,"",RANK(B13,$B$2:$B$19,0))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139.4</v>
      </c>
      <c r="E13" s="32" t="inlineStr">
        <is>
          <t>5%</t>
        </is>
      </c>
      <c r="F13" s="32" t="n">
        <v>50000</v>
      </c>
      <c r="G13" s="32" t="n">
        <v>6</v>
      </c>
      <c r="H13" s="33" t="inlineStr">
        <is>
          <t>DIVISLAB</t>
        </is>
      </c>
      <c r="I13" s="33" t="inlineStr">
        <is>
          <t>Divi's Laboratories Limited</t>
        </is>
      </c>
      <c r="J13" s="31" t="inlineStr">
        <is>
          <t>healthcare</t>
        </is>
      </c>
      <c r="K13" s="31" t="inlineStr">
        <is>
          <t>pharmaceuticals - indian - bulk drugs</t>
        </is>
      </c>
      <c r="L13" s="31" t="inlineStr">
        <is>
          <t>largecap</t>
        </is>
      </c>
      <c r="M13" s="32" t="n">
        <v>192424.9</v>
      </c>
      <c r="N13" s="32" t="n">
        <v>7414</v>
      </c>
      <c r="O13" s="32" t="n">
        <v>2.28</v>
      </c>
      <c r="P13" s="32" t="n">
        <v>544701</v>
      </c>
      <c r="Q13" s="31" t="n">
        <v>31</v>
      </c>
      <c r="R13" s="31" t="inlineStr">
        <is>
          <t>Underperforming</t>
        </is>
      </c>
      <c r="S13" s="32">
        <f>IF(R13="Underperforming",-5,IF(Q13&gt;=95,15,IF(Q13&gt;=90,10,IF(Q13&gt;=80,5,0))))</f>
        <v/>
      </c>
      <c r="T13" s="32" t="n">
        <v>70.65000000000001</v>
      </c>
      <c r="U13" s="32" t="n">
        <v>23.17</v>
      </c>
      <c r="V13" s="32" t="inlineStr"/>
      <c r="W13" s="31" t="inlineStr">
        <is>
          <t>Earnings / Momentum Support</t>
        </is>
      </c>
      <c r="X13" s="31" t="inlineStr">
        <is>
          <t>Nifty Pharma</t>
        </is>
      </c>
      <c r="Y13" s="32" t="n">
        <v>12.73</v>
      </c>
      <c r="Z13" s="32" t="n">
        <v>10</v>
      </c>
      <c r="AA13" s="32" t="n">
        <v>-2.42</v>
      </c>
      <c r="AB13" s="32" t="n">
        <v>5.09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IF(B14=0,"",RANK(B14,$B$2:$B$19,0))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139.1</v>
      </c>
      <c r="E14" s="32" t="inlineStr">
        <is>
          <t>5%</t>
        </is>
      </c>
      <c r="F14" s="32" t="n">
        <v>50000</v>
      </c>
      <c r="G14" s="32" t="n">
        <v>162</v>
      </c>
      <c r="H14" s="31" t="inlineStr">
        <is>
          <t>DIACABS</t>
        </is>
      </c>
      <c r="I14" s="31" t="inlineStr">
        <is>
          <t>Diamond Power Infrastructure Ltd</t>
        </is>
      </c>
      <c r="J14" s="31" t="inlineStr">
        <is>
          <t>industrials</t>
        </is>
      </c>
      <c r="K14" s="31" t="inlineStr">
        <is>
          <t>cables - power</t>
        </is>
      </c>
      <c r="L14" s="31" t="inlineStr">
        <is>
          <t>midcap</t>
        </is>
      </c>
      <c r="M14" s="32" t="n">
        <v>15553.55</v>
      </c>
      <c r="N14" s="32" t="n">
        <v>307.17</v>
      </c>
      <c r="O14" s="32" t="n">
        <v>4.07</v>
      </c>
      <c r="P14" s="32" t="n">
        <v>8209562</v>
      </c>
      <c r="Q14" s="31" t="n">
        <v>74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83.59999999999999</v>
      </c>
      <c r="U14" s="32" t="n">
        <v>56.5</v>
      </c>
      <c r="V14" s="32" t="inlineStr"/>
      <c r="W14" s="31" t="inlineStr">
        <is>
          <t>Earnings / Momentum Support</t>
        </is>
      </c>
      <c r="X14" s="31" t="inlineStr">
        <is>
          <t>Nifty Energy</t>
        </is>
      </c>
      <c r="Y14" s="32" t="n">
        <v>8.41</v>
      </c>
      <c r="Z14" s="32" t="n">
        <v>31.69</v>
      </c>
      <c r="AA14" s="32" t="n">
        <v>21.48</v>
      </c>
      <c r="AB14" s="32" t="n">
        <v>17.59</v>
      </c>
      <c r="AC14" s="31" t="inlineStr">
        <is>
          <t>Cyclical in an Upturn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Negative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IF(B15=0,"",RANK(B15,$B$2:$B$19,0))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EMA Crossover</t>
        </is>
      </c>
      <c r="D15" s="32" t="n">
        <v>144.3</v>
      </c>
      <c r="E15" s="32" t="inlineStr">
        <is>
          <t>7%</t>
        </is>
      </c>
      <c r="F15" s="32" t="n">
        <v>70000</v>
      </c>
      <c r="G15" s="32" t="n">
        <v>60</v>
      </c>
      <c r="H15" s="33" t="inlineStr">
        <is>
          <t>UNOMINDA</t>
        </is>
      </c>
      <c r="I15" s="33" t="inlineStr">
        <is>
          <t>Uno Minda Ltd</t>
        </is>
      </c>
      <c r="J15" s="31" t="inlineStr">
        <is>
          <t>auto</t>
        </is>
      </c>
      <c r="K15" s="31" t="inlineStr">
        <is>
          <t>auto ancillaries</t>
        </is>
      </c>
      <c r="L15" s="31" t="inlineStr">
        <is>
          <t>largecap</t>
        </is>
      </c>
      <c r="M15" s="32" t="n">
        <v>65080.55</v>
      </c>
      <c r="N15" s="32" t="n">
        <v>1162.4</v>
      </c>
      <c r="O15" s="32" t="n">
        <v>3.14</v>
      </c>
      <c r="P15" s="32" t="n">
        <v>923914</v>
      </c>
      <c r="Q15" s="31" t="n">
        <v>19</v>
      </c>
      <c r="R15" s="31" t="inlineStr">
        <is>
          <t>Underperforming</t>
        </is>
      </c>
      <c r="S15" s="32">
        <f>IF(R15="Underperforming",-5,IF(Q15&gt;=95,15,IF(Q15&gt;=90,10,IF(Q15&gt;=80,5,0))))</f>
        <v/>
      </c>
      <c r="T15" s="32" t="n">
        <v>49.56</v>
      </c>
      <c r="U15" s="32" t="n">
        <v>16.91</v>
      </c>
      <c r="V15" s="32" t="inlineStr"/>
      <c r="W15" s="31" t="inlineStr">
        <is>
          <t>Earnings / Momentum Support</t>
        </is>
      </c>
      <c r="X15" s="31" t="inlineStr">
        <is>
          <t>Nifty Auto</t>
        </is>
      </c>
      <c r="Y15" s="32" t="n">
        <v>13.41</v>
      </c>
      <c r="Z15" s="32" t="n">
        <v>6.28</v>
      </c>
      <c r="AA15" s="32" t="n">
        <v>-6.29</v>
      </c>
      <c r="AB15" s="32" t="n">
        <v>2.51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0 to 20</t>
        </is>
      </c>
      <c r="BD15" s="31">
        <f>IF(BC15="Above 40",20,IF(BC15="20 to 40",10,IF(BC15="0 to 20",-5,0)))</f>
        <v/>
      </c>
      <c r="BE15" s="31" t="inlineStr">
        <is>
          <t>Below 45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IF(B16=0,"",RANK(B16,$B$2:$B$19,0))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139.8</v>
      </c>
      <c r="E16" s="32" t="inlineStr">
        <is>
          <t>5%</t>
        </is>
      </c>
      <c r="F16" s="32" t="n">
        <v>50000</v>
      </c>
      <c r="G16" s="32" t="n">
        <v>10</v>
      </c>
      <c r="H16" s="31" t="inlineStr">
        <is>
          <t>TITAN</t>
        </is>
      </c>
      <c r="I16" s="31" t="inlineStr">
        <is>
          <t>Titan Company Limited</t>
        </is>
      </c>
      <c r="J16" s="31" t="inlineStr">
        <is>
          <t>consumer discretionary</t>
        </is>
      </c>
      <c r="K16" s="31" t="inlineStr">
        <is>
          <t>diamond cutting / jewellery</t>
        </is>
      </c>
      <c r="L16" s="31" t="inlineStr">
        <is>
          <t>largecap</t>
        </is>
      </c>
      <c r="M16" s="32" t="n">
        <v>415217.59</v>
      </c>
      <c r="N16" s="32" t="n">
        <v>4740.1</v>
      </c>
      <c r="O16" s="32" t="n">
        <v>1.35</v>
      </c>
      <c r="P16" s="32" t="n">
        <v>500721</v>
      </c>
      <c r="Q16" s="31" t="n">
        <v>43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63.93</v>
      </c>
      <c r="U16" s="32" t="n">
        <v>18.27</v>
      </c>
      <c r="V16" s="32" t="inlineStr"/>
      <c r="W16" s="31" t="inlineStr">
        <is>
          <t>Earnings / Momentum Support</t>
        </is>
      </c>
      <c r="X16" s="31" t="inlineStr">
        <is>
          <t>Nifty 50</t>
        </is>
      </c>
      <c r="Y16" s="32" t="n">
        <v>-4.31</v>
      </c>
      <c r="Z16" s="32" t="n">
        <v>35.51</v>
      </c>
      <c r="AA16" s="32" t="n">
        <v>41.61</v>
      </c>
      <c r="AB16" s="32" t="n">
        <v>7.6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0 to 20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IF(B17=0,"",RANK(B17,$B$2:$B$19,0))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EMA Crossover</t>
        </is>
      </c>
      <c r="D17" s="32" t="n">
        <v>143.4</v>
      </c>
      <c r="E17" s="32" t="inlineStr">
        <is>
          <t>7%</t>
        </is>
      </c>
      <c r="F17" s="32" t="n">
        <v>70000</v>
      </c>
      <c r="G17" s="32" t="n">
        <v>266</v>
      </c>
      <c r="H17" s="33" t="inlineStr">
        <is>
          <t>VRLLOG</t>
        </is>
      </c>
      <c r="I17" s="33" t="inlineStr">
        <is>
          <t>Vrl Logistics Limited</t>
        </is>
      </c>
      <c r="J17" s="31" t="inlineStr">
        <is>
          <t>transportation</t>
        </is>
      </c>
      <c r="K17" s="31" t="inlineStr">
        <is>
          <t>miscellaneous</t>
        </is>
      </c>
      <c r="L17" s="31" t="inlineStr">
        <is>
          <t>smallcap</t>
        </is>
      </c>
      <c r="M17" s="32" t="n">
        <v>4252.89</v>
      </c>
      <c r="N17" s="32" t="n">
        <v>262.75</v>
      </c>
      <c r="O17" s="32" t="n">
        <v>8.08</v>
      </c>
      <c r="P17" s="32" t="n">
        <v>2163637</v>
      </c>
      <c r="Q17" s="31" t="n">
        <v>2</v>
      </c>
      <c r="R17" s="31" t="inlineStr">
        <is>
          <t>Underperforming</t>
        </is>
      </c>
      <c r="S17" s="32">
        <f>IF(R17="Underperforming",-5,IF(Q17&gt;=95,15,IF(Q17&gt;=90,10,IF(Q17&gt;=80,5,0))))</f>
        <v/>
      </c>
      <c r="T17" s="32" t="n">
        <v>47.69</v>
      </c>
      <c r="U17" s="32" t="n">
        <v>6.6</v>
      </c>
      <c r="V17" s="32" t="inlineStr"/>
      <c r="W17" s="31" t="inlineStr">
        <is>
          <t>Volume Spike / Accumulation</t>
        </is>
      </c>
      <c r="X17" s="31" t="inlineStr">
        <is>
          <t>Nifty 50</t>
        </is>
      </c>
      <c r="Y17" s="32" t="n">
        <v>-4.31</v>
      </c>
      <c r="Z17" s="32" t="n">
        <v>-19.32</v>
      </c>
      <c r="AA17" s="32" t="n">
        <v>-15.69</v>
      </c>
      <c r="AB17" s="32" t="n">
        <v>-4.54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Below 45</t>
        </is>
      </c>
      <c r="BF17" s="31">
        <f>IF(BE17="Between 50 to 75",10,IF(BE17="Above 75",0,0))</f>
        <v/>
      </c>
      <c r="BG17" s="31" t="inlineStr">
        <is>
          <t>Stage 4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Between 0.7 to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IF(B18=0,"",RANK(B18,$B$2:$B$19,0))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138.9</v>
      </c>
      <c r="E18" s="32" t="inlineStr">
        <is>
          <t>5%</t>
        </is>
      </c>
      <c r="F18" s="32" t="n">
        <v>50000</v>
      </c>
      <c r="G18" s="32" t="n">
        <v>24</v>
      </c>
      <c r="H18" s="33" t="inlineStr">
        <is>
          <t>LLOYDSME</t>
        </is>
      </c>
      <c r="I18" s="33" t="inlineStr">
        <is>
          <t>Lloyds Metals &amp; Energy Ltd</t>
        </is>
      </c>
      <c r="J18" s="31" t="inlineStr">
        <is>
          <t>metals &amp; mining</t>
        </is>
      </c>
      <c r="K18" s="31" t="inlineStr">
        <is>
          <t>mining / minerals / metals</t>
        </is>
      </c>
      <c r="L18" s="31" t="inlineStr">
        <is>
          <t>largecap</t>
        </is>
      </c>
      <c r="M18" s="32" t="n">
        <v>109232.09</v>
      </c>
      <c r="N18" s="32" t="n">
        <v>2014.9</v>
      </c>
      <c r="O18" s="32" t="n">
        <v>3.83</v>
      </c>
      <c r="P18" s="32" t="n">
        <v>1480673</v>
      </c>
      <c r="Q18" s="31" t="n">
        <v>48</v>
      </c>
      <c r="R18" s="31" t="inlineStr">
        <is>
          <t>Underperforming</t>
        </is>
      </c>
      <c r="S18" s="32">
        <f>IF(R18="Underperforming",-5,IF(Q18&gt;=95,15,IF(Q18&gt;=90,10,IF(Q18&gt;=80,5,0))))</f>
        <v/>
      </c>
      <c r="T18" s="32" t="n">
        <v>74.59</v>
      </c>
      <c r="U18" s="32" t="n">
        <v>44.25</v>
      </c>
      <c r="V18" s="32" t="inlineStr"/>
      <c r="W18" s="31" t="inlineStr">
        <is>
          <t>Earnings / Momentum Support</t>
        </is>
      </c>
      <c r="X18" s="31" t="inlineStr">
        <is>
          <t>Nifty Metal</t>
        </is>
      </c>
      <c r="Y18" s="32" t="n">
        <v>31.49</v>
      </c>
      <c r="Z18" s="32" t="n">
        <v>26.75</v>
      </c>
      <c r="AA18" s="32" t="n">
        <v>-3.61</v>
      </c>
      <c r="AB18" s="32" t="n">
        <v>8.960000000000001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Volatile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Less than 50% and Borrowings are increasing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IF(B19=0,"",RANK(B19,$B$2:$B$19,0))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EMA Crossover</t>
        </is>
      </c>
      <c r="D19" s="32" t="n">
        <v>146.3</v>
      </c>
      <c r="E19" s="32" t="inlineStr">
        <is>
          <t>7%</t>
        </is>
      </c>
      <c r="F19" s="32" t="n">
        <v>70000</v>
      </c>
      <c r="G19" s="32" t="n">
        <v>522</v>
      </c>
      <c r="H19" s="31" t="inlineStr">
        <is>
          <t>VHLTD</t>
        </is>
      </c>
      <c r="I19" s="31" t="inlineStr">
        <is>
          <t>Viceroy Hotels Ltd</t>
        </is>
      </c>
      <c r="J19" s="31" t="inlineStr">
        <is>
          <t>services</t>
        </is>
      </c>
      <c r="K19" s="31" t="inlineStr">
        <is>
          <t>hotels</t>
        </is>
      </c>
      <c r="L19" s="31" t="inlineStr">
        <is>
          <t>smallcap</t>
        </is>
      </c>
      <c r="M19" s="32" t="n">
        <v>891.97</v>
      </c>
      <c r="N19" s="32" t="n">
        <v>134.09</v>
      </c>
      <c r="O19" s="32" t="n">
        <v>1.59</v>
      </c>
      <c r="P19" s="32" t="n">
        <v>92015</v>
      </c>
      <c r="Q19" s="31" t="n">
        <v>26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46.94</v>
      </c>
      <c r="U19" s="32" t="n">
        <v>13.79</v>
      </c>
      <c r="V19" s="32" t="inlineStr"/>
      <c r="W19" s="31" t="inlineStr">
        <is>
          <t>Earnings / Momentum Support</t>
        </is>
      </c>
      <c r="X19" s="31" t="inlineStr">
        <is>
          <t>Nifty 50</t>
        </is>
      </c>
      <c r="Y19" s="32" t="n">
        <v>-4.31</v>
      </c>
      <c r="Z19" s="32" t="n">
        <v>25.43</v>
      </c>
      <c r="AA19" s="32" t="n">
        <v>31.07</v>
      </c>
      <c r="AB19" s="32" t="n">
        <v>4.29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Below 45</t>
        </is>
      </c>
      <c r="BF19" s="31">
        <f>IF(BE19="Between 50 to 75",10,IF(BE19="Above 75",0,0))</f>
        <v/>
      </c>
      <c r="BG19" s="31" t="inlineStr">
        <is>
          <t>Stage 4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IF(B2=0,"",RANK(B2,$B$2:$B$5,0))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139.5</v>
      </c>
      <c r="E2" s="32" t="inlineStr">
        <is>
          <t>5%</t>
        </is>
      </c>
      <c r="F2" s="32" t="n">
        <v>50000</v>
      </c>
      <c r="G2" s="32" t="n">
        <v>175</v>
      </c>
      <c r="H2" s="31" t="inlineStr">
        <is>
          <t>KTKBANK</t>
        </is>
      </c>
      <c r="I2" s="31" t="inlineStr">
        <is>
          <t>The Karnataka Bank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midcap</t>
        </is>
      </c>
      <c r="M2" s="32" t="n">
        <v>10578.35</v>
      </c>
      <c r="N2" s="32" t="n">
        <v>285.55</v>
      </c>
      <c r="O2" s="32" t="n">
        <v>2.09</v>
      </c>
      <c r="P2" s="32" t="n">
        <v>3550008</v>
      </c>
      <c r="Q2" s="31" t="n">
        <v>62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66.44</v>
      </c>
      <c r="U2" s="32" t="n">
        <v>46.56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0.29</v>
      </c>
      <c r="Z2" s="32" t="n">
        <v>53.05</v>
      </c>
      <c r="AA2" s="32" t="n">
        <v>52.61</v>
      </c>
      <c r="AB2" s="32" t="n">
        <v>12.85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IF(B3=0,"",RANK(B3,$B$2:$B$5,0))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139.5</v>
      </c>
      <c r="E3" s="32" t="inlineStr">
        <is>
          <t>5%</t>
        </is>
      </c>
      <c r="F3" s="32" t="n">
        <v>50000</v>
      </c>
      <c r="G3" s="32" t="n">
        <v>527</v>
      </c>
      <c r="H3" s="31" t="inlineStr">
        <is>
          <t>TFCILTD</t>
        </is>
      </c>
      <c r="I3" s="31" t="inlineStr">
        <is>
          <t>Tourism Finance Corporation Of India Limited</t>
        </is>
      </c>
      <c r="J3" s="31" t="inlineStr">
        <is>
          <t>financials</t>
        </is>
      </c>
      <c r="K3" s="31" t="inlineStr">
        <is>
          <t>finance - term-lending institutions</t>
        </is>
      </c>
      <c r="L3" s="31" t="inlineStr">
        <is>
          <t>smallcap</t>
        </is>
      </c>
      <c r="M3" s="32" t="n">
        <v>4040.4</v>
      </c>
      <c r="N3" s="32" t="n">
        <v>94.8</v>
      </c>
      <c r="O3" s="32" t="n">
        <v>8.630000000000001</v>
      </c>
      <c r="P3" s="32" t="n">
        <v>43311808</v>
      </c>
      <c r="Q3" s="31" t="n">
        <v>65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65.3</v>
      </c>
      <c r="U3" s="32" t="n">
        <v>43.84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0.29</v>
      </c>
      <c r="Z3" s="32" t="n">
        <v>51.21</v>
      </c>
      <c r="AA3" s="32" t="n">
        <v>50.78</v>
      </c>
      <c r="AB3" s="32" t="n">
        <v>13.76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3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IF(B4=0,"",RANK(B4,$B$2:$B$5,0))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139.7</v>
      </c>
      <c r="E4" s="32" t="inlineStr">
        <is>
          <t>5%</t>
        </is>
      </c>
      <c r="F4" s="32" t="n">
        <v>50000</v>
      </c>
      <c r="G4" s="32" t="n">
        <v>140</v>
      </c>
      <c r="H4" s="31" t="inlineStr">
        <is>
          <t>FEDERALBNK</t>
        </is>
      </c>
      <c r="I4" s="31" t="inlineStr">
        <is>
          <t>The Federal Bank 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largecap</t>
        </is>
      </c>
      <c r="M4" s="32" t="n">
        <v>87442.62</v>
      </c>
      <c r="N4" s="32" t="n">
        <v>356.5</v>
      </c>
      <c r="O4" s="32" t="n">
        <v>0.62</v>
      </c>
      <c r="P4" s="32" t="n">
        <v>6585012</v>
      </c>
      <c r="Q4" s="31" t="n">
        <v>71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77.86</v>
      </c>
      <c r="U4" s="32" t="n">
        <v>31.07</v>
      </c>
      <c r="V4" s="32" t="inlineStr"/>
      <c r="W4" s="31" t="inlineStr">
        <is>
          <t>Earnings / Momentum Support</t>
        </is>
      </c>
      <c r="X4" s="31" t="inlineStr">
        <is>
          <t>Nifty Bank</t>
        </is>
      </c>
      <c r="Y4" s="32" t="n">
        <v>0.29</v>
      </c>
      <c r="Z4" s="32" t="n">
        <v>71.25</v>
      </c>
      <c r="AA4" s="32" t="n">
        <v>70.76000000000001</v>
      </c>
      <c r="AB4" s="32" t="n">
        <v>15.89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No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Above 75</t>
        </is>
      </c>
      <c r="BT4" s="31">
        <f>IF(BS4="Between 50 to 75",10,IF(BS4="Above 75",0,0))</f>
        <v/>
      </c>
      <c r="BU4" s="31" t="inlineStr">
        <is>
          <t>Stage 3</t>
        </is>
      </c>
      <c r="BV4" s="31">
        <f>IF(BU4="Stage 2",20,IF(BU4="Stage 1",0,IF(BU4="Stage 3",5,IF(BU4="Stage 4",-5,0))))</f>
        <v/>
      </c>
      <c r="BW4" s="31" t="inlineStr">
        <is>
          <t>Negative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Close to 52 week high or retracement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IF(B5=0,"",RANK(B5,$B$2:$B$5,0))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139.5</v>
      </c>
      <c r="E5" s="32" t="inlineStr">
        <is>
          <t>5%</t>
        </is>
      </c>
      <c r="F5" s="32" t="n">
        <v>50000</v>
      </c>
      <c r="G5" s="32" t="n">
        <v>138</v>
      </c>
      <c r="H5" s="31" t="inlineStr">
        <is>
          <t>MANAPPURAM</t>
        </is>
      </c>
      <c r="I5" s="31" t="inlineStr">
        <is>
          <t>Manappuram Finance Limited</t>
        </is>
      </c>
      <c r="J5" s="31" t="inlineStr">
        <is>
          <t>financials</t>
        </is>
      </c>
      <c r="K5" s="31" t="inlineStr">
        <is>
          <t>finance &amp; investments</t>
        </is>
      </c>
      <c r="L5" s="31" t="inlineStr">
        <is>
          <t>largecap</t>
        </is>
      </c>
      <c r="M5" s="32" t="n">
        <v>33153.87</v>
      </c>
      <c r="N5" s="32" t="n">
        <v>359.85</v>
      </c>
      <c r="O5" s="32" t="n">
        <v>1.95</v>
      </c>
      <c r="P5" s="32" t="n">
        <v>3881990</v>
      </c>
      <c r="Q5" s="31" t="n">
        <v>55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65.48</v>
      </c>
      <c r="U5" s="32" t="n">
        <v>16.23</v>
      </c>
      <c r="V5" s="32" t="inlineStr"/>
      <c r="W5" s="31" t="inlineStr">
        <is>
          <t>Earnings / Momentum Support</t>
        </is>
      </c>
      <c r="X5" s="31" t="inlineStr">
        <is>
          <t>Nifty Bank</t>
        </is>
      </c>
      <c r="Y5" s="32" t="n">
        <v>0.29</v>
      </c>
      <c r="Z5" s="32" t="n">
        <v>33.8</v>
      </c>
      <c r="AA5" s="32" t="n">
        <v>33.42</v>
      </c>
      <c r="AB5" s="32" t="n">
        <v>10.75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No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more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0 to 20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3</t>
        </is>
      </c>
      <c r="BV5" s="31">
        <f>IF(BU5="Stage 2",20,IF(BU5="Stage 1",0,IF(BU5="Stage 3",5,IF(BU5="Stage 4",-5,0))))</f>
        <v/>
      </c>
      <c r="BW5" s="31" t="inlineStr">
        <is>
          <t>Negative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Close to 52 week high or retracement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8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ACCENTMIC</t>
        </is>
      </c>
      <c r="D2" s="31" t="inlineStr">
        <is>
          <t>Accent Microcell Ltd</t>
        </is>
      </c>
      <c r="E2" s="31" t="inlineStr">
        <is>
          <t>unknown</t>
        </is>
      </c>
      <c r="F2" s="31" t="inlineStr">
        <is>
          <t>Pharma - Formulators</t>
        </is>
      </c>
      <c r="G2" s="31" t="inlineStr">
        <is>
          <t>smallcap</t>
        </is>
      </c>
      <c r="H2" s="32" t="n">
        <v>1215.04</v>
      </c>
      <c r="I2" s="32" t="n">
        <v>506.5</v>
      </c>
      <c r="J2" s="32" t="n">
        <v>2.33</v>
      </c>
      <c r="K2" s="32" t="n">
        <v>0</v>
      </c>
      <c r="L2" s="31" t="n">
        <v>72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67.36</v>
      </c>
      <c r="P2" s="32" t="n">
        <v>62.02</v>
      </c>
      <c r="Q2" s="32" t="n">
        <v>403.03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-4.31</v>
      </c>
      <c r="U2" s="32" t="n">
        <v>81.59999999999999</v>
      </c>
      <c r="V2" s="32" t="n">
        <v>89.77</v>
      </c>
      <c r="W2" s="32" t="n">
        <v>16.18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19</t>
        </is>
      </c>
      <c r="CG2" s="31">
        <f>IF(CF2&gt;20,10,IF(CF2&gt;=10,5,2))</f>
        <v/>
      </c>
    </row>
    <row r="3">
      <c r="A3" s="31">
        <f>IF(B3=0,"",RANK(B3,$B$2:$B$86,0))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APCOTEXIND</t>
        </is>
      </c>
      <c r="D3" s="31" t="inlineStr">
        <is>
          <t>Apcotex Industries Ltd</t>
        </is>
      </c>
      <c r="E3" s="31" t="inlineStr">
        <is>
          <t>chemicals</t>
        </is>
      </c>
      <c r="F3" s="31" t="inlineStr">
        <is>
          <t>Rubber Processing/Rubber Products</t>
        </is>
      </c>
      <c r="G3" s="31" t="inlineStr">
        <is>
          <t>smallcap</t>
        </is>
      </c>
      <c r="H3" s="32" t="n">
        <v>3074.15</v>
      </c>
      <c r="I3" s="32" t="n">
        <v>592.95</v>
      </c>
      <c r="J3" s="32" t="n">
        <v>5.69</v>
      </c>
      <c r="K3" s="32" t="n">
        <v>0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68.72</v>
      </c>
      <c r="P3" s="32" t="n">
        <v>57.67</v>
      </c>
      <c r="Q3" s="32" t="inlineStr"/>
      <c r="R3" s="31" t="inlineStr">
        <is>
          <t>Earnings / Momentum Support</t>
        </is>
      </c>
      <c r="S3" s="31" t="inlineStr">
        <is>
          <t>Nifty 50</t>
        </is>
      </c>
      <c r="T3" s="32" t="n">
        <v>-4.31</v>
      </c>
      <c r="U3" s="32" t="n">
        <v>44.24</v>
      </c>
      <c r="V3" s="32" t="n">
        <v>50.73</v>
      </c>
      <c r="W3" s="32" t="n">
        <v>17.85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Cyclical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1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Sideways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Overhead supply in last 2 years in last 2 years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16</t>
        </is>
      </c>
      <c r="CG3" s="31">
        <f>IF(CF3&gt;20,10,IF(CF3&gt;=10,5,2))</f>
        <v/>
      </c>
    </row>
    <row r="4">
      <c r="A4" s="31">
        <f>IF(B4=0,"",RANK(B4,$B$2:$B$86,0))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IBULLSLTD</t>
        </is>
      </c>
      <c r="D4" s="31" t="inlineStr">
        <is>
          <t>Indiabulls Limited</t>
        </is>
      </c>
      <c r="E4" s="31" t="inlineStr">
        <is>
          <t>miscellaneous</t>
        </is>
      </c>
      <c r="F4" s="31" t="inlineStr">
        <is>
          <t>Diversified</t>
        </is>
      </c>
      <c r="G4" s="31" t="inlineStr">
        <is>
          <t>midcap</t>
        </is>
      </c>
      <c r="H4" s="32" t="n">
        <v>7242.55</v>
      </c>
      <c r="I4" s="32" t="n">
        <v>31.09</v>
      </c>
      <c r="J4" s="32" t="n">
        <v>1.83</v>
      </c>
      <c r="K4" s="32" t="n">
        <v>0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77.68000000000001</v>
      </c>
      <c r="P4" s="32" t="n">
        <v>47.66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-4.31</v>
      </c>
      <c r="U4" s="32" t="n">
        <v>97.22</v>
      </c>
      <c r="V4" s="32" t="n">
        <v>106.1</v>
      </c>
      <c r="W4" s="32" t="n">
        <v>39.18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24</t>
        </is>
      </c>
      <c r="CG4" s="31">
        <f>IF(CF4&gt;20,10,IF(CF4&gt;=10,5,2))</f>
        <v/>
      </c>
    </row>
    <row r="5">
      <c r="A5" s="31">
        <f>IF(B5=0,"",RANK(B5,$B$2:$B$86,0))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TIMEX</t>
        </is>
      </c>
      <c r="D5" s="31" t="inlineStr">
        <is>
          <t>Timex Group India Ltd</t>
        </is>
      </c>
      <c r="E5" s="31" t="inlineStr">
        <is>
          <t>Consumer Cyclical</t>
        </is>
      </c>
      <c r="F5" s="31" t="inlineStr">
        <is>
          <t>Watches</t>
        </is>
      </c>
      <c r="G5" s="31" t="inlineStr">
        <is>
          <t>midcap</t>
        </is>
      </c>
      <c r="H5" s="32" t="n">
        <v>5678.44</v>
      </c>
      <c r="I5" s="32" t="n">
        <v>562.5</v>
      </c>
      <c r="J5" s="32" t="n">
        <v>-2.85</v>
      </c>
      <c r="K5" s="32" t="n">
        <v>0</v>
      </c>
      <c r="L5" s="31" t="n">
        <v>97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74.29000000000001</v>
      </c>
      <c r="P5" s="32" t="n">
        <v>49.27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-4.31</v>
      </c>
      <c r="U5" s="32" t="n">
        <v>173.11</v>
      </c>
      <c r="V5" s="32" t="n">
        <v>185.4</v>
      </c>
      <c r="W5" s="32" t="n">
        <v>42.52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No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3</t>
        </is>
      </c>
      <c r="BC5" s="31">
        <f>IF(BB5="Stage 2",20,IF(BB5="Stage 1",0,IF(BB5="Stage 3",5,IF(BB5="Stage 4",-5,0))))</f>
        <v/>
      </c>
      <c r="BD5" s="31" t="inlineStr">
        <is>
          <t>Negative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Close to 52 week high or retracement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18</t>
        </is>
      </c>
      <c r="CG5" s="31">
        <f>IF(CF5&gt;20,10,IF(CF5&gt;=10,5,2))</f>
        <v/>
      </c>
    </row>
    <row r="6">
      <c r="A6" s="31">
        <f>IF(B6=0,"",RANK(B6,$B$2:$B$86,0))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E2E</t>
        </is>
      </c>
      <c r="D6" s="31" t="inlineStr">
        <is>
          <t>E2E Networks Ltd</t>
        </is>
      </c>
      <c r="E6" s="31" t="inlineStr">
        <is>
          <t>i.t</t>
        </is>
      </c>
      <c r="F6" s="31" t="inlineStr">
        <is>
          <t>Data Centre</t>
        </is>
      </c>
      <c r="G6" s="31" t="inlineStr">
        <is>
          <t>midcap</t>
        </is>
      </c>
      <c r="H6" s="32" t="n">
        <v>11151.9</v>
      </c>
      <c r="I6" s="32" t="n">
        <v>542.5</v>
      </c>
      <c r="J6" s="32" t="n">
        <v>4.99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71.15000000000001</v>
      </c>
      <c r="P6" s="32" t="n">
        <v>44.66</v>
      </c>
      <c r="Q6" s="32" t="inlineStr"/>
      <c r="R6" s="31" t="inlineStr">
        <is>
          <t>Earnings / Momentum Support</t>
        </is>
      </c>
      <c r="S6" s="31" t="inlineStr">
        <is>
          <t>Nifty IT</t>
        </is>
      </c>
      <c r="T6" s="32" t="n">
        <v>-19.25</v>
      </c>
      <c r="U6" s="32" t="n">
        <v>141.49</v>
      </c>
      <c r="V6" s="32" t="n">
        <v>199.05</v>
      </c>
      <c r="W6" s="32" t="n">
        <v>41.71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28</t>
        </is>
      </c>
      <c r="CG6" s="31">
        <f>IF(CF6&gt;20,10,IF(CF6&gt;=10,5,2))</f>
        <v/>
      </c>
    </row>
    <row r="7">
      <c r="A7" s="31">
        <f>IF(B7=0,"",RANK(B7,$B$2:$B$86,0))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AURUM</t>
        </is>
      </c>
      <c r="D7" s="31" t="inlineStr">
        <is>
          <t>Aurum Proptech Ltd</t>
        </is>
      </c>
      <c r="E7" s="31" t="inlineStr">
        <is>
          <t>i.t</t>
        </is>
      </c>
      <c r="F7" s="31" t="inlineStr">
        <is>
          <t>IT Enabled Services</t>
        </is>
      </c>
      <c r="G7" s="31" t="inlineStr">
        <is>
          <t>smallcap</t>
        </is>
      </c>
      <c r="H7" s="32" t="n">
        <v>1658.71</v>
      </c>
      <c r="I7" s="32" t="n">
        <v>230.14</v>
      </c>
      <c r="J7" s="32" t="n">
        <v>4.02</v>
      </c>
      <c r="K7" s="32" t="n">
        <v>0</v>
      </c>
      <c r="L7" s="31" t="n">
        <v>42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62.1</v>
      </c>
      <c r="P7" s="32" t="n">
        <v>43.8</v>
      </c>
      <c r="Q7" s="32" t="inlineStr"/>
      <c r="R7" s="31" t="inlineStr">
        <is>
          <t>Earnings / Momentum Support</t>
        </is>
      </c>
      <c r="S7" s="31" t="inlineStr">
        <is>
          <t>Nifty IT</t>
        </is>
      </c>
      <c r="T7" s="32" t="n">
        <v>-19.25</v>
      </c>
      <c r="U7" s="32" t="n">
        <v>12.96</v>
      </c>
      <c r="V7" s="32" t="n">
        <v>39.88</v>
      </c>
      <c r="W7" s="32" t="n">
        <v>7.51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24</t>
        </is>
      </c>
      <c r="CG7" s="31">
        <f>IF(CF7&gt;20,10,IF(CF7&gt;=10,5,2))</f>
        <v/>
      </c>
    </row>
    <row r="8">
      <c r="A8" s="31">
        <f>IF(B8=0,"",RANK(B8,$B$2:$B$86,0))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HUHTAMAKI</t>
        </is>
      </c>
      <c r="D8" s="31" t="inlineStr">
        <is>
          <t>Huhtamaki India Ltd</t>
        </is>
      </c>
      <c r="E8" s="31" t="inlineStr">
        <is>
          <t>industrials</t>
        </is>
      </c>
      <c r="F8" s="31" t="inlineStr">
        <is>
          <t>Packaging - FMCG/Consumers</t>
        </is>
      </c>
      <c r="G8" s="31" t="inlineStr">
        <is>
          <t>smallcap</t>
        </is>
      </c>
      <c r="H8" s="32" t="n">
        <v>2370.03</v>
      </c>
      <c r="I8" s="32" t="n">
        <v>313.82</v>
      </c>
      <c r="J8" s="32" t="n">
        <v>-1.53</v>
      </c>
      <c r="K8" s="32" t="n">
        <v>0</v>
      </c>
      <c r="L8" s="31" t="n">
        <v>91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81.59</v>
      </c>
      <c r="P8" s="32" t="n">
        <v>24.01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-4.31</v>
      </c>
      <c r="U8" s="32" t="n">
        <v>47.36</v>
      </c>
      <c r="V8" s="32" t="n">
        <v>53.99</v>
      </c>
      <c r="W8" s="32" t="n">
        <v>29.63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29</t>
        </is>
      </c>
      <c r="CG8" s="31">
        <f>IF(CF8&gt;20,10,IF(CF8&gt;=10,5,2))</f>
        <v/>
      </c>
    </row>
    <row r="9">
      <c r="A9" s="31">
        <f>IF(B9=0,"",RANK(B9,$B$2:$B$86,0))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TINNARUBR</t>
        </is>
      </c>
      <c r="D9" s="31" t="inlineStr">
        <is>
          <t>Tinna Rubber &amp; Infrastructure Ltd</t>
        </is>
      </c>
      <c r="E9" s="31" t="inlineStr">
        <is>
          <t>fmcg</t>
        </is>
      </c>
      <c r="F9" s="31" t="inlineStr">
        <is>
          <t>Rubber Processing/Rubber Products</t>
        </is>
      </c>
      <c r="G9" s="31" t="inlineStr">
        <is>
          <t>smallcap</t>
        </is>
      </c>
      <c r="H9" s="32" t="n">
        <v>2038.48</v>
      </c>
      <c r="I9" s="32" t="n">
        <v>1131.5</v>
      </c>
      <c r="J9" s="32" t="n">
        <v>3</v>
      </c>
      <c r="K9" s="32" t="n">
        <v>0</v>
      </c>
      <c r="L9" s="31" t="n">
        <v>51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71.78</v>
      </c>
      <c r="P9" s="32" t="n">
        <v>35.91</v>
      </c>
      <c r="Q9" s="32" t="inlineStr"/>
      <c r="R9" s="31" t="inlineStr">
        <is>
          <t>Earnings / Momentum Support</t>
        </is>
      </c>
      <c r="S9" s="31" t="inlineStr">
        <is>
          <t>Nifty FMCG</t>
        </is>
      </c>
      <c r="T9" s="32" t="n">
        <v>-13.73</v>
      </c>
      <c r="U9" s="32" t="n">
        <v>0.8</v>
      </c>
      <c r="V9" s="32" t="n">
        <v>16.84</v>
      </c>
      <c r="W9" s="32" t="n">
        <v>9.539999999999999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IF(B10=0,"",RANK(B10,$B$2:$B$86,0))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INDIAGLYCO</t>
        </is>
      </c>
      <c r="D10" s="31" t="inlineStr">
        <is>
          <t>India Glycols Ltd</t>
        </is>
      </c>
      <c r="E10" s="31" t="inlineStr">
        <is>
          <t>fmcg</t>
        </is>
      </c>
      <c r="F10" s="31" t="inlineStr">
        <is>
          <t>Alcoholic Beverages</t>
        </is>
      </c>
      <c r="G10" s="31" t="inlineStr">
        <is>
          <t>midcap</t>
        </is>
      </c>
      <c r="H10" s="32" t="n">
        <v>7935.97</v>
      </c>
      <c r="I10" s="32" t="n">
        <v>1184</v>
      </c>
      <c r="J10" s="32" t="n">
        <v>2.26</v>
      </c>
      <c r="K10" s="32" t="n">
        <v>0</v>
      </c>
      <c r="L10" s="31" t="n">
        <v>46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65.05</v>
      </c>
      <c r="P10" s="32" t="n">
        <v>26.51</v>
      </c>
      <c r="Q10" s="32" t="inlineStr"/>
      <c r="R10" s="31" t="inlineStr">
        <is>
          <t>Earnings / Momentum Support</t>
        </is>
      </c>
      <c r="S10" s="31" t="inlineStr">
        <is>
          <t>Nifty FMCG</t>
        </is>
      </c>
      <c r="T10" s="32" t="n">
        <v>-13.73</v>
      </c>
      <c r="U10" s="32" t="n">
        <v>22.44</v>
      </c>
      <c r="V10" s="32" t="n">
        <v>41.93</v>
      </c>
      <c r="W10" s="32" t="n">
        <v>8.220000000000001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20 to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IF(B11=0,"",RANK(B11,$B$2:$B$86,0))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GRANULES</t>
        </is>
      </c>
      <c r="D11" s="31" t="inlineStr">
        <is>
          <t>Granules India Ltd</t>
        </is>
      </c>
      <c r="E11" s="31" t="inlineStr">
        <is>
          <t>Healthcare</t>
        </is>
      </c>
      <c r="F11" s="31" t="inlineStr">
        <is>
          <t>Pharma - API &amp; CRAMS</t>
        </is>
      </c>
      <c r="G11" s="31" t="inlineStr">
        <is>
          <t>largecap</t>
        </is>
      </c>
      <c r="H11" s="32" t="n">
        <v>20881.85</v>
      </c>
      <c r="I11" s="32" t="n">
        <v>842.7</v>
      </c>
      <c r="J11" s="32" t="n">
        <v>1.1</v>
      </c>
      <c r="K11" s="32" t="n">
        <v>0</v>
      </c>
      <c r="L11" s="31" t="n">
        <v>73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66.48999999999999</v>
      </c>
      <c r="P11" s="32" t="n">
        <v>49.25</v>
      </c>
      <c r="Q11" s="32" t="inlineStr"/>
      <c r="R11" s="31" t="inlineStr">
        <is>
          <t>Earnings / Momentum Support</t>
        </is>
      </c>
      <c r="S11" s="31" t="inlineStr">
        <is>
          <t>Nifty Pharma</t>
        </is>
      </c>
      <c r="T11" s="32" t="n">
        <v>12.73</v>
      </c>
      <c r="U11" s="32" t="n">
        <v>78.23</v>
      </c>
      <c r="V11" s="32" t="n">
        <v>58.1</v>
      </c>
      <c r="W11" s="32" t="n">
        <v>16.92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17</t>
        </is>
      </c>
      <c r="CG11" s="31">
        <f>IF(CF11&gt;20,10,IF(CF11&gt;=10,5,2))</f>
        <v/>
      </c>
    </row>
    <row r="12">
      <c r="A12" s="31">
        <f>IF(B12=0,"",RANK(B12,$B$2:$B$86,0))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HFCL</t>
        </is>
      </c>
      <c r="D12" s="31" t="inlineStr">
        <is>
          <t>HFCL Ltd</t>
        </is>
      </c>
      <c r="E12" s="31" t="inlineStr">
        <is>
          <t>Technology</t>
        </is>
      </c>
      <c r="F12" s="31" t="inlineStr">
        <is>
          <t>Telecom Services</t>
        </is>
      </c>
      <c r="G12" s="31" t="inlineStr">
        <is>
          <t>largecap</t>
        </is>
      </c>
      <c r="H12" s="32" t="n">
        <v>29396.75</v>
      </c>
      <c r="I12" s="32" t="n">
        <v>192.06</v>
      </c>
      <c r="J12" s="32" t="n">
        <v>-2.43</v>
      </c>
      <c r="K12" s="32" t="n">
        <v>0</v>
      </c>
      <c r="L12" s="31" t="n">
        <v>98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71.77</v>
      </c>
      <c r="P12" s="32" t="n">
        <v>70.77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-4.31</v>
      </c>
      <c r="U12" s="32" t="n">
        <v>159.59</v>
      </c>
      <c r="V12" s="32" t="n">
        <v>171.27</v>
      </c>
      <c r="W12" s="32" t="n">
        <v>47.59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Oligopoly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16</t>
        </is>
      </c>
      <c r="CG12" s="31">
        <f>IF(CF12&gt;20,10,IF(CF12&gt;=10,5,2))</f>
        <v/>
      </c>
    </row>
    <row r="13">
      <c r="A13" s="31">
        <f>IF(B13=0,"",RANK(B13,$B$2:$B$86,0))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RPTECH</t>
        </is>
      </c>
      <c r="D13" s="31" t="inlineStr">
        <is>
          <t>Rashi Peripherals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midcap</t>
        </is>
      </c>
      <c r="H13" s="32" t="n">
        <v>5304.92</v>
      </c>
      <c r="I13" s="32" t="n">
        <v>805</v>
      </c>
      <c r="J13" s="32" t="n">
        <v>3.22</v>
      </c>
      <c r="K13" s="32" t="n">
        <v>0</v>
      </c>
      <c r="L13" s="31" t="n">
        <v>95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78.02</v>
      </c>
      <c r="P13" s="32" t="n">
        <v>75.34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-4.31</v>
      </c>
      <c r="U13" s="32" t="n">
        <v>165.9</v>
      </c>
      <c r="V13" s="32" t="n">
        <v>177.86</v>
      </c>
      <c r="W13" s="32" t="n">
        <v>37.98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Less than 50%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IF(B14=0,"",RANK(B14,$B$2:$B$86,0))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MENONBE</t>
        </is>
      </c>
      <c r="D14" s="31" t="inlineStr">
        <is>
          <t>Menon Bearings Ltd</t>
        </is>
      </c>
      <c r="E14" s="31" t="inlineStr">
        <is>
          <t>auto</t>
        </is>
      </c>
      <c r="F14" s="31" t="inlineStr">
        <is>
          <t>Auto Ancillaries - Bearings</t>
        </is>
      </c>
      <c r="G14" s="31" t="inlineStr">
        <is>
          <t>smallcap</t>
        </is>
      </c>
      <c r="H14" s="32" t="n">
        <v>1216.07</v>
      </c>
      <c r="I14" s="32" t="n">
        <v>217</v>
      </c>
      <c r="J14" s="32" t="n">
        <v>1.51</v>
      </c>
      <c r="K14" s="32" t="n">
        <v>0</v>
      </c>
      <c r="L14" s="31" t="n">
        <v>85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76.93000000000001</v>
      </c>
      <c r="P14" s="32" t="n">
        <v>48.38</v>
      </c>
      <c r="Q14" s="32" t="inlineStr"/>
      <c r="R14" s="31" t="inlineStr">
        <is>
          <t>Earnings / Momentum Support</t>
        </is>
      </c>
      <c r="S14" s="31" t="inlineStr">
        <is>
          <t>Nifty Auto</t>
        </is>
      </c>
      <c r="T14" s="32" t="n">
        <v>13.41</v>
      </c>
      <c r="U14" s="32" t="n">
        <v>59.56</v>
      </c>
      <c r="V14" s="32" t="n">
        <v>40.68</v>
      </c>
      <c r="W14" s="32" t="n">
        <v>23.69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20</t>
        </is>
      </c>
      <c r="CG14" s="31">
        <f>IF(CF14&gt;20,10,IF(CF14&gt;=10,5,2))</f>
        <v/>
      </c>
    </row>
    <row r="15">
      <c r="A15" s="31">
        <f>IF(B15=0,"",RANK(B15,$B$2:$B$86,0))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RPEL</t>
        </is>
      </c>
      <c r="D15" s="31" t="inlineStr">
        <is>
          <t>Raghav Productivity Enhancers Ltd</t>
        </is>
      </c>
      <c r="E15" s="31" t="inlineStr">
        <is>
          <t>building materials</t>
        </is>
      </c>
      <c r="F15" s="31" t="inlineStr">
        <is>
          <t>Steel Products</t>
        </is>
      </c>
      <c r="G15" s="31" t="inlineStr">
        <is>
          <t>midcap</t>
        </is>
      </c>
      <c r="H15" s="32" t="n">
        <v>5966.64</v>
      </c>
      <c r="I15" s="32" t="n">
        <v>1299.3</v>
      </c>
      <c r="J15" s="32" t="n">
        <v>-0.29</v>
      </c>
      <c r="K15" s="32" t="n">
        <v>0</v>
      </c>
      <c r="L15" s="31" t="n">
        <v>94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77.92</v>
      </c>
      <c r="P15" s="32" t="n">
        <v>46.8</v>
      </c>
      <c r="Q15" s="32" t="inlineStr"/>
      <c r="R15" s="31" t="inlineStr">
        <is>
          <t>Earnings / Momentum Support</t>
        </is>
      </c>
      <c r="S15" s="31" t="inlineStr">
        <is>
          <t>Nifty Infra</t>
        </is>
      </c>
      <c r="T15" s="32" t="n">
        <v>1.74</v>
      </c>
      <c r="U15" s="32" t="n">
        <v>89.84999999999999</v>
      </c>
      <c r="V15" s="32" t="n">
        <v>86.59999999999999</v>
      </c>
      <c r="W15" s="32" t="n">
        <v>35.04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IF(B16=0,"",RANK(B16,$B$2:$B$86,0))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ADOR</t>
        </is>
      </c>
      <c r="D16" s="31" t="inlineStr">
        <is>
          <t>Ador Welding Ltd</t>
        </is>
      </c>
      <c r="E16" s="31" t="inlineStr">
        <is>
          <t>industrials</t>
        </is>
      </c>
      <c r="F16" s="31" t="inlineStr">
        <is>
          <t>Welding Equipments</t>
        </is>
      </c>
      <c r="G16" s="31" t="inlineStr">
        <is>
          <t>smallcap</t>
        </is>
      </c>
      <c r="H16" s="32" t="n">
        <v>2636.53</v>
      </c>
      <c r="I16" s="32" t="n">
        <v>1515</v>
      </c>
      <c r="J16" s="32" t="n">
        <v>1.41</v>
      </c>
      <c r="K16" s="32" t="n">
        <v>0</v>
      </c>
      <c r="L16" s="31" t="n">
        <v>81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81.73</v>
      </c>
      <c r="P16" s="32" t="n">
        <v>43.29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-4.31</v>
      </c>
      <c r="U16" s="32" t="n">
        <v>45.54</v>
      </c>
      <c r="V16" s="32" t="n">
        <v>52.09</v>
      </c>
      <c r="W16" s="32" t="n">
        <v>20.93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22</t>
        </is>
      </c>
      <c r="CG16" s="31">
        <f>IF(CF16&gt;20,10,IF(CF16&gt;=10,5,2))</f>
        <v/>
      </c>
    </row>
    <row r="17">
      <c r="A17" s="31">
        <f>IF(B17=0,"",RANK(B17,$B$2:$B$86,0))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BHEL</t>
        </is>
      </c>
      <c r="D17" s="31" t="inlineStr">
        <is>
          <t>Bharat Heavy Electricals Ltd</t>
        </is>
      </c>
      <c r="E17" s="31" t="inlineStr">
        <is>
          <t>industrials</t>
        </is>
      </c>
      <c r="F17" s="31" t="inlineStr">
        <is>
          <t>Capital Goods - Engineering Heavy</t>
        </is>
      </c>
      <c r="G17" s="31" t="inlineStr">
        <is>
          <t>largecap</t>
        </is>
      </c>
      <c r="H17" s="32" t="n">
        <v>144505.63</v>
      </c>
      <c r="I17" s="32" t="n">
        <v>415</v>
      </c>
      <c r="J17" s="32" t="n">
        <v>-0.55</v>
      </c>
      <c r="K17" s="32" t="n">
        <v>0</v>
      </c>
      <c r="L17" s="31" t="n">
        <v>75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66.37</v>
      </c>
      <c r="P17" s="32" t="n">
        <v>46.07</v>
      </c>
      <c r="Q17" s="32" t="inlineStr"/>
      <c r="R17" s="31" t="inlineStr">
        <is>
          <t>Earnings / Momentum Support</t>
        </is>
      </c>
      <c r="S17" s="31" t="inlineStr">
        <is>
          <t>Nifty 500</t>
        </is>
      </c>
      <c r="T17" s="32" t="n">
        <v>-0.44</v>
      </c>
      <c r="U17" s="32" t="n">
        <v>74.69</v>
      </c>
      <c r="V17" s="32" t="n">
        <v>75.47</v>
      </c>
      <c r="W17" s="32" t="n">
        <v>17.73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21</t>
        </is>
      </c>
      <c r="CG17" s="31">
        <f>IF(CF17&gt;20,10,IF(CF17&gt;=10,5,2))</f>
        <v/>
      </c>
    </row>
    <row r="18">
      <c r="A18" s="31">
        <f>IF(B18=0,"",RANK(B18,$B$2:$B$86,0))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BAJAJ-AUTO</t>
        </is>
      </c>
      <c r="D18" s="31" t="inlineStr">
        <is>
          <t>Bajaj Auto Ltd</t>
        </is>
      </c>
      <c r="E18" s="31" t="inlineStr">
        <is>
          <t>auto</t>
        </is>
      </c>
      <c r="F18" s="31" t="inlineStr">
        <is>
          <t>Auto - 2 &amp; 3 Wheelers</t>
        </is>
      </c>
      <c r="G18" s="31" t="inlineStr">
        <is>
          <t>largecap</t>
        </is>
      </c>
      <c r="H18" s="32" t="n">
        <v>307230.69</v>
      </c>
      <c r="I18" s="32" t="n">
        <v>11180</v>
      </c>
      <c r="J18" s="32" t="n">
        <v>0.45</v>
      </c>
      <c r="K18" s="32" t="n">
        <v>0</v>
      </c>
      <c r="L18" s="31" t="n">
        <v>38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68.66</v>
      </c>
      <c r="P18" s="32" t="n">
        <v>20.35</v>
      </c>
      <c r="Q18" s="32" t="inlineStr"/>
      <c r="R18" s="31" t="inlineStr">
        <is>
          <t>Earnings / Momentum Support</t>
        </is>
      </c>
      <c r="S18" s="31" t="inlineStr">
        <is>
          <t>Nifty Auto</t>
        </is>
      </c>
      <c r="T18" s="32" t="n">
        <v>13.41</v>
      </c>
      <c r="U18" s="32" t="n">
        <v>26.86</v>
      </c>
      <c r="V18" s="32" t="n">
        <v>11.86</v>
      </c>
      <c r="W18" s="32" t="n">
        <v>6.6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IF(B19=0,"",RANK(B19,$B$2:$B$86,0))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GNA</t>
        </is>
      </c>
      <c r="D19" s="31" t="inlineStr">
        <is>
          <t>GNA Axles Ltd</t>
        </is>
      </c>
      <c r="E19" s="31" t="inlineStr">
        <is>
          <t>auto</t>
        </is>
      </c>
      <c r="F19" s="31" t="inlineStr">
        <is>
          <t>Auto &amp; Auto Ancl - CV</t>
        </is>
      </c>
      <c r="G19" s="31" t="inlineStr">
        <is>
          <t>smallcap</t>
        </is>
      </c>
      <c r="H19" s="32" t="n">
        <v>2198.92</v>
      </c>
      <c r="I19" s="32" t="n">
        <v>512.2</v>
      </c>
      <c r="J19" s="32" t="n">
        <v>1.03</v>
      </c>
      <c r="K19" s="32" t="n">
        <v>0</v>
      </c>
      <c r="L19" s="31" t="n">
        <v>76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63.95</v>
      </c>
      <c r="P19" s="32" t="n">
        <v>26.19</v>
      </c>
      <c r="Q19" s="32" t="inlineStr"/>
      <c r="R19" s="31" t="inlineStr">
        <is>
          <t>Earnings / Momentum Support</t>
        </is>
      </c>
      <c r="S19" s="31" t="inlineStr">
        <is>
          <t>Nifty Auto</t>
        </is>
      </c>
      <c r="T19" s="32" t="n">
        <v>13.41</v>
      </c>
      <c r="U19" s="32" t="n">
        <v>68.69</v>
      </c>
      <c r="V19" s="32" t="n">
        <v>48.74</v>
      </c>
      <c r="W19" s="32" t="n">
        <v>18.24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IF(B20=0,"",RANK(B20,$B$2:$B$86,0))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SPECTRUM</t>
        </is>
      </c>
      <c r="D20" s="31" t="inlineStr">
        <is>
          <t>Spectrum Electrical Industries Ltd</t>
        </is>
      </c>
      <c r="E20" s="31" t="inlineStr">
        <is>
          <t>industrials</t>
        </is>
      </c>
      <c r="F20" s="31" t="inlineStr">
        <is>
          <t>Capital Goods - Electric General</t>
        </is>
      </c>
      <c r="G20" s="31" t="inlineStr">
        <is>
          <t>smallcap</t>
        </is>
      </c>
      <c r="H20" s="32" t="n">
        <v>3449.03</v>
      </c>
      <c r="I20" s="32" t="n">
        <v>2194.9</v>
      </c>
      <c r="J20" s="32" t="n">
        <v>-3.8</v>
      </c>
      <c r="K20" s="32" t="n">
        <v>0</v>
      </c>
      <c r="L20" s="31" t="n">
        <v>93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74.76000000000001</v>
      </c>
      <c r="P20" s="32" t="n">
        <v>47.7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-4.31</v>
      </c>
      <c r="U20" s="32" t="n">
        <v>45.77</v>
      </c>
      <c r="V20" s="32" t="n">
        <v>52.33</v>
      </c>
      <c r="W20" s="32" t="n">
        <v>34.45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Between 0.7 to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18</t>
        </is>
      </c>
      <c r="CG20" s="31">
        <f>IF(CF20&gt;20,10,IF(CF20&gt;=10,5,2))</f>
        <v/>
      </c>
    </row>
    <row r="21">
      <c r="A21" s="31">
        <f>IF(B21=0,"",RANK(B21,$B$2:$B$86,0))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KPL</t>
        </is>
      </c>
      <c r="D21" s="31" t="inlineStr">
        <is>
          <t>Kwality Pharmaceuticals Ltd</t>
        </is>
      </c>
      <c r="E21" s="31" t="inlineStr">
        <is>
          <t>Healthcare</t>
        </is>
      </c>
      <c r="F21" s="31" t="inlineStr">
        <is>
          <t>Pharma - Formulators</t>
        </is>
      </c>
      <c r="G21" s="31" t="inlineStr">
        <is>
          <t>smallcap</t>
        </is>
      </c>
      <c r="H21" s="32" t="n">
        <v>2818.9</v>
      </c>
      <c r="I21" s="32" t="n">
        <v>2716.7</v>
      </c>
      <c r="J21" s="32" t="n">
        <v>-2.17</v>
      </c>
      <c r="K21" s="32" t="n">
        <v>0</v>
      </c>
      <c r="L21" s="31" t="n">
        <v>95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78.67</v>
      </c>
      <c r="P21" s="32" t="n">
        <v>65.43000000000001</v>
      </c>
      <c r="Q21" s="32" t="inlineStr"/>
      <c r="R21" s="31" t="inlineStr">
        <is>
          <t>Earnings / Momentum Support</t>
        </is>
      </c>
      <c r="S21" s="31" t="inlineStr">
        <is>
          <t>Nifty Pharma</t>
        </is>
      </c>
      <c r="T21" s="32" t="n">
        <v>12.73</v>
      </c>
      <c r="U21" s="32" t="n">
        <v>137.59</v>
      </c>
      <c r="V21" s="32" t="n">
        <v>110.75</v>
      </c>
      <c r="W21" s="32" t="n">
        <v>37.52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IF(B22=0,"",RANK(B22,$B$2:$B$86,0))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CUPID</t>
        </is>
      </c>
      <c r="D22" s="31" t="inlineStr">
        <is>
          <t>Cupid Ltd</t>
        </is>
      </c>
      <c r="E22" s="31" t="inlineStr">
        <is>
          <t>fmcg</t>
        </is>
      </c>
      <c r="F22" s="31" t="inlineStr">
        <is>
          <t>Contraceptives/Protectives</t>
        </is>
      </c>
      <c r="G22" s="31" t="inlineStr">
        <is>
          <t>largecap</t>
        </is>
      </c>
      <c r="H22" s="32" t="n">
        <v>29824.57</v>
      </c>
      <c r="I22" s="32" t="n">
        <v>221.8</v>
      </c>
      <c r="J22" s="32" t="n">
        <v>3.92</v>
      </c>
      <c r="K22" s="32" t="n">
        <v>0</v>
      </c>
      <c r="L22" s="31" t="n">
        <v>99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87.79000000000001</v>
      </c>
      <c r="P22" s="32" t="n">
        <v>67.22</v>
      </c>
      <c r="Q22" s="32" t="inlineStr"/>
      <c r="R22" s="31" t="inlineStr">
        <is>
          <t>Earnings / Momentum Support</t>
        </is>
      </c>
      <c r="S22" s="31" t="inlineStr">
        <is>
          <t>Nifty FMCG</t>
        </is>
      </c>
      <c r="T22" s="32" t="n">
        <v>-13.73</v>
      </c>
      <c r="U22" s="32" t="n">
        <v>631.6900000000001</v>
      </c>
      <c r="V22" s="32" t="n">
        <v>748.13</v>
      </c>
      <c r="W22" s="32" t="n">
        <v>76.51000000000001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20</t>
        </is>
      </c>
      <c r="CG22" s="31">
        <f>IF(CF22&gt;20,10,IF(CF22&gt;=10,5,2))</f>
        <v/>
      </c>
    </row>
    <row r="23">
      <c r="A23" s="31">
        <f>IF(B23=0,"",RANK(B23,$B$2:$B$86,0))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THYROCARE</t>
        </is>
      </c>
      <c r="D23" s="31" t="inlineStr">
        <is>
          <t>Thyrocare Technologies Ltd</t>
        </is>
      </c>
      <c r="E23" s="31" t="inlineStr">
        <is>
          <t>healthcare</t>
        </is>
      </c>
      <c r="F23" s="31" t="inlineStr">
        <is>
          <t>Diagnostics</t>
        </is>
      </c>
      <c r="G23" s="31" t="inlineStr">
        <is>
          <t>midcap</t>
        </is>
      </c>
      <c r="H23" s="32" t="n">
        <v>9279.34</v>
      </c>
      <c r="I23" s="32" t="n">
        <v>583</v>
      </c>
      <c r="J23" s="32" t="n">
        <v>3.32</v>
      </c>
      <c r="K23" s="32" t="n">
        <v>0</v>
      </c>
      <c r="L23" s="31" t="n">
        <v>72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67.27</v>
      </c>
      <c r="P23" s="32" t="n">
        <v>51.99</v>
      </c>
      <c r="Q23" s="32" t="inlineStr"/>
      <c r="R23" s="31" t="inlineStr">
        <is>
          <t>Earnings / Momentum Support</t>
        </is>
      </c>
      <c r="S23" s="31" t="inlineStr">
        <is>
          <t>Nifty Pharma</t>
        </is>
      </c>
      <c r="T23" s="32" t="n">
        <v>12.73</v>
      </c>
      <c r="U23" s="32" t="n">
        <v>31.42</v>
      </c>
      <c r="V23" s="32" t="n">
        <v>16.58</v>
      </c>
      <c r="W23" s="32" t="n">
        <v>16.09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19</t>
        </is>
      </c>
      <c r="CG23" s="31">
        <f>IF(CF23&gt;20,10,IF(CF23&gt;=10,5,2))</f>
        <v/>
      </c>
    </row>
    <row r="24">
      <c r="A24" s="31">
        <f>IF(B24=0,"",RANK(B24,$B$2:$B$86,0))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SAKAR</t>
        </is>
      </c>
      <c r="D24" s="31" t="inlineStr">
        <is>
          <t>Sakar Healthcare Ltd</t>
        </is>
      </c>
      <c r="E24" s="31" t="inlineStr">
        <is>
          <t>Healthcare</t>
        </is>
      </c>
      <c r="F24" s="31" t="inlineStr">
        <is>
          <t>Hospitals</t>
        </is>
      </c>
      <c r="G24" s="31" t="inlineStr">
        <is>
          <t>smallcap</t>
        </is>
      </c>
      <c r="H24" s="32" t="n">
        <v>1844.74</v>
      </c>
      <c r="I24" s="32" t="n">
        <v>829.1</v>
      </c>
      <c r="J24" s="32" t="n">
        <v>3.35</v>
      </c>
      <c r="K24" s="32" t="n">
        <v>0</v>
      </c>
      <c r="L24" s="31" t="n">
        <v>86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64.06999999999999</v>
      </c>
      <c r="P24" s="32" t="n">
        <v>54.75</v>
      </c>
      <c r="Q24" s="32" t="inlineStr"/>
      <c r="R24" s="31" t="inlineStr">
        <is>
          <t>Earnings / Momentum Support</t>
        </is>
      </c>
      <c r="S24" s="31" t="inlineStr">
        <is>
          <t>Nifty Pharma</t>
        </is>
      </c>
      <c r="T24" s="32" t="n">
        <v>12.73</v>
      </c>
      <c r="U24" s="32" t="n">
        <v>121.21</v>
      </c>
      <c r="V24" s="32" t="n">
        <v>96.22</v>
      </c>
      <c r="W24" s="32" t="n">
        <v>24.86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18</t>
        </is>
      </c>
      <c r="CG24" s="31">
        <f>IF(CF24&gt;20,10,IF(CF24&gt;=10,5,2))</f>
        <v/>
      </c>
    </row>
    <row r="25">
      <c r="A25" s="31">
        <f>IF(B25=0,"",RANK(B25,$B$2:$B$86,0))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THANGAMAYL</t>
        </is>
      </c>
      <c r="D25" s="31" t="inlineStr">
        <is>
          <t>Thangamayil Jewellery Ltd</t>
        </is>
      </c>
      <c r="E25" s="31" t="inlineStr">
        <is>
          <t>consumer discretionary</t>
        </is>
      </c>
      <c r="F25" s="31" t="inlineStr">
        <is>
          <t>Diamond, Gems &amp; Jewellery</t>
        </is>
      </c>
      <c r="G25" s="31" t="inlineStr">
        <is>
          <t>largecap</t>
        </is>
      </c>
      <c r="H25" s="32" t="n">
        <v>22744.27</v>
      </c>
      <c r="I25" s="32" t="n">
        <v>7317.5</v>
      </c>
      <c r="J25" s="32" t="n">
        <v>5.95</v>
      </c>
      <c r="K25" s="32" t="n">
        <v>0</v>
      </c>
      <c r="L25" s="31" t="n">
        <v>98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78.66</v>
      </c>
      <c r="P25" s="32" t="n">
        <v>51.63</v>
      </c>
      <c r="Q25" s="32" t="inlineStr"/>
      <c r="R25" s="31" t="inlineStr">
        <is>
          <t>Earnings / Momentum Support</t>
        </is>
      </c>
      <c r="S25" s="31" t="inlineStr">
        <is>
          <t>Nifty 50</t>
        </is>
      </c>
      <c r="T25" s="32" t="n">
        <v>-4.31</v>
      </c>
      <c r="U25" s="32" t="n">
        <v>277.72</v>
      </c>
      <c r="V25" s="32" t="n">
        <v>294.71</v>
      </c>
      <c r="W25" s="32" t="n">
        <v>51.45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24</t>
        </is>
      </c>
      <c r="CG25" s="31">
        <f>IF(CF25&gt;20,10,IF(CF25&gt;=10,5,2))</f>
        <v/>
      </c>
    </row>
    <row r="26">
      <c r="A26" s="31">
        <f>IF(B26=0,"",RANK(B26,$B$2:$B$86,0))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3" t="inlineStr">
        <is>
          <t>SSWL</t>
        </is>
      </c>
      <c r="D26" s="33" t="inlineStr">
        <is>
          <t>Steel Strips Wheels Ltd</t>
        </is>
      </c>
      <c r="E26" s="31" t="inlineStr">
        <is>
          <t>auto</t>
        </is>
      </c>
      <c r="F26" s="31" t="inlineStr">
        <is>
          <t>Auto Ancillaries - Wheels</t>
        </is>
      </c>
      <c r="G26" s="31" t="inlineStr">
        <is>
          <t>smallcap</t>
        </is>
      </c>
      <c r="H26" s="32" t="n">
        <v>4591.83</v>
      </c>
      <c r="I26" s="32" t="n">
        <v>291.98</v>
      </c>
      <c r="J26" s="32" t="n">
        <v>1.27</v>
      </c>
      <c r="K26" s="32" t="n">
        <v>0</v>
      </c>
      <c r="L26" s="31" t="n">
        <v>35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72.62</v>
      </c>
      <c r="P26" s="32" t="n">
        <v>20.01</v>
      </c>
      <c r="Q26" s="32" t="inlineStr"/>
      <c r="R26" s="31" t="inlineStr">
        <is>
          <t>Earnings / Momentum Support</t>
        </is>
      </c>
      <c r="S26" s="31" t="inlineStr">
        <is>
          <t>Nifty Auto</t>
        </is>
      </c>
      <c r="T26" s="32" t="n">
        <v>13.41</v>
      </c>
      <c r="U26" s="32" t="n">
        <v>4.51</v>
      </c>
      <c r="V26" s="32" t="n">
        <v>-7.85</v>
      </c>
      <c r="W26" s="32" t="n">
        <v>5.81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24</t>
        </is>
      </c>
      <c r="CG26" s="31">
        <f>IF(CF26&gt;20,10,IF(CF26&gt;=10,5,2))</f>
        <v/>
      </c>
    </row>
    <row r="27">
      <c r="A27" s="31">
        <f>IF(B27=0,"",RANK(B27,$B$2:$B$86,0))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3" t="inlineStr">
        <is>
          <t>DPABHUSHAN</t>
        </is>
      </c>
      <c r="D27" s="33" t="inlineStr">
        <is>
          <t>DP Abhushan Ltd</t>
        </is>
      </c>
      <c r="E27" s="31" t="inlineStr">
        <is>
          <t>consumer discretionary</t>
        </is>
      </c>
      <c r="F27" s="31" t="inlineStr">
        <is>
          <t>Diamond, Gems &amp; Jewellery</t>
        </is>
      </c>
      <c r="G27" s="31" t="inlineStr">
        <is>
          <t>smallcap</t>
        </is>
      </c>
      <c r="H27" s="32" t="n">
        <v>3289.5</v>
      </c>
      <c r="I27" s="32" t="n">
        <v>1441</v>
      </c>
      <c r="J27" s="32" t="n">
        <v>8.5</v>
      </c>
      <c r="K27" s="32" t="n">
        <v>0</v>
      </c>
      <c r="L27" s="31" t="n">
        <v>9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61.82</v>
      </c>
      <c r="P27" s="32" t="n">
        <v>29.5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-4.31</v>
      </c>
      <c r="U27" s="32" t="n">
        <v>-20.87</v>
      </c>
      <c r="V27" s="32" t="n">
        <v>-17.31</v>
      </c>
      <c r="W27" s="32" t="n">
        <v>0.22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22</t>
        </is>
      </c>
      <c r="CG27" s="31">
        <f>IF(CF27&gt;20,10,IF(CF27&gt;=10,5,2))</f>
        <v/>
      </c>
    </row>
    <row r="28">
      <c r="A28" s="31">
        <f>IF(B28=0,"",RANK(B28,$B$2:$B$86,0))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SJS</t>
        </is>
      </c>
      <c r="D28" s="31" t="inlineStr">
        <is>
          <t>S J S Enterprises Ltd</t>
        </is>
      </c>
      <c r="E28" s="31" t="inlineStr">
        <is>
          <t>auto</t>
        </is>
      </c>
      <c r="F28" s="31" t="inlineStr">
        <is>
          <t>Auto Ancillaries - Diversified</t>
        </is>
      </c>
      <c r="G28" s="31" t="inlineStr">
        <is>
          <t>midcap</t>
        </is>
      </c>
      <c r="H28" s="32" t="n">
        <v>7790.05</v>
      </c>
      <c r="I28" s="32" t="n">
        <v>2434</v>
      </c>
      <c r="J28" s="32" t="n">
        <v>4.21</v>
      </c>
      <c r="K28" s="32" t="n">
        <v>0</v>
      </c>
      <c r="L28" s="31" t="n">
        <v>76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68.70999999999999</v>
      </c>
      <c r="P28" s="32" t="n">
        <v>38.83</v>
      </c>
      <c r="Q28" s="32" t="inlineStr"/>
      <c r="R28" s="31" t="inlineStr">
        <is>
          <t>Earnings / Momentum Support</t>
        </is>
      </c>
      <c r="S28" s="31" t="inlineStr">
        <is>
          <t>Nifty Auto</t>
        </is>
      </c>
      <c r="T28" s="32" t="n">
        <v>13.41</v>
      </c>
      <c r="U28" s="32" t="n">
        <v>76.45</v>
      </c>
      <c r="V28" s="32" t="n">
        <v>55.58</v>
      </c>
      <c r="W28" s="32" t="n">
        <v>18.09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20</t>
        </is>
      </c>
      <c r="CG28" s="31">
        <f>IF(CF28&gt;20,10,IF(CF28&gt;=10,5,2))</f>
        <v/>
      </c>
    </row>
    <row r="29">
      <c r="A29" s="31">
        <f>IF(B29=0,"",RANK(B29,$B$2:$B$86,0))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3" t="inlineStr">
        <is>
          <t>JKPAPER</t>
        </is>
      </c>
      <c r="D29" s="33" t="inlineStr">
        <is>
          <t>JK Paper Ltd</t>
        </is>
      </c>
      <c r="E29" s="31" t="inlineStr">
        <is>
          <t>building materials</t>
        </is>
      </c>
      <c r="F29" s="31" t="inlineStr">
        <is>
          <t>Paper</t>
        </is>
      </c>
      <c r="G29" s="31" t="inlineStr">
        <is>
          <t>midcap</t>
        </is>
      </c>
      <c r="H29" s="32" t="n">
        <v>7566.43</v>
      </c>
      <c r="I29" s="32" t="n">
        <v>417.3</v>
      </c>
      <c r="J29" s="32" t="n">
        <v>3.95</v>
      </c>
      <c r="K29" s="32" t="n">
        <v>0</v>
      </c>
      <c r="L29" s="31" t="n">
        <v>7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64.02</v>
      </c>
      <c r="P29" s="32" t="n">
        <v>22.06</v>
      </c>
      <c r="Q29" s="32" t="inlineStr"/>
      <c r="R29" s="31" t="inlineStr">
        <is>
          <t>Earnings / Momentum Support</t>
        </is>
      </c>
      <c r="S29" s="31" t="inlineStr">
        <is>
          <t>Nifty Infra</t>
        </is>
      </c>
      <c r="T29" s="32" t="n">
        <v>1.74</v>
      </c>
      <c r="U29" s="32" t="n">
        <v>-4.04</v>
      </c>
      <c r="V29" s="32" t="n">
        <v>-5.68</v>
      </c>
      <c r="W29" s="32" t="n">
        <v>-0.71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IF(B30=0,"",RANK(B30,$B$2:$B$86,0))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3" t="inlineStr">
        <is>
          <t>NILKAMAL</t>
        </is>
      </c>
      <c r="D30" s="33" t="inlineStr">
        <is>
          <t>Nilkamal Ltd</t>
        </is>
      </c>
      <c r="E30" s="31" t="inlineStr">
        <is>
          <t>plastic products</t>
        </is>
      </c>
      <c r="F30" s="31" t="inlineStr">
        <is>
          <t>Plastics - Plastic &amp; Plastic Products</t>
        </is>
      </c>
      <c r="G30" s="31" t="inlineStr">
        <is>
          <t>smallcap</t>
        </is>
      </c>
      <c r="H30" s="32" t="n">
        <v>2663.67</v>
      </c>
      <c r="I30" s="32" t="n">
        <v>1785</v>
      </c>
      <c r="J30" s="32" t="n">
        <v>6.5</v>
      </c>
      <c r="K30" s="32" t="n">
        <v>0</v>
      </c>
      <c r="L30" s="31" t="n">
        <v>36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74.88</v>
      </c>
      <c r="P30" s="32" t="n">
        <v>20.5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-4.31</v>
      </c>
      <c r="U30" s="32" t="n">
        <v>-5.27</v>
      </c>
      <c r="V30" s="32" t="n">
        <v>-1.01</v>
      </c>
      <c r="W30" s="32" t="n">
        <v>6.11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19</t>
        </is>
      </c>
      <c r="CG30" s="31">
        <f>IF(CF30&gt;20,10,IF(CF30&gt;=10,5,2))</f>
        <v/>
      </c>
    </row>
    <row r="31">
      <c r="A31" s="31">
        <f>IF(B31=0,"",RANK(B31,$B$2:$B$86,0))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SUNRAKSHAK</t>
        </is>
      </c>
      <c r="D31" s="31" t="inlineStr">
        <is>
          <t>Sunrakshakk Industries India Ltd</t>
        </is>
      </c>
      <c r="E31" s="31" t="inlineStr">
        <is>
          <t>Consumer Cyclical</t>
        </is>
      </c>
      <c r="F31" s="31" t="inlineStr">
        <is>
          <t>Textiles - Processing/Texturising</t>
        </is>
      </c>
      <c r="G31" s="31" t="inlineStr">
        <is>
          <t>smallcap</t>
        </is>
      </c>
      <c r="H31" s="32" t="n">
        <v>1145.54</v>
      </c>
      <c r="I31" s="32" t="n">
        <v>369.45</v>
      </c>
      <c r="J31" s="32" t="n">
        <v>-0.54</v>
      </c>
      <c r="K31" s="32" t="n">
        <v>0</v>
      </c>
      <c r="L31" s="31" t="n">
        <v>72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71.18000000000001</v>
      </c>
      <c r="P31" s="32" t="n">
        <v>47.72</v>
      </c>
      <c r="Q31" s="32" t="inlineStr"/>
      <c r="R31" s="31" t="inlineStr">
        <is>
          <t>Earnings / Momentum Support</t>
        </is>
      </c>
      <c r="S31" s="31" t="inlineStr">
        <is>
          <t>Nifty 50</t>
        </is>
      </c>
      <c r="T31" s="32" t="n">
        <v>-4.31</v>
      </c>
      <c r="U31" s="32" t="n">
        <v>47.09</v>
      </c>
      <c r="V31" s="32" t="n">
        <v>53.7</v>
      </c>
      <c r="W31" s="32" t="n">
        <v>16.18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B2C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Negative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18</t>
        </is>
      </c>
      <c r="CG31" s="31">
        <f>IF(CF31&gt;20,10,IF(CF31&gt;=10,5,2))</f>
        <v/>
      </c>
    </row>
    <row r="32">
      <c r="A32" s="31">
        <f>IF(B32=0,"",RANK(B32,$B$2:$B$86,0))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DYCL</t>
        </is>
      </c>
      <c r="D32" s="31" t="inlineStr">
        <is>
          <t>Dynamic Cables Ltd</t>
        </is>
      </c>
      <c r="E32" s="31" t="inlineStr">
        <is>
          <t>Industrials</t>
        </is>
      </c>
      <c r="F32" s="31" t="inlineStr">
        <is>
          <t>Cables - Power</t>
        </is>
      </c>
      <c r="G32" s="31" t="inlineStr">
        <is>
          <t>smallcap</t>
        </is>
      </c>
      <c r="H32" s="32" t="n">
        <v>2008.61</v>
      </c>
      <c r="I32" s="32" t="n">
        <v>414.5</v>
      </c>
      <c r="J32" s="32" t="n">
        <v>3.01</v>
      </c>
      <c r="K32" s="32" t="n">
        <v>0</v>
      </c>
      <c r="L32" s="31" t="n">
        <v>28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60.85</v>
      </c>
      <c r="P32" s="32" t="n">
        <v>20.46</v>
      </c>
      <c r="Q32" s="32" t="inlineStr"/>
      <c r="R32" s="31" t="inlineStr">
        <is>
          <t>Earnings / Momentum Support</t>
        </is>
      </c>
      <c r="S32" s="31" t="inlineStr">
        <is>
          <t>Nifty 50</t>
        </is>
      </c>
      <c r="T32" s="32" t="n">
        <v>-4.31</v>
      </c>
      <c r="U32" s="32" t="n">
        <v>-1.44</v>
      </c>
      <c r="V32" s="32" t="n">
        <v>2.99</v>
      </c>
      <c r="W32" s="32" t="n">
        <v>4.69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18</t>
        </is>
      </c>
      <c r="CG32" s="31">
        <f>IF(CF32&gt;20,10,IF(CF32&gt;=10,5,2))</f>
        <v/>
      </c>
    </row>
    <row r="33">
      <c r="A33" s="31">
        <f>IF(B33=0,"",RANK(B33,$B$2:$B$86,0))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SENORES</t>
        </is>
      </c>
      <c r="D33" s="31" t="inlineStr">
        <is>
          <t>Senores Pharmaceuticals Ltd</t>
        </is>
      </c>
      <c r="E33" s="31" t="inlineStr">
        <is>
          <t>healthcare</t>
        </is>
      </c>
      <c r="F33" s="31" t="inlineStr">
        <is>
          <t>Pharma - API</t>
        </is>
      </c>
      <c r="G33" s="31" t="inlineStr">
        <is>
          <t>midcap</t>
        </is>
      </c>
      <c r="H33" s="32" t="n">
        <v>6437.83</v>
      </c>
      <c r="I33" s="32" t="n">
        <v>1397.9</v>
      </c>
      <c r="J33" s="32" t="n">
        <v>0.75</v>
      </c>
      <c r="K33" s="32" t="n">
        <v>0</v>
      </c>
      <c r="L33" s="31" t="n">
        <v>90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74.84</v>
      </c>
      <c r="P33" s="32" t="n">
        <v>63.31</v>
      </c>
      <c r="Q33" s="32" t="inlineStr"/>
      <c r="R33" s="31" t="inlineStr">
        <is>
          <t>Earnings / Momentum Support</t>
        </is>
      </c>
      <c r="S33" s="31" t="inlineStr">
        <is>
          <t>Nifty Pharma</t>
        </is>
      </c>
      <c r="T33" s="32" t="n">
        <v>12.73</v>
      </c>
      <c r="U33" s="32" t="n">
        <v>107.41</v>
      </c>
      <c r="V33" s="32" t="n">
        <v>83.98999999999999</v>
      </c>
      <c r="W33" s="32" t="n">
        <v>28.35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21</t>
        </is>
      </c>
      <c r="CG33" s="31">
        <f>IF(CF33&gt;20,10,IF(CF33&gt;=10,5,2))</f>
        <v/>
      </c>
    </row>
    <row r="34">
      <c r="A34" s="31">
        <f>IF(B34=0,"",RANK(B34,$B$2:$B$86,0))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NOVARTIND</t>
        </is>
      </c>
      <c r="D34" s="31" t="inlineStr">
        <is>
          <t>Novartis India Ltd</t>
        </is>
      </c>
      <c r="E34" s="31" t="inlineStr">
        <is>
          <t>healthcare</t>
        </is>
      </c>
      <c r="F34" s="31" t="inlineStr">
        <is>
          <t>Pharma - MNC bulk Drugs</t>
        </is>
      </c>
      <c r="G34" s="31" t="inlineStr">
        <is>
          <t>smallcap</t>
        </is>
      </c>
      <c r="H34" s="32" t="n">
        <v>4022.13</v>
      </c>
      <c r="I34" s="32" t="n">
        <v>1629</v>
      </c>
      <c r="J34" s="32" t="n">
        <v>-0.74</v>
      </c>
      <c r="K34" s="32" t="n">
        <v>0</v>
      </c>
      <c r="L34" s="31" t="n">
        <v>89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74.90000000000001</v>
      </c>
      <c r="P34" s="32" t="n">
        <v>72.34</v>
      </c>
      <c r="Q34" s="32" t="inlineStr"/>
      <c r="R34" s="31" t="inlineStr">
        <is>
          <t>Earnings / Momentum Support</t>
        </is>
      </c>
      <c r="S34" s="31" t="inlineStr">
        <is>
          <t>Nifty Pharma</t>
        </is>
      </c>
      <c r="T34" s="32" t="n">
        <v>12.73</v>
      </c>
      <c r="U34" s="32" t="n">
        <v>61.69</v>
      </c>
      <c r="V34" s="32" t="n">
        <v>43.42</v>
      </c>
      <c r="W34" s="32" t="n">
        <v>28.16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Between 12 to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17</t>
        </is>
      </c>
      <c r="CG34" s="31">
        <f>IF(CF34&gt;20,10,IF(CF34&gt;=10,5,2))</f>
        <v/>
      </c>
    </row>
    <row r="35">
      <c r="A35" s="31">
        <f>IF(B35=0,"",RANK(B35,$B$2:$B$86,0))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VADILALIND</t>
        </is>
      </c>
      <c r="D35" s="31" t="inlineStr">
        <is>
          <t>Vadilal Industries Ltd</t>
        </is>
      </c>
      <c r="E35" s="31" t="inlineStr">
        <is>
          <t>fmcg</t>
        </is>
      </c>
      <c r="F35" s="31" t="inlineStr">
        <is>
          <t>FMCG - Dairy Products</t>
        </is>
      </c>
      <c r="G35" s="31" t="inlineStr">
        <is>
          <t>smallcap</t>
        </is>
      </c>
      <c r="H35" s="32" t="n">
        <v>4862.57</v>
      </c>
      <c r="I35" s="32" t="n">
        <v>6765</v>
      </c>
      <c r="J35" s="32" t="n">
        <v>0.8100000000000001</v>
      </c>
      <c r="K35" s="32" t="n">
        <v>0</v>
      </c>
      <c r="L35" s="31" t="n">
        <v>71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72.5</v>
      </c>
      <c r="P35" s="32" t="n">
        <v>32.58</v>
      </c>
      <c r="Q35" s="32" t="inlineStr"/>
      <c r="R35" s="31" t="inlineStr">
        <is>
          <t>Earnings / Momentum Support</t>
        </is>
      </c>
      <c r="S35" s="31" t="inlineStr">
        <is>
          <t>Nifty FMCG</t>
        </is>
      </c>
      <c r="T35" s="32" t="n">
        <v>-13.73</v>
      </c>
      <c r="U35" s="32" t="n">
        <v>26.81</v>
      </c>
      <c r="V35" s="32" t="n">
        <v>46.99</v>
      </c>
      <c r="W35" s="32" t="n">
        <v>15.98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16</t>
        </is>
      </c>
      <c r="CG35" s="31">
        <f>IF(CF35&gt;20,10,IF(CF35&gt;=10,5,2))</f>
        <v/>
      </c>
    </row>
    <row r="36">
      <c r="A36" s="31">
        <f>IF(B36=0,"",RANK(B36,$B$2:$B$86,0))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MPSLTD</t>
        </is>
      </c>
      <c r="D36" s="31" t="inlineStr">
        <is>
          <t>MPS Ltd</t>
        </is>
      </c>
      <c r="E36" s="31" t="inlineStr">
        <is>
          <t>i.t</t>
        </is>
      </c>
      <c r="F36" s="31" t="inlineStr">
        <is>
          <t>E-Commerce - Platform - Utility</t>
        </is>
      </c>
      <c r="G36" s="31" t="inlineStr">
        <is>
          <t>smallcap</t>
        </is>
      </c>
      <c r="H36" s="32" t="n">
        <v>4592.91</v>
      </c>
      <c r="I36" s="32" t="n">
        <v>2685</v>
      </c>
      <c r="J36" s="32" t="n">
        <v>-3.06</v>
      </c>
      <c r="K36" s="32" t="n">
        <v>0</v>
      </c>
      <c r="L36" s="31" t="n">
        <v>82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78.68000000000001</v>
      </c>
      <c r="P36" s="32" t="n">
        <v>26.49</v>
      </c>
      <c r="Q36" s="32" t="inlineStr"/>
      <c r="R36" s="31" t="inlineStr">
        <is>
          <t>Earnings / Momentum Support</t>
        </is>
      </c>
      <c r="S36" s="31" t="inlineStr">
        <is>
          <t>Nifty IT</t>
        </is>
      </c>
      <c r="T36" s="32" t="n">
        <v>-19.25</v>
      </c>
      <c r="U36" s="32" t="n">
        <v>17.67</v>
      </c>
      <c r="V36" s="32" t="n">
        <v>45.71</v>
      </c>
      <c r="W36" s="32" t="n">
        <v>21.8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Oligopoly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30</t>
        </is>
      </c>
      <c r="CG36" s="31">
        <f>IF(CF36&gt;20,10,IF(CF36&gt;=10,5,2))</f>
        <v/>
      </c>
    </row>
    <row r="37">
      <c r="A37" s="31">
        <f>IF(B37=0,"",RANK(B37,$B$2:$B$86,0))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RRKABEL</t>
        </is>
      </c>
      <c r="D37" s="31" t="inlineStr">
        <is>
          <t>R R Kabel Ltd</t>
        </is>
      </c>
      <c r="E37" s="31" t="inlineStr">
        <is>
          <t>industrials</t>
        </is>
      </c>
      <c r="F37" s="31" t="inlineStr">
        <is>
          <t>Cables - Power</t>
        </is>
      </c>
      <c r="G37" s="31" t="inlineStr">
        <is>
          <t>largecap</t>
        </is>
      </c>
      <c r="H37" s="32" t="n">
        <v>29068.11</v>
      </c>
      <c r="I37" s="32" t="n">
        <v>2570</v>
      </c>
      <c r="J37" s="32" t="n">
        <v>3.06</v>
      </c>
      <c r="K37" s="32" t="n">
        <v>0</v>
      </c>
      <c r="L37" s="31" t="n">
        <v>83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72.17</v>
      </c>
      <c r="P37" s="32" t="n">
        <v>63.59</v>
      </c>
      <c r="Q37" s="32" t="inlineStr"/>
      <c r="R37" s="31" t="inlineStr">
        <is>
          <t>Earnings / Momentum Support</t>
        </is>
      </c>
      <c r="S37" s="31" t="inlineStr">
        <is>
          <t>Nifty Energy</t>
        </is>
      </c>
      <c r="T37" s="32" t="n">
        <v>8.41</v>
      </c>
      <c r="U37" s="32" t="n">
        <v>56.69</v>
      </c>
      <c r="V37" s="32" t="n">
        <v>44.54</v>
      </c>
      <c r="W37" s="32" t="n">
        <v>22.92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Between 1.5 to 2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26</t>
        </is>
      </c>
      <c r="CG37" s="31">
        <f>IF(CF37&gt;20,10,IF(CF37&gt;=10,5,2))</f>
        <v/>
      </c>
    </row>
    <row r="38">
      <c r="A38" s="31">
        <f>IF(B38=0,"",RANK(B38,$B$2:$B$86,0))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KRISHANA</t>
        </is>
      </c>
      <c r="D38" s="31" t="inlineStr">
        <is>
          <t>Krishana Phoschem Ltd</t>
        </is>
      </c>
      <c r="E38" s="31" t="inlineStr">
        <is>
          <t>chemicals</t>
        </is>
      </c>
      <c r="F38" s="31" t="inlineStr">
        <is>
          <t>Fertilisers</t>
        </is>
      </c>
      <c r="G38" s="31" t="inlineStr">
        <is>
          <t>midcap</t>
        </is>
      </c>
      <c r="H38" s="32" t="n">
        <v>5188.88</v>
      </c>
      <c r="I38" s="32" t="n">
        <v>167.85</v>
      </c>
      <c r="J38" s="32" t="n">
        <v>3.58</v>
      </c>
      <c r="K38" s="32" t="n">
        <v>0</v>
      </c>
      <c r="L38" s="31" t="n">
        <v>71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72.56</v>
      </c>
      <c r="P38" s="32" t="n">
        <v>44.14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-4.31</v>
      </c>
      <c r="U38" s="32" t="n">
        <v>54.74</v>
      </c>
      <c r="V38" s="32" t="n">
        <v>61.7</v>
      </c>
      <c r="W38" s="32" t="n">
        <v>15.65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More than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24</t>
        </is>
      </c>
      <c r="CG38" s="31">
        <f>IF(CF38&gt;20,10,IF(CF38&gt;=10,5,2))</f>
        <v/>
      </c>
    </row>
    <row r="39">
      <c r="A39" s="31">
        <f>IF(B39=0,"",RANK(B39,$B$2:$B$86,0))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BHAGYANGR</t>
        </is>
      </c>
      <c r="D39" s="31" t="inlineStr">
        <is>
          <t>Bhagyanagar India Ltd</t>
        </is>
      </c>
      <c r="E39" s="31" t="inlineStr">
        <is>
          <t>power &amp; utilities</t>
        </is>
      </c>
      <c r="F39" s="31" t="inlineStr">
        <is>
          <t>Recycling</t>
        </is>
      </c>
      <c r="G39" s="31" t="inlineStr">
        <is>
          <t>smallcap</t>
        </is>
      </c>
      <c r="H39" s="32" t="n">
        <v>1378.98</v>
      </c>
      <c r="I39" s="32" t="n">
        <v>431</v>
      </c>
      <c r="J39" s="32" t="n">
        <v>4.89</v>
      </c>
      <c r="K39" s="32" t="n">
        <v>0</v>
      </c>
      <c r="L39" s="31" t="n">
        <v>98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79.56999999999999</v>
      </c>
      <c r="P39" s="32" t="n">
        <v>71.23</v>
      </c>
      <c r="Q39" s="32" t="inlineStr"/>
      <c r="R39" s="31" t="inlineStr">
        <is>
          <t>Earnings / Momentum Support</t>
        </is>
      </c>
      <c r="S39" s="31" t="inlineStr">
        <is>
          <t>Nifty IT</t>
        </is>
      </c>
      <c r="T39" s="32" t="n">
        <v>-19.25</v>
      </c>
      <c r="U39" s="32" t="n">
        <v>318.35</v>
      </c>
      <c r="V39" s="32" t="n">
        <v>418.04</v>
      </c>
      <c r="W39" s="32" t="n">
        <v>54.66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Between 0.7 to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22</t>
        </is>
      </c>
      <c r="CG39" s="31">
        <f>IF(CF39&gt;20,10,IF(CF39&gt;=10,5,2))</f>
        <v/>
      </c>
    </row>
    <row r="40">
      <c r="A40" s="31">
        <f>IF(B40=0,"",RANK(B40,$B$2:$B$86,0))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CYIENTDLM</t>
        </is>
      </c>
      <c r="D40" s="31" t="inlineStr">
        <is>
          <t>Cyient DLM Ltd</t>
        </is>
      </c>
      <c r="E40" s="31" t="inlineStr">
        <is>
          <t>consumer discretionary</t>
        </is>
      </c>
      <c r="F40" s="31" t="inlineStr">
        <is>
          <t>Consumer Electronics - EMS</t>
        </is>
      </c>
      <c r="G40" s="31" t="inlineStr">
        <is>
          <t>midcap</t>
        </is>
      </c>
      <c r="H40" s="32" t="n">
        <v>5286.93</v>
      </c>
      <c r="I40" s="32" t="n">
        <v>666</v>
      </c>
      <c r="J40" s="32" t="n">
        <v>-0.66</v>
      </c>
      <c r="K40" s="32" t="n">
        <v>0</v>
      </c>
      <c r="L40" s="31" t="n">
        <v>82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82.97</v>
      </c>
      <c r="P40" s="32" t="n">
        <v>53.07</v>
      </c>
      <c r="Q40" s="32" t="inlineStr"/>
      <c r="R40" s="31" t="inlineStr">
        <is>
          <t>Earnings / Momentum Support</t>
        </is>
      </c>
      <c r="S40" s="31" t="inlineStr">
        <is>
          <t>Nifty Infra</t>
        </is>
      </c>
      <c r="T40" s="32" t="n">
        <v>1.74</v>
      </c>
      <c r="U40" s="32" t="n">
        <v>20.92</v>
      </c>
      <c r="V40" s="32" t="n">
        <v>18.85</v>
      </c>
      <c r="W40" s="32" t="n">
        <v>21.45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IF(B41=0,"",RANK(B41,$B$2:$B$86,0))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ACUTAAS</t>
        </is>
      </c>
      <c r="D41" s="31" t="inlineStr">
        <is>
          <t>Acutaas Chemicals Ltd</t>
        </is>
      </c>
      <c r="E41" s="31" t="inlineStr">
        <is>
          <t>Basic Materials</t>
        </is>
      </c>
      <c r="F41" s="31" t="inlineStr">
        <is>
          <t>Pharma - API &amp; CRAMS</t>
        </is>
      </c>
      <c r="G41" s="31" t="inlineStr">
        <is>
          <t>largecap</t>
        </is>
      </c>
      <c r="H41" s="32" t="n">
        <v>27557.82</v>
      </c>
      <c r="I41" s="32" t="n">
        <v>3366</v>
      </c>
      <c r="J41" s="32" t="n">
        <v>3.27</v>
      </c>
      <c r="K41" s="32" t="n">
        <v>0</v>
      </c>
      <c r="L41" s="31" t="n">
        <v>92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61.02</v>
      </c>
      <c r="P41" s="32" t="n">
        <v>69.23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-4.31</v>
      </c>
      <c r="U41" s="32" t="n">
        <v>181.64</v>
      </c>
      <c r="V41" s="32" t="n">
        <v>194.32</v>
      </c>
      <c r="W41" s="32" t="n">
        <v>32.14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Cyclical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Volatile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21</t>
        </is>
      </c>
      <c r="CG41" s="31">
        <f>IF(CF41&gt;20,10,IF(CF41&gt;=10,5,2))</f>
        <v/>
      </c>
    </row>
    <row r="42">
      <c r="A42" s="31">
        <f>IF(B42=0,"",RANK(B42,$B$2:$B$86,0))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FILATEX</t>
        </is>
      </c>
      <c r="D42" s="31" t="inlineStr">
        <is>
          <t>Filatex India Ltd</t>
        </is>
      </c>
      <c r="E42" s="31" t="inlineStr">
        <is>
          <t>textiles</t>
        </is>
      </c>
      <c r="F42" s="31" t="inlineStr">
        <is>
          <t>Textiles - Manmade Fibre - PFY/PSF</t>
        </is>
      </c>
      <c r="G42" s="31" t="inlineStr">
        <is>
          <t>smallcap</t>
        </is>
      </c>
      <c r="H42" s="32" t="n">
        <v>3292.69</v>
      </c>
      <c r="I42" s="32" t="n">
        <v>74.15000000000001</v>
      </c>
      <c r="J42" s="32" t="n">
        <v>0.43</v>
      </c>
      <c r="K42" s="32" t="n">
        <v>0</v>
      </c>
      <c r="L42" s="31" t="n">
        <v>87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76.95</v>
      </c>
      <c r="P42" s="32" t="n">
        <v>27.39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-4.31</v>
      </c>
      <c r="U42" s="32" t="n">
        <v>24.86</v>
      </c>
      <c r="V42" s="32" t="n">
        <v>30.48</v>
      </c>
      <c r="W42" s="32" t="n">
        <v>25.08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Between 12 to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IF(B43=0,"",RANK(B43,$B$2:$B$86,0))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SAREGAMA</t>
        </is>
      </c>
      <c r="D43" s="31" t="inlineStr">
        <is>
          <t>Saregama India Ltd</t>
        </is>
      </c>
      <c r="E43" s="31" t="inlineStr">
        <is>
          <t>media</t>
        </is>
      </c>
      <c r="F43" s="31" t="inlineStr">
        <is>
          <t>Music Licensing</t>
        </is>
      </c>
      <c r="G43" s="31" t="inlineStr">
        <is>
          <t>midcap</t>
        </is>
      </c>
      <c r="H43" s="32" t="n">
        <v>9948.969999999999</v>
      </c>
      <c r="I43" s="32" t="n">
        <v>516</v>
      </c>
      <c r="J43" s="32" t="n">
        <v>3.93</v>
      </c>
      <c r="K43" s="32" t="n">
        <v>0</v>
      </c>
      <c r="L43" s="31" t="n">
        <v>59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70.02</v>
      </c>
      <c r="P43" s="32" t="n">
        <v>44.05</v>
      </c>
      <c r="Q43" s="32" t="inlineStr"/>
      <c r="R43" s="31" t="inlineStr">
        <is>
          <t>Earnings / Momentum Support</t>
        </is>
      </c>
      <c r="S43" s="31" t="inlineStr">
        <is>
          <t>Nifty IT</t>
        </is>
      </c>
      <c r="T43" s="32" t="n">
        <v>-19.25</v>
      </c>
      <c r="U43" s="32" t="n">
        <v>3.34</v>
      </c>
      <c r="V43" s="32" t="n">
        <v>27.97</v>
      </c>
      <c r="W43" s="32" t="n">
        <v>11.65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Between 1.5 to 2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16</t>
        </is>
      </c>
      <c r="CG43" s="31">
        <f>IF(CF43&gt;20,10,IF(CF43&gt;=10,5,2))</f>
        <v/>
      </c>
    </row>
    <row r="44">
      <c r="A44" s="31">
        <f>IF(B44=0,"",RANK(B44,$B$2:$B$86,0))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LAURUSLABS</t>
        </is>
      </c>
      <c r="D44" s="31" t="inlineStr">
        <is>
          <t>Laurus Labs Ltd</t>
        </is>
      </c>
      <c r="E44" s="31" t="inlineStr">
        <is>
          <t>healthcare</t>
        </is>
      </c>
      <c r="F44" s="31" t="inlineStr">
        <is>
          <t>Pharma - API &amp; CRAMS</t>
        </is>
      </c>
      <c r="G44" s="31" t="inlineStr">
        <is>
          <t>largecap</t>
        </is>
      </c>
      <c r="H44" s="32" t="n">
        <v>92436.7</v>
      </c>
      <c r="I44" s="32" t="n">
        <v>1711</v>
      </c>
      <c r="J44" s="32" t="n">
        <v>6.86</v>
      </c>
      <c r="K44" s="32" t="n">
        <v>0</v>
      </c>
      <c r="L44" s="31" t="n">
        <v>85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80.12</v>
      </c>
      <c r="P44" s="32" t="n">
        <v>57.56</v>
      </c>
      <c r="Q44" s="32" t="inlineStr"/>
      <c r="R44" s="31" t="inlineStr">
        <is>
          <t>Earnings / Momentum Support</t>
        </is>
      </c>
      <c r="S44" s="31" t="inlineStr">
        <is>
          <t>Nifty Pharma</t>
        </is>
      </c>
      <c r="T44" s="32" t="n">
        <v>12.73</v>
      </c>
      <c r="U44" s="32" t="n">
        <v>91.48</v>
      </c>
      <c r="V44" s="32" t="n">
        <v>69.84999999999999</v>
      </c>
      <c r="W44" s="32" t="n">
        <v>23.57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22</t>
        </is>
      </c>
      <c r="CG44" s="31">
        <f>IF(CF44&gt;20,10,IF(CF44&gt;=10,5,2))</f>
        <v/>
      </c>
    </row>
    <row r="45">
      <c r="A45" s="31">
        <f>IF(B45=0,"",RANK(B45,$B$2:$B$86,0))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KMCSHIL</t>
        </is>
      </c>
      <c r="D45" s="31" t="inlineStr">
        <is>
          <t>KMC Speciality Hospitals (India) Ltd</t>
        </is>
      </c>
      <c r="E45" s="31" t="inlineStr">
        <is>
          <t>Healthcare</t>
        </is>
      </c>
      <c r="F45" s="31" t="inlineStr">
        <is>
          <t>Hospitals</t>
        </is>
      </c>
      <c r="G45" s="31" t="inlineStr">
        <is>
          <t>smallcap</t>
        </is>
      </c>
      <c r="H45" s="32" t="n">
        <v>2126.63</v>
      </c>
      <c r="I45" s="32" t="n">
        <v>130.4</v>
      </c>
      <c r="J45" s="32" t="n">
        <v>1.16</v>
      </c>
      <c r="K45" s="32" t="n">
        <v>0</v>
      </c>
      <c r="L45" s="31" t="n">
        <v>87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75.06999999999999</v>
      </c>
      <c r="P45" s="32" t="n">
        <v>66.14</v>
      </c>
      <c r="Q45" s="32" t="inlineStr"/>
      <c r="R45" s="31" t="inlineStr">
        <is>
          <t>Earnings / Momentum Support</t>
        </is>
      </c>
      <c r="S45" s="31" t="inlineStr">
        <is>
          <t>Nifty Pharma</t>
        </is>
      </c>
      <c r="T45" s="32" t="n">
        <v>12.73</v>
      </c>
      <c r="U45" s="32" t="n">
        <v>99.66</v>
      </c>
      <c r="V45" s="32" t="n">
        <v>77.11</v>
      </c>
      <c r="W45" s="32" t="n">
        <v>24.88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17</t>
        </is>
      </c>
      <c r="CG45" s="31">
        <f>IF(CF45&gt;20,10,IF(CF45&gt;=10,5,2))</f>
        <v/>
      </c>
    </row>
    <row r="46">
      <c r="A46" s="31">
        <f>IF(B46=0,"",RANK(B46,$B$2:$B$86,0))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MAHLIFE</t>
        </is>
      </c>
      <c r="D46" s="31" t="inlineStr">
        <is>
          <t>Mahindra Lifespace Developers Ltd</t>
        </is>
      </c>
      <c r="E46" s="31" t="inlineStr">
        <is>
          <t>realty</t>
        </is>
      </c>
      <c r="F46" s="31" t="inlineStr">
        <is>
          <t>Construction &amp; Contracting</t>
        </is>
      </c>
      <c r="G46" s="31" t="inlineStr">
        <is>
          <t>midcap</t>
        </is>
      </c>
      <c r="H46" s="32" t="n">
        <v>8064.35</v>
      </c>
      <c r="I46" s="32" t="n">
        <v>378</v>
      </c>
      <c r="J46" s="32" t="n">
        <v>0.89</v>
      </c>
      <c r="K46" s="32" t="n">
        <v>0</v>
      </c>
      <c r="L46" s="31" t="n">
        <v>23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58.05</v>
      </c>
      <c r="P46" s="32" t="n">
        <v>12.34</v>
      </c>
      <c r="Q46" s="32" t="inlineStr"/>
      <c r="R46" s="31" t="inlineStr">
        <is>
          <t>Earnings / Momentum Support</t>
        </is>
      </c>
      <c r="S46" s="31" t="inlineStr">
        <is>
          <t>Nifty Realty</t>
        </is>
      </c>
      <c r="T46" s="32" t="n">
        <v>-8.119999999999999</v>
      </c>
      <c r="U46" s="32" t="n">
        <v>-1.54</v>
      </c>
      <c r="V46" s="32" t="n">
        <v>7.16</v>
      </c>
      <c r="W46" s="32" t="n">
        <v>3.28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0 to 20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27</t>
        </is>
      </c>
      <c r="CG46" s="31">
        <f>IF(CF46&gt;20,10,IF(CF46&gt;=10,5,2))</f>
        <v/>
      </c>
    </row>
    <row r="47">
      <c r="A47" s="31">
        <f>IF(B47=0,"",RANK(B47,$B$2:$B$86,0))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TATVA</t>
        </is>
      </c>
      <c r="D47" s="31" t="inlineStr">
        <is>
          <t>Tatva Chintan Pharma Chem Ltd</t>
        </is>
      </c>
      <c r="E47" s="31" t="inlineStr">
        <is>
          <t>chemicals</t>
        </is>
      </c>
      <c r="F47" s="31" t="inlineStr">
        <is>
          <t>Speciality Chemicals</t>
        </is>
      </c>
      <c r="G47" s="31" t="inlineStr">
        <is>
          <t>smallcap</t>
        </is>
      </c>
      <c r="H47" s="32" t="n">
        <v>4252.68</v>
      </c>
      <c r="I47" s="32" t="n">
        <v>1818</v>
      </c>
      <c r="J47" s="32" t="n">
        <v>5.55</v>
      </c>
      <c r="K47" s="32" t="n">
        <v>0</v>
      </c>
      <c r="L47" s="31" t="n">
        <v>73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73.97</v>
      </c>
      <c r="P47" s="32" t="n">
        <v>22.3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-4.31</v>
      </c>
      <c r="U47" s="32" t="n">
        <v>50.48</v>
      </c>
      <c r="V47" s="32" t="n">
        <v>57.25</v>
      </c>
      <c r="W47" s="32" t="n">
        <v>16.93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27</t>
        </is>
      </c>
      <c r="CG47" s="31">
        <f>IF(CF47&gt;20,10,IF(CF47&gt;=10,5,2))</f>
        <v/>
      </c>
    </row>
    <row r="48">
      <c r="A48" s="31">
        <f>IF(B48=0,"",RANK(B48,$B$2:$B$86,0))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BLUESTONE</t>
        </is>
      </c>
      <c r="D48" s="31" t="inlineStr">
        <is>
          <t>Bluestone Jewellery &amp; Lifestyle Ltd</t>
        </is>
      </c>
      <c r="E48" s="31" t="inlineStr">
        <is>
          <t>Consumer Cyclical</t>
        </is>
      </c>
      <c r="F48" s="31" t="inlineStr">
        <is>
          <t>Diamond, Gems &amp; Jewellery</t>
        </is>
      </c>
      <c r="G48" s="31" t="inlineStr">
        <is>
          <t>midcap</t>
        </is>
      </c>
      <c r="H48" s="32" t="n">
        <v>12527.06</v>
      </c>
      <c r="I48" s="32" t="n">
        <v>821.95</v>
      </c>
      <c r="J48" s="32" t="n">
        <v>6.42</v>
      </c>
      <c r="K48" s="32" t="n">
        <v>0</v>
      </c>
      <c r="L48" s="31" t="n">
        <v>81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74.16</v>
      </c>
      <c r="P48" s="32" t="n">
        <v>24.73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-4.43</v>
      </c>
      <c r="U48" s="32" t="n">
        <v>41.37</v>
      </c>
      <c r="V48" s="32" t="n">
        <v>47.93</v>
      </c>
      <c r="W48" s="32" t="n">
        <v>20.78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26</t>
        </is>
      </c>
      <c r="CG48" s="31">
        <f>IF(CF48&gt;20,10,IF(CF48&gt;=10,5,2))</f>
        <v/>
      </c>
    </row>
    <row r="49">
      <c r="A49" s="31">
        <f>IF(B49=0,"",RANK(B49,$B$2:$B$86,0))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KABRAEXTRU</t>
        </is>
      </c>
      <c r="D49" s="31" t="inlineStr">
        <is>
          <t>Kabra Extrusion Technik Ltd</t>
        </is>
      </c>
      <c r="E49" s="31" t="inlineStr">
        <is>
          <t>industrials</t>
        </is>
      </c>
      <c r="F49" s="31" t="inlineStr">
        <is>
          <t>Capital Goods - Engineering Heavy</t>
        </is>
      </c>
      <c r="G49" s="31" t="inlineStr">
        <is>
          <t>smallcap</t>
        </is>
      </c>
      <c r="H49" s="32" t="n">
        <v>1423.39</v>
      </c>
      <c r="I49" s="32" t="n">
        <v>407</v>
      </c>
      <c r="J49" s="32" t="n">
        <v>8.01</v>
      </c>
      <c r="K49" s="32" t="n">
        <v>0</v>
      </c>
      <c r="L49" s="31" t="n">
        <v>56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77.36</v>
      </c>
      <c r="P49" s="32" t="n">
        <v>24.27</v>
      </c>
      <c r="Q49" s="32" t="inlineStr"/>
      <c r="R49" s="31" t="inlineStr">
        <is>
          <t>Earnings / Momentum Support</t>
        </is>
      </c>
      <c r="S49" s="31" t="inlineStr">
        <is>
          <t>Nifty Infra</t>
        </is>
      </c>
      <c r="T49" s="32" t="n">
        <v>1.74</v>
      </c>
      <c r="U49" s="32" t="n">
        <v>6.76</v>
      </c>
      <c r="V49" s="32" t="n">
        <v>4.94</v>
      </c>
      <c r="W49" s="32" t="n">
        <v>11.12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19</t>
        </is>
      </c>
      <c r="CG49" s="31">
        <f>IF(CF49&gt;20,10,IF(CF49&gt;=10,5,2))</f>
        <v/>
      </c>
    </row>
    <row r="50">
      <c r="A50" s="31">
        <f>IF(B50=0,"",RANK(B50,$B$2:$B$86,0))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INDNIPPON</t>
        </is>
      </c>
      <c r="D50" s="31" t="inlineStr">
        <is>
          <t>India Nippon Electricals Ltd</t>
        </is>
      </c>
      <c r="E50" s="31" t="inlineStr">
        <is>
          <t>auto</t>
        </is>
      </c>
      <c r="F50" s="31" t="inlineStr">
        <is>
          <t>Auto Ancillaries - Engine Parts</t>
        </is>
      </c>
      <c r="G50" s="31" t="inlineStr">
        <is>
          <t>smallcap</t>
        </is>
      </c>
      <c r="H50" s="32" t="n">
        <v>2719.1</v>
      </c>
      <c r="I50" s="32" t="n">
        <v>1202</v>
      </c>
      <c r="J50" s="32" t="n">
        <v>0.33</v>
      </c>
      <c r="K50" s="32" t="n">
        <v>0</v>
      </c>
      <c r="L50" s="31" t="n">
        <v>85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75.79000000000001</v>
      </c>
      <c r="P50" s="32" t="n">
        <v>36.07</v>
      </c>
      <c r="Q50" s="32" t="inlineStr"/>
      <c r="R50" s="31" t="inlineStr">
        <is>
          <t>Earnings / Momentum Support</t>
        </is>
      </c>
      <c r="S50" s="31" t="inlineStr">
        <is>
          <t>Nifty Auto</t>
        </is>
      </c>
      <c r="T50" s="32" t="n">
        <v>13.41</v>
      </c>
      <c r="U50" s="32" t="n">
        <v>58.64</v>
      </c>
      <c r="V50" s="32" t="n">
        <v>39.88</v>
      </c>
      <c r="W50" s="32" t="n">
        <v>23.7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19</t>
        </is>
      </c>
      <c r="CG50" s="31">
        <f>IF(CF50&gt;20,10,IF(CF50&gt;=10,5,2))</f>
        <v/>
      </c>
    </row>
    <row r="51">
      <c r="A51" s="31">
        <f>IF(B51=0,"",RANK(B51,$B$2:$B$86,0))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KERNEX</t>
        </is>
      </c>
      <c r="D51" s="31" t="inlineStr">
        <is>
          <t>Kernex Microsystems (India) Ltd</t>
        </is>
      </c>
      <c r="E51" s="31" t="inlineStr">
        <is>
          <t>consumer discretionary</t>
        </is>
      </c>
      <c r="F51" s="31" t="inlineStr">
        <is>
          <t>Railways - Kavach/Springs</t>
        </is>
      </c>
      <c r="G51" s="31" t="inlineStr">
        <is>
          <t>smallcap</t>
        </is>
      </c>
      <c r="H51" s="32" t="n">
        <v>3893.4</v>
      </c>
      <c r="I51" s="32" t="n">
        <v>2317</v>
      </c>
      <c r="J51" s="32" t="n">
        <v>5.07</v>
      </c>
      <c r="K51" s="32" t="n">
        <v>0</v>
      </c>
      <c r="L51" s="31" t="n">
        <v>93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67.95</v>
      </c>
      <c r="P51" s="32" t="n">
        <v>56.4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-4.31</v>
      </c>
      <c r="U51" s="32" t="n">
        <v>114.16</v>
      </c>
      <c r="V51" s="32" t="n">
        <v>123.8</v>
      </c>
      <c r="W51" s="32" t="n">
        <v>33.12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19</t>
        </is>
      </c>
      <c r="CG51" s="31">
        <f>IF(CF51&gt;20,10,IF(CF51&gt;=10,5,2))</f>
        <v/>
      </c>
    </row>
    <row r="52">
      <c r="A52" s="31">
        <f>IF(B52=0,"",RANK(B52,$B$2:$B$86,0))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RAIN</t>
        </is>
      </c>
      <c r="D52" s="31" t="inlineStr">
        <is>
          <t>Rain Industries Ltd</t>
        </is>
      </c>
      <c r="E52" s="31" t="inlineStr">
        <is>
          <t>miscellaneous</t>
        </is>
      </c>
      <c r="F52" s="31" t="inlineStr">
        <is>
          <t>Cement</t>
        </is>
      </c>
      <c r="G52" s="31" t="inlineStr">
        <is>
          <t>midcap</t>
        </is>
      </c>
      <c r="H52" s="32" t="n">
        <v>7527.08</v>
      </c>
      <c r="I52" s="32" t="n">
        <v>223.79</v>
      </c>
      <c r="J52" s="32" t="n">
        <v>-0.64</v>
      </c>
      <c r="K52" s="32" t="n">
        <v>0</v>
      </c>
      <c r="L52" s="31" t="n">
        <v>89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75.67</v>
      </c>
      <c r="P52" s="32" t="n">
        <v>43.89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-4.31</v>
      </c>
      <c r="U52" s="32" t="n">
        <v>46</v>
      </c>
      <c r="V52" s="32" t="n">
        <v>52.57</v>
      </c>
      <c r="W52" s="32" t="n">
        <v>26.91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More than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19</t>
        </is>
      </c>
      <c r="CG52" s="31">
        <f>IF(CF52&gt;20,10,IF(CF52&gt;=10,5,2))</f>
        <v/>
      </c>
    </row>
    <row r="53">
      <c r="A53" s="31">
        <f>IF(B53=0,"",RANK(B53,$B$2:$B$86,0))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KMEW</t>
        </is>
      </c>
      <c r="D53" s="31" t="inlineStr">
        <is>
          <t>Knowledge Marine &amp; Engineering Works Ltd</t>
        </is>
      </c>
      <c r="E53" s="31" t="inlineStr">
        <is>
          <t>transportation</t>
        </is>
      </c>
      <c r="F53" s="31" t="inlineStr">
        <is>
          <t>Shipping</t>
        </is>
      </c>
      <c r="G53" s="31" t="inlineStr">
        <is>
          <t>midcap</t>
        </is>
      </c>
      <c r="H53" s="32" t="n">
        <v>5948.28</v>
      </c>
      <c r="I53" s="32" t="n">
        <v>2418</v>
      </c>
      <c r="J53" s="32" t="n">
        <v>-0.63</v>
      </c>
      <c r="K53" s="32" t="n">
        <v>0</v>
      </c>
      <c r="L53" s="31" t="n">
        <v>93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70.90000000000001</v>
      </c>
      <c r="P53" s="32" t="n">
        <v>47.24</v>
      </c>
      <c r="Q53" s="32" t="inlineStr"/>
      <c r="R53" s="31" t="inlineStr">
        <is>
          <t>Earnings / Momentum Support</t>
        </is>
      </c>
      <c r="S53" s="31" t="inlineStr">
        <is>
          <t>Nifty 50</t>
        </is>
      </c>
      <c r="T53" s="32" t="n">
        <v>-4.31</v>
      </c>
      <c r="U53" s="32" t="n">
        <v>183.53</v>
      </c>
      <c r="V53" s="32" t="n">
        <v>196.29</v>
      </c>
      <c r="W53" s="32" t="n">
        <v>33.55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18</t>
        </is>
      </c>
      <c r="CG53" s="31">
        <f>IF(CF53&gt;20,10,IF(CF53&gt;=10,5,2))</f>
        <v/>
      </c>
    </row>
    <row r="54">
      <c r="A54" s="31">
        <f>IF(B54=0,"",RANK(B54,$B$2:$B$86,0))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HSCL</t>
        </is>
      </c>
      <c r="D54" s="31" t="inlineStr">
        <is>
          <t>Himadri Speciality Chemical Ltd</t>
        </is>
      </c>
      <c r="E54" s="31" t="inlineStr">
        <is>
          <t>chemicals</t>
        </is>
      </c>
      <c r="F54" s="31" t="inlineStr">
        <is>
          <t>Carbon Black</t>
        </is>
      </c>
      <c r="G54" s="31" t="inlineStr">
        <is>
          <t>largecap</t>
        </is>
      </c>
      <c r="H54" s="32" t="n">
        <v>39901.67</v>
      </c>
      <c r="I54" s="32" t="n">
        <v>790.85</v>
      </c>
      <c r="J54" s="32" t="n">
        <v>0.16</v>
      </c>
      <c r="K54" s="32" t="n">
        <v>0</v>
      </c>
      <c r="L54" s="31" t="n">
        <v>78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77.83</v>
      </c>
      <c r="P54" s="32" t="n">
        <v>43.86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-4.31</v>
      </c>
      <c r="U54" s="32" t="n">
        <v>58.65</v>
      </c>
      <c r="V54" s="32" t="n">
        <v>65.79000000000001</v>
      </c>
      <c r="W54" s="32" t="n">
        <v>19.08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18</t>
        </is>
      </c>
      <c r="CG54" s="31">
        <f>IF(CF54&gt;20,10,IF(CF54&gt;=10,5,2))</f>
        <v/>
      </c>
    </row>
    <row r="55">
      <c r="A55" s="31">
        <f>IF(B55=0,"",RANK(B55,$B$2:$B$86,0))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SGMART</t>
        </is>
      </c>
      <c r="D55" s="31" t="inlineStr">
        <is>
          <t>SG Mart Ltd</t>
        </is>
      </c>
      <c r="E55" s="31" t="inlineStr">
        <is>
          <t>Industrials</t>
        </is>
      </c>
      <c r="F55" s="31" t="inlineStr">
        <is>
          <t>Trading</t>
        </is>
      </c>
      <c r="G55" s="31" t="inlineStr">
        <is>
          <t>midcap</t>
        </is>
      </c>
      <c r="H55" s="32" t="n">
        <v>9054.370000000001</v>
      </c>
      <c r="I55" s="32" t="n">
        <v>718.4</v>
      </c>
      <c r="J55" s="32" t="n">
        <v>0.6899999999999999</v>
      </c>
      <c r="K55" s="32" t="n">
        <v>0</v>
      </c>
      <c r="L55" s="31" t="n">
        <v>81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78.59999999999999</v>
      </c>
      <c r="P55" s="32" t="n">
        <v>68.28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-5.36</v>
      </c>
      <c r="U55" s="32" t="n">
        <v>99.26000000000001</v>
      </c>
      <c r="V55" s="32" t="n">
        <v>110.55</v>
      </c>
      <c r="W55" s="32" t="n">
        <v>20.73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17</t>
        </is>
      </c>
      <c r="CG55" s="31">
        <f>IF(CF55&gt;20,10,IF(CF55&gt;=10,5,2))</f>
        <v/>
      </c>
    </row>
    <row r="56">
      <c r="A56" s="31">
        <f>IF(B56=0,"",RANK(B56,$B$2:$B$86,0))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SPORTKING</t>
        </is>
      </c>
      <c r="D56" s="31" t="inlineStr">
        <is>
          <t>Sportking India Ltd</t>
        </is>
      </c>
      <c r="E56" s="31" t="inlineStr">
        <is>
          <t>textiles</t>
        </is>
      </c>
      <c r="F56" s="31" t="inlineStr">
        <is>
          <t>Textiles - Spinning</t>
        </is>
      </c>
      <c r="G56" s="31" t="inlineStr">
        <is>
          <t>smallcap</t>
        </is>
      </c>
      <c r="H56" s="32" t="n">
        <v>2744.76</v>
      </c>
      <c r="I56" s="32" t="n">
        <v>216</v>
      </c>
      <c r="J56" s="32" t="n">
        <v>1.06</v>
      </c>
      <c r="K56" s="32" t="n">
        <v>0</v>
      </c>
      <c r="L56" s="31" t="n">
        <v>89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84.68000000000001</v>
      </c>
      <c r="P56" s="32" t="n">
        <v>69.34999999999999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-4.31</v>
      </c>
      <c r="U56" s="32" t="n">
        <v>66.97</v>
      </c>
      <c r="V56" s="32" t="n">
        <v>74.48999999999999</v>
      </c>
      <c r="W56" s="32" t="n">
        <v>27.95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Less than 12%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17</t>
        </is>
      </c>
      <c r="CG56" s="31">
        <f>IF(CF56&gt;20,10,IF(CF56&gt;=10,5,2))</f>
        <v/>
      </c>
    </row>
    <row r="57">
      <c r="A57" s="31">
        <f>IF(B57=0,"",RANK(B57,$B$2:$B$86,0))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SKYGOLD</t>
        </is>
      </c>
      <c r="D57" s="31" t="inlineStr">
        <is>
          <t>Sky Gold &amp; Diamonds Ltd</t>
        </is>
      </c>
      <c r="E57" s="31" t="inlineStr">
        <is>
          <t>consumer discretionary</t>
        </is>
      </c>
      <c r="F57" s="31" t="inlineStr">
        <is>
          <t>Diamond, Gems &amp; Jewellery</t>
        </is>
      </c>
      <c r="G57" s="31" t="inlineStr">
        <is>
          <t>midcap</t>
        </is>
      </c>
      <c r="H57" s="32" t="n">
        <v>10378.87</v>
      </c>
      <c r="I57" s="32" t="n">
        <v>670.15</v>
      </c>
      <c r="J57" s="32" t="n">
        <v>2.52</v>
      </c>
      <c r="K57" s="32" t="n">
        <v>0</v>
      </c>
      <c r="L57" s="31" t="n">
        <v>91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74.56</v>
      </c>
      <c r="P57" s="32" t="n">
        <v>57.91</v>
      </c>
      <c r="Q57" s="32" t="inlineStr"/>
      <c r="R57" s="31" t="inlineStr">
        <is>
          <t>Earnings / Momentum Support</t>
        </is>
      </c>
      <c r="S57" s="31" t="inlineStr">
        <is>
          <t>Nifty 50</t>
        </is>
      </c>
      <c r="T57" s="32" t="n">
        <v>-4.31</v>
      </c>
      <c r="U57" s="32" t="n">
        <v>116.6</v>
      </c>
      <c r="V57" s="32" t="n">
        <v>126.35</v>
      </c>
      <c r="W57" s="32" t="n">
        <v>31.47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Negative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Between 0.7 to 1.2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25</t>
        </is>
      </c>
      <c r="CG57" s="31">
        <f>IF(CF57&gt;20,10,IF(CF57&gt;=10,5,2))</f>
        <v/>
      </c>
    </row>
    <row r="58">
      <c r="A58" s="31">
        <f>IF(B58=0,"",RANK(B58,$B$2:$B$86,0))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SOTL</t>
        </is>
      </c>
      <c r="D58" s="31" t="inlineStr">
        <is>
          <t>Savita Oil Technologies Ltd</t>
        </is>
      </c>
      <c r="E58" s="31" t="inlineStr">
        <is>
          <t>energy</t>
        </is>
      </c>
      <c r="F58" s="31" t="inlineStr">
        <is>
          <t>Petrochem - Others</t>
        </is>
      </c>
      <c r="G58" s="31" t="inlineStr">
        <is>
          <t>smallcap</t>
        </is>
      </c>
      <c r="H58" s="32" t="n">
        <v>4470.14</v>
      </c>
      <c r="I58" s="32" t="n">
        <v>652</v>
      </c>
      <c r="J58" s="32" t="n">
        <v>0.97</v>
      </c>
      <c r="K58" s="32" t="n">
        <v>0</v>
      </c>
      <c r="L58" s="31" t="n">
        <v>81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70.29000000000001</v>
      </c>
      <c r="P58" s="32" t="n">
        <v>43.28</v>
      </c>
      <c r="Q58" s="32" t="inlineStr"/>
      <c r="R58" s="31" t="inlineStr">
        <is>
          <t>Earnings / Momentum Support</t>
        </is>
      </c>
      <c r="S58" s="31" t="inlineStr">
        <is>
          <t>Nifty Energy</t>
        </is>
      </c>
      <c r="T58" s="32" t="n">
        <v>8.41</v>
      </c>
      <c r="U58" s="32" t="n">
        <v>39.93</v>
      </c>
      <c r="V58" s="32" t="n">
        <v>29.08</v>
      </c>
      <c r="W58" s="32" t="n">
        <v>21.2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Oligopoly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21</t>
        </is>
      </c>
      <c r="CG58" s="31">
        <f>IF(CF58&gt;20,10,IF(CF58&gt;=10,5,2))</f>
        <v/>
      </c>
    </row>
    <row r="59">
      <c r="A59" s="31">
        <f>IF(B59=0,"",RANK(B59,$B$2:$B$86,0))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CHENNPETRO</t>
        </is>
      </c>
      <c r="D59" s="31" t="inlineStr">
        <is>
          <t>Chennai Petroleum Corporation Ltd</t>
        </is>
      </c>
      <c r="E59" s="31" t="inlineStr">
        <is>
          <t>Energy</t>
        </is>
      </c>
      <c r="F59" s="31" t="inlineStr">
        <is>
          <t>Refineries</t>
        </is>
      </c>
      <c r="G59" s="31" t="inlineStr">
        <is>
          <t>midcap</t>
        </is>
      </c>
      <c r="H59" s="32" t="n">
        <v>17437.52</v>
      </c>
      <c r="I59" s="32" t="n">
        <v>1171</v>
      </c>
      <c r="J59" s="32" t="n">
        <v>-3.61</v>
      </c>
      <c r="K59" s="32" t="n">
        <v>0</v>
      </c>
      <c r="L59" s="31" t="n">
        <v>63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64.11</v>
      </c>
      <c r="P59" s="32" t="n">
        <v>49.17</v>
      </c>
      <c r="Q59" s="32" t="inlineStr"/>
      <c r="R59" s="31" t="inlineStr">
        <is>
          <t>Earnings / Momentum Support</t>
        </is>
      </c>
      <c r="S59" s="31" t="inlineStr">
        <is>
          <t>Nifty Energy</t>
        </is>
      </c>
      <c r="T59" s="32" t="n">
        <v>8.41</v>
      </c>
      <c r="U59" s="32" t="n">
        <v>56.41</v>
      </c>
      <c r="V59" s="32" t="n">
        <v>44.28</v>
      </c>
      <c r="W59" s="32" t="n">
        <v>12.99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Volatile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21</t>
        </is>
      </c>
      <c r="CG59" s="31">
        <f>IF(CF59&gt;20,10,IF(CF59&gt;=10,5,2))</f>
        <v/>
      </c>
    </row>
    <row r="60">
      <c r="A60" s="31">
        <f>IF(B60=0,"",RANK(B60,$B$2:$B$86,0))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3" t="inlineStr">
        <is>
          <t>JUBLINGREA</t>
        </is>
      </c>
      <c r="D60" s="33" t="inlineStr">
        <is>
          <t>Jubilant Ingrevia Ltd</t>
        </is>
      </c>
      <c r="E60" s="31" t="inlineStr">
        <is>
          <t>chemicals</t>
        </is>
      </c>
      <c r="F60" s="31" t="inlineStr">
        <is>
          <t>Pesticides/Agrochemicals</t>
        </is>
      </c>
      <c r="G60" s="31" t="inlineStr">
        <is>
          <t>midcap</t>
        </is>
      </c>
      <c r="H60" s="32" t="n">
        <v>11866.44</v>
      </c>
      <c r="I60" s="32" t="n">
        <v>745</v>
      </c>
      <c r="J60" s="32" t="n">
        <v>2.68</v>
      </c>
      <c r="K60" s="32" t="n">
        <v>0</v>
      </c>
      <c r="L60" s="31" t="n">
        <v>6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57.98</v>
      </c>
      <c r="P60" s="32" t="n">
        <v>19.22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-4.31</v>
      </c>
      <c r="U60" s="32" t="n">
        <v>-6.27</v>
      </c>
      <c r="V60" s="32" t="n">
        <v>-2.05</v>
      </c>
      <c r="W60" s="32" t="n">
        <v>-1.12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IF(B61=0,"",RANK(B61,$B$2:$B$86,0))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LLOYDSENT</t>
        </is>
      </c>
      <c r="D61" s="31" t="inlineStr">
        <is>
          <t>Lloyds Enterprises Ltd</t>
        </is>
      </c>
      <c r="E61" s="31" t="inlineStr">
        <is>
          <t>services</t>
        </is>
      </c>
      <c r="F61" s="31" t="inlineStr">
        <is>
          <t>Trading</t>
        </is>
      </c>
      <c r="G61" s="31" t="inlineStr">
        <is>
          <t>midcap</t>
        </is>
      </c>
      <c r="H61" s="32" t="n">
        <v>12423</v>
      </c>
      <c r="I61" s="32" t="n">
        <v>81.51000000000001</v>
      </c>
      <c r="J61" s="32" t="n">
        <v>4.58</v>
      </c>
      <c r="K61" s="32" t="n">
        <v>0</v>
      </c>
      <c r="L61" s="31" t="n">
        <v>27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62.48</v>
      </c>
      <c r="P61" s="32" t="n">
        <v>34.96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-4.31</v>
      </c>
      <c r="U61" s="32" t="n">
        <v>-1.36</v>
      </c>
      <c r="V61" s="32" t="n">
        <v>3.08</v>
      </c>
      <c r="W61" s="32" t="n">
        <v>4.54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IF(B62=0,"",RANK(B62,$B$2:$B$86,0))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INDOTECH</t>
        </is>
      </c>
      <c r="D62" s="31" t="inlineStr">
        <is>
          <t>Indo Tech Transformers Ltd</t>
        </is>
      </c>
      <c r="E62" s="31" t="inlineStr">
        <is>
          <t>industrials</t>
        </is>
      </c>
      <c r="F62" s="31" t="inlineStr">
        <is>
          <t>Capital Goods - Transformers</t>
        </is>
      </c>
      <c r="G62" s="31" t="inlineStr">
        <is>
          <t>smallcap</t>
        </is>
      </c>
      <c r="H62" s="32" t="n">
        <v>3727.62</v>
      </c>
      <c r="I62" s="32" t="n">
        <v>3510</v>
      </c>
      <c r="J62" s="32" t="n">
        <v>2.69</v>
      </c>
      <c r="K62" s="32" t="n">
        <v>0</v>
      </c>
      <c r="L62" s="31" t="n">
        <v>93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75.40000000000001</v>
      </c>
      <c r="P62" s="32" t="n">
        <v>48.73</v>
      </c>
      <c r="Q62" s="32" t="inlineStr"/>
      <c r="R62" s="31" t="inlineStr">
        <is>
          <t>Earnings / Momentum Support</t>
        </is>
      </c>
      <c r="S62" s="31" t="inlineStr">
        <is>
          <t>Nifty Infra</t>
        </is>
      </c>
      <c r="T62" s="32" t="n">
        <v>1.74</v>
      </c>
      <c r="U62" s="32" t="n">
        <v>80.76000000000001</v>
      </c>
      <c r="V62" s="32" t="n">
        <v>77.67</v>
      </c>
      <c r="W62" s="32" t="n">
        <v>34.4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Less than 50%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18</t>
        </is>
      </c>
      <c r="CG62" s="31">
        <f>IF(CF62&gt;20,10,IF(CF62&gt;=10,5,2))</f>
        <v/>
      </c>
    </row>
    <row r="63">
      <c r="A63" s="31">
        <f>IF(B63=0,"",RANK(B63,$B$2:$B$86,0))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3" t="inlineStr">
        <is>
          <t>ACE</t>
        </is>
      </c>
      <c r="D63" s="33" t="inlineStr">
        <is>
          <t>Action Construction Equipment Ltd</t>
        </is>
      </c>
      <c r="E63" s="31" t="inlineStr">
        <is>
          <t>industrials</t>
        </is>
      </c>
      <c r="F63" s="31" t="inlineStr">
        <is>
          <t>Capital Goods - EPC/Cranes</t>
        </is>
      </c>
      <c r="G63" s="31" t="inlineStr">
        <is>
          <t>midcap</t>
        </is>
      </c>
      <c r="H63" s="32" t="n">
        <v>12597.81</v>
      </c>
      <c r="I63" s="32" t="n">
        <v>1057.9</v>
      </c>
      <c r="J63" s="32" t="n">
        <v>1.78</v>
      </c>
      <c r="K63" s="32" t="n">
        <v>0</v>
      </c>
      <c r="L63" s="31" t="n">
        <v>22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63.3</v>
      </c>
      <c r="P63" s="32" t="n">
        <v>16.68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-4.31</v>
      </c>
      <c r="U63" s="32" t="n">
        <v>-5.51</v>
      </c>
      <c r="V63" s="32" t="n">
        <v>-1.26</v>
      </c>
      <c r="W63" s="32" t="n">
        <v>3.2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0 to 20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17</t>
        </is>
      </c>
      <c r="CG63" s="31">
        <f>IF(CF63&gt;20,10,IF(CF63&gt;=10,5,2))</f>
        <v/>
      </c>
    </row>
    <row r="64">
      <c r="A64" s="31">
        <f>IF(B64=0,"",RANK(B64,$B$2:$B$86,0))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3" t="inlineStr">
        <is>
          <t>JLHL</t>
        </is>
      </c>
      <c r="D64" s="33" t="inlineStr">
        <is>
          <t>Jupiter Life Line Hospitals Ltd</t>
        </is>
      </c>
      <c r="E64" s="31" t="inlineStr">
        <is>
          <t>Healthcare</t>
        </is>
      </c>
      <c r="F64" s="31" t="inlineStr">
        <is>
          <t>Hospitals</t>
        </is>
      </c>
      <c r="G64" s="31" t="inlineStr">
        <is>
          <t>midcap</t>
        </is>
      </c>
      <c r="H64" s="32" t="n">
        <v>10785.61</v>
      </c>
      <c r="I64" s="32" t="n">
        <v>329</v>
      </c>
      <c r="J64" s="32" t="n">
        <v>1.79</v>
      </c>
      <c r="K64" s="32" t="n">
        <v>0</v>
      </c>
      <c r="L64" s="31" t="n">
        <v>48</v>
      </c>
      <c r="M64" s="31" t="inlineStr">
        <is>
          <t>Underperforming</t>
        </is>
      </c>
      <c r="N64" s="32">
        <f>IF(M64="Underperforming",-5,IF(L64&gt;=95,15,IF(L64&gt;=90,10,IF(L64&gt;=80,5,0))))</f>
        <v/>
      </c>
      <c r="O64" s="32" t="n">
        <v>74.93000000000001</v>
      </c>
      <c r="P64" s="32" t="n">
        <v>28.03</v>
      </c>
      <c r="Q64" s="32" t="inlineStr"/>
      <c r="R64" s="31" t="inlineStr">
        <is>
          <t>Earnings / Momentum Support</t>
        </is>
      </c>
      <c r="S64" s="31" t="inlineStr">
        <is>
          <t>Nifty Pharma</t>
        </is>
      </c>
      <c r="T64" s="32" t="n">
        <v>12.73</v>
      </c>
      <c r="U64" s="32" t="n">
        <v>11.23</v>
      </c>
      <c r="V64" s="32" t="n">
        <v>-1.33</v>
      </c>
      <c r="W64" s="32" t="n">
        <v>9.02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Between 12 to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16</t>
        </is>
      </c>
      <c r="CG64" s="31">
        <f>IF(CF64&gt;20,10,IF(CF64&gt;=10,5,2))</f>
        <v/>
      </c>
    </row>
    <row r="65">
      <c r="A65" s="31">
        <f>IF(B65=0,"",RANK(B65,$B$2:$B$86,0))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GANDHAR</t>
        </is>
      </c>
      <c r="D65" s="31" t="inlineStr">
        <is>
          <t>Gandhar Oil Refinery (India) Ltd</t>
        </is>
      </c>
      <c r="E65" s="31" t="inlineStr">
        <is>
          <t>energy</t>
        </is>
      </c>
      <c r="F65" s="31" t="inlineStr">
        <is>
          <t>Refineries</t>
        </is>
      </c>
      <c r="G65" s="31" t="inlineStr">
        <is>
          <t>smallcap</t>
        </is>
      </c>
      <c r="H65" s="32" t="n">
        <v>2412.73</v>
      </c>
      <c r="I65" s="32" t="n">
        <v>246.5</v>
      </c>
      <c r="J65" s="32" t="n">
        <v>-12.73</v>
      </c>
      <c r="K65" s="32" t="n">
        <v>0</v>
      </c>
      <c r="L65" s="31" t="n">
        <v>68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84.16</v>
      </c>
      <c r="P65" s="32" t="n">
        <v>53.15</v>
      </c>
      <c r="Q65" s="32" t="inlineStr"/>
      <c r="R65" s="31" t="inlineStr">
        <is>
          <t>Earnings / Momentum Support</t>
        </is>
      </c>
      <c r="S65" s="31" t="inlineStr">
        <is>
          <t>Nifty Energy</t>
        </is>
      </c>
      <c r="T65" s="32" t="n">
        <v>8.41</v>
      </c>
      <c r="U65" s="32" t="n">
        <v>24.11</v>
      </c>
      <c r="V65" s="32" t="n">
        <v>14.48</v>
      </c>
      <c r="W65" s="32" t="n">
        <v>14.4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Oligopoly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Cyclical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Volatile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23</t>
        </is>
      </c>
      <c r="CG65" s="31">
        <f>IF(CF65&gt;20,10,IF(CF65&gt;=10,5,2))</f>
        <v/>
      </c>
    </row>
    <row r="66">
      <c r="A66" s="31">
        <f>IF(B66=0,"",RANK(B66,$B$2:$B$86,0))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KALYANKJIL</t>
        </is>
      </c>
      <c r="D66" s="31" t="inlineStr">
        <is>
          <t>Kalyan Jewellers India Ltd</t>
        </is>
      </c>
      <c r="E66" s="31" t="inlineStr">
        <is>
          <t>consumer discretionary</t>
        </is>
      </c>
      <c r="F66" s="31" t="inlineStr">
        <is>
          <t>Diamond, Gems &amp; Jewellery</t>
        </is>
      </c>
      <c r="G66" s="31" t="inlineStr">
        <is>
          <t>largecap</t>
        </is>
      </c>
      <c r="H66" s="32" t="n">
        <v>58427.28</v>
      </c>
      <c r="I66" s="32" t="n">
        <v>565.75</v>
      </c>
      <c r="J66" s="32" t="n">
        <v>-1.36</v>
      </c>
      <c r="K66" s="32" t="n">
        <v>0</v>
      </c>
      <c r="L66" s="31" t="n">
        <v>54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69.90000000000001</v>
      </c>
      <c r="P66" s="32" t="n">
        <v>25.76</v>
      </c>
      <c r="Q66" s="32" t="inlineStr"/>
      <c r="R66" s="31" t="inlineStr">
        <is>
          <t>Earnings / Momentum Support</t>
        </is>
      </c>
      <c r="S66" s="31" t="inlineStr">
        <is>
          <t>Nifty 50</t>
        </is>
      </c>
      <c r="T66" s="32" t="n">
        <v>-4.31</v>
      </c>
      <c r="U66" s="32" t="n">
        <v>-3.16</v>
      </c>
      <c r="V66" s="32" t="n">
        <v>1.2</v>
      </c>
      <c r="W66" s="32" t="n">
        <v>10.23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Between 0.7 to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21</t>
        </is>
      </c>
      <c r="CG66" s="31">
        <f>IF(CF66&gt;20,10,IF(CF66&gt;=10,5,2))</f>
        <v/>
      </c>
    </row>
    <row r="67">
      <c r="A67" s="31">
        <f>IF(B67=0,"",RANK(B67,$B$2:$B$86,0))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3" t="inlineStr">
        <is>
          <t>LODHA</t>
        </is>
      </c>
      <c r="D67" s="33" t="inlineStr">
        <is>
          <t>Lodha Developers Ltd</t>
        </is>
      </c>
      <c r="E67" s="31" t="inlineStr">
        <is>
          <t>realty</t>
        </is>
      </c>
      <c r="F67" s="31" t="inlineStr">
        <is>
          <t>Realty - National</t>
        </is>
      </c>
      <c r="G67" s="31" t="inlineStr">
        <is>
          <t>largecap</t>
        </is>
      </c>
      <c r="H67" s="32" t="n">
        <v>119770.6</v>
      </c>
      <c r="I67" s="32" t="n">
        <v>1198.75</v>
      </c>
      <c r="J67" s="32" t="n">
        <v>4.78</v>
      </c>
      <c r="K67" s="32" t="n">
        <v>0</v>
      </c>
      <c r="L67" s="31" t="n">
        <v>32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59.86</v>
      </c>
      <c r="P67" s="32" t="n">
        <v>15.13</v>
      </c>
      <c r="Q67" s="32" t="inlineStr"/>
      <c r="R67" s="31" t="inlineStr">
        <is>
          <t>Earnings / Momentum Support</t>
        </is>
      </c>
      <c r="S67" s="31" t="inlineStr">
        <is>
          <t>Nifty Realty</t>
        </is>
      </c>
      <c r="T67" s="32" t="n">
        <v>-8.119999999999999</v>
      </c>
      <c r="U67" s="32" t="n">
        <v>-17.46</v>
      </c>
      <c r="V67" s="32" t="n">
        <v>-10.16</v>
      </c>
      <c r="W67" s="32" t="n">
        <v>5.32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IF(B68=0,"",RANK(B68,$B$2:$B$86,0))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SENCO</t>
        </is>
      </c>
      <c r="D68" s="31" t="inlineStr">
        <is>
          <t>Senco Gold Ltd</t>
        </is>
      </c>
      <c r="E68" s="31" t="inlineStr">
        <is>
          <t>consumer discretionary</t>
        </is>
      </c>
      <c r="F68" s="31" t="inlineStr">
        <is>
          <t>Diamond, Gems &amp; Jewellery</t>
        </is>
      </c>
      <c r="G68" s="31" t="inlineStr">
        <is>
          <t>midcap</t>
        </is>
      </c>
      <c r="H68" s="32" t="n">
        <v>6832.07</v>
      </c>
      <c r="I68" s="32" t="n">
        <v>417</v>
      </c>
      <c r="J68" s="32" t="n">
        <v>8.92</v>
      </c>
      <c r="K68" s="32" t="n">
        <v>0</v>
      </c>
      <c r="L68" s="31" t="n">
        <v>40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62.4</v>
      </c>
      <c r="P68" s="32" t="n">
        <v>27.53</v>
      </c>
      <c r="Q68" s="32" t="inlineStr"/>
      <c r="R68" s="31" t="inlineStr">
        <is>
          <t>Volume Spike / Accumulation</t>
        </is>
      </c>
      <c r="S68" s="31" t="inlineStr">
        <is>
          <t>Nifty 50</t>
        </is>
      </c>
      <c r="T68" s="32" t="n">
        <v>-4.31</v>
      </c>
      <c r="U68" s="32" t="n">
        <v>13.12</v>
      </c>
      <c r="V68" s="32" t="n">
        <v>18.21</v>
      </c>
      <c r="W68" s="32" t="n">
        <v>6.97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IF(B69=0,"",RANK(B69,$B$2:$B$86,0))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FAIRCHEMOR</t>
        </is>
      </c>
      <c r="D69" s="31" t="inlineStr">
        <is>
          <t>Fairchem Organics Ltd</t>
        </is>
      </c>
      <c r="E69" s="31" t="inlineStr">
        <is>
          <t>chemicals</t>
        </is>
      </c>
      <c r="F69" s="31" t="inlineStr">
        <is>
          <t>Chemicals - Organic</t>
        </is>
      </c>
      <c r="G69" s="31" t="inlineStr">
        <is>
          <t>smallcap</t>
        </is>
      </c>
      <c r="H69" s="32" t="n">
        <v>1015.86</v>
      </c>
      <c r="I69" s="32" t="n">
        <v>806.5</v>
      </c>
      <c r="J69" s="32" t="n">
        <v>5</v>
      </c>
      <c r="K69" s="32" t="n">
        <v>0</v>
      </c>
      <c r="L69" s="31" t="n">
        <v>37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66.34</v>
      </c>
      <c r="P69" s="32" t="n">
        <v>19.33</v>
      </c>
      <c r="Q69" s="32" t="inlineStr"/>
      <c r="R69" s="31" t="inlineStr">
        <is>
          <t>Earnings / Momentum Support</t>
        </is>
      </c>
      <c r="S69" s="31" t="inlineStr">
        <is>
          <t>Nifty IT</t>
        </is>
      </c>
      <c r="T69" s="32" t="n">
        <v>-19.25</v>
      </c>
      <c r="U69" s="32" t="n">
        <v>-14.93</v>
      </c>
      <c r="V69" s="32" t="n">
        <v>5.34</v>
      </c>
      <c r="W69" s="32" t="n">
        <v>6.41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IF(B70=0,"",RANK(B70,$B$2:$B$86,0))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AEGISVOPAK</t>
        </is>
      </c>
      <c r="D70" s="31" t="inlineStr">
        <is>
          <t>Aegis Vopak Terminals Ltd</t>
        </is>
      </c>
      <c r="E70" s="31" t="inlineStr">
        <is>
          <t>transportation</t>
        </is>
      </c>
      <c r="F70" s="31" t="inlineStr">
        <is>
          <t>Miscellaneous</t>
        </is>
      </c>
      <c r="G70" s="31" t="inlineStr">
        <is>
          <t>largecap</t>
        </is>
      </c>
      <c r="H70" s="32" t="n">
        <v>33525.61</v>
      </c>
      <c r="I70" s="32" t="n">
        <v>302.58</v>
      </c>
      <c r="J70" s="32" t="n">
        <v>3.4</v>
      </c>
      <c r="K70" s="32" t="n">
        <v>0</v>
      </c>
      <c r="L70" s="31" t="n">
        <v>74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65.29000000000001</v>
      </c>
      <c r="P70" s="32" t="n">
        <v>29.21</v>
      </c>
      <c r="Q70" s="32" t="inlineStr"/>
      <c r="R70" s="31" t="inlineStr">
        <is>
          <t>Earnings / Momentum Support</t>
        </is>
      </c>
      <c r="S70" s="31" t="inlineStr">
        <is>
          <t>Nifty 50</t>
        </is>
      </c>
      <c r="T70" s="32" t="n">
        <v>-4.31</v>
      </c>
      <c r="U70" s="32" t="n">
        <v>14.01</v>
      </c>
      <c r="V70" s="32" t="n">
        <v>19.14</v>
      </c>
      <c r="W70" s="32" t="n">
        <v>17.14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Between 12 to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20</t>
        </is>
      </c>
      <c r="CG70" s="31">
        <f>IF(CF70&gt;20,10,IF(CF70&gt;=10,5,2))</f>
        <v/>
      </c>
    </row>
    <row r="71">
      <c r="A71" s="31">
        <f>IF(B71=0,"",RANK(B71,$B$2:$B$86,0))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3" t="inlineStr">
        <is>
          <t>RATNAVEER</t>
        </is>
      </c>
      <c r="D71" s="33" t="inlineStr">
        <is>
          <t>Ratnaveer Precision Engineering Ltd</t>
        </is>
      </c>
      <c r="E71" s="31" t="inlineStr">
        <is>
          <t>metals &amp; mining</t>
        </is>
      </c>
      <c r="F71" s="31" t="inlineStr">
        <is>
          <t>Stainless Steel</t>
        </is>
      </c>
      <c r="G71" s="31" t="inlineStr">
        <is>
          <t>smallcap</t>
        </is>
      </c>
      <c r="H71" s="32" t="n">
        <v>1457.03</v>
      </c>
      <c r="I71" s="32" t="n">
        <v>203.99</v>
      </c>
      <c r="J71" s="32" t="n">
        <v>14.21</v>
      </c>
      <c r="K71" s="32" t="n">
        <v>0</v>
      </c>
      <c r="L71" s="31" t="n">
        <v>41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56.66</v>
      </c>
      <c r="P71" s="32" t="n">
        <v>49.35</v>
      </c>
      <c r="Q71" s="32" t="inlineStr"/>
      <c r="R71" s="31" t="inlineStr">
        <is>
          <t>Volume Spike / Accumulation</t>
        </is>
      </c>
      <c r="S71" s="31" t="inlineStr">
        <is>
          <t>Nifty Metal</t>
        </is>
      </c>
      <c r="T71" s="32" t="n">
        <v>31.49</v>
      </c>
      <c r="U71" s="32" t="n">
        <v>20.72</v>
      </c>
      <c r="V71" s="32" t="n">
        <v>-8.19</v>
      </c>
      <c r="W71" s="32" t="n">
        <v>7.17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Volatile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19</t>
        </is>
      </c>
      <c r="CG71" s="31">
        <f>IF(CF71&gt;20,10,IF(CF71&gt;=10,5,2))</f>
        <v/>
      </c>
    </row>
    <row r="72">
      <c r="A72" s="31">
        <f>IF(B72=0,"",RANK(B72,$B$2:$B$86,0))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MAHLOG</t>
        </is>
      </c>
      <c r="D72" s="31" t="inlineStr">
        <is>
          <t>Mahindra Logistics Ltd</t>
        </is>
      </c>
      <c r="E72" s="31" t="inlineStr">
        <is>
          <t>transportation</t>
        </is>
      </c>
      <c r="F72" s="31" t="inlineStr">
        <is>
          <t>Logistics - Warehousing/Supply Chain</t>
        </is>
      </c>
      <c r="G72" s="31" t="inlineStr">
        <is>
          <t>smallcap</t>
        </is>
      </c>
      <c r="H72" s="32" t="n">
        <v>4138.57</v>
      </c>
      <c r="I72" s="32" t="n">
        <v>417.1</v>
      </c>
      <c r="J72" s="32" t="n">
        <v>0.18</v>
      </c>
      <c r="K72" s="32" t="n">
        <v>0</v>
      </c>
      <c r="L72" s="31" t="n">
        <v>35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61.92</v>
      </c>
      <c r="P72" s="32" t="n">
        <v>19.39</v>
      </c>
      <c r="Q72" s="32" t="inlineStr"/>
      <c r="R72" s="31" t="inlineStr">
        <is>
          <t>Earnings / Momentum Support</t>
        </is>
      </c>
      <c r="S72" s="31" t="inlineStr">
        <is>
          <t>Nifty 50</t>
        </is>
      </c>
      <c r="T72" s="32" t="n">
        <v>-4.31</v>
      </c>
      <c r="U72" s="32" t="n">
        <v>19.64</v>
      </c>
      <c r="V72" s="32" t="n">
        <v>25.03</v>
      </c>
      <c r="W72" s="32" t="n">
        <v>5.89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18</t>
        </is>
      </c>
      <c r="CG72" s="31">
        <f>IF(CF72&gt;20,10,IF(CF72&gt;=10,5,2))</f>
        <v/>
      </c>
    </row>
    <row r="73">
      <c r="A73" s="31">
        <f>IF(B73=0,"",RANK(B73,$B$2:$B$86,0))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CFF</t>
        </is>
      </c>
      <c r="D73" s="31" t="inlineStr">
        <is>
          <t>CFF Fluid Control Ltd</t>
        </is>
      </c>
      <c r="E73" s="31" t="inlineStr">
        <is>
          <t>Industrials</t>
        </is>
      </c>
      <c r="F73" s="31" t="inlineStr">
        <is>
          <t>Shipping - Proxy</t>
        </is>
      </c>
      <c r="G73" s="31" t="inlineStr">
        <is>
          <t>smallcap</t>
        </is>
      </c>
      <c r="H73" s="32" t="n">
        <v>1982.05</v>
      </c>
      <c r="I73" s="32" t="n">
        <v>945</v>
      </c>
      <c r="J73" s="32" t="n">
        <v>-1.59</v>
      </c>
      <c r="K73" s="32" t="n">
        <v>0</v>
      </c>
      <c r="L73" s="31" t="n">
        <v>67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71.73</v>
      </c>
      <c r="P73" s="32" t="n">
        <v>32.1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-4.31</v>
      </c>
      <c r="U73" s="32" t="n">
        <v>52.29</v>
      </c>
      <c r="V73" s="32" t="n">
        <v>59.14</v>
      </c>
      <c r="W73" s="32" t="n">
        <v>14.19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IF(B74=0,"",RANK(B74,$B$2:$B$86,0))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BLSE</t>
        </is>
      </c>
      <c r="D74" s="31" t="inlineStr">
        <is>
          <t>BLS E-Services Ltd</t>
        </is>
      </c>
      <c r="E74" s="31" t="inlineStr">
        <is>
          <t>i.t</t>
        </is>
      </c>
      <c r="F74" s="31" t="inlineStr">
        <is>
          <t>IT - Software</t>
        </is>
      </c>
      <c r="G74" s="31" t="inlineStr">
        <is>
          <t>smallcap</t>
        </is>
      </c>
      <c r="H74" s="32" t="n">
        <v>2607.58</v>
      </c>
      <c r="I74" s="32" t="n">
        <v>287</v>
      </c>
      <c r="J74" s="32" t="n">
        <v>1.66</v>
      </c>
      <c r="K74" s="32" t="n">
        <v>0</v>
      </c>
      <c r="L74" s="31" t="n">
        <v>84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78.59</v>
      </c>
      <c r="P74" s="32" t="n">
        <v>38.53</v>
      </c>
      <c r="Q74" s="32" t="inlineStr"/>
      <c r="R74" s="31" t="inlineStr">
        <is>
          <t>Earnings / Momentum Support</t>
        </is>
      </c>
      <c r="S74" s="31" t="inlineStr">
        <is>
          <t>Nifty IT</t>
        </is>
      </c>
      <c r="T74" s="32" t="n">
        <v>-19.25</v>
      </c>
      <c r="U74" s="32" t="n">
        <v>53.98</v>
      </c>
      <c r="V74" s="32" t="n">
        <v>90.68000000000001</v>
      </c>
      <c r="W74" s="32" t="n">
        <v>23.19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Less than 12%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Between 50% to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19</t>
        </is>
      </c>
      <c r="CG74" s="31">
        <f>IF(CF74&gt;20,10,IF(CF74&gt;=10,5,2))</f>
        <v/>
      </c>
    </row>
    <row r="75">
      <c r="A75" s="31">
        <f>IF(B75=0,"",RANK(B75,$B$2:$B$86,0))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PNGJL</t>
        </is>
      </c>
      <c r="D75" s="31" t="inlineStr">
        <is>
          <t>P N Gadgil Jewellers Ltd</t>
        </is>
      </c>
      <c r="E75" s="31" t="inlineStr">
        <is>
          <t>consumer discretionary</t>
        </is>
      </c>
      <c r="F75" s="31" t="inlineStr">
        <is>
          <t>Diamond, Gems &amp; Jewellery</t>
        </is>
      </c>
      <c r="G75" s="31" t="inlineStr">
        <is>
          <t>midcap</t>
        </is>
      </c>
      <c r="H75" s="32" t="n">
        <v>9296.02</v>
      </c>
      <c r="I75" s="32" t="n">
        <v>685</v>
      </c>
      <c r="J75" s="32" t="n">
        <v>5.87</v>
      </c>
      <c r="K75" s="32" t="n">
        <v>0</v>
      </c>
      <c r="L75" s="31" t="n">
        <v>19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57.9</v>
      </c>
      <c r="P75" s="32" t="n">
        <v>11.55</v>
      </c>
      <c r="Q75" s="32" t="inlineStr"/>
      <c r="R75" s="31" t="inlineStr">
        <is>
          <t>Volume Spike / Accumulation</t>
        </is>
      </c>
      <c r="S75" s="31" t="inlineStr">
        <is>
          <t>Nifty 50</t>
        </is>
      </c>
      <c r="T75" s="32" t="n">
        <v>-4.31</v>
      </c>
      <c r="U75" s="32" t="n">
        <v>11.23</v>
      </c>
      <c r="V75" s="32" t="n">
        <v>16.23</v>
      </c>
      <c r="W75" s="32" t="n">
        <v>2.44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Negative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23</t>
        </is>
      </c>
      <c r="CG75" s="31">
        <f>IF(CF75&gt;20,10,IF(CF75&gt;=10,5,2))</f>
        <v/>
      </c>
    </row>
    <row r="76">
      <c r="A76" s="31">
        <f>IF(B76=0,"",RANK(B76,$B$2:$B$86,0))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TBZ</t>
        </is>
      </c>
      <c r="D76" s="31" t="inlineStr">
        <is>
          <t>Tribhovandas Bhimji Zaveri Ltd</t>
        </is>
      </c>
      <c r="E76" s="31" t="inlineStr">
        <is>
          <t>consumer discretionary</t>
        </is>
      </c>
      <c r="F76" s="31" t="inlineStr">
        <is>
          <t>Diamond, Gems &amp; Jewellery</t>
        </is>
      </c>
      <c r="G76" s="31" t="inlineStr">
        <is>
          <t>smallcap</t>
        </is>
      </c>
      <c r="H76" s="32" t="n">
        <v>1885.07</v>
      </c>
      <c r="I76" s="32" t="n">
        <v>282.49</v>
      </c>
      <c r="J76" s="32" t="n">
        <v>9.119999999999999</v>
      </c>
      <c r="K76" s="32" t="n">
        <v>0</v>
      </c>
      <c r="L76" s="31" t="n">
        <v>88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78.26000000000001</v>
      </c>
      <c r="P76" s="32" t="n">
        <v>33.19</v>
      </c>
      <c r="Q76" s="32" t="inlineStr"/>
      <c r="R76" s="31" t="inlineStr">
        <is>
          <t>Earnings / Momentum Support</t>
        </is>
      </c>
      <c r="S76" s="31" t="inlineStr">
        <is>
          <t>Nifty 50</t>
        </is>
      </c>
      <c r="T76" s="32" t="n">
        <v>-4.31</v>
      </c>
      <c r="U76" s="32" t="n">
        <v>38.51</v>
      </c>
      <c r="V76" s="32" t="n">
        <v>44.74</v>
      </c>
      <c r="W76" s="32" t="n">
        <v>26.17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Between 1.5 to 2</t>
        </is>
      </c>
      <c r="BU76" s="31">
        <f>IF(BT76="Above 2",0,IF(BT76="Between 1.5 to 2",5,IF(BT76="Less than 1.5",10,0)))</f>
        <v/>
      </c>
      <c r="BV76" s="31" t="inlineStr">
        <is>
          <t>Less than 50% and Borrowings are increasing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21</t>
        </is>
      </c>
      <c r="CG76" s="31">
        <f>IF(CF76&gt;20,10,IF(CF76&gt;=10,5,2))</f>
        <v/>
      </c>
    </row>
    <row r="77">
      <c r="A77" s="31">
        <f>IF(B77=0,"",RANK(B77,$B$2:$B$86,0))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MBAPL</t>
        </is>
      </c>
      <c r="D77" s="31" t="inlineStr">
        <is>
          <t>Madhya Bharat Agro Products Ltd</t>
        </is>
      </c>
      <c r="E77" s="31" t="inlineStr">
        <is>
          <t>chemicals</t>
        </is>
      </c>
      <c r="F77" s="31" t="inlineStr">
        <is>
          <t>Fertilisers</t>
        </is>
      </c>
      <c r="G77" s="31" t="inlineStr">
        <is>
          <t>midcap</t>
        </is>
      </c>
      <c r="H77" s="32" t="n">
        <v>7152.55</v>
      </c>
      <c r="I77" s="32" t="n">
        <v>163.25</v>
      </c>
      <c r="J77" s="32" t="n">
        <v>10.12</v>
      </c>
      <c r="K77" s="32" t="n">
        <v>0</v>
      </c>
      <c r="L77" s="31" t="n">
        <v>82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84.20999999999999</v>
      </c>
      <c r="P77" s="32" t="n">
        <v>60.5</v>
      </c>
      <c r="Q77" s="32" t="inlineStr"/>
      <c r="R77" s="31" t="inlineStr">
        <is>
          <t>Earnings / Momentum Support</t>
        </is>
      </c>
      <c r="S77" s="31" t="inlineStr">
        <is>
          <t>Nifty 50</t>
        </is>
      </c>
      <c r="T77" s="32" t="n">
        <v>-4.31</v>
      </c>
      <c r="U77" s="32" t="n">
        <v>72.86</v>
      </c>
      <c r="V77" s="32" t="n">
        <v>80.63</v>
      </c>
      <c r="W77" s="32" t="n">
        <v>22.4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Between 12 to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18</t>
        </is>
      </c>
      <c r="CG77" s="31">
        <f>IF(CF77&gt;20,10,IF(CF77&gt;=10,5,2))</f>
        <v/>
      </c>
    </row>
    <row r="78">
      <c r="A78" s="31">
        <f>IF(B78=0,"",RANK(B78,$B$2:$B$86,0))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DIACABS</t>
        </is>
      </c>
      <c r="D78" s="31" t="inlineStr">
        <is>
          <t>Diamond Power Infrastructure Ltd</t>
        </is>
      </c>
      <c r="E78" s="31" t="inlineStr">
        <is>
          <t>industrials</t>
        </is>
      </c>
      <c r="F78" s="31" t="inlineStr">
        <is>
          <t>Cables - Power</t>
        </is>
      </c>
      <c r="G78" s="31" t="inlineStr">
        <is>
          <t>midcap</t>
        </is>
      </c>
      <c r="H78" s="32" t="n">
        <v>16120.04</v>
      </c>
      <c r="I78" s="32" t="n">
        <v>305.9</v>
      </c>
      <c r="J78" s="32" t="n">
        <v>3.64</v>
      </c>
      <c r="K78" s="32" t="n">
        <v>0</v>
      </c>
      <c r="L78" s="31" t="n">
        <v>74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83.59999999999999</v>
      </c>
      <c r="P78" s="32" t="n">
        <v>56.5</v>
      </c>
      <c r="Q78" s="32" t="inlineStr"/>
      <c r="R78" s="31" t="inlineStr">
        <is>
          <t>Earnings / Momentum Support</t>
        </is>
      </c>
      <c r="S78" s="31" t="inlineStr">
        <is>
          <t>Nifty Energy</t>
        </is>
      </c>
      <c r="T78" s="32" t="n">
        <v>8.41</v>
      </c>
      <c r="U78" s="32" t="n">
        <v>31.69</v>
      </c>
      <c r="V78" s="32" t="n">
        <v>21.48</v>
      </c>
      <c r="W78" s="32" t="n">
        <v>17.59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22</t>
        </is>
      </c>
      <c r="CG78" s="31">
        <f>IF(CF78&gt;20,10,IF(CF78&gt;=10,5,2))</f>
        <v/>
      </c>
    </row>
    <row r="79">
      <c r="A79" s="31">
        <f>IF(B79=0,"",RANK(B79,$B$2:$B$86,0))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3" t="inlineStr">
        <is>
          <t>RKFORGE</t>
        </is>
      </c>
      <c r="D79" s="33" t="inlineStr">
        <is>
          <t>Ramkrishna Forgings Ltd</t>
        </is>
      </c>
      <c r="E79" s="31" t="inlineStr">
        <is>
          <t>industrials</t>
        </is>
      </c>
      <c r="F79" s="31" t="inlineStr">
        <is>
          <t>Castings, Forgings &amp; Fastners</t>
        </is>
      </c>
      <c r="G79" s="31" t="inlineStr">
        <is>
          <t>midcap</t>
        </is>
      </c>
      <c r="H79" s="32" t="n">
        <v>11381.98</v>
      </c>
      <c r="I79" s="32" t="n">
        <v>624.8</v>
      </c>
      <c r="J79" s="32" t="n">
        <v>7.59</v>
      </c>
      <c r="K79" s="32" t="n">
        <v>0</v>
      </c>
      <c r="L79" s="31" t="n">
        <v>9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53.96</v>
      </c>
      <c r="P79" s="32" t="n">
        <v>8.08</v>
      </c>
      <c r="Q79" s="32" t="inlineStr"/>
      <c r="R79" s="31" t="inlineStr">
        <is>
          <t>Volume Spike / Accumulation</t>
        </is>
      </c>
      <c r="S79" s="31" t="inlineStr">
        <is>
          <t>Nifty 50</t>
        </is>
      </c>
      <c r="T79" s="32" t="n">
        <v>-4.31</v>
      </c>
      <c r="U79" s="32" t="n">
        <v>-6.93</v>
      </c>
      <c r="V79" s="32" t="n">
        <v>-2.74</v>
      </c>
      <c r="W79" s="32" t="n">
        <v>0.16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18</t>
        </is>
      </c>
      <c r="CG79" s="31">
        <f>IF(CF79&gt;20,10,IF(CF79&gt;=10,5,2))</f>
        <v/>
      </c>
    </row>
    <row r="80">
      <c r="A80" s="31">
        <f>IF(B80=0,"",RANK(B80,$B$2:$B$86,0))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TVSMOTOR</t>
        </is>
      </c>
      <c r="D80" s="31" t="inlineStr">
        <is>
          <t>TVS Motor Company Ltd</t>
        </is>
      </c>
      <c r="E80" s="31" t="inlineStr">
        <is>
          <t>auto</t>
        </is>
      </c>
      <c r="F80" s="31" t="inlineStr">
        <is>
          <t>Auto - 2 &amp; 3 Wheelers</t>
        </is>
      </c>
      <c r="G80" s="31" t="inlineStr">
        <is>
          <t>largecap</t>
        </is>
      </c>
      <c r="H80" s="32" t="n">
        <v>184001.24</v>
      </c>
      <c r="I80" s="32" t="n">
        <v>3873</v>
      </c>
      <c r="J80" s="32" t="n">
        <v>0.07000000000000001</v>
      </c>
      <c r="K80" s="32" t="n">
        <v>0</v>
      </c>
      <c r="L80" s="31" t="n">
        <v>29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61.34</v>
      </c>
      <c r="P80" s="32" t="n">
        <v>12.38</v>
      </c>
      <c r="Q80" s="32" t="inlineStr"/>
      <c r="R80" s="31" t="inlineStr">
        <is>
          <t>Earnings / Momentum Support</t>
        </is>
      </c>
      <c r="S80" s="31" t="inlineStr">
        <is>
          <t>Nifty Auto</t>
        </is>
      </c>
      <c r="T80" s="32" t="n">
        <v>13.41</v>
      </c>
      <c r="U80" s="32" t="n">
        <v>27.43</v>
      </c>
      <c r="V80" s="32" t="n">
        <v>12.36</v>
      </c>
      <c r="W80" s="32" t="n">
        <v>4.91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18</t>
        </is>
      </c>
      <c r="CG80" s="31">
        <f>IF(CF80&gt;20,10,IF(CF80&gt;=10,5,2))</f>
        <v/>
      </c>
    </row>
    <row r="81">
      <c r="A81" s="31">
        <f>IF(B81=0,"",RANK(B81,$B$2:$B$86,0))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RAJRATAN</t>
        </is>
      </c>
      <c r="D81" s="33" t="inlineStr">
        <is>
          <t>Rajratan Global Wire Ltd</t>
        </is>
      </c>
      <c r="E81" s="31" t="inlineStr">
        <is>
          <t>metals &amp; mining</t>
        </is>
      </c>
      <c r="F81" s="31" t="inlineStr">
        <is>
          <t>Tyres &amp; Tubes</t>
        </is>
      </c>
      <c r="G81" s="31" t="inlineStr">
        <is>
          <t>smallcap</t>
        </is>
      </c>
      <c r="H81" s="32" t="n">
        <v>2557.08</v>
      </c>
      <c r="I81" s="32" t="n">
        <v>503.65</v>
      </c>
      <c r="J81" s="32" t="n">
        <v>3.14</v>
      </c>
      <c r="K81" s="32" t="n">
        <v>0</v>
      </c>
      <c r="L81" s="31" t="n">
        <v>51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61.59</v>
      </c>
      <c r="P81" s="32" t="n">
        <v>13.72</v>
      </c>
      <c r="Q81" s="32" t="inlineStr"/>
      <c r="R81" s="31" t="inlineStr">
        <is>
          <t>Earnings / Momentum Support</t>
        </is>
      </c>
      <c r="S81" s="31" t="inlineStr">
        <is>
          <t>Nifty Metal</t>
        </is>
      </c>
      <c r="T81" s="32" t="n">
        <v>31.49</v>
      </c>
      <c r="U81" s="32" t="n">
        <v>16.62</v>
      </c>
      <c r="V81" s="32" t="n">
        <v>-11.31</v>
      </c>
      <c r="W81" s="32" t="n">
        <v>9.619999999999999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IF(B82=0,"",RANK(B82,$B$2:$B$86,0))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CNL</t>
        </is>
      </c>
      <c r="D82" s="31" t="inlineStr">
        <is>
          <t>Creative Newtech Ltd</t>
        </is>
      </c>
      <c r="E82" s="31" t="inlineStr">
        <is>
          <t>Technology</t>
        </is>
      </c>
      <c r="F82" s="31" t="inlineStr">
        <is>
          <t>E-Commerce - Platform - Utility</t>
        </is>
      </c>
      <c r="G82" s="31" t="inlineStr">
        <is>
          <t>smallcap</t>
        </is>
      </c>
      <c r="H82" s="32" t="n">
        <v>1561.73</v>
      </c>
      <c r="I82" s="32" t="n">
        <v>1040</v>
      </c>
      <c r="J82" s="32" t="n">
        <v>5.37</v>
      </c>
      <c r="K82" s="32" t="n">
        <v>0</v>
      </c>
      <c r="L82" s="31" t="n">
        <v>87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81.13</v>
      </c>
      <c r="P82" s="32" t="n">
        <v>38.69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-4.31</v>
      </c>
      <c r="U82" s="32" t="n">
        <v>50.28</v>
      </c>
      <c r="V82" s="32" t="n">
        <v>57.05</v>
      </c>
      <c r="W82" s="32" t="n">
        <v>25.35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Oligopoly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Between 0.7 to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23</t>
        </is>
      </c>
      <c r="CG82" s="31">
        <f>IF(CF82&gt;20,10,IF(CF82&gt;=10,5,2))</f>
        <v/>
      </c>
    </row>
    <row r="83">
      <c r="A83" s="31">
        <f>IF(B83=0,"",RANK(B83,$B$2:$B$86,0))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STALLION</t>
        </is>
      </c>
      <c r="D83" s="31" t="inlineStr">
        <is>
          <t>Stallion India Fluorochemicals Ltd</t>
        </is>
      </c>
      <c r="E83" s="31" t="inlineStr">
        <is>
          <t>Basic Materials</t>
        </is>
      </c>
      <c r="F83" s="31" t="inlineStr">
        <is>
          <t>Industrial Gas</t>
        </is>
      </c>
      <c r="G83" s="31" t="inlineStr">
        <is>
          <t>smallcap</t>
        </is>
      </c>
      <c r="H83" s="32" t="n">
        <v>2969.47</v>
      </c>
      <c r="I83" s="32" t="n">
        <v>255.8</v>
      </c>
      <c r="J83" s="32" t="n">
        <v>5.75</v>
      </c>
      <c r="K83" s="32" t="n">
        <v>0</v>
      </c>
      <c r="L83" s="31" t="n">
        <v>96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65.67</v>
      </c>
      <c r="P83" s="32" t="n">
        <v>18.07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-4.31</v>
      </c>
      <c r="U83" s="32" t="n">
        <v>97.47</v>
      </c>
      <c r="V83" s="32" t="n">
        <v>106.36</v>
      </c>
      <c r="W83" s="32" t="n">
        <v>41.97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Between 50% to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16</t>
        </is>
      </c>
      <c r="CG83" s="31">
        <f>IF(CF83&gt;20,10,IF(CF83&gt;=10,5,2))</f>
        <v/>
      </c>
    </row>
    <row r="84">
      <c r="A84" s="31">
        <f>IF(B84=0,"",RANK(B84,$B$2:$B$86,0))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3" t="inlineStr">
        <is>
          <t>LLOYDSME</t>
        </is>
      </c>
      <c r="D84" s="33" t="inlineStr">
        <is>
          <t>Lloyds Metals &amp; Energy Ltd</t>
        </is>
      </c>
      <c r="E84" s="31" t="inlineStr">
        <is>
          <t>metals &amp; mining</t>
        </is>
      </c>
      <c r="F84" s="31" t="inlineStr">
        <is>
          <t>Mining/Minerals - Iron Ore</t>
        </is>
      </c>
      <c r="G84" s="31" t="inlineStr">
        <is>
          <t>largecap</t>
        </is>
      </c>
      <c r="H84" s="32" t="n">
        <v>113363.83</v>
      </c>
      <c r="I84" s="32" t="n">
        <v>2013.9</v>
      </c>
      <c r="J84" s="32" t="n">
        <v>3.78</v>
      </c>
      <c r="K84" s="32" t="n">
        <v>0</v>
      </c>
      <c r="L84" s="31" t="n">
        <v>48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74.59</v>
      </c>
      <c r="P84" s="32" t="n">
        <v>44.25</v>
      </c>
      <c r="Q84" s="32" t="inlineStr"/>
      <c r="R84" s="31" t="inlineStr">
        <is>
          <t>Earnings / Momentum Support</t>
        </is>
      </c>
      <c r="S84" s="31" t="inlineStr">
        <is>
          <t>Nifty Metal</t>
        </is>
      </c>
      <c r="T84" s="32" t="n">
        <v>31.49</v>
      </c>
      <c r="U84" s="32" t="n">
        <v>26.75</v>
      </c>
      <c r="V84" s="32" t="n">
        <v>-3.61</v>
      </c>
      <c r="W84" s="32" t="n">
        <v>8.960000000000001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Less than 50% and Borrowings are increasing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20</t>
        </is>
      </c>
      <c r="CG84" s="31">
        <f>IF(CF84&gt;20,10,IF(CF84&gt;=10,5,2))</f>
        <v/>
      </c>
    </row>
    <row r="85">
      <c r="A85" s="31">
        <f>IF(B85=0,"",RANK(B85,$B$2:$B$86,0))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3" t="inlineStr">
        <is>
          <t>LOTUSDEV</t>
        </is>
      </c>
      <c r="D85" s="33" t="inlineStr">
        <is>
          <t>Sri Lotus Developers &amp; Realty Ltd</t>
        </is>
      </c>
      <c r="E85" s="31" t="inlineStr">
        <is>
          <t>Industrials</t>
        </is>
      </c>
      <c r="F85" s="31" t="inlineStr">
        <is>
          <t>Construction - Factories/Offices/Commercial</t>
        </is>
      </c>
      <c r="G85" s="31" t="inlineStr">
        <is>
          <t>midcap</t>
        </is>
      </c>
      <c r="H85" s="32" t="n">
        <v>9183.120000000001</v>
      </c>
      <c r="I85" s="32" t="n">
        <v>187.9</v>
      </c>
      <c r="J85" s="32" t="n">
        <v>4.16</v>
      </c>
      <c r="K85" s="32" t="n">
        <v>0</v>
      </c>
      <c r="L85" s="31" t="n">
        <v>1</v>
      </c>
      <c r="M85" s="31" t="inlineStr">
        <is>
          <t>Underperforming</t>
        </is>
      </c>
      <c r="N85" s="32">
        <f>IF(M85="Underperforming",-5,IF(L85&gt;=95,15,IF(L85&gt;=90,10,IF(L85&gt;=80,5,0))))</f>
        <v/>
      </c>
      <c r="O85" s="32" t="n">
        <v>62.83</v>
      </c>
      <c r="P85" s="32" t="n">
        <v>10.17</v>
      </c>
      <c r="Q85" s="32" t="inlineStr"/>
      <c r="R85" s="31" t="inlineStr">
        <is>
          <t>Earnings / Momentum Support</t>
        </is>
      </c>
      <c r="S85" s="31" t="inlineStr">
        <is>
          <t>Nifty Infra</t>
        </is>
      </c>
      <c r="T85" s="32" t="n">
        <v>5.61</v>
      </c>
      <c r="U85" s="32" t="n">
        <v>-33.28</v>
      </c>
      <c r="V85" s="32" t="n">
        <v>-36.83</v>
      </c>
      <c r="W85" s="32" t="n">
        <v>-7.53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16</t>
        </is>
      </c>
      <c r="CG85" s="31">
        <f>IF(CF85&gt;20,10,IF(CF85&gt;=10,5,2))</f>
        <v/>
      </c>
    </row>
    <row r="86">
      <c r="A86" s="31">
        <f>IF(B86=0,"",RANK(B86,$B$2:$B$86,0))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MONOLITH</t>
        </is>
      </c>
      <c r="D86" s="31" t="inlineStr">
        <is>
          <t>Monolithisch India Ltd</t>
        </is>
      </c>
      <c r="E86" s="31" t="inlineStr">
        <is>
          <t>unknown</t>
        </is>
      </c>
      <c r="F86" s="31" t="inlineStr">
        <is>
          <t>Refractories</t>
        </is>
      </c>
      <c r="G86" s="31" t="inlineStr">
        <is>
          <t>smallcap</t>
        </is>
      </c>
      <c r="H86" s="32" t="n">
        <v>1797.57</v>
      </c>
      <c r="I86" s="32" t="n">
        <v>827</v>
      </c>
      <c r="J86" s="32" t="n">
        <v>6.74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inlineStr"/>
      <c r="P86" s="32" t="inlineStr"/>
      <c r="Q86" s="32" t="inlineStr"/>
      <c r="R86" s="31" t="inlineStr"/>
      <c r="S86" s="31" t="inlineStr"/>
      <c r="T86" s="32" t="inlineStr"/>
      <c r="U86" s="32" t="inlineStr"/>
      <c r="V86" s="32" t="inlineStr"/>
      <c r="W86" s="32" t="inlineStr"/>
      <c r="X86" s="31" t="n"/>
      <c r="Y86" s="31">
        <f>IF(X86="Growing Industry",10,IF(X86="Cyclical in an Upturn",5,0))</f>
        <v/>
      </c>
      <c r="Z86" s="31" t="n"/>
      <c r="AA86" s="31">
        <f>IF(Z86="Monopoly",10,IF(Z86="Oligopoly",5,IF(Z86="Duopoly that cooperate",10,IF(Z86="Duopoly that compete",5,IF(Z86="Too many players with High ROCE",5,0)))))</f>
        <v/>
      </c>
      <c r="AB86" s="31" t="n"/>
      <c r="AC86" s="31">
        <f>IF(AB86="No",5,0)</f>
        <v/>
      </c>
      <c r="AD86" s="31" t="n"/>
      <c r="AE86" s="31">
        <f>IF(AD86="Tailwind",10,0)</f>
        <v/>
      </c>
      <c r="AF86" s="31" t="n"/>
      <c r="AG86" s="31">
        <f>IF(AF86="Structural (10 Years Consistency)",10,IF(AF86="Shallow Cyclical (2 to 3 years growth)",5,0))</f>
        <v/>
      </c>
      <c r="AH86" s="31" t="n"/>
      <c r="AI86" s="31">
        <f>IF(AH86="Yes due to Product Mix change or Operating Leverage",10,IF(AH86="Yes, these are peak margins",-5,IF(AH86="No",5,0)))</f>
        <v/>
      </c>
      <c r="AJ86" s="31" t="n"/>
      <c r="AK86" s="31">
        <f>IF(AJ86="Stable",10,0)</f>
        <v/>
      </c>
      <c r="AL86" s="31" t="n"/>
      <c r="AM86" s="31">
        <f>IF(AL86="Yes",10,0)</f>
        <v/>
      </c>
      <c r="AN86" s="31" t="n"/>
      <c r="AO86" s="31">
        <f>IF(AN86="B2C",10,IF(AN86="B2B",5,0))</f>
        <v/>
      </c>
      <c r="AP86" s="31" t="n"/>
      <c r="AQ86" s="31">
        <f>IF(AP86="Yes",10,0)</f>
        <v/>
      </c>
      <c r="AR86" s="31" t="n"/>
      <c r="AS86" s="31">
        <f>IF(AR86="Fully Annuity",10,IF(AR86="Higher Annuity, Lower One Time",5,IF(AR86="Higher One Time, Lower Annuity",3,0)))</f>
        <v/>
      </c>
      <c r="AT86" s="31" t="n"/>
      <c r="AU86" s="31">
        <f>IF(AT86="Good",10,0)</f>
        <v/>
      </c>
      <c r="AV86" s="31" t="n"/>
      <c r="AW86" s="31">
        <f>IF(AV86="Yes for more than 2 years",10,IF(AV86="Yes only for next 1 to 2 years",5,0))</f>
        <v/>
      </c>
      <c r="AX86" s="31" t="n"/>
      <c r="AY86" s="31">
        <f>IF(AX86="Above 40",20,IF(AX86="20 to 40",10,IF(AX86="0 to 20",-5,0)))</f>
        <v/>
      </c>
      <c r="AZ86" s="31" t="n"/>
      <c r="BA86" s="31">
        <f>IF(AZ86="Between 50 to 75",10,IF(AZ86="Above 75",0,0))</f>
        <v/>
      </c>
      <c r="BB86" s="31" t="n"/>
      <c r="BC86" s="31">
        <f>IF(BB86="Stage 2",20,IF(BB86="Stage 1",0,IF(BB86="Stage 3",5,IF(BB86="Stage 4",-5,0))))</f>
        <v/>
      </c>
      <c r="BD86" s="31" t="n"/>
      <c r="BE86" s="31">
        <f>IF(BD86="Positive Trend",20,IF(BD86="Negative Trend",-10,0))</f>
        <v/>
      </c>
      <c r="BF86" s="31" t="n"/>
      <c r="BG86" s="31">
        <f>IF(BF86="Uptrend",10,IF(BF86="Sideways",5,0))</f>
        <v/>
      </c>
      <c r="BH86" s="31" t="n"/>
      <c r="BI86" s="31">
        <f>IF(BH86="Uptrend",10,IF(BH86="Sideways",5,0))</f>
        <v/>
      </c>
      <c r="BJ86" s="31" t="n"/>
      <c r="BK86" s="31">
        <f>IF(BJ86="Overhead supply in last 2 years in last 2 years",-5,IF(BJ86="Close to 52 week high or retracement",5,IF(BJ86="Blue sky scenario",10,IF(BJ86="Long term Downtrend",-10,0))))</f>
        <v/>
      </c>
      <c r="BL86" s="31" t="n"/>
      <c r="BM86" s="31">
        <f>IF(BL86="Yes",10,0)</f>
        <v/>
      </c>
      <c r="BN86" s="31" t="n"/>
      <c r="BO86" s="31">
        <f>IF(BN86="More than 20%",10,IF(BN86="Between 12 to 20%",5,IF(BN86="Less than 12%",0,0)))</f>
        <v/>
      </c>
      <c r="BP86" s="31" t="n"/>
      <c r="BQ86" s="31">
        <f>IF(BP86="No",10,0)</f>
        <v/>
      </c>
      <c r="BR86" s="31" t="n"/>
      <c r="BS86" s="31">
        <f>IF(BR86="NO",5,0)</f>
        <v/>
      </c>
      <c r="BT86" s="31" t="n"/>
      <c r="BU86" s="31">
        <f>IF(BT86="Above 2",0,IF(BT86="Between 1.5 to 2",5,IF(BT86="Less than 1.5",10,0)))</f>
        <v/>
      </c>
      <c r="BV86" s="31" t="n"/>
      <c r="BW86" s="31">
        <f>IF(BV86="Above 70%",10,IF(BV86="Between 50% to 70%",5,IF(BV86="Less than 50%",0,IF(BV86="Negative",-10,IF(BV86="Less than 50% and Borrowings are increasing",-5,0)))))</f>
        <v/>
      </c>
      <c r="BX86" s="31" t="n"/>
      <c r="BY86" s="31">
        <f>IF(BX86="More than 1.2",-10,IF(BX86="Between 0.7 to 1.2",0,IF(BX86="Less than 0.7",10,0)))</f>
        <v/>
      </c>
      <c r="BZ86" s="31" t="n"/>
      <c r="CA86" s="31">
        <f>IF(BZ86="Yes",-10,0)</f>
        <v/>
      </c>
      <c r="CB86" s="31" t="n"/>
      <c r="CC86" s="31">
        <f>IF(CB86="More than 15%",-10,IF(CB86="Less than 15%",10,0))</f>
        <v/>
      </c>
      <c r="CD86" s="31" t="n"/>
      <c r="CE86" s="31">
        <f>IF(CD86="Yes, more than 10%",-10,IF(CD86="No",10,0))</f>
        <v/>
      </c>
      <c r="CF86" s="31" t="n"/>
      <c r="CG86" s="31">
        <f>IF(CF86&gt;20,10,IF(CF86&gt;=10,5,2))</f>
        <v/>
      </c>
    </row>
  </sheetData>
  <autoFilter ref="A1:CG86"/>
  <conditionalFormatting sqref="B2:B8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6">
    <cfRule type="cellIs" priority="37" operator="equal" dxfId="3" stopIfTrue="1">
      <formula>"Underperforming"</formula>
    </cfRule>
  </conditionalFormatting>
  <conditionalFormatting sqref="N2:N86">
    <cfRule type="cellIs" priority="38" operator="equal" dxfId="3" stopIfTrue="1">
      <formula>-5</formula>
    </cfRule>
  </conditionalFormatting>
  <conditionalFormatting sqref="Q2:Q8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6" showDropDown="0" showInputMessage="0" showErrorMessage="0" allowBlank="1" type="list">
      <formula1>"Growing Industry,Stagnant Industry,Cyclical in an Upturn"</formula1>
    </dataValidation>
    <dataValidation sqref="Z2:Z8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6" showDropDown="0" showInputMessage="0" showErrorMessage="0" allowBlank="1" type="list">
      <formula1>"Yes,No"</formula1>
    </dataValidation>
    <dataValidation sqref="AD2:AD86" showDropDown="0" showInputMessage="0" showErrorMessage="0" allowBlank="1" type="list">
      <formula1>"Tailwind,Headwind"</formula1>
    </dataValidation>
    <dataValidation sqref="AF2:AF86" showDropDown="0" showInputMessage="0" showErrorMessage="0" allowBlank="1" type="list">
      <formula1>"Structural (10 Years Consistency),Shallow Cyclical (2 to 3 Years Growth),Cyclical"</formula1>
    </dataValidation>
    <dataValidation sqref="AH2:AH86" showDropDown="0" showInputMessage="0" showErrorMessage="0" allowBlank="1" type="list">
      <formula1>"Yes due to Product Mix change or Operating Leverage,Yes, these are peak margins,No"</formula1>
    </dataValidation>
    <dataValidation sqref="AJ2:AJ86" showDropDown="0" showInputMessage="0" showErrorMessage="0" allowBlank="1" type="list">
      <formula1>"Stable,Volatile"</formula1>
    </dataValidation>
    <dataValidation sqref="AL2:AL86" showDropDown="0" showInputMessage="0" showErrorMessage="0" allowBlank="1" type="list">
      <formula1>"Yes,No"</formula1>
    </dataValidation>
    <dataValidation sqref="AN2:AN86" showDropDown="0" showInputMessage="0" showErrorMessage="0" allowBlank="1" type="list">
      <formula1>"B2C,B2B,B2G"</formula1>
    </dataValidation>
    <dataValidation sqref="AP2:AP86" showDropDown="0" showInputMessage="0" showErrorMessage="0" allowBlank="1" type="list">
      <formula1>"Yes,No"</formula1>
    </dataValidation>
    <dataValidation sqref="AR2:AR86" showDropDown="0" showInputMessage="0" showErrorMessage="0" allowBlank="1" type="list">
      <formula1>"Fully Annuity,Higher Annuity, Lower One time,Higher One Time, Lower Annuity,Fully One Time"</formula1>
    </dataValidation>
    <dataValidation sqref="AT2:AT86" showDropDown="0" showInputMessage="0" showErrorMessage="0" allowBlank="1" type="list">
      <formula1>"Good,Allocated capital in Non-core Areas"</formula1>
    </dataValidation>
    <dataValidation sqref="AV2:AV86" showDropDown="0" showInputMessage="0" showErrorMessage="0" allowBlank="1" type="list">
      <formula1>"Yes for more than 2 years,Yes only for next 1 to 2 years,No"</formula1>
    </dataValidation>
    <dataValidation sqref="AX2:AX86" showDropDown="0" showInputMessage="0" showErrorMessage="0" allowBlank="1" type="list">
      <formula1>"Above 40,20 to 40,0 to 20"</formula1>
    </dataValidation>
    <dataValidation sqref="AZ2:AZ86" showDropDown="0" showInputMessage="0" showErrorMessage="0" allowBlank="1" type="list">
      <formula1>"Between 50 to 75,Above 75,Below 45"</formula1>
    </dataValidation>
    <dataValidation sqref="BB2:BB86" showDropDown="0" showInputMessage="0" showErrorMessage="0" allowBlank="1" type="list">
      <formula1>"Stage 1,Stage 2,Stage 3,Stage 4"</formula1>
    </dataValidation>
    <dataValidation sqref="BD2:BD86" showDropDown="0" showInputMessage="0" showErrorMessage="0" allowBlank="1" type="list">
      <formula1>"Positive Trend,Negative Trend"</formula1>
    </dataValidation>
    <dataValidation sqref="BF2:BF86" showDropDown="0" showInputMessage="0" showErrorMessage="0" allowBlank="1" type="list">
      <formula1>"Uptrend,Sideways,Downtrend"</formula1>
    </dataValidation>
    <dataValidation sqref="BH2:BH86" showDropDown="0" showInputMessage="0" showErrorMessage="0" allowBlank="1" type="list">
      <formula1>"Uptrend,Sideways,Downtrend"</formula1>
    </dataValidation>
    <dataValidation sqref="BJ2:BJ8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6" showDropDown="0" showInputMessage="0" showErrorMessage="0" allowBlank="1" type="list">
      <formula1>"Yes,No"</formula1>
    </dataValidation>
    <dataValidation sqref="BN2:BN86" showDropDown="0" showInputMessage="0" showErrorMessage="0" allowBlank="1" type="list">
      <formula1>"More than 20%,Between 12 to 20%,Less than 12%"</formula1>
    </dataValidation>
    <dataValidation sqref="BP2:BP86" showDropDown="0" showInputMessage="0" showErrorMessage="0" allowBlank="1" type="list">
      <formula1>"Yes,No"</formula1>
    </dataValidation>
    <dataValidation sqref="BR2:BR86" showDropDown="0" showInputMessage="0" showErrorMessage="0" allowBlank="1" type="list">
      <formula1>"Yes,No"</formula1>
    </dataValidation>
    <dataValidation sqref="BT2:BT86" showDropDown="0" showInputMessage="0" showErrorMessage="0" allowBlank="1" type="list">
      <formula1>"Above 2,Between 1.5 to 2,Less than 1.5"</formula1>
    </dataValidation>
    <dataValidation sqref="BV2:BV86" showDropDown="0" showInputMessage="0" showErrorMessage="0" allowBlank="1" type="list">
      <formula1>"Above 70%,Between 50% to 70%,Less than 50%,Less than 50% and Borrowings are increasing,Negative"</formula1>
    </dataValidation>
    <dataValidation sqref="BX2:BX86" showDropDown="0" showInputMessage="0" showErrorMessage="0" allowBlank="1" type="list">
      <formula1>"More than 1.2,Between 0.7 to 1.2,Less than 0.7"</formula1>
    </dataValidation>
    <dataValidation sqref="BZ2:BZ86" showDropDown="0" showInputMessage="0" showErrorMessage="0" allowBlank="1" type="list">
      <formula1>"Yes,No"</formula1>
    </dataValidation>
    <dataValidation sqref="CB2:CB86" showDropDown="0" showInputMessage="0" showErrorMessage="0" allowBlank="1" type="list">
      <formula1>"More than 15%,Less than 15%"</formula1>
    </dataValidation>
    <dataValidation sqref="CD2:CD8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CREDITACC</t>
        </is>
      </c>
      <c r="D2" s="31" t="inlineStr">
        <is>
          <t>CreditAccess Grameen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largecap</t>
        </is>
      </c>
      <c r="H2" s="32" t="n">
        <v>25631.97</v>
      </c>
      <c r="I2" s="32" t="n">
        <v>1598.9</v>
      </c>
      <c r="J2" s="32" t="n">
        <v>5.36</v>
      </c>
      <c r="K2" s="32" t="n">
        <v>0</v>
      </c>
      <c r="L2" s="31" t="n">
        <v>46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61.28</v>
      </c>
      <c r="P2" s="32" t="n">
        <v>44.95</v>
      </c>
      <c r="Q2" s="32" t="inlineStr"/>
      <c r="R2" s="31" t="inlineStr">
        <is>
          <t>Volume Spike / Accumulation</t>
        </is>
      </c>
      <c r="S2" s="31" t="inlineStr">
        <is>
          <t>Nifty Bank</t>
        </is>
      </c>
      <c r="T2" s="32" t="n">
        <v>0.29</v>
      </c>
      <c r="U2" s="32" t="n">
        <v>16.01</v>
      </c>
      <c r="V2" s="32" t="n">
        <v>15.67</v>
      </c>
      <c r="W2" s="32" t="n">
        <v>8.18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23</t>
        </is>
      </c>
      <c r="CC2" s="31">
        <f>IF(CB2&gt;20,10,IF(CB2&gt;=10,5,2))</f>
        <v/>
      </c>
    </row>
    <row r="3">
      <c r="A3" s="31">
        <f>IF(B3=0,"",RANK(B3,$B$2:$B$16,0))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TMB</t>
        </is>
      </c>
      <c r="D3" s="31" t="inlineStr">
        <is>
          <t>Tamilnad Mercantile Bank Ltd</t>
        </is>
      </c>
      <c r="E3" s="31" t="inlineStr">
        <is>
          <t>bank</t>
        </is>
      </c>
      <c r="F3" s="31" t="inlineStr">
        <is>
          <t>Banks - Private</t>
        </is>
      </c>
      <c r="G3" s="31" t="inlineStr">
        <is>
          <t>midcap</t>
        </is>
      </c>
      <c r="H3" s="32" t="n">
        <v>14379.9</v>
      </c>
      <c r="I3" s="32" t="n">
        <v>908.1</v>
      </c>
      <c r="J3" s="32" t="n">
        <v>12.88</v>
      </c>
      <c r="K3" s="32" t="n">
        <v>0</v>
      </c>
      <c r="L3" s="31" t="n">
        <v>78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67.73999999999999</v>
      </c>
      <c r="P3" s="32" t="n">
        <v>36.52</v>
      </c>
      <c r="Q3" s="32" t="inlineStr"/>
      <c r="R3" s="31" t="inlineStr">
        <is>
          <t>Volume Spike / Accumulation</t>
        </is>
      </c>
      <c r="S3" s="31" t="inlineStr">
        <is>
          <t>Nifty Bank</t>
        </is>
      </c>
      <c r="T3" s="32" t="n">
        <v>0.29</v>
      </c>
      <c r="U3" s="32" t="n">
        <v>84.11</v>
      </c>
      <c r="V3" s="32" t="n">
        <v>83.56999999999999</v>
      </c>
      <c r="W3" s="32" t="n">
        <v>19.1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22</t>
        </is>
      </c>
      <c r="CC3" s="31">
        <f>IF(CB3&gt;20,10,IF(CB3&gt;=10,5,2))</f>
        <v/>
      </c>
    </row>
    <row r="4">
      <c r="A4" s="31">
        <f>IF(B4=0,"",RANK(B4,$B$2:$B$16,0))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 Services</t>
        </is>
      </c>
      <c r="F4" s="31" t="inlineStr">
        <is>
          <t>Finance &amp; Investments - MSME Lending</t>
        </is>
      </c>
      <c r="G4" s="31" t="inlineStr">
        <is>
          <t>smallcap</t>
        </is>
      </c>
      <c r="H4" s="32" t="n">
        <v>4538.85</v>
      </c>
      <c r="I4" s="32" t="n">
        <v>688.8</v>
      </c>
      <c r="J4" s="32" t="n">
        <v>-1.45</v>
      </c>
      <c r="K4" s="32" t="n">
        <v>0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72.48999999999999</v>
      </c>
      <c r="P4" s="32" t="n">
        <v>58.67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3.07</v>
      </c>
      <c r="U4" s="32" t="n">
        <v>77.7</v>
      </c>
      <c r="V4" s="32" t="n">
        <v>72.41</v>
      </c>
      <c r="W4" s="32" t="n">
        <v>20.72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26</t>
        </is>
      </c>
      <c r="CC4" s="31">
        <f>IF(CB4&gt;20,10,IF(CB4&gt;=10,5,2))</f>
        <v/>
      </c>
    </row>
    <row r="5">
      <c r="A5" s="31">
        <f>IF(B5=0,"",RANK(B5,$B$2:$B$16,0))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SATIN</t>
        </is>
      </c>
      <c r="D5" s="31" t="inlineStr">
        <is>
          <t>Satin Creditcare Network Ltd</t>
        </is>
      </c>
      <c r="E5" s="31" t="inlineStr">
        <is>
          <t>financials</t>
        </is>
      </c>
      <c r="F5" s="31" t="inlineStr">
        <is>
          <t>Finance &amp; Investments - Microfinance</t>
        </is>
      </c>
      <c r="G5" s="31" t="inlineStr">
        <is>
          <t>smallcap</t>
        </is>
      </c>
      <c r="H5" s="32" t="n">
        <v>2892.68</v>
      </c>
      <c r="I5" s="32" t="n">
        <v>261.85</v>
      </c>
      <c r="J5" s="32" t="n">
        <v>-2.61</v>
      </c>
      <c r="K5" s="32" t="n">
        <v>0</v>
      </c>
      <c r="L5" s="31" t="n">
        <v>88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75.77</v>
      </c>
      <c r="P5" s="32" t="n">
        <v>71.02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0.29</v>
      </c>
      <c r="U5" s="32" t="n">
        <v>79.26000000000001</v>
      </c>
      <c r="V5" s="32" t="n">
        <v>78.73999999999999</v>
      </c>
      <c r="W5" s="32" t="n">
        <v>26.56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19</t>
        </is>
      </c>
      <c r="CC5" s="31">
        <f>IF(CB5&gt;20,10,IF(CB5&gt;=10,5,2))</f>
        <v/>
      </c>
    </row>
    <row r="6">
      <c r="A6" s="31">
        <f>IF(B6=0,"",RANK(B6,$B$2:$B$16,0))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UJJIVANSFB</t>
        </is>
      </c>
      <c r="D6" s="31" t="inlineStr">
        <is>
          <t>Ujjivan Small Finance Bank Ltd</t>
        </is>
      </c>
      <c r="E6" s="31" t="inlineStr">
        <is>
          <t>bank</t>
        </is>
      </c>
      <c r="F6" s="31" t="inlineStr">
        <is>
          <t>Banks - Small Finance</t>
        </is>
      </c>
      <c r="G6" s="31" t="inlineStr">
        <is>
          <t>midcap</t>
        </is>
      </c>
      <c r="H6" s="32" t="n">
        <v>13897.11</v>
      </c>
      <c r="I6" s="32" t="n">
        <v>71.42</v>
      </c>
      <c r="J6" s="32" t="n">
        <v>0.99</v>
      </c>
      <c r="K6" s="32" t="n">
        <v>0</v>
      </c>
      <c r="L6" s="31" t="n">
        <v>71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68.23</v>
      </c>
      <c r="P6" s="32" t="n">
        <v>31.29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0.29</v>
      </c>
      <c r="U6" s="32" t="n">
        <v>63.25</v>
      </c>
      <c r="V6" s="32" t="n">
        <v>62.78</v>
      </c>
      <c r="W6" s="32" t="n">
        <v>16.08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25</t>
        </is>
      </c>
      <c r="CC6" s="31">
        <f>IF(CB6&gt;20,10,IF(CB6&gt;=10,5,2))</f>
        <v/>
      </c>
    </row>
    <row r="7">
      <c r="A7" s="31">
        <f>IF(B7=0,"",RANK(B7,$B$2:$B$16,0))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TFCILTD</t>
        </is>
      </c>
      <c r="D7" s="31" t="inlineStr">
        <is>
          <t>Tourism Finance Corporation of India Ltd</t>
        </is>
      </c>
      <c r="E7" s="31" t="inlineStr">
        <is>
          <t>financials</t>
        </is>
      </c>
      <c r="F7" s="31" t="inlineStr">
        <is>
          <t>Finance - PSU Lending</t>
        </is>
      </c>
      <c r="G7" s="31" t="inlineStr">
        <is>
          <t>smallcap</t>
        </is>
      </c>
      <c r="H7" s="32" t="n">
        <v>4401.99</v>
      </c>
      <c r="I7" s="32" t="n">
        <v>95.08</v>
      </c>
      <c r="J7" s="32" t="n">
        <v>8.949999999999999</v>
      </c>
      <c r="K7" s="32" t="n">
        <v>0</v>
      </c>
      <c r="L7" s="31" t="n">
        <v>65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65.3</v>
      </c>
      <c r="P7" s="32" t="n">
        <v>43.84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0.29</v>
      </c>
      <c r="U7" s="32" t="n">
        <v>51.21</v>
      </c>
      <c r="V7" s="32" t="n">
        <v>50.78</v>
      </c>
      <c r="W7" s="32" t="n">
        <v>13.76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24</t>
        </is>
      </c>
      <c r="CC7" s="31">
        <f>IF(CB7&gt;20,10,IF(CB7&gt;=10,5,2))</f>
        <v/>
      </c>
    </row>
    <row r="8">
      <c r="A8" s="31">
        <f>IF(B8=0,"",RANK(B8,$B$2:$B$16,0))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PAISALO</t>
        </is>
      </c>
      <c r="D8" s="31" t="inlineStr">
        <is>
          <t>Paisalo Digital Ltd</t>
        </is>
      </c>
      <c r="E8" s="31" t="inlineStr">
        <is>
          <t>financials</t>
        </is>
      </c>
      <c r="F8" s="31" t="inlineStr">
        <is>
          <t>Finance - Capital Markets - Brokers</t>
        </is>
      </c>
      <c r="G8" s="31" t="inlineStr">
        <is>
          <t>midcap</t>
        </is>
      </c>
      <c r="H8" s="32" t="n">
        <v>6393.94</v>
      </c>
      <c r="I8" s="32" t="n">
        <v>70.3</v>
      </c>
      <c r="J8" s="32" t="n">
        <v>0.19</v>
      </c>
      <c r="K8" s="32" t="n">
        <v>0</v>
      </c>
      <c r="L8" s="31" t="n">
        <v>90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77.56</v>
      </c>
      <c r="P8" s="32" t="n">
        <v>56.9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0.29</v>
      </c>
      <c r="U8" s="32" t="n">
        <v>116.33</v>
      </c>
      <c r="V8" s="32" t="n">
        <v>115.7</v>
      </c>
      <c r="W8" s="32" t="n">
        <v>29.61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19</t>
        </is>
      </c>
      <c r="CC8" s="31">
        <f>IF(CB8&gt;20,10,IF(CB8&gt;=10,5,2))</f>
        <v/>
      </c>
    </row>
    <row r="9">
      <c r="A9" s="31">
        <f>IF(B9=0,"",RANK(B9,$B$2:$B$16,0))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JSFB</t>
        </is>
      </c>
      <c r="D9" s="31" t="inlineStr">
        <is>
          <t>Jana Small Finance Bank Ltd</t>
        </is>
      </c>
      <c r="E9" s="31" t="inlineStr">
        <is>
          <t>bank</t>
        </is>
      </c>
      <c r="F9" s="31" t="inlineStr">
        <is>
          <t>Banks - Small Finance</t>
        </is>
      </c>
      <c r="G9" s="31" t="inlineStr">
        <is>
          <t>midcap</t>
        </is>
      </c>
      <c r="H9" s="32" t="n">
        <v>5676.87</v>
      </c>
      <c r="I9" s="32" t="n">
        <v>537</v>
      </c>
      <c r="J9" s="32" t="n">
        <v>0.01</v>
      </c>
      <c r="K9" s="32" t="n">
        <v>0</v>
      </c>
      <c r="L9" s="31" t="n">
        <v>44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67.3</v>
      </c>
      <c r="P9" s="32" t="n">
        <v>34.48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0.29</v>
      </c>
      <c r="U9" s="32" t="n">
        <v>18.94</v>
      </c>
      <c r="V9" s="32" t="n">
        <v>18.59</v>
      </c>
      <c r="W9" s="32" t="n">
        <v>7.87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18</t>
        </is>
      </c>
      <c r="CC9" s="31">
        <f>IF(CB9&gt;20,10,IF(CB9&gt;=10,5,2))</f>
        <v/>
      </c>
    </row>
    <row r="10">
      <c r="A10" s="31">
        <f>IF(B10=0,"",RANK(B10,$B$2:$B$16,0))</f>
        <v/>
      </c>
      <c r="B10" s="32">
        <f>SUM(N10,Y10,AA10,AC10,AE10,AG10,AI10,AK10,AM10,AO10,AQ10,AS10,AU10,AW10,AY10,BA10,BC10,BE10,BG10,BI10,BK10,BM10,BO10,BQ10,BS10,BU10,BW10,BY10,CA10,CC10)</f>
        <v/>
      </c>
      <c r="C10" s="33" t="inlineStr">
        <is>
          <t>MONARCH</t>
        </is>
      </c>
      <c r="D10" s="33" t="inlineStr">
        <is>
          <t>Monarch Networth Capital Ltd</t>
        </is>
      </c>
      <c r="E10" s="31" t="inlineStr">
        <is>
          <t>financials</t>
        </is>
      </c>
      <c r="F10" s="31" t="inlineStr">
        <is>
          <t>Finance - Capital Markets - Brokers</t>
        </is>
      </c>
      <c r="G10" s="31" t="inlineStr">
        <is>
          <t>smallcap</t>
        </is>
      </c>
      <c r="H10" s="32" t="n">
        <v>3124.75</v>
      </c>
      <c r="I10" s="32" t="n">
        <v>394</v>
      </c>
      <c r="J10" s="32" t="n">
        <v>10.13</v>
      </c>
      <c r="K10" s="32" t="n">
        <v>0</v>
      </c>
      <c r="L10" s="31" t="n">
        <v>28</v>
      </c>
      <c r="M10" s="31" t="inlineStr">
        <is>
          <t>Underperforming</t>
        </is>
      </c>
      <c r="N10" s="32">
        <f>IF(M10="Underperforming",-5,IF(L10&gt;=95,15,IF(L10&gt;=90,10,IF(L10&gt;=80,5,0))))</f>
        <v/>
      </c>
      <c r="O10" s="32" t="n">
        <v>64.65000000000001</v>
      </c>
      <c r="P10" s="32" t="n">
        <v>24.55</v>
      </c>
      <c r="Q10" s="32" t="inlineStr"/>
      <c r="R10" s="31" t="inlineStr">
        <is>
          <t>Volume Spike / Accumulation</t>
        </is>
      </c>
      <c r="S10" s="31" t="inlineStr">
        <is>
          <t>Nifty Bank</t>
        </is>
      </c>
      <c r="T10" s="32" t="n">
        <v>0.29</v>
      </c>
      <c r="U10" s="32" t="n">
        <v>-2.03</v>
      </c>
      <c r="V10" s="32" t="n">
        <v>-2.31</v>
      </c>
      <c r="W10" s="32" t="n">
        <v>4.6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23</t>
        </is>
      </c>
      <c r="CC10" s="31">
        <f>IF(CB10&gt;20,10,IF(CB10&gt;=10,5,2))</f>
        <v/>
      </c>
    </row>
    <row r="11">
      <c r="A11" s="31">
        <f>IF(B11=0,"",RANK(B11,$B$2:$B$16,0))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CGCL</t>
        </is>
      </c>
      <c r="D11" s="31" t="inlineStr">
        <is>
          <t>Capri Global Capital Ltd</t>
        </is>
      </c>
      <c r="E11" s="31" t="inlineStr">
        <is>
          <t>financials</t>
        </is>
      </c>
      <c r="F11" s="31" t="inlineStr">
        <is>
          <t>Finance &amp; Investments - Gold Loan</t>
        </is>
      </c>
      <c r="G11" s="31" t="inlineStr">
        <is>
          <t>largecap</t>
        </is>
      </c>
      <c r="H11" s="32" t="n">
        <v>23620.88</v>
      </c>
      <c r="I11" s="32" t="n">
        <v>245.5</v>
      </c>
      <c r="J11" s="32" t="n">
        <v>3.05</v>
      </c>
      <c r="K11" s="32" t="n">
        <v>0</v>
      </c>
      <c r="L11" s="31" t="n">
        <v>61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66.13</v>
      </c>
      <c r="P11" s="32" t="n">
        <v>37.77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0.29</v>
      </c>
      <c r="U11" s="32" t="n">
        <v>30.29</v>
      </c>
      <c r="V11" s="32" t="n">
        <v>29.91</v>
      </c>
      <c r="W11" s="32" t="n">
        <v>12.64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18</t>
        </is>
      </c>
      <c r="CC11" s="31">
        <f>IF(CB11&gt;20,10,IF(CB11&gt;=10,5,2))</f>
        <v/>
      </c>
    </row>
    <row r="12">
      <c r="A12" s="31">
        <f>IF(B12=0,"",RANK(B12,$B$2:$B$16,0))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KARURVYSYA</t>
        </is>
      </c>
      <c r="D12" s="31" t="inlineStr">
        <is>
          <t>Karur Vysya Bank Ltd</t>
        </is>
      </c>
      <c r="E12" s="31" t="inlineStr">
        <is>
          <t>bank</t>
        </is>
      </c>
      <c r="F12" s="31" t="inlineStr">
        <is>
          <t>Banks - Private</t>
        </is>
      </c>
      <c r="G12" s="31" t="inlineStr">
        <is>
          <t>largecap</t>
        </is>
      </c>
      <c r="H12" s="32" t="n">
        <v>32814.45</v>
      </c>
      <c r="I12" s="32" t="n">
        <v>339.5</v>
      </c>
      <c r="J12" s="32" t="n">
        <v>0.18</v>
      </c>
      <c r="K12" s="32" t="n">
        <v>0</v>
      </c>
      <c r="L12" s="31" t="n">
        <v>62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69.56</v>
      </c>
      <c r="P12" s="32" t="n">
        <v>17.16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0.29</v>
      </c>
      <c r="U12" s="32" t="n">
        <v>58.85</v>
      </c>
      <c r="V12" s="32" t="n">
        <v>58.39</v>
      </c>
      <c r="W12" s="32" t="n">
        <v>12.95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24</t>
        </is>
      </c>
      <c r="CC12" s="31">
        <f>IF(CB12&gt;20,10,IF(CB12&gt;=10,5,2))</f>
        <v/>
      </c>
    </row>
    <row r="13">
      <c r="A13" s="31">
        <f>IF(B13=0,"",RANK(B13,$B$2:$B$16,0))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SHAREINDIA</t>
        </is>
      </c>
      <c r="D13" s="31" t="inlineStr">
        <is>
          <t>Share India Securities Ltd</t>
        </is>
      </c>
      <c r="E13" s="31" t="inlineStr">
        <is>
          <t>financials</t>
        </is>
      </c>
      <c r="F13" s="31" t="inlineStr">
        <is>
          <t>Finance - Capital Markets - Brokers</t>
        </is>
      </c>
      <c r="G13" s="31" t="inlineStr">
        <is>
          <t>smallcap</t>
        </is>
      </c>
      <c r="H13" s="32" t="n">
        <v>4084.82</v>
      </c>
      <c r="I13" s="32" t="n">
        <v>186.67</v>
      </c>
      <c r="J13" s="32" t="n">
        <v>-2.56</v>
      </c>
      <c r="K13" s="32" t="n">
        <v>0</v>
      </c>
      <c r="L13" s="31" t="n">
        <v>56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69.79000000000001</v>
      </c>
      <c r="P13" s="32" t="n">
        <v>18.67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0.29</v>
      </c>
      <c r="U13" s="32" t="n">
        <v>12.2</v>
      </c>
      <c r="V13" s="32" t="n">
        <v>11.88</v>
      </c>
      <c r="W13" s="32" t="n">
        <v>10.95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19</t>
        </is>
      </c>
      <c r="CC13" s="31">
        <f>IF(CB13&gt;20,10,IF(CB13&gt;=10,5,2))</f>
        <v/>
      </c>
    </row>
    <row r="14">
      <c r="A14" s="31">
        <f>IF(B14=0,"",RANK(B14,$B$2:$B$16,0))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OFSS</t>
        </is>
      </c>
      <c r="D14" s="31" t="inlineStr">
        <is>
          <t>Oracle Financial Services Software Ltd</t>
        </is>
      </c>
      <c r="E14" s="31" t="inlineStr">
        <is>
          <t>Technology</t>
        </is>
      </c>
      <c r="F14" s="31" t="inlineStr">
        <is>
          <t>IT Product Companies</t>
        </is>
      </c>
      <c r="G14" s="31" t="inlineStr">
        <is>
          <t>largecap</t>
        </is>
      </c>
      <c r="H14" s="32" t="n">
        <v>96636.39999999999</v>
      </c>
      <c r="I14" s="32" t="n">
        <v>11098</v>
      </c>
      <c r="J14" s="32" t="n">
        <v>4.19</v>
      </c>
      <c r="K14" s="32" t="n">
        <v>0</v>
      </c>
      <c r="L14" s="31" t="n">
        <v>54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62.44</v>
      </c>
      <c r="P14" s="32" t="n">
        <v>33.81</v>
      </c>
      <c r="Q14" s="32" t="inlineStr"/>
      <c r="R14" s="31" t="inlineStr">
        <is>
          <t>Earnings / Momentum Support</t>
        </is>
      </c>
      <c r="S14" s="31" t="inlineStr">
        <is>
          <t>Nifty IT</t>
        </is>
      </c>
      <c r="T14" s="32" t="n">
        <v>-19.25</v>
      </c>
      <c r="U14" s="32" t="n">
        <v>29.25</v>
      </c>
      <c r="V14" s="32" t="n">
        <v>60.05</v>
      </c>
      <c r="W14" s="32" t="n">
        <v>10.24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above 5x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21</t>
        </is>
      </c>
      <c r="CC14" s="31">
        <f>IF(CB14&gt;20,10,IF(CB14&gt;=10,5,2))</f>
        <v/>
      </c>
    </row>
    <row r="15">
      <c r="A15" s="31">
        <f>IF(B15=0,"",RANK(B15,$B$2:$B$16,0))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TVSHLTD</t>
        </is>
      </c>
      <c r="D15" s="31" t="inlineStr">
        <is>
          <t>TVS Holdings Ltd</t>
        </is>
      </c>
      <c r="E15" s="31" t="inlineStr">
        <is>
          <t>financials</t>
        </is>
      </c>
      <c r="F15" s="31" t="inlineStr">
        <is>
          <t>Finance - Holding Company</t>
        </is>
      </c>
      <c r="G15" s="31" t="inlineStr">
        <is>
          <t>largecap</t>
        </is>
      </c>
      <c r="H15" s="32" t="n">
        <v>29720.96</v>
      </c>
      <c r="I15" s="32" t="n">
        <v>14690</v>
      </c>
      <c r="J15" s="32" t="n">
        <v>0.39</v>
      </c>
      <c r="K15" s="32" t="n">
        <v>0</v>
      </c>
      <c r="L15" s="31" t="n">
        <v>33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58.43</v>
      </c>
      <c r="P15" s="32" t="n">
        <v>14.01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0.29</v>
      </c>
      <c r="U15" s="32" t="n">
        <v>22.99</v>
      </c>
      <c r="V15" s="32" t="n">
        <v>22.63</v>
      </c>
      <c r="W15" s="32" t="n">
        <v>5.49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25</t>
        </is>
      </c>
      <c r="CC15" s="31">
        <f>IF(CB15&gt;20,10,IF(CB15&gt;=10,5,2))</f>
        <v/>
      </c>
    </row>
    <row r="16">
      <c r="A16" s="31">
        <f>IF(B16=0,"",RANK(B16,$B$2:$B$16,0))</f>
        <v/>
      </c>
      <c r="B16" s="32">
        <f>SUM(N16,Y16,AA16,AC16,AE16,AG16,AI16,AK16,AM16,AO16,AQ16,AS16,AU16,AW16,AY16,BA16,BC16,BE16,BG16,BI16,BK16,BM16,BO16,BQ16,BS16,BU16,BW16,BY16,CA16,CC16)</f>
        <v/>
      </c>
      <c r="C16" s="31" t="inlineStr">
        <is>
          <t>POONAWALLA</t>
        </is>
      </c>
      <c r="D16" s="31" t="inlineStr">
        <is>
          <t>Poonawalla Fincorp Ltd</t>
        </is>
      </c>
      <c r="E16" s="31" t="inlineStr">
        <is>
          <t>financials</t>
        </is>
      </c>
      <c r="F16" s="31" t="inlineStr">
        <is>
          <t>Conglomerate Backed NBFC</t>
        </is>
      </c>
      <c r="G16" s="31" t="inlineStr">
        <is>
          <t>largecap</t>
        </is>
      </c>
      <c r="H16" s="32" t="n">
        <v>41507.34</v>
      </c>
      <c r="I16" s="32" t="n">
        <v>471.4</v>
      </c>
      <c r="J16" s="32" t="n">
        <v>2.55</v>
      </c>
      <c r="K16" s="32" t="n">
        <v>0</v>
      </c>
      <c r="L16" s="31" t="n">
        <v>29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55.94</v>
      </c>
      <c r="P16" s="32" t="n">
        <v>13.43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0.29</v>
      </c>
      <c r="U16" s="32" t="n">
        <v>11.23</v>
      </c>
      <c r="V16" s="32" t="n">
        <v>10.9</v>
      </c>
      <c r="W16" s="32" t="n">
        <v>4.8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19</t>
        </is>
      </c>
      <c r="CC16" s="31">
        <f>IF(CB16&gt;20,10,IF(CB16&gt;=10,5,2))</f>
        <v/>
      </c>
    </row>
  </sheetData>
  <autoFilter ref="A1:CC16"/>
  <conditionalFormatting sqref="B2:B1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6">
    <cfRule type="cellIs" priority="35" operator="equal" dxfId="3" stopIfTrue="1">
      <formula>"Underperforming"</formula>
    </cfRule>
  </conditionalFormatting>
  <conditionalFormatting sqref="N2:N16">
    <cfRule type="cellIs" priority="36" operator="equal" dxfId="3" stopIfTrue="1">
      <formula>-5</formula>
    </cfRule>
  </conditionalFormatting>
  <conditionalFormatting sqref="Q2:Q1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6" showDropDown="0" showInputMessage="0" showErrorMessage="0" allowBlank="1" type="list">
      <formula1>"Growing Industry,Stagnant Industry,Cyclical in an Upturn"</formula1>
    </dataValidation>
    <dataValidation sqref="Z2:Z16" showDropDown="0" showInputMessage="0" showErrorMessage="0" allowBlank="1" type="list">
      <formula1>"Fragmented with Low ROE,Fragmented with High ROE,Highly Cyclical"</formula1>
    </dataValidation>
    <dataValidation sqref="AB2:AB16" showDropDown="0" showInputMessage="0" showErrorMessage="0" allowBlank="1" type="list">
      <formula1>"Yes,No"</formula1>
    </dataValidation>
    <dataValidation sqref="AD2:AD16" showDropDown="0" showInputMessage="0" showErrorMessage="0" allowBlank="1" type="list">
      <formula1>"Tailwind,Headwind"</formula1>
    </dataValidation>
    <dataValidation sqref="AF2:AF1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6" showDropDown="0" showInputMessage="0" showErrorMessage="0" allowBlank="1" type="list">
      <formula1>"Yes,No"</formula1>
    </dataValidation>
    <dataValidation sqref="AJ2:AJ16" showDropDown="0" showInputMessage="0" showErrorMessage="0" allowBlank="1" type="list">
      <formula1>"Yes,No,Not Applicable"</formula1>
    </dataValidation>
    <dataValidation sqref="AL2:AL16" showDropDown="0" showInputMessage="0" showErrorMessage="0" allowBlank="1" type="list">
      <formula1>"Yes,No"</formula1>
    </dataValidation>
    <dataValidation sqref="AN2:AN16" showDropDown="0" showInputMessage="0" showErrorMessage="0" allowBlank="1" type="list">
      <formula1>"Yes,No"</formula1>
    </dataValidation>
    <dataValidation sqref="AP2:AP16" showDropDown="0" showInputMessage="0" showErrorMessage="0" allowBlank="1" type="list">
      <formula1>"Yes,No"</formula1>
    </dataValidation>
    <dataValidation sqref="AR2:AR16" showDropDown="0" showInputMessage="0" showErrorMessage="0" allowBlank="1" type="list">
      <formula1>"Yes,No"</formula1>
    </dataValidation>
    <dataValidation sqref="AT2:AT16" showDropDown="0" showInputMessage="0" showErrorMessage="0" allowBlank="1" type="list">
      <formula1>"No,Yes"</formula1>
    </dataValidation>
    <dataValidation sqref="AV2:AV16" showDropDown="0" showInputMessage="0" showErrorMessage="0" allowBlank="1" type="list">
      <formula1>"No,Yes"</formula1>
    </dataValidation>
    <dataValidation sqref="AX2:AX16" showDropDown="0" showInputMessage="0" showErrorMessage="0" allowBlank="1" type="list">
      <formula1>"No,Yes CEO Resignation,Yes CEO Retirement"</formula1>
    </dataValidation>
    <dataValidation sqref="AZ2:AZ16" showDropDown="0" showInputMessage="0" showErrorMessage="0" allowBlank="1" type="list">
      <formula1>"No,Yes"</formula1>
    </dataValidation>
    <dataValidation sqref="BB2:BB16" showDropDown="0" showInputMessage="0" showErrorMessage="0" allowBlank="1" type="list">
      <formula1>"No,Yes"</formula1>
    </dataValidation>
    <dataValidation sqref="BD2:BD16" showDropDown="0" showInputMessage="0" showErrorMessage="0" allowBlank="1" type="list">
      <formula1>"Yes,No"</formula1>
    </dataValidation>
    <dataValidation sqref="BF2:BF16" showDropDown="0" showInputMessage="0" showErrorMessage="0" allowBlank="1" type="list">
      <formula1>"Yes,No"</formula1>
    </dataValidation>
    <dataValidation sqref="BH2:BH16" showDropDown="0" showInputMessage="0" showErrorMessage="0" allowBlank="1" type="list">
      <formula1>"Yes,No"</formula1>
    </dataValidation>
    <dataValidation sqref="BJ2:BJ1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6" showDropDown="0" showInputMessage="0" showErrorMessage="0" allowBlank="1" type="list">
      <formula1>"Above 40,20 to 40,0 to 20"</formula1>
    </dataValidation>
    <dataValidation sqref="BN2:BN16" showDropDown="0" showInputMessage="0" showErrorMessage="0" allowBlank="1" type="list">
      <formula1>"Between 50 to 75,Above 75,Below 45"</formula1>
    </dataValidation>
    <dataValidation sqref="BP2:BP16" showDropDown="0" showInputMessage="0" showErrorMessage="0" allowBlank="1" type="list">
      <formula1>"Stage 1,Stage 2,Stage 3,Stage 4"</formula1>
    </dataValidation>
    <dataValidation sqref="BR2:BR16" showDropDown="0" showInputMessage="0" showErrorMessage="0" allowBlank="1" type="list">
      <formula1>"Positive Trend,Negative Trend"</formula1>
    </dataValidation>
    <dataValidation sqref="BT2:BT16" showDropDown="0" showInputMessage="0" showErrorMessage="0" allowBlank="1" type="list">
      <formula1>"Uptrend,Sideways,Downtrend"</formula1>
    </dataValidation>
    <dataValidation sqref="BV2:BV16" showDropDown="0" showInputMessage="0" showErrorMessage="0" allowBlank="1" type="list">
      <formula1>"Uptrend,Sideways,Downtrend"</formula1>
    </dataValidation>
    <dataValidation sqref="BX2:BX1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2026-07-27T13:24:15Z</dcterms:created>
  <dcterms:modified xmlns:dcterms="http://purl.org/dc/terms/" xmlns:xsi="http://www.w3.org/2001/XMLSchema-instance" xsi:type="dcterms:W3CDTF">2026-07-27T13:26:52Z</dcterms:modified>
</cp:coreProperties>
</file>