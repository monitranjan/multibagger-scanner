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Universe'!$A$1:$J$480</definedName>
    <definedName name="_xlnm._FilterDatabase" localSheetId="3" hidden="1">'Confluence Overlap'!$A$1:$K$93</definedName>
    <definedName name="_xlnm._FilterDatabase" localSheetId="4" hidden="1">'Monit Non Financial'!$A$1:$CE$400</definedName>
    <definedName name="_xlnm._FilterDatabase" localSheetId="5" hidden="1">'Monit Banks NBFC'!$A$1:$CA$81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Financial'!$A$1:$CG$96</definedName>
    <definedName name="_xlnm._FilterDatabase" localSheetId="9" hidden="1">'Scan Match Banks NBFC'!$A$1:$CC$6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18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5" customWidth="1" min="2" max="2"/>
    <col width="25" customWidth="1" min="3" max="3"/>
    <col width="41" customWidth="1" min="4" max="4"/>
    <col width="22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450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60</v>
      </c>
      <c r="G6" s="19" t="n">
        <v>13061.97</v>
      </c>
      <c r="H6" s="18" t="inlineStr">
        <is>
          <t>Potential Leader</t>
        </is>
      </c>
      <c r="J6" s="18" t="inlineStr">
        <is>
          <t>financials</t>
        </is>
      </c>
      <c r="K6" s="16" t="n">
        <v>196</v>
      </c>
      <c r="L6" s="16" t="n">
        <v>74</v>
      </c>
      <c r="M6" s="20" t="inlineStr">
        <is>
          <t>164.9%</t>
        </is>
      </c>
    </row>
    <row r="7">
      <c r="A7" s="16" t="n">
        <v>2</v>
      </c>
      <c r="B7" s="17" t="n">
        <v>438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58</v>
      </c>
      <c r="G7" s="19" t="n">
        <v>5023.39</v>
      </c>
      <c r="H7" s="18" t="inlineStr">
        <is>
          <t>Potential Leader</t>
        </is>
      </c>
      <c r="J7" s="18" t="inlineStr">
        <is>
          <t>telecom</t>
        </is>
      </c>
      <c r="K7" s="16" t="n">
        <v>9</v>
      </c>
      <c r="L7" s="16" t="n">
        <v>4</v>
      </c>
      <c r="M7" s="20" t="inlineStr">
        <is>
          <t>125.0%</t>
        </is>
      </c>
    </row>
    <row r="8">
      <c r="A8" s="16" t="n">
        <v>3</v>
      </c>
      <c r="B8" s="17" t="n">
        <v>438</v>
      </c>
      <c r="C8" s="17" t="inlineStr">
        <is>
          <t>DEEDEV</t>
        </is>
      </c>
      <c r="D8" s="18" t="inlineStr">
        <is>
          <t>DEE Development Engineers Ltd</t>
        </is>
      </c>
      <c r="E8" s="18" t="inlineStr">
        <is>
          <t>metals &amp; mining</t>
        </is>
      </c>
      <c r="F8" s="16" t="n">
        <v>58</v>
      </c>
      <c r="G8" s="19" t="n">
        <v>5116.83</v>
      </c>
      <c r="H8" s="18" t="inlineStr">
        <is>
          <t>Potential Leader</t>
        </is>
      </c>
      <c r="J8" s="18" t="inlineStr">
        <is>
          <t>bank</t>
        </is>
      </c>
      <c r="K8" s="16" t="n">
        <v>121</v>
      </c>
      <c r="L8" s="16" t="n">
        <v>56</v>
      </c>
      <c r="M8" s="20" t="inlineStr">
        <is>
          <t>116.1%</t>
        </is>
      </c>
    </row>
    <row r="9">
      <c r="A9" s="16" t="n">
        <v>4</v>
      </c>
      <c r="B9" s="17" t="n">
        <v>432</v>
      </c>
      <c r="C9" s="17" t="inlineStr">
        <is>
          <t>ARVIND</t>
        </is>
      </c>
      <c r="D9" s="18" t="inlineStr">
        <is>
          <t>Arvind Limited</t>
        </is>
      </c>
      <c r="E9" s="18" t="inlineStr">
        <is>
          <t>textiles</t>
        </is>
      </c>
      <c r="F9" s="16" t="n">
        <v>57</v>
      </c>
      <c r="G9" s="19" t="n">
        <v>13053.31</v>
      </c>
      <c r="H9" s="18" t="inlineStr">
        <is>
          <t>Potential Leader</t>
        </is>
      </c>
      <c r="J9" s="18" t="inlineStr">
        <is>
          <t>building materials</t>
        </is>
      </c>
      <c r="K9" s="16" t="n">
        <v>61</v>
      </c>
      <c r="L9" s="16" t="n">
        <v>33</v>
      </c>
      <c r="M9" s="20" t="inlineStr">
        <is>
          <t>84.8%</t>
        </is>
      </c>
    </row>
    <row r="10">
      <c r="A10" s="16" t="n">
        <v>5</v>
      </c>
      <c r="B10" s="17" t="n">
        <v>432</v>
      </c>
      <c r="C10" s="17" t="inlineStr">
        <is>
          <t>NITINSPIN</t>
        </is>
      </c>
      <c r="D10" s="18" t="inlineStr">
        <is>
          <t>Nitin Spinners Limited</t>
        </is>
      </c>
      <c r="E10" s="18" t="inlineStr">
        <is>
          <t>textiles</t>
        </is>
      </c>
      <c r="F10" s="16" t="n">
        <v>57</v>
      </c>
      <c r="G10" s="19" t="n">
        <v>3078.61</v>
      </c>
      <c r="H10" s="18" t="inlineStr">
        <is>
          <t>Potential Leader</t>
        </is>
      </c>
      <c r="J10" s="18" t="inlineStr">
        <is>
          <t>chemicals</t>
        </is>
      </c>
      <c r="K10" s="16" t="n">
        <v>113</v>
      </c>
      <c r="L10" s="16" t="n">
        <v>63</v>
      </c>
      <c r="M10" s="20" t="inlineStr">
        <is>
          <t>79.4%</t>
        </is>
      </c>
    </row>
    <row r="11">
      <c r="A11" s="16" t="n">
        <v>6</v>
      </c>
      <c r="B11" s="17" t="n">
        <v>432</v>
      </c>
      <c r="C11" s="17" t="inlineStr">
        <is>
          <t>WELCORP</t>
        </is>
      </c>
      <c r="D11" s="18" t="inlineStr">
        <is>
          <t>Welspun Corp Limited</t>
        </is>
      </c>
      <c r="E11" s="18" t="inlineStr">
        <is>
          <t>industrials</t>
        </is>
      </c>
      <c r="F11" s="16" t="n">
        <v>57</v>
      </c>
      <c r="G11" s="19" t="n">
        <v>36780.33</v>
      </c>
      <c r="H11" s="18" t="inlineStr">
        <is>
          <t>Potential Leader</t>
        </is>
      </c>
      <c r="J11" s="18" t="inlineStr">
        <is>
          <t>transportation</t>
        </is>
      </c>
      <c r="K11" s="16" t="n">
        <v>30</v>
      </c>
      <c r="L11" s="16" t="n">
        <v>17</v>
      </c>
      <c r="M11" s="20" t="inlineStr">
        <is>
          <t>76.5%</t>
        </is>
      </c>
    </row>
    <row r="12">
      <c r="A12" s="16" t="n">
        <v>7</v>
      </c>
      <c r="B12" s="17" t="n">
        <v>426</v>
      </c>
      <c r="C12" s="17" t="inlineStr">
        <is>
          <t>BAJAJCON</t>
        </is>
      </c>
      <c r="D12" s="18" t="inlineStr">
        <is>
          <t>Bajaj Consumer Care Ltd</t>
        </is>
      </c>
      <c r="E12" s="18" t="inlineStr">
        <is>
          <t>fmcg</t>
        </is>
      </c>
      <c r="F12" s="16" t="n">
        <v>56</v>
      </c>
      <c r="G12" s="19" t="n">
        <v>7874.33</v>
      </c>
      <c r="H12" s="18" t="inlineStr">
        <is>
          <t>Potential Leader</t>
        </is>
      </c>
      <c r="J12" s="18" t="inlineStr">
        <is>
          <t>realty</t>
        </is>
      </c>
      <c r="K12" s="16" t="n">
        <v>98</v>
      </c>
      <c r="L12" s="16" t="n">
        <v>56</v>
      </c>
      <c r="M12" s="20" t="inlineStr">
        <is>
          <t>75.0%</t>
        </is>
      </c>
    </row>
    <row r="13">
      <c r="A13" s="16" t="n">
        <v>8</v>
      </c>
      <c r="B13" s="17" t="n">
        <v>426</v>
      </c>
      <c r="C13" s="17" t="inlineStr">
        <is>
          <t>STLTECH</t>
        </is>
      </c>
      <c r="D13" s="18" t="inlineStr">
        <is>
          <t>Sterlite Technologies Limited</t>
        </is>
      </c>
      <c r="E13" s="18" t="inlineStr">
        <is>
          <t>industrials</t>
        </is>
      </c>
      <c r="F13" s="16" t="n">
        <v>56</v>
      </c>
      <c r="G13" s="19" t="n">
        <v>30098.25</v>
      </c>
      <c r="H13" s="18" t="inlineStr">
        <is>
          <t>Potential Leader</t>
        </is>
      </c>
      <c r="J13" s="18" t="inlineStr">
        <is>
          <t>metals &amp; mining</t>
        </is>
      </c>
      <c r="K13" s="16" t="n">
        <v>89</v>
      </c>
      <c r="L13" s="16" t="n">
        <v>54</v>
      </c>
      <c r="M13" s="20" t="inlineStr">
        <is>
          <t>64.8%</t>
        </is>
      </c>
    </row>
    <row r="14">
      <c r="A14" s="16" t="n">
        <v>9</v>
      </c>
      <c r="B14" s="17" t="n">
        <v>426</v>
      </c>
      <c r="C14" s="17" t="inlineStr">
        <is>
          <t>STYLAMIND</t>
        </is>
      </c>
      <c r="D14" s="18" t="inlineStr">
        <is>
          <t>Stylam Industries Ltd</t>
        </is>
      </c>
      <c r="E14" s="18" t="inlineStr">
        <is>
          <t>building materials</t>
        </is>
      </c>
      <c r="F14" s="16" t="n">
        <v>56</v>
      </c>
      <c r="G14" s="19" t="n">
        <v>5582.52</v>
      </c>
      <c r="H14" s="18" t="inlineStr">
        <is>
          <t>Potential Leader</t>
        </is>
      </c>
      <c r="J14" s="18" t="inlineStr">
        <is>
          <t>industrials</t>
        </is>
      </c>
      <c r="K14" s="16" t="n">
        <v>306</v>
      </c>
      <c r="L14" s="16" t="n">
        <v>190</v>
      </c>
      <c r="M14" s="20" t="inlineStr">
        <is>
          <t>61.1%</t>
        </is>
      </c>
    </row>
    <row r="15">
      <c r="A15" s="16" t="n">
        <v>10</v>
      </c>
      <c r="B15" s="17" t="n">
        <v>414</v>
      </c>
      <c r="C15" s="17" t="inlineStr">
        <is>
          <t>ADANIGREEN</t>
        </is>
      </c>
      <c r="D15" s="18" t="inlineStr">
        <is>
          <t>Adani Green Energy Ltd</t>
        </is>
      </c>
      <c r="E15" s="18" t="inlineStr">
        <is>
          <t>power &amp; utilities</t>
        </is>
      </c>
      <c r="F15" s="16" t="n">
        <v>54</v>
      </c>
      <c r="G15" s="19" t="n">
        <v>241443.08</v>
      </c>
      <c r="H15" s="18" t="inlineStr">
        <is>
          <t>Potential Leader</t>
        </is>
      </c>
      <c r="J15" s="18" t="inlineStr">
        <is>
          <t>services</t>
        </is>
      </c>
      <c r="K15" s="16" t="n">
        <v>65</v>
      </c>
      <c r="L15" s="16" t="n">
        <v>42</v>
      </c>
      <c r="M15" s="20" t="inlineStr">
        <is>
          <t>54.8%</t>
        </is>
      </c>
    </row>
    <row r="16">
      <c r="A16" s="16" t="n">
        <v>11</v>
      </c>
      <c r="B16" s="17" t="n">
        <v>414</v>
      </c>
      <c r="C16" s="17" t="inlineStr">
        <is>
          <t>APCOTEXIND</t>
        </is>
      </c>
      <c r="D16" s="18" t="inlineStr">
        <is>
          <t>Apcotex Industries Limited</t>
        </is>
      </c>
      <c r="E16" s="18" t="inlineStr">
        <is>
          <t>chemicals</t>
        </is>
      </c>
      <c r="F16" s="16" t="n">
        <v>54</v>
      </c>
      <c r="G16" s="19" t="n">
        <v>2710.45</v>
      </c>
      <c r="H16" s="18" t="inlineStr">
        <is>
          <t>Potential Leader</t>
        </is>
      </c>
      <c r="J16" s="18" t="inlineStr">
        <is>
          <t>consumer discretionary</t>
        </is>
      </c>
      <c r="K16" s="16" t="n">
        <v>136</v>
      </c>
      <c r="L16" s="16" t="n">
        <v>90</v>
      </c>
      <c r="M16" s="20" t="inlineStr">
        <is>
          <t>51.1%</t>
        </is>
      </c>
    </row>
    <row r="17">
      <c r="A17" s="16" t="n">
        <v>12</v>
      </c>
      <c r="B17" s="17" t="n">
        <v>414</v>
      </c>
      <c r="C17" s="17" t="inlineStr">
        <is>
          <t>SHILPAMED</t>
        </is>
      </c>
      <c r="D17" s="18" t="inlineStr">
        <is>
          <t>Shilpa Medicare Limited</t>
        </is>
      </c>
      <c r="E17" s="18" t="inlineStr">
        <is>
          <t>healthcare</t>
        </is>
      </c>
      <c r="F17" s="16" t="n">
        <v>54</v>
      </c>
      <c r="G17" s="19" t="n">
        <v>11195.1</v>
      </c>
      <c r="H17" s="18" t="inlineStr">
        <is>
          <t>Potential Leader</t>
        </is>
      </c>
      <c r="J17" s="18" t="inlineStr">
        <is>
          <t>auto</t>
        </is>
      </c>
      <c r="K17" s="16" t="n">
        <v>153</v>
      </c>
      <c r="L17" s="16" t="n">
        <v>108</v>
      </c>
      <c r="M17" s="20" t="inlineStr">
        <is>
          <t>41.7%</t>
        </is>
      </c>
    </row>
    <row r="18">
      <c r="A18" s="16" t="n">
        <v>13</v>
      </c>
      <c r="B18" s="17" t="n">
        <v>402</v>
      </c>
      <c r="C18" s="17" t="inlineStr">
        <is>
          <t>BBOX</t>
        </is>
      </c>
      <c r="D18" s="18" t="inlineStr">
        <is>
          <t>Black Box Ltd</t>
        </is>
      </c>
      <c r="E18" s="18" t="inlineStr">
        <is>
          <t>i.t</t>
        </is>
      </c>
      <c r="F18" s="16" t="n">
        <v>52</v>
      </c>
      <c r="G18" s="19" t="n">
        <v>18072.57</v>
      </c>
      <c r="H18" s="18" t="inlineStr">
        <is>
          <t>Potential Leader</t>
        </is>
      </c>
      <c r="J18" s="18" t="inlineStr">
        <is>
          <t>i.t</t>
        </is>
      </c>
      <c r="K18" s="16" t="n">
        <v>73</v>
      </c>
      <c r="L18" s="16" t="n">
        <v>56</v>
      </c>
      <c r="M18" s="20" t="inlineStr">
        <is>
          <t>30.4%</t>
        </is>
      </c>
    </row>
    <row r="19">
      <c r="A19" s="16" t="n">
        <v>14</v>
      </c>
      <c r="B19" s="17" t="n">
        <v>402</v>
      </c>
      <c r="C19" s="17" t="inlineStr">
        <is>
          <t>GVPIL</t>
        </is>
      </c>
      <c r="D19" s="18" t="inlineStr">
        <is>
          <t>GE Power India Ltd</t>
        </is>
      </c>
      <c r="E19" s="18" t="inlineStr">
        <is>
          <t>realty</t>
        </is>
      </c>
      <c r="F19" s="16" t="n">
        <v>52</v>
      </c>
      <c r="G19" s="19" t="n">
        <v>7093.84</v>
      </c>
      <c r="H19" s="18" t="inlineStr">
        <is>
          <t>Potential Leader</t>
        </is>
      </c>
      <c r="J19" s="18" t="inlineStr">
        <is>
          <t>fmcg</t>
        </is>
      </c>
      <c r="K19" s="16" t="n">
        <v>95</v>
      </c>
      <c r="L19" s="16" t="n">
        <v>75</v>
      </c>
      <c r="M19" s="20" t="inlineStr">
        <is>
          <t>26.7%</t>
        </is>
      </c>
    </row>
    <row r="20">
      <c r="A20" s="16" t="n">
        <v>15</v>
      </c>
      <c r="B20" s="17" t="n">
        <v>390</v>
      </c>
      <c r="C20" s="17" t="inlineStr">
        <is>
          <t>NINSYS</t>
        </is>
      </c>
      <c r="D20" s="18" t="inlineStr">
        <is>
          <t>NINtec Systems Ltd</t>
        </is>
      </c>
      <c r="E20" s="18" t="inlineStr">
        <is>
          <t>i.t</t>
        </is>
      </c>
      <c r="F20" s="16" t="n">
        <v>50</v>
      </c>
      <c r="G20" s="19" t="n">
        <v>1286.11</v>
      </c>
      <c r="H20" s="18" t="inlineStr">
        <is>
          <t>Potential Leader</t>
        </is>
      </c>
      <c r="J20" s="18" t="inlineStr">
        <is>
          <t>aerospace &amp; defence</t>
        </is>
      </c>
      <c r="K20" s="16" t="n">
        <v>67</v>
      </c>
      <c r="L20" s="16" t="n">
        <v>53</v>
      </c>
      <c r="M20" s="20" t="inlineStr">
        <is>
          <t>26.4%</t>
        </is>
      </c>
    </row>
    <row r="21">
      <c r="A21" s="16" t="n">
        <v>16</v>
      </c>
      <c r="B21" s="17" t="n">
        <v>390</v>
      </c>
      <c r="C21" s="17" t="inlineStr">
        <is>
          <t>POLYCAB</t>
        </is>
      </c>
      <c r="D21" s="18" t="inlineStr">
        <is>
          <t>Polycab India Ltd</t>
        </is>
      </c>
      <c r="E21" s="18" t="inlineStr">
        <is>
          <t>industrials</t>
        </is>
      </c>
      <c r="F21" s="16" t="n">
        <v>50</v>
      </c>
      <c r="G21" s="19" t="n">
        <v>149443.96</v>
      </c>
      <c r="H21" s="18" t="inlineStr">
        <is>
          <t>Potential Leader</t>
        </is>
      </c>
    </row>
    <row r="22">
      <c r="A22" s="16" t="n">
        <v>17</v>
      </c>
      <c r="B22" s="17" t="n">
        <v>384</v>
      </c>
      <c r="C22" s="17" t="inlineStr">
        <is>
          <t>NRBBEARING</t>
        </is>
      </c>
      <c r="D22" s="18" t="inlineStr">
        <is>
          <t>Nrb Bearing Limited</t>
        </is>
      </c>
      <c r="E22" s="18" t="inlineStr">
        <is>
          <t>industrials</t>
        </is>
      </c>
      <c r="F22" s="16" t="n">
        <v>49</v>
      </c>
      <c r="G22" s="19" t="n">
        <v>4076.56</v>
      </c>
      <c r="H22" s="18" t="inlineStr">
        <is>
          <t>Potential Leader</t>
        </is>
      </c>
    </row>
    <row r="23">
      <c r="A23" s="16" t="n">
        <v>18</v>
      </c>
      <c r="B23" s="17" t="n">
        <v>384</v>
      </c>
      <c r="C23" s="17" t="inlineStr">
        <is>
          <t>SIGMAADV</t>
        </is>
      </c>
      <c r="D23" s="18" t="inlineStr">
        <is>
          <t>Sigma Advanced System Ltd</t>
        </is>
      </c>
      <c r="E23" s="18" t="inlineStr">
        <is>
          <t>aerospace &amp; defence</t>
        </is>
      </c>
      <c r="F23" s="16" t="n">
        <v>49</v>
      </c>
      <c r="G23" s="19" t="n">
        <v>8393.42</v>
      </c>
      <c r="H23" s="18" t="inlineStr">
        <is>
          <t>Potential Leader</t>
        </is>
      </c>
    </row>
    <row r="24">
      <c r="A24" s="16" t="n">
        <v>19</v>
      </c>
      <c r="B24" s="17" t="n">
        <v>384</v>
      </c>
      <c r="C24" s="17" t="inlineStr">
        <is>
          <t>TALBROAUTO</t>
        </is>
      </c>
      <c r="D24" s="18" t="inlineStr">
        <is>
          <t>Talbros Automotive Components Limited</t>
        </is>
      </c>
      <c r="E24" s="18" t="inlineStr">
        <is>
          <t>auto</t>
        </is>
      </c>
      <c r="F24" s="16" t="n">
        <v>49</v>
      </c>
      <c r="G24" s="19" t="n">
        <v>2212.34</v>
      </c>
      <c r="H24" s="18" t="inlineStr">
        <is>
          <t>Potential Leader</t>
        </is>
      </c>
    </row>
    <row r="25">
      <c r="A25" s="16" t="n">
        <v>20</v>
      </c>
      <c r="B25" s="17" t="n">
        <v>366</v>
      </c>
      <c r="C25" s="17" t="inlineStr">
        <is>
          <t>SIS</t>
        </is>
      </c>
      <c r="D25" s="18" t="inlineStr">
        <is>
          <t>Security &amp; Intelligence Services India</t>
        </is>
      </c>
      <c r="E25" s="18" t="inlineStr">
        <is>
          <t>miscellaneous</t>
        </is>
      </c>
      <c r="F25" s="16" t="n">
        <v>46</v>
      </c>
      <c r="G25" s="19" t="n">
        <v>6023.84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BHAGERIA</t>
        </is>
      </c>
      <c r="B30" s="18" t="inlineStr">
        <is>
          <t>Bhageria Industries Limited</t>
        </is>
      </c>
      <c r="C30" s="18" t="inlineStr">
        <is>
          <t>chemicals</t>
        </is>
      </c>
      <c r="D30" s="16" t="n">
        <v>10</v>
      </c>
      <c r="E30" s="16" t="n">
        <v>2</v>
      </c>
      <c r="F30" s="19" t="n">
        <v>992.99</v>
      </c>
      <c r="J30" s="17" t="inlineStr">
        <is>
          <t>SATIN</t>
        </is>
      </c>
      <c r="K30" s="18" t="inlineStr">
        <is>
          <t>financials</t>
        </is>
      </c>
      <c r="L30" s="19" t="n">
        <v>297</v>
      </c>
      <c r="M30" s="19" t="n">
        <v>2602.59</v>
      </c>
      <c r="N30" s="16" t="n">
        <v>29</v>
      </c>
    </row>
    <row r="31">
      <c r="A31" s="17" t="inlineStr">
        <is>
          <t>STEL</t>
        </is>
      </c>
      <c r="B31" s="18" t="inlineStr">
        <is>
          <t>Stel Holdings Limited</t>
        </is>
      </c>
      <c r="C31" s="18" t="inlineStr">
        <is>
          <t>financials</t>
        </is>
      </c>
      <c r="D31" s="16" t="n">
        <v>9</v>
      </c>
      <c r="E31" s="16" t="n">
        <v>0</v>
      </c>
      <c r="F31" s="19" t="n">
        <v>1075.21</v>
      </c>
      <c r="J31" s="17" t="inlineStr">
        <is>
          <t>KTKBANK</t>
        </is>
      </c>
      <c r="K31" s="18" t="inlineStr">
        <is>
          <t>bank</t>
        </is>
      </c>
      <c r="L31" s="19" t="n">
        <v>295</v>
      </c>
      <c r="M31" s="19" t="n">
        <v>10480.16</v>
      </c>
      <c r="N31" s="16" t="n">
        <v>19</v>
      </c>
    </row>
    <row r="32">
      <c r="A32" s="17" t="inlineStr">
        <is>
          <t>STOVEKRAFT</t>
        </is>
      </c>
      <c r="B32" s="18" t="inlineStr">
        <is>
          <t>Stove Kraft Ltd</t>
        </is>
      </c>
      <c r="C32" s="18" t="inlineStr">
        <is>
          <t>consumer discretionary</t>
        </is>
      </c>
      <c r="D32" s="16" t="n">
        <v>8</v>
      </c>
      <c r="E32" s="16" t="n">
        <v>1</v>
      </c>
      <c r="F32" s="19" t="n">
        <v>2217.86</v>
      </c>
      <c r="J32" s="17" t="inlineStr">
        <is>
          <t>IBULLSLTD</t>
        </is>
      </c>
      <c r="K32" s="18" t="inlineStr">
        <is>
          <t>miscellaneous</t>
        </is>
      </c>
      <c r="L32" s="19" t="n">
        <v>290</v>
      </c>
      <c r="M32" s="19" t="n">
        <v>5590.14</v>
      </c>
      <c r="N32" s="16" t="n">
        <v>26</v>
      </c>
    </row>
    <row r="33">
      <c r="A33" s="17" t="inlineStr">
        <is>
          <t>NRL</t>
        </is>
      </c>
      <c r="B33" s="18" t="inlineStr">
        <is>
          <t>Nupur Recyclers Ltd</t>
        </is>
      </c>
      <c r="C33" s="18" t="inlineStr">
        <is>
          <t>services</t>
        </is>
      </c>
      <c r="D33" s="16" t="n">
        <v>8</v>
      </c>
      <c r="E33" s="16" t="n">
        <v>0</v>
      </c>
      <c r="F33" s="19" t="n">
        <v>529.14</v>
      </c>
      <c r="J33" s="17" t="inlineStr">
        <is>
          <t>IOLCP</t>
        </is>
      </c>
      <c r="K33" s="18" t="inlineStr">
        <is>
          <t>healthcare</t>
        </is>
      </c>
      <c r="L33" s="19" t="n">
        <v>290</v>
      </c>
      <c r="M33" s="19" t="n">
        <v>3672.03</v>
      </c>
      <c r="N33" s="16" t="n">
        <v>28</v>
      </c>
    </row>
    <row r="34">
      <c r="A34" s="17" t="inlineStr">
        <is>
          <t>CERA</t>
        </is>
      </c>
      <c r="B34" s="18" t="inlineStr">
        <is>
          <t>Cera Sanitaryware Limited</t>
        </is>
      </c>
      <c r="C34" s="18" t="inlineStr">
        <is>
          <t>building materials</t>
        </is>
      </c>
      <c r="D34" s="16" t="n">
        <v>8</v>
      </c>
      <c r="E34" s="16" t="n">
        <v>2</v>
      </c>
      <c r="F34" s="19" t="n">
        <v>7939.73</v>
      </c>
      <c r="J34" s="17" t="inlineStr">
        <is>
          <t>BAJAJCON</t>
        </is>
      </c>
      <c r="K34" s="18" t="inlineStr">
        <is>
          <t>fmcg</t>
        </is>
      </c>
      <c r="L34" s="19" t="n">
        <v>287</v>
      </c>
      <c r="M34" s="19" t="n">
        <v>7874.33</v>
      </c>
      <c r="N34" s="16" t="n">
        <v>30</v>
      </c>
    </row>
    <row r="35">
      <c r="A35" s="17" t="inlineStr">
        <is>
          <t>IDFCFIRSTB</t>
        </is>
      </c>
      <c r="B35" s="18" t="inlineStr">
        <is>
          <t>IDFC First Bank Ltd</t>
        </is>
      </c>
      <c r="C35" s="18" t="inlineStr">
        <is>
          <t>bank</t>
        </is>
      </c>
      <c r="D35" s="16" t="n">
        <v>8</v>
      </c>
      <c r="E35" s="16" t="n">
        <v>0</v>
      </c>
      <c r="F35" s="19" t="n">
        <v>66559.95</v>
      </c>
      <c r="J35" s="17" t="inlineStr">
        <is>
          <t>RBLBANK</t>
        </is>
      </c>
      <c r="K35" s="18" t="inlineStr">
        <is>
          <t>bank</t>
        </is>
      </c>
      <c r="L35" s="19" t="n">
        <v>285</v>
      </c>
      <c r="M35" s="19" t="n">
        <v>22820.67</v>
      </c>
      <c r="N35" s="16" t="n">
        <v>25</v>
      </c>
    </row>
    <row r="36">
      <c r="A36" s="17" t="inlineStr">
        <is>
          <t>OCCLLTD</t>
        </is>
      </c>
      <c r="B36" s="18" t="inlineStr">
        <is>
          <t>OCCL Ltd</t>
        </is>
      </c>
      <c r="C36" s="18" t="inlineStr">
        <is>
          <t>chemicals</t>
        </is>
      </c>
      <c r="D36" s="16" t="n">
        <v>8</v>
      </c>
      <c r="E36" s="16" t="n">
        <v>0</v>
      </c>
      <c r="F36" s="19" t="n">
        <v>649.46</v>
      </c>
      <c r="J36" s="17" t="inlineStr">
        <is>
          <t>TMB</t>
        </is>
      </c>
      <c r="K36" s="18" t="inlineStr">
        <is>
          <t>bank</t>
        </is>
      </c>
      <c r="L36" s="19" t="n">
        <v>285</v>
      </c>
      <c r="M36" s="19" t="n">
        <v>12380.71</v>
      </c>
      <c r="N36" s="16" t="n">
        <v>16</v>
      </c>
    </row>
    <row r="37">
      <c r="A37" s="17" t="inlineStr">
        <is>
          <t>HMVL</t>
        </is>
      </c>
      <c r="B37" s="18" t="inlineStr">
        <is>
          <t>Hindustan Media Ventures Limited</t>
        </is>
      </c>
      <c r="C37" s="18" t="inlineStr">
        <is>
          <t>media</t>
        </is>
      </c>
      <c r="D37" s="16" t="n">
        <v>8</v>
      </c>
      <c r="E37" s="16" t="n">
        <v>2</v>
      </c>
      <c r="F37" s="19" t="n">
        <v>626.4299999999999</v>
      </c>
      <c r="J37" s="17" t="inlineStr">
        <is>
          <t>RPTECH</t>
        </is>
      </c>
      <c r="K37" s="18" t="inlineStr">
        <is>
          <t>services</t>
        </is>
      </c>
      <c r="L37" s="19" t="n">
        <v>285</v>
      </c>
      <c r="M37" s="19" t="n">
        <v>4519.4</v>
      </c>
      <c r="N37" s="16" t="n">
        <v>28</v>
      </c>
    </row>
    <row r="38">
      <c r="A38" s="17" t="inlineStr">
        <is>
          <t>RAMCOSYS</t>
        </is>
      </c>
      <c r="B38" s="18" t="inlineStr">
        <is>
          <t>Ramco Systems Limited</t>
        </is>
      </c>
      <c r="C38" s="18" t="inlineStr">
        <is>
          <t>i.t</t>
        </is>
      </c>
      <c r="D38" s="16" t="n">
        <v>8</v>
      </c>
      <c r="E38" s="16" t="n">
        <v>2</v>
      </c>
      <c r="F38" s="19" t="n">
        <v>2133.6</v>
      </c>
      <c r="J38" s="17" t="inlineStr">
        <is>
          <t>NORTHARC</t>
        </is>
      </c>
      <c r="K38" s="18" t="inlineStr">
        <is>
          <t>financials</t>
        </is>
      </c>
      <c r="L38" s="19" t="n">
        <v>285</v>
      </c>
      <c r="M38" s="19" t="n">
        <v>4777.68</v>
      </c>
      <c r="N38" s="16" t="n">
        <v>22</v>
      </c>
    </row>
    <row r="39">
      <c r="A39" s="17" t="inlineStr">
        <is>
          <t>ELECTHERM</t>
        </is>
      </c>
      <c r="B39" s="18" t="inlineStr">
        <is>
          <t>Electrotherm (india) Limited</t>
        </is>
      </c>
      <c r="C39" s="18" t="inlineStr">
        <is>
          <t>metals &amp; mining</t>
        </is>
      </c>
      <c r="D39" s="16" t="n">
        <v>7</v>
      </c>
      <c r="E39" s="16" t="n">
        <v>1</v>
      </c>
      <c r="F39" s="19" t="n">
        <v>1427</v>
      </c>
      <c r="J39" s="17" t="inlineStr">
        <is>
          <t>FEDFINA</t>
        </is>
      </c>
      <c r="K39" s="18" t="inlineStr">
        <is>
          <t>financials</t>
        </is>
      </c>
      <c r="L39" s="19" t="n">
        <v>285</v>
      </c>
      <c r="M39" s="19" t="n">
        <v>5973.83</v>
      </c>
      <c r="N39" s="16" t="n">
        <v>22</v>
      </c>
    </row>
    <row r="40">
      <c r="A40" s="17" t="inlineStr">
        <is>
          <t>DIFFNKG</t>
        </is>
      </c>
      <c r="B40" s="18" t="inlineStr">
        <is>
          <t>Diffusion Engineers Ltd</t>
        </is>
      </c>
      <c r="C40" s="18" t="inlineStr">
        <is>
          <t>industrials</t>
        </is>
      </c>
      <c r="D40" s="16" t="n">
        <v>7</v>
      </c>
      <c r="E40" s="16" t="n">
        <v>2</v>
      </c>
      <c r="F40" s="19" t="n">
        <v>1436.61</v>
      </c>
      <c r="J40" s="17" t="inlineStr">
        <is>
          <t>SCPL</t>
        </is>
      </c>
      <c r="K40" s="18" t="inlineStr">
        <is>
          <t>fmcg</t>
        </is>
      </c>
      <c r="L40" s="19" t="n">
        <v>285</v>
      </c>
      <c r="M40" s="19" t="n">
        <v>502.27</v>
      </c>
      <c r="N40" s="16" t="n">
        <v>2</v>
      </c>
    </row>
    <row r="41">
      <c r="A41" s="17" t="inlineStr">
        <is>
          <t>GREENLAM</t>
        </is>
      </c>
      <c r="B41" s="18" t="inlineStr">
        <is>
          <t>Greenlam Industries Limited</t>
        </is>
      </c>
      <c r="C41" s="18" t="inlineStr">
        <is>
          <t>building materials</t>
        </is>
      </c>
      <c r="D41" s="16" t="n">
        <v>7</v>
      </c>
      <c r="E41" s="16" t="n">
        <v>1</v>
      </c>
      <c r="F41" s="19" t="n">
        <v>6562.91</v>
      </c>
      <c r="J41" s="17" t="inlineStr">
        <is>
          <t>STYLAMIND</t>
        </is>
      </c>
      <c r="K41" s="18" t="inlineStr">
        <is>
          <t>building materials</t>
        </is>
      </c>
      <c r="L41" s="19" t="n">
        <v>283</v>
      </c>
      <c r="M41" s="19" t="n">
        <v>5582.52</v>
      </c>
      <c r="N41" s="16" t="n">
        <v>30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114.59</v>
      </c>
      <c r="D47" s="27" t="n">
        <v>260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30098.25</v>
      </c>
    </row>
    <row r="48">
      <c r="A48" s="16" t="n">
        <v>2</v>
      </c>
      <c r="B48" s="26" t="n">
        <v>99</v>
      </c>
      <c r="C48" s="27" t="n">
        <v>94.68000000000001</v>
      </c>
      <c r="D48" s="27" t="n">
        <v>265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8393.42</v>
      </c>
    </row>
    <row r="49">
      <c r="A49" s="16" t="n">
        <v>3</v>
      </c>
      <c r="B49" s="26" t="n">
        <v>99</v>
      </c>
      <c r="C49" s="27" t="n">
        <v>90.70999999999999</v>
      </c>
      <c r="D49" s="27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22345.57</v>
      </c>
    </row>
    <row r="50">
      <c r="A50" s="16" t="n">
        <v>4</v>
      </c>
      <c r="B50" s="26" t="n">
        <v>98</v>
      </c>
      <c r="C50" s="27" t="n">
        <v>82.53</v>
      </c>
      <c r="D50" s="27" t="n">
        <v>295</v>
      </c>
      <c r="E50" s="17" t="inlineStr">
        <is>
          <t>VMARCIND</t>
        </is>
      </c>
      <c r="F50" s="18" t="inlineStr">
        <is>
          <t>VMARCIND</t>
        </is>
      </c>
      <c r="G50" s="18" t="inlineStr">
        <is>
          <t>unknown</t>
        </is>
      </c>
      <c r="H50" s="19" t="n">
        <v>441.28</v>
      </c>
    </row>
    <row r="51">
      <c r="A51" s="16" t="n">
        <v>5</v>
      </c>
      <c r="B51" s="26" t="n">
        <v>98</v>
      </c>
      <c r="C51" s="27" t="n">
        <v>77.83</v>
      </c>
      <c r="D51" s="27" t="n">
        <v>270</v>
      </c>
      <c r="E51" s="17" t="inlineStr">
        <is>
          <t>BHAGYANGR</t>
        </is>
      </c>
      <c r="F51" s="18" t="inlineStr">
        <is>
          <t>Bhagyanagar India</t>
        </is>
      </c>
      <c r="G51" s="18" t="inlineStr">
        <is>
          <t>power &amp; utilities</t>
        </is>
      </c>
      <c r="H51" s="19" t="n">
        <v>1150.22</v>
      </c>
    </row>
    <row r="52">
      <c r="A52" s="16" t="n">
        <v>6</v>
      </c>
      <c r="B52" s="26" t="n">
        <v>98</v>
      </c>
      <c r="C52" s="27" t="n">
        <v>76.52</v>
      </c>
      <c r="D52" s="27" t="n">
        <v>258</v>
      </c>
      <c r="E52" s="17" t="inlineStr">
        <is>
          <t>SWANDEF</t>
        </is>
      </c>
      <c r="F52" s="18" t="inlineStr">
        <is>
          <t>Swan Defence and Heavy Industries Ltd</t>
        </is>
      </c>
      <c r="G52" s="18" t="inlineStr">
        <is>
          <t>transportation</t>
        </is>
      </c>
      <c r="H52" s="19" t="n">
        <v>10827.24</v>
      </c>
    </row>
    <row r="53">
      <c r="A53" s="16" t="n">
        <v>7</v>
      </c>
      <c r="B53" s="26" t="n">
        <v>98</v>
      </c>
      <c r="C53" s="27" t="n">
        <v>71.34999999999999</v>
      </c>
      <c r="D53" s="27" t="n">
        <v>280</v>
      </c>
      <c r="E53" s="17" t="inlineStr">
        <is>
          <t>MTARTECH</t>
        </is>
      </c>
      <c r="F53" s="18" t="inlineStr">
        <is>
          <t>MTAR Technologies Ltd</t>
        </is>
      </c>
      <c r="G53" s="18" t="inlineStr">
        <is>
          <t>aerospace &amp; defence</t>
        </is>
      </c>
      <c r="H53" s="19" t="n">
        <v>25588.9</v>
      </c>
    </row>
    <row r="54">
      <c r="A54" s="16" t="n">
        <v>8</v>
      </c>
      <c r="B54" s="26" t="n">
        <v>98</v>
      </c>
      <c r="C54" s="27" t="n">
        <v>69.92</v>
      </c>
      <c r="D54" s="27" t="n">
        <v>255</v>
      </c>
      <c r="E54" s="17" t="inlineStr">
        <is>
          <t>HFCL</t>
        </is>
      </c>
      <c r="F54" s="18" t="inlineStr">
        <is>
          <t>HFCL Ltd</t>
        </is>
      </c>
      <c r="G54" s="18" t="inlineStr">
        <is>
          <t>telecom</t>
        </is>
      </c>
      <c r="H54" s="19" t="n">
        <v>29101.34</v>
      </c>
    </row>
    <row r="55">
      <c r="A55" s="16" t="n">
        <v>9</v>
      </c>
      <c r="B55" s="26" t="n">
        <v>97</v>
      </c>
      <c r="C55" s="27" t="n">
        <v>67.78</v>
      </c>
      <c r="D55" s="27" t="n">
        <v>277</v>
      </c>
      <c r="E55" s="17" t="inlineStr">
        <is>
          <t>MODINSU</t>
        </is>
      </c>
      <c r="F55" s="18" t="inlineStr">
        <is>
          <t>Modern Insulators Limited</t>
        </is>
      </c>
      <c r="G55" s="18" t="inlineStr">
        <is>
          <t>Technology</t>
        </is>
      </c>
      <c r="H55" s="19" t="n">
        <v>2354.6</v>
      </c>
    </row>
    <row r="56">
      <c r="A56" s="16" t="n">
        <v>10</v>
      </c>
      <c r="B56" s="26" t="n">
        <v>97</v>
      </c>
      <c r="C56" s="27" t="n">
        <v>65.18000000000001</v>
      </c>
      <c r="D56" s="27" t="n">
        <v>223</v>
      </c>
      <c r="E56" s="17" t="inlineStr">
        <is>
          <t>DEEDEV</t>
        </is>
      </c>
      <c r="F56" s="18" t="inlineStr">
        <is>
          <t>DEE Development Engineers Ltd</t>
        </is>
      </c>
      <c r="G56" s="18" t="inlineStr">
        <is>
          <t>metals &amp; mining</t>
        </is>
      </c>
      <c r="H56" s="19" t="n">
        <v>5116.83</v>
      </c>
    </row>
    <row r="57">
      <c r="A57" s="16" t="n">
        <v>11</v>
      </c>
      <c r="B57" s="26" t="n">
        <v>97</v>
      </c>
      <c r="C57" s="27" t="n">
        <v>62.74</v>
      </c>
      <c r="D57" s="27" t="n">
        <v>248</v>
      </c>
      <c r="E57" s="17" t="inlineStr">
        <is>
          <t>UFBL</t>
        </is>
      </c>
      <c r="F57" s="18" t="inlineStr">
        <is>
          <t>United Foodbrands Ltd</t>
        </is>
      </c>
      <c r="G57" s="18" t="inlineStr">
        <is>
          <t>consumer discretionary</t>
        </is>
      </c>
      <c r="H57" s="19" t="n">
        <v>2419.84</v>
      </c>
    </row>
    <row r="58">
      <c r="A58" s="16" t="n">
        <v>12</v>
      </c>
      <c r="B58" s="26" t="n">
        <v>97</v>
      </c>
      <c r="C58" s="27" t="n">
        <v>62.36</v>
      </c>
      <c r="D58" s="27" t="n">
        <v>272</v>
      </c>
      <c r="E58" s="17" t="inlineStr">
        <is>
          <t>GVPIL</t>
        </is>
      </c>
      <c r="F58" s="18" t="inlineStr">
        <is>
          <t>GE Power India Ltd</t>
        </is>
      </c>
      <c r="G58" s="18" t="inlineStr">
        <is>
          <t>realty</t>
        </is>
      </c>
      <c r="H58" s="19" t="n">
        <v>7093.84</v>
      </c>
    </row>
    <row r="59">
      <c r="A59" s="16" t="n">
        <v>13</v>
      </c>
      <c r="B59" s="26" t="n">
        <v>97</v>
      </c>
      <c r="C59" s="27" t="n">
        <v>61.05</v>
      </c>
      <c r="D59" s="27" t="n">
        <v>277</v>
      </c>
      <c r="E59" s="17" t="inlineStr">
        <is>
          <t>BLISSGVS</t>
        </is>
      </c>
      <c r="F59" s="18" t="inlineStr">
        <is>
          <t>Bliss Gvs Pharma Limited</t>
        </is>
      </c>
      <c r="G59" s="18" t="inlineStr">
        <is>
          <t>healthcare</t>
        </is>
      </c>
      <c r="H59" s="19" t="n">
        <v>5023.39</v>
      </c>
    </row>
    <row r="60">
      <c r="A60" s="16" t="n">
        <v>14</v>
      </c>
      <c r="B60" s="26" t="n">
        <v>96</v>
      </c>
      <c r="C60" s="27" t="n">
        <v>58.23</v>
      </c>
      <c r="D60" s="27" t="n">
        <v>282</v>
      </c>
      <c r="E60" s="17" t="inlineStr">
        <is>
          <t>VENUSREM</t>
        </is>
      </c>
      <c r="F60" s="18" t="inlineStr">
        <is>
          <t>Venus Remedies Limited</t>
        </is>
      </c>
      <c r="G60" s="18" t="inlineStr">
        <is>
          <t>healthcare</t>
        </is>
      </c>
      <c r="H60" s="19" t="n">
        <v>2371.97</v>
      </c>
    </row>
    <row r="61">
      <c r="A61" s="16" t="n">
        <v>15</v>
      </c>
      <c r="B61" s="26" t="n">
        <v>96</v>
      </c>
      <c r="C61" s="27" t="n">
        <v>53.72</v>
      </c>
      <c r="D61" s="27" t="n">
        <v>263</v>
      </c>
      <c r="E61" s="17" t="inlineStr">
        <is>
          <t>MODISONLTD</t>
        </is>
      </c>
      <c r="F61" s="18" t="inlineStr">
        <is>
          <t>Modison Ltd</t>
        </is>
      </c>
      <c r="G61" s="18" t="inlineStr">
        <is>
          <t>industrials</t>
        </is>
      </c>
      <c r="H61" s="19" t="n">
        <v>993.13</v>
      </c>
    </row>
    <row r="62">
      <c r="A62" s="16" t="n">
        <v>16</v>
      </c>
      <c r="B62" s="26" t="n">
        <v>96</v>
      </c>
      <c r="C62" s="27" t="n">
        <v>53.23</v>
      </c>
      <c r="D62" s="27" t="n">
        <v>278</v>
      </c>
      <c r="E62" s="17" t="inlineStr">
        <is>
          <t>BLUSPRING</t>
        </is>
      </c>
      <c r="F62" s="18" t="inlineStr">
        <is>
          <t>Bluspring Enterprises Ltd</t>
        </is>
      </c>
      <c r="G62" s="18" t="inlineStr">
        <is>
          <t>miscellaneous</t>
        </is>
      </c>
      <c r="H62" s="19" t="n">
        <v>1630.76</v>
      </c>
    </row>
    <row r="63">
      <c r="A63" s="16" t="n">
        <v>17</v>
      </c>
      <c r="B63" s="26" t="n">
        <v>96</v>
      </c>
      <c r="C63" s="27" t="n">
        <v>52.68</v>
      </c>
      <c r="D63" s="27" t="n">
        <v>290</v>
      </c>
      <c r="E63" s="17" t="inlineStr">
        <is>
          <t>IBULLSLTD</t>
        </is>
      </c>
      <c r="F63" s="18" t="inlineStr">
        <is>
          <t>Indiabulls Limited</t>
        </is>
      </c>
      <c r="G63" s="18" t="inlineStr">
        <is>
          <t>miscellaneous</t>
        </is>
      </c>
      <c r="H63" s="19" t="n">
        <v>5590.14</v>
      </c>
    </row>
    <row r="64">
      <c r="A64" s="16" t="n">
        <v>18</v>
      </c>
      <c r="B64" s="26" t="n">
        <v>96</v>
      </c>
      <c r="C64" s="27" t="n">
        <v>51.82</v>
      </c>
      <c r="D64" s="27" t="n">
        <v>257</v>
      </c>
      <c r="E64" s="17" t="inlineStr">
        <is>
          <t>APOLLO</t>
        </is>
      </c>
      <c r="F64" s="18" t="inlineStr">
        <is>
          <t>Apollo Micro Systems Ltd</t>
        </is>
      </c>
      <c r="G64" s="18" t="inlineStr">
        <is>
          <t>aerospace &amp; defence</t>
        </is>
      </c>
      <c r="H64" s="19" t="n">
        <v>15676.21</v>
      </c>
    </row>
    <row r="65">
      <c r="A65" s="16" t="n">
        <v>19</v>
      </c>
      <c r="B65" s="26" t="n">
        <v>95</v>
      </c>
      <c r="C65" s="27" t="n">
        <v>48.47</v>
      </c>
      <c r="D65" s="27" t="n">
        <v>285</v>
      </c>
      <c r="E65" s="17" t="inlineStr">
        <is>
          <t>RPTECH</t>
        </is>
      </c>
      <c r="F65" s="18" t="inlineStr">
        <is>
          <t>Rashi Peripherals Ltd</t>
        </is>
      </c>
      <c r="G65" s="18" t="inlineStr">
        <is>
          <t>services</t>
        </is>
      </c>
      <c r="H65" s="19" t="n">
        <v>4519.4</v>
      </c>
    </row>
    <row r="66">
      <c r="A66" s="16" t="n">
        <v>20</v>
      </c>
      <c r="B66" s="26" t="n">
        <v>95</v>
      </c>
      <c r="C66" s="27" t="n">
        <v>48.07</v>
      </c>
      <c r="D66" s="27" t="n">
        <v>270</v>
      </c>
      <c r="E66" s="17" t="inlineStr">
        <is>
          <t>NINSYS</t>
        </is>
      </c>
      <c r="F66" s="18" t="inlineStr">
        <is>
          <t>NINtec Systems Ltd</t>
        </is>
      </c>
      <c r="G66" s="18" t="inlineStr">
        <is>
          <t>i.t</t>
        </is>
      </c>
      <c r="H66" s="19" t="n">
        <v>1286.11</v>
      </c>
    </row>
    <row r="67">
      <c r="A67" s="16" t="n">
        <v>21</v>
      </c>
      <c r="B67" s="26" t="n">
        <v>95</v>
      </c>
      <c r="C67" s="27" t="n">
        <v>47.64</v>
      </c>
      <c r="D67" s="27" t="n">
        <v>252</v>
      </c>
      <c r="E67" s="17" t="inlineStr">
        <is>
          <t>SASKEN</t>
        </is>
      </c>
      <c r="F67" s="18" t="inlineStr">
        <is>
          <t>Sasken Communication Technologies Limited</t>
        </is>
      </c>
      <c r="G67" s="18" t="inlineStr">
        <is>
          <t>i.t</t>
        </is>
      </c>
      <c r="H67" s="19" t="n">
        <v>3655.69</v>
      </c>
    </row>
    <row r="68">
      <c r="A68" s="16" t="n">
        <v>22</v>
      </c>
      <c r="B68" s="26" t="n">
        <v>95</v>
      </c>
      <c r="C68" s="27" t="n">
        <v>46.82</v>
      </c>
      <c r="D68" s="27" t="n">
        <v>250</v>
      </c>
      <c r="E68" s="17" t="inlineStr">
        <is>
          <t>AEROFLEX</t>
        </is>
      </c>
      <c r="F68" s="18" t="inlineStr">
        <is>
          <t>Aeroflex Industries Ltd</t>
        </is>
      </c>
      <c r="G68" s="18" t="inlineStr">
        <is>
          <t>metals &amp; mining</t>
        </is>
      </c>
      <c r="H68" s="19" t="n">
        <v>6760.78</v>
      </c>
    </row>
    <row r="69">
      <c r="A69" s="16" t="n">
        <v>23</v>
      </c>
      <c r="B69" s="26" t="n">
        <v>95</v>
      </c>
      <c r="C69" s="27" t="n">
        <v>46.7</v>
      </c>
      <c r="D69" s="27" t="n">
        <v>287</v>
      </c>
      <c r="E69" s="17" t="inlineStr">
        <is>
          <t>BAJAJCON</t>
        </is>
      </c>
      <c r="F69" s="18" t="inlineStr">
        <is>
          <t>Bajaj Consumer Care Ltd</t>
        </is>
      </c>
      <c r="G69" s="18" t="inlineStr">
        <is>
          <t>fmcg</t>
        </is>
      </c>
      <c r="H69" s="19" t="n">
        <v>7874.33</v>
      </c>
    </row>
    <row r="70">
      <c r="A70" s="16" t="n">
        <v>24</v>
      </c>
      <c r="B70" s="28" t="n">
        <v>94</v>
      </c>
      <c r="C70" s="27" t="n">
        <v>43.85</v>
      </c>
      <c r="D70" s="27" t="n">
        <v>280</v>
      </c>
      <c r="E70" s="17" t="inlineStr">
        <is>
          <t>GAYAPROJ</t>
        </is>
      </c>
      <c r="F70" s="18" t="inlineStr">
        <is>
          <t>Gayatri Projects Limited</t>
        </is>
      </c>
      <c r="G70" s="18" t="inlineStr">
        <is>
          <t>realty</t>
        </is>
      </c>
      <c r="H70" s="19" t="n">
        <v>748.2</v>
      </c>
    </row>
    <row r="71">
      <c r="A71" s="16" t="n">
        <v>25</v>
      </c>
      <c r="B71" s="28" t="n">
        <v>94</v>
      </c>
      <c r="C71" s="27" t="n">
        <v>43.83</v>
      </c>
      <c r="D71" s="27" t="n">
        <v>258</v>
      </c>
      <c r="E71" s="17" t="inlineStr">
        <is>
          <t>HITECHCORP</t>
        </is>
      </c>
      <c r="F71" s="18" t="inlineStr">
        <is>
          <t>Hitech Corporation</t>
        </is>
      </c>
      <c r="G71" s="18" t="inlineStr">
        <is>
          <t>industrials</t>
        </is>
      </c>
      <c r="H71" s="19" t="n">
        <v>547.63</v>
      </c>
    </row>
    <row r="72">
      <c r="A72" s="16" t="n">
        <v>26</v>
      </c>
      <c r="B72" s="28" t="n">
        <v>94</v>
      </c>
      <c r="C72" s="27" t="n">
        <v>43.78</v>
      </c>
      <c r="D72" s="27" t="n">
        <v>255</v>
      </c>
      <c r="E72" s="17" t="inlineStr">
        <is>
          <t>JAYBARMARU</t>
        </is>
      </c>
      <c r="F72" s="18" t="inlineStr">
        <is>
          <t>Jay Bharat Maruti Limited</t>
        </is>
      </c>
      <c r="G72" s="18" t="inlineStr">
        <is>
          <t>auto</t>
        </is>
      </c>
      <c r="H72" s="19" t="n">
        <v>1781.47</v>
      </c>
    </row>
    <row r="73">
      <c r="A73" s="16" t="n">
        <v>27</v>
      </c>
      <c r="B73" s="28" t="n">
        <v>94</v>
      </c>
      <c r="C73" s="27" t="n">
        <v>43.78</v>
      </c>
      <c r="D73" s="27" t="n">
        <v>235</v>
      </c>
      <c r="E73" s="17" t="inlineStr">
        <is>
          <t>BBOX</t>
        </is>
      </c>
      <c r="F73" s="18" t="inlineStr">
        <is>
          <t>Black Box Ltd</t>
        </is>
      </c>
      <c r="G73" s="18" t="inlineStr">
        <is>
          <t>i.t</t>
        </is>
      </c>
      <c r="H73" s="19" t="n">
        <v>18072.57</v>
      </c>
    </row>
    <row r="74">
      <c r="A74" s="16" t="n">
        <v>28</v>
      </c>
      <c r="B74" s="28" t="n">
        <v>94</v>
      </c>
      <c r="C74" s="27" t="n">
        <v>42.34</v>
      </c>
      <c r="D74" s="27" t="n">
        <v>260</v>
      </c>
      <c r="E74" s="17" t="inlineStr">
        <is>
          <t>KERNEX</t>
        </is>
      </c>
      <c r="F74" s="18" t="inlineStr">
        <is>
          <t>Kernex Microsystems (india) Limited</t>
        </is>
      </c>
      <c r="G74" s="18" t="inlineStr">
        <is>
          <t>consumer discretionary</t>
        </is>
      </c>
      <c r="H74" s="19" t="n">
        <v>3534.39</v>
      </c>
    </row>
    <row r="75">
      <c r="A75" s="16" t="n">
        <v>29</v>
      </c>
      <c r="B75" s="28" t="n">
        <v>93</v>
      </c>
      <c r="C75" s="27" t="n">
        <v>42.24</v>
      </c>
      <c r="D75" s="27" t="n">
        <v>268</v>
      </c>
      <c r="E75" s="17" t="inlineStr">
        <is>
          <t>IDEAFORGE</t>
        </is>
      </c>
      <c r="F75" s="18" t="inlineStr">
        <is>
          <t>Ideaforge Technology Ltd</t>
        </is>
      </c>
      <c r="G75" s="18" t="inlineStr">
        <is>
          <t>aerospace &amp; defence</t>
        </is>
      </c>
      <c r="H75" s="19" t="n">
        <v>4020.77</v>
      </c>
    </row>
    <row r="76">
      <c r="A76" s="16" t="n">
        <v>30</v>
      </c>
      <c r="B76" s="28" t="n">
        <v>93</v>
      </c>
      <c r="C76" s="27" t="n">
        <v>42.04</v>
      </c>
      <c r="D76" s="27" t="n">
        <v>258</v>
      </c>
      <c r="E76" s="17" t="inlineStr">
        <is>
          <t>CEMPRO</t>
        </is>
      </c>
      <c r="F76" s="18" t="inlineStr">
        <is>
          <t>Cemindia Projects Ltd</t>
        </is>
      </c>
      <c r="G76" s="18" t="inlineStr">
        <is>
          <t>realty</t>
        </is>
      </c>
      <c r="H76" s="19" t="n">
        <v>20339.65</v>
      </c>
    </row>
    <row r="77">
      <c r="A77" s="16" t="n">
        <v>31</v>
      </c>
      <c r="B77" s="28" t="n">
        <v>93</v>
      </c>
      <c r="C77" s="27" t="n">
        <v>40.54</v>
      </c>
      <c r="D77" s="27" t="n">
        <v>265</v>
      </c>
      <c r="E77" s="17" t="inlineStr">
        <is>
          <t>SYRMA</t>
        </is>
      </c>
      <c r="F77" s="18" t="inlineStr">
        <is>
          <t>Syrma SGS Technology Ltd</t>
        </is>
      </c>
      <c r="G77" s="18" t="inlineStr">
        <is>
          <t>consumer discretionary</t>
        </is>
      </c>
      <c r="H77" s="19" t="n">
        <v>25035.18</v>
      </c>
    </row>
    <row r="78">
      <c r="A78" s="16" t="n">
        <v>32</v>
      </c>
      <c r="B78" s="28" t="n">
        <v>93</v>
      </c>
      <c r="C78" s="27" t="n">
        <v>39.31</v>
      </c>
      <c r="D78" s="27" t="n">
        <v>280</v>
      </c>
      <c r="E78" s="17" t="inlineStr">
        <is>
          <t>THANGAMAYL</t>
        </is>
      </c>
      <c r="F78" s="18" t="inlineStr">
        <is>
          <t>Thangamayil Jewellery Limited</t>
        </is>
      </c>
      <c r="G78" s="18" t="inlineStr">
        <is>
          <t>consumer discretionary</t>
        </is>
      </c>
      <c r="H78" s="19" t="n">
        <v>17507.57</v>
      </c>
    </row>
    <row r="79">
      <c r="A79" s="16" t="n">
        <v>33</v>
      </c>
      <c r="B79" s="28" t="n">
        <v>93</v>
      </c>
      <c r="C79" s="27" t="n">
        <v>39.12</v>
      </c>
      <c r="D79" s="27" t="n">
        <v>280</v>
      </c>
      <c r="E79" s="17" t="inlineStr">
        <is>
          <t>NETWEB</t>
        </is>
      </c>
      <c r="F79" s="18" t="inlineStr">
        <is>
          <t>Netweb Technologies India Ltd</t>
        </is>
      </c>
      <c r="G79" s="18" t="inlineStr">
        <is>
          <t>i.t</t>
        </is>
      </c>
      <c r="H79" s="19" t="n">
        <v>27966.42</v>
      </c>
    </row>
    <row r="80">
      <c r="A80" s="16" t="n">
        <v>34</v>
      </c>
      <c r="B80" s="28" t="n">
        <v>92</v>
      </c>
      <c r="C80" s="27" t="n">
        <v>38.68</v>
      </c>
      <c r="D80" s="27" t="n">
        <v>262</v>
      </c>
      <c r="E80" s="17" t="inlineStr">
        <is>
          <t>SENORES</t>
        </is>
      </c>
      <c r="F80" s="18" t="inlineStr">
        <is>
          <t>Senores Pharmaceuticals Ltd</t>
        </is>
      </c>
      <c r="G80" s="18" t="inlineStr">
        <is>
          <t>healthcare</t>
        </is>
      </c>
      <c r="H80" s="19" t="n">
        <v>5847.88</v>
      </c>
    </row>
    <row r="81">
      <c r="A81" s="16" t="n">
        <v>35</v>
      </c>
      <c r="B81" s="28" t="n">
        <v>92</v>
      </c>
      <c r="C81" s="27" t="n">
        <v>38.57</v>
      </c>
      <c r="D81" s="27" t="n">
        <v>265</v>
      </c>
      <c r="E81" s="17" t="inlineStr">
        <is>
          <t>RATEGAIN</t>
        </is>
      </c>
      <c r="F81" s="18" t="inlineStr">
        <is>
          <t>Rategain Travel Technologies Ltd</t>
        </is>
      </c>
      <c r="G81" s="18" t="inlineStr">
        <is>
          <t>i.t</t>
        </is>
      </c>
      <c r="H81" s="19" t="n">
        <v>10471.82</v>
      </c>
    </row>
    <row r="82">
      <c r="A82" s="16" t="n">
        <v>36</v>
      </c>
      <c r="B82" s="28" t="n">
        <v>92</v>
      </c>
      <c r="C82" s="27" t="n">
        <v>38.52</v>
      </c>
      <c r="D82" s="27" t="n">
        <v>178</v>
      </c>
      <c r="E82" s="17" t="inlineStr">
        <is>
          <t>BALAMINES</t>
        </is>
      </c>
      <c r="F82" s="18" t="inlineStr">
        <is>
          <t>Balaji Amines Limited</t>
        </is>
      </c>
      <c r="G82" s="18" t="inlineStr">
        <is>
          <t>chemicals</t>
        </is>
      </c>
      <c r="H82" s="19" t="n">
        <v>6973.99</v>
      </c>
    </row>
    <row r="83">
      <c r="A83" s="16" t="n">
        <v>37</v>
      </c>
      <c r="B83" s="28" t="n">
        <v>92</v>
      </c>
      <c r="C83" s="27" t="n">
        <v>38.45</v>
      </c>
      <c r="D83" s="27" t="n">
        <v>267</v>
      </c>
      <c r="E83" s="17" t="inlineStr">
        <is>
          <t>SPARC</t>
        </is>
      </c>
      <c r="F83" s="18" t="inlineStr">
        <is>
          <t>Sun Pharma Advanced Research Company Limited</t>
        </is>
      </c>
      <c r="G83" s="18" t="inlineStr">
        <is>
          <t>healthcare</t>
        </is>
      </c>
      <c r="H83" s="19" t="n">
        <v>7775.86</v>
      </c>
    </row>
    <row r="84">
      <c r="A84" s="16" t="n">
        <v>38</v>
      </c>
      <c r="B84" s="28" t="n">
        <v>92</v>
      </c>
      <c r="C84" s="27" t="n">
        <v>38.38</v>
      </c>
      <c r="D84" s="27" t="n">
        <v>265</v>
      </c>
      <c r="E84" s="17" t="inlineStr">
        <is>
          <t>PARAS</t>
        </is>
      </c>
      <c r="F84" s="18" t="inlineStr">
        <is>
          <t>Paras Defence and Space Technologies Ltd</t>
        </is>
      </c>
      <c r="G84" s="18" t="inlineStr">
        <is>
          <t>aerospace &amp; defence</t>
        </is>
      </c>
      <c r="H84" s="19" t="n">
        <v>10360.71</v>
      </c>
    </row>
    <row r="85">
      <c r="A85" s="16" t="n">
        <v>39</v>
      </c>
      <c r="B85" s="28" t="n">
        <v>91</v>
      </c>
      <c r="C85" s="27" t="n">
        <v>37.36</v>
      </c>
      <c r="D85" s="27" t="n">
        <v>247</v>
      </c>
      <c r="E85" s="17" t="inlineStr">
        <is>
          <t>ONEGLOBAL</t>
        </is>
      </c>
      <c r="F85" s="18" t="inlineStr">
        <is>
          <t>One Global Service Provider Limited</t>
        </is>
      </c>
      <c r="G85" s="18" t="inlineStr">
        <is>
          <t>Healthcare</t>
        </is>
      </c>
      <c r="H85" s="19" t="n">
        <v>1356.28</v>
      </c>
    </row>
    <row r="86">
      <c r="A86" s="16" t="n">
        <v>40</v>
      </c>
      <c r="B86" s="28" t="n">
        <v>91</v>
      </c>
      <c r="C86" s="27" t="n">
        <v>36.8</v>
      </c>
      <c r="D86" s="27" t="n">
        <v>260</v>
      </c>
      <c r="E86" s="17" t="inlineStr">
        <is>
          <t>AVALON</t>
        </is>
      </c>
      <c r="F86" s="18" t="inlineStr">
        <is>
          <t>Avalon Technologies Ltd</t>
        </is>
      </c>
      <c r="G86" s="18" t="inlineStr">
        <is>
          <t>consumer discretionary</t>
        </is>
      </c>
      <c r="H86" s="19" t="n">
        <v>11626.66</v>
      </c>
    </row>
    <row r="87">
      <c r="A87" s="16" t="n">
        <v>41</v>
      </c>
      <c r="B87" s="28" t="n">
        <v>91</v>
      </c>
      <c r="C87" s="27" t="n">
        <v>36.75</v>
      </c>
      <c r="D87" s="27" t="n">
        <v>250</v>
      </c>
      <c r="E87" s="17" t="inlineStr">
        <is>
          <t>LLOYDSENGG</t>
        </is>
      </c>
      <c r="F87" s="18" t="inlineStr">
        <is>
          <t>Lloyds Engineering Works Ltd</t>
        </is>
      </c>
      <c r="G87" s="18" t="inlineStr">
        <is>
          <t>industrials</t>
        </is>
      </c>
      <c r="H87" s="19" t="n">
        <v>12978.84</v>
      </c>
    </row>
    <row r="88">
      <c r="A88" s="16" t="n">
        <v>42</v>
      </c>
      <c r="B88" s="28" t="n">
        <v>91</v>
      </c>
      <c r="C88" s="27" t="n">
        <v>36.34</v>
      </c>
      <c r="D88" s="27" t="n">
        <v>272</v>
      </c>
      <c r="E88" s="17" t="inlineStr">
        <is>
          <t>NGLFINE</t>
        </is>
      </c>
      <c r="F88" s="18" t="inlineStr">
        <is>
          <t>NGL Fine Chem Ltd</t>
        </is>
      </c>
      <c r="G88" s="18" t="inlineStr">
        <is>
          <t>healthcare</t>
        </is>
      </c>
      <c r="H88" s="19" t="n">
        <v>1810.35</v>
      </c>
    </row>
    <row r="89">
      <c r="A89" s="16" t="n">
        <v>43</v>
      </c>
      <c r="B89" s="28" t="n">
        <v>91</v>
      </c>
      <c r="C89" s="27" t="n">
        <v>36.02</v>
      </c>
      <c r="D89" s="27" t="n">
        <v>245</v>
      </c>
      <c r="E89" s="17" t="inlineStr">
        <is>
          <t>YASHO</t>
        </is>
      </c>
      <c r="F89" s="18" t="inlineStr">
        <is>
          <t>Yasho Industries Ltd</t>
        </is>
      </c>
      <c r="G89" s="18" t="inlineStr">
        <is>
          <t>chemicals</t>
        </is>
      </c>
      <c r="H89" s="19" t="n">
        <v>3345.96</v>
      </c>
    </row>
    <row r="90">
      <c r="A90" s="16" t="n">
        <v>44</v>
      </c>
      <c r="B90" s="28" t="n">
        <v>90</v>
      </c>
      <c r="C90" s="27" t="n">
        <v>35.69</v>
      </c>
      <c r="D90" s="27" t="n">
        <v>253</v>
      </c>
      <c r="E90" s="17" t="inlineStr">
        <is>
          <t>QPOWER</t>
        </is>
      </c>
      <c r="F90" s="18" t="inlineStr">
        <is>
          <t>Quality Power Electrical Equipments Ltd</t>
        </is>
      </c>
      <c r="G90" s="18" t="inlineStr">
        <is>
          <t>industrials</t>
        </is>
      </c>
      <c r="H90" s="19" t="n">
        <v>9661.93</v>
      </c>
    </row>
    <row r="91">
      <c r="A91" s="16" t="n">
        <v>45</v>
      </c>
      <c r="B91" s="28" t="n">
        <v>90</v>
      </c>
      <c r="C91" s="27" t="n">
        <v>35.41</v>
      </c>
      <c r="D91" s="27" t="n">
        <v>250</v>
      </c>
      <c r="E91" s="17" t="inlineStr">
        <is>
          <t>FCL</t>
        </is>
      </c>
      <c r="F91" s="18" t="inlineStr">
        <is>
          <t>Fineotex Chemical Limited</t>
        </is>
      </c>
      <c r="G91" s="18" t="inlineStr">
        <is>
          <t>chemicals</t>
        </is>
      </c>
      <c r="H91" s="19" t="n">
        <v>5220.46</v>
      </c>
    </row>
    <row r="92">
      <c r="A92" s="16" t="n">
        <v>46</v>
      </c>
      <c r="B92" s="28" t="n">
        <v>90</v>
      </c>
      <c r="C92" s="27" t="n">
        <v>34.83</v>
      </c>
      <c r="D92" s="27" t="n">
        <v>223</v>
      </c>
      <c r="E92" s="17" t="inlineStr">
        <is>
          <t>ROSSTECH</t>
        </is>
      </c>
      <c r="F92" s="18" t="inlineStr">
        <is>
          <t>Rossell Techsys Ltd</t>
        </is>
      </c>
      <c r="G92" s="18" t="inlineStr">
        <is>
          <t>aerospace &amp; defence</t>
        </is>
      </c>
      <c r="H92" s="19" t="n">
        <v>3846.55</v>
      </c>
    </row>
    <row r="93">
      <c r="A93" s="16" t="n">
        <v>47</v>
      </c>
      <c r="B93" s="28" t="n">
        <v>90</v>
      </c>
      <c r="C93" s="27" t="n">
        <v>34.49</v>
      </c>
      <c r="D93" s="27" t="n">
        <v>260</v>
      </c>
      <c r="E93" s="17" t="inlineStr">
        <is>
          <t>RPEL</t>
        </is>
      </c>
      <c r="F93" s="18" t="inlineStr">
        <is>
          <t>Raghav Productivity Enhancers Ltd</t>
        </is>
      </c>
      <c r="G93" s="18" t="inlineStr">
        <is>
          <t>building materials</t>
        </is>
      </c>
      <c r="H93" s="19" t="n">
        <v>5539.97</v>
      </c>
    </row>
    <row r="94">
      <c r="A94" s="16" t="n">
        <v>48</v>
      </c>
      <c r="B94" s="28" t="n">
        <v>90</v>
      </c>
      <c r="C94" s="27" t="n">
        <v>33.99</v>
      </c>
      <c r="D94" s="27" t="n">
        <v>268</v>
      </c>
      <c r="E94" s="17" t="inlineStr">
        <is>
          <t>IDEA</t>
        </is>
      </c>
      <c r="F94" s="18" t="inlineStr">
        <is>
          <t>Vodafone Idea Ltd</t>
        </is>
      </c>
      <c r="G94" s="18" t="inlineStr">
        <is>
          <t>telecom-service</t>
        </is>
      </c>
      <c r="H94" s="19" t="n">
        <v>161647.81</v>
      </c>
    </row>
    <row r="95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ICIL</t>
        </is>
      </c>
      <c r="B2" s="30" t="inlineStr">
        <is>
          <t>Indo Count Industries Limited</t>
        </is>
      </c>
      <c r="C2" s="30" t="inlineStr">
        <is>
          <t>textiles</t>
        </is>
      </c>
      <c r="D2" s="30" t="inlineStr">
        <is>
          <t>textiles - cotton/blended</t>
        </is>
      </c>
      <c r="E2" s="30" t="inlineStr">
        <is>
          <t>midcap</t>
        </is>
      </c>
      <c r="F2" s="30" t="n">
        <v>6775.44</v>
      </c>
      <c r="G2" s="30" t="n">
        <v>405.85</v>
      </c>
      <c r="H2" s="30" t="n">
        <v>18.63</v>
      </c>
      <c r="I2" s="30" t="n">
        <v>6664723</v>
      </c>
      <c r="J2" s="30" t="inlineStr">
        <is>
          <t>521016</t>
        </is>
      </c>
    </row>
    <row r="3">
      <c r="A3" s="30" t="inlineStr">
        <is>
          <t>EIFFL</t>
        </is>
      </c>
      <c r="B3" s="30" t="inlineStr">
        <is>
          <t>Euro India Fresh Foods Ltd</t>
        </is>
      </c>
      <c r="C3" s="30" t="inlineStr">
        <is>
          <t>fmcg</t>
        </is>
      </c>
      <c r="D3" s="30" t="inlineStr">
        <is>
          <t>food - processing - indian</t>
        </is>
      </c>
      <c r="E3" s="30" t="inlineStr">
        <is>
          <t>smallcap</t>
        </is>
      </c>
      <c r="F3" s="30" t="n">
        <v>740.45</v>
      </c>
      <c r="G3" s="30" t="n">
        <v>349.71</v>
      </c>
      <c r="H3" s="30" t="n">
        <v>17.13</v>
      </c>
      <c r="I3" s="30" t="n">
        <v>601559</v>
      </c>
      <c r="J3" s="30" t="inlineStr">
        <is>
          <t>538412</t>
        </is>
      </c>
    </row>
    <row r="4">
      <c r="A4" s="30" t="inlineStr">
        <is>
          <t>KPRMILL</t>
        </is>
      </c>
      <c r="B4" s="30" t="inlineStr">
        <is>
          <t>K.p.r. Mill Limited</t>
        </is>
      </c>
      <c r="C4" s="30" t="inlineStr">
        <is>
          <t>consumer discretionary</t>
        </is>
      </c>
      <c r="D4" s="30" t="inlineStr">
        <is>
          <t>textiles - products</t>
        </is>
      </c>
      <c r="E4" s="30" t="inlineStr">
        <is>
          <t>largecap</t>
        </is>
      </c>
      <c r="F4" s="30" t="n">
        <v>35659.75</v>
      </c>
      <c r="G4" s="30" t="n">
        <v>1186.4</v>
      </c>
      <c r="H4" s="30" t="n">
        <v>13.72</v>
      </c>
      <c r="I4" s="30" t="n">
        <v>5589467</v>
      </c>
      <c r="J4" s="30" t="inlineStr">
        <is>
          <t>532889</t>
        </is>
      </c>
    </row>
    <row r="5">
      <c r="A5" s="30" t="inlineStr">
        <is>
          <t>GANDHAR</t>
        </is>
      </c>
      <c r="B5" s="30" t="inlineStr">
        <is>
          <t>Gandhar Oil Refinery (India) Ltd</t>
        </is>
      </c>
      <c r="C5" s="30" t="inlineStr">
        <is>
          <t>energy</t>
        </is>
      </c>
      <c r="D5" s="30" t="inlineStr">
        <is>
          <t>refineries</t>
        </is>
      </c>
      <c r="E5" s="30" t="inlineStr">
        <is>
          <t>smallcap</t>
        </is>
      </c>
      <c r="F5" s="30" t="n">
        <v>1528.39</v>
      </c>
      <c r="G5" s="30" t="n">
        <v>174.11</v>
      </c>
      <c r="H5" s="30" t="n">
        <v>11.5</v>
      </c>
      <c r="I5" s="30" t="n">
        <v>10986216</v>
      </c>
      <c r="J5" s="30" t="inlineStr">
        <is>
          <t>544029</t>
        </is>
      </c>
    </row>
    <row r="6">
      <c r="A6" s="30" t="inlineStr">
        <is>
          <t>WELSPUNLIV</t>
        </is>
      </c>
      <c r="B6" s="30" t="inlineStr">
        <is>
          <t>Welspun Living Ltd</t>
        </is>
      </c>
      <c r="C6" s="30" t="inlineStr">
        <is>
          <t>textiles</t>
        </is>
      </c>
      <c r="D6" s="30" t="inlineStr">
        <is>
          <t>textiles - products</t>
        </is>
      </c>
      <c r="E6" s="30" t="inlineStr">
        <is>
          <t>midcap</t>
        </is>
      </c>
      <c r="F6" s="30" t="n">
        <v>14065.97</v>
      </c>
      <c r="G6" s="30" t="n">
        <v>163</v>
      </c>
      <c r="H6" s="30" t="n">
        <v>11.15</v>
      </c>
      <c r="I6" s="30" t="n">
        <v>26612966</v>
      </c>
      <c r="J6" s="30" t="inlineStr">
        <is>
          <t>514162</t>
        </is>
      </c>
    </row>
    <row r="7">
      <c r="A7" s="30" t="inlineStr">
        <is>
          <t>SPAL</t>
        </is>
      </c>
      <c r="B7" s="30" t="inlineStr">
        <is>
          <t>S. P. Apparels Limited</t>
        </is>
      </c>
      <c r="C7" s="30" t="inlineStr">
        <is>
          <t>consumer discretionary</t>
        </is>
      </c>
      <c r="D7" s="30" t="inlineStr">
        <is>
          <t>textiles - products</t>
        </is>
      </c>
      <c r="E7" s="30" t="inlineStr">
        <is>
          <t>smallcap</t>
        </is>
      </c>
      <c r="F7" s="30" t="n">
        <v>2088.92</v>
      </c>
      <c r="G7" s="30" t="n">
        <v>920.95</v>
      </c>
      <c r="H7" s="30" t="n">
        <v>10.83</v>
      </c>
      <c r="I7" s="30" t="n">
        <v>1430721</v>
      </c>
      <c r="J7" s="30" t="inlineStr">
        <is>
          <t>540048</t>
        </is>
      </c>
    </row>
    <row r="8">
      <c r="A8" s="30" t="inlineStr">
        <is>
          <t>SASKEN</t>
        </is>
      </c>
      <c r="B8" s="30" t="inlineStr">
        <is>
          <t>Sasken Communication Technologies Limited</t>
        </is>
      </c>
      <c r="C8" s="30" t="inlineStr">
        <is>
          <t>i.t</t>
        </is>
      </c>
      <c r="D8" s="30" t="inlineStr">
        <is>
          <t>computers - software - medium / small</t>
        </is>
      </c>
      <c r="E8" s="30" t="inlineStr">
        <is>
          <t>smallcap</t>
        </is>
      </c>
      <c r="F8" s="30" t="n">
        <v>3655.69</v>
      </c>
      <c r="G8" s="30" t="n">
        <v>2647.9</v>
      </c>
      <c r="H8" s="30" t="n">
        <v>10</v>
      </c>
      <c r="I8" s="30" t="n">
        <v>116241</v>
      </c>
      <c r="J8" s="30" t="inlineStr">
        <is>
          <t>532663</t>
        </is>
      </c>
    </row>
    <row r="9">
      <c r="A9" s="30" t="inlineStr">
        <is>
          <t>REDINGTON</t>
        </is>
      </c>
      <c r="B9" s="30" t="inlineStr">
        <is>
          <t>Redington (india) Limited</t>
        </is>
      </c>
      <c r="C9" s="30" t="inlineStr">
        <is>
          <t>services</t>
        </is>
      </c>
      <c r="D9" s="30" t="inlineStr">
        <is>
          <t>trading</t>
        </is>
      </c>
      <c r="E9" s="30" t="inlineStr">
        <is>
          <t>midcap</t>
        </is>
      </c>
      <c r="F9" s="30" t="n">
        <v>19459.93</v>
      </c>
      <c r="G9" s="30" t="n">
        <v>271.95</v>
      </c>
      <c r="H9" s="30" t="n">
        <v>9.25</v>
      </c>
      <c r="I9" s="30" t="n">
        <v>41965202</v>
      </c>
      <c r="J9" s="30" t="inlineStr">
        <is>
          <t>532805</t>
        </is>
      </c>
    </row>
    <row r="10">
      <c r="A10" s="30" t="inlineStr">
        <is>
          <t>PANAMAPET</t>
        </is>
      </c>
      <c r="B10" s="30" t="inlineStr">
        <is>
          <t>Panama Petrochem Limited</t>
        </is>
      </c>
      <c r="C10" s="30" t="inlineStr">
        <is>
          <t>energy</t>
        </is>
      </c>
      <c r="D10" s="30" t="inlineStr">
        <is>
          <t>petrochemicals</t>
        </is>
      </c>
      <c r="E10" s="30" t="inlineStr">
        <is>
          <t>smallcap</t>
        </is>
      </c>
      <c r="F10" s="30" t="n">
        <v>2263.07</v>
      </c>
      <c r="G10" s="30" t="n">
        <v>408.25</v>
      </c>
      <c r="H10" s="30" t="n">
        <v>9.130000000000001</v>
      </c>
      <c r="I10" s="30" t="n">
        <v>1694510</v>
      </c>
      <c r="J10" s="30" t="inlineStr">
        <is>
          <t>524820</t>
        </is>
      </c>
    </row>
    <row r="11">
      <c r="A11" s="30" t="inlineStr">
        <is>
          <t>NIACL</t>
        </is>
      </c>
      <c r="B11" s="30" t="inlineStr">
        <is>
          <t>New India Assurance Company Ltd</t>
        </is>
      </c>
      <c r="C11" s="30" t="inlineStr">
        <is>
          <t>financials</t>
        </is>
      </c>
      <c r="D11" s="30" t="inlineStr">
        <is>
          <t>finance &amp; investments</t>
        </is>
      </c>
      <c r="E11" s="30" t="inlineStr">
        <is>
          <t>largecap</t>
        </is>
      </c>
      <c r="F11" s="30" t="n">
        <v>27267.81</v>
      </c>
      <c r="G11" s="30" t="n">
        <v>178.67</v>
      </c>
      <c r="H11" s="30" t="n">
        <v>7.98</v>
      </c>
      <c r="I11" s="30" t="n">
        <v>86100480</v>
      </c>
      <c r="J11" s="30" t="inlineStr">
        <is>
          <t>540769</t>
        </is>
      </c>
    </row>
    <row r="12">
      <c r="A12" s="30" t="inlineStr">
        <is>
          <t>SPECTRUM</t>
        </is>
      </c>
      <c r="B12" s="30" t="inlineStr">
        <is>
          <t>Spectrum Electrical Industries Ltd</t>
        </is>
      </c>
      <c r="C12" s="30" t="inlineStr">
        <is>
          <t>industrials</t>
        </is>
      </c>
      <c r="D12" s="30" t="inlineStr">
        <is>
          <t>electric equipment</t>
        </is>
      </c>
      <c r="E12" s="30" t="inlineStr">
        <is>
          <t>smallcap</t>
        </is>
      </c>
      <c r="F12" s="30" t="n">
        <v>2584.3</v>
      </c>
      <c r="G12" s="30" t="n">
        <v>1770.7</v>
      </c>
      <c r="H12" s="30" t="n">
        <v>7.67</v>
      </c>
      <c r="I12" s="30" t="n">
        <v>44816</v>
      </c>
      <c r="J12" s="30" t="inlineStr">
        <is>
          <t>535112</t>
        </is>
      </c>
    </row>
    <row r="13">
      <c r="A13" s="30" t="inlineStr">
        <is>
          <t>WALCHANNAG</t>
        </is>
      </c>
      <c r="B13" s="30" t="inlineStr">
        <is>
          <t>Walchandnagar Industries Limited</t>
        </is>
      </c>
      <c r="C13" s="30" t="inlineStr">
        <is>
          <t>industrials</t>
        </is>
      </c>
      <c r="D13" s="30" t="inlineStr">
        <is>
          <t>engineering</t>
        </is>
      </c>
      <c r="E13" s="30" t="inlineStr">
        <is>
          <t>smallcap</t>
        </is>
      </c>
      <c r="F13" s="30" t="n">
        <v>1899.92</v>
      </c>
      <c r="G13" s="30" t="n">
        <v>301.35</v>
      </c>
      <c r="H13" s="30" t="n">
        <v>7.61</v>
      </c>
      <c r="I13" s="30" t="n">
        <v>10957946</v>
      </c>
      <c r="J13" s="30" t="inlineStr">
        <is>
          <t>507410</t>
        </is>
      </c>
    </row>
    <row r="14">
      <c r="A14" s="30" t="inlineStr">
        <is>
          <t>AEROENTER</t>
        </is>
      </c>
      <c r="B14" s="30" t="inlineStr">
        <is>
          <t>Aeroflex Enterprises Ltd</t>
        </is>
      </c>
      <c r="C14" s="30" t="inlineStr">
        <is>
          <t>metals &amp; mining</t>
        </is>
      </c>
      <c r="D14" s="30" t="inlineStr">
        <is>
          <t>steel - medium / small</t>
        </is>
      </c>
      <c r="E14" s="30" t="inlineStr">
        <is>
          <t>smallcap</t>
        </is>
      </c>
      <c r="F14" s="30" t="n">
        <v>1307.83</v>
      </c>
      <c r="G14" s="30" t="n">
        <v>124.42</v>
      </c>
      <c r="H14" s="30" t="n">
        <v>7.58</v>
      </c>
      <c r="I14" s="30" t="n">
        <v>10263334</v>
      </c>
      <c r="J14" s="30" t="inlineStr">
        <is>
          <t>511076</t>
        </is>
      </c>
    </row>
    <row r="15">
      <c r="A15" s="30" t="inlineStr">
        <is>
          <t>NIBE</t>
        </is>
      </c>
      <c r="B15" s="30" t="inlineStr">
        <is>
          <t>NIBE Ltd</t>
        </is>
      </c>
      <c r="C15" s="30" t="inlineStr">
        <is>
          <t>aerospace &amp; defence</t>
        </is>
      </c>
      <c r="D15" s="30" t="inlineStr">
        <is>
          <t>engineering</t>
        </is>
      </c>
      <c r="E15" s="30" t="inlineStr">
        <is>
          <t>smallcap</t>
        </is>
      </c>
      <c r="F15" s="30" t="n">
        <v>2480.41</v>
      </c>
      <c r="G15" s="30" t="n">
        <v>1748.4</v>
      </c>
      <c r="H15" s="30" t="n">
        <v>7.57</v>
      </c>
      <c r="I15" s="30" t="n">
        <v>693812</v>
      </c>
      <c r="J15" s="30" t="inlineStr">
        <is>
          <t>535136</t>
        </is>
      </c>
    </row>
    <row r="16">
      <c r="A16" s="30" t="inlineStr">
        <is>
          <t>GOKEX</t>
        </is>
      </c>
      <c r="B16" s="30" t="inlineStr">
        <is>
          <t>Gokaldas Exports Limited</t>
        </is>
      </c>
      <c r="C16" s="30" t="inlineStr">
        <is>
          <t>consumer discretionary</t>
        </is>
      </c>
      <c r="D16" s="30" t="inlineStr">
        <is>
          <t>textiles - products</t>
        </is>
      </c>
      <c r="E16" s="30" t="inlineStr">
        <is>
          <t>midcap</t>
        </is>
      </c>
      <c r="F16" s="30" t="n">
        <v>5345.95</v>
      </c>
      <c r="G16" s="30" t="n">
        <v>784.1</v>
      </c>
      <c r="H16" s="30" t="n">
        <v>7.43</v>
      </c>
      <c r="I16" s="30" t="n">
        <v>3559622</v>
      </c>
      <c r="J16" s="30" t="inlineStr">
        <is>
          <t>532630</t>
        </is>
      </c>
    </row>
    <row r="17">
      <c r="A17" s="30" t="inlineStr">
        <is>
          <t>OLECTRA</t>
        </is>
      </c>
      <c r="B17" s="30" t="inlineStr">
        <is>
          <t>Olectra Greentech Ltd</t>
        </is>
      </c>
      <c r="C17" s="30" t="inlineStr">
        <is>
          <t>auto</t>
        </is>
      </c>
      <c r="D17" s="30" t="inlineStr">
        <is>
          <t>automobiles - lcvs / hcvs</t>
        </is>
      </c>
      <c r="E17" s="30" t="inlineStr">
        <is>
          <t>midcap</t>
        </is>
      </c>
      <c r="F17" s="30" t="n">
        <v>11121.12</v>
      </c>
      <c r="G17" s="30" t="n">
        <v>1446.6</v>
      </c>
      <c r="H17" s="30" t="n">
        <v>6.77</v>
      </c>
      <c r="I17" s="30" t="n">
        <v>3590500</v>
      </c>
      <c r="J17" s="30" t="inlineStr">
        <is>
          <t>532439</t>
        </is>
      </c>
    </row>
    <row r="18">
      <c r="A18" s="30" t="inlineStr">
        <is>
          <t>GLOBAL</t>
        </is>
      </c>
      <c r="B18" s="30" t="inlineStr">
        <is>
          <t>Global Education Ltd</t>
        </is>
      </c>
      <c r="C18" s="30" t="inlineStr">
        <is>
          <t>services</t>
        </is>
      </c>
      <c r="D18" s="30" t="inlineStr">
        <is>
          <t>miscellaneous</t>
        </is>
      </c>
      <c r="E18" s="30" t="inlineStr">
        <is>
          <t>smallcap</t>
        </is>
      </c>
      <c r="F18" s="30" t="n">
        <v>531.26</v>
      </c>
      <c r="G18" s="30" t="n">
        <v>111.38</v>
      </c>
      <c r="H18" s="30" t="n">
        <v>6.72</v>
      </c>
      <c r="I18" s="30" t="n">
        <v>304629</v>
      </c>
      <c r="J18" s="30" t="inlineStr">
        <is>
          <t>538406</t>
        </is>
      </c>
    </row>
    <row r="19">
      <c r="A19" s="30" t="inlineStr">
        <is>
          <t>KIRLFER</t>
        </is>
      </c>
      <c r="B19" s="30" t="inlineStr">
        <is>
          <t>Kirloskar Ferrous Industries Ltd</t>
        </is>
      </c>
      <c r="C19" s="30" t="inlineStr">
        <is>
          <t>metals &amp; mining</t>
        </is>
      </c>
      <c r="D19" s="30" t="inlineStr">
        <is>
          <t>steel - large</t>
        </is>
      </c>
      <c r="E19" s="30" t="inlineStr">
        <is>
          <t>midcap</t>
        </is>
      </c>
      <c r="F19" s="30" t="n">
        <v>7327.47</v>
      </c>
      <c r="G19" s="30" t="n">
        <v>473.7</v>
      </c>
      <c r="H19" s="30" t="n">
        <v>6.62</v>
      </c>
      <c r="I19" s="30" t="n">
        <v>5934501</v>
      </c>
      <c r="J19" s="30" t="inlineStr">
        <is>
          <t>500245</t>
        </is>
      </c>
    </row>
    <row r="20">
      <c r="A20" s="30" t="inlineStr">
        <is>
          <t>RPTECH</t>
        </is>
      </c>
      <c r="B20" s="30" t="inlineStr">
        <is>
          <t>Rashi Peripherals Ltd</t>
        </is>
      </c>
      <c r="C20" s="30" t="inlineStr">
        <is>
          <t>services</t>
        </is>
      </c>
      <c r="D20" s="30" t="inlineStr">
        <is>
          <t>trading</t>
        </is>
      </c>
      <c r="E20" s="30" t="inlineStr">
        <is>
          <t>smallcap</t>
        </is>
      </c>
      <c r="F20" s="30" t="n">
        <v>4519.4</v>
      </c>
      <c r="G20" s="30" t="n">
        <v>730</v>
      </c>
      <c r="H20" s="30" t="n">
        <v>6.45</v>
      </c>
      <c r="I20" s="30" t="n">
        <v>10080736</v>
      </c>
      <c r="J20" s="30" t="n"/>
    </row>
    <row r="21">
      <c r="A21" s="30" t="inlineStr">
        <is>
          <t>SBC</t>
        </is>
      </c>
      <c r="B21" s="30" t="inlineStr">
        <is>
          <t>SBC Exports Ltd</t>
        </is>
      </c>
      <c r="C21" s="30" t="inlineStr">
        <is>
          <t>textiles</t>
        </is>
      </c>
      <c r="D21" s="30" t="inlineStr">
        <is>
          <t>textiles - products</t>
        </is>
      </c>
      <c r="E21" s="30" t="inlineStr">
        <is>
          <t>smallcap</t>
        </is>
      </c>
      <c r="F21" s="30" t="n">
        <v>1785.71</v>
      </c>
      <c r="G21" s="30" t="n">
        <v>39.88</v>
      </c>
      <c r="H21" s="30" t="n">
        <v>6.35</v>
      </c>
      <c r="I21" s="30" t="n">
        <v>31767547</v>
      </c>
      <c r="J21" s="30" t="inlineStr">
        <is>
          <t>542725</t>
        </is>
      </c>
    </row>
    <row r="22">
      <c r="A22" s="30" t="inlineStr">
        <is>
          <t>ABSLAMC</t>
        </is>
      </c>
      <c r="B22" s="30" t="inlineStr">
        <is>
          <t>Aditya Birla Sun Life AMC Ltd</t>
        </is>
      </c>
      <c r="C22" s="30" t="inlineStr">
        <is>
          <t>financials</t>
        </is>
      </c>
      <c r="D22" s="30" t="inlineStr">
        <is>
          <t>finance &amp; investments</t>
        </is>
      </c>
      <c r="E22" s="30" t="inlineStr">
        <is>
          <t>largecap</t>
        </is>
      </c>
      <c r="F22" s="30" t="n">
        <v>31708.03</v>
      </c>
      <c r="G22" s="30" t="n">
        <v>1167.1</v>
      </c>
      <c r="H22" s="30" t="n">
        <v>6.3</v>
      </c>
      <c r="I22" s="30" t="n">
        <v>541723</v>
      </c>
      <c r="J22" s="30" t="inlineStr">
        <is>
          <t>543374</t>
        </is>
      </c>
    </row>
    <row r="23">
      <c r="A23" s="30" t="inlineStr">
        <is>
          <t>MAXHEALTH</t>
        </is>
      </c>
      <c r="B23" s="30" t="inlineStr">
        <is>
          <t>Max Healthcare Institute Ltd</t>
        </is>
      </c>
      <c r="C23" s="30" t="inlineStr">
        <is>
          <t>healthcare</t>
        </is>
      </c>
      <c r="D23" s="30" t="inlineStr">
        <is>
          <t>healthcare</t>
        </is>
      </c>
      <c r="E23" s="30" t="inlineStr">
        <is>
          <t>largecap</t>
        </is>
      </c>
      <c r="F23" s="30" t="n">
        <v>99858.25</v>
      </c>
      <c r="G23" s="30" t="n">
        <v>1090.45</v>
      </c>
      <c r="H23" s="30" t="n">
        <v>6.27</v>
      </c>
      <c r="I23" s="30" t="n">
        <v>6871544</v>
      </c>
      <c r="J23" s="30" t="inlineStr">
        <is>
          <t>543220</t>
        </is>
      </c>
    </row>
    <row r="24">
      <c r="A24" s="30" t="inlineStr">
        <is>
          <t>NYKAA</t>
        </is>
      </c>
      <c r="B24" s="30" t="inlineStr">
        <is>
          <t>FSN E-Commerce Ventures Ltd</t>
        </is>
      </c>
      <c r="C24" s="30" t="inlineStr">
        <is>
          <t>i.t</t>
        </is>
      </c>
      <c r="D24" s="30" t="inlineStr">
        <is>
          <t>trading</t>
        </is>
      </c>
      <c r="E24" s="30" t="inlineStr">
        <is>
          <t>largecap</t>
        </is>
      </c>
      <c r="F24" s="30" t="n">
        <v>80442.37</v>
      </c>
      <c r="G24" s="30" t="n">
        <v>298.1</v>
      </c>
      <c r="H24" s="30" t="n">
        <v>6.1</v>
      </c>
      <c r="I24" s="30" t="n">
        <v>36124206</v>
      </c>
      <c r="J24" s="30" t="inlineStr">
        <is>
          <t>543384</t>
        </is>
      </c>
    </row>
    <row r="25">
      <c r="A25" s="30" t="inlineStr">
        <is>
          <t>ASTRAMICRO</t>
        </is>
      </c>
      <c r="B25" s="30" t="inlineStr">
        <is>
          <t>Astra Microwave Products Limited</t>
        </is>
      </c>
      <c r="C25" s="30" t="inlineStr">
        <is>
          <t>aerospace &amp; defence</t>
        </is>
      </c>
      <c r="D25" s="30" t="inlineStr">
        <is>
          <t>telecommunications - equipment</t>
        </is>
      </c>
      <c r="E25" s="30" t="inlineStr">
        <is>
          <t>midcap</t>
        </is>
      </c>
      <c r="F25" s="30" t="n">
        <v>14948.14</v>
      </c>
      <c r="G25" s="30" t="n">
        <v>1670</v>
      </c>
      <c r="H25" s="30" t="n">
        <v>6.07</v>
      </c>
      <c r="I25" s="30" t="n">
        <v>3308242</v>
      </c>
      <c r="J25" s="30" t="inlineStr">
        <is>
          <t>532493</t>
        </is>
      </c>
    </row>
    <row r="26">
      <c r="A26" s="30" t="inlineStr">
        <is>
          <t>STARHEALTH</t>
        </is>
      </c>
      <c r="B26" s="30" t="inlineStr">
        <is>
          <t>Star Health &amp; Allied Insurance Company Ltd</t>
        </is>
      </c>
      <c r="C26" s="30" t="inlineStr">
        <is>
          <t>financials</t>
        </is>
      </c>
      <c r="D26" s="30" t="inlineStr">
        <is>
          <t>finance &amp; investments</t>
        </is>
      </c>
      <c r="E26" s="30" t="inlineStr">
        <is>
          <t>largecap</t>
        </is>
      </c>
      <c r="F26" s="30" t="n">
        <v>31403.09</v>
      </c>
      <c r="G26" s="30" t="n">
        <v>565.65</v>
      </c>
      <c r="H26" s="30" t="n">
        <v>5.99</v>
      </c>
      <c r="I26" s="30" t="n">
        <v>7103329</v>
      </c>
      <c r="J26" s="30" t="inlineStr">
        <is>
          <t>543412</t>
        </is>
      </c>
    </row>
    <row r="27">
      <c r="A27" s="30" t="inlineStr">
        <is>
          <t>PARACABLES</t>
        </is>
      </c>
      <c r="B27" s="30" t="inlineStr">
        <is>
          <t>Paramount Communications Limited</t>
        </is>
      </c>
      <c r="C27" s="30" t="inlineStr">
        <is>
          <t>industrials</t>
        </is>
      </c>
      <c r="D27" s="30" t="inlineStr">
        <is>
          <t>cables - power</t>
        </is>
      </c>
      <c r="E27" s="30" t="inlineStr">
        <is>
          <t>smallcap</t>
        </is>
      </c>
      <c r="F27" s="30" t="n">
        <v>2016.52</v>
      </c>
      <c r="G27" s="30" t="n">
        <v>69.81999999999999</v>
      </c>
      <c r="H27" s="30" t="n">
        <v>5.68</v>
      </c>
      <c r="I27" s="30" t="n">
        <v>7688020</v>
      </c>
      <c r="J27" s="30" t="inlineStr">
        <is>
          <t>530555</t>
        </is>
      </c>
    </row>
    <row r="28">
      <c r="A28" s="30" t="inlineStr">
        <is>
          <t>VTL</t>
        </is>
      </c>
      <c r="B28" s="30" t="inlineStr">
        <is>
          <t>Vardhman Textiles Limited</t>
        </is>
      </c>
      <c r="C28" s="30" t="inlineStr">
        <is>
          <t>textiles</t>
        </is>
      </c>
      <c r="D28" s="30" t="inlineStr">
        <is>
          <t>textiles - cotton/blended</t>
        </is>
      </c>
      <c r="E28" s="30" t="inlineStr">
        <is>
          <t>midcap</t>
        </is>
      </c>
      <c r="F28" s="30" t="n">
        <v>18113.38</v>
      </c>
      <c r="G28" s="30" t="n">
        <v>661.4</v>
      </c>
      <c r="H28" s="30" t="n">
        <v>5.63</v>
      </c>
      <c r="I28" s="30" t="n">
        <v>1413690</v>
      </c>
      <c r="J28" s="30" t="inlineStr">
        <is>
          <t>502986</t>
        </is>
      </c>
    </row>
    <row r="29">
      <c r="A29" s="30" t="inlineStr">
        <is>
          <t>GODREJIND</t>
        </is>
      </c>
      <c r="B29" s="30" t="inlineStr">
        <is>
          <t>Godrej Industries Limited</t>
        </is>
      </c>
      <c r="C29" s="30" t="inlineStr">
        <is>
          <t>chemicals</t>
        </is>
      </c>
      <c r="D29" s="30" t="inlineStr">
        <is>
          <t>chemicals</t>
        </is>
      </c>
      <c r="E29" s="30" t="inlineStr">
        <is>
          <t>largecap</t>
        </is>
      </c>
      <c r="F29" s="30" t="n">
        <v>35438.61</v>
      </c>
      <c r="G29" s="30" t="n">
        <v>1111.2</v>
      </c>
      <c r="H29" s="30" t="n">
        <v>5.61</v>
      </c>
      <c r="I29" s="30" t="n">
        <v>510545</v>
      </c>
      <c r="J29" s="30" t="inlineStr">
        <is>
          <t>500164</t>
        </is>
      </c>
    </row>
    <row r="30">
      <c r="A30" s="30" t="inlineStr">
        <is>
          <t>GRANULES</t>
        </is>
      </c>
      <c r="B30" s="30" t="inlineStr">
        <is>
          <t>Granules India Limited</t>
        </is>
      </c>
      <c r="C30" s="30" t="inlineStr">
        <is>
          <t>healthcare</t>
        </is>
      </c>
      <c r="D30" s="30" t="inlineStr">
        <is>
          <t>pharmaceuticals - indian - bulk drugs &amp; formln</t>
        </is>
      </c>
      <c r="E30" s="30" t="inlineStr">
        <is>
          <t>midcap</t>
        </is>
      </c>
      <c r="F30" s="30" t="n">
        <v>18371.66</v>
      </c>
      <c r="G30" s="30" t="n">
        <v>782.1</v>
      </c>
      <c r="H30" s="30" t="n">
        <v>5.49</v>
      </c>
      <c r="I30" s="30" t="n">
        <v>1614755</v>
      </c>
      <c r="J30" s="30" t="inlineStr">
        <is>
          <t>532482</t>
        </is>
      </c>
    </row>
    <row r="31">
      <c r="A31" s="30" t="inlineStr">
        <is>
          <t>CARBORUNIV</t>
        </is>
      </c>
      <c r="B31" s="30" t="inlineStr">
        <is>
          <t>Carborundum Universal Limited</t>
        </is>
      </c>
      <c r="C31" s="30" t="inlineStr">
        <is>
          <t>industrials</t>
        </is>
      </c>
      <c r="D31" s="30" t="inlineStr">
        <is>
          <t>abrasives and grinding wheels</t>
        </is>
      </c>
      <c r="E31" s="30" t="inlineStr">
        <is>
          <t>largecap</t>
        </is>
      </c>
      <c r="F31" s="30" t="n">
        <v>21531.37</v>
      </c>
      <c r="G31" s="30" t="n">
        <v>1192.2</v>
      </c>
      <c r="H31" s="30" t="n">
        <v>5.48</v>
      </c>
      <c r="I31" s="30" t="n">
        <v>2071027</v>
      </c>
      <c r="J31" s="30" t="inlineStr">
        <is>
          <t>513375</t>
        </is>
      </c>
    </row>
    <row r="32">
      <c r="A32" s="30" t="inlineStr">
        <is>
          <t>BEPL</t>
        </is>
      </c>
      <c r="B32" s="30" t="inlineStr">
        <is>
          <t>Bhansali Engineering Polymers Limited</t>
        </is>
      </c>
      <c r="C32" s="30" t="inlineStr">
        <is>
          <t>energy</t>
        </is>
      </c>
      <c r="D32" s="30" t="inlineStr">
        <is>
          <t>petrochemicals</t>
        </is>
      </c>
      <c r="E32" s="30" t="inlineStr">
        <is>
          <t>smallcap</t>
        </is>
      </c>
      <c r="F32" s="30" t="n">
        <v>2526.91</v>
      </c>
      <c r="G32" s="30" t="n">
        <v>107.06</v>
      </c>
      <c r="H32" s="30" t="n">
        <v>5.44</v>
      </c>
      <c r="I32" s="30" t="n">
        <v>4385019</v>
      </c>
      <c r="J32" s="30" t="inlineStr">
        <is>
          <t>500052</t>
        </is>
      </c>
    </row>
    <row r="33">
      <c r="A33" s="30" t="inlineStr">
        <is>
          <t>GPTINFRA</t>
        </is>
      </c>
      <c r="B33" s="30" t="inlineStr">
        <is>
          <t>Gpt Infraprojects Limited</t>
        </is>
      </c>
      <c r="C33" s="30" t="inlineStr">
        <is>
          <t>realty</t>
        </is>
      </c>
      <c r="D33" s="30" t="inlineStr">
        <is>
          <t>construction</t>
        </is>
      </c>
      <c r="E33" s="30" t="inlineStr">
        <is>
          <t>smallcap</t>
        </is>
      </c>
      <c r="F33" s="30" t="n">
        <v>1466.46</v>
      </c>
      <c r="G33" s="30" t="n">
        <v>122.35</v>
      </c>
      <c r="H33" s="30" t="n">
        <v>5.43</v>
      </c>
      <c r="I33" s="30" t="n">
        <v>521065</v>
      </c>
      <c r="J33" s="30" t="inlineStr">
        <is>
          <t>533761</t>
        </is>
      </c>
    </row>
    <row r="34">
      <c r="A34" s="30" t="inlineStr">
        <is>
          <t>GOCLCORP</t>
        </is>
      </c>
      <c r="B34" s="30" t="inlineStr">
        <is>
          <t>Gocl Corporation Limited</t>
        </is>
      </c>
      <c r="C34" s="30" t="inlineStr">
        <is>
          <t>miscellaneous</t>
        </is>
      </c>
      <c r="D34" s="30" t="inlineStr">
        <is>
          <t>diversified - medium / small</t>
        </is>
      </c>
      <c r="E34" s="30" t="inlineStr">
        <is>
          <t>smallcap</t>
        </is>
      </c>
      <c r="F34" s="30" t="n">
        <v>1999.26</v>
      </c>
      <c r="G34" s="30" t="n">
        <v>424.95</v>
      </c>
      <c r="H34" s="30" t="n">
        <v>5.37</v>
      </c>
      <c r="I34" s="30" t="n">
        <v>1558341</v>
      </c>
      <c r="J34" s="30" t="inlineStr">
        <is>
          <t>506480</t>
        </is>
      </c>
    </row>
    <row r="35">
      <c r="A35" s="30" t="inlineStr">
        <is>
          <t>GNA</t>
        </is>
      </c>
      <c r="B35" s="30" t="inlineStr">
        <is>
          <t>Gna Axles Limited</t>
        </is>
      </c>
      <c r="C35" s="30" t="inlineStr">
        <is>
          <t>auto</t>
        </is>
      </c>
      <c r="D35" s="30" t="inlineStr">
        <is>
          <t>auto ancillaries</t>
        </is>
      </c>
      <c r="E35" s="30" t="inlineStr">
        <is>
          <t>smallcap</t>
        </is>
      </c>
      <c r="F35" s="30" t="n">
        <v>1684.6</v>
      </c>
      <c r="G35" s="30" t="n">
        <v>412.85</v>
      </c>
      <c r="H35" s="30" t="n">
        <v>5.21</v>
      </c>
      <c r="I35" s="30" t="n">
        <v>4221325</v>
      </c>
      <c r="J35" s="30" t="inlineStr">
        <is>
          <t>540124</t>
        </is>
      </c>
    </row>
    <row r="36">
      <c r="A36" s="30" t="inlineStr">
        <is>
          <t>PGIL</t>
        </is>
      </c>
      <c r="B36" s="30" t="inlineStr">
        <is>
          <t>Pearl Global Industries Limited</t>
        </is>
      </c>
      <c r="C36" s="30" t="inlineStr">
        <is>
          <t>consumer discretionary</t>
        </is>
      </c>
      <c r="D36" s="30" t="inlineStr">
        <is>
          <t>textiles - products</t>
        </is>
      </c>
      <c r="E36" s="30" t="inlineStr">
        <is>
          <t>midcap</t>
        </is>
      </c>
      <c r="F36" s="30" t="n">
        <v>7658.85</v>
      </c>
      <c r="G36" s="30" t="n">
        <v>1743.5</v>
      </c>
      <c r="H36" s="30" t="n">
        <v>5.05</v>
      </c>
      <c r="I36" s="30" t="n">
        <v>130472</v>
      </c>
      <c r="J36" s="30" t="inlineStr">
        <is>
          <t>532808</t>
        </is>
      </c>
    </row>
    <row r="37">
      <c r="A37" s="30" t="inlineStr">
        <is>
          <t>PREMIERPOL</t>
        </is>
      </c>
      <c r="B37" s="30" t="inlineStr">
        <is>
          <t>Premier Polyfilm Limited</t>
        </is>
      </c>
      <c r="C37" s="30" t="inlineStr">
        <is>
          <t>plastic products</t>
        </is>
      </c>
      <c r="D37" s="30" t="inlineStr">
        <is>
          <t>plastics products</t>
        </is>
      </c>
      <c r="E37" s="30" t="inlineStr">
        <is>
          <t>smallcap</t>
        </is>
      </c>
      <c r="F37" s="30" t="n">
        <v>609.71</v>
      </c>
      <c r="G37" s="30" t="n">
        <v>61.12</v>
      </c>
      <c r="H37" s="30" t="n">
        <v>5</v>
      </c>
      <c r="I37" s="30" t="n">
        <v>124879</v>
      </c>
      <c r="J37" s="30" t="inlineStr">
        <is>
          <t>514354</t>
        </is>
      </c>
    </row>
    <row r="38">
      <c r="A38" s="30" t="inlineStr">
        <is>
          <t>RUBYMILLS</t>
        </is>
      </c>
      <c r="B38" s="30" t="inlineStr">
        <is>
          <t>The Ruby Mills Limited</t>
        </is>
      </c>
      <c r="C38" s="30" t="inlineStr">
        <is>
          <t>textiles</t>
        </is>
      </c>
      <c r="D38" s="30" t="inlineStr">
        <is>
          <t>textiles - composite</t>
        </is>
      </c>
      <c r="E38" s="30" t="inlineStr">
        <is>
          <t>smallcap</t>
        </is>
      </c>
      <c r="F38" s="30" t="n">
        <v>1063.56</v>
      </c>
      <c r="G38" s="30" t="n">
        <v>333.95</v>
      </c>
      <c r="H38" s="30" t="n">
        <v>5</v>
      </c>
      <c r="I38" s="30" t="n">
        <v>25938</v>
      </c>
      <c r="J38" s="30" t="inlineStr">
        <is>
          <t>503169</t>
        </is>
      </c>
    </row>
    <row r="39">
      <c r="A39" s="30" t="inlineStr">
        <is>
          <t>HFCL</t>
        </is>
      </c>
      <c r="B39" s="30" t="inlineStr">
        <is>
          <t>HFCL Ltd</t>
        </is>
      </c>
      <c r="C39" s="30" t="inlineStr">
        <is>
          <t>telecom</t>
        </is>
      </c>
      <c r="D39" s="30" t="inlineStr">
        <is>
          <t>cables - telephone</t>
        </is>
      </c>
      <c r="E39" s="30" t="inlineStr">
        <is>
          <t>largecap</t>
        </is>
      </c>
      <c r="F39" s="30" t="n">
        <v>29101.34</v>
      </c>
      <c r="G39" s="30" t="n">
        <v>199.63</v>
      </c>
      <c r="H39" s="30" t="n">
        <v>5</v>
      </c>
      <c r="I39" s="30" t="n">
        <v>26354654</v>
      </c>
      <c r="J39" s="30" t="inlineStr">
        <is>
          <t>500183</t>
        </is>
      </c>
    </row>
    <row r="40">
      <c r="A40" s="30" t="inlineStr">
        <is>
          <t>SIGMAADV</t>
        </is>
      </c>
      <c r="B40" s="30" t="inlineStr">
        <is>
          <t>Sigma Advanced System Ltd</t>
        </is>
      </c>
      <c r="C40" s="30" t="inlineStr">
        <is>
          <t>aerospace &amp; defence</t>
        </is>
      </c>
      <c r="D40" s="30" t="inlineStr">
        <is>
          <t>electronics - components</t>
        </is>
      </c>
      <c r="E40" s="30" t="inlineStr">
        <is>
          <t>midcap</t>
        </is>
      </c>
      <c r="F40" s="30" t="n">
        <v>8393.42</v>
      </c>
      <c r="G40" s="30" t="n">
        <v>500.05</v>
      </c>
      <c r="H40" s="30" t="n">
        <v>5</v>
      </c>
      <c r="I40" s="30" t="n">
        <v>203095</v>
      </c>
      <c r="J40" s="30" t="inlineStr">
        <is>
          <t>532408</t>
        </is>
      </c>
    </row>
    <row r="41">
      <c r="A41" s="30" t="inlineStr">
        <is>
          <t>JAYBARMARU</t>
        </is>
      </c>
      <c r="B41" s="30" t="inlineStr">
        <is>
          <t>Jay Bharat Maruti Limited</t>
        </is>
      </c>
      <c r="C41" s="30" t="inlineStr">
        <is>
          <t>auto</t>
        </is>
      </c>
      <c r="D41" s="30" t="inlineStr">
        <is>
          <t>auto ancillaries</t>
        </is>
      </c>
      <c r="E41" s="30" t="inlineStr">
        <is>
          <t>smallcap</t>
        </is>
      </c>
      <c r="F41" s="30" t="n">
        <v>1781.47</v>
      </c>
      <c r="G41" s="30" t="n">
        <v>172.79</v>
      </c>
      <c r="H41" s="30" t="n">
        <v>4.99</v>
      </c>
      <c r="I41" s="30" t="n">
        <v>1390958</v>
      </c>
      <c r="J41" s="30" t="inlineStr">
        <is>
          <t>520066</t>
        </is>
      </c>
    </row>
    <row r="42">
      <c r="A42" s="30" t="inlineStr">
        <is>
          <t>IBULLSLTD</t>
        </is>
      </c>
      <c r="B42" s="30" t="inlineStr">
        <is>
          <t>Indiabulls Limited</t>
        </is>
      </c>
      <c r="C42" s="30" t="inlineStr">
        <is>
          <t>miscellaneous</t>
        </is>
      </c>
      <c r="D42" s="30" t="inlineStr">
        <is>
          <t>diversified - medium / small</t>
        </is>
      </c>
      <c r="E42" s="30" t="inlineStr">
        <is>
          <t>midcap</t>
        </is>
      </c>
      <c r="F42" s="30" t="n">
        <v>5590.14</v>
      </c>
      <c r="G42" s="30" t="n">
        <v>25.25</v>
      </c>
      <c r="H42" s="30" t="n">
        <v>4.99</v>
      </c>
      <c r="I42" s="30" t="n">
        <v>5038057</v>
      </c>
      <c r="J42" s="30" t="inlineStr">
        <is>
          <t>533520</t>
        </is>
      </c>
    </row>
    <row r="43">
      <c r="A43" s="30" t="inlineStr">
        <is>
          <t>BHAGYANGR</t>
        </is>
      </c>
      <c r="B43" s="30" t="inlineStr">
        <is>
          <t>Bhagyanagar India</t>
        </is>
      </c>
      <c r="C43" s="30" t="inlineStr">
        <is>
          <t>power &amp; utilities</t>
        </is>
      </c>
      <c r="D43" s="30" t="inlineStr">
        <is>
          <t>power generation and supply</t>
        </is>
      </c>
      <c r="E43" s="30" t="inlineStr">
        <is>
          <t>smallcap</t>
        </is>
      </c>
      <c r="F43" s="30" t="n">
        <v>1150.22</v>
      </c>
      <c r="G43" s="30" t="n">
        <v>377.45</v>
      </c>
      <c r="H43" s="30" t="n">
        <v>4.99</v>
      </c>
      <c r="I43" s="30" t="n">
        <v>95698</v>
      </c>
      <c r="J43" s="30" t="inlineStr">
        <is>
          <t>512296</t>
        </is>
      </c>
    </row>
    <row r="44">
      <c r="A44" s="30" t="inlineStr">
        <is>
          <t>HMT</t>
        </is>
      </c>
      <c r="B44" s="30" t="inlineStr">
        <is>
          <t>Hmt Limited</t>
        </is>
      </c>
      <c r="C44" s="30" t="inlineStr">
        <is>
          <t>consumer discretionary</t>
        </is>
      </c>
      <c r="D44" s="30" t="inlineStr">
        <is>
          <t>miscellaneous</t>
        </is>
      </c>
      <c r="E44" s="30" t="inlineStr">
        <is>
          <t>midcap</t>
        </is>
      </c>
      <c r="F44" s="30" t="n">
        <v>7071.63</v>
      </c>
      <c r="G44" s="30" t="n">
        <v>61.66</v>
      </c>
      <c r="H44" s="30" t="n">
        <v>4.99</v>
      </c>
      <c r="I44" s="30" t="n">
        <v>8004</v>
      </c>
      <c r="J44" s="30" t="inlineStr">
        <is>
          <t>500191</t>
        </is>
      </c>
    </row>
    <row r="45">
      <c r="A45" s="30" t="inlineStr">
        <is>
          <t>QPOWER</t>
        </is>
      </c>
      <c r="B45" s="30" t="inlineStr">
        <is>
          <t>Quality Power Electrical Equipments Ltd</t>
        </is>
      </c>
      <c r="C45" s="30" t="inlineStr">
        <is>
          <t>industrials</t>
        </is>
      </c>
      <c r="D45" s="30" t="inlineStr">
        <is>
          <t>electric equipment</t>
        </is>
      </c>
      <c r="E45" s="30" t="inlineStr">
        <is>
          <t>midcap</t>
        </is>
      </c>
      <c r="F45" s="30" t="n">
        <v>9661.93</v>
      </c>
      <c r="G45" s="30" t="n">
        <v>1309.7</v>
      </c>
      <c r="H45" s="30" t="n">
        <v>4.98</v>
      </c>
      <c r="I45" s="30" t="n">
        <v>367509</v>
      </c>
      <c r="J45" s="30" t="inlineStr">
        <is>
          <t>544367</t>
        </is>
      </c>
    </row>
    <row r="46">
      <c r="A46" s="30" t="inlineStr">
        <is>
          <t>STLTECH</t>
        </is>
      </c>
      <c r="B46" s="30" t="inlineStr">
        <is>
          <t>Sterlite Technologies Limited</t>
        </is>
      </c>
      <c r="C46" s="30" t="inlineStr">
        <is>
          <t>industrials</t>
        </is>
      </c>
      <c r="D46" s="30" t="inlineStr">
        <is>
          <t>cables - telephone</t>
        </is>
      </c>
      <c r="E46" s="30" t="inlineStr">
        <is>
          <t>largecap</t>
        </is>
      </c>
      <c r="F46" s="30" t="n">
        <v>30098.25</v>
      </c>
      <c r="G46" s="30" t="n">
        <v>647.2</v>
      </c>
      <c r="H46" s="30" t="n">
        <v>4.96</v>
      </c>
      <c r="I46" s="30" t="n">
        <v>2876701</v>
      </c>
      <c r="J46" s="30" t="inlineStr">
        <is>
          <t>532374</t>
        </is>
      </c>
    </row>
    <row r="47">
      <c r="A47" s="30" t="inlineStr">
        <is>
          <t>KIRLOSIND</t>
        </is>
      </c>
      <c r="B47" s="30" t="inlineStr">
        <is>
          <t>Kirloskar Industries Limited</t>
        </is>
      </c>
      <c r="C47" s="30" t="inlineStr">
        <is>
          <t>financials</t>
        </is>
      </c>
      <c r="D47" s="30" t="inlineStr">
        <is>
          <t>finance &amp; investments</t>
        </is>
      </c>
      <c r="E47" s="30" t="inlineStr">
        <is>
          <t>smallcap</t>
        </is>
      </c>
      <c r="F47" s="30" t="n">
        <v>3813.54</v>
      </c>
      <c r="G47" s="30" t="n">
        <v>3808.7</v>
      </c>
      <c r="H47" s="30" t="n">
        <v>4.96</v>
      </c>
      <c r="I47" s="30" t="n">
        <v>165927</v>
      </c>
      <c r="J47" s="30" t="inlineStr">
        <is>
          <t>500243</t>
        </is>
      </c>
    </row>
    <row r="48">
      <c r="A48" s="30" t="inlineStr">
        <is>
          <t>ZIMLAB</t>
        </is>
      </c>
      <c r="B48" s="30" t="inlineStr">
        <is>
          <t>Zim Laboratories Ltd</t>
        </is>
      </c>
      <c r="C48" s="30" t="inlineStr">
        <is>
          <t>healthcare</t>
        </is>
      </c>
      <c r="D48" s="30" t="inlineStr">
        <is>
          <t>pharmaceuticals - indian - bulk drugs &amp; formln</t>
        </is>
      </c>
      <c r="E48" s="30" t="inlineStr">
        <is>
          <t>smallcap</t>
        </is>
      </c>
      <c r="F48" s="30" t="n">
        <v>580.96</v>
      </c>
      <c r="G48" s="30" t="n">
        <v>113.97</v>
      </c>
      <c r="H48" s="30" t="n">
        <v>4.95</v>
      </c>
      <c r="I48" s="30" t="n">
        <v>79215</v>
      </c>
      <c r="J48" s="30" t="inlineStr">
        <is>
          <t>541400</t>
        </is>
      </c>
    </row>
    <row r="49">
      <c r="A49" s="30" t="inlineStr">
        <is>
          <t>INGERRAND</t>
        </is>
      </c>
      <c r="B49" s="30" t="inlineStr">
        <is>
          <t>Ingersoll Rand (india) Limited</t>
        </is>
      </c>
      <c r="C49" s="30" t="inlineStr">
        <is>
          <t>industrials</t>
        </is>
      </c>
      <c r="D49" s="30" t="inlineStr">
        <is>
          <t>compressors / drilling equipment</t>
        </is>
      </c>
      <c r="E49" s="30" t="inlineStr">
        <is>
          <t>midcap</t>
        </is>
      </c>
      <c r="F49" s="30" t="n">
        <v>14201.81</v>
      </c>
      <c r="G49" s="30" t="n">
        <v>4714.1</v>
      </c>
      <c r="H49" s="30" t="n">
        <v>4.79</v>
      </c>
      <c r="I49" s="30" t="n">
        <v>53054</v>
      </c>
      <c r="J49" s="30" t="inlineStr">
        <is>
          <t>500210</t>
        </is>
      </c>
    </row>
    <row r="50">
      <c r="A50" s="30" t="inlineStr">
        <is>
          <t>ADANIPOWER</t>
        </is>
      </c>
      <c r="B50" s="30" t="inlineStr">
        <is>
          <t>Adani Power Limited</t>
        </is>
      </c>
      <c r="C50" s="30" t="inlineStr">
        <is>
          <t>power &amp; utilities</t>
        </is>
      </c>
      <c r="D50" s="30" t="inlineStr">
        <is>
          <t>power generation and supply</t>
        </is>
      </c>
      <c r="E50" s="30" t="inlineStr">
        <is>
          <t>largecap</t>
        </is>
      </c>
      <c r="F50" s="30" t="n">
        <v>425034.67</v>
      </c>
      <c r="G50" s="30" t="n">
        <v>230.57</v>
      </c>
      <c r="H50" s="30" t="n">
        <v>4.61</v>
      </c>
      <c r="I50" s="30" t="n">
        <v>49545386</v>
      </c>
      <c r="J50" s="30" t="inlineStr">
        <is>
          <t>533096</t>
        </is>
      </c>
    </row>
    <row r="51">
      <c r="A51" s="30" t="inlineStr">
        <is>
          <t>ACUTAAS</t>
        </is>
      </c>
      <c r="B51" s="30" t="inlineStr">
        <is>
          <t>Acutaas Chemicals Ltd</t>
        </is>
      </c>
      <c r="C51" s="30" t="inlineStr">
        <is>
          <t>healthcare</t>
        </is>
      </c>
      <c r="D51" s="30" t="inlineStr">
        <is>
          <t>pharmaceuticals - indian - bulk drugs</t>
        </is>
      </c>
      <c r="E51" s="30" t="inlineStr">
        <is>
          <t>largecap</t>
        </is>
      </c>
      <c r="F51" s="30" t="n">
        <v>24560.52</v>
      </c>
      <c r="G51" s="30" t="n">
        <v>3136.3</v>
      </c>
      <c r="H51" s="30" t="n">
        <v>4.55</v>
      </c>
      <c r="I51" s="30" t="n">
        <v>360896</v>
      </c>
      <c r="J51" s="30" t="inlineStr">
        <is>
          <t>543349</t>
        </is>
      </c>
    </row>
    <row r="52">
      <c r="A52" s="30" t="inlineStr">
        <is>
          <t>BLUSPRING</t>
        </is>
      </c>
      <c r="B52" s="30" t="inlineStr">
        <is>
          <t>Bluspring Enterprises Ltd</t>
        </is>
      </c>
      <c r="C52" s="30" t="inlineStr">
        <is>
          <t>miscellaneous</t>
        </is>
      </c>
      <c r="D52" s="30" t="inlineStr">
        <is>
          <t>diversified - large</t>
        </is>
      </c>
      <c r="E52" s="30" t="inlineStr">
        <is>
          <t>smallcap</t>
        </is>
      </c>
      <c r="F52" s="30" t="n">
        <v>1630.76</v>
      </c>
      <c r="G52" s="30" t="n">
        <v>114.29</v>
      </c>
      <c r="H52" s="30" t="n">
        <v>4.52</v>
      </c>
      <c r="I52" s="30" t="n">
        <v>4799939</v>
      </c>
      <c r="J52" s="30" t="inlineStr">
        <is>
          <t>544414</t>
        </is>
      </c>
    </row>
    <row r="53">
      <c r="A53" s="30" t="inlineStr">
        <is>
          <t>FLUOROCHEM</t>
        </is>
      </c>
      <c r="B53" s="30" t="inlineStr">
        <is>
          <t>Gujarat Fluorochemicals Ltd</t>
        </is>
      </c>
      <c r="C53" s="30" t="inlineStr">
        <is>
          <t>chemicals</t>
        </is>
      </c>
      <c r="D53" s="30" t="inlineStr">
        <is>
          <t>chemicals</t>
        </is>
      </c>
      <c r="E53" s="30" t="inlineStr">
        <is>
          <t>largecap</t>
        </is>
      </c>
      <c r="F53" s="30" t="n">
        <v>40378.66</v>
      </c>
      <c r="G53" s="30" t="n">
        <v>3837.5</v>
      </c>
      <c r="H53" s="30" t="n">
        <v>4.4</v>
      </c>
      <c r="I53" s="30" t="n">
        <v>382621</v>
      </c>
      <c r="J53" s="30" t="inlineStr">
        <is>
          <t>542812</t>
        </is>
      </c>
    </row>
    <row r="54">
      <c r="A54" s="30" t="inlineStr">
        <is>
          <t>SICALLOG</t>
        </is>
      </c>
      <c r="B54" s="30" t="inlineStr">
        <is>
          <t>Sical Logistics Ltd</t>
        </is>
      </c>
      <c r="C54" s="30" t="inlineStr">
        <is>
          <t>transportation</t>
        </is>
      </c>
      <c r="D54" s="30" t="inlineStr">
        <is>
          <t>miscellaneous</t>
        </is>
      </c>
      <c r="E54" s="30" t="inlineStr">
        <is>
          <t>smallcap</t>
        </is>
      </c>
      <c r="F54" s="30" t="n">
        <v>771.04</v>
      </c>
      <c r="G54" s="30" t="n">
        <v>100.87</v>
      </c>
      <c r="H54" s="30" t="n">
        <v>4.38</v>
      </c>
      <c r="I54" s="30" t="n">
        <v>620674</v>
      </c>
      <c r="J54" s="30" t="inlineStr">
        <is>
          <t>520086</t>
        </is>
      </c>
    </row>
    <row r="55">
      <c r="A55" s="30" t="inlineStr">
        <is>
          <t>YASHO</t>
        </is>
      </c>
      <c r="B55" s="30" t="inlineStr">
        <is>
          <t>Yasho Industries Ltd</t>
        </is>
      </c>
      <c r="C55" s="30" t="inlineStr">
        <is>
          <t>chemicals</t>
        </is>
      </c>
      <c r="D55" s="30" t="inlineStr">
        <is>
          <t>chemicals</t>
        </is>
      </c>
      <c r="E55" s="30" t="inlineStr">
        <is>
          <t>smallcap</t>
        </is>
      </c>
      <c r="F55" s="30" t="n">
        <v>3345.96</v>
      </c>
      <c r="G55" s="30" t="n">
        <v>2892.4</v>
      </c>
      <c r="H55" s="30" t="n">
        <v>4.23</v>
      </c>
      <c r="I55" s="30" t="n">
        <v>46642</v>
      </c>
      <c r="J55" s="30" t="inlineStr">
        <is>
          <t>541167</t>
        </is>
      </c>
    </row>
    <row r="56">
      <c r="A56" s="30" t="inlineStr">
        <is>
          <t>POKARNA</t>
        </is>
      </c>
      <c r="B56" s="30" t="inlineStr">
        <is>
          <t>Pokarna Limited</t>
        </is>
      </c>
      <c r="C56" s="30" t="inlineStr">
        <is>
          <t>consumer discretionary</t>
        </is>
      </c>
      <c r="D56" s="30" t="inlineStr">
        <is>
          <t>miscellaneous</t>
        </is>
      </c>
      <c r="E56" s="30" t="inlineStr">
        <is>
          <t>smallcap</t>
        </is>
      </c>
      <c r="F56" s="30" t="n">
        <v>2808.03</v>
      </c>
      <c r="G56" s="30" t="n">
        <v>944.05</v>
      </c>
      <c r="H56" s="30" t="n">
        <v>4.23</v>
      </c>
      <c r="I56" s="30" t="n">
        <v>161817</v>
      </c>
      <c r="J56" s="30" t="inlineStr">
        <is>
          <t>532486</t>
        </is>
      </c>
    </row>
    <row r="57">
      <c r="A57" s="30" t="inlineStr">
        <is>
          <t>CARYSIL</t>
        </is>
      </c>
      <c r="B57" s="30" t="inlineStr">
        <is>
          <t>Carysil Ltd</t>
        </is>
      </c>
      <c r="C57" s="30" t="inlineStr">
        <is>
          <t>consumer discretionary</t>
        </is>
      </c>
      <c r="D57" s="30" t="inlineStr">
        <is>
          <t>domestic appliances</t>
        </is>
      </c>
      <c r="E57" s="30" t="inlineStr">
        <is>
          <t>smallcap</t>
        </is>
      </c>
      <c r="F57" s="30" t="n">
        <v>3378.41</v>
      </c>
      <c r="G57" s="30" t="n">
        <v>1237.8</v>
      </c>
      <c r="H57" s="30" t="n">
        <v>4.21</v>
      </c>
      <c r="I57" s="30" t="n">
        <v>283926</v>
      </c>
      <c r="J57" s="30" t="inlineStr">
        <is>
          <t>524091</t>
        </is>
      </c>
    </row>
    <row r="58">
      <c r="A58" s="30" t="inlineStr">
        <is>
          <t>HARDWYN</t>
        </is>
      </c>
      <c r="B58" s="30" t="inlineStr">
        <is>
          <t>Hardwyn India Ltd</t>
        </is>
      </c>
      <c r="C58" s="30" t="inlineStr">
        <is>
          <t>services</t>
        </is>
      </c>
      <c r="D58" s="30" t="inlineStr">
        <is>
          <t>trading</t>
        </is>
      </c>
      <c r="E58" s="30" t="inlineStr">
        <is>
          <t>smallcap</t>
        </is>
      </c>
      <c r="F58" s="30" t="n">
        <v>1211.32</v>
      </c>
      <c r="G58" s="30" t="n">
        <v>25.84</v>
      </c>
      <c r="H58" s="30" t="n">
        <v>4.19</v>
      </c>
      <c r="I58" s="30" t="n">
        <v>6711428</v>
      </c>
      <c r="J58" s="30" t="inlineStr">
        <is>
          <t>541276</t>
        </is>
      </c>
    </row>
    <row r="59">
      <c r="A59" s="30" t="inlineStr">
        <is>
          <t>SANOFICONR</t>
        </is>
      </c>
      <c r="B59" s="30" t="inlineStr">
        <is>
          <t>Sanofi Consumer Healthcare India Ltd</t>
        </is>
      </c>
      <c r="C59" s="30" t="inlineStr">
        <is>
          <t>healthcare</t>
        </is>
      </c>
      <c r="D59" s="30" t="inlineStr">
        <is>
          <t>pharmaceuticals - multinational</t>
        </is>
      </c>
      <c r="E59" s="30" t="inlineStr">
        <is>
          <t>midcap</t>
        </is>
      </c>
      <c r="F59" s="30" t="n">
        <v>10947.15</v>
      </c>
      <c r="G59" s="30" t="n">
        <v>4948.6</v>
      </c>
      <c r="H59" s="30" t="n">
        <v>4.11</v>
      </c>
      <c r="I59" s="30" t="n">
        <v>77499</v>
      </c>
      <c r="J59" s="30" t="inlineStr">
        <is>
          <t>544250</t>
        </is>
      </c>
    </row>
    <row r="60">
      <c r="A60" s="30" t="inlineStr">
        <is>
          <t>ENGINERSIN</t>
        </is>
      </c>
      <c r="B60" s="30" t="inlineStr">
        <is>
          <t>Engineers India Limited</t>
        </is>
      </c>
      <c r="C60" s="30" t="inlineStr">
        <is>
          <t>realty</t>
        </is>
      </c>
      <c r="D60" s="30" t="inlineStr">
        <is>
          <t>engineering - turnkey services</t>
        </is>
      </c>
      <c r="E60" s="30" t="inlineStr">
        <is>
          <t>midcap</t>
        </is>
      </c>
      <c r="F60" s="30" t="n">
        <v>13668.31</v>
      </c>
      <c r="G60" s="30" t="n">
        <v>253.15</v>
      </c>
      <c r="H60" s="30" t="n">
        <v>4.1</v>
      </c>
      <c r="I60" s="30" t="n">
        <v>10768293</v>
      </c>
      <c r="J60" s="30" t="inlineStr">
        <is>
          <t>532178</t>
        </is>
      </c>
    </row>
    <row r="61">
      <c r="A61" s="30" t="inlineStr">
        <is>
          <t>NGLFINE</t>
        </is>
      </c>
      <c r="B61" s="30" t="inlineStr">
        <is>
          <t>NGL Fine Chem Ltd</t>
        </is>
      </c>
      <c r="C61" s="30" t="inlineStr">
        <is>
          <t>healthcare</t>
        </is>
      </c>
      <c r="D61" s="30" t="inlineStr">
        <is>
          <t>pharmaceuticals - indian - bulk drugs</t>
        </is>
      </c>
      <c r="E61" s="30" t="inlineStr">
        <is>
          <t>smallcap</t>
        </is>
      </c>
      <c r="F61" s="30" t="n">
        <v>1810.35</v>
      </c>
      <c r="G61" s="30" t="n">
        <v>3045.4</v>
      </c>
      <c r="H61" s="30" t="n">
        <v>3.93</v>
      </c>
      <c r="I61" s="30" t="n">
        <v>27072</v>
      </c>
      <c r="J61" s="30" t="inlineStr">
        <is>
          <t>524774</t>
        </is>
      </c>
    </row>
    <row r="62">
      <c r="A62" s="30" t="inlineStr">
        <is>
          <t>RRKABEL</t>
        </is>
      </c>
      <c r="B62" s="30" t="inlineStr">
        <is>
          <t>R R Kabel Ltd</t>
        </is>
      </c>
      <c r="C62" s="30" t="inlineStr">
        <is>
          <t>industrials</t>
        </is>
      </c>
      <c r="D62" s="30" t="inlineStr">
        <is>
          <t>cables - power</t>
        </is>
      </c>
      <c r="E62" s="30" t="inlineStr">
        <is>
          <t>largecap</t>
        </is>
      </c>
      <c r="F62" s="30" t="n">
        <v>24994.05</v>
      </c>
      <c r="G62" s="30" t="n">
        <v>2296.2</v>
      </c>
      <c r="H62" s="30" t="n">
        <v>3.91</v>
      </c>
      <c r="I62" s="30" t="n">
        <v>1681174</v>
      </c>
      <c r="J62" s="30" t="inlineStr">
        <is>
          <t>543981</t>
        </is>
      </c>
    </row>
    <row r="63">
      <c r="A63" s="30" t="inlineStr">
        <is>
          <t>VIYASH</t>
        </is>
      </c>
      <c r="B63" s="30" t="inlineStr">
        <is>
          <t>Viyash Scientific Ltd</t>
        </is>
      </c>
      <c r="C63" s="30" t="inlineStr">
        <is>
          <t>healthcare</t>
        </is>
      </c>
      <c r="D63" s="30" t="inlineStr">
        <is>
          <t>pharmaceuticals - indian - bulk drugs &amp; formln</t>
        </is>
      </c>
      <c r="E63" s="30" t="inlineStr">
        <is>
          <t>midcap</t>
        </is>
      </c>
      <c r="F63" s="30" t="n">
        <v>10674.45</v>
      </c>
      <c r="G63" s="30" t="n">
        <v>253.85</v>
      </c>
      <c r="H63" s="30" t="n">
        <v>3.89</v>
      </c>
      <c r="I63" s="30" t="n">
        <v>4076179</v>
      </c>
      <c r="J63" s="30" t="inlineStr">
        <is>
          <t>512529</t>
        </is>
      </c>
    </row>
    <row r="64">
      <c r="A64" s="30" t="inlineStr">
        <is>
          <t>SETL</t>
        </is>
      </c>
      <c r="B64" s="30" t="inlineStr">
        <is>
          <t>Standard Enginnering Technology Ltd</t>
        </is>
      </c>
      <c r="C64" s="30" t="inlineStr">
        <is>
          <t>industrials</t>
        </is>
      </c>
      <c r="D64" s="30" t="inlineStr">
        <is>
          <t>engineering</t>
        </is>
      </c>
      <c r="E64" s="30" t="inlineStr">
        <is>
          <t>smallcap</t>
        </is>
      </c>
      <c r="F64" s="30" t="n">
        <v>3460.18</v>
      </c>
      <c r="G64" s="30" t="n">
        <v>180.17</v>
      </c>
      <c r="H64" s="30" t="n">
        <v>3.87</v>
      </c>
      <c r="I64" s="30" t="n">
        <v>1148712</v>
      </c>
      <c r="J64" s="30" t="inlineStr">
        <is>
          <t>544333</t>
        </is>
      </c>
    </row>
    <row r="65">
      <c r="A65" s="30" t="inlineStr">
        <is>
          <t>ESAFSFB</t>
        </is>
      </c>
      <c r="B65" s="30" t="inlineStr">
        <is>
          <t>ESAF Small Finance Bank Ltd</t>
        </is>
      </c>
      <c r="C65" s="30" t="inlineStr">
        <is>
          <t>bank</t>
        </is>
      </c>
      <c r="D65" s="30" t="inlineStr">
        <is>
          <t>banks - private sector</t>
        </is>
      </c>
      <c r="E65" s="30" t="inlineStr">
        <is>
          <t>smallcap</t>
        </is>
      </c>
      <c r="F65" s="30" t="n">
        <v>1589.79</v>
      </c>
      <c r="G65" s="30" t="n">
        <v>32.02</v>
      </c>
      <c r="H65" s="30" t="n">
        <v>3.86</v>
      </c>
      <c r="I65" s="30" t="n">
        <v>3025012</v>
      </c>
      <c r="J65" s="30" t="inlineStr">
        <is>
          <t>544020</t>
        </is>
      </c>
    </row>
    <row r="66">
      <c r="A66" s="30" t="inlineStr">
        <is>
          <t>INDSWFTLAB</t>
        </is>
      </c>
      <c r="B66" s="30" t="inlineStr">
        <is>
          <t>Ind-swift Laboratories Limited</t>
        </is>
      </c>
      <c r="C66" s="30" t="inlineStr">
        <is>
          <t>healthcare</t>
        </is>
      </c>
      <c r="D66" s="30" t="inlineStr">
        <is>
          <t>pharmaceuticals - indian - bulk drugs &amp; formln</t>
        </is>
      </c>
      <c r="E66" s="30" t="inlineStr">
        <is>
          <t>smallcap</t>
        </is>
      </c>
      <c r="F66" s="30" t="n">
        <v>1410.92</v>
      </c>
      <c r="G66" s="30" t="n">
        <v>168.68</v>
      </c>
      <c r="H66" s="30" t="n">
        <v>3.82</v>
      </c>
      <c r="I66" s="30" t="n">
        <v>1521339</v>
      </c>
      <c r="J66" s="30" t="inlineStr">
        <is>
          <t>532305</t>
        </is>
      </c>
    </row>
    <row r="67">
      <c r="A67" s="30" t="inlineStr">
        <is>
          <t>GEECEE</t>
        </is>
      </c>
      <c r="B67" s="30" t="inlineStr">
        <is>
          <t>Geecee Ventures Limited</t>
        </is>
      </c>
      <c r="C67" s="30" t="inlineStr">
        <is>
          <t>financials</t>
        </is>
      </c>
      <c r="D67" s="30" t="inlineStr">
        <is>
          <t>finance &amp; investments</t>
        </is>
      </c>
      <c r="E67" s="30" t="inlineStr">
        <is>
          <t>smallcap</t>
        </is>
      </c>
      <c r="F67" s="30" t="n">
        <v>705.67</v>
      </c>
      <c r="G67" s="30" t="n">
        <v>350.35</v>
      </c>
      <c r="H67" s="30" t="n">
        <v>3.82</v>
      </c>
      <c r="I67" s="30" t="n">
        <v>50307</v>
      </c>
      <c r="J67" s="30" t="inlineStr">
        <is>
          <t>532764</t>
        </is>
      </c>
    </row>
    <row r="68">
      <c r="A68" s="30" t="inlineStr">
        <is>
          <t>STEELXIND</t>
        </is>
      </c>
      <c r="B68" s="30" t="inlineStr">
        <is>
          <t>Steel Exchange India Ltd</t>
        </is>
      </c>
      <c r="C68" s="30" t="inlineStr">
        <is>
          <t>metals &amp; mining</t>
        </is>
      </c>
      <c r="D68" s="30" t="inlineStr">
        <is>
          <t>steel - medium / small</t>
        </is>
      </c>
      <c r="E68" s="30" t="inlineStr">
        <is>
          <t>smallcap</t>
        </is>
      </c>
      <c r="F68" s="30" t="n">
        <v>1603.33</v>
      </c>
      <c r="G68" s="30" t="n">
        <v>13.05</v>
      </c>
      <c r="H68" s="30" t="n">
        <v>3.82</v>
      </c>
      <c r="I68" s="30" t="n">
        <v>18871988</v>
      </c>
      <c r="J68" s="30" t="inlineStr">
        <is>
          <t>534748</t>
        </is>
      </c>
    </row>
    <row r="69">
      <c r="A69" s="30" t="inlineStr">
        <is>
          <t>WELENT</t>
        </is>
      </c>
      <c r="B69" s="30" t="inlineStr">
        <is>
          <t>Welspun Enterprises Limited</t>
        </is>
      </c>
      <c r="C69" s="30" t="inlineStr">
        <is>
          <t>realty</t>
        </is>
      </c>
      <c r="D69" s="30" t="inlineStr">
        <is>
          <t>construction</t>
        </is>
      </c>
      <c r="E69" s="30" t="inlineStr">
        <is>
          <t>midcap</t>
        </is>
      </c>
      <c r="F69" s="30" t="n">
        <v>7608.61</v>
      </c>
      <c r="G69" s="30" t="n">
        <v>570.35</v>
      </c>
      <c r="H69" s="30" t="n">
        <v>3.76</v>
      </c>
      <c r="I69" s="30" t="n">
        <v>965724</v>
      </c>
      <c r="J69" s="30" t="inlineStr">
        <is>
          <t>532553</t>
        </is>
      </c>
    </row>
    <row r="70">
      <c r="A70" s="30" t="inlineStr">
        <is>
          <t>SYRMA</t>
        </is>
      </c>
      <c r="B70" s="30" t="inlineStr">
        <is>
          <t>Syrma SGS Technology Ltd</t>
        </is>
      </c>
      <c r="C70" s="30" t="inlineStr">
        <is>
          <t>consumer discretionary</t>
        </is>
      </c>
      <c r="D70" s="30" t="inlineStr">
        <is>
          <t>electronics - components</t>
        </is>
      </c>
      <c r="E70" s="30" t="inlineStr">
        <is>
          <t>largecap</t>
        </is>
      </c>
      <c r="F70" s="30" t="n">
        <v>25035.18</v>
      </c>
      <c r="G70" s="30" t="n">
        <v>1346.8</v>
      </c>
      <c r="H70" s="30" t="n">
        <v>3.74</v>
      </c>
      <c r="I70" s="30" t="n">
        <v>1276205</v>
      </c>
      <c r="J70" s="30" t="inlineStr">
        <is>
          <t>543573</t>
        </is>
      </c>
    </row>
    <row r="71">
      <c r="A71" s="30" t="inlineStr">
        <is>
          <t>VHL</t>
        </is>
      </c>
      <c r="B71" s="30" t="inlineStr">
        <is>
          <t>Vardhman Holdings Limited</t>
        </is>
      </c>
      <c r="C71" s="30" t="inlineStr">
        <is>
          <t>financials</t>
        </is>
      </c>
      <c r="D71" s="30" t="inlineStr">
        <is>
          <t>finance &amp; investments</t>
        </is>
      </c>
      <c r="E71" s="30" t="inlineStr">
        <is>
          <t>smallcap</t>
        </is>
      </c>
      <c r="F71" s="30" t="n">
        <v>1109.06</v>
      </c>
      <c r="G71" s="30" t="n">
        <v>3604.6</v>
      </c>
      <c r="H71" s="30" t="n">
        <v>3.73</v>
      </c>
      <c r="I71" s="30" t="n">
        <v>1108</v>
      </c>
      <c r="J71" s="30" t="inlineStr">
        <is>
          <t>500439</t>
        </is>
      </c>
    </row>
    <row r="72">
      <c r="A72" s="30" t="inlineStr">
        <is>
          <t>DHANBANK</t>
        </is>
      </c>
      <c r="B72" s="30" t="inlineStr">
        <is>
          <t>Dhanlaxmi Bank Limited</t>
        </is>
      </c>
      <c r="C72" s="30" t="inlineStr">
        <is>
          <t>bank</t>
        </is>
      </c>
      <c r="D72" s="30" t="inlineStr">
        <is>
          <t>banks - private sector</t>
        </is>
      </c>
      <c r="E72" s="30" t="inlineStr">
        <is>
          <t>smallcap</t>
        </is>
      </c>
      <c r="F72" s="30" t="n">
        <v>1296.19</v>
      </c>
      <c r="G72" s="30" t="n">
        <v>34.06</v>
      </c>
      <c r="H72" s="30" t="n">
        <v>3.72</v>
      </c>
      <c r="I72" s="30" t="n">
        <v>2325033</v>
      </c>
      <c r="J72" s="30" t="inlineStr">
        <is>
          <t>532180</t>
        </is>
      </c>
    </row>
    <row r="73">
      <c r="A73" s="30" t="inlineStr">
        <is>
          <t>MMP</t>
        </is>
      </c>
      <c r="B73" s="30" t="inlineStr">
        <is>
          <t>MMP Industries Ltd</t>
        </is>
      </c>
      <c r="C73" s="30" t="inlineStr">
        <is>
          <t>metals &amp; mining</t>
        </is>
      </c>
      <c r="D73" s="30" t="inlineStr">
        <is>
          <t>aluminium and aluminium products</t>
        </is>
      </c>
      <c r="E73" s="30" t="inlineStr">
        <is>
          <t>smallcap</t>
        </is>
      </c>
      <c r="F73" s="30" t="n">
        <v>677.36</v>
      </c>
      <c r="G73" s="30" t="n">
        <v>276.3</v>
      </c>
      <c r="H73" s="30" t="n">
        <v>3.62</v>
      </c>
      <c r="I73" s="30" t="n">
        <v>36886</v>
      </c>
      <c r="J73" s="30" t="inlineStr">
        <is>
          <t>535071</t>
        </is>
      </c>
    </row>
    <row r="74">
      <c r="A74" s="30" t="inlineStr">
        <is>
          <t>SENORES</t>
        </is>
      </c>
      <c r="B74" s="30" t="inlineStr">
        <is>
          <t>Senores Pharmaceuticals Ltd</t>
        </is>
      </c>
      <c r="C74" s="30" t="inlineStr">
        <is>
          <t>healthcare</t>
        </is>
      </c>
      <c r="D74" s="30" t="inlineStr">
        <is>
          <t>pharmaceuticals - indian - formulations</t>
        </is>
      </c>
      <c r="E74" s="30" t="inlineStr">
        <is>
          <t>midcap</t>
        </is>
      </c>
      <c r="F74" s="30" t="n">
        <v>5847.88</v>
      </c>
      <c r="G74" s="30" t="n">
        <v>1315.4</v>
      </c>
      <c r="H74" s="30" t="n">
        <v>3.59</v>
      </c>
      <c r="I74" s="30" t="n">
        <v>620514</v>
      </c>
      <c r="J74" s="30" t="inlineStr">
        <is>
          <t>544319</t>
        </is>
      </c>
    </row>
    <row r="75">
      <c r="A75" s="30" t="inlineStr">
        <is>
          <t>GANESHBE</t>
        </is>
      </c>
      <c r="B75" s="30" t="inlineStr">
        <is>
          <t>Ganesh Benzoplast Ltd</t>
        </is>
      </c>
      <c r="C75" s="30" t="inlineStr">
        <is>
          <t>miscellaneous</t>
        </is>
      </c>
      <c r="D75" s="30" t="inlineStr">
        <is>
          <t>miscellaneous</t>
        </is>
      </c>
      <c r="E75" s="30" t="inlineStr">
        <is>
          <t>smallcap</t>
        </is>
      </c>
      <c r="F75" s="30" t="n">
        <v>731.27</v>
      </c>
      <c r="G75" s="30" t="n">
        <v>105.23</v>
      </c>
      <c r="H75" s="30" t="n">
        <v>3.59</v>
      </c>
      <c r="I75" s="30" t="n">
        <v>441803</v>
      </c>
      <c r="J75" s="30" t="inlineStr">
        <is>
          <t>500153</t>
        </is>
      </c>
    </row>
    <row r="76">
      <c r="A76" s="30" t="inlineStr">
        <is>
          <t>VENUSPIPES</t>
        </is>
      </c>
      <c r="B76" s="30" t="inlineStr">
        <is>
          <t>Venus Pipes &amp; Tubes Ltd</t>
        </is>
      </c>
      <c r="C76" s="30" t="inlineStr">
        <is>
          <t>metals &amp; mining</t>
        </is>
      </c>
      <c r="D76" s="30" t="inlineStr">
        <is>
          <t>steel - medium / small</t>
        </is>
      </c>
      <c r="E76" s="30" t="inlineStr">
        <is>
          <t>smallcap</t>
        </is>
      </c>
      <c r="F76" s="30" t="n">
        <v>2966.13</v>
      </c>
      <c r="G76" s="30" t="n">
        <v>1482.4</v>
      </c>
      <c r="H76" s="30" t="n">
        <v>3.53</v>
      </c>
      <c r="I76" s="30" t="n">
        <v>105809</v>
      </c>
      <c r="J76" s="30" t="inlineStr">
        <is>
          <t>543528</t>
        </is>
      </c>
    </row>
    <row r="77">
      <c r="A77" s="30" t="inlineStr">
        <is>
          <t>BIRLACABLE</t>
        </is>
      </c>
      <c r="B77" s="30" t="inlineStr">
        <is>
          <t>Birla Cable Limited</t>
        </is>
      </c>
      <c r="C77" s="30" t="inlineStr">
        <is>
          <t>industrials</t>
        </is>
      </c>
      <c r="D77" s="30" t="inlineStr">
        <is>
          <t>cables - telephone</t>
        </is>
      </c>
      <c r="E77" s="30" t="inlineStr">
        <is>
          <t>smallcap</t>
        </is>
      </c>
      <c r="F77" s="30" t="n">
        <v>627.5700000000001</v>
      </c>
      <c r="G77" s="30" t="n">
        <v>216.53</v>
      </c>
      <c r="H77" s="30" t="n">
        <v>3.51</v>
      </c>
      <c r="I77" s="30" t="n">
        <v>94520</v>
      </c>
      <c r="J77" s="30" t="inlineStr">
        <is>
          <t>500060</t>
        </is>
      </c>
    </row>
    <row r="78">
      <c r="A78" s="30" t="inlineStr">
        <is>
          <t>LINDEINDIA</t>
        </is>
      </c>
      <c r="B78" s="30" t="inlineStr">
        <is>
          <t>Linde India Limited</t>
        </is>
      </c>
      <c r="C78" s="30" t="inlineStr">
        <is>
          <t>chemicals</t>
        </is>
      </c>
      <c r="D78" s="30" t="inlineStr">
        <is>
          <t>chemicals</t>
        </is>
      </c>
      <c r="E78" s="30" t="inlineStr">
        <is>
          <t>largecap</t>
        </is>
      </c>
      <c r="F78" s="30" t="n">
        <v>59946.28</v>
      </c>
      <c r="G78" s="30" t="n">
        <v>7275.5</v>
      </c>
      <c r="H78" s="30" t="n">
        <v>3.51</v>
      </c>
      <c r="I78" s="30" t="n">
        <v>56800</v>
      </c>
      <c r="J78" s="30" t="inlineStr">
        <is>
          <t>523457</t>
        </is>
      </c>
    </row>
    <row r="79">
      <c r="A79" s="30" t="inlineStr">
        <is>
          <t>BHEL</t>
        </is>
      </c>
      <c r="B79" s="30" t="inlineStr">
        <is>
          <t>Bharat Heavy Electricals Limited</t>
        </is>
      </c>
      <c r="C79" s="30" t="inlineStr">
        <is>
          <t>industrials</t>
        </is>
      </c>
      <c r="D79" s="30" t="inlineStr">
        <is>
          <t>electric equipment</t>
        </is>
      </c>
      <c r="E79" s="30" t="inlineStr">
        <is>
          <t>largecap</t>
        </is>
      </c>
      <c r="F79" s="30" t="n">
        <v>136583.94</v>
      </c>
      <c r="G79" s="30" t="n">
        <v>405.9</v>
      </c>
      <c r="H79" s="30" t="n">
        <v>3.48</v>
      </c>
      <c r="I79" s="30" t="n">
        <v>15191954</v>
      </c>
      <c r="J79" s="30" t="inlineStr">
        <is>
          <t>500103</t>
        </is>
      </c>
    </row>
    <row r="80">
      <c r="A80" s="30" t="inlineStr">
        <is>
          <t>MFSL</t>
        </is>
      </c>
      <c r="B80" s="30" t="inlineStr">
        <is>
          <t>Max Financial Services Limited</t>
        </is>
      </c>
      <c r="C80" s="30" t="inlineStr">
        <is>
          <t>miscellaneous</t>
        </is>
      </c>
      <c r="D80" s="30" t="inlineStr">
        <is>
          <t>miscellaneous</t>
        </is>
      </c>
      <c r="E80" s="30" t="inlineStr">
        <is>
          <t>largecap</t>
        </is>
      </c>
      <c r="F80" s="30" t="n">
        <v>56315.83</v>
      </c>
      <c r="G80" s="30" t="n">
        <v>1688.2</v>
      </c>
      <c r="H80" s="30" t="n">
        <v>3.46</v>
      </c>
      <c r="I80" s="30" t="n">
        <v>1061168</v>
      </c>
      <c r="J80" s="30" t="inlineStr">
        <is>
          <t>500271</t>
        </is>
      </c>
    </row>
    <row r="81">
      <c r="A81" s="30" t="inlineStr">
        <is>
          <t>FINCABLES</t>
        </is>
      </c>
      <c r="B81" s="30" t="inlineStr">
        <is>
          <t>Finolex Cables Limited</t>
        </is>
      </c>
      <c r="C81" s="30" t="inlineStr">
        <is>
          <t>industrials</t>
        </is>
      </c>
      <c r="D81" s="30" t="inlineStr">
        <is>
          <t>cables - power</t>
        </is>
      </c>
      <c r="E81" s="30" t="inlineStr">
        <is>
          <t>midcap</t>
        </is>
      </c>
      <c r="F81" s="30" t="n">
        <v>17129.21</v>
      </c>
      <c r="G81" s="30" t="n">
        <v>1158.6</v>
      </c>
      <c r="H81" s="30" t="n">
        <v>3.45</v>
      </c>
      <c r="I81" s="30" t="n">
        <v>988512</v>
      </c>
      <c r="J81" s="30" t="inlineStr">
        <is>
          <t>500144</t>
        </is>
      </c>
    </row>
    <row r="82">
      <c r="A82" s="30" t="inlineStr">
        <is>
          <t>GRAVITA</t>
        </is>
      </c>
      <c r="B82" s="30" t="inlineStr">
        <is>
          <t>Gravita India Limited</t>
        </is>
      </c>
      <c r="C82" s="30" t="inlineStr">
        <is>
          <t>metals &amp; mining</t>
        </is>
      </c>
      <c r="D82" s="30" t="inlineStr">
        <is>
          <t>mining / minerals / metals</t>
        </is>
      </c>
      <c r="E82" s="30" t="inlineStr">
        <is>
          <t>midcap</t>
        </is>
      </c>
      <c r="F82" s="30" t="n">
        <v>12317.89</v>
      </c>
      <c r="G82" s="30" t="n">
        <v>1726.4</v>
      </c>
      <c r="H82" s="30" t="n">
        <v>3.45</v>
      </c>
      <c r="I82" s="30" t="n">
        <v>287733</v>
      </c>
      <c r="J82" s="30" t="inlineStr">
        <is>
          <t>533282</t>
        </is>
      </c>
    </row>
    <row r="83">
      <c r="A83" s="30" t="inlineStr">
        <is>
          <t>NETWEB</t>
        </is>
      </c>
      <c r="B83" s="30" t="inlineStr">
        <is>
          <t>Netweb Technologies India Ltd</t>
        </is>
      </c>
      <c r="C83" s="30" t="inlineStr">
        <is>
          <t>i.t</t>
        </is>
      </c>
      <c r="D83" s="30" t="inlineStr">
        <is>
          <t>computers - hardware</t>
        </is>
      </c>
      <c r="E83" s="30" t="inlineStr">
        <is>
          <t>largecap</t>
        </is>
      </c>
      <c r="F83" s="30" t="n">
        <v>27966.42</v>
      </c>
      <c r="G83" s="30" t="n">
        <v>5079.6</v>
      </c>
      <c r="H83" s="30" t="n">
        <v>3.42</v>
      </c>
      <c r="I83" s="30" t="n">
        <v>3604629</v>
      </c>
      <c r="J83" s="30" t="inlineStr">
        <is>
          <t>543945</t>
        </is>
      </c>
    </row>
    <row r="84">
      <c r="A84" s="30" t="inlineStr">
        <is>
          <t>RITCO</t>
        </is>
      </c>
      <c r="B84" s="30" t="inlineStr">
        <is>
          <t>Ritco Logistics Ltd</t>
        </is>
      </c>
      <c r="C84" s="30" t="inlineStr">
        <is>
          <t>transportation</t>
        </is>
      </c>
      <c r="D84" s="30" t="inlineStr">
        <is>
          <t>miscellaneous</t>
        </is>
      </c>
      <c r="E84" s="30" t="inlineStr">
        <is>
          <t>smallcap</t>
        </is>
      </c>
      <c r="F84" s="30" t="n">
        <v>716.5700000000001</v>
      </c>
      <c r="G84" s="30" t="n">
        <v>258.65</v>
      </c>
      <c r="H84" s="30" t="n">
        <v>3.32</v>
      </c>
      <c r="I84" s="30" t="n">
        <v>179174</v>
      </c>
      <c r="J84" s="30" t="inlineStr">
        <is>
          <t>542383</t>
        </is>
      </c>
    </row>
    <row r="85">
      <c r="A85" s="30" t="inlineStr">
        <is>
          <t>VMART</t>
        </is>
      </c>
      <c r="B85" s="30" t="inlineStr">
        <is>
          <t>V-mart Retail Limited</t>
        </is>
      </c>
      <c r="C85" s="30" t="inlineStr">
        <is>
          <t>consumer discretionary</t>
        </is>
      </c>
      <c r="D85" s="30" t="inlineStr">
        <is>
          <t>trading</t>
        </is>
      </c>
      <c r="E85" s="30" t="inlineStr">
        <is>
          <t>midcap</t>
        </is>
      </c>
      <c r="F85" s="30" t="n">
        <v>6070.22</v>
      </c>
      <c r="G85" s="30" t="n">
        <v>789.2</v>
      </c>
      <c r="H85" s="30" t="n">
        <v>3.31</v>
      </c>
      <c r="I85" s="30" t="n">
        <v>374651</v>
      </c>
      <c r="J85" s="30" t="inlineStr">
        <is>
          <t>534976</t>
        </is>
      </c>
    </row>
    <row r="86">
      <c r="A86" s="30" t="inlineStr">
        <is>
          <t>RADICO</t>
        </is>
      </c>
      <c r="B86" s="30" t="inlineStr">
        <is>
          <t>Radico Khaitan Limited</t>
        </is>
      </c>
      <c r="C86" s="30" t="inlineStr">
        <is>
          <t>fmcg</t>
        </is>
      </c>
      <c r="D86" s="30" t="inlineStr">
        <is>
          <t>breweries &amp; distilleries</t>
        </is>
      </c>
      <c r="E86" s="30" t="inlineStr">
        <is>
          <t>largecap</t>
        </is>
      </c>
      <c r="F86" s="30" t="n">
        <v>47831.02</v>
      </c>
      <c r="G86" s="30" t="n">
        <v>3690</v>
      </c>
      <c r="H86" s="30" t="n">
        <v>3.3</v>
      </c>
      <c r="I86" s="30" t="n">
        <v>1199579</v>
      </c>
      <c r="J86" s="30" t="inlineStr">
        <is>
          <t>532497</t>
        </is>
      </c>
    </row>
    <row r="87">
      <c r="A87" s="30" t="inlineStr">
        <is>
          <t>UJJIVANSFB</t>
        </is>
      </c>
      <c r="B87" s="30" t="inlineStr">
        <is>
          <t>Ujjivan Small Finance Bank Ltd</t>
        </is>
      </c>
      <c r="C87" s="30" t="inlineStr">
        <is>
          <t>bank</t>
        </is>
      </c>
      <c r="D87" s="30" t="inlineStr">
        <is>
          <t>banks - private sector</t>
        </is>
      </c>
      <c r="E87" s="30" t="inlineStr">
        <is>
          <t>midcap</t>
        </is>
      </c>
      <c r="F87" s="30" t="n">
        <v>11024.9</v>
      </c>
      <c r="G87" s="30" t="n">
        <v>58.62</v>
      </c>
      <c r="H87" s="30" t="n">
        <v>3.3</v>
      </c>
      <c r="I87" s="30" t="n">
        <v>13476179</v>
      </c>
      <c r="J87" s="30" t="inlineStr">
        <is>
          <t>542904</t>
        </is>
      </c>
    </row>
    <row r="88">
      <c r="A88" s="30" t="inlineStr">
        <is>
          <t>RATNAVEER</t>
        </is>
      </c>
      <c r="B88" s="30" t="inlineStr">
        <is>
          <t>Ratnaveer Precision Engineering Ltd</t>
        </is>
      </c>
      <c r="C88" s="30" t="inlineStr">
        <is>
          <t>metals &amp; mining</t>
        </is>
      </c>
      <c r="D88" s="30" t="inlineStr">
        <is>
          <t>steel - medium / small</t>
        </is>
      </c>
      <c r="E88" s="30" t="inlineStr">
        <is>
          <t>smallcap</t>
        </is>
      </c>
      <c r="F88" s="30" t="n">
        <v>1294.04</v>
      </c>
      <c r="G88" s="30" t="n">
        <v>187.13</v>
      </c>
      <c r="H88" s="30" t="n">
        <v>3.29</v>
      </c>
      <c r="I88" s="30" t="n">
        <v>10205256</v>
      </c>
      <c r="J88" s="30" t="inlineStr">
        <is>
          <t>543978</t>
        </is>
      </c>
    </row>
    <row r="89">
      <c r="A89" s="30" t="inlineStr">
        <is>
          <t>NRL</t>
        </is>
      </c>
      <c r="B89" s="30" t="inlineStr">
        <is>
          <t>Nupur Recyclers Ltd</t>
        </is>
      </c>
      <c r="C89" s="30" t="inlineStr">
        <is>
          <t>services</t>
        </is>
      </c>
      <c r="D89" s="30" t="inlineStr">
        <is>
          <t>trading</t>
        </is>
      </c>
      <c r="E89" s="30" t="inlineStr">
        <is>
          <t>smallcap</t>
        </is>
      </c>
      <c r="F89" s="30" t="n">
        <v>529.14</v>
      </c>
      <c r="G89" s="30" t="n">
        <v>79.09999999999999</v>
      </c>
      <c r="H89" s="30" t="n">
        <v>3.25</v>
      </c>
      <c r="I89" s="30" t="n">
        <v>272824</v>
      </c>
      <c r="J89" s="30" t="inlineStr">
        <is>
          <t>535413</t>
        </is>
      </c>
    </row>
    <row r="90">
      <c r="A90" s="30" t="inlineStr">
        <is>
          <t>UNITDSPR</t>
        </is>
      </c>
      <c r="B90" s="30" t="inlineStr">
        <is>
          <t>United Spirits Ltd</t>
        </is>
      </c>
      <c r="C90" s="30" t="inlineStr">
        <is>
          <t>fmcg</t>
        </is>
      </c>
      <c r="D90" s="30" t="inlineStr">
        <is>
          <t>breweries &amp; distilleries</t>
        </is>
      </c>
      <c r="E90" s="30" t="inlineStr">
        <is>
          <t>largecap</t>
        </is>
      </c>
      <c r="F90" s="30" t="n">
        <v>95137.49000000001</v>
      </c>
      <c r="G90" s="30" t="n">
        <v>1350.3</v>
      </c>
      <c r="H90" s="30" t="n">
        <v>3.23</v>
      </c>
      <c r="I90" s="30" t="n">
        <v>2744272</v>
      </c>
      <c r="J90" s="30" t="inlineStr">
        <is>
          <t>532432</t>
        </is>
      </c>
    </row>
    <row r="91">
      <c r="A91" s="30" t="inlineStr">
        <is>
          <t>FINEORG</t>
        </is>
      </c>
      <c r="B91" s="30" t="inlineStr">
        <is>
          <t>Fine Organic Industries Ltd</t>
        </is>
      </c>
      <c r="C91" s="30" t="inlineStr">
        <is>
          <t>chemicals</t>
        </is>
      </c>
      <c r="D91" s="30" t="inlineStr">
        <is>
          <t>chemicals</t>
        </is>
      </c>
      <c r="E91" s="30" t="inlineStr">
        <is>
          <t>midcap</t>
        </is>
      </c>
      <c r="F91" s="30" t="n">
        <v>15301.17</v>
      </c>
      <c r="G91" s="30" t="n">
        <v>5150.9</v>
      </c>
      <c r="H91" s="30" t="n">
        <v>3.21</v>
      </c>
      <c r="I91" s="30" t="n">
        <v>17806</v>
      </c>
      <c r="J91" s="30" t="inlineStr">
        <is>
          <t>541557</t>
        </is>
      </c>
    </row>
    <row r="92">
      <c r="A92" s="30" t="inlineStr">
        <is>
          <t>VERANDA</t>
        </is>
      </c>
      <c r="B92" s="30" t="inlineStr">
        <is>
          <t>Veranda Learning Solutions Ltd</t>
        </is>
      </c>
      <c r="C92" s="30" t="inlineStr">
        <is>
          <t>services</t>
        </is>
      </c>
      <c r="D92" s="30" t="inlineStr">
        <is>
          <t>miscellaneous</t>
        </is>
      </c>
      <c r="E92" s="30" t="inlineStr">
        <is>
          <t>smallcap</t>
        </is>
      </c>
      <c r="F92" s="30" t="n">
        <v>2258.93</v>
      </c>
      <c r="G92" s="30" t="n">
        <v>242.44</v>
      </c>
      <c r="H92" s="30" t="n">
        <v>3.21</v>
      </c>
      <c r="I92" s="30" t="n">
        <v>410751</v>
      </c>
      <c r="J92" s="30" t="inlineStr">
        <is>
          <t>543514</t>
        </is>
      </c>
    </row>
    <row r="93">
      <c r="A93" s="30" t="inlineStr">
        <is>
          <t>IRISDOREME</t>
        </is>
      </c>
      <c r="B93" s="30" t="inlineStr">
        <is>
          <t>Iris Clothings Ltd</t>
        </is>
      </c>
      <c r="C93" s="30" t="inlineStr">
        <is>
          <t>consumer discretionary</t>
        </is>
      </c>
      <c r="D93" s="30" t="inlineStr">
        <is>
          <t>textiles - products</t>
        </is>
      </c>
      <c r="E93" s="30" t="inlineStr">
        <is>
          <t>smallcap</t>
        </is>
      </c>
      <c r="F93" s="30" t="n">
        <v>736.39</v>
      </c>
      <c r="G93" s="30" t="n">
        <v>39.93</v>
      </c>
      <c r="H93" s="30" t="n">
        <v>3.21</v>
      </c>
      <c r="I93" s="30" t="n">
        <v>1459841</v>
      </c>
      <c r="J93" s="30" t="inlineStr">
        <is>
          <t>535123</t>
        </is>
      </c>
    </row>
    <row r="94">
      <c r="A94" s="30" t="inlineStr">
        <is>
          <t>CAMS</t>
        </is>
      </c>
      <c r="B94" s="30" t="inlineStr">
        <is>
          <t>Computer Age Management Services Ltd</t>
        </is>
      </c>
      <c r="C94" s="30" t="inlineStr">
        <is>
          <t>financials</t>
        </is>
      </c>
      <c r="D94" s="30" t="inlineStr">
        <is>
          <t>miscellaneous</t>
        </is>
      </c>
      <c r="E94" s="30" t="inlineStr">
        <is>
          <t>largecap</t>
        </is>
      </c>
      <c r="F94" s="30" t="n">
        <v>20018.55</v>
      </c>
      <c r="G94" s="30" t="n">
        <v>832.8</v>
      </c>
      <c r="H94" s="30" t="n">
        <v>3.17</v>
      </c>
      <c r="I94" s="30" t="n">
        <v>2299896</v>
      </c>
      <c r="J94" s="30" t="inlineStr">
        <is>
          <t>543232</t>
        </is>
      </c>
    </row>
    <row r="95">
      <c r="A95" s="30" t="inlineStr">
        <is>
          <t>PANACHE</t>
        </is>
      </c>
      <c r="B95" s="30" t="inlineStr">
        <is>
          <t>Panache Digilife Ltd</t>
        </is>
      </c>
      <c r="C95" s="30" t="inlineStr">
        <is>
          <t>i.t</t>
        </is>
      </c>
      <c r="D95" s="30" t="inlineStr">
        <is>
          <t>computers - hardware</t>
        </is>
      </c>
      <c r="E95" s="30" t="inlineStr">
        <is>
          <t>smallcap</t>
        </is>
      </c>
      <c r="F95" s="30" t="n">
        <v>658.5</v>
      </c>
      <c r="G95" s="30" t="n">
        <v>424.15</v>
      </c>
      <c r="H95" s="30" t="n">
        <v>3.15</v>
      </c>
      <c r="I95" s="30" t="n">
        <v>74449</v>
      </c>
      <c r="J95" s="30" t="inlineStr">
        <is>
          <t>538424</t>
        </is>
      </c>
    </row>
    <row r="96">
      <c r="A96" s="30" t="inlineStr">
        <is>
          <t>STEL</t>
        </is>
      </c>
      <c r="B96" s="30" t="inlineStr">
        <is>
          <t>Stel Holdings Limited</t>
        </is>
      </c>
      <c r="C96" s="30" t="inlineStr">
        <is>
          <t>financials</t>
        </is>
      </c>
      <c r="D96" s="30" t="inlineStr">
        <is>
          <t>finance &amp; investments</t>
        </is>
      </c>
      <c r="E96" s="30" t="inlineStr">
        <is>
          <t>smallcap</t>
        </is>
      </c>
      <c r="F96" s="30" t="n">
        <v>1075.21</v>
      </c>
      <c r="G96" s="30" t="n">
        <v>600.9</v>
      </c>
      <c r="H96" s="30" t="n">
        <v>3.14</v>
      </c>
      <c r="I96" s="30" t="n">
        <v>25113</v>
      </c>
      <c r="J96" s="30" t="n"/>
    </row>
    <row r="97">
      <c r="A97" s="30" t="inlineStr">
        <is>
          <t>WABAG</t>
        </is>
      </c>
      <c r="B97" s="30" t="inlineStr">
        <is>
          <t>Va Tech Wabag Limited</t>
        </is>
      </c>
      <c r="C97" s="30" t="inlineStr">
        <is>
          <t>realty</t>
        </is>
      </c>
      <c r="D97" s="30" t="inlineStr">
        <is>
          <t>engineering - turnkey services</t>
        </is>
      </c>
      <c r="E97" s="30" t="inlineStr">
        <is>
          <t>midcap</t>
        </is>
      </c>
      <c r="F97" s="30" t="n">
        <v>11006.99</v>
      </c>
      <c r="G97" s="30" t="n">
        <v>1821.8</v>
      </c>
      <c r="H97" s="30" t="n">
        <v>3.13</v>
      </c>
      <c r="I97" s="30" t="n">
        <v>777730</v>
      </c>
      <c r="J97" s="30" t="inlineStr">
        <is>
          <t>533269</t>
        </is>
      </c>
    </row>
    <row r="98">
      <c r="A98" s="30" t="inlineStr">
        <is>
          <t>TDPOWERSYS</t>
        </is>
      </c>
      <c r="B98" s="30" t="inlineStr">
        <is>
          <t>Td Power Systems Limited</t>
        </is>
      </c>
      <c r="C98" s="30" t="inlineStr">
        <is>
          <t>industrials</t>
        </is>
      </c>
      <c r="D98" s="30" t="inlineStr">
        <is>
          <t>electric equipment</t>
        </is>
      </c>
      <c r="E98" s="30" t="inlineStr">
        <is>
          <t>midcap</t>
        </is>
      </c>
      <c r="F98" s="30" t="n">
        <v>19222.23</v>
      </c>
      <c r="G98" s="30" t="n">
        <v>1269</v>
      </c>
      <c r="H98" s="30" t="n">
        <v>3.13</v>
      </c>
      <c r="I98" s="30" t="n">
        <v>979242</v>
      </c>
      <c r="J98" s="30" t="inlineStr">
        <is>
          <t>533553</t>
        </is>
      </c>
    </row>
    <row r="99">
      <c r="A99" s="30" t="inlineStr">
        <is>
          <t>ZFCVINDIA</t>
        </is>
      </c>
      <c r="B99" s="30" t="inlineStr">
        <is>
          <t>ZF Commercial Vehicle Control System India Ltd</t>
        </is>
      </c>
      <c r="C99" s="30" t="inlineStr">
        <is>
          <t>auto</t>
        </is>
      </c>
      <c r="D99" s="30" t="inlineStr">
        <is>
          <t>auto ancillaries</t>
        </is>
      </c>
      <c r="E99" s="30" t="inlineStr">
        <is>
          <t>largecap</t>
        </is>
      </c>
      <c r="F99" s="30" t="n">
        <v>28663.81</v>
      </c>
      <c r="G99" s="30" t="n">
        <v>15581</v>
      </c>
      <c r="H99" s="30" t="n">
        <v>3.1</v>
      </c>
      <c r="I99" s="30" t="n">
        <v>44787</v>
      </c>
      <c r="J99" s="30" t="inlineStr">
        <is>
          <t>533023</t>
        </is>
      </c>
    </row>
    <row r="100">
      <c r="A100" s="30" t="inlineStr">
        <is>
          <t>ATGL</t>
        </is>
      </c>
      <c r="B100" s="30" t="inlineStr">
        <is>
          <t>Adani Total Gas Ltd</t>
        </is>
      </c>
      <c r="C100" s="30" t="inlineStr">
        <is>
          <t>energy</t>
        </is>
      </c>
      <c r="D100" s="30" t="inlineStr">
        <is>
          <t>miscellaneous</t>
        </is>
      </c>
      <c r="E100" s="30" t="inlineStr">
        <is>
          <t>largecap</t>
        </is>
      </c>
      <c r="F100" s="30" t="n">
        <v>77278.16</v>
      </c>
      <c r="G100" s="30" t="n">
        <v>724.35</v>
      </c>
      <c r="H100" s="30" t="n">
        <v>3.09</v>
      </c>
      <c r="I100" s="30" t="n">
        <v>5131265</v>
      </c>
      <c r="J100" s="30" t="inlineStr">
        <is>
          <t>542066</t>
        </is>
      </c>
    </row>
    <row r="101">
      <c r="A101" s="30" t="inlineStr">
        <is>
          <t>SANGAMIND</t>
        </is>
      </c>
      <c r="B101" s="30" t="inlineStr">
        <is>
          <t>Sangam (india) Limited</t>
        </is>
      </c>
      <c r="C101" s="30" t="inlineStr">
        <is>
          <t>textiles</t>
        </is>
      </c>
      <c r="D101" s="30" t="inlineStr">
        <is>
          <t>textiles - spinning - synthetic / blended</t>
        </is>
      </c>
      <c r="E101" s="30" t="inlineStr">
        <is>
          <t>smallcap</t>
        </is>
      </c>
      <c r="F101" s="30" t="n">
        <v>2636.19</v>
      </c>
      <c r="G101" s="30" t="n">
        <v>540.75</v>
      </c>
      <c r="H101" s="30" t="n">
        <v>3.07</v>
      </c>
      <c r="I101" s="30" t="n">
        <v>34933</v>
      </c>
      <c r="J101" s="30" t="inlineStr">
        <is>
          <t>514234</t>
        </is>
      </c>
    </row>
    <row r="102">
      <c r="A102" s="30" t="inlineStr">
        <is>
          <t>DLINKINDIA</t>
        </is>
      </c>
      <c r="B102" s="30" t="inlineStr">
        <is>
          <t>D-link (india) Limited</t>
        </is>
      </c>
      <c r="C102" s="30" t="inlineStr">
        <is>
          <t>services</t>
        </is>
      </c>
      <c r="D102" s="30" t="inlineStr">
        <is>
          <t>trading</t>
        </is>
      </c>
      <c r="E102" s="30" t="inlineStr">
        <is>
          <t>smallcap</t>
        </is>
      </c>
      <c r="F102" s="30" t="n">
        <v>1814.3</v>
      </c>
      <c r="G102" s="30" t="n">
        <v>526.3</v>
      </c>
      <c r="H102" s="30" t="n">
        <v>2.99</v>
      </c>
      <c r="I102" s="30" t="n">
        <v>754389</v>
      </c>
      <c r="J102" s="30" t="inlineStr">
        <is>
          <t>533146</t>
        </is>
      </c>
    </row>
    <row r="103">
      <c r="A103" s="30" t="inlineStr">
        <is>
          <t>DBOL</t>
        </is>
      </c>
      <c r="B103" s="30" t="inlineStr">
        <is>
          <t>Dhampur Bio Organics Ltd</t>
        </is>
      </c>
      <c r="C103" s="30" t="inlineStr">
        <is>
          <t>fmcg</t>
        </is>
      </c>
      <c r="D103" s="30" t="inlineStr">
        <is>
          <t>sugar</t>
        </is>
      </c>
      <c r="E103" s="30" t="inlineStr">
        <is>
          <t>smallcap</t>
        </is>
      </c>
      <c r="F103" s="30" t="n">
        <v>750.05</v>
      </c>
      <c r="G103" s="30" t="n">
        <v>116.35</v>
      </c>
      <c r="H103" s="30" t="n">
        <v>2.98</v>
      </c>
      <c r="I103" s="30" t="n">
        <v>53893</v>
      </c>
      <c r="J103" s="30" t="inlineStr">
        <is>
          <t>543593</t>
        </is>
      </c>
    </row>
    <row r="104">
      <c r="A104" s="30" t="inlineStr">
        <is>
          <t>SHREEPUSHK</t>
        </is>
      </c>
      <c r="B104" s="30" t="inlineStr">
        <is>
          <t>Shree Pushkar Chemicals &amp; Fertilisers Limited</t>
        </is>
      </c>
      <c r="C104" s="30" t="inlineStr">
        <is>
          <t>chemicals</t>
        </is>
      </c>
      <c r="D104" s="30" t="inlineStr">
        <is>
          <t>dyes and pigments</t>
        </is>
      </c>
      <c r="E104" s="30" t="inlineStr">
        <is>
          <t>smallcap</t>
        </is>
      </c>
      <c r="F104" s="30" t="n">
        <v>1222.04</v>
      </c>
      <c r="G104" s="30" t="n">
        <v>389.1</v>
      </c>
      <c r="H104" s="30" t="n">
        <v>2.96</v>
      </c>
      <c r="I104" s="30" t="n">
        <v>76620</v>
      </c>
      <c r="J104" s="30" t="inlineStr">
        <is>
          <t>539334</t>
        </is>
      </c>
    </row>
    <row r="105">
      <c r="A105" s="30" t="inlineStr">
        <is>
          <t>ASTERDM</t>
        </is>
      </c>
      <c r="B105" s="30" t="inlineStr">
        <is>
          <t>Aster DM Healthcare Ltd</t>
        </is>
      </c>
      <c r="C105" s="30" t="inlineStr">
        <is>
          <t>healthcare</t>
        </is>
      </c>
      <c r="D105" s="30" t="inlineStr">
        <is>
          <t>healthcare</t>
        </is>
      </c>
      <c r="E105" s="30" t="inlineStr">
        <is>
          <t>largecap</t>
        </is>
      </c>
      <c r="F105" s="30" t="n">
        <v>39685.48</v>
      </c>
      <c r="G105" s="30" t="n">
        <v>788.5</v>
      </c>
      <c r="H105" s="30" t="n">
        <v>2.94</v>
      </c>
      <c r="I105" s="30" t="n">
        <v>355032</v>
      </c>
      <c r="J105" s="30" t="inlineStr">
        <is>
          <t>540975</t>
        </is>
      </c>
    </row>
    <row r="106">
      <c r="A106" s="30" t="inlineStr">
        <is>
          <t>BAJAJCON</t>
        </is>
      </c>
      <c r="B106" s="30" t="inlineStr">
        <is>
          <t>Bajaj Consumer Care Ltd</t>
        </is>
      </c>
      <c r="C106" s="30" t="inlineStr">
        <is>
          <t>fmcg</t>
        </is>
      </c>
      <c r="D106" s="30" t="inlineStr">
        <is>
          <t>personal care - indian</t>
        </is>
      </c>
      <c r="E106" s="30" t="inlineStr">
        <is>
          <t>midcap</t>
        </is>
      </c>
      <c r="F106" s="30" t="n">
        <v>7874.33</v>
      </c>
      <c r="G106" s="30" t="n">
        <v>620.5</v>
      </c>
      <c r="H106" s="30" t="n">
        <v>2.93</v>
      </c>
      <c r="I106" s="30" t="n">
        <v>756495</v>
      </c>
      <c r="J106" s="30" t="inlineStr">
        <is>
          <t>533229</t>
        </is>
      </c>
    </row>
    <row r="107">
      <c r="A107" s="30" t="inlineStr">
        <is>
          <t>JSWINFRA</t>
        </is>
      </c>
      <c r="B107" s="30" t="inlineStr">
        <is>
          <t>JSW Infrastructure Ltd</t>
        </is>
      </c>
      <c r="C107" s="30" t="inlineStr">
        <is>
          <t>transportation</t>
        </is>
      </c>
      <c r="D107" s="30" t="inlineStr">
        <is>
          <t>miscellaneous</t>
        </is>
      </c>
      <c r="E107" s="30" t="inlineStr">
        <is>
          <t>largecap</t>
        </is>
      </c>
      <c r="F107" s="30" t="n">
        <v>62853.05</v>
      </c>
      <c r="G107" s="30" t="n">
        <v>307.95</v>
      </c>
      <c r="H107" s="30" t="n">
        <v>2.89</v>
      </c>
      <c r="I107" s="30" t="n">
        <v>7197025</v>
      </c>
      <c r="J107" s="30" t="inlineStr">
        <is>
          <t>543994</t>
        </is>
      </c>
    </row>
    <row r="108">
      <c r="A108" s="30" t="inlineStr">
        <is>
          <t>YATHARTH</t>
        </is>
      </c>
      <c r="B108" s="30" t="inlineStr">
        <is>
          <t>Yatharth Hospital &amp; Trauma Care Services Ltd</t>
        </is>
      </c>
      <c r="C108" s="30" t="inlineStr">
        <is>
          <t>healthcare</t>
        </is>
      </c>
      <c r="D108" s="30" t="inlineStr">
        <is>
          <t>healthcare</t>
        </is>
      </c>
      <c r="E108" s="30" t="inlineStr">
        <is>
          <t>midcap</t>
        </is>
      </c>
      <c r="F108" s="30" t="n">
        <v>7914.55</v>
      </c>
      <c r="G108" s="30" t="n">
        <v>845.15</v>
      </c>
      <c r="H108" s="30" t="n">
        <v>2.89</v>
      </c>
      <c r="I108" s="30" t="n">
        <v>450521</v>
      </c>
      <c r="J108" s="30" t="inlineStr">
        <is>
          <t>543950</t>
        </is>
      </c>
    </row>
    <row r="109">
      <c r="A109" s="30" t="inlineStr">
        <is>
          <t>AVANTEL</t>
        </is>
      </c>
      <c r="B109" s="30" t="inlineStr">
        <is>
          <t>Avantel Ltd</t>
        </is>
      </c>
      <c r="C109" s="30" t="inlineStr">
        <is>
          <t>aerospace &amp; defence</t>
        </is>
      </c>
      <c r="D109" s="30" t="inlineStr">
        <is>
          <t>telecommunications - equipment</t>
        </is>
      </c>
      <c r="E109" s="30" t="inlineStr">
        <is>
          <t>smallcap</t>
        </is>
      </c>
      <c r="F109" s="30" t="n">
        <v>4644.89</v>
      </c>
      <c r="G109" s="30" t="n">
        <v>179.79</v>
      </c>
      <c r="H109" s="30" t="n">
        <v>2.85</v>
      </c>
      <c r="I109" s="30" t="n">
        <v>5617602</v>
      </c>
      <c r="J109" s="30" t="inlineStr">
        <is>
          <t>532406</t>
        </is>
      </c>
    </row>
    <row r="110">
      <c r="A110" s="30" t="inlineStr">
        <is>
          <t>SPORTKING</t>
        </is>
      </c>
      <c r="B110" s="30" t="inlineStr">
        <is>
          <t>Sportking India Ltd</t>
        </is>
      </c>
      <c r="C110" s="30" t="inlineStr">
        <is>
          <t>textiles</t>
        </is>
      </c>
      <c r="D110" s="30" t="inlineStr">
        <is>
          <t>textiles - spinning - synthetic / blended</t>
        </is>
      </c>
      <c r="E110" s="30" t="inlineStr">
        <is>
          <t>smallcap</t>
        </is>
      </c>
      <c r="F110" s="30" t="n">
        <v>2257.69</v>
      </c>
      <c r="G110" s="30" t="n">
        <v>182.7</v>
      </c>
      <c r="H110" s="30" t="n">
        <v>2.83</v>
      </c>
      <c r="I110" s="30" t="n">
        <v>385442</v>
      </c>
      <c r="J110" s="30" t="inlineStr">
        <is>
          <t>539221</t>
        </is>
      </c>
    </row>
    <row r="111">
      <c r="A111" s="30" t="inlineStr">
        <is>
          <t>LICI</t>
        </is>
      </c>
      <c r="B111" s="30" t="inlineStr">
        <is>
          <t>Life Insurance Corporation of India Ltd</t>
        </is>
      </c>
      <c r="C111" s="30" t="inlineStr">
        <is>
          <t>financials</t>
        </is>
      </c>
      <c r="D111" s="30" t="inlineStr">
        <is>
          <t>finance &amp; investments</t>
        </is>
      </c>
      <c r="E111" s="30" t="inlineStr">
        <is>
          <t>largecap</t>
        </is>
      </c>
      <c r="F111" s="30" t="n">
        <v>528959.5600000001</v>
      </c>
      <c r="G111" s="30" t="n">
        <v>430</v>
      </c>
      <c r="H111" s="30" t="n">
        <v>2.83</v>
      </c>
      <c r="I111" s="30" t="n">
        <v>10970744</v>
      </c>
      <c r="J111" s="30" t="inlineStr">
        <is>
          <t>543526</t>
        </is>
      </c>
    </row>
    <row r="112">
      <c r="A112" s="30" t="inlineStr">
        <is>
          <t>NIVABUPA</t>
        </is>
      </c>
      <c r="B112" s="30" t="inlineStr">
        <is>
          <t>Niva Bupa Health Insurance Company Ltd</t>
        </is>
      </c>
      <c r="C112" s="30" t="inlineStr">
        <is>
          <t>financials</t>
        </is>
      </c>
      <c r="D112" s="30" t="inlineStr">
        <is>
          <t>finance &amp; investments</t>
        </is>
      </c>
      <c r="E112" s="30" t="inlineStr">
        <is>
          <t>midcap</t>
        </is>
      </c>
      <c r="F112" s="30" t="n">
        <v>15647.96</v>
      </c>
      <c r="G112" s="30" t="n">
        <v>87.09</v>
      </c>
      <c r="H112" s="30" t="n">
        <v>2.82</v>
      </c>
      <c r="I112" s="30" t="n">
        <v>8129379</v>
      </c>
      <c r="J112" s="30" t="n"/>
    </row>
    <row r="113">
      <c r="A113" s="30" t="inlineStr">
        <is>
          <t>ADANIGREEN</t>
        </is>
      </c>
      <c r="B113" s="30" t="inlineStr">
        <is>
          <t>Adani Green Energy Ltd</t>
        </is>
      </c>
      <c r="C113" s="30" t="inlineStr">
        <is>
          <t>power &amp; utilities</t>
        </is>
      </c>
      <c r="D113" s="30" t="inlineStr">
        <is>
          <t>power generation and supply</t>
        </is>
      </c>
      <c r="E113" s="30" t="inlineStr">
        <is>
          <t>largecap</t>
        </is>
      </c>
      <c r="F113" s="30" t="n">
        <v>241443.08</v>
      </c>
      <c r="G113" s="30" t="n">
        <v>1506.8</v>
      </c>
      <c r="H113" s="30" t="n">
        <v>2.8</v>
      </c>
      <c r="I113" s="30" t="n">
        <v>2123098</v>
      </c>
      <c r="J113" s="30" t="inlineStr">
        <is>
          <t>541450</t>
        </is>
      </c>
    </row>
    <row r="114">
      <c r="A114" s="30" t="inlineStr">
        <is>
          <t>SHRIPISTON</t>
        </is>
      </c>
      <c r="B114" s="30" t="inlineStr">
        <is>
          <t>Shriram Pistons &amp; Rings Limited</t>
        </is>
      </c>
      <c r="C114" s="30" t="inlineStr">
        <is>
          <t>auto</t>
        </is>
      </c>
      <c r="D114" s="30" t="inlineStr">
        <is>
          <t>auto ancillaries</t>
        </is>
      </c>
      <c r="E114" s="30" t="inlineStr">
        <is>
          <t>midcap</t>
        </is>
      </c>
      <c r="F114" s="30" t="n">
        <v>16316.05</v>
      </c>
      <c r="G114" s="30" t="n">
        <v>3807.2</v>
      </c>
      <c r="H114" s="30" t="n">
        <v>2.79</v>
      </c>
      <c r="I114" s="30" t="n">
        <v>130749</v>
      </c>
      <c r="J114" s="30" t="n"/>
    </row>
    <row r="115">
      <c r="A115" s="30" t="inlineStr">
        <is>
          <t>KOPRAN</t>
        </is>
      </c>
      <c r="B115" s="30" t="inlineStr">
        <is>
          <t>Kopran Limited</t>
        </is>
      </c>
      <c r="C115" s="30" t="inlineStr">
        <is>
          <t>healthcare</t>
        </is>
      </c>
      <c r="D115" s="30" t="inlineStr">
        <is>
          <t>pharmaceuticals - indian - bulk drugs &amp; formln</t>
        </is>
      </c>
      <c r="E115" s="30" t="inlineStr">
        <is>
          <t>smallcap</t>
        </is>
      </c>
      <c r="F115" s="30" t="n">
        <v>868.46</v>
      </c>
      <c r="G115" s="30" t="n">
        <v>184.78</v>
      </c>
      <c r="H115" s="30" t="n">
        <v>2.74</v>
      </c>
      <c r="I115" s="30" t="n">
        <v>162567</v>
      </c>
      <c r="J115" s="30" t="inlineStr">
        <is>
          <t>524280</t>
        </is>
      </c>
    </row>
    <row r="116">
      <c r="A116" s="30" t="inlineStr">
        <is>
          <t>INDIGO</t>
        </is>
      </c>
      <c r="B116" s="30" t="inlineStr">
        <is>
          <t>Interglobe Aviation Limited</t>
        </is>
      </c>
      <c r="C116" s="30" t="inlineStr">
        <is>
          <t>transportation</t>
        </is>
      </c>
      <c r="D116" s="30" t="inlineStr">
        <is>
          <t>transport - airlines</t>
        </is>
      </c>
      <c r="E116" s="30" t="inlineStr">
        <is>
          <t>largecap</t>
        </is>
      </c>
      <c r="F116" s="30" t="n">
        <v>188605.28</v>
      </c>
      <c r="G116" s="30" t="n">
        <v>5011.8</v>
      </c>
      <c r="H116" s="30" t="n">
        <v>2.73</v>
      </c>
      <c r="I116" s="30" t="n">
        <v>1129087</v>
      </c>
      <c r="J116" s="30" t="inlineStr">
        <is>
          <t>539448</t>
        </is>
      </c>
    </row>
    <row r="117">
      <c r="A117" s="30" t="inlineStr">
        <is>
          <t>SCHNEIDER</t>
        </is>
      </c>
      <c r="B117" s="30" t="inlineStr">
        <is>
          <t>Schneider Electric Infrastructure Limited</t>
        </is>
      </c>
      <c r="C117" s="30" t="inlineStr">
        <is>
          <t>industrials</t>
        </is>
      </c>
      <c r="D117" s="30" t="inlineStr">
        <is>
          <t>electric equipment</t>
        </is>
      </c>
      <c r="E117" s="30" t="inlineStr">
        <is>
          <t>largecap</t>
        </is>
      </c>
      <c r="F117" s="30" t="n">
        <v>30284.92</v>
      </c>
      <c r="G117" s="30" t="n">
        <v>1301</v>
      </c>
      <c r="H117" s="30" t="n">
        <v>2.72</v>
      </c>
      <c r="I117" s="30" t="n">
        <v>623107</v>
      </c>
      <c r="J117" s="30" t="inlineStr">
        <is>
          <t>534139</t>
        </is>
      </c>
    </row>
    <row r="118">
      <c r="A118" s="30" t="inlineStr">
        <is>
          <t>RANEHOLDIN</t>
        </is>
      </c>
      <c r="B118" s="30" t="inlineStr">
        <is>
          <t>Rane Holdings Limited</t>
        </is>
      </c>
      <c r="C118" s="30" t="inlineStr">
        <is>
          <t>financials</t>
        </is>
      </c>
      <c r="D118" s="30" t="inlineStr">
        <is>
          <t>finance &amp; investments</t>
        </is>
      </c>
      <c r="E118" s="30" t="inlineStr">
        <is>
          <t>smallcap</t>
        </is>
      </c>
      <c r="F118" s="30" t="n">
        <v>2299.58</v>
      </c>
      <c r="G118" s="30" t="n">
        <v>1654.3</v>
      </c>
      <c r="H118" s="30" t="n">
        <v>2.71</v>
      </c>
      <c r="I118" s="30" t="n">
        <v>27134</v>
      </c>
      <c r="J118" s="30" t="inlineStr">
        <is>
          <t>505800</t>
        </is>
      </c>
    </row>
    <row r="119">
      <c r="A119" s="30" t="inlineStr">
        <is>
          <t>STOVEKRAFT</t>
        </is>
      </c>
      <c r="B119" s="30" t="inlineStr">
        <is>
          <t>Stove Kraft Ltd</t>
        </is>
      </c>
      <c r="C119" s="30" t="inlineStr">
        <is>
          <t>consumer discretionary</t>
        </is>
      </c>
      <c r="D119" s="30" t="inlineStr">
        <is>
          <t>domestic appliances</t>
        </is>
      </c>
      <c r="E119" s="30" t="inlineStr">
        <is>
          <t>smallcap</t>
        </is>
      </c>
      <c r="F119" s="30" t="n">
        <v>2217.86</v>
      </c>
      <c r="G119" s="30" t="n">
        <v>687.75</v>
      </c>
      <c r="H119" s="30" t="n">
        <v>2.66</v>
      </c>
      <c r="I119" s="30" t="n">
        <v>171726</v>
      </c>
      <c r="J119" s="30" t="inlineStr">
        <is>
          <t>543260</t>
        </is>
      </c>
    </row>
    <row r="120">
      <c r="A120" s="30" t="inlineStr">
        <is>
          <t>BALAMINES</t>
        </is>
      </c>
      <c r="B120" s="30" t="inlineStr">
        <is>
          <t>Balaji Amines Limited</t>
        </is>
      </c>
      <c r="C120" s="30" t="inlineStr">
        <is>
          <t>chemicals</t>
        </is>
      </c>
      <c r="D120" s="30" t="inlineStr">
        <is>
          <t>chemicals</t>
        </is>
      </c>
      <c r="E120" s="30" t="inlineStr">
        <is>
          <t>midcap</t>
        </is>
      </c>
      <c r="F120" s="30" t="n">
        <v>6973.99</v>
      </c>
      <c r="G120" s="30" t="n">
        <v>2209.5</v>
      </c>
      <c r="H120" s="30" t="n">
        <v>2.65</v>
      </c>
      <c r="I120" s="30" t="n">
        <v>439344</v>
      </c>
      <c r="J120" s="30" t="inlineStr">
        <is>
          <t>530999</t>
        </is>
      </c>
    </row>
    <row r="121">
      <c r="A121" s="30" t="inlineStr">
        <is>
          <t>MARKSANS</t>
        </is>
      </c>
      <c r="B121" s="30" t="inlineStr">
        <is>
          <t>Marksans Pharma Limited</t>
        </is>
      </c>
      <c r="C121" s="30" t="inlineStr">
        <is>
          <t>healthcare</t>
        </is>
      </c>
      <c r="D121" s="30" t="inlineStr">
        <is>
          <t>pharmaceuticals - indian - formulations</t>
        </is>
      </c>
      <c r="E121" s="30" t="inlineStr">
        <is>
          <t>midcap</t>
        </is>
      </c>
      <c r="F121" s="30" t="n">
        <v>11544.35</v>
      </c>
      <c r="G121" s="30" t="n">
        <v>261.45</v>
      </c>
      <c r="H121" s="30" t="n">
        <v>2.63</v>
      </c>
      <c r="I121" s="30" t="n">
        <v>4915028</v>
      </c>
      <c r="J121" s="30" t="inlineStr">
        <is>
          <t>524404</t>
        </is>
      </c>
    </row>
    <row r="122">
      <c r="A122" s="30" t="inlineStr">
        <is>
          <t>FILATEX</t>
        </is>
      </c>
      <c r="B122" s="30" t="inlineStr">
        <is>
          <t>Filatex India Limited</t>
        </is>
      </c>
      <c r="C122" s="30" t="inlineStr">
        <is>
          <t>textiles</t>
        </is>
      </c>
      <c r="D122" s="30" t="inlineStr">
        <is>
          <t>textiles - manmade</t>
        </is>
      </c>
      <c r="E122" s="30" t="inlineStr">
        <is>
          <t>smallcap</t>
        </is>
      </c>
      <c r="F122" s="30" t="n">
        <v>2357.95</v>
      </c>
      <c r="G122" s="30" t="n">
        <v>54.49</v>
      </c>
      <c r="H122" s="30" t="n">
        <v>2.62</v>
      </c>
      <c r="I122" s="30" t="n">
        <v>1782253</v>
      </c>
      <c r="J122" s="30" t="inlineStr">
        <is>
          <t>526227</t>
        </is>
      </c>
    </row>
    <row r="123">
      <c r="A123" s="30" t="inlineStr">
        <is>
          <t>IOLCP</t>
        </is>
      </c>
      <c r="B123" s="30" t="inlineStr">
        <is>
          <t>Iol Chemicals And Pharmaceuticals Limited</t>
        </is>
      </c>
      <c r="C123" s="30" t="inlineStr">
        <is>
          <t>healthcare</t>
        </is>
      </c>
      <c r="D123" s="30" t="inlineStr">
        <is>
          <t>pharmaceuticals - indian - bulk drugs &amp; formln</t>
        </is>
      </c>
      <c r="E123" s="30" t="inlineStr">
        <is>
          <t>smallcap</t>
        </is>
      </c>
      <c r="F123" s="30" t="n">
        <v>3672.03</v>
      </c>
      <c r="G123" s="30" t="n">
        <v>128.3</v>
      </c>
      <c r="H123" s="30" t="n">
        <v>2.56</v>
      </c>
      <c r="I123" s="30" t="n">
        <v>2087654</v>
      </c>
      <c r="J123" s="30" t="inlineStr">
        <is>
          <t>524164</t>
        </is>
      </c>
    </row>
    <row r="124">
      <c r="A124" s="30" t="inlineStr">
        <is>
          <t>ARVIND</t>
        </is>
      </c>
      <c r="B124" s="30" t="inlineStr">
        <is>
          <t>Arvind Limited</t>
        </is>
      </c>
      <c r="C124" s="30" t="inlineStr">
        <is>
          <t>textiles</t>
        </is>
      </c>
      <c r="D124" s="30" t="inlineStr">
        <is>
          <t>textiles - cotton/blended</t>
        </is>
      </c>
      <c r="E124" s="30" t="inlineStr">
        <is>
          <t>midcap</t>
        </is>
      </c>
      <c r="F124" s="30" t="n">
        <v>13053.31</v>
      </c>
      <c r="G124" s="30" t="n">
        <v>510.65</v>
      </c>
      <c r="H124" s="30" t="n">
        <v>2.54</v>
      </c>
      <c r="I124" s="30" t="n">
        <v>909110</v>
      </c>
      <c r="J124" s="30" t="inlineStr">
        <is>
          <t>500101</t>
        </is>
      </c>
    </row>
    <row r="125">
      <c r="A125" s="30" t="inlineStr">
        <is>
          <t>AMBIKCO</t>
        </is>
      </c>
      <c r="B125" s="30" t="inlineStr">
        <is>
          <t>Ambika Cotton Mills Limited</t>
        </is>
      </c>
      <c r="C125" s="30" t="inlineStr">
        <is>
          <t>textiles</t>
        </is>
      </c>
      <c r="D125" s="30" t="inlineStr">
        <is>
          <t>textiles - cotton/blended</t>
        </is>
      </c>
      <c r="E125" s="30" t="inlineStr">
        <is>
          <t>smallcap</t>
        </is>
      </c>
      <c r="F125" s="30" t="n">
        <v>926.76</v>
      </c>
      <c r="G125" s="30" t="n">
        <v>1659.2</v>
      </c>
      <c r="H125" s="30" t="n">
        <v>2.5</v>
      </c>
      <c r="I125" s="30" t="n">
        <v>13307</v>
      </c>
      <c r="J125" s="30" t="inlineStr">
        <is>
          <t>531978</t>
        </is>
      </c>
    </row>
    <row r="126">
      <c r="A126" s="30" t="inlineStr">
        <is>
          <t>MASFIN</t>
        </is>
      </c>
      <c r="B126" s="30" t="inlineStr">
        <is>
          <t>MAS Financial Services Ltd</t>
        </is>
      </c>
      <c r="C126" s="30" t="inlineStr">
        <is>
          <t>financials</t>
        </is>
      </c>
      <c r="D126" s="30" t="inlineStr">
        <is>
          <t>finance &amp; investments</t>
        </is>
      </c>
      <c r="E126" s="30" t="inlineStr">
        <is>
          <t>midcap</t>
        </is>
      </c>
      <c r="F126" s="30" t="n">
        <v>5666.79</v>
      </c>
      <c r="G126" s="30" t="n">
        <v>320.05</v>
      </c>
      <c r="H126" s="30" t="n">
        <v>2.48</v>
      </c>
      <c r="I126" s="30" t="n">
        <v>146420</v>
      </c>
      <c r="J126" s="30" t="inlineStr">
        <is>
          <t>540749</t>
        </is>
      </c>
    </row>
    <row r="127">
      <c r="A127" s="30" t="inlineStr">
        <is>
          <t>NITINSPIN</t>
        </is>
      </c>
      <c r="B127" s="30" t="inlineStr">
        <is>
          <t>Nitin Spinners Limited</t>
        </is>
      </c>
      <c r="C127" s="30" t="inlineStr">
        <is>
          <t>textiles</t>
        </is>
      </c>
      <c r="D127" s="30" t="inlineStr">
        <is>
          <t>textiles - cotton/blended</t>
        </is>
      </c>
      <c r="E127" s="30" t="inlineStr">
        <is>
          <t>smallcap</t>
        </is>
      </c>
      <c r="F127" s="30" t="n">
        <v>3078.61</v>
      </c>
      <c r="G127" s="30" t="n">
        <v>561</v>
      </c>
      <c r="H127" s="30" t="n">
        <v>2.45</v>
      </c>
      <c r="I127" s="30" t="n">
        <v>112478</v>
      </c>
      <c r="J127" s="30" t="inlineStr">
        <is>
          <t>532698</t>
        </is>
      </c>
    </row>
    <row r="128">
      <c r="A128" s="30" t="inlineStr">
        <is>
          <t>GRINDWELL</t>
        </is>
      </c>
      <c r="B128" s="30" t="inlineStr">
        <is>
          <t>Grindwell Norton Limited</t>
        </is>
      </c>
      <c r="C128" s="30" t="inlineStr">
        <is>
          <t>industrials</t>
        </is>
      </c>
      <c r="D128" s="30" t="inlineStr">
        <is>
          <t>abrasives and grinding wheels</t>
        </is>
      </c>
      <c r="E128" s="30" t="inlineStr">
        <is>
          <t>largecap</t>
        </is>
      </c>
      <c r="F128" s="30" t="n">
        <v>22756.28</v>
      </c>
      <c r="G128" s="30" t="n">
        <v>2105.5</v>
      </c>
      <c r="H128" s="30" t="n">
        <v>2.44</v>
      </c>
      <c r="I128" s="30" t="n">
        <v>69681</v>
      </c>
      <c r="J128" s="30" t="inlineStr">
        <is>
          <t>506076</t>
        </is>
      </c>
    </row>
    <row r="129">
      <c r="A129" s="30" t="inlineStr">
        <is>
          <t>LUPIN</t>
        </is>
      </c>
      <c r="B129" s="30" t="inlineStr">
        <is>
          <t>Lupin Limited</t>
        </is>
      </c>
      <c r="C129" s="30" t="inlineStr">
        <is>
          <t>healthcare</t>
        </is>
      </c>
      <c r="D129" s="30" t="inlineStr">
        <is>
          <t>pharmaceuticals - indian - bulk drugs &amp; formln</t>
        </is>
      </c>
      <c r="E129" s="30" t="inlineStr">
        <is>
          <t>largecap</t>
        </is>
      </c>
      <c r="F129" s="30" t="n">
        <v>103871.09</v>
      </c>
      <c r="G129" s="30" t="n">
        <v>2327.1</v>
      </c>
      <c r="H129" s="30" t="n">
        <v>2.43</v>
      </c>
      <c r="I129" s="30" t="n">
        <v>934007</v>
      </c>
      <c r="J129" s="30" t="inlineStr">
        <is>
          <t>500257</t>
        </is>
      </c>
    </row>
    <row r="130">
      <c r="A130" s="30" t="inlineStr">
        <is>
          <t>ARMANFIN</t>
        </is>
      </c>
      <c r="B130" s="30" t="inlineStr">
        <is>
          <t>Arman Financial Services Limited</t>
        </is>
      </c>
      <c r="C130" s="30" t="inlineStr">
        <is>
          <t>financials</t>
        </is>
      </c>
      <c r="D130" s="30" t="inlineStr">
        <is>
          <t>finance &amp; investments</t>
        </is>
      </c>
      <c r="E130" s="30" t="inlineStr">
        <is>
          <t>smallcap</t>
        </is>
      </c>
      <c r="F130" s="30" t="n">
        <v>1741.47</v>
      </c>
      <c r="G130" s="30" t="n">
        <v>1696.1</v>
      </c>
      <c r="H130" s="30" t="n">
        <v>2.39</v>
      </c>
      <c r="I130" s="30" t="n">
        <v>35341</v>
      </c>
      <c r="J130" s="30" t="inlineStr">
        <is>
          <t>531179</t>
        </is>
      </c>
    </row>
    <row r="131">
      <c r="A131" s="30" t="inlineStr">
        <is>
          <t>SCPL</t>
        </is>
      </c>
      <c r="B131" s="30" t="inlineStr">
        <is>
          <t>Sheetal Cool Products Ltd</t>
        </is>
      </c>
      <c r="C131" s="30" t="inlineStr">
        <is>
          <t>fmcg</t>
        </is>
      </c>
      <c r="D131" s="30" t="inlineStr">
        <is>
          <t>food - processing - indian</t>
        </is>
      </c>
      <c r="E131" s="30" t="inlineStr">
        <is>
          <t>smallcap</t>
        </is>
      </c>
      <c r="F131" s="30" t="n">
        <v>502.27</v>
      </c>
      <c r="G131" s="30" t="n">
        <v>489.8</v>
      </c>
      <c r="H131" s="30" t="n">
        <v>2.39</v>
      </c>
      <c r="I131" s="30" t="n">
        <v>11149</v>
      </c>
      <c r="J131" s="30" t="inlineStr">
        <is>
          <t>540757</t>
        </is>
      </c>
    </row>
    <row r="132">
      <c r="A132" s="30" t="inlineStr">
        <is>
          <t>BBOX</t>
        </is>
      </c>
      <c r="B132" s="30" t="inlineStr">
        <is>
          <t>Black Box Ltd</t>
        </is>
      </c>
      <c r="C132" s="30" t="inlineStr">
        <is>
          <t>i.t</t>
        </is>
      </c>
      <c r="D132" s="30" t="inlineStr">
        <is>
          <t>computers - software - medium / small</t>
        </is>
      </c>
      <c r="E132" s="30" t="inlineStr">
        <is>
          <t>midcap</t>
        </is>
      </c>
      <c r="F132" s="30" t="n">
        <v>18072.57</v>
      </c>
      <c r="G132" s="30" t="n">
        <v>1042</v>
      </c>
      <c r="H132" s="30" t="n">
        <v>2.34</v>
      </c>
      <c r="I132" s="30" t="n">
        <v>1065237</v>
      </c>
      <c r="J132" s="30" t="inlineStr">
        <is>
          <t>500463</t>
        </is>
      </c>
    </row>
    <row r="133">
      <c r="A133" s="30" t="inlineStr">
        <is>
          <t>TVSSRICHAK</t>
        </is>
      </c>
      <c r="B133" s="30" t="inlineStr">
        <is>
          <t>Tvs Srichakra Limited</t>
        </is>
      </c>
      <c r="C133" s="30" t="inlineStr">
        <is>
          <t>auto</t>
        </is>
      </c>
      <c r="D133" s="30" t="inlineStr">
        <is>
          <t>tyres</t>
        </is>
      </c>
      <c r="E133" s="30" t="inlineStr">
        <is>
          <t>smallcap</t>
        </is>
      </c>
      <c r="F133" s="30" t="n">
        <v>3069.48</v>
      </c>
      <c r="G133" s="30" t="n">
        <v>4101.8</v>
      </c>
      <c r="H133" s="30" t="n">
        <v>2.32</v>
      </c>
      <c r="I133" s="30" t="n">
        <v>7651</v>
      </c>
      <c r="J133" s="30" t="inlineStr">
        <is>
          <t>509243</t>
        </is>
      </c>
    </row>
    <row r="134">
      <c r="A134" s="30" t="inlineStr">
        <is>
          <t>ZENTEC</t>
        </is>
      </c>
      <c r="B134" s="30" t="inlineStr">
        <is>
          <t>Zen Technologies Limited</t>
        </is>
      </c>
      <c r="C134" s="30" t="inlineStr">
        <is>
          <t>aerospace &amp; defence</t>
        </is>
      </c>
      <c r="D134" s="30" t="inlineStr">
        <is>
          <t>miscellaneous</t>
        </is>
      </c>
      <c r="E134" s="30" t="inlineStr">
        <is>
          <t>midcap</t>
        </is>
      </c>
      <c r="F134" s="30" t="n">
        <v>17041.4</v>
      </c>
      <c r="G134" s="30" t="n">
        <v>1929.4</v>
      </c>
      <c r="H134" s="30" t="n">
        <v>2.23</v>
      </c>
      <c r="I134" s="30" t="n">
        <v>2038962</v>
      </c>
      <c r="J134" s="30" t="inlineStr">
        <is>
          <t>533339</t>
        </is>
      </c>
    </row>
    <row r="135">
      <c r="A135" s="30" t="inlineStr">
        <is>
          <t>TATACOMM</t>
        </is>
      </c>
      <c r="B135" s="30" t="inlineStr">
        <is>
          <t>Tata Communications Limited</t>
        </is>
      </c>
      <c r="C135" s="30" t="inlineStr">
        <is>
          <t>telecom-service</t>
        </is>
      </c>
      <c r="D135" s="30" t="inlineStr">
        <is>
          <t>telecommunications - service provider</t>
        </is>
      </c>
      <c r="E135" s="30" t="inlineStr">
        <is>
          <t>largecap</t>
        </is>
      </c>
      <c r="F135" s="30" t="n">
        <v>54144.3</v>
      </c>
      <c r="G135" s="30" t="n">
        <v>1942</v>
      </c>
      <c r="H135" s="30" t="n">
        <v>2.22</v>
      </c>
      <c r="I135" s="30" t="n">
        <v>801616</v>
      </c>
      <c r="J135" s="30" t="inlineStr">
        <is>
          <t>500483</t>
        </is>
      </c>
    </row>
    <row r="136">
      <c r="A136" s="30" t="inlineStr">
        <is>
          <t>ADANIENSOL</t>
        </is>
      </c>
      <c r="B136" s="30" t="inlineStr">
        <is>
          <t>Adani Energy Solutions Ltd</t>
        </is>
      </c>
      <c r="C136" s="30" t="inlineStr">
        <is>
          <t>power &amp; utilities</t>
        </is>
      </c>
      <c r="D136" s="30" t="inlineStr">
        <is>
          <t>power generation and supply</t>
        </is>
      </c>
      <c r="E136" s="30" t="inlineStr">
        <is>
          <t>largecap</t>
        </is>
      </c>
      <c r="F136" s="30" t="n">
        <v>179111.24</v>
      </c>
      <c r="G136" s="30" t="n">
        <v>1523.3</v>
      </c>
      <c r="H136" s="30" t="n">
        <v>2.17</v>
      </c>
      <c r="I136" s="30" t="n">
        <v>1942444</v>
      </c>
      <c r="J136" s="30" t="inlineStr">
        <is>
          <t>539254</t>
        </is>
      </c>
    </row>
    <row r="137">
      <c r="A137" s="30" t="inlineStr">
        <is>
          <t>HONAUT</t>
        </is>
      </c>
      <c r="B137" s="30" t="inlineStr">
        <is>
          <t>Honeywell Automation India Limited</t>
        </is>
      </c>
      <c r="C137" s="30" t="inlineStr">
        <is>
          <t>consumer discretionary</t>
        </is>
      </c>
      <c r="D137" s="30" t="inlineStr">
        <is>
          <t>electronics - components</t>
        </is>
      </c>
      <c r="E137" s="30" t="inlineStr">
        <is>
          <t>largecap</t>
        </is>
      </c>
      <c r="F137" s="30" t="n">
        <v>32165.46</v>
      </c>
      <c r="G137" s="30" t="n">
        <v>37170</v>
      </c>
      <c r="H137" s="30" t="n">
        <v>2.17</v>
      </c>
      <c r="I137" s="30" t="n">
        <v>6140</v>
      </c>
      <c r="J137" s="30" t="inlineStr">
        <is>
          <t>517174</t>
        </is>
      </c>
    </row>
    <row r="138">
      <c r="A138" s="30" t="inlineStr">
        <is>
          <t>JINDALSAW</t>
        </is>
      </c>
      <c r="B138" s="30" t="inlineStr">
        <is>
          <t>Jindal Saw Limited</t>
        </is>
      </c>
      <c r="C138" s="30" t="inlineStr">
        <is>
          <t>industrials</t>
        </is>
      </c>
      <c r="D138" s="30" t="inlineStr">
        <is>
          <t>steel - large</t>
        </is>
      </c>
      <c r="E138" s="30" t="inlineStr">
        <is>
          <t>midcap</t>
        </is>
      </c>
      <c r="F138" s="30" t="n">
        <v>16530.01</v>
      </c>
      <c r="G138" s="30" t="n">
        <v>264.06</v>
      </c>
      <c r="H138" s="30" t="n">
        <v>2.16</v>
      </c>
      <c r="I138" s="30" t="n">
        <v>3323364</v>
      </c>
      <c r="J138" s="30" t="inlineStr">
        <is>
          <t>500378</t>
        </is>
      </c>
    </row>
    <row r="139">
      <c r="A139" s="30" t="inlineStr">
        <is>
          <t>ROSSTECH</t>
        </is>
      </c>
      <c r="B139" s="30" t="inlineStr">
        <is>
          <t>Rossell Techsys Ltd</t>
        </is>
      </c>
      <c r="C139" s="30" t="inlineStr">
        <is>
          <t>aerospace &amp; defence</t>
        </is>
      </c>
      <c r="D139" s="30" t="inlineStr">
        <is>
          <t>engineering</t>
        </is>
      </c>
      <c r="E139" s="30" t="inlineStr">
        <is>
          <t>smallcap</t>
        </is>
      </c>
      <c r="F139" s="30" t="n">
        <v>3846.55</v>
      </c>
      <c r="G139" s="30" t="n">
        <v>1042.3</v>
      </c>
      <c r="H139" s="30" t="n">
        <v>2.15</v>
      </c>
      <c r="I139" s="30" t="n">
        <v>463626</v>
      </c>
      <c r="J139" s="30" t="inlineStr">
        <is>
          <t>544294</t>
        </is>
      </c>
    </row>
    <row r="140">
      <c r="A140" s="30" t="inlineStr">
        <is>
          <t>AEGISVOPAK</t>
        </is>
      </c>
      <c r="B140" s="30" t="inlineStr">
        <is>
          <t>Aegis Vopak Terminals Ltd</t>
        </is>
      </c>
      <c r="C140" s="30" t="inlineStr">
        <is>
          <t>transportation</t>
        </is>
      </c>
      <c r="D140" s="30" t="inlineStr">
        <is>
          <t>miscellaneous</t>
        </is>
      </c>
      <c r="E140" s="30" t="inlineStr">
        <is>
          <t>largecap</t>
        </is>
      </c>
      <c r="F140" s="30" t="n">
        <v>26379.06</v>
      </c>
      <c r="G140" s="30" t="n">
        <v>243.1</v>
      </c>
      <c r="H140" s="30" t="n">
        <v>2.11</v>
      </c>
      <c r="I140" s="30" t="n">
        <v>1377512</v>
      </c>
      <c r="J140" s="30" t="inlineStr">
        <is>
          <t>544407</t>
        </is>
      </c>
    </row>
    <row r="141">
      <c r="A141" s="30" t="inlineStr">
        <is>
          <t>ADANIENT</t>
        </is>
      </c>
      <c r="B141" s="30" t="inlineStr">
        <is>
          <t>Adani Enterprises Limited</t>
        </is>
      </c>
      <c r="C141" s="30" t="inlineStr">
        <is>
          <t>services</t>
        </is>
      </c>
      <c r="D141" s="30" t="inlineStr">
        <is>
          <t>trading</t>
        </is>
      </c>
      <c r="E141" s="30" t="inlineStr">
        <is>
          <t>largecap</t>
        </is>
      </c>
      <c r="F141" s="30" t="n">
        <v>381586.92</v>
      </c>
      <c r="G141" s="30" t="n">
        <v>3013.4</v>
      </c>
      <c r="H141" s="30" t="n">
        <v>2.08</v>
      </c>
      <c r="I141" s="30" t="n">
        <v>1774394</v>
      </c>
      <c r="J141" s="30" t="inlineStr">
        <is>
          <t>512599</t>
        </is>
      </c>
    </row>
    <row r="142">
      <c r="A142" s="30" t="inlineStr">
        <is>
          <t>BEL</t>
        </is>
      </c>
      <c r="B142" s="30" t="inlineStr">
        <is>
          <t>Bharat Electronics Limited</t>
        </is>
      </c>
      <c r="C142" s="30" t="inlineStr">
        <is>
          <t>aerospace &amp; defence</t>
        </is>
      </c>
      <c r="D142" s="30" t="inlineStr">
        <is>
          <t>electronics - components</t>
        </is>
      </c>
      <c r="E142" s="30" t="inlineStr">
        <is>
          <t>largecap</t>
        </is>
      </c>
      <c r="F142" s="30" t="n">
        <v>306901.06</v>
      </c>
      <c r="G142" s="30" t="n">
        <v>428.6</v>
      </c>
      <c r="H142" s="30" t="n">
        <v>2.08</v>
      </c>
      <c r="I142" s="30" t="n">
        <v>23598062</v>
      </c>
      <c r="J142" s="30" t="inlineStr">
        <is>
          <t>500049</t>
        </is>
      </c>
    </row>
    <row r="143">
      <c r="A143" s="30" t="inlineStr">
        <is>
          <t>SHYAMMETL</t>
        </is>
      </c>
      <c r="B143" s="30" t="inlineStr">
        <is>
          <t>Shyam Metalics &amp; Energy Ltd</t>
        </is>
      </c>
      <c r="C143" s="30" t="inlineStr">
        <is>
          <t>metals &amp; mining</t>
        </is>
      </c>
      <c r="D143" s="30" t="inlineStr">
        <is>
          <t>steel - large</t>
        </is>
      </c>
      <c r="E143" s="30" t="inlineStr">
        <is>
          <t>largecap</t>
        </is>
      </c>
      <c r="F143" s="30" t="n">
        <v>26672.44</v>
      </c>
      <c r="G143" s="30" t="n">
        <v>975.1</v>
      </c>
      <c r="H143" s="30" t="n">
        <v>2.05</v>
      </c>
      <c r="I143" s="30" t="n">
        <v>1729481</v>
      </c>
      <c r="J143" s="30" t="inlineStr">
        <is>
          <t>543299</t>
        </is>
      </c>
    </row>
    <row r="144">
      <c r="A144" s="30" t="inlineStr">
        <is>
          <t>BOSCHLTD</t>
        </is>
      </c>
      <c r="B144" s="30" t="inlineStr">
        <is>
          <t>Bosch Limited</t>
        </is>
      </c>
      <c r="C144" s="30" t="inlineStr">
        <is>
          <t>auto</t>
        </is>
      </c>
      <c r="D144" s="30" t="inlineStr">
        <is>
          <t>auto ancillaries</t>
        </is>
      </c>
      <c r="E144" s="30" t="inlineStr">
        <is>
          <t>largecap</t>
        </is>
      </c>
      <c r="F144" s="30" t="n">
        <v>115703.55</v>
      </c>
      <c r="G144" s="30" t="n">
        <v>40035</v>
      </c>
      <c r="H144" s="30" t="n">
        <v>2.05</v>
      </c>
      <c r="I144" s="30" t="n">
        <v>53616</v>
      </c>
      <c r="J144" s="30" t="inlineStr">
        <is>
          <t>500530</t>
        </is>
      </c>
    </row>
    <row r="145">
      <c r="A145" s="30" t="inlineStr">
        <is>
          <t>JBMA</t>
        </is>
      </c>
      <c r="B145" s="30" t="inlineStr">
        <is>
          <t>Jbm Auto Limited</t>
        </is>
      </c>
      <c r="C145" s="30" t="inlineStr">
        <is>
          <t>auto</t>
        </is>
      </c>
      <c r="D145" s="30" t="inlineStr">
        <is>
          <t>auto ancillaries</t>
        </is>
      </c>
      <c r="E145" s="30" t="inlineStr">
        <is>
          <t>midcap</t>
        </is>
      </c>
      <c r="F145" s="30" t="n">
        <v>16386.69</v>
      </c>
      <c r="G145" s="30" t="n">
        <v>706.5</v>
      </c>
      <c r="H145" s="30" t="n">
        <v>1.96</v>
      </c>
      <c r="I145" s="30" t="n">
        <v>2762500</v>
      </c>
      <c r="J145" s="30" t="inlineStr">
        <is>
          <t>532605</t>
        </is>
      </c>
    </row>
    <row r="146">
      <c r="A146" s="30" t="inlineStr">
        <is>
          <t>CEIGALL</t>
        </is>
      </c>
      <c r="B146" s="30" t="inlineStr">
        <is>
          <t>Ceigall India Ltd</t>
        </is>
      </c>
      <c r="C146" s="30" t="inlineStr">
        <is>
          <t>realty</t>
        </is>
      </c>
      <c r="D146" s="30" t="inlineStr">
        <is>
          <t>construction</t>
        </is>
      </c>
      <c r="E146" s="30" t="inlineStr">
        <is>
          <t>midcap</t>
        </is>
      </c>
      <c r="F146" s="30" t="n">
        <v>6489.13</v>
      </c>
      <c r="G146" s="30" t="n">
        <v>379.8</v>
      </c>
      <c r="H146" s="30" t="n">
        <v>1.96</v>
      </c>
      <c r="I146" s="30" t="n">
        <v>603557</v>
      </c>
      <c r="J146" s="30" t="inlineStr">
        <is>
          <t>544223</t>
        </is>
      </c>
    </row>
    <row r="147">
      <c r="A147" s="30" t="inlineStr">
        <is>
          <t>SUPRIYA</t>
        </is>
      </c>
      <c r="B147" s="30" t="inlineStr">
        <is>
          <t>Supriya Lifescience Ltd</t>
        </is>
      </c>
      <c r="C147" s="30" t="inlineStr">
        <is>
          <t>healthcare</t>
        </is>
      </c>
      <c r="D147" s="30" t="inlineStr">
        <is>
          <t>pharmaceuticals - indian - bulk drugs &amp; formln</t>
        </is>
      </c>
      <c r="E147" s="30" t="inlineStr">
        <is>
          <t>midcap</t>
        </is>
      </c>
      <c r="F147" s="30" t="n">
        <v>7358.94</v>
      </c>
      <c r="G147" s="30" t="n">
        <v>932.25</v>
      </c>
      <c r="H147" s="30" t="n">
        <v>1.96</v>
      </c>
      <c r="I147" s="30" t="n">
        <v>186582</v>
      </c>
      <c r="J147" s="30" t="inlineStr">
        <is>
          <t>543434</t>
        </is>
      </c>
    </row>
    <row r="148">
      <c r="A148" s="30" t="inlineStr">
        <is>
          <t>PARAS</t>
        </is>
      </c>
      <c r="B148" s="30" t="inlineStr">
        <is>
          <t>Paras Defence and Space Technologies Ltd</t>
        </is>
      </c>
      <c r="C148" s="30" t="inlineStr">
        <is>
          <t>aerospace &amp; defence</t>
        </is>
      </c>
      <c r="D148" s="30" t="inlineStr">
        <is>
          <t>engineering</t>
        </is>
      </c>
      <c r="E148" s="30" t="inlineStr">
        <is>
          <t>midcap</t>
        </is>
      </c>
      <c r="F148" s="30" t="n">
        <v>10360.71</v>
      </c>
      <c r="G148" s="30" t="n">
        <v>1310.3</v>
      </c>
      <c r="H148" s="30" t="n">
        <v>1.92</v>
      </c>
      <c r="I148" s="30" t="n">
        <v>17292975</v>
      </c>
      <c r="J148" s="30" t="inlineStr">
        <is>
          <t>543367</t>
        </is>
      </c>
    </row>
    <row r="149">
      <c r="A149" s="30" t="inlineStr">
        <is>
          <t>GVT&amp;D</t>
        </is>
      </c>
      <c r="B149" s="30" t="inlineStr">
        <is>
          <t>GE Vernova T&amp;D India Ltd</t>
        </is>
      </c>
      <c r="C149" s="30" t="inlineStr">
        <is>
          <t>industrials</t>
        </is>
      </c>
      <c r="D149" s="30" t="inlineStr">
        <is>
          <t>electric equipment</t>
        </is>
      </c>
      <c r="E149" s="30" t="inlineStr">
        <is>
          <t>largecap</t>
        </is>
      </c>
      <c r="F149" s="30" t="n">
        <v>131927.98</v>
      </c>
      <c r="G149" s="30" t="n">
        <v>5250</v>
      </c>
      <c r="H149" s="30" t="n">
        <v>1.89</v>
      </c>
      <c r="I149" s="30" t="n">
        <v>660399</v>
      </c>
      <c r="J149" s="30" t="inlineStr">
        <is>
          <t>522275</t>
        </is>
      </c>
    </row>
    <row r="150">
      <c r="A150" s="30" t="inlineStr">
        <is>
          <t>LMW</t>
        </is>
      </c>
      <c r="B150" s="30" t="inlineStr">
        <is>
          <t>LMW Ltd</t>
        </is>
      </c>
      <c r="C150" s="30" t="inlineStr">
        <is>
          <t>industrials</t>
        </is>
      </c>
      <c r="D150" s="30" t="inlineStr">
        <is>
          <t>textile machinery</t>
        </is>
      </c>
      <c r="E150" s="30" t="inlineStr">
        <is>
          <t>midcap</t>
        </is>
      </c>
      <c r="F150" s="30" t="n">
        <v>17530.8</v>
      </c>
      <c r="G150" s="30" t="n">
        <v>16720</v>
      </c>
      <c r="H150" s="30" t="n">
        <v>1.89</v>
      </c>
      <c r="I150" s="30" t="n">
        <v>4170</v>
      </c>
      <c r="J150" s="30" t="inlineStr">
        <is>
          <t>500252</t>
        </is>
      </c>
    </row>
    <row r="151">
      <c r="A151" s="30" t="inlineStr">
        <is>
          <t>CUPID</t>
        </is>
      </c>
      <c r="B151" s="30" t="inlineStr">
        <is>
          <t>Cupid Limited</t>
        </is>
      </c>
      <c r="C151" s="30" t="inlineStr">
        <is>
          <t>fmcg</t>
        </is>
      </c>
      <c r="D151" s="30" t="inlineStr">
        <is>
          <t>personal care - indian</t>
        </is>
      </c>
      <c r="E151" s="30" t="inlineStr">
        <is>
          <t>largecap</t>
        </is>
      </c>
      <c r="F151" s="30" t="n">
        <v>22345.57</v>
      </c>
      <c r="G151" s="30" t="n">
        <v>169.19</v>
      </c>
      <c r="H151" s="30" t="n">
        <v>1.81</v>
      </c>
      <c r="I151" s="30" t="n">
        <v>33831014</v>
      </c>
      <c r="J151" s="30" t="inlineStr">
        <is>
          <t>530843</t>
        </is>
      </c>
    </row>
    <row r="152">
      <c r="A152" s="30" t="inlineStr">
        <is>
          <t>MANKIND</t>
        </is>
      </c>
      <c r="B152" s="30" t="inlineStr">
        <is>
          <t>Mankind Pharma Ltd</t>
        </is>
      </c>
      <c r="C152" s="30" t="inlineStr">
        <is>
          <t>healthcare</t>
        </is>
      </c>
      <c r="D152" s="30" t="inlineStr">
        <is>
          <t>pharmaceuticals - indian - bulk drugs &amp; formln</t>
        </is>
      </c>
      <c r="E152" s="30" t="inlineStr">
        <is>
          <t>largecap</t>
        </is>
      </c>
      <c r="F152" s="30" t="n">
        <v>97596.75</v>
      </c>
      <c r="G152" s="30" t="n">
        <v>2406</v>
      </c>
      <c r="H152" s="30" t="n">
        <v>1.77</v>
      </c>
      <c r="I152" s="30" t="n">
        <v>492332</v>
      </c>
      <c r="J152" s="30" t="inlineStr">
        <is>
          <t>543904</t>
        </is>
      </c>
    </row>
    <row r="153">
      <c r="A153" s="30" t="inlineStr">
        <is>
          <t>OAL</t>
        </is>
      </c>
      <c r="B153" s="30" t="inlineStr">
        <is>
          <t>Oriental Aromatics Ltd</t>
        </is>
      </c>
      <c r="C153" s="30" t="inlineStr">
        <is>
          <t>chemicals</t>
        </is>
      </c>
      <c r="D153" s="30" t="inlineStr">
        <is>
          <t>chemicals</t>
        </is>
      </c>
      <c r="E153" s="30" t="inlineStr">
        <is>
          <t>smallcap</t>
        </is>
      </c>
      <c r="F153" s="30" t="n">
        <v>1147.08</v>
      </c>
      <c r="G153" s="30" t="n">
        <v>346.7</v>
      </c>
      <c r="H153" s="30" t="n">
        <v>1.72</v>
      </c>
      <c r="I153" s="30" t="n">
        <v>27836</v>
      </c>
      <c r="J153" s="30" t="inlineStr">
        <is>
          <t>500078</t>
        </is>
      </c>
    </row>
    <row r="154">
      <c r="A154" s="30" t="inlineStr">
        <is>
          <t>AKUMS</t>
        </is>
      </c>
      <c r="B154" s="30" t="inlineStr">
        <is>
          <t>Akums Drugs &amp; Pharmaceuticals Ltd</t>
        </is>
      </c>
      <c r="C154" s="30" t="inlineStr">
        <is>
          <t>healthcare</t>
        </is>
      </c>
      <c r="D154" s="30" t="inlineStr">
        <is>
          <t>pharmaceuticals - indian - bulk drugs &amp; formln</t>
        </is>
      </c>
      <c r="E154" s="30" t="inlineStr">
        <is>
          <t>midcap</t>
        </is>
      </c>
      <c r="F154" s="30" t="n">
        <v>9310.639999999999</v>
      </c>
      <c r="G154" s="30" t="n">
        <v>601.7</v>
      </c>
      <c r="H154" s="30" t="n">
        <v>1.72</v>
      </c>
      <c r="I154" s="30" t="n">
        <v>179494</v>
      </c>
      <c r="J154" s="30" t="inlineStr">
        <is>
          <t>544222</t>
        </is>
      </c>
    </row>
    <row r="155">
      <c r="A155" s="30" t="inlineStr">
        <is>
          <t>BLISSGVS</t>
        </is>
      </c>
      <c r="B155" s="30" t="inlineStr">
        <is>
          <t>Bliss Gvs Pharma Limited</t>
        </is>
      </c>
      <c r="C155" s="30" t="inlineStr">
        <is>
          <t>healthcare</t>
        </is>
      </c>
      <c r="D155" s="30" t="inlineStr">
        <is>
          <t>pharmaceuticals - indian - formulations</t>
        </is>
      </c>
      <c r="E155" s="30" t="inlineStr">
        <is>
          <t>midcap</t>
        </is>
      </c>
      <c r="F155" s="30" t="n">
        <v>5023.39</v>
      </c>
      <c r="G155" s="30" t="n">
        <v>482.95</v>
      </c>
      <c r="H155" s="30" t="n">
        <v>1.71</v>
      </c>
      <c r="I155" s="30" t="n">
        <v>902557</v>
      </c>
      <c r="J155" s="30" t="inlineStr">
        <is>
          <t>506197</t>
        </is>
      </c>
    </row>
    <row r="156">
      <c r="A156" s="30" t="inlineStr">
        <is>
          <t>SURYODAY</t>
        </is>
      </c>
      <c r="B156" s="30" t="inlineStr">
        <is>
          <t>Suryoday Small Finance Bank Ltd</t>
        </is>
      </c>
      <c r="C156" s="30" t="inlineStr">
        <is>
          <t>bank</t>
        </is>
      </c>
      <c r="D156" s="30" t="inlineStr">
        <is>
          <t>banks - private sector</t>
        </is>
      </c>
      <c r="E156" s="30" t="inlineStr">
        <is>
          <t>smallcap</t>
        </is>
      </c>
      <c r="F156" s="30" t="n">
        <v>1812.67</v>
      </c>
      <c r="G156" s="30" t="n">
        <v>173.43</v>
      </c>
      <c r="H156" s="30" t="n">
        <v>1.69</v>
      </c>
      <c r="I156" s="30" t="n">
        <v>402453</v>
      </c>
      <c r="J156" s="30" t="inlineStr">
        <is>
          <t>543279</t>
        </is>
      </c>
    </row>
    <row r="157">
      <c r="A157" s="30" t="inlineStr">
        <is>
          <t>DELHIVERY</t>
        </is>
      </c>
      <c r="B157" s="30" t="inlineStr">
        <is>
          <t>Delhivery Ltd</t>
        </is>
      </c>
      <c r="C157" s="30" t="inlineStr">
        <is>
          <t>transportation</t>
        </is>
      </c>
      <c r="D157" s="30" t="inlineStr">
        <is>
          <t>miscellaneous</t>
        </is>
      </c>
      <c r="E157" s="30" t="inlineStr">
        <is>
          <t>largecap</t>
        </is>
      </c>
      <c r="F157" s="30" t="n">
        <v>33803.4</v>
      </c>
      <c r="G157" s="30" t="n">
        <v>459.2</v>
      </c>
      <c r="H157" s="30" t="n">
        <v>1.69</v>
      </c>
      <c r="I157" s="30" t="n">
        <v>2089503</v>
      </c>
      <c r="J157" s="30" t="inlineStr">
        <is>
          <t>543529</t>
        </is>
      </c>
    </row>
    <row r="158">
      <c r="A158" s="30" t="inlineStr">
        <is>
          <t>SUPRAJIT</t>
        </is>
      </c>
      <c r="B158" s="30" t="inlineStr">
        <is>
          <t>Suprajit Engineering Limited</t>
        </is>
      </c>
      <c r="C158" s="30" t="inlineStr">
        <is>
          <t>auto</t>
        </is>
      </c>
      <c r="D158" s="30" t="inlineStr">
        <is>
          <t>auto ancillaries</t>
        </is>
      </c>
      <c r="E158" s="30" t="inlineStr">
        <is>
          <t>midcap</t>
        </is>
      </c>
      <c r="F158" s="30" t="n">
        <v>6337.31</v>
      </c>
      <c r="G158" s="30" t="n">
        <v>469.8</v>
      </c>
      <c r="H158" s="30" t="n">
        <v>1.69</v>
      </c>
      <c r="I158" s="30" t="n">
        <v>133015</v>
      </c>
      <c r="J158" s="30" t="inlineStr">
        <is>
          <t>532509</t>
        </is>
      </c>
    </row>
    <row r="159">
      <c r="A159" s="30" t="inlineStr">
        <is>
          <t>GABRIEL</t>
        </is>
      </c>
      <c r="B159" s="30" t="inlineStr">
        <is>
          <t>Gabriel India Limited</t>
        </is>
      </c>
      <c r="C159" s="30" t="inlineStr">
        <is>
          <t>auto</t>
        </is>
      </c>
      <c r="D159" s="30" t="inlineStr">
        <is>
          <t>auto ancillaries</t>
        </is>
      </c>
      <c r="E159" s="30" t="inlineStr">
        <is>
          <t>midcap</t>
        </is>
      </c>
      <c r="F159" s="30" t="n">
        <v>16134.09</v>
      </c>
      <c r="G159" s="30" t="n">
        <v>1141.9</v>
      </c>
      <c r="H159" s="30" t="n">
        <v>1.66</v>
      </c>
      <c r="I159" s="30" t="n">
        <v>391238</v>
      </c>
      <c r="J159" s="30" t="inlineStr">
        <is>
          <t>505714</t>
        </is>
      </c>
    </row>
    <row r="160">
      <c r="A160" s="30" t="inlineStr">
        <is>
          <t>SUYOG</t>
        </is>
      </c>
      <c r="B160" s="30" t="inlineStr">
        <is>
          <t>Suyog Telematics Ltd</t>
        </is>
      </c>
      <c r="C160" s="30" t="inlineStr">
        <is>
          <t>telecom</t>
        </is>
      </c>
      <c r="D160" s="30" t="inlineStr">
        <is>
          <t>transmisson line towers / equipment</t>
        </is>
      </c>
      <c r="E160" s="30" t="inlineStr">
        <is>
          <t>smallcap</t>
        </is>
      </c>
      <c r="F160" s="30" t="n">
        <v>928.23</v>
      </c>
      <c r="G160" s="30" t="n">
        <v>805.2</v>
      </c>
      <c r="H160" s="30" t="n">
        <v>1.64</v>
      </c>
      <c r="I160" s="30" t="n">
        <v>107629</v>
      </c>
      <c r="J160" s="30" t="inlineStr">
        <is>
          <t>537259</t>
        </is>
      </c>
    </row>
    <row r="161">
      <c r="A161" s="30" t="inlineStr">
        <is>
          <t>AVL</t>
        </is>
      </c>
      <c r="B161" s="30" t="inlineStr">
        <is>
          <t>Aditya Vision Ltd</t>
        </is>
      </c>
      <c r="C161" s="30" t="inlineStr">
        <is>
          <t>consumer discretionary</t>
        </is>
      </c>
      <c r="D161" s="30" t="inlineStr">
        <is>
          <t>trading</t>
        </is>
      </c>
      <c r="E161" s="30" t="inlineStr">
        <is>
          <t>midcap</t>
        </is>
      </c>
      <c r="F161" s="30" t="n">
        <v>7845.14</v>
      </c>
      <c r="G161" s="30" t="n">
        <v>617.45</v>
      </c>
      <c r="H161" s="30" t="n">
        <v>1.64</v>
      </c>
      <c r="I161" s="30" t="n">
        <v>504141</v>
      </c>
      <c r="J161" s="30" t="inlineStr">
        <is>
          <t>540205</t>
        </is>
      </c>
    </row>
    <row r="162">
      <c r="A162" s="30" t="inlineStr">
        <is>
          <t>INDHOTEL</t>
        </is>
      </c>
      <c r="B162" s="30" t="inlineStr">
        <is>
          <t>The Indian Hotels Company Limited</t>
        </is>
      </c>
      <c r="C162" s="30" t="inlineStr">
        <is>
          <t>services</t>
        </is>
      </c>
      <c r="D162" s="30" t="inlineStr">
        <is>
          <t>hotels</t>
        </is>
      </c>
      <c r="E162" s="30" t="inlineStr">
        <is>
          <t>largecap</t>
        </is>
      </c>
      <c r="F162" s="30" t="n">
        <v>99512.14999999999</v>
      </c>
      <c r="G162" s="30" t="n">
        <v>710.45</v>
      </c>
      <c r="H162" s="30" t="n">
        <v>1.62</v>
      </c>
      <c r="I162" s="30" t="n">
        <v>2181354</v>
      </c>
      <c r="J162" s="30" t="inlineStr">
        <is>
          <t>500850</t>
        </is>
      </c>
    </row>
    <row r="163">
      <c r="A163" s="30" t="inlineStr">
        <is>
          <t>ITI</t>
        </is>
      </c>
      <c r="B163" s="30" t="inlineStr">
        <is>
          <t>Iti Limited</t>
        </is>
      </c>
      <c r="C163" s="30" t="inlineStr">
        <is>
          <t>aerospace &amp; defence</t>
        </is>
      </c>
      <c r="D163" s="30" t="inlineStr">
        <is>
          <t>telecommunications - equipment</t>
        </is>
      </c>
      <c r="E163" s="30" t="inlineStr">
        <is>
          <t>largecap</t>
        </is>
      </c>
      <c r="F163" s="30" t="n">
        <v>29482.53</v>
      </c>
      <c r="G163" s="30" t="n">
        <v>311.15</v>
      </c>
      <c r="H163" s="30" t="n">
        <v>1.62</v>
      </c>
      <c r="I163" s="30" t="n">
        <v>1654990</v>
      </c>
      <c r="J163" s="30" t="inlineStr">
        <is>
          <t>523610</t>
        </is>
      </c>
    </row>
    <row r="164">
      <c r="A164" s="30" t="inlineStr">
        <is>
          <t>CGCL</t>
        </is>
      </c>
      <c r="B164" s="30" t="inlineStr">
        <is>
          <t>Capri Global Capital Limited</t>
        </is>
      </c>
      <c r="C164" s="30" t="inlineStr">
        <is>
          <t>financials</t>
        </is>
      </c>
      <c r="D164" s="30" t="inlineStr">
        <is>
          <t>finance &amp; investments</t>
        </is>
      </c>
      <c r="E164" s="30" t="inlineStr">
        <is>
          <t>largecap</t>
        </is>
      </c>
      <c r="F164" s="30" t="n">
        <v>20905.68</v>
      </c>
      <c r="G164" s="30" t="n">
        <v>220.81</v>
      </c>
      <c r="H164" s="30" t="n">
        <v>1.62</v>
      </c>
      <c r="I164" s="30" t="n">
        <v>2875602</v>
      </c>
      <c r="J164" s="30" t="inlineStr">
        <is>
          <t>531595</t>
        </is>
      </c>
    </row>
    <row r="165">
      <c r="A165" s="30" t="inlineStr">
        <is>
          <t>PASUPTAC</t>
        </is>
      </c>
      <c r="B165" s="30" t="inlineStr">
        <is>
          <t>Pasupati Acrylon Ltd</t>
        </is>
      </c>
      <c r="C165" s="30" t="inlineStr">
        <is>
          <t>textiles</t>
        </is>
      </c>
      <c r="D165" s="30" t="inlineStr">
        <is>
          <t>textiles - manmade</t>
        </is>
      </c>
      <c r="E165" s="30" t="inlineStr">
        <is>
          <t>smallcap</t>
        </is>
      </c>
      <c r="F165" s="30" t="n">
        <v>586.76</v>
      </c>
      <c r="G165" s="30" t="n">
        <v>66.89</v>
      </c>
      <c r="H165" s="30" t="n">
        <v>1.61</v>
      </c>
      <c r="I165" s="30" t="n">
        <v>133910</v>
      </c>
      <c r="J165" s="30" t="inlineStr">
        <is>
          <t>500456</t>
        </is>
      </c>
    </row>
    <row r="166">
      <c r="A166" s="30" t="inlineStr">
        <is>
          <t>EMCURE</t>
        </is>
      </c>
      <c r="B166" s="30" t="inlineStr">
        <is>
          <t>Emcure Pharmaceuticals Ltd</t>
        </is>
      </c>
      <c r="C166" s="30" t="inlineStr">
        <is>
          <t>healthcare</t>
        </is>
      </c>
      <c r="D166" s="30" t="inlineStr">
        <is>
          <t>pharmaceuticals - indian - bulk drugs &amp; formln</t>
        </is>
      </c>
      <c r="E166" s="30" t="inlineStr">
        <is>
          <t>largecap</t>
        </is>
      </c>
      <c r="F166" s="30" t="n">
        <v>32717.47</v>
      </c>
      <c r="G166" s="30" t="n">
        <v>1753.2</v>
      </c>
      <c r="H166" s="30" t="n">
        <v>1.59</v>
      </c>
      <c r="I166" s="30" t="n">
        <v>479806</v>
      </c>
      <c r="J166" s="30" t="inlineStr">
        <is>
          <t>544210</t>
        </is>
      </c>
    </row>
    <row r="167">
      <c r="A167" s="30" t="inlineStr">
        <is>
          <t>HAPPYFORGE</t>
        </is>
      </c>
      <c r="B167" s="30" t="inlineStr">
        <is>
          <t>Happy Forgings Ltd</t>
        </is>
      </c>
      <c r="C167" s="30" t="inlineStr">
        <is>
          <t>industrials</t>
        </is>
      </c>
      <c r="D167" s="30" t="inlineStr">
        <is>
          <t>castings &amp; forgings</t>
        </is>
      </c>
      <c r="E167" s="30" t="inlineStr">
        <is>
          <t>midcap</t>
        </is>
      </c>
      <c r="F167" s="30" t="n">
        <v>13503.44</v>
      </c>
      <c r="G167" s="30" t="n">
        <v>1453.9</v>
      </c>
      <c r="H167" s="30" t="n">
        <v>1.59</v>
      </c>
      <c r="I167" s="30" t="n">
        <v>114664</v>
      </c>
      <c r="J167" s="30" t="inlineStr">
        <is>
          <t>544057</t>
        </is>
      </c>
    </row>
    <row r="168">
      <c r="A168" s="30" t="inlineStr">
        <is>
          <t>SBIN</t>
        </is>
      </c>
      <c r="B168" s="30" t="inlineStr">
        <is>
          <t>State Bank Of India Ltd</t>
        </is>
      </c>
      <c r="C168" s="30" t="inlineStr">
        <is>
          <t>bank</t>
        </is>
      </c>
      <c r="D168" s="30" t="inlineStr">
        <is>
          <t>banks - public sector</t>
        </is>
      </c>
      <c r="E168" s="30" t="inlineStr">
        <is>
          <t>largecap</t>
        </is>
      </c>
      <c r="F168" s="30" t="n">
        <v>947522.9</v>
      </c>
      <c r="G168" s="30" t="n">
        <v>1042.7</v>
      </c>
      <c r="H168" s="30" t="n">
        <v>1.58</v>
      </c>
      <c r="I168" s="30" t="n">
        <v>11048009</v>
      </c>
      <c r="J168" s="30" t="inlineStr">
        <is>
          <t>500112</t>
        </is>
      </c>
    </row>
    <row r="169">
      <c r="A169" s="30" t="inlineStr">
        <is>
          <t>KAPSTON</t>
        </is>
      </c>
      <c r="B169" s="30" t="inlineStr">
        <is>
          <t>Kapston Services Ltd</t>
        </is>
      </c>
      <c r="C169" s="30" t="inlineStr">
        <is>
          <t>miscellaneous</t>
        </is>
      </c>
      <c r="D169" s="30" t="inlineStr">
        <is>
          <t>miscellaneous</t>
        </is>
      </c>
      <c r="E169" s="30" t="inlineStr">
        <is>
          <t>smallcap</t>
        </is>
      </c>
      <c r="F169" s="30" t="n">
        <v>1049.91</v>
      </c>
      <c r="G169" s="30" t="n">
        <v>350.45</v>
      </c>
      <c r="H169" s="30" t="n">
        <v>1.58</v>
      </c>
      <c r="I169" s="30" t="n">
        <v>33276</v>
      </c>
      <c r="J169" s="30" t="inlineStr">
        <is>
          <t>535064</t>
        </is>
      </c>
    </row>
    <row r="170">
      <c r="A170" s="30" t="inlineStr">
        <is>
          <t>ASKAUTOLTD</t>
        </is>
      </c>
      <c r="B170" s="30" t="inlineStr">
        <is>
          <t>ASK Automotive Ltd</t>
        </is>
      </c>
      <c r="C170" s="30" t="inlineStr">
        <is>
          <t>auto</t>
        </is>
      </c>
      <c r="D170" s="30" t="inlineStr">
        <is>
          <t>auto ancillaries</t>
        </is>
      </c>
      <c r="E170" s="30" t="inlineStr">
        <is>
          <t>midcap</t>
        </is>
      </c>
      <c r="F170" s="30" t="n">
        <v>8993.65</v>
      </c>
      <c r="G170" s="30" t="n">
        <v>463.25</v>
      </c>
      <c r="H170" s="30" t="n">
        <v>1.55</v>
      </c>
      <c r="I170" s="30" t="n">
        <v>158970</v>
      </c>
      <c r="J170" s="30" t="inlineStr">
        <is>
          <t>544022</t>
        </is>
      </c>
    </row>
    <row r="171">
      <c r="A171" s="30" t="inlineStr">
        <is>
          <t>DIVISLAB</t>
        </is>
      </c>
      <c r="B171" s="30" t="inlineStr">
        <is>
          <t>Divi's Laboratories Limited</t>
        </is>
      </c>
      <c r="C171" s="30" t="inlineStr">
        <is>
          <t>healthcare</t>
        </is>
      </c>
      <c r="D171" s="30" t="inlineStr">
        <is>
          <t>pharmaceuticals - indian - bulk drugs</t>
        </is>
      </c>
      <c r="E171" s="30" t="inlineStr">
        <is>
          <t>largecap</t>
        </is>
      </c>
      <c r="F171" s="30" t="n">
        <v>176894.99</v>
      </c>
      <c r="G171" s="30" t="n">
        <v>6767</v>
      </c>
      <c r="H171" s="30" t="n">
        <v>1.55</v>
      </c>
      <c r="I171" s="30" t="n">
        <v>411896</v>
      </c>
      <c r="J171" s="30" t="inlineStr">
        <is>
          <t>532488</t>
        </is>
      </c>
    </row>
    <row r="172">
      <c r="A172" s="30" t="inlineStr">
        <is>
          <t>AARTIIND</t>
        </is>
      </c>
      <c r="B172" s="30" t="inlineStr">
        <is>
          <t>Aarti Industries Limited</t>
        </is>
      </c>
      <c r="C172" s="30" t="inlineStr">
        <is>
          <t>chemicals</t>
        </is>
      </c>
      <c r="D172" s="30" t="inlineStr">
        <is>
          <t>chemicals</t>
        </is>
      </c>
      <c r="E172" s="30" t="inlineStr">
        <is>
          <t>midcap</t>
        </is>
      </c>
      <c r="F172" s="30" t="n">
        <v>17375.52</v>
      </c>
      <c r="G172" s="30" t="n">
        <v>486.45</v>
      </c>
      <c r="H172" s="30" t="n">
        <v>1.51</v>
      </c>
      <c r="I172" s="30" t="n">
        <v>1047043</v>
      </c>
      <c r="J172" s="30" t="inlineStr">
        <is>
          <t>524208</t>
        </is>
      </c>
    </row>
    <row r="173">
      <c r="A173" s="30" t="inlineStr">
        <is>
          <t>ENDURANCE</t>
        </is>
      </c>
      <c r="B173" s="30" t="inlineStr">
        <is>
          <t>Endurance Technologies Limited</t>
        </is>
      </c>
      <c r="C173" s="30" t="inlineStr">
        <is>
          <t>auto</t>
        </is>
      </c>
      <c r="D173" s="30" t="inlineStr">
        <is>
          <t>auto ancillaries</t>
        </is>
      </c>
      <c r="E173" s="30" t="inlineStr">
        <is>
          <t>largecap</t>
        </is>
      </c>
      <c r="F173" s="30" t="n">
        <v>36355.72</v>
      </c>
      <c r="G173" s="30" t="n">
        <v>2623.3</v>
      </c>
      <c r="H173" s="30" t="n">
        <v>1.5</v>
      </c>
      <c r="I173" s="30" t="n">
        <v>76493</v>
      </c>
      <c r="J173" s="30" t="inlineStr">
        <is>
          <t>540153</t>
        </is>
      </c>
    </row>
    <row r="174">
      <c r="A174" s="30" t="inlineStr">
        <is>
          <t>YESBANK</t>
        </is>
      </c>
      <c r="B174" s="30" t="inlineStr">
        <is>
          <t>Yes Bank Limited</t>
        </is>
      </c>
      <c r="C174" s="30" t="inlineStr">
        <is>
          <t>bank</t>
        </is>
      </c>
      <c r="D174" s="30" t="inlineStr">
        <is>
          <t>banks - private sector</t>
        </is>
      </c>
      <c r="E174" s="30" t="inlineStr">
        <is>
          <t>largecap</t>
        </is>
      </c>
      <c r="F174" s="30" t="n">
        <v>78791.27</v>
      </c>
      <c r="G174" s="30" t="n">
        <v>25.48</v>
      </c>
      <c r="H174" s="30" t="n">
        <v>1.47</v>
      </c>
      <c r="I174" s="30" t="n">
        <v>232600629</v>
      </c>
      <c r="J174" s="30" t="inlineStr">
        <is>
          <t>532648</t>
        </is>
      </c>
    </row>
    <row r="175">
      <c r="A175" s="30" t="inlineStr">
        <is>
          <t>DREDGECORP</t>
        </is>
      </c>
      <c r="B175" s="30" t="inlineStr">
        <is>
          <t>Dredging Corporation Of India Limited</t>
        </is>
      </c>
      <c r="C175" s="30" t="inlineStr">
        <is>
          <t>miscellaneous</t>
        </is>
      </c>
      <c r="D175" s="30" t="inlineStr">
        <is>
          <t>miscellaneous</t>
        </is>
      </c>
      <c r="E175" s="30" t="inlineStr">
        <is>
          <t>smallcap</t>
        </is>
      </c>
      <c r="F175" s="30" t="n">
        <v>3138.24</v>
      </c>
      <c r="G175" s="30" t="n">
        <v>1137.2</v>
      </c>
      <c r="H175" s="30" t="n">
        <v>1.46</v>
      </c>
      <c r="I175" s="30" t="n">
        <v>223017</v>
      </c>
      <c r="J175" s="30" t="inlineStr">
        <is>
          <t>523618</t>
        </is>
      </c>
    </row>
    <row r="176">
      <c r="A176" s="30" t="inlineStr">
        <is>
          <t>JAMNAAUTO</t>
        </is>
      </c>
      <c r="B176" s="30" t="inlineStr">
        <is>
          <t>Jamna Auto Industries Limited</t>
        </is>
      </c>
      <c r="C176" s="30" t="inlineStr">
        <is>
          <t>auto</t>
        </is>
      </c>
      <c r="D176" s="30" t="inlineStr">
        <is>
          <t>auto ancillaries</t>
        </is>
      </c>
      <c r="E176" s="30" t="inlineStr">
        <is>
          <t>midcap</t>
        </is>
      </c>
      <c r="F176" s="30" t="n">
        <v>5205.04</v>
      </c>
      <c r="G176" s="30" t="n">
        <v>132.11</v>
      </c>
      <c r="H176" s="30" t="n">
        <v>1.45</v>
      </c>
      <c r="I176" s="30" t="n">
        <v>4152112</v>
      </c>
      <c r="J176" s="30" t="inlineStr">
        <is>
          <t>520051</t>
        </is>
      </c>
    </row>
    <row r="177">
      <c r="A177" s="30" t="inlineStr">
        <is>
          <t>ADFFOODS</t>
        </is>
      </c>
      <c r="B177" s="30" t="inlineStr">
        <is>
          <t>Adf Foods Limited</t>
        </is>
      </c>
      <c r="C177" s="30" t="inlineStr">
        <is>
          <t>fmcg</t>
        </is>
      </c>
      <c r="D177" s="30" t="inlineStr">
        <is>
          <t>food - processing - indian</t>
        </is>
      </c>
      <c r="E177" s="30" t="inlineStr">
        <is>
          <t>smallcap</t>
        </is>
      </c>
      <c r="F177" s="30" t="n">
        <v>3310.19</v>
      </c>
      <c r="G177" s="30" t="n">
        <v>305.6</v>
      </c>
      <c r="H177" s="30" t="n">
        <v>1.43</v>
      </c>
      <c r="I177" s="30" t="n">
        <v>453747</v>
      </c>
      <c r="J177" s="30" t="inlineStr">
        <is>
          <t>519183</t>
        </is>
      </c>
    </row>
    <row r="178">
      <c r="A178" s="30" t="inlineStr">
        <is>
          <t>HNDFDS</t>
        </is>
      </c>
      <c r="B178" s="30" t="inlineStr">
        <is>
          <t>Hindustan Foods Ltd</t>
        </is>
      </c>
      <c r="C178" s="30" t="inlineStr">
        <is>
          <t>fmcg</t>
        </is>
      </c>
      <c r="D178" s="30" t="inlineStr">
        <is>
          <t>diversified - large</t>
        </is>
      </c>
      <c r="E178" s="30" t="inlineStr">
        <is>
          <t>midcap</t>
        </is>
      </c>
      <c r="F178" s="30" t="n">
        <v>6530.87</v>
      </c>
      <c r="G178" s="30" t="n">
        <v>554.25</v>
      </c>
      <c r="H178" s="30" t="n">
        <v>1.4</v>
      </c>
      <c r="I178" s="30" t="n">
        <v>65865</v>
      </c>
      <c r="J178" s="30" t="inlineStr">
        <is>
          <t>519126</t>
        </is>
      </c>
    </row>
    <row r="179">
      <c r="A179" s="30" t="inlineStr">
        <is>
          <t>GRWRHITECH</t>
        </is>
      </c>
      <c r="B179" s="30" t="inlineStr">
        <is>
          <t>Garware Hi Tech Films Ltd</t>
        </is>
      </c>
      <c r="C179" s="30" t="inlineStr">
        <is>
          <t>industrials</t>
        </is>
      </c>
      <c r="D179" s="30" t="inlineStr">
        <is>
          <t>packaging</t>
        </is>
      </c>
      <c r="E179" s="30" t="inlineStr">
        <is>
          <t>midcap</t>
        </is>
      </c>
      <c r="F179" s="30" t="n">
        <v>15067.37</v>
      </c>
      <c r="G179" s="30" t="n">
        <v>6575</v>
      </c>
      <c r="H179" s="30" t="n">
        <v>1.38</v>
      </c>
      <c r="I179" s="30" t="n">
        <v>86159</v>
      </c>
      <c r="J179" s="30" t="inlineStr">
        <is>
          <t>500655</t>
        </is>
      </c>
    </row>
    <row r="180">
      <c r="A180" s="30" t="inlineStr">
        <is>
          <t>SVLL</t>
        </is>
      </c>
      <c r="B180" s="30" t="inlineStr">
        <is>
          <t>Shree Vasu Logistics Ltd</t>
        </is>
      </c>
      <c r="C180" s="30" t="inlineStr">
        <is>
          <t>transportation</t>
        </is>
      </c>
      <c r="D180" s="30" t="inlineStr">
        <is>
          <t>miscellaneous</t>
        </is>
      </c>
      <c r="E180" s="30" t="inlineStr">
        <is>
          <t>smallcap</t>
        </is>
      </c>
      <c r="F180" s="30" t="n">
        <v>816.4</v>
      </c>
      <c r="G180" s="30" t="n">
        <v>720</v>
      </c>
      <c r="H180" s="30" t="n">
        <v>1.37</v>
      </c>
      <c r="I180" s="30" t="n">
        <v>903</v>
      </c>
      <c r="J180" s="30" t="inlineStr">
        <is>
          <t>535084</t>
        </is>
      </c>
    </row>
    <row r="181">
      <c r="A181" s="30" t="inlineStr">
        <is>
          <t>UNIONBANK</t>
        </is>
      </c>
      <c r="B181" s="30" t="inlineStr">
        <is>
          <t>Union Bank Of India Ltd</t>
        </is>
      </c>
      <c r="C181" s="30" t="inlineStr">
        <is>
          <t>bank</t>
        </is>
      </c>
      <c r="D181" s="30" t="inlineStr">
        <is>
          <t>banks - public sector</t>
        </is>
      </c>
      <c r="E181" s="30" t="inlineStr">
        <is>
          <t>largecap</t>
        </is>
      </c>
      <c r="F181" s="30" t="n">
        <v>132633.9</v>
      </c>
      <c r="G181" s="30" t="n">
        <v>176.12</v>
      </c>
      <c r="H181" s="30" t="n">
        <v>1.36</v>
      </c>
      <c r="I181" s="30" t="n">
        <v>14194713</v>
      </c>
      <c r="J181" s="30" t="inlineStr">
        <is>
          <t>532477</t>
        </is>
      </c>
    </row>
    <row r="182">
      <c r="A182" s="30" t="inlineStr">
        <is>
          <t>TITAGARH</t>
        </is>
      </c>
      <c r="B182" s="30" t="inlineStr">
        <is>
          <t>Titagarh Rail Systems Ltd</t>
        </is>
      </c>
      <c r="C182" s="30" t="inlineStr">
        <is>
          <t>industrials</t>
        </is>
      </c>
      <c r="D182" s="30" t="inlineStr">
        <is>
          <t>engineering</t>
        </is>
      </c>
      <c r="E182" s="30" t="inlineStr">
        <is>
          <t>midcap</t>
        </is>
      </c>
      <c r="F182" s="30" t="n">
        <v>12395.37</v>
      </c>
      <c r="G182" s="30" t="n">
        <v>932.6</v>
      </c>
      <c r="H182" s="30" t="n">
        <v>1.33</v>
      </c>
      <c r="I182" s="30" t="n">
        <v>3362059</v>
      </c>
      <c r="J182" s="30" t="inlineStr">
        <is>
          <t>532966</t>
        </is>
      </c>
    </row>
    <row r="183">
      <c r="A183" s="30" t="inlineStr">
        <is>
          <t>BALRAMCHIN</t>
        </is>
      </c>
      <c r="B183" s="30" t="inlineStr">
        <is>
          <t>Balrampur Chini Mills Limited</t>
        </is>
      </c>
      <c r="C183" s="30" t="inlineStr">
        <is>
          <t>fmcg</t>
        </is>
      </c>
      <c r="D183" s="30" t="inlineStr">
        <is>
          <t>sugar</t>
        </is>
      </c>
      <c r="E183" s="30" t="inlineStr">
        <is>
          <t>midcap</t>
        </is>
      </c>
      <c r="F183" s="30" t="n">
        <v>11554.2</v>
      </c>
      <c r="G183" s="30" t="n">
        <v>554.15</v>
      </c>
      <c r="H183" s="30" t="n">
        <v>1.33</v>
      </c>
      <c r="I183" s="30" t="n">
        <v>231364</v>
      </c>
      <c r="J183" s="30" t="inlineStr">
        <is>
          <t>500038</t>
        </is>
      </c>
    </row>
    <row r="184">
      <c r="A184" s="30" t="inlineStr">
        <is>
          <t>AMBER</t>
        </is>
      </c>
      <c r="B184" s="30" t="inlineStr">
        <is>
          <t>Amber Enterprises India Ltd</t>
        </is>
      </c>
      <c r="C184" s="30" t="inlineStr">
        <is>
          <t>consumer discretionary</t>
        </is>
      </c>
      <c r="D184" s="30" t="inlineStr">
        <is>
          <t>air-conditioners</t>
        </is>
      </c>
      <c r="E184" s="30" t="inlineStr">
        <is>
          <t>largecap</t>
        </is>
      </c>
      <c r="F184" s="30" t="n">
        <v>27674.73</v>
      </c>
      <c r="G184" s="30" t="n">
        <v>7965.5</v>
      </c>
      <c r="H184" s="30" t="n">
        <v>1.29</v>
      </c>
      <c r="I184" s="30" t="n">
        <v>444820</v>
      </c>
      <c r="J184" s="30" t="inlineStr">
        <is>
          <t>540902</t>
        </is>
      </c>
    </row>
    <row r="185">
      <c r="A185" s="30" t="inlineStr">
        <is>
          <t>VAIBHAVGBL</t>
        </is>
      </c>
      <c r="B185" s="30" t="inlineStr">
        <is>
          <t>Vaibhav Global Limited</t>
        </is>
      </c>
      <c r="C185" s="30" t="inlineStr">
        <is>
          <t>consumer discretionary</t>
        </is>
      </c>
      <c r="D185" s="30" t="inlineStr">
        <is>
          <t>diamond cutting / jewellery</t>
        </is>
      </c>
      <c r="E185" s="30" t="inlineStr">
        <is>
          <t>smallcap</t>
        </is>
      </c>
      <c r="F185" s="30" t="n">
        <v>4143.11</v>
      </c>
      <c r="G185" s="30" t="n">
        <v>251.2</v>
      </c>
      <c r="H185" s="30" t="n">
        <v>1.29</v>
      </c>
      <c r="I185" s="30" t="n">
        <v>561628</v>
      </c>
      <c r="J185" s="30" t="inlineStr">
        <is>
          <t>532156</t>
        </is>
      </c>
    </row>
    <row r="186">
      <c r="A186" s="30" t="inlineStr">
        <is>
          <t>SBCL</t>
        </is>
      </c>
      <c r="B186" s="30" t="inlineStr">
        <is>
          <t>Shivalik Bimetal Controls Ltd</t>
        </is>
      </c>
      <c r="C186" s="30" t="inlineStr">
        <is>
          <t>metals &amp; mining</t>
        </is>
      </c>
      <c r="D186" s="30" t="inlineStr">
        <is>
          <t>mining / minerals / metals</t>
        </is>
      </c>
      <c r="E186" s="30" t="inlineStr">
        <is>
          <t>smallcap</t>
        </is>
      </c>
      <c r="F186" s="30" t="n">
        <v>4199.92</v>
      </c>
      <c r="G186" s="30" t="n">
        <v>738.4</v>
      </c>
      <c r="H186" s="30" t="n">
        <v>1.28</v>
      </c>
      <c r="I186" s="30" t="n">
        <v>310029</v>
      </c>
      <c r="J186" s="30" t="inlineStr">
        <is>
          <t>513097</t>
        </is>
      </c>
    </row>
    <row r="187">
      <c r="A187" s="30" t="inlineStr">
        <is>
          <t>HONASA</t>
        </is>
      </c>
      <c r="B187" s="30" t="inlineStr">
        <is>
          <t>Honasa Consumer Ltd</t>
        </is>
      </c>
      <c r="C187" s="30" t="inlineStr">
        <is>
          <t>services</t>
        </is>
      </c>
      <c r="D187" s="30" t="inlineStr">
        <is>
          <t>trading</t>
        </is>
      </c>
      <c r="E187" s="30" t="inlineStr">
        <is>
          <t>midcap</t>
        </is>
      </c>
      <c r="F187" s="30" t="n">
        <v>13061.97</v>
      </c>
      <c r="G187" s="30" t="n">
        <v>406.5</v>
      </c>
      <c r="H187" s="30" t="n">
        <v>1.26</v>
      </c>
      <c r="I187" s="30" t="n">
        <v>1012931</v>
      </c>
      <c r="J187" s="30" t="inlineStr">
        <is>
          <t>544014</t>
        </is>
      </c>
    </row>
    <row r="188">
      <c r="A188" s="30" t="inlineStr">
        <is>
          <t>GLOSTERLTD</t>
        </is>
      </c>
      <c r="B188" s="30" t="inlineStr">
        <is>
          <t>Gloster Ltd</t>
        </is>
      </c>
      <c r="C188" s="30" t="inlineStr">
        <is>
          <t>textiles</t>
        </is>
      </c>
      <c r="D188" s="30" t="inlineStr">
        <is>
          <t>textiles - jute - yarn / products</t>
        </is>
      </c>
      <c r="E188" s="30" t="inlineStr">
        <is>
          <t>smallcap</t>
        </is>
      </c>
      <c r="F188" s="30" t="n">
        <v>748.35</v>
      </c>
      <c r="G188" s="30" t="n">
        <v>692.5</v>
      </c>
      <c r="H188" s="30" t="n">
        <v>1.26</v>
      </c>
      <c r="I188" s="30" t="n">
        <v>10736</v>
      </c>
      <c r="J188" s="30" t="inlineStr">
        <is>
          <t>542351</t>
        </is>
      </c>
    </row>
    <row r="189">
      <c r="A189" s="30" t="inlineStr">
        <is>
          <t>MANBA</t>
        </is>
      </c>
      <c r="B189" s="30" t="inlineStr">
        <is>
          <t>Manba Finance Ltd</t>
        </is>
      </c>
      <c r="C189" s="30" t="inlineStr">
        <is>
          <t>financials</t>
        </is>
      </c>
      <c r="D189" s="30" t="inlineStr">
        <is>
          <t>finance &amp; investments</t>
        </is>
      </c>
      <c r="E189" s="30" t="inlineStr">
        <is>
          <t>smallcap</t>
        </is>
      </c>
      <c r="F189" s="30" t="n">
        <v>651.76</v>
      </c>
      <c r="G189" s="30" t="n">
        <v>131.35</v>
      </c>
      <c r="H189" s="30" t="n">
        <v>1.25</v>
      </c>
      <c r="I189" s="30" t="n">
        <v>82412</v>
      </c>
      <c r="J189" s="30" t="inlineStr">
        <is>
          <t>544262</t>
        </is>
      </c>
    </row>
    <row r="190">
      <c r="A190" s="30" t="inlineStr">
        <is>
          <t>EICHERMOT</t>
        </is>
      </c>
      <c r="B190" s="30" t="inlineStr">
        <is>
          <t>Eicher Motors Limited</t>
        </is>
      </c>
      <c r="C190" s="30" t="inlineStr">
        <is>
          <t>auto</t>
        </is>
      </c>
      <c r="D190" s="30" t="inlineStr">
        <is>
          <t>automobiles - motorcycles / mopeds</t>
        </is>
      </c>
      <c r="E190" s="30" t="inlineStr">
        <is>
          <t>largecap</t>
        </is>
      </c>
      <c r="F190" s="30" t="n">
        <v>205982.54</v>
      </c>
      <c r="G190" s="30" t="n">
        <v>7601</v>
      </c>
      <c r="H190" s="30" t="n">
        <v>1.23</v>
      </c>
      <c r="I190" s="30" t="n">
        <v>485856</v>
      </c>
      <c r="J190" s="30" t="inlineStr">
        <is>
          <t>505200</t>
        </is>
      </c>
    </row>
    <row r="191">
      <c r="A191" s="30" t="inlineStr">
        <is>
          <t>KRISHANA</t>
        </is>
      </c>
      <c r="B191" s="30" t="inlineStr">
        <is>
          <t>Krishana Phoschem Ltd</t>
        </is>
      </c>
      <c r="C191" s="30" t="inlineStr">
        <is>
          <t>chemicals</t>
        </is>
      </c>
      <c r="D191" s="30" t="inlineStr">
        <is>
          <t>fertilizers</t>
        </is>
      </c>
      <c r="E191" s="30" t="inlineStr">
        <is>
          <t>smallcap</t>
        </is>
      </c>
      <c r="F191" s="30" t="n">
        <v>4194.69</v>
      </c>
      <c r="G191" s="30" t="n">
        <v>686.7</v>
      </c>
      <c r="H191" s="30" t="n">
        <v>1.22</v>
      </c>
      <c r="I191" s="30" t="n">
        <v>176426</v>
      </c>
      <c r="J191" s="30" t="inlineStr">
        <is>
          <t>538405</t>
        </is>
      </c>
    </row>
    <row r="192">
      <c r="A192" s="30" t="inlineStr">
        <is>
          <t>IGPL</t>
        </is>
      </c>
      <c r="B192" s="30" t="inlineStr">
        <is>
          <t>Ig Petrochemicals Limited</t>
        </is>
      </c>
      <c r="C192" s="30" t="inlineStr">
        <is>
          <t>chemicals</t>
        </is>
      </c>
      <c r="D192" s="30" t="inlineStr">
        <is>
          <t>chemicals</t>
        </is>
      </c>
      <c r="E192" s="30" t="inlineStr">
        <is>
          <t>smallcap</t>
        </is>
      </c>
      <c r="F192" s="30" t="n">
        <v>1376.22</v>
      </c>
      <c r="G192" s="30" t="n">
        <v>452.35</v>
      </c>
      <c r="H192" s="30" t="n">
        <v>1.22</v>
      </c>
      <c r="I192" s="30" t="n">
        <v>67184</v>
      </c>
      <c r="J192" s="30" t="inlineStr">
        <is>
          <t>500199</t>
        </is>
      </c>
    </row>
    <row r="193">
      <c r="A193" s="30" t="inlineStr">
        <is>
          <t>ZYDUSLIFE</t>
        </is>
      </c>
      <c r="B193" s="30" t="inlineStr">
        <is>
          <t>Zydus Lifesciences Ltd</t>
        </is>
      </c>
      <c r="C193" s="30" t="inlineStr">
        <is>
          <t>healthcare</t>
        </is>
      </c>
      <c r="D193" s="30" t="inlineStr">
        <is>
          <t>pharmaceuticals - indian - bulk drugs &amp; formln</t>
        </is>
      </c>
      <c r="E193" s="30" t="inlineStr">
        <is>
          <t>largecap</t>
        </is>
      </c>
      <c r="F193" s="30" t="n">
        <v>106801.68</v>
      </c>
      <c r="G193" s="30" t="n">
        <v>1074.4</v>
      </c>
      <c r="H193" s="30" t="n">
        <v>1.22</v>
      </c>
      <c r="I193" s="30" t="n">
        <v>1319818</v>
      </c>
      <c r="J193" s="30" t="inlineStr">
        <is>
          <t>532321</t>
        </is>
      </c>
    </row>
    <row r="194">
      <c r="A194" s="30" t="inlineStr">
        <is>
          <t>MUTHOOTMF</t>
        </is>
      </c>
      <c r="B194" s="30" t="inlineStr">
        <is>
          <t>Muthoot Microfin Ltd</t>
        </is>
      </c>
      <c r="C194" s="30" t="inlineStr">
        <is>
          <t>financials</t>
        </is>
      </c>
      <c r="D194" s="30" t="inlineStr">
        <is>
          <t>finance &amp; investments</t>
        </is>
      </c>
      <c r="E194" s="30" t="inlineStr">
        <is>
          <t>smallcap</t>
        </is>
      </c>
      <c r="F194" s="30" t="n">
        <v>3495.26</v>
      </c>
      <c r="G194" s="30" t="n">
        <v>207.48</v>
      </c>
      <c r="H194" s="30" t="n">
        <v>1.2</v>
      </c>
      <c r="I194" s="30" t="n">
        <v>226123</v>
      </c>
      <c r="J194" s="30" t="inlineStr">
        <is>
          <t>544055</t>
        </is>
      </c>
    </row>
    <row r="195">
      <c r="A195" s="30" t="inlineStr">
        <is>
          <t>NEULANDLAB</t>
        </is>
      </c>
      <c r="B195" s="30" t="inlineStr">
        <is>
          <t>Neuland Laboratories Limited</t>
        </is>
      </c>
      <c r="C195" s="30" t="inlineStr">
        <is>
          <t>healthcare</t>
        </is>
      </c>
      <c r="D195" s="30" t="inlineStr">
        <is>
          <t>pharmaceuticals - indian - bulk drugs</t>
        </is>
      </c>
      <c r="E195" s="30" t="inlineStr">
        <is>
          <t>largecap</t>
        </is>
      </c>
      <c r="F195" s="30" t="n">
        <v>21831.34</v>
      </c>
      <c r="G195" s="30" t="n">
        <v>17220</v>
      </c>
      <c r="H195" s="30" t="n">
        <v>1.2</v>
      </c>
      <c r="I195" s="30" t="n">
        <v>25881</v>
      </c>
      <c r="J195" s="30" t="inlineStr">
        <is>
          <t>524558</t>
        </is>
      </c>
    </row>
    <row r="196">
      <c r="A196" s="30" t="inlineStr">
        <is>
          <t>SANDHAR</t>
        </is>
      </c>
      <c r="B196" s="30" t="inlineStr">
        <is>
          <t>Sandhar Technologies Limited</t>
        </is>
      </c>
      <c r="C196" s="30" t="inlineStr">
        <is>
          <t>auto</t>
        </is>
      </c>
      <c r="D196" s="30" t="inlineStr">
        <is>
          <t>auto ancillaries</t>
        </is>
      </c>
      <c r="E196" s="30" t="inlineStr">
        <is>
          <t>smallcap</t>
        </is>
      </c>
      <c r="F196" s="30" t="n">
        <v>4131.79</v>
      </c>
      <c r="G196" s="30" t="n">
        <v>694.6</v>
      </c>
      <c r="H196" s="30" t="n">
        <v>1.19</v>
      </c>
      <c r="I196" s="30" t="n">
        <v>151706</v>
      </c>
      <c r="J196" s="30" t="inlineStr">
        <is>
          <t>541163</t>
        </is>
      </c>
    </row>
    <row r="197">
      <c r="A197" s="30" t="inlineStr">
        <is>
          <t>NAM-INDIA</t>
        </is>
      </c>
      <c r="B197" s="30" t="inlineStr">
        <is>
          <t>Nippon Life India Asset Management Ltd</t>
        </is>
      </c>
      <c r="C197" s="30" t="inlineStr">
        <is>
          <t>financials</t>
        </is>
      </c>
      <c r="D197" s="30" t="inlineStr">
        <is>
          <t>finance &amp; investments</t>
        </is>
      </c>
      <c r="E197" s="30" t="inlineStr">
        <is>
          <t>largecap</t>
        </is>
      </c>
      <c r="F197" s="30" t="n">
        <v>73619.44</v>
      </c>
      <c r="G197" s="30" t="n">
        <v>1167.4</v>
      </c>
      <c r="H197" s="30" t="n">
        <v>1.19</v>
      </c>
      <c r="I197" s="30" t="n">
        <v>1039718</v>
      </c>
      <c r="J197" s="30" t="inlineStr">
        <is>
          <t>540767</t>
        </is>
      </c>
    </row>
    <row r="198">
      <c r="A198" s="30" t="inlineStr">
        <is>
          <t>SPARC</t>
        </is>
      </c>
      <c r="B198" s="30" t="inlineStr">
        <is>
          <t>Sun Pharma Advanced Research Company Limited</t>
        </is>
      </c>
      <c r="C198" s="30" t="inlineStr">
        <is>
          <t>healthcare</t>
        </is>
      </c>
      <c r="D198" s="30" t="inlineStr">
        <is>
          <t>miscellaneous</t>
        </is>
      </c>
      <c r="E198" s="30" t="inlineStr">
        <is>
          <t>midcap</t>
        </is>
      </c>
      <c r="F198" s="30" t="n">
        <v>7775.86</v>
      </c>
      <c r="G198" s="30" t="n">
        <v>242.47</v>
      </c>
      <c r="H198" s="30" t="n">
        <v>1.19</v>
      </c>
      <c r="I198" s="30" t="n">
        <v>6146954</v>
      </c>
      <c r="J198" s="30" t="inlineStr">
        <is>
          <t>532872</t>
        </is>
      </c>
    </row>
    <row r="199">
      <c r="A199" s="30" t="inlineStr">
        <is>
          <t>ANGELONE</t>
        </is>
      </c>
      <c r="B199" s="30" t="inlineStr">
        <is>
          <t>Angel One Ltd</t>
        </is>
      </c>
      <c r="C199" s="30" t="inlineStr">
        <is>
          <t>financials</t>
        </is>
      </c>
      <c r="D199" s="30" t="inlineStr">
        <is>
          <t>finance &amp; investments</t>
        </is>
      </c>
      <c r="E199" s="30" t="inlineStr">
        <is>
          <t>largecap</t>
        </is>
      </c>
      <c r="F199" s="30" t="n">
        <v>31761.66</v>
      </c>
      <c r="G199" s="30" t="n">
        <v>352.8</v>
      </c>
      <c r="H199" s="30" t="n">
        <v>1.18</v>
      </c>
      <c r="I199" s="30" t="n">
        <v>9021106</v>
      </c>
      <c r="J199" s="30" t="n"/>
    </row>
    <row r="200">
      <c r="A200" s="30" t="inlineStr">
        <is>
          <t>MONARCH</t>
        </is>
      </c>
      <c r="B200" s="30" t="inlineStr">
        <is>
          <t>Monarch Networth Capital Ltd</t>
        </is>
      </c>
      <c r="C200" s="30" t="inlineStr">
        <is>
          <t>financials</t>
        </is>
      </c>
      <c r="D200" s="30" t="inlineStr">
        <is>
          <t>finance &amp; investments</t>
        </is>
      </c>
      <c r="E200" s="30" t="inlineStr">
        <is>
          <t>smallcap</t>
        </is>
      </c>
      <c r="F200" s="30" t="n">
        <v>2730.4</v>
      </c>
      <c r="G200" s="30" t="n">
        <v>348.4</v>
      </c>
      <c r="H200" s="30" t="n">
        <v>1.15</v>
      </c>
      <c r="I200" s="30" t="n">
        <v>61416</v>
      </c>
      <c r="J200" s="30" t="inlineStr">
        <is>
          <t>511551</t>
        </is>
      </c>
    </row>
    <row r="201">
      <c r="A201" s="30" t="inlineStr">
        <is>
          <t>RSWM</t>
        </is>
      </c>
      <c r="B201" s="30" t="inlineStr">
        <is>
          <t>Rswm Limited</t>
        </is>
      </c>
      <c r="C201" s="30" t="inlineStr">
        <is>
          <t>textiles</t>
        </is>
      </c>
      <c r="D201" s="30" t="inlineStr">
        <is>
          <t>textiles - cotton/blended</t>
        </is>
      </c>
      <c r="E201" s="30" t="inlineStr">
        <is>
          <t>smallcap</t>
        </is>
      </c>
      <c r="F201" s="30" t="n">
        <v>909.63</v>
      </c>
      <c r="G201" s="30" t="n">
        <v>195.32</v>
      </c>
      <c r="H201" s="30" t="n">
        <v>1.14</v>
      </c>
      <c r="I201" s="30" t="n">
        <v>101062</v>
      </c>
      <c r="J201" s="30" t="inlineStr">
        <is>
          <t>500350</t>
        </is>
      </c>
    </row>
    <row r="202">
      <c r="A202" s="30" t="inlineStr">
        <is>
          <t>GMRAIRPORT</t>
        </is>
      </c>
      <c r="B202" s="30" t="inlineStr">
        <is>
          <t>GMR Airports Ltd</t>
        </is>
      </c>
      <c r="C202" s="30" t="inlineStr">
        <is>
          <t>miscellaneous</t>
        </is>
      </c>
      <c r="D202" s="30" t="inlineStr">
        <is>
          <t>miscellaneous</t>
        </is>
      </c>
      <c r="E202" s="30" t="inlineStr">
        <is>
          <t>largecap</t>
        </is>
      </c>
      <c r="F202" s="30" t="n">
        <v>115430.73</v>
      </c>
      <c r="G202" s="30" t="n">
        <v>110.55</v>
      </c>
      <c r="H202" s="30" t="n">
        <v>1.13</v>
      </c>
      <c r="I202" s="30" t="n">
        <v>16084104</v>
      </c>
      <c r="J202" s="30" t="inlineStr">
        <is>
          <t>532754</t>
        </is>
      </c>
    </row>
    <row r="203">
      <c r="A203" s="30" t="inlineStr">
        <is>
          <t>MINDACORP</t>
        </is>
      </c>
      <c r="B203" s="30" t="inlineStr">
        <is>
          <t>Minda Corporation Limited</t>
        </is>
      </c>
      <c r="C203" s="30" t="inlineStr">
        <is>
          <t>auto</t>
        </is>
      </c>
      <c r="D203" s="30" t="inlineStr">
        <is>
          <t>auto ancillaries</t>
        </is>
      </c>
      <c r="E203" s="30" t="inlineStr">
        <is>
          <t>midcap</t>
        </is>
      </c>
      <c r="F203" s="30" t="n">
        <v>15396.72</v>
      </c>
      <c r="G203" s="30" t="n">
        <v>650.9</v>
      </c>
      <c r="H203" s="30" t="n">
        <v>1.07</v>
      </c>
      <c r="I203" s="30" t="n">
        <v>328315</v>
      </c>
      <c r="J203" s="30" t="inlineStr">
        <is>
          <t>538962</t>
        </is>
      </c>
    </row>
    <row r="204">
      <c r="A204" s="30" t="inlineStr">
        <is>
          <t>CAPLIPOINT</t>
        </is>
      </c>
      <c r="B204" s="30" t="inlineStr">
        <is>
          <t>Caplin Point Laboratories Limited</t>
        </is>
      </c>
      <c r="C204" s="30" t="inlineStr">
        <is>
          <t>healthcare</t>
        </is>
      </c>
      <c r="D204" s="30" t="inlineStr">
        <is>
          <t>pharmaceuticals - indian - formulations</t>
        </is>
      </c>
      <c r="E204" s="30" t="inlineStr">
        <is>
          <t>midcap</t>
        </is>
      </c>
      <c r="F204" s="30" t="n">
        <v>17747.97</v>
      </c>
      <c r="G204" s="30" t="n">
        <v>2359.4</v>
      </c>
      <c r="H204" s="30" t="n">
        <v>1.05</v>
      </c>
      <c r="I204" s="30" t="n">
        <v>56125</v>
      </c>
      <c r="J204" s="30" t="inlineStr">
        <is>
          <t>524742</t>
        </is>
      </c>
    </row>
    <row r="205">
      <c r="A205" s="30" t="inlineStr">
        <is>
          <t>SJS</t>
        </is>
      </c>
      <c r="B205" s="30" t="inlineStr">
        <is>
          <t>S J S Enterprises Ltd</t>
        </is>
      </c>
      <c r="C205" s="30" t="inlineStr">
        <is>
          <t>auto</t>
        </is>
      </c>
      <c r="D205" s="30" t="inlineStr">
        <is>
          <t>plastics products</t>
        </is>
      </c>
      <c r="E205" s="30" t="inlineStr">
        <is>
          <t>midcap</t>
        </is>
      </c>
      <c r="F205" s="30" t="n">
        <v>7018.49</v>
      </c>
      <c r="G205" s="30" t="n">
        <v>2216.1</v>
      </c>
      <c r="H205" s="30" t="n">
        <v>1.03</v>
      </c>
      <c r="I205" s="30" t="n">
        <v>62588</v>
      </c>
      <c r="J205" s="30" t="inlineStr">
        <is>
          <t>543387</t>
        </is>
      </c>
    </row>
    <row r="206">
      <c r="A206" s="30" t="inlineStr">
        <is>
          <t>WSTCSTPAPR</t>
        </is>
      </c>
      <c r="B206" s="30" t="inlineStr">
        <is>
          <t>West Coast Paper Mills Limited</t>
        </is>
      </c>
      <c r="C206" s="30" t="inlineStr">
        <is>
          <t>building materials</t>
        </is>
      </c>
      <c r="D206" s="30" t="inlineStr">
        <is>
          <t>paper</t>
        </is>
      </c>
      <c r="E206" s="30" t="inlineStr">
        <is>
          <t>smallcap</t>
        </is>
      </c>
      <c r="F206" s="30" t="n">
        <v>3405.48</v>
      </c>
      <c r="G206" s="30" t="n">
        <v>520.85</v>
      </c>
      <c r="H206" s="30" t="n">
        <v>1.02</v>
      </c>
      <c r="I206" s="30" t="n">
        <v>72315</v>
      </c>
      <c r="J206" s="30" t="inlineStr">
        <is>
          <t>500444</t>
        </is>
      </c>
    </row>
    <row r="207">
      <c r="A207" s="30" t="inlineStr">
        <is>
          <t>PGHL</t>
        </is>
      </c>
      <c r="B207" s="30" t="inlineStr">
        <is>
          <t>Procter &amp; Gamble Health Ltd</t>
        </is>
      </c>
      <c r="C207" s="30" t="inlineStr">
        <is>
          <t>healthcare</t>
        </is>
      </c>
      <c r="D207" s="30" t="inlineStr">
        <is>
          <t>pharmaceuticals - multinational</t>
        </is>
      </c>
      <c r="E207" s="30" t="inlineStr">
        <is>
          <t>midcap</t>
        </is>
      </c>
      <c r="F207" s="30" t="n">
        <v>10373.78</v>
      </c>
      <c r="G207" s="30" t="n">
        <v>6310.5</v>
      </c>
      <c r="H207" s="30" t="n">
        <v>0.98</v>
      </c>
      <c r="I207" s="30" t="n">
        <v>8875</v>
      </c>
      <c r="J207" s="30" t="inlineStr">
        <is>
          <t>500126</t>
        </is>
      </c>
    </row>
    <row r="208">
      <c r="A208" s="30" t="inlineStr">
        <is>
          <t>POWERINDIA</t>
        </is>
      </c>
      <c r="B208" s="30" t="inlineStr">
        <is>
          <t>Hitachi Energy India Ltd</t>
        </is>
      </c>
      <c r="C208" s="30" t="inlineStr">
        <is>
          <t>industrials</t>
        </is>
      </c>
      <c r="D208" s="30" t="inlineStr">
        <is>
          <t>electric equipment</t>
        </is>
      </c>
      <c r="E208" s="30" t="inlineStr">
        <is>
          <t>largecap</t>
        </is>
      </c>
      <c r="F208" s="30" t="n">
        <v>160237.65</v>
      </c>
      <c r="G208" s="30" t="n">
        <v>36300</v>
      </c>
      <c r="H208" s="30" t="n">
        <v>0.97</v>
      </c>
      <c r="I208" s="30" t="n">
        <v>127709</v>
      </c>
      <c r="J208" s="30" t="inlineStr">
        <is>
          <t>543187</t>
        </is>
      </c>
    </row>
    <row r="209">
      <c r="A209" s="30" t="inlineStr">
        <is>
          <t>IDFCFIRSTB</t>
        </is>
      </c>
      <c r="B209" s="30" t="inlineStr">
        <is>
          <t>IDFC First Bank Ltd</t>
        </is>
      </c>
      <c r="C209" s="30" t="inlineStr">
        <is>
          <t>bank</t>
        </is>
      </c>
      <c r="D209" s="30" t="inlineStr">
        <is>
          <t>banks - private sector</t>
        </is>
      </c>
      <c r="E209" s="30" t="inlineStr">
        <is>
          <t>largecap</t>
        </is>
      </c>
      <c r="F209" s="30" t="n">
        <v>66559.95</v>
      </c>
      <c r="G209" s="30" t="n">
        <v>78.09</v>
      </c>
      <c r="H209" s="30" t="n">
        <v>0.92</v>
      </c>
      <c r="I209" s="30" t="n">
        <v>29775446</v>
      </c>
      <c r="J209" s="30" t="inlineStr">
        <is>
          <t>539437</t>
        </is>
      </c>
    </row>
    <row r="210">
      <c r="A210" s="30" t="inlineStr">
        <is>
          <t>KSB</t>
        </is>
      </c>
      <c r="B210" s="30" t="inlineStr">
        <is>
          <t>KSB Ltd</t>
        </is>
      </c>
      <c r="C210" s="30" t="inlineStr">
        <is>
          <t>industrials</t>
        </is>
      </c>
      <c r="D210" s="30" t="inlineStr">
        <is>
          <t>pumps</t>
        </is>
      </c>
      <c r="E210" s="30" t="inlineStr">
        <is>
          <t>midcap</t>
        </is>
      </c>
      <c r="F210" s="30" t="n">
        <v>15145.76</v>
      </c>
      <c r="G210" s="30" t="n">
        <v>878.15</v>
      </c>
      <c r="H210" s="30" t="n">
        <v>0.91</v>
      </c>
      <c r="I210" s="30" t="n">
        <v>141117</v>
      </c>
      <c r="J210" s="30" t="inlineStr">
        <is>
          <t>500249</t>
        </is>
      </c>
    </row>
    <row r="211">
      <c r="A211" s="30" t="inlineStr">
        <is>
          <t>ABB</t>
        </is>
      </c>
      <c r="B211" s="30" t="inlineStr">
        <is>
          <t>Abb India Limited</t>
        </is>
      </c>
      <c r="C211" s="30" t="inlineStr">
        <is>
          <t>industrials</t>
        </is>
      </c>
      <c r="D211" s="30" t="inlineStr">
        <is>
          <t>electric equipment</t>
        </is>
      </c>
      <c r="E211" s="30" t="inlineStr">
        <is>
          <t>largecap</t>
        </is>
      </c>
      <c r="F211" s="30" t="n">
        <v>151811.16</v>
      </c>
      <c r="G211" s="30" t="n">
        <v>7229</v>
      </c>
      <c r="H211" s="30" t="n">
        <v>0.91</v>
      </c>
      <c r="I211" s="30" t="n">
        <v>239735</v>
      </c>
      <c r="J211" s="30" t="inlineStr">
        <is>
          <t>500002</t>
        </is>
      </c>
    </row>
    <row r="212">
      <c r="A212" s="30" t="inlineStr">
        <is>
          <t>CYIENTDLM</t>
        </is>
      </c>
      <c r="B212" s="30" t="inlineStr">
        <is>
          <t>Cyient DLM Ltd</t>
        </is>
      </c>
      <c r="C212" s="30" t="inlineStr">
        <is>
          <t>consumer discretionary</t>
        </is>
      </c>
      <c r="D212" s="30" t="inlineStr">
        <is>
          <t>electronics - components</t>
        </is>
      </c>
      <c r="E212" s="30" t="inlineStr">
        <is>
          <t>smallcap</t>
        </is>
      </c>
      <c r="F212" s="30" t="n">
        <v>3689.65</v>
      </c>
      <c r="G212" s="30" t="n">
        <v>469.1</v>
      </c>
      <c r="H212" s="30" t="n">
        <v>0.9</v>
      </c>
      <c r="I212" s="30" t="n">
        <v>150103</v>
      </c>
      <c r="J212" s="30" t="inlineStr">
        <is>
          <t>543933</t>
        </is>
      </c>
    </row>
    <row r="213">
      <c r="A213" s="30" t="inlineStr">
        <is>
          <t>RKFORGE</t>
        </is>
      </c>
      <c r="B213" s="30" t="inlineStr">
        <is>
          <t>Ramkrishna Forgings Limited</t>
        </is>
      </c>
      <c r="C213" s="30" t="inlineStr">
        <is>
          <t>industrials</t>
        </is>
      </c>
      <c r="D213" s="30" t="inlineStr">
        <is>
          <t>castings &amp; forgings</t>
        </is>
      </c>
      <c r="E213" s="30" t="inlineStr">
        <is>
          <t>midcap</t>
        </is>
      </c>
      <c r="F213" s="30" t="n">
        <v>10609.56</v>
      </c>
      <c r="G213" s="30" t="n">
        <v>589.2</v>
      </c>
      <c r="H213" s="30" t="n">
        <v>0.89</v>
      </c>
      <c r="I213" s="30" t="n">
        <v>188272</v>
      </c>
      <c r="J213" s="30" t="inlineStr">
        <is>
          <t>532527</t>
        </is>
      </c>
    </row>
    <row r="214">
      <c r="A214" s="30" t="inlineStr">
        <is>
          <t>TEXINFRA</t>
        </is>
      </c>
      <c r="B214" s="30" t="inlineStr">
        <is>
          <t>Texmaco Infrastructure &amp; Holdings Limited</t>
        </is>
      </c>
      <c r="C214" s="30" t="inlineStr">
        <is>
          <t>realty</t>
        </is>
      </c>
      <c r="D214" s="30" t="inlineStr">
        <is>
          <t>construction</t>
        </is>
      </c>
      <c r="E214" s="30" t="inlineStr">
        <is>
          <t>smallcap</t>
        </is>
      </c>
      <c r="F214" s="30" t="n">
        <v>1291.34</v>
      </c>
      <c r="G214" s="30" t="n">
        <v>102.23</v>
      </c>
      <c r="H214" s="30" t="n">
        <v>0.88</v>
      </c>
      <c r="I214" s="30" t="n">
        <v>82576</v>
      </c>
      <c r="J214" s="30" t="inlineStr">
        <is>
          <t>505400</t>
        </is>
      </c>
    </row>
    <row r="215">
      <c r="A215" s="30" t="inlineStr">
        <is>
          <t>UFBL</t>
        </is>
      </c>
      <c r="B215" s="30" t="inlineStr">
        <is>
          <t>United Foodbrands Ltd</t>
        </is>
      </c>
      <c r="C215" s="30" t="inlineStr">
        <is>
          <t>consumer discretionary</t>
        </is>
      </c>
      <c r="D215" s="30" t="inlineStr">
        <is>
          <t>hotels</t>
        </is>
      </c>
      <c r="E215" s="30" t="inlineStr">
        <is>
          <t>smallcap</t>
        </is>
      </c>
      <c r="F215" s="30" t="n">
        <v>2419.84</v>
      </c>
      <c r="G215" s="30" t="n">
        <v>624.55</v>
      </c>
      <c r="H215" s="30" t="n">
        <v>0.88</v>
      </c>
      <c r="I215" s="30" t="n">
        <v>137401</v>
      </c>
      <c r="J215" s="30" t="inlineStr">
        <is>
          <t>543283</t>
        </is>
      </c>
    </row>
    <row r="216">
      <c r="A216" s="30" t="inlineStr">
        <is>
          <t>KKCL</t>
        </is>
      </c>
      <c r="B216" s="30" t="inlineStr">
        <is>
          <t>Kewal Kiran Clothing Limited</t>
        </is>
      </c>
      <c r="C216" s="30" t="inlineStr">
        <is>
          <t>consumer discretionary</t>
        </is>
      </c>
      <c r="D216" s="30" t="inlineStr">
        <is>
          <t>textiles - products</t>
        </is>
      </c>
      <c r="E216" s="30" t="inlineStr">
        <is>
          <t>smallcap</t>
        </is>
      </c>
      <c r="F216" s="30" t="n">
        <v>3003</v>
      </c>
      <c r="G216" s="30" t="n">
        <v>491.45</v>
      </c>
      <c r="H216" s="30" t="n">
        <v>0.85</v>
      </c>
      <c r="I216" s="30" t="n">
        <v>32047</v>
      </c>
      <c r="J216" s="30" t="inlineStr">
        <is>
          <t>532732</t>
        </is>
      </c>
    </row>
    <row r="217">
      <c r="A217" s="30" t="inlineStr">
        <is>
          <t>RML</t>
        </is>
      </c>
      <c r="B217" s="30" t="inlineStr">
        <is>
          <t>Rane (madras) Limited</t>
        </is>
      </c>
      <c r="C217" s="30" t="inlineStr">
        <is>
          <t>auto</t>
        </is>
      </c>
      <c r="D217" s="30" t="inlineStr">
        <is>
          <t>auto ancillaries</t>
        </is>
      </c>
      <c r="E217" s="30" t="inlineStr">
        <is>
          <t>smallcap</t>
        </is>
      </c>
      <c r="F217" s="30" t="n">
        <v>2704.57</v>
      </c>
      <c r="G217" s="30" t="n">
        <v>986.75</v>
      </c>
      <c r="H217" s="30" t="n">
        <v>0.83</v>
      </c>
      <c r="I217" s="30" t="n">
        <v>38890</v>
      </c>
      <c r="J217" s="30" t="inlineStr">
        <is>
          <t>532661</t>
        </is>
      </c>
    </row>
    <row r="218">
      <c r="A218" s="30" t="inlineStr">
        <is>
          <t>SOBHA</t>
        </is>
      </c>
      <c r="B218" s="30" t="inlineStr">
        <is>
          <t>Sobha Limited</t>
        </is>
      </c>
      <c r="C218" s="30" t="inlineStr">
        <is>
          <t>realty</t>
        </is>
      </c>
      <c r="D218" s="30" t="inlineStr">
        <is>
          <t>construction</t>
        </is>
      </c>
      <c r="E218" s="30" t="inlineStr">
        <is>
          <t>midcap</t>
        </is>
      </c>
      <c r="F218" s="30" t="n">
        <v>15136.11</v>
      </c>
      <c r="G218" s="30" t="n">
        <v>1426.9</v>
      </c>
      <c r="H218" s="30" t="n">
        <v>0.83</v>
      </c>
      <c r="I218" s="30" t="n">
        <v>85317</v>
      </c>
      <c r="J218" s="30" t="inlineStr">
        <is>
          <t>532784</t>
        </is>
      </c>
    </row>
    <row r="219">
      <c r="A219" s="30" t="inlineStr">
        <is>
          <t>GAIL</t>
        </is>
      </c>
      <c r="B219" s="30" t="inlineStr">
        <is>
          <t>Gail (india) Limited</t>
        </is>
      </c>
      <c r="C219" s="30" t="inlineStr">
        <is>
          <t>energy</t>
        </is>
      </c>
      <c r="D219" s="30" t="inlineStr">
        <is>
          <t>miscellaneous</t>
        </is>
      </c>
      <c r="E219" s="30" t="inlineStr">
        <is>
          <t>largecap</t>
        </is>
      </c>
      <c r="F219" s="30" t="n">
        <v>115083.97</v>
      </c>
      <c r="G219" s="30" t="n">
        <v>176.44</v>
      </c>
      <c r="H219" s="30" t="n">
        <v>0.8100000000000001</v>
      </c>
      <c r="I219" s="30" t="n">
        <v>6440199</v>
      </c>
      <c r="J219" s="30" t="inlineStr">
        <is>
          <t>532155</t>
        </is>
      </c>
    </row>
    <row r="220">
      <c r="A220" s="30" t="inlineStr">
        <is>
          <t>RICOAUTO</t>
        </is>
      </c>
      <c r="B220" s="30" t="inlineStr">
        <is>
          <t>Rico Auto Industries Limited</t>
        </is>
      </c>
      <c r="C220" s="30" t="inlineStr">
        <is>
          <t>auto</t>
        </is>
      </c>
      <c r="D220" s="30" t="inlineStr">
        <is>
          <t>auto ancillaries</t>
        </is>
      </c>
      <c r="E220" s="30" t="inlineStr">
        <is>
          <t>smallcap</t>
        </is>
      </c>
      <c r="F220" s="30" t="n">
        <v>1938.5</v>
      </c>
      <c r="G220" s="30" t="n">
        <v>144.43</v>
      </c>
      <c r="H220" s="30" t="n">
        <v>0.8</v>
      </c>
      <c r="I220" s="30" t="n">
        <v>5956706</v>
      </c>
      <c r="J220" s="30" t="inlineStr">
        <is>
          <t>520008</t>
        </is>
      </c>
    </row>
    <row r="221">
      <c r="A221" s="30" t="inlineStr">
        <is>
          <t>AVALON</t>
        </is>
      </c>
      <c r="B221" s="30" t="inlineStr">
        <is>
          <t>Avalon Technologies Ltd</t>
        </is>
      </c>
      <c r="C221" s="30" t="inlineStr">
        <is>
          <t>consumer discretionary</t>
        </is>
      </c>
      <c r="D221" s="30" t="inlineStr">
        <is>
          <t>electronics - components</t>
        </is>
      </c>
      <c r="E221" s="30" t="inlineStr">
        <is>
          <t>midcap</t>
        </is>
      </c>
      <c r="F221" s="30" t="n">
        <v>11626.66</v>
      </c>
      <c r="G221" s="30" t="n">
        <v>1755.3</v>
      </c>
      <c r="H221" s="30" t="n">
        <v>0.8</v>
      </c>
      <c r="I221" s="30" t="n">
        <v>182683</v>
      </c>
      <c r="J221" s="30" t="inlineStr">
        <is>
          <t>543896</t>
        </is>
      </c>
    </row>
    <row r="222">
      <c r="A222" s="30" t="inlineStr">
        <is>
          <t>RELIGARE</t>
        </is>
      </c>
      <c r="B222" s="30" t="inlineStr">
        <is>
          <t>Religare Enterprises Limited</t>
        </is>
      </c>
      <c r="C222" s="30" t="inlineStr">
        <is>
          <t>financials</t>
        </is>
      </c>
      <c r="D222" s="30" t="inlineStr">
        <is>
          <t>finance &amp; investments</t>
        </is>
      </c>
      <c r="E222" s="30" t="inlineStr">
        <is>
          <t>midcap</t>
        </is>
      </c>
      <c r="F222" s="30" t="n">
        <v>8178.45</v>
      </c>
      <c r="G222" s="30" t="n">
        <v>247.63</v>
      </c>
      <c r="H222" s="30" t="n">
        <v>0.79</v>
      </c>
      <c r="I222" s="30" t="n">
        <v>2246435</v>
      </c>
      <c r="J222" s="30" t="inlineStr">
        <is>
          <t>532915</t>
        </is>
      </c>
    </row>
    <row r="223">
      <c r="A223" s="30" t="inlineStr">
        <is>
          <t>EDELWEISS</t>
        </is>
      </c>
      <c r="B223" s="30" t="inlineStr">
        <is>
          <t>Edelweiss Financial Services Limited</t>
        </is>
      </c>
      <c r="C223" s="30" t="inlineStr">
        <is>
          <t>financials</t>
        </is>
      </c>
      <c r="D223" s="30" t="inlineStr">
        <is>
          <t>finance &amp; investments</t>
        </is>
      </c>
      <c r="E223" s="30" t="inlineStr">
        <is>
          <t>midcap</t>
        </is>
      </c>
      <c r="F223" s="30" t="n">
        <v>11399.08</v>
      </c>
      <c r="G223" s="30" t="n">
        <v>121.34</v>
      </c>
      <c r="H223" s="30" t="n">
        <v>0.76</v>
      </c>
      <c r="I223" s="30" t="n">
        <v>5556803</v>
      </c>
      <c r="J223" s="30" t="inlineStr">
        <is>
          <t>532922</t>
        </is>
      </c>
    </row>
    <row r="224">
      <c r="A224" s="30" t="inlineStr">
        <is>
          <t>ADANIPORTS</t>
        </is>
      </c>
      <c r="B224" s="30" t="inlineStr">
        <is>
          <t>Adani Ports And Special Economic Zone Limited</t>
        </is>
      </c>
      <c r="C224" s="30" t="inlineStr">
        <is>
          <t>transportation</t>
        </is>
      </c>
      <c r="D224" s="30" t="inlineStr">
        <is>
          <t>miscellaneous</t>
        </is>
      </c>
      <c r="E224" s="30" t="inlineStr">
        <is>
          <t>largecap</t>
        </is>
      </c>
      <c r="F224" s="30" t="n">
        <v>421301.96</v>
      </c>
      <c r="G224" s="30" t="n">
        <v>1842.1</v>
      </c>
      <c r="H224" s="30" t="n">
        <v>0.74</v>
      </c>
      <c r="I224" s="30" t="n">
        <v>1643528</v>
      </c>
      <c r="J224" s="30" t="inlineStr">
        <is>
          <t>532921</t>
        </is>
      </c>
    </row>
    <row r="225">
      <c r="A225" s="30" t="inlineStr">
        <is>
          <t>DIAMONDYD</t>
        </is>
      </c>
      <c r="B225" s="30" t="inlineStr">
        <is>
          <t>Prataap Snacks Ltd</t>
        </is>
      </c>
      <c r="C225" s="30" t="inlineStr">
        <is>
          <t>fmcg</t>
        </is>
      </c>
      <c r="D225" s="30" t="inlineStr">
        <is>
          <t>food - processing - indian</t>
        </is>
      </c>
      <c r="E225" s="30" t="inlineStr">
        <is>
          <t>smallcap</t>
        </is>
      </c>
      <c r="F225" s="30" t="n">
        <v>2669.07</v>
      </c>
      <c r="G225" s="30" t="n">
        <v>1124.8</v>
      </c>
      <c r="H225" s="30" t="n">
        <v>0.73</v>
      </c>
      <c r="I225" s="30" t="n">
        <v>25830</v>
      </c>
      <c r="J225" s="30" t="inlineStr">
        <is>
          <t>540724</t>
        </is>
      </c>
    </row>
    <row r="226">
      <c r="A226" s="30" t="inlineStr">
        <is>
          <t>MANAPPURAM</t>
        </is>
      </c>
      <c r="B226" s="30" t="inlineStr">
        <is>
          <t>Manappuram Finance Limited</t>
        </is>
      </c>
      <c r="C226" s="30" t="inlineStr">
        <is>
          <t>financials</t>
        </is>
      </c>
      <c r="D226" s="30" t="inlineStr">
        <is>
          <t>finance &amp; investments</t>
        </is>
      </c>
      <c r="E226" s="30" t="inlineStr">
        <is>
          <t>largecap</t>
        </is>
      </c>
      <c r="F226" s="30" t="n">
        <v>29969.52</v>
      </c>
      <c r="G226" s="30" t="n">
        <v>321.35</v>
      </c>
      <c r="H226" s="30" t="n">
        <v>0.72</v>
      </c>
      <c r="I226" s="30" t="n">
        <v>1398119</v>
      </c>
      <c r="J226" s="30" t="inlineStr">
        <is>
          <t>531213</t>
        </is>
      </c>
    </row>
    <row r="227">
      <c r="A227" s="30" t="inlineStr">
        <is>
          <t>KAJARIACER</t>
        </is>
      </c>
      <c r="B227" s="30" t="inlineStr">
        <is>
          <t>Kajaria Ceramics Limited</t>
        </is>
      </c>
      <c r="C227" s="30" t="inlineStr">
        <is>
          <t>building materials</t>
        </is>
      </c>
      <c r="D227" s="30" t="inlineStr">
        <is>
          <t>ceramics - tiles / sanitaryware</t>
        </is>
      </c>
      <c r="E227" s="30" t="inlineStr">
        <is>
          <t>midcap</t>
        </is>
      </c>
      <c r="F227" s="30" t="n">
        <v>18410.28</v>
      </c>
      <c r="G227" s="30" t="n">
        <v>1164.1</v>
      </c>
      <c r="H227" s="30" t="n">
        <v>0.71</v>
      </c>
      <c r="I227" s="30" t="n">
        <v>173706</v>
      </c>
      <c r="J227" s="30" t="inlineStr">
        <is>
          <t>500233</t>
        </is>
      </c>
    </row>
    <row r="228">
      <c r="A228" s="30" t="inlineStr">
        <is>
          <t>CEMPRO</t>
        </is>
      </c>
      <c r="B228" s="30" t="inlineStr">
        <is>
          <t>Cemindia Projects Ltd</t>
        </is>
      </c>
      <c r="C228" s="30" t="inlineStr">
        <is>
          <t>realty</t>
        </is>
      </c>
      <c r="D228" s="30" t="inlineStr">
        <is>
          <t>construction</t>
        </is>
      </c>
      <c r="E228" s="30" t="inlineStr">
        <is>
          <t>largecap</t>
        </is>
      </c>
      <c r="F228" s="30" t="n">
        <v>20339.65</v>
      </c>
      <c r="G228" s="30" t="n">
        <v>1192.4</v>
      </c>
      <c r="H228" s="30" t="n">
        <v>0.71</v>
      </c>
      <c r="I228" s="30" t="n">
        <v>378741</v>
      </c>
      <c r="J228" s="30" t="inlineStr">
        <is>
          <t>509496</t>
        </is>
      </c>
    </row>
    <row r="229">
      <c r="A229" s="30" t="inlineStr">
        <is>
          <t>VADILALIND</t>
        </is>
      </c>
      <c r="B229" s="30" t="inlineStr">
        <is>
          <t>Vadilal Industries Limited</t>
        </is>
      </c>
      <c r="C229" s="30" t="inlineStr">
        <is>
          <t>fmcg</t>
        </is>
      </c>
      <c r="D229" s="30" t="inlineStr">
        <is>
          <t>food - processing - indian</t>
        </is>
      </c>
      <c r="E229" s="30" t="inlineStr">
        <is>
          <t>smallcap</t>
        </is>
      </c>
      <c r="F229" s="30" t="n">
        <v>4434.1</v>
      </c>
      <c r="G229" s="30" t="n">
        <v>6212.3</v>
      </c>
      <c r="H229" s="30" t="n">
        <v>0.7</v>
      </c>
      <c r="I229" s="30" t="n">
        <v>9211</v>
      </c>
      <c r="J229" s="30" t="inlineStr">
        <is>
          <t>519156</t>
        </is>
      </c>
    </row>
    <row r="230">
      <c r="A230" s="30" t="inlineStr">
        <is>
          <t>AIAENG</t>
        </is>
      </c>
      <c r="B230" s="30" t="inlineStr">
        <is>
          <t>Aia Engineering Limited</t>
        </is>
      </c>
      <c r="C230" s="30" t="inlineStr">
        <is>
          <t>industrials</t>
        </is>
      </c>
      <c r="D230" s="30" t="inlineStr">
        <is>
          <t>castings &amp; forgings</t>
        </is>
      </c>
      <c r="E230" s="30" t="inlineStr">
        <is>
          <t>largecap</t>
        </is>
      </c>
      <c r="F230" s="30" t="n">
        <v>42009.1</v>
      </c>
      <c r="G230" s="30" t="n">
        <v>4532.9</v>
      </c>
      <c r="H230" s="30" t="n">
        <v>0.7</v>
      </c>
      <c r="I230" s="30" t="n">
        <v>51768</v>
      </c>
      <c r="J230" s="30" t="inlineStr">
        <is>
          <t>532683</t>
        </is>
      </c>
    </row>
    <row r="231">
      <c r="A231" s="30" t="inlineStr">
        <is>
          <t>DATAPATTNS</t>
        </is>
      </c>
      <c r="B231" s="30" t="inlineStr">
        <is>
          <t>Data Patterns (India) Ltd</t>
        </is>
      </c>
      <c r="C231" s="30" t="inlineStr">
        <is>
          <t>aerospace &amp; defence</t>
        </is>
      </c>
      <c r="D231" s="30" t="inlineStr">
        <is>
          <t>electronics - components</t>
        </is>
      </c>
      <c r="E231" s="30" t="inlineStr">
        <is>
          <t>largecap</t>
        </is>
      </c>
      <c r="F231" s="30" t="n">
        <v>26702.11</v>
      </c>
      <c r="G231" s="30" t="n">
        <v>4802.1</v>
      </c>
      <c r="H231" s="30" t="n">
        <v>0.68</v>
      </c>
      <c r="I231" s="30" t="n">
        <v>1614207</v>
      </c>
      <c r="J231" s="30" t="inlineStr">
        <is>
          <t>543428</t>
        </is>
      </c>
    </row>
    <row r="232">
      <c r="A232" s="30" t="inlineStr">
        <is>
          <t>AXISBANK</t>
        </is>
      </c>
      <c r="B232" s="30" t="inlineStr">
        <is>
          <t>Axis Bank Limited</t>
        </is>
      </c>
      <c r="C232" s="30" t="inlineStr">
        <is>
          <t>bank</t>
        </is>
      </c>
      <c r="D232" s="30" t="inlineStr">
        <is>
          <t>banks - private sector</t>
        </is>
      </c>
      <c r="E232" s="30" t="inlineStr">
        <is>
          <t>largecap</t>
        </is>
      </c>
      <c r="F232" s="30" t="n">
        <v>419883.04</v>
      </c>
      <c r="G232" s="30" t="n">
        <v>1360.1</v>
      </c>
      <c r="H232" s="30" t="n">
        <v>0.68</v>
      </c>
      <c r="I232" s="30" t="n">
        <v>5186573</v>
      </c>
      <c r="J232" s="30" t="inlineStr">
        <is>
          <t>532215</t>
        </is>
      </c>
    </row>
    <row r="233">
      <c r="A233" s="30" t="inlineStr">
        <is>
          <t>DIVGIITTS</t>
        </is>
      </c>
      <c r="B233" s="30" t="inlineStr">
        <is>
          <t>Divgi Torqtransfer Systems Ltd</t>
        </is>
      </c>
      <c r="C233" s="30" t="inlineStr">
        <is>
          <t>auto</t>
        </is>
      </c>
      <c r="D233" s="30" t="inlineStr">
        <is>
          <t>auto ancillaries</t>
        </is>
      </c>
      <c r="E233" s="30" t="inlineStr">
        <is>
          <t>smallcap</t>
        </is>
      </c>
      <c r="F233" s="30" t="n">
        <v>2583.8</v>
      </c>
      <c r="G233" s="30" t="n">
        <v>850.6</v>
      </c>
      <c r="H233" s="30" t="n">
        <v>0.68</v>
      </c>
      <c r="I233" s="30" t="n">
        <v>29684</v>
      </c>
      <c r="J233" s="30" t="inlineStr">
        <is>
          <t>543812</t>
        </is>
      </c>
    </row>
    <row r="234">
      <c r="A234" s="30" t="inlineStr">
        <is>
          <t>LALPATHLAB</t>
        </is>
      </c>
      <c r="B234" s="30" t="inlineStr">
        <is>
          <t>Dr. Lal Path Labs Ltd.</t>
        </is>
      </c>
      <c r="C234" s="30" t="inlineStr">
        <is>
          <t>healthcare</t>
        </is>
      </c>
      <c r="D234" s="30" t="inlineStr">
        <is>
          <t>healthcare</t>
        </is>
      </c>
      <c r="E234" s="30" t="inlineStr">
        <is>
          <t>largecap</t>
        </is>
      </c>
      <c r="F234" s="30" t="n">
        <v>27676.74</v>
      </c>
      <c r="G234" s="30" t="n">
        <v>1662.9</v>
      </c>
      <c r="H234" s="30" t="n">
        <v>0.67</v>
      </c>
      <c r="I234" s="30" t="n">
        <v>321314</v>
      </c>
      <c r="J234" s="30" t="inlineStr">
        <is>
          <t>539524</t>
        </is>
      </c>
    </row>
    <row r="235">
      <c r="A235" s="30" t="inlineStr">
        <is>
          <t>APCOTEXIND</t>
        </is>
      </c>
      <c r="B235" s="30" t="inlineStr">
        <is>
          <t>Apcotex Industries Limited</t>
        </is>
      </c>
      <c r="C235" s="30" t="inlineStr">
        <is>
          <t>chemicals</t>
        </is>
      </c>
      <c r="D235" s="30" t="inlineStr">
        <is>
          <t>miscellaneous</t>
        </is>
      </c>
      <c r="E235" s="30" t="inlineStr">
        <is>
          <t>smallcap</t>
        </is>
      </c>
      <c r="F235" s="30" t="n">
        <v>2710.45</v>
      </c>
      <c r="G235" s="30" t="n">
        <v>526.25</v>
      </c>
      <c r="H235" s="30" t="n">
        <v>0.66</v>
      </c>
      <c r="I235" s="30" t="n">
        <v>97708</v>
      </c>
      <c r="J235" s="30" t="inlineStr">
        <is>
          <t>523694</t>
        </is>
      </c>
    </row>
    <row r="236">
      <c r="A236" s="30" t="inlineStr">
        <is>
          <t>LOKESHMACH</t>
        </is>
      </c>
      <c r="B236" s="30" t="inlineStr">
        <is>
          <t>Lokesh Machines Limited</t>
        </is>
      </c>
      <c r="C236" s="30" t="inlineStr">
        <is>
          <t>industrials</t>
        </is>
      </c>
      <c r="D236" s="30" t="inlineStr">
        <is>
          <t>engineering</t>
        </is>
      </c>
      <c r="E236" s="30" t="inlineStr">
        <is>
          <t>smallcap</t>
        </is>
      </c>
      <c r="F236" s="30" t="n">
        <v>581.83</v>
      </c>
      <c r="G236" s="30" t="n">
        <v>275</v>
      </c>
      <c r="H236" s="30" t="n">
        <v>0.66</v>
      </c>
      <c r="I236" s="30" t="n">
        <v>17993</v>
      </c>
      <c r="J236" s="30" t="inlineStr">
        <is>
          <t>532740</t>
        </is>
      </c>
    </row>
    <row r="237">
      <c r="A237" s="30" t="inlineStr">
        <is>
          <t>TBOTEK</t>
        </is>
      </c>
      <c r="B237" s="30" t="inlineStr">
        <is>
          <t>TBO Tek Ltd</t>
        </is>
      </c>
      <c r="C237" s="30" t="inlineStr">
        <is>
          <t>i.t</t>
        </is>
      </c>
      <c r="D237" s="30" t="inlineStr">
        <is>
          <t>travel agencies</t>
        </is>
      </c>
      <c r="E237" s="30" t="inlineStr">
        <is>
          <t>midcap</t>
        </is>
      </c>
      <c r="F237" s="30" t="n">
        <v>15806.04</v>
      </c>
      <c r="G237" s="30" t="n">
        <v>1465.2</v>
      </c>
      <c r="H237" s="30" t="n">
        <v>0.66</v>
      </c>
      <c r="I237" s="30" t="n">
        <v>133054</v>
      </c>
      <c r="J237" s="30" t="inlineStr">
        <is>
          <t>544174</t>
        </is>
      </c>
    </row>
    <row r="238">
      <c r="A238" s="30" t="inlineStr">
        <is>
          <t>PTL</t>
        </is>
      </c>
      <c r="B238" s="30" t="inlineStr">
        <is>
          <t>Ptl Enterprises Limited</t>
        </is>
      </c>
      <c r="C238" s="30" t="inlineStr">
        <is>
          <t>miscellaneous</t>
        </is>
      </c>
      <c r="D238" s="30" t="inlineStr">
        <is>
          <t>miscellaneous</t>
        </is>
      </c>
      <c r="E238" s="30" t="inlineStr">
        <is>
          <t>smallcap</t>
        </is>
      </c>
      <c r="F238" s="30" t="n">
        <v>551.75</v>
      </c>
      <c r="G238" s="30" t="n">
        <v>41.95</v>
      </c>
      <c r="H238" s="30" t="n">
        <v>0.65</v>
      </c>
      <c r="I238" s="30" t="n">
        <v>119201</v>
      </c>
      <c r="J238" s="30" t="inlineStr">
        <is>
          <t>509220</t>
        </is>
      </c>
    </row>
    <row r="239">
      <c r="A239" s="30" t="inlineStr">
        <is>
          <t>AVTNPL</t>
        </is>
      </c>
      <c r="B239" s="30" t="inlineStr">
        <is>
          <t>Avt Natural Products Limited</t>
        </is>
      </c>
      <c r="C239" s="30" t="inlineStr">
        <is>
          <t>fmcg</t>
        </is>
      </c>
      <c r="D239" s="30" t="inlineStr">
        <is>
          <t>solvent extraction</t>
        </is>
      </c>
      <c r="E239" s="30" t="inlineStr">
        <is>
          <t>smallcap</t>
        </is>
      </c>
      <c r="F239" s="30" t="n">
        <v>1097.97</v>
      </c>
      <c r="G239" s="30" t="n">
        <v>72.56999999999999</v>
      </c>
      <c r="H239" s="30" t="n">
        <v>0.65</v>
      </c>
      <c r="I239" s="30" t="n">
        <v>51497</v>
      </c>
      <c r="J239" s="30" t="inlineStr">
        <is>
          <t>519105</t>
        </is>
      </c>
    </row>
    <row r="240">
      <c r="A240" s="30" t="inlineStr">
        <is>
          <t>ORBTEXP</t>
        </is>
      </c>
      <c r="B240" s="30" t="inlineStr">
        <is>
          <t>Orbit Exports Limited</t>
        </is>
      </c>
      <c r="C240" s="30" t="inlineStr">
        <is>
          <t>textiles</t>
        </is>
      </c>
      <c r="D240" s="30" t="inlineStr">
        <is>
          <t>textiles - processing</t>
        </is>
      </c>
      <c r="E240" s="30" t="inlineStr">
        <is>
          <t>smallcap</t>
        </is>
      </c>
      <c r="F240" s="30" t="n">
        <v>562.99</v>
      </c>
      <c r="G240" s="30" t="n">
        <v>213.69</v>
      </c>
      <c r="H240" s="30" t="n">
        <v>0.63</v>
      </c>
      <c r="I240" s="30" t="n">
        <v>23054</v>
      </c>
      <c r="J240" s="30" t="inlineStr">
        <is>
          <t>512626</t>
        </is>
      </c>
    </row>
    <row r="241">
      <c r="A241" s="30" t="inlineStr">
        <is>
          <t>SONACOMS</t>
        </is>
      </c>
      <c r="B241" s="30" t="inlineStr">
        <is>
          <t>Sona BLW Precision Forgings Ltd</t>
        </is>
      </c>
      <c r="C241" s="30" t="inlineStr">
        <is>
          <t>auto</t>
        </is>
      </c>
      <c r="D241" s="30" t="inlineStr">
        <is>
          <t>auto ancillaries</t>
        </is>
      </c>
      <c r="E241" s="30" t="inlineStr">
        <is>
          <t>largecap</t>
        </is>
      </c>
      <c r="F241" s="30" t="n">
        <v>37388.54</v>
      </c>
      <c r="G241" s="30" t="n">
        <v>605.05</v>
      </c>
      <c r="H241" s="30" t="n">
        <v>0.63</v>
      </c>
      <c r="I241" s="30" t="n">
        <v>1024033</v>
      </c>
      <c r="J241" s="30" t="inlineStr">
        <is>
          <t>543300</t>
        </is>
      </c>
    </row>
    <row r="242">
      <c r="A242" s="30" t="inlineStr">
        <is>
          <t>HEALTHX</t>
        </is>
      </c>
      <c r="B242" s="30" t="inlineStr">
        <is>
          <t>Health X Platform Ltd</t>
        </is>
      </c>
      <c r="C242" s="30" t="inlineStr">
        <is>
          <t>financials</t>
        </is>
      </c>
      <c r="D242" s="30" t="inlineStr">
        <is>
          <t>finance &amp; investments</t>
        </is>
      </c>
      <c r="E242" s="30" t="inlineStr">
        <is>
          <t>smallcap</t>
        </is>
      </c>
      <c r="F242" s="30" t="n">
        <v>1004.1</v>
      </c>
      <c r="G242" s="30" t="n">
        <v>317.65</v>
      </c>
      <c r="H242" s="30" t="n">
        <v>0.63</v>
      </c>
      <c r="I242" s="30" t="n">
        <v>27674</v>
      </c>
      <c r="J242" s="30" t="inlineStr">
        <is>
          <t>533259</t>
        </is>
      </c>
    </row>
    <row r="243">
      <c r="A243" s="30" t="inlineStr">
        <is>
          <t>MAITHANALL</t>
        </is>
      </c>
      <c r="B243" s="30" t="inlineStr">
        <is>
          <t>Maithan Alloys Limited</t>
        </is>
      </c>
      <c r="C243" s="30" t="inlineStr">
        <is>
          <t>metals &amp; mining</t>
        </is>
      </c>
      <c r="D243" s="30" t="inlineStr">
        <is>
          <t>mining / minerals / metals</t>
        </is>
      </c>
      <c r="E243" s="30" t="inlineStr">
        <is>
          <t>smallcap</t>
        </is>
      </c>
      <c r="F243" s="30" t="n">
        <v>3286.99</v>
      </c>
      <c r="G243" s="30" t="n">
        <v>1136.2</v>
      </c>
      <c r="H243" s="30" t="n">
        <v>0.63</v>
      </c>
      <c r="I243" s="30" t="n">
        <v>483972</v>
      </c>
      <c r="J243" s="30" t="inlineStr">
        <is>
          <t>590078</t>
        </is>
      </c>
    </row>
    <row r="244">
      <c r="A244" s="30" t="inlineStr">
        <is>
          <t>HDFCAMC</t>
        </is>
      </c>
      <c r="B244" s="30" t="inlineStr">
        <is>
          <t>HDFC Asset Management Company Ltd</t>
        </is>
      </c>
      <c r="C244" s="30" t="inlineStr">
        <is>
          <t>financials</t>
        </is>
      </c>
      <c r="D244" s="30" t="inlineStr">
        <is>
          <t>finance &amp; investments</t>
        </is>
      </c>
      <c r="E244" s="30" t="inlineStr">
        <is>
          <t>largecap</t>
        </is>
      </c>
      <c r="F244" s="30" t="n">
        <v>116143.57</v>
      </c>
      <c r="G244" s="30" t="n">
        <v>2728.2</v>
      </c>
      <c r="H244" s="30" t="n">
        <v>0.63</v>
      </c>
      <c r="I244" s="30" t="n">
        <v>609955</v>
      </c>
      <c r="J244" s="30" t="inlineStr">
        <is>
          <t>541729</t>
        </is>
      </c>
    </row>
    <row r="245">
      <c r="A245" s="30" t="inlineStr">
        <is>
          <t>IIFLCAPS</t>
        </is>
      </c>
      <c r="B245" s="30" t="inlineStr">
        <is>
          <t>IIFL Capital Services Ltd</t>
        </is>
      </c>
      <c r="C245" s="30" t="inlineStr">
        <is>
          <t>financials</t>
        </is>
      </c>
      <c r="D245" s="30" t="inlineStr">
        <is>
          <t>finance &amp; investments</t>
        </is>
      </c>
      <c r="E245" s="30" t="inlineStr">
        <is>
          <t>midcap</t>
        </is>
      </c>
      <c r="F245" s="30" t="n">
        <v>10781.87</v>
      </c>
      <c r="G245" s="30" t="n">
        <v>348.35</v>
      </c>
      <c r="H245" s="30" t="n">
        <v>0.62</v>
      </c>
      <c r="I245" s="30" t="n">
        <v>1199136</v>
      </c>
      <c r="J245" s="30" t="inlineStr">
        <is>
          <t>542773</t>
        </is>
      </c>
    </row>
    <row r="246">
      <c r="A246" s="30" t="inlineStr">
        <is>
          <t>ASIANPAINT</t>
        </is>
      </c>
      <c r="B246" s="30" t="inlineStr">
        <is>
          <t>Asian Paints Limited</t>
        </is>
      </c>
      <c r="C246" s="30" t="inlineStr">
        <is>
          <t>building materials</t>
        </is>
      </c>
      <c r="D246" s="30" t="inlineStr">
        <is>
          <t>paints / varnishes</t>
        </is>
      </c>
      <c r="E246" s="30" t="inlineStr">
        <is>
          <t>largecap</t>
        </is>
      </c>
      <c r="F246" s="30" t="n">
        <v>262628.35</v>
      </c>
      <c r="G246" s="30" t="n">
        <v>2755</v>
      </c>
      <c r="H246" s="30" t="n">
        <v>0.62</v>
      </c>
      <c r="I246" s="30" t="n">
        <v>600888</v>
      </c>
      <c r="J246" s="30" t="inlineStr">
        <is>
          <t>500820</t>
        </is>
      </c>
    </row>
    <row r="247">
      <c r="A247" s="30" t="inlineStr">
        <is>
          <t>JSWENERGY</t>
        </is>
      </c>
      <c r="B247" s="30" t="inlineStr">
        <is>
          <t>Jsw Energy Limited</t>
        </is>
      </c>
      <c r="C247" s="30" t="inlineStr">
        <is>
          <t>power &amp; utilities</t>
        </is>
      </c>
      <c r="D247" s="30" t="inlineStr">
        <is>
          <t>power generation and supply</t>
        </is>
      </c>
      <c r="E247" s="30" t="inlineStr">
        <is>
          <t>largecap</t>
        </is>
      </c>
      <c r="F247" s="30" t="n">
        <v>104875.21</v>
      </c>
      <c r="G247" s="30" t="n">
        <v>575.55</v>
      </c>
      <c r="H247" s="30" t="n">
        <v>0.62</v>
      </c>
      <c r="I247" s="30" t="n">
        <v>3495488</v>
      </c>
      <c r="J247" s="30" t="inlineStr">
        <is>
          <t>533148</t>
        </is>
      </c>
    </row>
    <row r="248">
      <c r="A248" s="30" t="inlineStr">
        <is>
          <t>SAREGAMA</t>
        </is>
      </c>
      <c r="B248" s="30" t="inlineStr">
        <is>
          <t>Saregama India Limited</t>
        </is>
      </c>
      <c r="C248" s="30" t="inlineStr">
        <is>
          <t>media</t>
        </is>
      </c>
      <c r="D248" s="30" t="inlineStr">
        <is>
          <t>entertainment / electronic media software</t>
        </is>
      </c>
      <c r="E248" s="30" t="inlineStr">
        <is>
          <t>midcap</t>
        </is>
      </c>
      <c r="F248" s="30" t="n">
        <v>8741.98</v>
      </c>
      <c r="G248" s="30" t="n">
        <v>456.15</v>
      </c>
      <c r="H248" s="30" t="n">
        <v>0.61</v>
      </c>
      <c r="I248" s="30" t="n">
        <v>347314</v>
      </c>
      <c r="J248" s="30" t="inlineStr">
        <is>
          <t>532163</t>
        </is>
      </c>
    </row>
    <row r="249">
      <c r="A249" s="30" t="inlineStr">
        <is>
          <t>IDEA</t>
        </is>
      </c>
      <c r="B249" s="30" t="inlineStr">
        <is>
          <t>Vodafone Idea Ltd</t>
        </is>
      </c>
      <c r="C249" s="30" t="inlineStr">
        <is>
          <t>telecom-service</t>
        </is>
      </c>
      <c r="D249" s="30" t="inlineStr">
        <is>
          <t>telecommunications - service provider</t>
        </is>
      </c>
      <c r="E249" s="30" t="inlineStr">
        <is>
          <t>largecap</t>
        </is>
      </c>
      <c r="F249" s="30" t="n">
        <v>161647.81</v>
      </c>
      <c r="G249" s="30" t="n">
        <v>15.01</v>
      </c>
      <c r="H249" s="30" t="n">
        <v>0.6</v>
      </c>
      <c r="I249" s="30" t="n">
        <v>343479057</v>
      </c>
      <c r="J249" s="30" t="inlineStr">
        <is>
          <t>532822</t>
        </is>
      </c>
    </row>
    <row r="250">
      <c r="A250" s="30" t="inlineStr">
        <is>
          <t>GNFC</t>
        </is>
      </c>
      <c r="B250" s="30" t="inlineStr">
        <is>
          <t>Gujarat Narmada Valley Fertilizers And Chemicals Limited</t>
        </is>
      </c>
      <c r="C250" s="30" t="inlineStr">
        <is>
          <t>chemicals</t>
        </is>
      </c>
      <c r="D250" s="30" t="inlineStr">
        <is>
          <t>chemicals</t>
        </is>
      </c>
      <c r="E250" s="30" t="inlineStr">
        <is>
          <t>midcap</t>
        </is>
      </c>
      <c r="F250" s="30" t="n">
        <v>8217.66</v>
      </c>
      <c r="G250" s="30" t="n">
        <v>562.6</v>
      </c>
      <c r="H250" s="30" t="n">
        <v>0.6</v>
      </c>
      <c r="I250" s="30" t="n">
        <v>657205</v>
      </c>
      <c r="J250" s="30" t="inlineStr">
        <is>
          <t>500670</t>
        </is>
      </c>
    </row>
    <row r="251">
      <c r="A251" s="30" t="inlineStr">
        <is>
          <t>CHOLAFIN</t>
        </is>
      </c>
      <c r="B251" s="30" t="inlineStr">
        <is>
          <t>Cholamandalam Investment And Finance Company Limited</t>
        </is>
      </c>
      <c r="C251" s="30" t="inlineStr">
        <is>
          <t>financials</t>
        </is>
      </c>
      <c r="D251" s="30" t="inlineStr">
        <is>
          <t>finance &amp; investments</t>
        </is>
      </c>
      <c r="E251" s="30" t="inlineStr">
        <is>
          <t>largecap</t>
        </is>
      </c>
      <c r="F251" s="30" t="n">
        <v>143074.08</v>
      </c>
      <c r="G251" s="30" t="n">
        <v>1688.9</v>
      </c>
      <c r="H251" s="30" t="n">
        <v>0.58</v>
      </c>
      <c r="I251" s="30" t="n">
        <v>770645</v>
      </c>
      <c r="J251" s="30" t="inlineStr">
        <is>
          <t>511243</t>
        </is>
      </c>
    </row>
    <row r="252">
      <c r="A252" s="30" t="inlineStr">
        <is>
          <t>KOVAI</t>
        </is>
      </c>
      <c r="B252" s="30" t="inlineStr">
        <is>
          <t>Kovai Medical Center &amp; Hospital Ltd</t>
        </is>
      </c>
      <c r="C252" s="30" t="inlineStr">
        <is>
          <t>healthcare</t>
        </is>
      </c>
      <c r="D252" s="30" t="inlineStr">
        <is>
          <t>healthcare</t>
        </is>
      </c>
      <c r="E252" s="30" t="inlineStr">
        <is>
          <t>midcap</t>
        </is>
      </c>
      <c r="F252" s="30" t="n">
        <v>6383.17</v>
      </c>
      <c r="G252" s="30" t="n">
        <v>5867.5</v>
      </c>
      <c r="H252" s="30" t="n">
        <v>0.58</v>
      </c>
      <c r="I252" s="30" t="n">
        <v>4180</v>
      </c>
      <c r="J252" s="30" t="inlineStr">
        <is>
          <t>523323</t>
        </is>
      </c>
    </row>
    <row r="253">
      <c r="A253" s="30" t="inlineStr">
        <is>
          <t>STYLAMIND</t>
        </is>
      </c>
      <c r="B253" s="30" t="inlineStr">
        <is>
          <t>Stylam Industries Ltd</t>
        </is>
      </c>
      <c r="C253" s="30" t="inlineStr">
        <is>
          <t>building materials</t>
        </is>
      </c>
      <c r="D253" s="30" t="inlineStr">
        <is>
          <t>miscellaneous</t>
        </is>
      </c>
      <c r="E253" s="30" t="inlineStr">
        <is>
          <t>midcap</t>
        </is>
      </c>
      <c r="F253" s="30" t="n">
        <v>5582.52</v>
      </c>
      <c r="G253" s="30" t="n">
        <v>3312.9</v>
      </c>
      <c r="H253" s="30" t="n">
        <v>0.58</v>
      </c>
      <c r="I253" s="30" t="n">
        <v>23272</v>
      </c>
      <c r="J253" s="30" t="inlineStr">
        <is>
          <t>526951</t>
        </is>
      </c>
    </row>
    <row r="254">
      <c r="A254" s="30" t="inlineStr">
        <is>
          <t>RISHABH</t>
        </is>
      </c>
      <c r="B254" s="30" t="inlineStr">
        <is>
          <t>Rishabh Instruments Ltd</t>
        </is>
      </c>
      <c r="C254" s="30" t="inlineStr">
        <is>
          <t>industrials</t>
        </is>
      </c>
      <c r="D254" s="30" t="inlineStr">
        <is>
          <t>electric equipment</t>
        </is>
      </c>
      <c r="E254" s="30" t="inlineStr">
        <is>
          <t>smallcap</t>
        </is>
      </c>
      <c r="F254" s="30" t="n">
        <v>2200.98</v>
      </c>
      <c r="G254" s="30" t="n">
        <v>574.25</v>
      </c>
      <c r="H254" s="30" t="n">
        <v>0.57</v>
      </c>
      <c r="I254" s="30" t="n">
        <v>158162</v>
      </c>
      <c r="J254" s="30" t="inlineStr">
        <is>
          <t>543977</t>
        </is>
      </c>
    </row>
    <row r="255">
      <c r="A255" s="30" t="inlineStr">
        <is>
          <t>3MINDIA</t>
        </is>
      </c>
      <c r="B255" s="30" t="inlineStr">
        <is>
          <t>3m India Limited</t>
        </is>
      </c>
      <c r="C255" s="30" t="inlineStr">
        <is>
          <t>miscellaneous</t>
        </is>
      </c>
      <c r="D255" s="30" t="inlineStr">
        <is>
          <t>diversified - large</t>
        </is>
      </c>
      <c r="E255" s="30" t="inlineStr">
        <is>
          <t>largecap</t>
        </is>
      </c>
      <c r="F255" s="30" t="n">
        <v>37242.32</v>
      </c>
      <c r="G255" s="30" t="n">
        <v>33250</v>
      </c>
      <c r="H255" s="30" t="n">
        <v>0.57</v>
      </c>
      <c r="I255" s="30" t="n">
        <v>3182</v>
      </c>
      <c r="J255" s="30" t="inlineStr">
        <is>
          <t>523395</t>
        </is>
      </c>
    </row>
    <row r="256">
      <c r="A256" s="30" t="inlineStr">
        <is>
          <t>MOTILALOFS</t>
        </is>
      </c>
      <c r="B256" s="30" t="inlineStr">
        <is>
          <t>Motilal Oswal Financial Services Limited</t>
        </is>
      </c>
      <c r="C256" s="30" t="inlineStr">
        <is>
          <t>financials</t>
        </is>
      </c>
      <c r="D256" s="30" t="inlineStr">
        <is>
          <t>finance &amp; investments</t>
        </is>
      </c>
      <c r="E256" s="30" t="inlineStr">
        <is>
          <t>largecap</t>
        </is>
      </c>
      <c r="F256" s="30" t="n">
        <v>56746.38</v>
      </c>
      <c r="G256" s="30" t="n">
        <v>948.15</v>
      </c>
      <c r="H256" s="30" t="n">
        <v>0.5600000000000001</v>
      </c>
      <c r="I256" s="30" t="n">
        <v>938542</v>
      </c>
      <c r="J256" s="30" t="inlineStr">
        <is>
          <t>532892</t>
        </is>
      </c>
    </row>
    <row r="257">
      <c r="A257" s="30" t="inlineStr">
        <is>
          <t>SIEMENS</t>
        </is>
      </c>
      <c r="B257" s="30" t="inlineStr">
        <is>
          <t>Siemens Limited</t>
        </is>
      </c>
      <c r="C257" s="30" t="inlineStr">
        <is>
          <t>industrials</t>
        </is>
      </c>
      <c r="D257" s="30" t="inlineStr">
        <is>
          <t>electric equipment</t>
        </is>
      </c>
      <c r="E257" s="30" t="inlineStr">
        <is>
          <t>largecap</t>
        </is>
      </c>
      <c r="F257" s="30" t="n">
        <v>132669.13</v>
      </c>
      <c r="G257" s="30" t="n">
        <v>3746.2</v>
      </c>
      <c r="H257" s="30" t="n">
        <v>0.5600000000000001</v>
      </c>
      <c r="I257" s="30" t="n">
        <v>342772</v>
      </c>
      <c r="J257" s="30" t="inlineStr">
        <is>
          <t>500550</t>
        </is>
      </c>
    </row>
    <row r="258">
      <c r="A258" s="30" t="inlineStr">
        <is>
          <t>MSPL</t>
        </is>
      </c>
      <c r="B258" s="30" t="inlineStr">
        <is>
          <t>Msp Steel &amp; Power Limited</t>
        </is>
      </c>
      <c r="C258" s="30" t="inlineStr">
        <is>
          <t>metals &amp; mining</t>
        </is>
      </c>
      <c r="D258" s="30" t="inlineStr">
        <is>
          <t>steel - medium / small</t>
        </is>
      </c>
      <c r="E258" s="30" t="inlineStr">
        <is>
          <t>smallcap</t>
        </is>
      </c>
      <c r="F258" s="30" t="n">
        <v>2379.41</v>
      </c>
      <c r="G258" s="30" t="n">
        <v>42.21</v>
      </c>
      <c r="H258" s="30" t="n">
        <v>0.55</v>
      </c>
      <c r="I258" s="30" t="n">
        <v>5707929</v>
      </c>
      <c r="J258" s="30" t="inlineStr">
        <is>
          <t>532650</t>
        </is>
      </c>
    </row>
    <row r="259">
      <c r="A259" s="30" t="inlineStr">
        <is>
          <t>PIXTRANS</t>
        </is>
      </c>
      <c r="B259" s="30" t="inlineStr">
        <is>
          <t>Pix Transmission Ltd</t>
        </is>
      </c>
      <c r="C259" s="30" t="inlineStr">
        <is>
          <t>fmcg</t>
        </is>
      </c>
      <c r="D259" s="30" t="inlineStr">
        <is>
          <t>miscellaneous</t>
        </is>
      </c>
      <c r="E259" s="30" t="inlineStr">
        <is>
          <t>smallcap</t>
        </is>
      </c>
      <c r="F259" s="30" t="n">
        <v>2190.66</v>
      </c>
      <c r="G259" s="30" t="n">
        <v>1616.5</v>
      </c>
      <c r="H259" s="30" t="n">
        <v>0.54</v>
      </c>
      <c r="I259" s="30" t="n">
        <v>10701</v>
      </c>
      <c r="J259" s="30" t="inlineStr">
        <is>
          <t>500333</t>
        </is>
      </c>
    </row>
    <row r="260">
      <c r="A260" s="30" t="inlineStr">
        <is>
          <t>DCBBANK</t>
        </is>
      </c>
      <c r="B260" s="30" t="inlineStr">
        <is>
          <t>Dcb Bank Limited</t>
        </is>
      </c>
      <c r="C260" s="30" t="inlineStr">
        <is>
          <t>bank</t>
        </is>
      </c>
      <c r="D260" s="30" t="inlineStr">
        <is>
          <t>banks - private sector</t>
        </is>
      </c>
      <c r="E260" s="30" t="inlineStr">
        <is>
          <t>midcap</t>
        </is>
      </c>
      <c r="F260" s="30" t="n">
        <v>5955.5</v>
      </c>
      <c r="G260" s="30" t="n">
        <v>185.97</v>
      </c>
      <c r="H260" s="30" t="n">
        <v>0.52</v>
      </c>
      <c r="I260" s="30" t="n">
        <v>865184</v>
      </c>
      <c r="J260" s="30" t="inlineStr">
        <is>
          <t>532772</t>
        </is>
      </c>
    </row>
    <row r="261">
      <c r="A261" s="30" t="inlineStr">
        <is>
          <t>AIIL</t>
        </is>
      </c>
      <c r="B261" s="30" t="inlineStr">
        <is>
          <t>Authum Investment &amp; Infrastructure Ltd</t>
        </is>
      </c>
      <c r="C261" s="30" t="inlineStr">
        <is>
          <t>financials</t>
        </is>
      </c>
      <c r="D261" s="30" t="inlineStr">
        <is>
          <t>finance &amp; investments</t>
        </is>
      </c>
      <c r="E261" s="30" t="inlineStr">
        <is>
          <t>largecap</t>
        </is>
      </c>
      <c r="F261" s="30" t="n">
        <v>46601.25</v>
      </c>
      <c r="G261" s="30" t="n">
        <v>551.55</v>
      </c>
      <c r="H261" s="30" t="n">
        <v>0.51</v>
      </c>
      <c r="I261" s="30" t="n">
        <v>240367</v>
      </c>
      <c r="J261" s="30" t="inlineStr">
        <is>
          <t>539177</t>
        </is>
      </c>
    </row>
    <row r="262">
      <c r="A262" s="30" t="inlineStr">
        <is>
          <t>PANACEABIO</t>
        </is>
      </c>
      <c r="B262" s="30" t="inlineStr">
        <is>
          <t>Panacea Biotec Limited</t>
        </is>
      </c>
      <c r="C262" s="30" t="inlineStr">
        <is>
          <t>healthcare</t>
        </is>
      </c>
      <c r="D262" s="30" t="inlineStr">
        <is>
          <t>pharmaceuticals - indian - bulk drugs &amp; formln</t>
        </is>
      </c>
      <c r="E262" s="30" t="inlineStr">
        <is>
          <t>smallcap</t>
        </is>
      </c>
      <c r="F262" s="30" t="n">
        <v>3259.76</v>
      </c>
      <c r="G262" s="30" t="n">
        <v>534.85</v>
      </c>
      <c r="H262" s="30" t="n">
        <v>0.5</v>
      </c>
      <c r="I262" s="30" t="n">
        <v>299454</v>
      </c>
      <c r="J262" s="30" t="inlineStr">
        <is>
          <t>531349</t>
        </is>
      </c>
    </row>
    <row r="263">
      <c r="A263" s="30" t="inlineStr">
        <is>
          <t>MUNJALAU</t>
        </is>
      </c>
      <c r="B263" s="30" t="inlineStr">
        <is>
          <t>Munjal Auto Industries Limited</t>
        </is>
      </c>
      <c r="C263" s="30" t="inlineStr">
        <is>
          <t>auto</t>
        </is>
      </c>
      <c r="D263" s="30" t="inlineStr">
        <is>
          <t>auto ancillaries</t>
        </is>
      </c>
      <c r="E263" s="30" t="inlineStr">
        <is>
          <t>smallcap</t>
        </is>
      </c>
      <c r="F263" s="30" t="n">
        <v>966.7</v>
      </c>
      <c r="G263" s="30" t="n">
        <v>97.13</v>
      </c>
      <c r="H263" s="30" t="n">
        <v>0.48</v>
      </c>
      <c r="I263" s="30" t="n">
        <v>169681</v>
      </c>
      <c r="J263" s="30" t="inlineStr">
        <is>
          <t>520059</t>
        </is>
      </c>
    </row>
    <row r="264">
      <c r="A264" s="30" t="inlineStr">
        <is>
          <t>MBAPL</t>
        </is>
      </c>
      <c r="B264" s="30" t="inlineStr">
        <is>
          <t>Madhya Bharat Agro Products Ltd</t>
        </is>
      </c>
      <c r="C264" s="30" t="inlineStr">
        <is>
          <t>chemicals</t>
        </is>
      </c>
      <c r="D264" s="30" t="inlineStr">
        <is>
          <t>fertilizers</t>
        </is>
      </c>
      <c r="E264" s="30" t="inlineStr">
        <is>
          <t>smallcap</t>
        </is>
      </c>
      <c r="F264" s="30" t="n">
        <v>4935.59</v>
      </c>
      <c r="G264" s="30" t="n">
        <v>565.9</v>
      </c>
      <c r="H264" s="30" t="n">
        <v>0.47</v>
      </c>
      <c r="I264" s="30" t="n">
        <v>108679</v>
      </c>
      <c r="J264" s="30" t="inlineStr">
        <is>
          <t>538370</t>
        </is>
      </c>
    </row>
    <row r="265">
      <c r="A265" s="30" t="inlineStr">
        <is>
          <t>VIJAYA</t>
        </is>
      </c>
      <c r="B265" s="30" t="inlineStr">
        <is>
          <t>Vijaya Diagnostic Centre Ltd</t>
        </is>
      </c>
      <c r="C265" s="30" t="inlineStr">
        <is>
          <t>healthcare</t>
        </is>
      </c>
      <c r="D265" s="30" t="inlineStr">
        <is>
          <t>healthcare</t>
        </is>
      </c>
      <c r="E265" s="30" t="inlineStr">
        <is>
          <t>midcap</t>
        </is>
      </c>
      <c r="F265" s="30" t="n">
        <v>13371.43</v>
      </c>
      <c r="G265" s="30" t="n">
        <v>1305.6</v>
      </c>
      <c r="H265" s="30" t="n">
        <v>0.47</v>
      </c>
      <c r="I265" s="30" t="n">
        <v>77484</v>
      </c>
      <c r="J265" s="30" t="inlineStr">
        <is>
          <t>543350</t>
        </is>
      </c>
    </row>
    <row r="266">
      <c r="A266" s="30" t="inlineStr">
        <is>
          <t>NAZARA</t>
        </is>
      </c>
      <c r="B266" s="30" t="inlineStr">
        <is>
          <t>Nazara Technologies Ltd</t>
        </is>
      </c>
      <c r="C266" s="30" t="inlineStr">
        <is>
          <t>i.t</t>
        </is>
      </c>
      <c r="D266" s="30" t="inlineStr">
        <is>
          <t>telecommunications - service provider</t>
        </is>
      </c>
      <c r="E266" s="30" t="inlineStr">
        <is>
          <t>midcap</t>
        </is>
      </c>
      <c r="F266" s="30" t="n">
        <v>11099.13</v>
      </c>
      <c r="G266" s="30" t="n">
        <v>301</v>
      </c>
      <c r="H266" s="30" t="n">
        <v>0.47</v>
      </c>
      <c r="I266" s="30" t="n">
        <v>2465739</v>
      </c>
      <c r="J266" s="30" t="inlineStr">
        <is>
          <t>543280</t>
        </is>
      </c>
    </row>
    <row r="267">
      <c r="A267" s="30" t="inlineStr">
        <is>
          <t>DMART</t>
        </is>
      </c>
      <c r="B267" s="30" t="inlineStr">
        <is>
          <t>Avenue Supermarts Ltd</t>
        </is>
      </c>
      <c r="C267" s="30" t="inlineStr">
        <is>
          <t>consumer discretionary</t>
        </is>
      </c>
      <c r="D267" s="30" t="inlineStr">
        <is>
          <t>trading</t>
        </is>
      </c>
      <c r="E267" s="30" t="inlineStr">
        <is>
          <t>largecap</t>
        </is>
      </c>
      <c r="F267" s="30" t="n">
        <v>279527.47</v>
      </c>
      <c r="G267" s="30" t="n">
        <v>4306.7</v>
      </c>
      <c r="H267" s="30" t="n">
        <v>0.45</v>
      </c>
      <c r="I267" s="30" t="n">
        <v>433140</v>
      </c>
      <c r="J267" s="30" t="inlineStr">
        <is>
          <t>540376</t>
        </is>
      </c>
    </row>
    <row r="268">
      <c r="A268" s="30" t="inlineStr">
        <is>
          <t>TVSSCS</t>
        </is>
      </c>
      <c r="B268" s="30" t="inlineStr">
        <is>
          <t>TVS Supply Chain Solutions Ltd</t>
        </is>
      </c>
      <c r="C268" s="30" t="inlineStr">
        <is>
          <t>transportation</t>
        </is>
      </c>
      <c r="D268" s="30" t="inlineStr">
        <is>
          <t>miscellaneous</t>
        </is>
      </c>
      <c r="E268" s="30" t="inlineStr">
        <is>
          <t>midcap</t>
        </is>
      </c>
      <c r="F268" s="30" t="n">
        <v>5978.43</v>
      </c>
      <c r="G268" s="30" t="n">
        <v>136.12</v>
      </c>
      <c r="H268" s="30" t="n">
        <v>0.45</v>
      </c>
      <c r="I268" s="30" t="n">
        <v>848930</v>
      </c>
      <c r="J268" s="30" t="inlineStr">
        <is>
          <t>543965</t>
        </is>
      </c>
    </row>
    <row r="269">
      <c r="A269" s="30" t="inlineStr">
        <is>
          <t>CANFINHOME</t>
        </is>
      </c>
      <c r="B269" s="30" t="inlineStr">
        <is>
          <t>Can Fin Homes Limited</t>
        </is>
      </c>
      <c r="C269" s="30" t="inlineStr">
        <is>
          <t>financials</t>
        </is>
      </c>
      <c r="D269" s="30" t="inlineStr">
        <is>
          <t>finance - housing</t>
        </is>
      </c>
      <c r="E269" s="30" t="inlineStr">
        <is>
          <t>midcap</t>
        </is>
      </c>
      <c r="F269" s="30" t="n">
        <v>11714.23</v>
      </c>
      <c r="G269" s="30" t="n">
        <v>883.7</v>
      </c>
      <c r="H269" s="30" t="n">
        <v>0.45</v>
      </c>
      <c r="I269" s="30" t="n">
        <v>129111</v>
      </c>
      <c r="J269" s="30" t="inlineStr">
        <is>
          <t>511196</t>
        </is>
      </c>
    </row>
    <row r="270">
      <c r="A270" s="30" t="inlineStr">
        <is>
          <t>PAISALO</t>
        </is>
      </c>
      <c r="B270" s="30" t="inlineStr">
        <is>
          <t>Paisalo Digital Ltd</t>
        </is>
      </c>
      <c r="C270" s="30" t="inlineStr">
        <is>
          <t>financials</t>
        </is>
      </c>
      <c r="D270" s="30" t="inlineStr">
        <is>
          <t>finance &amp; investments</t>
        </is>
      </c>
      <c r="E270" s="30" t="inlineStr">
        <is>
          <t>midcap</t>
        </is>
      </c>
      <c r="F270" s="30" t="n">
        <v>5297.96</v>
      </c>
      <c r="G270" s="30" t="n">
        <v>58.51</v>
      </c>
      <c r="H270" s="30" t="n">
        <v>0.45</v>
      </c>
      <c r="I270" s="30" t="n">
        <v>4123364</v>
      </c>
      <c r="J270" s="30" t="inlineStr">
        <is>
          <t>532900</t>
        </is>
      </c>
    </row>
    <row r="271">
      <c r="A271" s="30" t="inlineStr">
        <is>
          <t>CENTENKA</t>
        </is>
      </c>
      <c r="B271" s="30" t="inlineStr">
        <is>
          <t>Century Enka Limited</t>
        </is>
      </c>
      <c r="C271" s="30" t="inlineStr">
        <is>
          <t>textiles</t>
        </is>
      </c>
      <c r="D271" s="30" t="inlineStr">
        <is>
          <t>textiles - manmade</t>
        </is>
      </c>
      <c r="E271" s="30" t="inlineStr">
        <is>
          <t>smallcap</t>
        </is>
      </c>
      <c r="F271" s="30" t="n">
        <v>1102.8</v>
      </c>
      <c r="G271" s="30" t="n">
        <v>506.9</v>
      </c>
      <c r="H271" s="30" t="n">
        <v>0.44</v>
      </c>
      <c r="I271" s="30" t="n">
        <v>24378</v>
      </c>
      <c r="J271" s="30" t="inlineStr">
        <is>
          <t>500280</t>
        </is>
      </c>
    </row>
    <row r="272">
      <c r="A272" s="30" t="inlineStr">
        <is>
          <t>AUBANK</t>
        </is>
      </c>
      <c r="B272" s="30" t="inlineStr">
        <is>
          <t>AU Small Finance Bank Ltd</t>
        </is>
      </c>
      <c r="C272" s="30" t="inlineStr">
        <is>
          <t>bank</t>
        </is>
      </c>
      <c r="D272" s="30" t="inlineStr">
        <is>
          <t>banks - private sector</t>
        </is>
      </c>
      <c r="E272" s="30" t="inlineStr">
        <is>
          <t>largecap</t>
        </is>
      </c>
      <c r="F272" s="30" t="n">
        <v>76386.85000000001</v>
      </c>
      <c r="G272" s="30" t="n">
        <v>1025.35</v>
      </c>
      <c r="H272" s="30" t="n">
        <v>0.44</v>
      </c>
      <c r="I272" s="30" t="n">
        <v>908553</v>
      </c>
      <c r="J272" s="30" t="inlineStr">
        <is>
          <t>540611</t>
        </is>
      </c>
    </row>
    <row r="273">
      <c r="A273" s="30" t="inlineStr">
        <is>
          <t>CUMMINSIND</t>
        </is>
      </c>
      <c r="B273" s="30" t="inlineStr">
        <is>
          <t>Cummins India Limited</t>
        </is>
      </c>
      <c r="C273" s="30" t="inlineStr">
        <is>
          <t>industrials</t>
        </is>
      </c>
      <c r="D273" s="30" t="inlineStr">
        <is>
          <t>engines</t>
        </is>
      </c>
      <c r="E273" s="30" t="inlineStr">
        <is>
          <t>largecap</t>
        </is>
      </c>
      <c r="F273" s="30" t="n">
        <v>161690.76</v>
      </c>
      <c r="G273" s="30" t="n">
        <v>5858</v>
      </c>
      <c r="H273" s="30" t="n">
        <v>0.43</v>
      </c>
      <c r="I273" s="30" t="n">
        <v>311191</v>
      </c>
      <c r="J273" s="30" t="inlineStr">
        <is>
          <t>500480</t>
        </is>
      </c>
    </row>
    <row r="274">
      <c r="A274" s="30" t="inlineStr">
        <is>
          <t>PRESTIGE</t>
        </is>
      </c>
      <c r="B274" s="30" t="inlineStr">
        <is>
          <t>Prestige Estates Projects Limited</t>
        </is>
      </c>
      <c r="C274" s="30" t="inlineStr">
        <is>
          <t>realty</t>
        </is>
      </c>
      <c r="D274" s="30" t="inlineStr">
        <is>
          <t>construction</t>
        </is>
      </c>
      <c r="E274" s="30" t="inlineStr">
        <is>
          <t>largecap</t>
        </is>
      </c>
      <c r="F274" s="30" t="n">
        <v>65535.6</v>
      </c>
      <c r="G274" s="30" t="n">
        <v>1527.7</v>
      </c>
      <c r="H274" s="30" t="n">
        <v>0.41</v>
      </c>
      <c r="I274" s="30" t="n">
        <v>1015957</v>
      </c>
      <c r="J274" s="30" t="inlineStr">
        <is>
          <t>533274</t>
        </is>
      </c>
    </row>
    <row r="275">
      <c r="A275" s="30" t="inlineStr">
        <is>
          <t>ICICIBANK</t>
        </is>
      </c>
      <c r="B275" s="30" t="inlineStr">
        <is>
          <t>Icici Bank Limited</t>
        </is>
      </c>
      <c r="C275" s="30" t="inlineStr">
        <is>
          <t>bank</t>
        </is>
      </c>
      <c r="D275" s="30" t="inlineStr">
        <is>
          <t>banks - private sector</t>
        </is>
      </c>
      <c r="E275" s="30" t="inlineStr">
        <is>
          <t>largecap</t>
        </is>
      </c>
      <c r="F275" s="30" t="n">
        <v>957163.85</v>
      </c>
      <c r="G275" s="30" t="n">
        <v>1342.3</v>
      </c>
      <c r="H275" s="30" t="n">
        <v>0.41</v>
      </c>
      <c r="I275" s="30" t="n">
        <v>13467985</v>
      </c>
      <c r="J275" s="30" t="inlineStr">
        <is>
          <t>532174</t>
        </is>
      </c>
    </row>
    <row r="276">
      <c r="A276" s="30" t="inlineStr">
        <is>
          <t>BANKBARODA</t>
        </is>
      </c>
      <c r="B276" s="30" t="inlineStr">
        <is>
          <t>Bank Of Baroda Ltd</t>
        </is>
      </c>
      <c r="C276" s="30" t="inlineStr">
        <is>
          <t>bank</t>
        </is>
      </c>
      <c r="D276" s="30" t="inlineStr">
        <is>
          <t>banks - public sector</t>
        </is>
      </c>
      <c r="E276" s="30" t="inlineStr">
        <is>
          <t>largecap</t>
        </is>
      </c>
      <c r="F276" s="30" t="n">
        <v>145754.84</v>
      </c>
      <c r="G276" s="30" t="n">
        <v>283</v>
      </c>
      <c r="H276" s="30" t="n">
        <v>0.41</v>
      </c>
      <c r="I276" s="30" t="n">
        <v>12399938</v>
      </c>
      <c r="J276" s="30" t="inlineStr">
        <is>
          <t>532134</t>
        </is>
      </c>
    </row>
    <row r="277">
      <c r="A277" s="30" t="inlineStr">
        <is>
          <t>PSPPROJECT</t>
        </is>
      </c>
      <c r="B277" s="30" t="inlineStr">
        <is>
          <t>PSP Projects Ltd</t>
        </is>
      </c>
      <c r="C277" s="30" t="inlineStr">
        <is>
          <t>realty</t>
        </is>
      </c>
      <c r="D277" s="30" t="inlineStr">
        <is>
          <t>construction</t>
        </is>
      </c>
      <c r="E277" s="30" t="inlineStr">
        <is>
          <t>smallcap</t>
        </is>
      </c>
      <c r="F277" s="30" t="n">
        <v>3597.29</v>
      </c>
      <c r="G277" s="30" t="n">
        <v>911.15</v>
      </c>
      <c r="H277" s="30" t="n">
        <v>0.41</v>
      </c>
      <c r="I277" s="30" t="n">
        <v>59955</v>
      </c>
      <c r="J277" s="30" t="inlineStr">
        <is>
          <t>540544</t>
        </is>
      </c>
    </row>
    <row r="278">
      <c r="A278" s="30" t="inlineStr">
        <is>
          <t>ABDL</t>
        </is>
      </c>
      <c r="B278" s="30" t="inlineStr">
        <is>
          <t>Allied Blenders &amp; Distillers Ltd</t>
        </is>
      </c>
      <c r="C278" s="30" t="inlineStr">
        <is>
          <t>fmcg</t>
        </is>
      </c>
      <c r="D278" s="30" t="inlineStr">
        <is>
          <t>breweries &amp; distilleries</t>
        </is>
      </c>
      <c r="E278" s="30" t="inlineStr">
        <is>
          <t>midcap</t>
        </is>
      </c>
      <c r="F278" s="30" t="n">
        <v>17628.73</v>
      </c>
      <c r="G278" s="30" t="n">
        <v>632.8</v>
      </c>
      <c r="H278" s="30" t="n">
        <v>0.4</v>
      </c>
      <c r="I278" s="30" t="n">
        <v>294081</v>
      </c>
      <c r="J278" s="30" t="inlineStr">
        <is>
          <t>544203</t>
        </is>
      </c>
    </row>
    <row r="279">
      <c r="A279" s="30" t="inlineStr">
        <is>
          <t>THELEELA</t>
        </is>
      </c>
      <c r="B279" s="30" t="inlineStr">
        <is>
          <t>Leela Palaces Hotels &amp; Resorts Ltd</t>
        </is>
      </c>
      <c r="C279" s="30" t="inlineStr">
        <is>
          <t>services</t>
        </is>
      </c>
      <c r="D279" s="30" t="inlineStr">
        <is>
          <t>hotels</t>
        </is>
      </c>
      <c r="E279" s="30" t="inlineStr">
        <is>
          <t>midcap</t>
        </is>
      </c>
      <c r="F279" s="30" t="n">
        <v>15221.8</v>
      </c>
      <c r="G279" s="30" t="n">
        <v>457.6</v>
      </c>
      <c r="H279" s="30" t="n">
        <v>0.39</v>
      </c>
      <c r="I279" s="30" t="n">
        <v>224958</v>
      </c>
      <c r="J279" s="30" t="inlineStr">
        <is>
          <t>544408</t>
        </is>
      </c>
    </row>
    <row r="280">
      <c r="A280" s="30" t="inlineStr">
        <is>
          <t>360ONE</t>
        </is>
      </c>
      <c r="B280" s="30" t="inlineStr">
        <is>
          <t>360 ONE WAM Ltd</t>
        </is>
      </c>
      <c r="C280" s="30" t="inlineStr">
        <is>
          <t>financials</t>
        </is>
      </c>
      <c r="D280" s="30" t="inlineStr">
        <is>
          <t>finance &amp; investments</t>
        </is>
      </c>
      <c r="E280" s="30" t="inlineStr">
        <is>
          <t>largecap</t>
        </is>
      </c>
      <c r="F280" s="30" t="n">
        <v>46173.88</v>
      </c>
      <c r="G280" s="30" t="n">
        <v>1141.3</v>
      </c>
      <c r="H280" s="30" t="n">
        <v>0.39</v>
      </c>
      <c r="I280" s="30" t="n">
        <v>1011855</v>
      </c>
      <c r="J280" s="30" t="inlineStr">
        <is>
          <t>542772</t>
        </is>
      </c>
    </row>
    <row r="281">
      <c r="A281" s="30" t="inlineStr">
        <is>
          <t>RAINBOW</t>
        </is>
      </c>
      <c r="B281" s="30" t="inlineStr">
        <is>
          <t>Rainbow Childrens Medicare Ltd</t>
        </is>
      </c>
      <c r="C281" s="30" t="inlineStr">
        <is>
          <t>healthcare</t>
        </is>
      </c>
      <c r="D281" s="30" t="inlineStr">
        <is>
          <t>healthcare</t>
        </is>
      </c>
      <c r="E281" s="30" t="inlineStr">
        <is>
          <t>midcap</t>
        </is>
      </c>
      <c r="F281" s="30" t="n">
        <v>14670.22</v>
      </c>
      <c r="G281" s="30" t="n">
        <v>1450</v>
      </c>
      <c r="H281" s="30" t="n">
        <v>0.38</v>
      </c>
      <c r="I281" s="30" t="n">
        <v>83135</v>
      </c>
      <c r="J281" s="30" t="inlineStr">
        <is>
          <t>543524</t>
        </is>
      </c>
    </row>
    <row r="282">
      <c r="A282" s="30" t="inlineStr">
        <is>
          <t>SGIL</t>
        </is>
      </c>
      <c r="B282" s="30" t="inlineStr">
        <is>
          <t>Synergy Green Industries Ltd</t>
        </is>
      </c>
      <c r="C282" s="30" t="inlineStr">
        <is>
          <t>industrials</t>
        </is>
      </c>
      <c r="D282" s="30" t="inlineStr">
        <is>
          <t>castings &amp; forgings</t>
        </is>
      </c>
      <c r="E282" s="30" t="inlineStr">
        <is>
          <t>smallcap</t>
        </is>
      </c>
      <c r="F282" s="30" t="n">
        <v>913.62</v>
      </c>
      <c r="G282" s="30" t="n">
        <v>589.95</v>
      </c>
      <c r="H282" s="30" t="n">
        <v>0.37</v>
      </c>
      <c r="I282" s="30" t="n">
        <v>6196</v>
      </c>
      <c r="J282" s="30" t="inlineStr">
        <is>
          <t>541929</t>
        </is>
      </c>
    </row>
    <row r="283">
      <c r="A283" s="30" t="inlineStr">
        <is>
          <t>BANKINDIA</t>
        </is>
      </c>
      <c r="B283" s="30" t="inlineStr">
        <is>
          <t>Bank Of India Ltd</t>
        </is>
      </c>
      <c r="C283" s="30" t="inlineStr">
        <is>
          <t>bank</t>
        </is>
      </c>
      <c r="D283" s="30" t="inlineStr">
        <is>
          <t>banks - public sector</t>
        </is>
      </c>
      <c r="E283" s="30" t="inlineStr">
        <is>
          <t>largecap</t>
        </is>
      </c>
      <c r="F283" s="30" t="n">
        <v>66987.96000000001</v>
      </c>
      <c r="G283" s="30" t="n">
        <v>147.67</v>
      </c>
      <c r="H283" s="30" t="n">
        <v>0.36</v>
      </c>
      <c r="I283" s="30" t="n">
        <v>6679500</v>
      </c>
      <c r="J283" s="30" t="inlineStr">
        <is>
          <t>532149</t>
        </is>
      </c>
    </row>
    <row r="284">
      <c r="A284" s="30" t="inlineStr">
        <is>
          <t>STAR</t>
        </is>
      </c>
      <c r="B284" s="30" t="inlineStr">
        <is>
          <t>Strides Shasun Limited</t>
        </is>
      </c>
      <c r="C284" s="30" t="inlineStr">
        <is>
          <t>healthcare</t>
        </is>
      </c>
      <c r="D284" s="30" t="inlineStr">
        <is>
          <t>pharmaceuticals - indian - bulk drugs &amp; formln</t>
        </is>
      </c>
      <c r="E284" s="30" t="inlineStr">
        <is>
          <t>midcap</t>
        </is>
      </c>
      <c r="F284" s="30" t="n">
        <v>10202.6</v>
      </c>
      <c r="G284" s="30" t="n">
        <v>1110.8</v>
      </c>
      <c r="H284" s="30" t="n">
        <v>0.35</v>
      </c>
      <c r="I284" s="30" t="n">
        <v>125348</v>
      </c>
      <c r="J284" s="30" t="inlineStr">
        <is>
          <t>532531</t>
        </is>
      </c>
    </row>
    <row r="285">
      <c r="A285" s="30" t="inlineStr">
        <is>
          <t>NINSYS</t>
        </is>
      </c>
      <c r="B285" s="30" t="inlineStr">
        <is>
          <t>NINtec Systems Ltd</t>
        </is>
      </c>
      <c r="C285" s="30" t="inlineStr">
        <is>
          <t>i.t</t>
        </is>
      </c>
      <c r="D285" s="30" t="inlineStr">
        <is>
          <t>computers - software - medium / small</t>
        </is>
      </c>
      <c r="E285" s="30" t="inlineStr">
        <is>
          <t>smallcap</t>
        </is>
      </c>
      <c r="F285" s="30" t="n">
        <v>1286.11</v>
      </c>
      <c r="G285" s="30" t="n">
        <v>694.75</v>
      </c>
      <c r="H285" s="30" t="n">
        <v>0.35</v>
      </c>
      <c r="I285" s="30" t="n">
        <v>2378</v>
      </c>
      <c r="J285" s="30" t="inlineStr">
        <is>
          <t>539843</t>
        </is>
      </c>
    </row>
    <row r="286">
      <c r="A286" s="30" t="inlineStr">
        <is>
          <t>ELGIEQUIP</t>
        </is>
      </c>
      <c r="B286" s="30" t="inlineStr">
        <is>
          <t>Elgi Equipments Limited</t>
        </is>
      </c>
      <c r="C286" s="30" t="inlineStr">
        <is>
          <t>industrials</t>
        </is>
      </c>
      <c r="D286" s="30" t="inlineStr">
        <is>
          <t>compressors / drilling equipment</t>
        </is>
      </c>
      <c r="E286" s="30" t="inlineStr">
        <is>
          <t>midcap</t>
        </is>
      </c>
      <c r="F286" s="30" t="n">
        <v>19017.71</v>
      </c>
      <c r="G286" s="30" t="n">
        <v>602</v>
      </c>
      <c r="H286" s="30" t="n">
        <v>0.32</v>
      </c>
      <c r="I286" s="30" t="n">
        <v>236148</v>
      </c>
      <c r="J286" s="30" t="inlineStr">
        <is>
          <t>522074</t>
        </is>
      </c>
    </row>
    <row r="287">
      <c r="A287" s="30" t="inlineStr">
        <is>
          <t>RATEGAIN</t>
        </is>
      </c>
      <c r="B287" s="30" t="inlineStr">
        <is>
          <t>Rategain Travel Technologies Ltd</t>
        </is>
      </c>
      <c r="C287" s="30" t="inlineStr">
        <is>
          <t>i.t</t>
        </is>
      </c>
      <c r="D287" s="30" t="inlineStr">
        <is>
          <t>computers - software - medium / small</t>
        </is>
      </c>
      <c r="E287" s="30" t="inlineStr">
        <is>
          <t>midcap</t>
        </is>
      </c>
      <c r="F287" s="30" t="n">
        <v>10471.82</v>
      </c>
      <c r="G287" s="30" t="n">
        <v>889</v>
      </c>
      <c r="H287" s="30" t="n">
        <v>0.32</v>
      </c>
      <c r="I287" s="30" t="n">
        <v>489709</v>
      </c>
      <c r="J287" s="30" t="inlineStr">
        <is>
          <t>543417</t>
        </is>
      </c>
    </row>
    <row r="288">
      <c r="A288" s="30" t="inlineStr">
        <is>
          <t>MODISONLTD</t>
        </is>
      </c>
      <c r="B288" s="30" t="inlineStr">
        <is>
          <t>Modison Ltd</t>
        </is>
      </c>
      <c r="C288" s="30" t="inlineStr">
        <is>
          <t>industrials</t>
        </is>
      </c>
      <c r="D288" s="30" t="inlineStr">
        <is>
          <t>electric equipment</t>
        </is>
      </c>
      <c r="E288" s="30" t="inlineStr">
        <is>
          <t>smallcap</t>
        </is>
      </c>
      <c r="F288" s="30" t="n">
        <v>993.13</v>
      </c>
      <c r="G288" s="30" t="n">
        <v>307</v>
      </c>
      <c r="H288" s="30" t="n">
        <v>0.31</v>
      </c>
      <c r="I288" s="30" t="n">
        <v>175744</v>
      </c>
      <c r="J288" s="30" t="inlineStr">
        <is>
          <t>506261</t>
        </is>
      </c>
    </row>
    <row r="289">
      <c r="A289" s="30" t="inlineStr">
        <is>
          <t>SANSTAR</t>
        </is>
      </c>
      <c r="B289" s="30" t="inlineStr">
        <is>
          <t>Sanstar Ltd</t>
        </is>
      </c>
      <c r="C289" s="30" t="inlineStr">
        <is>
          <t>fmcg</t>
        </is>
      </c>
      <c r="D289" s="30" t="inlineStr">
        <is>
          <t>miscellaneous</t>
        </is>
      </c>
      <c r="E289" s="30" t="inlineStr">
        <is>
          <t>smallcap</t>
        </is>
      </c>
      <c r="F289" s="30" t="n">
        <v>2091.62</v>
      </c>
      <c r="G289" s="30" t="n">
        <v>115.12</v>
      </c>
      <c r="H289" s="30" t="n">
        <v>0.31</v>
      </c>
      <c r="I289" s="30" t="n">
        <v>499872</v>
      </c>
      <c r="J289" s="30" t="inlineStr">
        <is>
          <t>544217</t>
        </is>
      </c>
    </row>
    <row r="290">
      <c r="A290" s="30" t="inlineStr">
        <is>
          <t>GOODLUCK</t>
        </is>
      </c>
      <c r="B290" s="30" t="inlineStr">
        <is>
          <t>Goodluck India Limited</t>
        </is>
      </c>
      <c r="C290" s="30" t="inlineStr">
        <is>
          <t>metals &amp; mining</t>
        </is>
      </c>
      <c r="D290" s="30" t="inlineStr">
        <is>
          <t>steel - medium / small</t>
        </is>
      </c>
      <c r="E290" s="30" t="inlineStr">
        <is>
          <t>smallcap</t>
        </is>
      </c>
      <c r="F290" s="30" t="n">
        <v>4489.19</v>
      </c>
      <c r="G290" s="30" t="n">
        <v>1354.8</v>
      </c>
      <c r="H290" s="30" t="n">
        <v>0.31</v>
      </c>
      <c r="I290" s="30" t="n">
        <v>60579</v>
      </c>
      <c r="J290" s="30" t="inlineStr">
        <is>
          <t>530655</t>
        </is>
      </c>
    </row>
    <row r="291">
      <c r="A291" s="30" t="inlineStr">
        <is>
          <t>MEDANTA</t>
        </is>
      </c>
      <c r="B291" s="30" t="inlineStr">
        <is>
          <t>Global Health Ltd</t>
        </is>
      </c>
      <c r="C291" s="30" t="inlineStr">
        <is>
          <t>healthcare</t>
        </is>
      </c>
      <c r="D291" s="30" t="inlineStr">
        <is>
          <t>healthcare</t>
        </is>
      </c>
      <c r="E291" s="30" t="inlineStr">
        <is>
          <t>largecap</t>
        </is>
      </c>
      <c r="F291" s="30" t="n">
        <v>33717.07</v>
      </c>
      <c r="G291" s="30" t="n">
        <v>1258.2</v>
      </c>
      <c r="H291" s="30" t="n">
        <v>0.3</v>
      </c>
      <c r="I291" s="30" t="n">
        <v>396389</v>
      </c>
      <c r="J291" s="30" t="inlineStr">
        <is>
          <t>543654</t>
        </is>
      </c>
    </row>
    <row r="292">
      <c r="A292" s="30" t="inlineStr">
        <is>
          <t>HESTERBIO</t>
        </is>
      </c>
      <c r="B292" s="30" t="inlineStr">
        <is>
          <t>Hester Biosciences Limited</t>
        </is>
      </c>
      <c r="C292" s="30" t="inlineStr">
        <is>
          <t>healthcare</t>
        </is>
      </c>
      <c r="D292" s="30" t="inlineStr">
        <is>
          <t>pharmaceuticals - indian - formulations</t>
        </is>
      </c>
      <c r="E292" s="30" t="inlineStr">
        <is>
          <t>smallcap</t>
        </is>
      </c>
      <c r="F292" s="30" t="n">
        <v>1746.12</v>
      </c>
      <c r="G292" s="30" t="n">
        <v>2058.7</v>
      </c>
      <c r="H292" s="30" t="n">
        <v>0.3</v>
      </c>
      <c r="I292" s="30" t="n">
        <v>9589</v>
      </c>
      <c r="J292" s="30" t="inlineStr">
        <is>
          <t>524669</t>
        </is>
      </c>
    </row>
    <row r="293">
      <c r="A293" s="30" t="inlineStr">
        <is>
          <t>SWARAJENG</t>
        </is>
      </c>
      <c r="B293" s="30" t="inlineStr">
        <is>
          <t>Swaraj Engines Limited</t>
        </is>
      </c>
      <c r="C293" s="30" t="inlineStr">
        <is>
          <t>industrials</t>
        </is>
      </c>
      <c r="D293" s="30" t="inlineStr">
        <is>
          <t>engines</t>
        </is>
      </c>
      <c r="E293" s="30" t="inlineStr">
        <is>
          <t>smallcap</t>
        </is>
      </c>
      <c r="F293" s="30" t="n">
        <v>4691.18</v>
      </c>
      <c r="G293" s="30" t="n">
        <v>3872.3</v>
      </c>
      <c r="H293" s="30" t="n">
        <v>0.29</v>
      </c>
      <c r="I293" s="30" t="n">
        <v>9851</v>
      </c>
      <c r="J293" s="30" t="inlineStr">
        <is>
          <t>500407</t>
        </is>
      </c>
    </row>
    <row r="294">
      <c r="A294" s="30" t="inlineStr">
        <is>
          <t>INDUSINDBK</t>
        </is>
      </c>
      <c r="B294" s="30" t="inlineStr">
        <is>
          <t>Indusind Bank Limited</t>
        </is>
      </c>
      <c r="C294" s="30" t="inlineStr">
        <is>
          <t>bank</t>
        </is>
      </c>
      <c r="D294" s="30" t="inlineStr">
        <is>
          <t>banks - private sector</t>
        </is>
      </c>
      <c r="E294" s="30" t="inlineStr">
        <is>
          <t>largecap</t>
        </is>
      </c>
      <c r="F294" s="30" t="n">
        <v>72939.91</v>
      </c>
      <c r="G294" s="30" t="n">
        <v>938.75</v>
      </c>
      <c r="H294" s="30" t="n">
        <v>0.27</v>
      </c>
      <c r="I294" s="30" t="n">
        <v>1007080</v>
      </c>
      <c r="J294" s="30" t="inlineStr">
        <is>
          <t>532187</t>
        </is>
      </c>
    </row>
    <row r="295">
      <c r="A295" s="30" t="inlineStr">
        <is>
          <t>KTKBANK</t>
        </is>
      </c>
      <c r="B295" s="30" t="inlineStr">
        <is>
          <t>The Karnataka Bank Limited</t>
        </is>
      </c>
      <c r="C295" s="30" t="inlineStr">
        <is>
          <t>bank</t>
        </is>
      </c>
      <c r="D295" s="30" t="inlineStr">
        <is>
          <t>banks - private sector</t>
        </is>
      </c>
      <c r="E295" s="30" t="inlineStr">
        <is>
          <t>midcap</t>
        </is>
      </c>
      <c r="F295" s="30" t="n">
        <v>10480.16</v>
      </c>
      <c r="G295" s="30" t="n">
        <v>277.9</v>
      </c>
      <c r="H295" s="30" t="n">
        <v>0.27</v>
      </c>
      <c r="I295" s="30" t="n">
        <v>2191512</v>
      </c>
      <c r="J295" s="30" t="inlineStr">
        <is>
          <t>532652</t>
        </is>
      </c>
    </row>
    <row r="296">
      <c r="A296" s="30" t="inlineStr">
        <is>
          <t>SANSERA</t>
        </is>
      </c>
      <c r="B296" s="30" t="inlineStr">
        <is>
          <t>Sansera Engineering Ltd</t>
        </is>
      </c>
      <c r="C296" s="30" t="inlineStr">
        <is>
          <t>auto</t>
        </is>
      </c>
      <c r="D296" s="30" t="inlineStr">
        <is>
          <t>auto ancillaries</t>
        </is>
      </c>
      <c r="E296" s="30" t="inlineStr">
        <is>
          <t>midcap</t>
        </is>
      </c>
      <c r="F296" s="30" t="n">
        <v>17947.27</v>
      </c>
      <c r="G296" s="30" t="n">
        <v>2886.8</v>
      </c>
      <c r="H296" s="30" t="n">
        <v>0.26</v>
      </c>
      <c r="I296" s="30" t="n">
        <v>80030</v>
      </c>
      <c r="J296" s="30" t="inlineStr">
        <is>
          <t>543358</t>
        </is>
      </c>
    </row>
    <row r="297">
      <c r="A297" s="30" t="inlineStr">
        <is>
          <t>POLYCAB</t>
        </is>
      </c>
      <c r="B297" s="30" t="inlineStr">
        <is>
          <t>Polycab India Ltd</t>
        </is>
      </c>
      <c r="C297" s="30" t="inlineStr">
        <is>
          <t>industrials</t>
        </is>
      </c>
      <c r="D297" s="30" t="inlineStr">
        <is>
          <t>cables - power</t>
        </is>
      </c>
      <c r="E297" s="30" t="inlineStr">
        <is>
          <t>largecap</t>
        </is>
      </c>
      <c r="F297" s="30" t="n">
        <v>149443.96</v>
      </c>
      <c r="G297" s="30" t="n">
        <v>9952.5</v>
      </c>
      <c r="H297" s="30" t="n">
        <v>0.26</v>
      </c>
      <c r="I297" s="30" t="n">
        <v>264707</v>
      </c>
      <c r="J297" s="30" t="inlineStr">
        <is>
          <t>542652</t>
        </is>
      </c>
    </row>
    <row r="298">
      <c r="A298" s="30" t="inlineStr">
        <is>
          <t>SUNPHARMA</t>
        </is>
      </c>
      <c r="B298" s="30" t="inlineStr">
        <is>
          <t>Sun Pharmaceuticals Industries Limited</t>
        </is>
      </c>
      <c r="C298" s="30" t="inlineStr">
        <is>
          <t>healthcare</t>
        </is>
      </c>
      <c r="D298" s="30" t="inlineStr">
        <is>
          <t>pharmaceuticals - indian - bulk drugs &amp; formln</t>
        </is>
      </c>
      <c r="E298" s="30" t="inlineStr">
        <is>
          <t>largecap</t>
        </is>
      </c>
      <c r="F298" s="30" t="n">
        <v>436774.94</v>
      </c>
      <c r="G298" s="30" t="n">
        <v>1824.8</v>
      </c>
      <c r="H298" s="30" t="n">
        <v>0.24</v>
      </c>
      <c r="I298" s="30" t="n">
        <v>2054738</v>
      </c>
      <c r="J298" s="30" t="inlineStr">
        <is>
          <t>524715</t>
        </is>
      </c>
    </row>
    <row r="299">
      <c r="A299" s="30" t="inlineStr">
        <is>
          <t>BANDHANBNK</t>
        </is>
      </c>
      <c r="B299" s="30" t="inlineStr">
        <is>
          <t>Bandhan Bank Ltd</t>
        </is>
      </c>
      <c r="C299" s="30" t="inlineStr">
        <is>
          <t>bank</t>
        </is>
      </c>
      <c r="D299" s="30" t="inlineStr">
        <is>
          <t>banks - private sector</t>
        </is>
      </c>
      <c r="E299" s="30" t="inlineStr">
        <is>
          <t>largecap</t>
        </is>
      </c>
      <c r="F299" s="30" t="n">
        <v>34436.14</v>
      </c>
      <c r="G299" s="30" t="n">
        <v>214.28</v>
      </c>
      <c r="H299" s="30" t="n">
        <v>0.24</v>
      </c>
      <c r="I299" s="30" t="n">
        <v>4553796</v>
      </c>
      <c r="J299" s="30" t="inlineStr">
        <is>
          <t>541153</t>
        </is>
      </c>
    </row>
    <row r="300">
      <c r="A300" s="30" t="inlineStr">
        <is>
          <t>KRYSTAL</t>
        </is>
      </c>
      <c r="B300" s="30" t="inlineStr">
        <is>
          <t>Krystal Integrated Services Ltd</t>
        </is>
      </c>
      <c r="C300" s="30" t="inlineStr">
        <is>
          <t>miscellaneous</t>
        </is>
      </c>
      <c r="D300" s="30" t="inlineStr">
        <is>
          <t>miscellaneous</t>
        </is>
      </c>
      <c r="E300" s="30" t="inlineStr">
        <is>
          <t>smallcap</t>
        </is>
      </c>
      <c r="F300" s="30" t="n">
        <v>838.74</v>
      </c>
      <c r="G300" s="30" t="n">
        <v>601.65</v>
      </c>
      <c r="H300" s="30" t="n">
        <v>0.22</v>
      </c>
      <c r="I300" s="30" t="n">
        <v>11773</v>
      </c>
      <c r="J300" s="30" t="inlineStr">
        <is>
          <t>544149</t>
        </is>
      </c>
    </row>
    <row r="301">
      <c r="A301" s="30" t="inlineStr">
        <is>
          <t>BORORENEW</t>
        </is>
      </c>
      <c r="B301" s="30" t="inlineStr">
        <is>
          <t>Borosil Renewables Ltd</t>
        </is>
      </c>
      <c r="C301" s="30" t="inlineStr">
        <is>
          <t>building materials</t>
        </is>
      </c>
      <c r="D301" s="30" t="inlineStr">
        <is>
          <t>glass &amp; glass products</t>
        </is>
      </c>
      <c r="E301" s="30" t="inlineStr">
        <is>
          <t>midcap</t>
        </is>
      </c>
      <c r="F301" s="30" t="n">
        <v>8325.82</v>
      </c>
      <c r="G301" s="30" t="n">
        <v>595.2</v>
      </c>
      <c r="H301" s="30" t="n">
        <v>0.22</v>
      </c>
      <c r="I301" s="30" t="n">
        <v>747638</v>
      </c>
      <c r="J301" s="30" t="inlineStr">
        <is>
          <t>502219</t>
        </is>
      </c>
    </row>
    <row r="302">
      <c r="A302" s="30" t="inlineStr">
        <is>
          <t>WELCORP</t>
        </is>
      </c>
      <c r="B302" s="30" t="inlineStr">
        <is>
          <t>Welspun Corp Limited</t>
        </is>
      </c>
      <c r="C302" s="30" t="inlineStr">
        <is>
          <t>industrials</t>
        </is>
      </c>
      <c r="D302" s="30" t="inlineStr">
        <is>
          <t>steel - large</t>
        </is>
      </c>
      <c r="E302" s="30" t="inlineStr">
        <is>
          <t>largecap</t>
        </is>
      </c>
      <c r="F302" s="30" t="n">
        <v>36780.33</v>
      </c>
      <c r="G302" s="30" t="n">
        <v>1397.4</v>
      </c>
      <c r="H302" s="30" t="n">
        <v>0.22</v>
      </c>
      <c r="I302" s="30" t="n">
        <v>284832</v>
      </c>
      <c r="J302" s="30" t="inlineStr">
        <is>
          <t>532144</t>
        </is>
      </c>
    </row>
    <row r="303">
      <c r="A303" s="30" t="inlineStr">
        <is>
          <t>BFINVEST</t>
        </is>
      </c>
      <c r="B303" s="30" t="inlineStr">
        <is>
          <t>Bf Investment Limited</t>
        </is>
      </c>
      <c r="C303" s="30" t="inlineStr">
        <is>
          <t>financials</t>
        </is>
      </c>
      <c r="D303" s="30" t="inlineStr">
        <is>
          <t>finance &amp; investments</t>
        </is>
      </c>
      <c r="E303" s="30" t="inlineStr">
        <is>
          <t>smallcap</t>
        </is>
      </c>
      <c r="F303" s="30" t="n">
        <v>1702.58</v>
      </c>
      <c r="G303" s="30" t="n">
        <v>453</v>
      </c>
      <c r="H303" s="30" t="n">
        <v>0.22</v>
      </c>
      <c r="I303" s="30" t="n">
        <v>26097</v>
      </c>
      <c r="J303" s="30" t="inlineStr">
        <is>
          <t>533303</t>
        </is>
      </c>
    </row>
    <row r="304">
      <c r="A304" s="30" t="inlineStr">
        <is>
          <t>KDDL</t>
        </is>
      </c>
      <c r="B304" s="30" t="inlineStr">
        <is>
          <t>Kddl Limited</t>
        </is>
      </c>
      <c r="C304" s="30" t="inlineStr">
        <is>
          <t>consumer discretionary</t>
        </is>
      </c>
      <c r="D304" s="30" t="inlineStr">
        <is>
          <t>miscellaneous</t>
        </is>
      </c>
      <c r="E304" s="30" t="inlineStr">
        <is>
          <t>smallcap</t>
        </is>
      </c>
      <c r="F304" s="30" t="n">
        <v>3570.85</v>
      </c>
      <c r="G304" s="30" t="n">
        <v>2908.8</v>
      </c>
      <c r="H304" s="30" t="n">
        <v>0.19</v>
      </c>
      <c r="I304" s="30" t="n">
        <v>11620</v>
      </c>
      <c r="J304" s="30" t="inlineStr">
        <is>
          <t>532054</t>
        </is>
      </c>
    </row>
    <row r="305">
      <c r="A305" s="30" t="inlineStr">
        <is>
          <t>PIDILITIND</t>
        </is>
      </c>
      <c r="B305" s="30" t="inlineStr">
        <is>
          <t>Pidilite Industries Limited</t>
        </is>
      </c>
      <c r="C305" s="30" t="inlineStr">
        <is>
          <t>chemicals</t>
        </is>
      </c>
      <c r="D305" s="30" t="inlineStr">
        <is>
          <t>chemicals</t>
        </is>
      </c>
      <c r="E305" s="30" t="inlineStr">
        <is>
          <t>largecap</t>
        </is>
      </c>
      <c r="F305" s="30" t="n">
        <v>160623.88</v>
      </c>
      <c r="G305" s="30" t="n">
        <v>1581.1</v>
      </c>
      <c r="H305" s="30" t="n">
        <v>0.18</v>
      </c>
      <c r="I305" s="30" t="n">
        <v>759760</v>
      </c>
      <c r="J305" s="30" t="inlineStr">
        <is>
          <t>500331</t>
        </is>
      </c>
    </row>
    <row r="306">
      <c r="A306" s="30" t="inlineStr">
        <is>
          <t>PREMIERENE</t>
        </is>
      </c>
      <c r="B306" s="30" t="inlineStr">
        <is>
          <t>Premier Energies Ltd</t>
        </is>
      </c>
      <c r="C306" s="30" t="inlineStr">
        <is>
          <t>services</t>
        </is>
      </c>
      <c r="D306" s="30" t="inlineStr">
        <is>
          <t>trading</t>
        </is>
      </c>
      <c r="E306" s="30" t="inlineStr">
        <is>
          <t>largecap</t>
        </is>
      </c>
      <c r="F306" s="30" t="n">
        <v>47827.15</v>
      </c>
      <c r="G306" s="30" t="n">
        <v>1057.7</v>
      </c>
      <c r="H306" s="30" t="n">
        <v>0.18</v>
      </c>
      <c r="I306" s="30" t="n">
        <v>959162</v>
      </c>
      <c r="J306" s="30" t="n"/>
    </row>
    <row r="307">
      <c r="A307" s="30" t="inlineStr">
        <is>
          <t>TITAN</t>
        </is>
      </c>
      <c r="B307" s="30" t="inlineStr">
        <is>
          <t>Titan Company Limited</t>
        </is>
      </c>
      <c r="C307" s="30" t="inlineStr">
        <is>
          <t>consumer discretionary</t>
        </is>
      </c>
      <c r="D307" s="30" t="inlineStr">
        <is>
          <t>diamond cutting / jewellery</t>
        </is>
      </c>
      <c r="E307" s="30" t="inlineStr">
        <is>
          <t>largecap</t>
        </is>
      </c>
      <c r="F307" s="30" t="n">
        <v>388894.73</v>
      </c>
      <c r="G307" s="30" t="n">
        <v>4387.9</v>
      </c>
      <c r="H307" s="30" t="n">
        <v>0.17</v>
      </c>
      <c r="I307" s="30" t="n">
        <v>562833</v>
      </c>
      <c r="J307" s="30" t="inlineStr">
        <is>
          <t>500114</t>
        </is>
      </c>
    </row>
    <row r="308">
      <c r="A308" s="30" t="inlineStr">
        <is>
          <t>THYROCARE</t>
        </is>
      </c>
      <c r="B308" s="30" t="inlineStr">
        <is>
          <t>Thyrocare Technologies Limited</t>
        </is>
      </c>
      <c r="C308" s="30" t="inlineStr">
        <is>
          <t>healthcare</t>
        </is>
      </c>
      <c r="D308" s="30" t="inlineStr">
        <is>
          <t>healthcare</t>
        </is>
      </c>
      <c r="E308" s="30" t="inlineStr">
        <is>
          <t>midcap</t>
        </is>
      </c>
      <c r="F308" s="30" t="n">
        <v>8491.469999999999</v>
      </c>
      <c r="G308" s="30" t="n">
        <v>534.4</v>
      </c>
      <c r="H308" s="30" t="n">
        <v>0.17</v>
      </c>
      <c r="I308" s="30" t="n">
        <v>475384</v>
      </c>
      <c r="J308" s="30" t="inlineStr">
        <is>
          <t>539871</t>
        </is>
      </c>
    </row>
    <row r="309">
      <c r="A309" s="30" t="inlineStr">
        <is>
          <t>BELRISE</t>
        </is>
      </c>
      <c r="B309" s="30" t="inlineStr">
        <is>
          <t>Belrise Industries Ltd</t>
        </is>
      </c>
      <c r="C309" s="30" t="inlineStr">
        <is>
          <t>auto</t>
        </is>
      </c>
      <c r="D309" s="30" t="inlineStr">
        <is>
          <t>auto ancillaries</t>
        </is>
      </c>
      <c r="E309" s="30" t="inlineStr">
        <is>
          <t>largecap</t>
        </is>
      </c>
      <c r="F309" s="30" t="n">
        <v>21254.76</v>
      </c>
      <c r="G309" s="30" t="n">
        <v>239.24</v>
      </c>
      <c r="H309" s="30" t="n">
        <v>0.16</v>
      </c>
      <c r="I309" s="30" t="n">
        <v>1953387</v>
      </c>
      <c r="J309" s="30" t="n"/>
    </row>
    <row r="310">
      <c r="A310" s="30" t="inlineStr">
        <is>
          <t>ADVENZYMES</t>
        </is>
      </c>
      <c r="B310" s="30" t="inlineStr">
        <is>
          <t>Advanced Enzyme Technologies Limited</t>
        </is>
      </c>
      <c r="C310" s="30" t="inlineStr">
        <is>
          <t>healthcare</t>
        </is>
      </c>
      <c r="D310" s="30" t="inlineStr">
        <is>
          <t>pharmaceuticals - indian - bulk drugs &amp; formln</t>
        </is>
      </c>
      <c r="E310" s="30" t="inlineStr">
        <is>
          <t>smallcap</t>
        </is>
      </c>
      <c r="F310" s="30" t="n">
        <v>4172.63</v>
      </c>
      <c r="G310" s="30" t="n">
        <v>373.4</v>
      </c>
      <c r="H310" s="30" t="n">
        <v>0.16</v>
      </c>
      <c r="I310" s="30" t="n">
        <v>65108</v>
      </c>
      <c r="J310" s="30" t="inlineStr">
        <is>
          <t>540025</t>
        </is>
      </c>
    </row>
    <row r="311">
      <c r="A311" s="30" t="inlineStr">
        <is>
          <t>RAJRATAN</t>
        </is>
      </c>
      <c r="B311" s="30" t="inlineStr">
        <is>
          <t>Rajratan Global Wire Ltd</t>
        </is>
      </c>
      <c r="C311" s="30" t="inlineStr">
        <is>
          <t>metals &amp; mining</t>
        </is>
      </c>
      <c r="D311" s="30" t="inlineStr">
        <is>
          <t>steel - medium / small</t>
        </is>
      </c>
      <c r="E311" s="30" t="inlineStr">
        <is>
          <t>smallcap</t>
        </is>
      </c>
      <c r="F311" s="30" t="n">
        <v>2304.75</v>
      </c>
      <c r="G311" s="30" t="n">
        <v>454.6</v>
      </c>
      <c r="H311" s="30" t="n">
        <v>0.14</v>
      </c>
      <c r="I311" s="30" t="n">
        <v>34882</v>
      </c>
      <c r="J311" s="30" t="inlineStr">
        <is>
          <t>517522</t>
        </is>
      </c>
    </row>
    <row r="312">
      <c r="A312" s="30" t="inlineStr">
        <is>
          <t>ADOR</t>
        </is>
      </c>
      <c r="B312" s="30" t="inlineStr">
        <is>
          <t>Ador Welding Ltd</t>
        </is>
      </c>
      <c r="C312" s="30" t="inlineStr">
        <is>
          <t>industrials</t>
        </is>
      </c>
      <c r="D312" s="30" t="inlineStr">
        <is>
          <t>electrodes - welding equipment</t>
        </is>
      </c>
      <c r="E312" s="30" t="inlineStr">
        <is>
          <t>smallcap</t>
        </is>
      </c>
      <c r="F312" s="30" t="n">
        <v>2041.52</v>
      </c>
      <c r="G312" s="30" t="n">
        <v>1174.8</v>
      </c>
      <c r="H312" s="30" t="n">
        <v>0.14</v>
      </c>
      <c r="I312" s="30" t="n">
        <v>17032</v>
      </c>
      <c r="J312" s="30" t="inlineStr">
        <is>
          <t>517041</t>
        </is>
      </c>
    </row>
    <row r="313">
      <c r="A313" s="30" t="inlineStr">
        <is>
          <t>MANORAMA</t>
        </is>
      </c>
      <c r="B313" s="30" t="inlineStr">
        <is>
          <t>Manorama Industries Ltd</t>
        </is>
      </c>
      <c r="C313" s="30" t="inlineStr">
        <is>
          <t>fmcg</t>
        </is>
      </c>
      <c r="D313" s="30" t="inlineStr">
        <is>
          <t>food - processing - indian</t>
        </is>
      </c>
      <c r="E313" s="30" t="inlineStr">
        <is>
          <t>midcap</t>
        </is>
      </c>
      <c r="F313" s="30" t="n">
        <v>9118.690000000001</v>
      </c>
      <c r="G313" s="30" t="n">
        <v>1529.3</v>
      </c>
      <c r="H313" s="30" t="n">
        <v>0.14</v>
      </c>
      <c r="I313" s="30" t="n">
        <v>102995</v>
      </c>
      <c r="J313" s="30" t="inlineStr">
        <is>
          <t>541974</t>
        </is>
      </c>
    </row>
    <row r="314">
      <c r="A314" s="30" t="inlineStr">
        <is>
          <t>FEDFINA</t>
        </is>
      </c>
      <c r="B314" s="30" t="inlineStr">
        <is>
          <t>Fedbank Financial Services Ltd</t>
        </is>
      </c>
      <c r="C314" s="30" t="inlineStr">
        <is>
          <t>financials</t>
        </is>
      </c>
      <c r="D314" s="30" t="inlineStr">
        <is>
          <t>finance &amp; investments</t>
        </is>
      </c>
      <c r="E314" s="30" t="inlineStr">
        <is>
          <t>midcap</t>
        </is>
      </c>
      <c r="F314" s="30" t="n">
        <v>5973.83</v>
      </c>
      <c r="G314" s="30" t="n">
        <v>159.78</v>
      </c>
      <c r="H314" s="30" t="n">
        <v>0.09</v>
      </c>
      <c r="I314" s="30" t="n">
        <v>1107590</v>
      </c>
      <c r="J314" s="30" t="inlineStr">
        <is>
          <t>544027</t>
        </is>
      </c>
    </row>
    <row r="315">
      <c r="A315" s="30" t="inlineStr">
        <is>
          <t>PRIMESECU</t>
        </is>
      </c>
      <c r="B315" s="30" t="inlineStr">
        <is>
          <t>Prime Securities Limited</t>
        </is>
      </c>
      <c r="C315" s="30" t="inlineStr">
        <is>
          <t>financials</t>
        </is>
      </c>
      <c r="D315" s="30" t="inlineStr">
        <is>
          <t>finance &amp; investments</t>
        </is>
      </c>
      <c r="E315" s="30" t="inlineStr">
        <is>
          <t>smallcap</t>
        </is>
      </c>
      <c r="F315" s="30" t="n">
        <v>990.4</v>
      </c>
      <c r="G315" s="30" t="n">
        <v>292.4</v>
      </c>
      <c r="H315" s="30" t="n">
        <v>0.09</v>
      </c>
      <c r="I315" s="30" t="n">
        <v>12897</v>
      </c>
      <c r="J315" s="30" t="inlineStr">
        <is>
          <t>500337</t>
        </is>
      </c>
    </row>
    <row r="316">
      <c r="A316" s="30" t="inlineStr">
        <is>
          <t>MAYURUNIQ</t>
        </is>
      </c>
      <c r="B316" s="30" t="inlineStr">
        <is>
          <t>Mayur Uniquoters Ltd</t>
        </is>
      </c>
      <c r="C316" s="30" t="inlineStr">
        <is>
          <t>consumer discretionary</t>
        </is>
      </c>
      <c r="D316" s="30" t="inlineStr">
        <is>
          <t>leather / leather products</t>
        </is>
      </c>
      <c r="E316" s="30" t="inlineStr">
        <is>
          <t>smallcap</t>
        </is>
      </c>
      <c r="F316" s="30" t="n">
        <v>3592.44</v>
      </c>
      <c r="G316" s="30" t="n">
        <v>827.45</v>
      </c>
      <c r="H316" s="30" t="n">
        <v>0.08</v>
      </c>
      <c r="I316" s="30" t="n">
        <v>88350</v>
      </c>
      <c r="J316" s="30" t="inlineStr">
        <is>
          <t>522249</t>
        </is>
      </c>
    </row>
    <row r="317">
      <c r="A317" s="30" t="inlineStr">
        <is>
          <t>SOUTHBANK</t>
        </is>
      </c>
      <c r="B317" s="30" t="inlineStr">
        <is>
          <t>The South Indian Bank Limited</t>
        </is>
      </c>
      <c r="C317" s="30" t="inlineStr">
        <is>
          <t>bank</t>
        </is>
      </c>
      <c r="D317" s="30" t="inlineStr">
        <is>
          <t>banks - private sector</t>
        </is>
      </c>
      <c r="E317" s="30" t="inlineStr">
        <is>
          <t>midcap</t>
        </is>
      </c>
      <c r="F317" s="30" t="n">
        <v>12682.12</v>
      </c>
      <c r="G317" s="30" t="n">
        <v>48.49</v>
      </c>
      <c r="H317" s="30" t="n">
        <v>0.08</v>
      </c>
      <c r="I317" s="30" t="n">
        <v>20768658</v>
      </c>
      <c r="J317" s="30" t="inlineStr">
        <is>
          <t>532218</t>
        </is>
      </c>
    </row>
    <row r="318">
      <c r="A318" s="30" t="inlineStr">
        <is>
          <t>CERA</t>
        </is>
      </c>
      <c r="B318" s="30" t="inlineStr">
        <is>
          <t>Cera Sanitaryware Limited</t>
        </is>
      </c>
      <c r="C318" s="30" t="inlineStr">
        <is>
          <t>building materials</t>
        </is>
      </c>
      <c r="D318" s="30" t="inlineStr">
        <is>
          <t>ceramics - tiles / sanitaryware</t>
        </is>
      </c>
      <c r="E318" s="30" t="inlineStr">
        <is>
          <t>midcap</t>
        </is>
      </c>
      <c r="F318" s="30" t="n">
        <v>7939.73</v>
      </c>
      <c r="G318" s="30" t="n">
        <v>6160</v>
      </c>
      <c r="H318" s="30" t="n">
        <v>0.07000000000000001</v>
      </c>
      <c r="I318" s="30" t="n">
        <v>6749</v>
      </c>
      <c r="J318" s="30" t="inlineStr">
        <is>
          <t>532443</t>
        </is>
      </c>
    </row>
    <row r="319">
      <c r="A319" s="30" t="inlineStr">
        <is>
          <t>BAJFINANCE</t>
        </is>
      </c>
      <c r="B319" s="30" t="inlineStr">
        <is>
          <t>Bajaj Finance Limited</t>
        </is>
      </c>
      <c r="C319" s="30" t="inlineStr">
        <is>
          <t>financials</t>
        </is>
      </c>
      <c r="D319" s="30" t="inlineStr">
        <is>
          <t>finance &amp; investments</t>
        </is>
      </c>
      <c r="E319" s="30" t="inlineStr">
        <is>
          <t>largecap</t>
        </is>
      </c>
      <c r="F319" s="30" t="n">
        <v>596362.66</v>
      </c>
      <c r="G319" s="30" t="n">
        <v>958.85</v>
      </c>
      <c r="H319" s="30" t="n">
        <v>0.05</v>
      </c>
      <c r="I319" s="30" t="n">
        <v>5750456</v>
      </c>
      <c r="J319" s="30" t="inlineStr">
        <is>
          <t>500034</t>
        </is>
      </c>
    </row>
    <row r="320">
      <c r="A320" s="30" t="inlineStr">
        <is>
          <t>SIMPLEXINF</t>
        </is>
      </c>
      <c r="B320" s="30" t="inlineStr">
        <is>
          <t>Simplex Infrastructures Limited</t>
        </is>
      </c>
      <c r="C320" s="30" t="inlineStr">
        <is>
          <t>realty</t>
        </is>
      </c>
      <c r="D320" s="30" t="inlineStr">
        <is>
          <t>construction</t>
        </is>
      </c>
      <c r="E320" s="30" t="inlineStr">
        <is>
          <t>smallcap</t>
        </is>
      </c>
      <c r="F320" s="30" t="n">
        <v>2229.3</v>
      </c>
      <c r="G320" s="30" t="n">
        <v>282</v>
      </c>
      <c r="H320" s="30" t="n">
        <v>0.05</v>
      </c>
      <c r="I320" s="30" t="n">
        <v>512152</v>
      </c>
      <c r="J320" s="30" t="inlineStr">
        <is>
          <t>523838</t>
        </is>
      </c>
    </row>
    <row r="321">
      <c r="A321" s="30" t="inlineStr">
        <is>
          <t>ACMESOLAR</t>
        </is>
      </c>
      <c r="B321" s="30" t="inlineStr">
        <is>
          <t>ACME Solar Holdings Ltd</t>
        </is>
      </c>
      <c r="C321" s="30" t="inlineStr">
        <is>
          <t>realty</t>
        </is>
      </c>
      <c r="D321" s="30" t="inlineStr">
        <is>
          <t>engineering - turnkey services</t>
        </is>
      </c>
      <c r="E321" s="30" t="inlineStr">
        <is>
          <t>largecap</t>
        </is>
      </c>
      <c r="F321" s="30" t="n">
        <v>23430.08</v>
      </c>
      <c r="G321" s="30" t="n">
        <v>331.9</v>
      </c>
      <c r="H321" s="30" t="n">
        <v>0.03</v>
      </c>
      <c r="I321" s="30" t="n">
        <v>1091315</v>
      </c>
      <c r="J321" s="30" t="inlineStr">
        <is>
          <t>544283</t>
        </is>
      </c>
    </row>
    <row r="322">
      <c r="A322" s="30" t="inlineStr">
        <is>
          <t>KARURVYSYA</t>
        </is>
      </c>
      <c r="B322" s="30" t="inlineStr">
        <is>
          <t>Karur Vysya Bank Limited</t>
        </is>
      </c>
      <c r="C322" s="30" t="inlineStr">
        <is>
          <t>bank</t>
        </is>
      </c>
      <c r="D322" s="30" t="inlineStr">
        <is>
          <t>banks - private sector</t>
        </is>
      </c>
      <c r="E322" s="30" t="inlineStr">
        <is>
          <t>largecap</t>
        </is>
      </c>
      <c r="F322" s="30" t="n">
        <v>28680.39</v>
      </c>
      <c r="G322" s="30" t="n">
        <v>296.75</v>
      </c>
      <c r="H322" s="30" t="n">
        <v>0.02</v>
      </c>
      <c r="I322" s="30" t="n">
        <v>1739397</v>
      </c>
      <c r="J322" s="30" t="inlineStr">
        <is>
          <t>590003</t>
        </is>
      </c>
    </row>
    <row r="323">
      <c r="A323" s="30" t="inlineStr">
        <is>
          <t>CRAFTSMAN</t>
        </is>
      </c>
      <c r="B323" s="30" t="inlineStr">
        <is>
          <t>Craftsman Automation Ltd</t>
        </is>
      </c>
      <c r="C323" s="30" t="inlineStr">
        <is>
          <t>auto</t>
        </is>
      </c>
      <c r="D323" s="30" t="inlineStr">
        <is>
          <t>auto ancillaries</t>
        </is>
      </c>
      <c r="E323" s="30" t="inlineStr">
        <is>
          <t>largecap</t>
        </is>
      </c>
      <c r="F323" s="30" t="n">
        <v>22659.23</v>
      </c>
      <c r="G323" s="30" t="n">
        <v>9500</v>
      </c>
      <c r="H323" s="30" t="n">
        <v>0.02</v>
      </c>
      <c r="I323" s="30" t="n">
        <v>37642</v>
      </c>
      <c r="J323" s="30" t="inlineStr">
        <is>
          <t>543276</t>
        </is>
      </c>
    </row>
    <row r="324">
      <c r="A324" s="30" t="inlineStr">
        <is>
          <t>TRIVENI</t>
        </is>
      </c>
      <c r="B324" s="30" t="inlineStr">
        <is>
          <t>Triveni Engineering &amp; Industries Limited</t>
        </is>
      </c>
      <c r="C324" s="30" t="inlineStr">
        <is>
          <t>fmcg</t>
        </is>
      </c>
      <c r="D324" s="30" t="inlineStr">
        <is>
          <t>sugar</t>
        </is>
      </c>
      <c r="E324" s="30" t="inlineStr">
        <is>
          <t>midcap</t>
        </is>
      </c>
      <c r="F324" s="30" t="n">
        <v>8876.309999999999</v>
      </c>
      <c r="G324" s="30" t="n">
        <v>405.55</v>
      </c>
      <c r="H324" s="30" t="n">
        <v>0.01</v>
      </c>
      <c r="I324" s="30" t="n">
        <v>452814</v>
      </c>
      <c r="J324" s="30" t="inlineStr">
        <is>
          <t>532356</t>
        </is>
      </c>
    </row>
    <row r="325">
      <c r="A325" s="30" t="inlineStr">
        <is>
          <t>RBLBANK</t>
        </is>
      </c>
      <c r="B325" s="30" t="inlineStr">
        <is>
          <t>Rbl Bank Limited</t>
        </is>
      </c>
      <c r="C325" s="30" t="inlineStr">
        <is>
          <t>bank</t>
        </is>
      </c>
      <c r="D325" s="30" t="inlineStr">
        <is>
          <t>banks - private sector</t>
        </is>
      </c>
      <c r="E325" s="30" t="inlineStr">
        <is>
          <t>largecap</t>
        </is>
      </c>
      <c r="F325" s="30" t="n">
        <v>22820.67</v>
      </c>
      <c r="G325" s="30" t="n">
        <v>369.25</v>
      </c>
      <c r="H325" s="30" t="n">
        <v>0.01</v>
      </c>
      <c r="I325" s="30" t="n">
        <v>5075765</v>
      </c>
      <c r="J325" s="30" t="inlineStr">
        <is>
          <t>540065</t>
        </is>
      </c>
    </row>
    <row r="326">
      <c r="A326" s="30" t="inlineStr">
        <is>
          <t>AEGISLOG</t>
        </is>
      </c>
      <c r="B326" s="30" t="inlineStr">
        <is>
          <t>Aegis Logistics Ltd</t>
        </is>
      </c>
      <c r="C326" s="30" t="inlineStr">
        <is>
          <t>services</t>
        </is>
      </c>
      <c r="D326" s="30" t="inlineStr">
        <is>
          <t>trading</t>
        </is>
      </c>
      <c r="E326" s="30" t="inlineStr">
        <is>
          <t>largecap</t>
        </is>
      </c>
      <c r="F326" s="30" t="n">
        <v>35343.95</v>
      </c>
      <c r="G326" s="30" t="n">
        <v>1006.9</v>
      </c>
      <c r="H326" s="30" t="n">
        <v>-0.01</v>
      </c>
      <c r="I326" s="30" t="n">
        <v>1028367</v>
      </c>
      <c r="J326" s="30" t="inlineStr">
        <is>
          <t>500003</t>
        </is>
      </c>
    </row>
    <row r="327">
      <c r="A327" s="30" t="inlineStr">
        <is>
          <t>JSWDULUX</t>
        </is>
      </c>
      <c r="B327" s="30" t="inlineStr">
        <is>
          <t>JSW Dulux Ltd</t>
        </is>
      </c>
      <c r="C327" s="30" t="inlineStr">
        <is>
          <t>building materials</t>
        </is>
      </c>
      <c r="D327" s="30" t="inlineStr">
        <is>
          <t>paints / varnishes</t>
        </is>
      </c>
      <c r="E327" s="30" t="inlineStr">
        <is>
          <t>midcap</t>
        </is>
      </c>
      <c r="F327" s="30" t="n">
        <v>14716.81</v>
      </c>
      <c r="G327" s="30" t="n">
        <v>3230.9</v>
      </c>
      <c r="H327" s="30" t="n">
        <v>-0.02</v>
      </c>
      <c r="I327" s="30" t="n">
        <v>20960</v>
      </c>
      <c r="J327" s="30" t="inlineStr">
        <is>
          <t>500710</t>
        </is>
      </c>
    </row>
    <row r="328">
      <c r="A328" s="30" t="inlineStr">
        <is>
          <t>J&amp;KBANK</t>
        </is>
      </c>
      <c r="B328" s="30" t="inlineStr">
        <is>
          <t>The Jammu &amp; Kashmir Bank Limited</t>
        </is>
      </c>
      <c r="C328" s="30" t="inlineStr">
        <is>
          <t>bank</t>
        </is>
      </c>
      <c r="D328" s="30" t="inlineStr">
        <is>
          <t>banks - private sector</t>
        </is>
      </c>
      <c r="E328" s="30" t="inlineStr">
        <is>
          <t>midcap</t>
        </is>
      </c>
      <c r="F328" s="30" t="n">
        <v>17943.77</v>
      </c>
      <c r="G328" s="30" t="n">
        <v>162.9</v>
      </c>
      <c r="H328" s="30" t="n">
        <v>-0.03</v>
      </c>
      <c r="I328" s="30" t="n">
        <v>3378870</v>
      </c>
      <c r="J328" s="30" t="inlineStr">
        <is>
          <t>532209</t>
        </is>
      </c>
    </row>
    <row r="329">
      <c r="A329" s="30" t="inlineStr">
        <is>
          <t>MSTCLTD</t>
        </is>
      </c>
      <c r="B329" s="30" t="inlineStr">
        <is>
          <t>MSTC Ltd</t>
        </is>
      </c>
      <c r="C329" s="30" t="inlineStr">
        <is>
          <t>i.t</t>
        </is>
      </c>
      <c r="D329" s="30" t="inlineStr">
        <is>
          <t>trading</t>
        </is>
      </c>
      <c r="E329" s="30" t="inlineStr">
        <is>
          <t>smallcap</t>
        </is>
      </c>
      <c r="F329" s="30" t="n">
        <v>4842.11</v>
      </c>
      <c r="G329" s="30" t="n">
        <v>687.6</v>
      </c>
      <c r="H329" s="30" t="n">
        <v>-0.03</v>
      </c>
      <c r="I329" s="30" t="n">
        <v>1885483</v>
      </c>
      <c r="J329" s="30" t="inlineStr">
        <is>
          <t>542597</t>
        </is>
      </c>
    </row>
    <row r="330">
      <c r="A330" s="30" t="inlineStr">
        <is>
          <t>MUFIN</t>
        </is>
      </c>
      <c r="B330" s="30" t="inlineStr">
        <is>
          <t>Mufin Green Finance Ltd</t>
        </is>
      </c>
      <c r="C330" s="30" t="inlineStr">
        <is>
          <t>financials</t>
        </is>
      </c>
      <c r="D330" s="30" t="inlineStr">
        <is>
          <t>finance &amp; investments</t>
        </is>
      </c>
      <c r="E330" s="30" t="inlineStr">
        <is>
          <t>smallcap</t>
        </is>
      </c>
      <c r="F330" s="30" t="n">
        <v>2550.55</v>
      </c>
      <c r="G330" s="30" t="n">
        <v>128.66</v>
      </c>
      <c r="H330" s="30" t="n">
        <v>-0.04</v>
      </c>
      <c r="I330" s="30" t="n">
        <v>1621337</v>
      </c>
      <c r="J330" s="30" t="inlineStr">
        <is>
          <t>542774</t>
        </is>
      </c>
    </row>
    <row r="331">
      <c r="A331" s="30" t="inlineStr">
        <is>
          <t>OBEROIRLTY</t>
        </is>
      </c>
      <c r="B331" s="30" t="inlineStr">
        <is>
          <t>Oberoi Realty Limited</t>
        </is>
      </c>
      <c r="C331" s="30" t="inlineStr">
        <is>
          <t>realty</t>
        </is>
      </c>
      <c r="D331" s="30" t="inlineStr">
        <is>
          <t>construction</t>
        </is>
      </c>
      <c r="E331" s="30" t="inlineStr">
        <is>
          <t>largecap</t>
        </is>
      </c>
      <c r="F331" s="30" t="n">
        <v>61623.31</v>
      </c>
      <c r="G331" s="30" t="n">
        <v>1694.2</v>
      </c>
      <c r="H331" s="30" t="n">
        <v>-0.04</v>
      </c>
      <c r="I331" s="30" t="n">
        <v>313625</v>
      </c>
      <c r="J331" s="30" t="inlineStr">
        <is>
          <t>533273</t>
        </is>
      </c>
    </row>
    <row r="332">
      <c r="A332" s="30" t="inlineStr">
        <is>
          <t>PITTIENG</t>
        </is>
      </c>
      <c r="B332" s="30" t="inlineStr">
        <is>
          <t>Pitti Engineering Ltd</t>
        </is>
      </c>
      <c r="C332" s="30" t="inlineStr">
        <is>
          <t>industrials</t>
        </is>
      </c>
      <c r="D332" s="30" t="inlineStr">
        <is>
          <t>engineering</t>
        </is>
      </c>
      <c r="E332" s="30" t="inlineStr">
        <is>
          <t>smallcap</t>
        </is>
      </c>
      <c r="F332" s="30" t="n">
        <v>3735.8</v>
      </c>
      <c r="G332" s="30" t="n">
        <v>991.65</v>
      </c>
      <c r="H332" s="30" t="n">
        <v>-0.05</v>
      </c>
      <c r="I332" s="30" t="n">
        <v>15813</v>
      </c>
      <c r="J332" s="30" t="inlineStr">
        <is>
          <t>513519</t>
        </is>
      </c>
    </row>
    <row r="333">
      <c r="A333" s="30" t="inlineStr">
        <is>
          <t>MANALIPETC</t>
        </is>
      </c>
      <c r="B333" s="30" t="inlineStr">
        <is>
          <t>Manali Petrochemicals Limited</t>
        </is>
      </c>
      <c r="C333" s="30" t="inlineStr">
        <is>
          <t>energy</t>
        </is>
      </c>
      <c r="D333" s="30" t="inlineStr">
        <is>
          <t>petrochemicals</t>
        </is>
      </c>
      <c r="E333" s="30" t="inlineStr">
        <is>
          <t>smallcap</t>
        </is>
      </c>
      <c r="F333" s="30" t="n">
        <v>1145.34</v>
      </c>
      <c r="G333" s="30" t="n">
        <v>66.55</v>
      </c>
      <c r="H333" s="30" t="n">
        <v>-0.06</v>
      </c>
      <c r="I333" s="30" t="n">
        <v>441678</v>
      </c>
      <c r="J333" s="30" t="inlineStr">
        <is>
          <t>500268</t>
        </is>
      </c>
    </row>
    <row r="334">
      <c r="A334" s="30" t="inlineStr">
        <is>
          <t>LAURUSLABS</t>
        </is>
      </c>
      <c r="B334" s="30" t="inlineStr">
        <is>
          <t>Laurus Labs Limited</t>
        </is>
      </c>
      <c r="C334" s="30" t="inlineStr">
        <is>
          <t>healthcare</t>
        </is>
      </c>
      <c r="D334" s="30" t="inlineStr">
        <is>
          <t>pharmaceuticals - indian - bulk drugs &amp; formln</t>
        </is>
      </c>
      <c r="E334" s="30" t="inlineStr">
        <is>
          <t>largecap</t>
        </is>
      </c>
      <c r="F334" s="30" t="n">
        <v>73949.55</v>
      </c>
      <c r="G334" s="30" t="n">
        <v>1368.8</v>
      </c>
      <c r="H334" s="30" t="n">
        <v>-0.07000000000000001</v>
      </c>
      <c r="I334" s="30" t="n">
        <v>1650715</v>
      </c>
      <c r="J334" s="30" t="inlineStr">
        <is>
          <t>540222</t>
        </is>
      </c>
    </row>
    <row r="335">
      <c r="A335" s="30" t="inlineStr">
        <is>
          <t>INDIANB</t>
        </is>
      </c>
      <c r="B335" s="30" t="inlineStr">
        <is>
          <t>Indian Bank Ltd</t>
        </is>
      </c>
      <c r="C335" s="30" t="inlineStr">
        <is>
          <t>bank</t>
        </is>
      </c>
      <c r="D335" s="30" t="inlineStr">
        <is>
          <t>banks - public sector</t>
        </is>
      </c>
      <c r="E335" s="30" t="inlineStr">
        <is>
          <t>largecap</t>
        </is>
      </c>
      <c r="F335" s="30" t="n">
        <v>118041.19</v>
      </c>
      <c r="G335" s="30" t="n">
        <v>875.7</v>
      </c>
      <c r="H335" s="30" t="n">
        <v>-0.07000000000000001</v>
      </c>
      <c r="I335" s="30" t="n">
        <v>1025452</v>
      </c>
      <c r="J335" s="30" t="inlineStr">
        <is>
          <t>532814</t>
        </is>
      </c>
    </row>
    <row r="336">
      <c r="A336" s="30" t="inlineStr">
        <is>
          <t>NOVARTIND</t>
        </is>
      </c>
      <c r="B336" s="30" t="inlineStr">
        <is>
          <t>Novartis India Ltd</t>
        </is>
      </c>
      <c r="C336" s="30" t="inlineStr">
        <is>
          <t>healthcare</t>
        </is>
      </c>
      <c r="D336" s="30" t="inlineStr">
        <is>
          <t>pharmaceuticals - multinational</t>
        </is>
      </c>
      <c r="E336" s="30" t="inlineStr">
        <is>
          <t>smallcap</t>
        </is>
      </c>
      <c r="F336" s="30" t="n">
        <v>3371.78</v>
      </c>
      <c r="G336" s="30" t="n">
        <v>1364.3</v>
      </c>
      <c r="H336" s="30" t="n">
        <v>-0.1</v>
      </c>
      <c r="I336" s="30" t="n">
        <v>11042</v>
      </c>
      <c r="J336" s="30" t="inlineStr">
        <is>
          <t>500672</t>
        </is>
      </c>
    </row>
    <row r="337">
      <c r="A337" s="30" t="inlineStr">
        <is>
          <t>KPIL</t>
        </is>
      </c>
      <c r="B337" s="30" t="inlineStr">
        <is>
          <t>Kalpataru Projects International Ltd</t>
        </is>
      </c>
      <c r="C337" s="30" t="inlineStr">
        <is>
          <t>realty</t>
        </is>
      </c>
      <c r="D337" s="30" t="inlineStr">
        <is>
          <t>transmisson line towers / equipment</t>
        </is>
      </c>
      <c r="E337" s="30" t="inlineStr">
        <is>
          <t>largecap</t>
        </is>
      </c>
      <c r="F337" s="30" t="n">
        <v>23383.88</v>
      </c>
      <c r="G337" s="30" t="n">
        <v>1367.9</v>
      </c>
      <c r="H337" s="30" t="n">
        <v>-0.1</v>
      </c>
      <c r="I337" s="30" t="n">
        <v>291799</v>
      </c>
      <c r="J337" s="30" t="inlineStr">
        <is>
          <t>522287</t>
        </is>
      </c>
    </row>
    <row r="338">
      <c r="A338" s="30" t="inlineStr">
        <is>
          <t>MMFL</t>
        </is>
      </c>
      <c r="B338" s="30" t="inlineStr">
        <is>
          <t>Mm Forgings Limited</t>
        </is>
      </c>
      <c r="C338" s="30" t="inlineStr">
        <is>
          <t>industrials</t>
        </is>
      </c>
      <c r="D338" s="30" t="inlineStr">
        <is>
          <t>castings &amp; forgings</t>
        </is>
      </c>
      <c r="E338" s="30" t="inlineStr">
        <is>
          <t>smallcap</t>
        </is>
      </c>
      <c r="F338" s="30" t="n">
        <v>2278.17</v>
      </c>
      <c r="G338" s="30" t="n">
        <v>471.4</v>
      </c>
      <c r="H338" s="30" t="n">
        <v>-0.1</v>
      </c>
      <c r="I338" s="30" t="n">
        <v>54349</v>
      </c>
      <c r="J338" s="30" t="inlineStr">
        <is>
          <t>522241</t>
        </is>
      </c>
    </row>
    <row r="339">
      <c r="A339" s="30" t="inlineStr">
        <is>
          <t>TMB</t>
        </is>
      </c>
      <c r="B339" s="30" t="inlineStr">
        <is>
          <t>Tamilnad Mercantile Bank Ltd</t>
        </is>
      </c>
      <c r="C339" s="30" t="inlineStr">
        <is>
          <t>bank</t>
        </is>
      </c>
      <c r="D339" s="30" t="inlineStr">
        <is>
          <t>banks - private sector</t>
        </is>
      </c>
      <c r="E339" s="30" t="inlineStr">
        <is>
          <t>midcap</t>
        </is>
      </c>
      <c r="F339" s="30" t="n">
        <v>12380.71</v>
      </c>
      <c r="G339" s="30" t="n">
        <v>780.6</v>
      </c>
      <c r="H339" s="30" t="n">
        <v>-0.16</v>
      </c>
      <c r="I339" s="30" t="n">
        <v>152808</v>
      </c>
      <c r="J339" s="30" t="inlineStr">
        <is>
          <t>543596</t>
        </is>
      </c>
    </row>
    <row r="340">
      <c r="A340" s="30" t="inlineStr">
        <is>
          <t>MTARTECH</t>
        </is>
      </c>
      <c r="B340" s="30" t="inlineStr">
        <is>
          <t>MTAR Technologies Ltd</t>
        </is>
      </c>
      <c r="C340" s="30" t="inlineStr">
        <is>
          <t>aerospace &amp; defence</t>
        </is>
      </c>
      <c r="D340" s="30" t="inlineStr">
        <is>
          <t>engineering</t>
        </is>
      </c>
      <c r="E340" s="30" t="inlineStr">
        <is>
          <t>largecap</t>
        </is>
      </c>
      <c r="F340" s="30" t="n">
        <v>25588.9</v>
      </c>
      <c r="G340" s="30" t="n">
        <v>8305.5</v>
      </c>
      <c r="H340" s="30" t="n">
        <v>-0.16</v>
      </c>
      <c r="I340" s="30" t="n">
        <v>3376004</v>
      </c>
      <c r="J340" s="30" t="inlineStr">
        <is>
          <t>543270</t>
        </is>
      </c>
    </row>
    <row r="341">
      <c r="A341" s="30" t="inlineStr">
        <is>
          <t>GRASIM</t>
        </is>
      </c>
      <c r="B341" s="30" t="inlineStr">
        <is>
          <t>Grasim Industries Limited</t>
        </is>
      </c>
      <c r="C341" s="30" t="inlineStr">
        <is>
          <t>textiles</t>
        </is>
      </c>
      <c r="D341" s="30" t="inlineStr">
        <is>
          <t>textiles - manmade</t>
        </is>
      </c>
      <c r="E341" s="30" t="inlineStr">
        <is>
          <t>largecap</t>
        </is>
      </c>
      <c r="F341" s="30" t="n">
        <v>214410.1</v>
      </c>
      <c r="G341" s="30" t="n">
        <v>3145.1</v>
      </c>
      <c r="H341" s="30" t="n">
        <v>-0.17</v>
      </c>
      <c r="I341" s="30" t="n">
        <v>667101</v>
      </c>
      <c r="J341" s="30" t="inlineStr">
        <is>
          <t>500300</t>
        </is>
      </c>
    </row>
    <row r="342">
      <c r="A342" s="30" t="inlineStr">
        <is>
          <t>NRBBEARING</t>
        </is>
      </c>
      <c r="B342" s="30" t="inlineStr">
        <is>
          <t>Nrb Bearing Limited</t>
        </is>
      </c>
      <c r="C342" s="30" t="inlineStr">
        <is>
          <t>industrials</t>
        </is>
      </c>
      <c r="D342" s="30" t="inlineStr">
        <is>
          <t>bearings</t>
        </is>
      </c>
      <c r="E342" s="30" t="inlineStr">
        <is>
          <t>smallcap</t>
        </is>
      </c>
      <c r="F342" s="30" t="n">
        <v>4076.56</v>
      </c>
      <c r="G342" s="30" t="n">
        <v>419.8</v>
      </c>
      <c r="H342" s="30" t="n">
        <v>-0.19</v>
      </c>
      <c r="I342" s="30" t="n">
        <v>277122</v>
      </c>
      <c r="J342" s="30" t="inlineStr">
        <is>
          <t>530367</t>
        </is>
      </c>
    </row>
    <row r="343">
      <c r="A343" s="30" t="inlineStr">
        <is>
          <t>APOLLOHOSP</t>
        </is>
      </c>
      <c r="B343" s="30" t="inlineStr">
        <is>
          <t>Apollo Hospitals Enterprise Limited</t>
        </is>
      </c>
      <c r="C343" s="30" t="inlineStr">
        <is>
          <t>healthcare</t>
        </is>
      </c>
      <c r="D343" s="30" t="inlineStr">
        <is>
          <t>healthcare</t>
        </is>
      </c>
      <c r="E343" s="30" t="inlineStr">
        <is>
          <t>largecap</t>
        </is>
      </c>
      <c r="F343" s="30" t="n">
        <v>121174.52</v>
      </c>
      <c r="G343" s="30" t="n">
        <v>8411.5</v>
      </c>
      <c r="H343" s="30" t="n">
        <v>-0.19</v>
      </c>
      <c r="I343" s="30" t="n">
        <v>304242</v>
      </c>
      <c r="J343" s="30" t="inlineStr">
        <is>
          <t>508869</t>
        </is>
      </c>
    </row>
    <row r="344">
      <c r="A344" s="30" t="inlineStr">
        <is>
          <t>INNOVACAP</t>
        </is>
      </c>
      <c r="B344" s="30" t="inlineStr">
        <is>
          <t>Innova Captab Ltd</t>
        </is>
      </c>
      <c r="C344" s="30" t="inlineStr">
        <is>
          <t>healthcare</t>
        </is>
      </c>
      <c r="D344" s="30" t="inlineStr">
        <is>
          <t>pharmaceuticals - indian - bulk drugs &amp; formln</t>
        </is>
      </c>
      <c r="E344" s="30" t="inlineStr">
        <is>
          <t>midcap</t>
        </is>
      </c>
      <c r="F344" s="30" t="n">
        <v>5349.96</v>
      </c>
      <c r="G344" s="30" t="n">
        <v>932.95</v>
      </c>
      <c r="H344" s="30" t="n">
        <v>-0.21</v>
      </c>
      <c r="I344" s="30" t="n">
        <v>44131</v>
      </c>
      <c r="J344" s="30" t="inlineStr">
        <is>
          <t>544067</t>
        </is>
      </c>
    </row>
    <row r="345">
      <c r="A345" s="30" t="inlineStr">
        <is>
          <t>NEOGEN</t>
        </is>
      </c>
      <c r="B345" s="30" t="inlineStr">
        <is>
          <t>Neogen Chemicals Ltd</t>
        </is>
      </c>
      <c r="C345" s="30" t="inlineStr">
        <is>
          <t>chemicals</t>
        </is>
      </c>
      <c r="D345" s="30" t="inlineStr">
        <is>
          <t>chemicals</t>
        </is>
      </c>
      <c r="E345" s="30" t="inlineStr">
        <is>
          <t>midcap</t>
        </is>
      </c>
      <c r="F345" s="30" t="n">
        <v>5294.79</v>
      </c>
      <c r="G345" s="30" t="n">
        <v>1929.5</v>
      </c>
      <c r="H345" s="30" t="n">
        <v>-0.22</v>
      </c>
      <c r="I345" s="30" t="n">
        <v>84251</v>
      </c>
      <c r="J345" s="30" t="inlineStr">
        <is>
          <t>542665</t>
        </is>
      </c>
    </row>
    <row r="346">
      <c r="A346" s="30" t="inlineStr">
        <is>
          <t>NORTHARC</t>
        </is>
      </c>
      <c r="B346" s="30" t="inlineStr">
        <is>
          <t>Northern ARC Capital Ltd</t>
        </is>
      </c>
      <c r="C346" s="30" t="inlineStr">
        <is>
          <t>financials</t>
        </is>
      </c>
      <c r="D346" s="30" t="inlineStr">
        <is>
          <t>finance &amp; investments</t>
        </is>
      </c>
      <c r="E346" s="30" t="inlineStr">
        <is>
          <t>smallcap</t>
        </is>
      </c>
      <c r="F346" s="30" t="n">
        <v>4777.68</v>
      </c>
      <c r="G346" s="30" t="n">
        <v>295.05</v>
      </c>
      <c r="H346" s="30" t="n">
        <v>-0.22</v>
      </c>
      <c r="I346" s="30" t="n">
        <v>491669</v>
      </c>
      <c r="J346" s="30" t="n"/>
    </row>
    <row r="347">
      <c r="A347" s="30" t="inlineStr">
        <is>
          <t>KEI</t>
        </is>
      </c>
      <c r="B347" s="30" t="inlineStr">
        <is>
          <t>Kei Industries Limited</t>
        </is>
      </c>
      <c r="C347" s="30" t="inlineStr">
        <is>
          <t>industrials</t>
        </is>
      </c>
      <c r="D347" s="30" t="inlineStr">
        <is>
          <t>cables - power</t>
        </is>
      </c>
      <c r="E347" s="30" t="inlineStr">
        <is>
          <t>largecap</t>
        </is>
      </c>
      <c r="F347" s="30" t="n">
        <v>53952.2</v>
      </c>
      <c r="G347" s="30" t="n">
        <v>5630.5</v>
      </c>
      <c r="H347" s="30" t="n">
        <v>-0.23</v>
      </c>
      <c r="I347" s="30" t="n">
        <v>243449</v>
      </c>
      <c r="J347" s="30" t="inlineStr">
        <is>
          <t>517569</t>
        </is>
      </c>
    </row>
    <row r="348">
      <c r="A348" s="30" t="inlineStr">
        <is>
          <t>HMVL</t>
        </is>
      </c>
      <c r="B348" s="30" t="inlineStr">
        <is>
          <t>Hindustan Media Ventures Limited</t>
        </is>
      </c>
      <c r="C348" s="30" t="inlineStr">
        <is>
          <t>media</t>
        </is>
      </c>
      <c r="D348" s="30" t="inlineStr">
        <is>
          <t>entertainment / electronic media software</t>
        </is>
      </c>
      <c r="E348" s="30" t="inlineStr">
        <is>
          <t>smallcap</t>
        </is>
      </c>
      <c r="F348" s="30" t="n">
        <v>626.4299999999999</v>
      </c>
      <c r="G348" s="30" t="n">
        <v>84.83</v>
      </c>
      <c r="H348" s="30" t="n">
        <v>-0.24</v>
      </c>
      <c r="I348" s="30" t="n">
        <v>62596</v>
      </c>
      <c r="J348" s="30" t="inlineStr">
        <is>
          <t>533217</t>
        </is>
      </c>
    </row>
    <row r="349">
      <c r="A349" s="30" t="inlineStr">
        <is>
          <t>KIRLPNU</t>
        </is>
      </c>
      <c r="B349" s="30" t="inlineStr">
        <is>
          <t>Kirloskar Pneumatic Company Ltd</t>
        </is>
      </c>
      <c r="C349" s="30" t="inlineStr">
        <is>
          <t>industrials</t>
        </is>
      </c>
      <c r="D349" s="30" t="inlineStr">
        <is>
          <t>compressors / drilling equipment</t>
        </is>
      </c>
      <c r="E349" s="30" t="inlineStr">
        <is>
          <t>midcap</t>
        </is>
      </c>
      <c r="F349" s="30" t="n">
        <v>11902.94</v>
      </c>
      <c r="G349" s="30" t="n">
        <v>1828</v>
      </c>
      <c r="H349" s="30" t="n">
        <v>-0.24</v>
      </c>
      <c r="I349" s="30" t="n">
        <v>311763</v>
      </c>
      <c r="J349" s="30" t="inlineStr">
        <is>
          <t>505283</t>
        </is>
      </c>
    </row>
    <row r="350">
      <c r="A350" s="30" t="inlineStr">
        <is>
          <t>SKYGOLD</t>
        </is>
      </c>
      <c r="B350" s="30" t="inlineStr">
        <is>
          <t>Sky Gold Ltd</t>
        </is>
      </c>
      <c r="C350" s="30" t="inlineStr">
        <is>
          <t>consumer discretionary</t>
        </is>
      </c>
      <c r="D350" s="30" t="inlineStr">
        <is>
          <t>diamond cutting / jewellery</t>
        </is>
      </c>
      <c r="E350" s="30" t="inlineStr">
        <is>
          <t>midcap</t>
        </is>
      </c>
      <c r="F350" s="30" t="n">
        <v>8105.32</v>
      </c>
      <c r="G350" s="30" t="n">
        <v>522.1</v>
      </c>
      <c r="H350" s="30" t="n">
        <v>-0.24</v>
      </c>
      <c r="I350" s="30" t="n">
        <v>511732</v>
      </c>
      <c r="J350" s="30" t="inlineStr">
        <is>
          <t>541967</t>
        </is>
      </c>
    </row>
    <row r="351">
      <c r="A351" s="30" t="inlineStr">
        <is>
          <t>SCHAEFFLER</t>
        </is>
      </c>
      <c r="B351" s="30" t="inlineStr">
        <is>
          <t>Schaeffler India Ltd</t>
        </is>
      </c>
      <c r="C351" s="30" t="inlineStr">
        <is>
          <t>industrials</t>
        </is>
      </c>
      <c r="D351" s="30" t="inlineStr">
        <is>
          <t>bearings</t>
        </is>
      </c>
      <c r="E351" s="30" t="inlineStr">
        <is>
          <t>largecap</t>
        </is>
      </c>
      <c r="F351" s="30" t="n">
        <v>65602.21000000001</v>
      </c>
      <c r="G351" s="30" t="n">
        <v>4186</v>
      </c>
      <c r="H351" s="30" t="n">
        <v>-0.26</v>
      </c>
      <c r="I351" s="30" t="n">
        <v>40301</v>
      </c>
      <c r="J351" s="30" t="inlineStr">
        <is>
          <t>505790</t>
        </is>
      </c>
    </row>
    <row r="352">
      <c r="A352" s="30" t="inlineStr">
        <is>
          <t>KIRLOSENG</t>
        </is>
      </c>
      <c r="B352" s="30" t="inlineStr">
        <is>
          <t>Kirloskar Oil Engines Limited</t>
        </is>
      </c>
      <c r="C352" s="30" t="inlineStr">
        <is>
          <t>industrials</t>
        </is>
      </c>
      <c r="D352" s="30" t="inlineStr">
        <is>
          <t>engines</t>
        </is>
      </c>
      <c r="E352" s="30" t="inlineStr">
        <is>
          <t>largecap</t>
        </is>
      </c>
      <c r="F352" s="30" t="n">
        <v>28907.59</v>
      </c>
      <c r="G352" s="30" t="n">
        <v>1983.5</v>
      </c>
      <c r="H352" s="30" t="n">
        <v>-0.26</v>
      </c>
      <c r="I352" s="30" t="n">
        <v>510072</v>
      </c>
      <c r="J352" s="30" t="inlineStr">
        <is>
          <t>533293</t>
        </is>
      </c>
    </row>
    <row r="353">
      <c r="A353" s="30" t="inlineStr">
        <is>
          <t>MOTHERSON</t>
        </is>
      </c>
      <c r="B353" s="30" t="inlineStr">
        <is>
          <t>Samvardhana Motherson International Ltd</t>
        </is>
      </c>
      <c r="C353" s="30" t="inlineStr">
        <is>
          <t>auto</t>
        </is>
      </c>
      <c r="D353" s="30" t="inlineStr">
        <is>
          <t>auto ancillaries</t>
        </is>
      </c>
      <c r="E353" s="30" t="inlineStr">
        <is>
          <t>largecap</t>
        </is>
      </c>
      <c r="F353" s="30" t="n">
        <v>153144.96</v>
      </c>
      <c r="G353" s="30" t="n">
        <v>144.68</v>
      </c>
      <c r="H353" s="30" t="n">
        <v>-0.29</v>
      </c>
      <c r="I353" s="30" t="n">
        <v>15847981</v>
      </c>
      <c r="J353" s="30" t="inlineStr">
        <is>
          <t>517334</t>
        </is>
      </c>
    </row>
    <row r="354">
      <c r="A354" s="30" t="inlineStr">
        <is>
          <t>AADHARHFC</t>
        </is>
      </c>
      <c r="B354" s="30" t="inlineStr">
        <is>
          <t>Aadhar Housing Finance Ltd</t>
        </is>
      </c>
      <c r="C354" s="30" t="inlineStr">
        <is>
          <t>financials</t>
        </is>
      </c>
      <c r="D354" s="30" t="inlineStr">
        <is>
          <t>finance - housing</t>
        </is>
      </c>
      <c r="E354" s="30" t="inlineStr">
        <is>
          <t>largecap</t>
        </is>
      </c>
      <c r="F354" s="30" t="n">
        <v>21257.98</v>
      </c>
      <c r="G354" s="30" t="n">
        <v>486.45</v>
      </c>
      <c r="H354" s="30" t="n">
        <v>-0.3</v>
      </c>
      <c r="I354" s="30" t="n">
        <v>273525</v>
      </c>
      <c r="J354" s="30" t="inlineStr">
        <is>
          <t>544176</t>
        </is>
      </c>
    </row>
    <row r="355">
      <c r="A355" s="30" t="inlineStr">
        <is>
          <t>CHOICEIN</t>
        </is>
      </c>
      <c r="B355" s="30" t="inlineStr">
        <is>
          <t>Choice International Ltd</t>
        </is>
      </c>
      <c r="C355" s="30" t="inlineStr">
        <is>
          <t>financials</t>
        </is>
      </c>
      <c r="D355" s="30" t="inlineStr">
        <is>
          <t>finance &amp; investments</t>
        </is>
      </c>
      <c r="E355" s="30" t="inlineStr">
        <is>
          <t>midcap</t>
        </is>
      </c>
      <c r="F355" s="30" t="n">
        <v>15811.56</v>
      </c>
      <c r="G355" s="30" t="n">
        <v>707.55</v>
      </c>
      <c r="H355" s="30" t="n">
        <v>-0.31</v>
      </c>
      <c r="I355" s="30" t="n">
        <v>507377</v>
      </c>
      <c r="J355" s="30" t="inlineStr">
        <is>
          <t>531358</t>
        </is>
      </c>
    </row>
    <row r="356">
      <c r="A356" s="30" t="inlineStr">
        <is>
          <t>TEJASNET</t>
        </is>
      </c>
      <c r="B356" s="30" t="inlineStr">
        <is>
          <t>Tejas Networks Ltd</t>
        </is>
      </c>
      <c r="C356" s="30" t="inlineStr">
        <is>
          <t>telecom</t>
        </is>
      </c>
      <c r="D356" s="30" t="inlineStr">
        <is>
          <t>telecommunications - equipment</t>
        </is>
      </c>
      <c r="E356" s="30" t="inlineStr">
        <is>
          <t>midcap</t>
        </is>
      </c>
      <c r="F356" s="30" t="n">
        <v>10700.06</v>
      </c>
      <c r="G356" s="30" t="n">
        <v>600.15</v>
      </c>
      <c r="H356" s="30" t="n">
        <v>-0.31</v>
      </c>
      <c r="I356" s="30" t="n">
        <v>9633517</v>
      </c>
      <c r="J356" s="30" t="inlineStr">
        <is>
          <t>540595</t>
        </is>
      </c>
    </row>
    <row r="357">
      <c r="A357" s="30" t="inlineStr">
        <is>
          <t>TIINDIA</t>
        </is>
      </c>
      <c r="B357" s="30" t="inlineStr">
        <is>
          <t>Tube Investments of India Ltd</t>
        </is>
      </c>
      <c r="C357" s="30" t="inlineStr">
        <is>
          <t>industrials</t>
        </is>
      </c>
      <c r="D357" s="30" t="inlineStr">
        <is>
          <t>steel - large</t>
        </is>
      </c>
      <c r="E357" s="30" t="inlineStr">
        <is>
          <t>largecap</t>
        </is>
      </c>
      <c r="F357" s="30" t="n">
        <v>63247.27</v>
      </c>
      <c r="G357" s="30" t="n">
        <v>3256.5</v>
      </c>
      <c r="H357" s="30" t="n">
        <v>-0.34</v>
      </c>
      <c r="I357" s="30" t="n">
        <v>107196</v>
      </c>
      <c r="J357" s="30" t="inlineStr">
        <is>
          <t>540762</t>
        </is>
      </c>
    </row>
    <row r="358">
      <c r="A358" s="30" t="inlineStr">
        <is>
          <t>UNIVCABLES</t>
        </is>
      </c>
      <c r="B358" s="30" t="inlineStr">
        <is>
          <t>Universal Cables Limited</t>
        </is>
      </c>
      <c r="C358" s="30" t="inlineStr">
        <is>
          <t>industrials</t>
        </is>
      </c>
      <c r="D358" s="30" t="inlineStr">
        <is>
          <t>cables - power</t>
        </is>
      </c>
      <c r="E358" s="30" t="inlineStr">
        <is>
          <t>smallcap</t>
        </is>
      </c>
      <c r="F358" s="30" t="n">
        <v>4303.62</v>
      </c>
      <c r="G358" s="30" t="n">
        <v>1236</v>
      </c>
      <c r="H358" s="30" t="n">
        <v>-0.35</v>
      </c>
      <c r="I358" s="30" t="n">
        <v>223349</v>
      </c>
      <c r="J358" s="30" t="inlineStr">
        <is>
          <t>504212</t>
        </is>
      </c>
    </row>
    <row r="359">
      <c r="A359" s="30" t="inlineStr">
        <is>
          <t>SKIPPER</t>
        </is>
      </c>
      <c r="B359" s="30" t="inlineStr">
        <is>
          <t>Skipper Limited</t>
        </is>
      </c>
      <c r="C359" s="30" t="inlineStr">
        <is>
          <t>industrials</t>
        </is>
      </c>
      <c r="D359" s="30" t="inlineStr">
        <is>
          <t>engineering</t>
        </is>
      </c>
      <c r="E359" s="30" t="inlineStr">
        <is>
          <t>midcap</t>
        </is>
      </c>
      <c r="F359" s="30" t="n">
        <v>6198.43</v>
      </c>
      <c r="G359" s="30" t="n">
        <v>547.05</v>
      </c>
      <c r="H359" s="30" t="n">
        <v>-0.36</v>
      </c>
      <c r="I359" s="30" t="n">
        <v>387747</v>
      </c>
      <c r="J359" s="30" t="inlineStr">
        <is>
          <t>538562</t>
        </is>
      </c>
    </row>
    <row r="360">
      <c r="A360" s="30" t="inlineStr">
        <is>
          <t>NUVAMA</t>
        </is>
      </c>
      <c r="B360" s="30" t="inlineStr">
        <is>
          <t>Nuvama Wealth Management Ltd</t>
        </is>
      </c>
      <c r="C360" s="30" t="inlineStr">
        <is>
          <t>financials</t>
        </is>
      </c>
      <c r="D360" s="30" t="inlineStr">
        <is>
          <t>finance &amp; investments</t>
        </is>
      </c>
      <c r="E360" s="30" t="inlineStr">
        <is>
          <t>largecap</t>
        </is>
      </c>
      <c r="F360" s="30" t="n">
        <v>31433.11</v>
      </c>
      <c r="G360" s="30" t="n">
        <v>1720.4</v>
      </c>
      <c r="H360" s="30" t="n">
        <v>-0.36</v>
      </c>
      <c r="I360" s="30" t="n">
        <v>696726</v>
      </c>
      <c r="J360" s="30" t="inlineStr">
        <is>
          <t>543988</t>
        </is>
      </c>
    </row>
    <row r="361">
      <c r="A361" s="30" t="inlineStr">
        <is>
          <t>KOTAKBANK</t>
        </is>
      </c>
      <c r="B361" s="30" t="inlineStr">
        <is>
          <t>Kotak Mahindra Bank Limited</t>
        </is>
      </c>
      <c r="C361" s="30" t="inlineStr">
        <is>
          <t>bank</t>
        </is>
      </c>
      <c r="D361" s="30" t="inlineStr">
        <is>
          <t>banks - private sector</t>
        </is>
      </c>
      <c r="E361" s="30" t="inlineStr">
        <is>
          <t>largecap</t>
        </is>
      </c>
      <c r="F361" s="30" t="n">
        <v>80459.03999999999</v>
      </c>
      <c r="G361" s="30" t="n">
        <v>402.95</v>
      </c>
      <c r="H361" s="30" t="n">
        <v>-0.38</v>
      </c>
      <c r="I361" s="30" t="n">
        <v>9342524</v>
      </c>
      <c r="J361" s="30" t="inlineStr">
        <is>
          <t>500247</t>
        </is>
      </c>
    </row>
    <row r="362">
      <c r="A362" s="30" t="inlineStr">
        <is>
          <t>SOMANYCERA</t>
        </is>
      </c>
      <c r="B362" s="30" t="inlineStr">
        <is>
          <t>Somany Ceramics Limited</t>
        </is>
      </c>
      <c r="C362" s="30" t="inlineStr">
        <is>
          <t>building materials</t>
        </is>
      </c>
      <c r="D362" s="30" t="inlineStr">
        <is>
          <t>ceramics - tiles / sanitaryware</t>
        </is>
      </c>
      <c r="E362" s="30" t="inlineStr">
        <is>
          <t>smallcap</t>
        </is>
      </c>
      <c r="F362" s="30" t="n">
        <v>2139.23</v>
      </c>
      <c r="G362" s="30" t="n">
        <v>519.6</v>
      </c>
      <c r="H362" s="30" t="n">
        <v>-0.38</v>
      </c>
      <c r="I362" s="30" t="n">
        <v>375868</v>
      </c>
      <c r="J362" s="30" t="inlineStr">
        <is>
          <t>531548</t>
        </is>
      </c>
    </row>
    <row r="363">
      <c r="A363" s="30" t="inlineStr">
        <is>
          <t>LT</t>
        </is>
      </c>
      <c r="B363" s="30" t="inlineStr">
        <is>
          <t>Larsen &amp; Toubro Limited</t>
        </is>
      </c>
      <c r="C363" s="30" t="inlineStr">
        <is>
          <t>realty</t>
        </is>
      </c>
      <c r="D363" s="30" t="inlineStr">
        <is>
          <t>engineering - turnkey services</t>
        </is>
      </c>
      <c r="E363" s="30" t="inlineStr">
        <is>
          <t>largecap</t>
        </is>
      </c>
      <c r="F363" s="30" t="n">
        <v>578824.76</v>
      </c>
      <c r="G363" s="30" t="n">
        <v>4190</v>
      </c>
      <c r="H363" s="30" t="n">
        <v>-0.42</v>
      </c>
      <c r="I363" s="30" t="n">
        <v>1485427</v>
      </c>
      <c r="J363" s="30" t="inlineStr">
        <is>
          <t>500510</t>
        </is>
      </c>
    </row>
    <row r="364">
      <c r="A364" s="30" t="inlineStr">
        <is>
          <t>TRITURBINE</t>
        </is>
      </c>
      <c r="B364" s="30" t="inlineStr">
        <is>
          <t>Triveni Turbine Limited</t>
        </is>
      </c>
      <c r="C364" s="30" t="inlineStr">
        <is>
          <t>industrials</t>
        </is>
      </c>
      <c r="D364" s="30" t="inlineStr">
        <is>
          <t>electric equipment</t>
        </is>
      </c>
      <c r="E364" s="30" t="inlineStr">
        <is>
          <t>largecap</t>
        </is>
      </c>
      <c r="F364" s="30" t="n">
        <v>21534.21</v>
      </c>
      <c r="G364" s="30" t="n">
        <v>674.15</v>
      </c>
      <c r="H364" s="30" t="n">
        <v>-0.48</v>
      </c>
      <c r="I364" s="30" t="n">
        <v>529334</v>
      </c>
      <c r="J364" s="30" t="inlineStr">
        <is>
          <t>533655</t>
        </is>
      </c>
    </row>
    <row r="365">
      <c r="A365" s="30" t="inlineStr">
        <is>
          <t>SHRIRAMFIN</t>
        </is>
      </c>
      <c r="B365" s="30" t="inlineStr">
        <is>
          <t>Shriram Finance Ltd</t>
        </is>
      </c>
      <c r="C365" s="30" t="inlineStr">
        <is>
          <t>financials</t>
        </is>
      </c>
      <c r="D365" s="30" t="inlineStr">
        <is>
          <t>finance &amp; investments</t>
        </is>
      </c>
      <c r="E365" s="30" t="inlineStr">
        <is>
          <t>largecap</t>
        </is>
      </c>
      <c r="F365" s="30" t="n">
        <v>237033.16</v>
      </c>
      <c r="G365" s="30" t="n">
        <v>1002.7</v>
      </c>
      <c r="H365" s="30" t="n">
        <v>-0.48</v>
      </c>
      <c r="I365" s="30" t="n">
        <v>3364449</v>
      </c>
      <c r="J365" s="30" t="inlineStr">
        <is>
          <t>511218</t>
        </is>
      </c>
    </row>
    <row r="366">
      <c r="A366" s="30" t="inlineStr">
        <is>
          <t>ABCAPITAL</t>
        </is>
      </c>
      <c r="B366" s="30" t="inlineStr">
        <is>
          <t>Aditya Birla Capital Ltd</t>
        </is>
      </c>
      <c r="C366" s="30" t="inlineStr">
        <is>
          <t>financials</t>
        </is>
      </c>
      <c r="D366" s="30" t="inlineStr">
        <is>
          <t>finance &amp; investments</t>
        </is>
      </c>
      <c r="E366" s="30" t="inlineStr">
        <is>
          <t>largecap</t>
        </is>
      </c>
      <c r="F366" s="30" t="n">
        <v>97567.23</v>
      </c>
      <c r="G366" s="30" t="n">
        <v>370.6</v>
      </c>
      <c r="H366" s="30" t="n">
        <v>-0.5</v>
      </c>
      <c r="I366" s="30" t="n">
        <v>1266986</v>
      </c>
      <c r="J366" s="30" t="inlineStr">
        <is>
          <t>540691</t>
        </is>
      </c>
    </row>
    <row r="367">
      <c r="A367" s="30" t="inlineStr">
        <is>
          <t>GREENPLY</t>
        </is>
      </c>
      <c r="B367" s="30" t="inlineStr">
        <is>
          <t>Greenply Industries Limited</t>
        </is>
      </c>
      <c r="C367" s="30" t="inlineStr">
        <is>
          <t>building materials</t>
        </is>
      </c>
      <c r="D367" s="30" t="inlineStr">
        <is>
          <t>miscellaneous</t>
        </is>
      </c>
      <c r="E367" s="30" t="inlineStr">
        <is>
          <t>smallcap</t>
        </is>
      </c>
      <c r="F367" s="30" t="n">
        <v>3668</v>
      </c>
      <c r="G367" s="30" t="n">
        <v>292.21</v>
      </c>
      <c r="H367" s="30" t="n">
        <v>-0.5</v>
      </c>
      <c r="I367" s="30" t="n">
        <v>110401</v>
      </c>
      <c r="J367" s="30" t="inlineStr">
        <is>
          <t>526797</t>
        </is>
      </c>
    </row>
    <row r="368">
      <c r="A368" s="30" t="inlineStr">
        <is>
          <t>PRIVISCL</t>
        </is>
      </c>
      <c r="B368" s="30" t="inlineStr">
        <is>
          <t>Privi Speciality Chemicals Ltd</t>
        </is>
      </c>
      <c r="C368" s="30" t="inlineStr">
        <is>
          <t>chemicals</t>
        </is>
      </c>
      <c r="D368" s="30" t="inlineStr">
        <is>
          <t>chemicals</t>
        </is>
      </c>
      <c r="E368" s="30" t="inlineStr">
        <is>
          <t>midcap</t>
        </is>
      </c>
      <c r="F368" s="30" t="n">
        <v>13599.68</v>
      </c>
      <c r="G368" s="30" t="n">
        <v>3463.6</v>
      </c>
      <c r="H368" s="30" t="n">
        <v>-0.51</v>
      </c>
      <c r="I368" s="30" t="n">
        <v>39958</v>
      </c>
      <c r="J368" s="30" t="inlineStr">
        <is>
          <t>530117</t>
        </is>
      </c>
    </row>
    <row r="369">
      <c r="A369" s="30" t="inlineStr">
        <is>
          <t>BHAGERIA</t>
        </is>
      </c>
      <c r="B369" s="30" t="inlineStr">
        <is>
          <t>Bhageria Industries Limited</t>
        </is>
      </c>
      <c r="C369" s="30" t="inlineStr">
        <is>
          <t>chemicals</t>
        </is>
      </c>
      <c r="D369" s="30" t="inlineStr">
        <is>
          <t>dyes and pigments</t>
        </is>
      </c>
      <c r="E369" s="30" t="inlineStr">
        <is>
          <t>smallcap</t>
        </is>
      </c>
      <c r="F369" s="30" t="n">
        <v>992.99</v>
      </c>
      <c r="G369" s="30" t="n">
        <v>226.35</v>
      </c>
      <c r="H369" s="30" t="n">
        <v>-0.51</v>
      </c>
      <c r="I369" s="30" t="n">
        <v>234250</v>
      </c>
      <c r="J369" s="30" t="inlineStr">
        <is>
          <t>530803</t>
        </is>
      </c>
    </row>
    <row r="370">
      <c r="A370" s="30" t="inlineStr">
        <is>
          <t>SIS</t>
        </is>
      </c>
      <c r="B370" s="30" t="inlineStr">
        <is>
          <t>Security &amp; Intelligence Services India</t>
        </is>
      </c>
      <c r="C370" s="30" t="inlineStr">
        <is>
          <t>miscellaneous</t>
        </is>
      </c>
      <c r="D370" s="30" t="inlineStr">
        <is>
          <t>miscellaneous</t>
        </is>
      </c>
      <c r="E370" s="30" t="inlineStr">
        <is>
          <t>midcap</t>
        </is>
      </c>
      <c r="F370" s="30" t="n">
        <v>6023.84</v>
      </c>
      <c r="G370" s="30" t="n">
        <v>424.2</v>
      </c>
      <c r="H370" s="30" t="n">
        <v>-0.52</v>
      </c>
      <c r="I370" s="30" t="n">
        <v>35661</v>
      </c>
      <c r="J370" s="30" t="inlineStr">
        <is>
          <t>540673</t>
        </is>
      </c>
    </row>
    <row r="371">
      <c r="A371" s="30" t="inlineStr">
        <is>
          <t>SAILIFE</t>
        </is>
      </c>
      <c r="B371" s="30" t="inlineStr">
        <is>
          <t>Sai Life Sciences Ltd</t>
        </is>
      </c>
      <c r="C371" s="30" t="inlineStr">
        <is>
          <t>healthcare</t>
        </is>
      </c>
      <c r="D371" s="30" t="inlineStr">
        <is>
          <t>pharmaceuticals - indian - bulk drugs &amp; formln</t>
        </is>
      </c>
      <c r="E371" s="30" t="inlineStr">
        <is>
          <t>largecap</t>
        </is>
      </c>
      <c r="F371" s="30" t="n">
        <v>25699.41</v>
      </c>
      <c r="G371" s="30" t="n">
        <v>1206.8</v>
      </c>
      <c r="H371" s="30" t="n">
        <v>-0.55</v>
      </c>
      <c r="I371" s="30" t="n">
        <v>331630</v>
      </c>
      <c r="J371" s="30" t="inlineStr">
        <is>
          <t>544306</t>
        </is>
      </c>
    </row>
    <row r="372">
      <c r="A372" s="30" t="inlineStr">
        <is>
          <t>NAVINFLUOR</t>
        </is>
      </c>
      <c r="B372" s="30" t="inlineStr">
        <is>
          <t>Navin Fluorine International Limited</t>
        </is>
      </c>
      <c r="C372" s="30" t="inlineStr">
        <is>
          <t>chemicals</t>
        </is>
      </c>
      <c r="D372" s="30" t="inlineStr">
        <is>
          <t>chemicals</t>
        </is>
      </c>
      <c r="E372" s="30" t="inlineStr">
        <is>
          <t>largecap</t>
        </is>
      </c>
      <c r="F372" s="30" t="n">
        <v>37636.95</v>
      </c>
      <c r="G372" s="30" t="n">
        <v>7303.5</v>
      </c>
      <c r="H372" s="30" t="n">
        <v>-0.55</v>
      </c>
      <c r="I372" s="30" t="n">
        <v>101512</v>
      </c>
      <c r="J372" s="30" t="inlineStr">
        <is>
          <t>532504</t>
        </is>
      </c>
    </row>
    <row r="373">
      <c r="A373" s="30" t="inlineStr">
        <is>
          <t>INDNIPPON</t>
        </is>
      </c>
      <c r="B373" s="30" t="inlineStr">
        <is>
          <t>India Nippon Electricals Limited</t>
        </is>
      </c>
      <c r="C373" s="30" t="inlineStr">
        <is>
          <t>auto</t>
        </is>
      </c>
      <c r="D373" s="30" t="inlineStr">
        <is>
          <t>auto ancillaries</t>
        </is>
      </c>
      <c r="E373" s="30" t="inlineStr">
        <is>
          <t>smallcap</t>
        </is>
      </c>
      <c r="F373" s="30" t="n">
        <v>2074.84</v>
      </c>
      <c r="G373" s="30" t="n">
        <v>911.95</v>
      </c>
      <c r="H373" s="30" t="n">
        <v>-0.57</v>
      </c>
      <c r="I373" s="30" t="n">
        <v>16585</v>
      </c>
      <c r="J373" s="30" t="inlineStr">
        <is>
          <t>532240</t>
        </is>
      </c>
    </row>
    <row r="374">
      <c r="A374" s="30" t="inlineStr">
        <is>
          <t>METROPOLIS</t>
        </is>
      </c>
      <c r="B374" s="30" t="inlineStr">
        <is>
          <t>Metropolis Healthcare Ltd</t>
        </is>
      </c>
      <c r="C374" s="30" t="inlineStr">
        <is>
          <t>healthcare</t>
        </is>
      </c>
      <c r="D374" s="30" t="inlineStr">
        <is>
          <t>healthcare</t>
        </is>
      </c>
      <c r="E374" s="30" t="inlineStr">
        <is>
          <t>midcap</t>
        </is>
      </c>
      <c r="F374" s="30" t="n">
        <v>11311.8</v>
      </c>
      <c r="G374" s="30" t="n">
        <v>542.5</v>
      </c>
      <c r="H374" s="30" t="n">
        <v>-0.57</v>
      </c>
      <c r="I374" s="30" t="n">
        <v>241893</v>
      </c>
      <c r="J374" s="30" t="inlineStr">
        <is>
          <t>542650</t>
        </is>
      </c>
    </row>
    <row r="375">
      <c r="A375" s="30" t="inlineStr">
        <is>
          <t>AURUM</t>
        </is>
      </c>
      <c r="B375" s="30" t="inlineStr">
        <is>
          <t>Aurum Proptech Ltd</t>
        </is>
      </c>
      <c r="C375" s="30" t="inlineStr">
        <is>
          <t>i.t</t>
        </is>
      </c>
      <c r="D375" s="30" t="inlineStr">
        <is>
          <t>computers - software - medium / small</t>
        </is>
      </c>
      <c r="E375" s="30" t="inlineStr">
        <is>
          <t>smallcap</t>
        </is>
      </c>
      <c r="F375" s="30" t="n">
        <v>1544.59</v>
      </c>
      <c r="G375" s="30" t="n">
        <v>200.27</v>
      </c>
      <c r="H375" s="30" t="n">
        <v>-0.61</v>
      </c>
      <c r="I375" s="30" t="n">
        <v>250636</v>
      </c>
      <c r="J375" s="30" t="inlineStr">
        <is>
          <t>539289</t>
        </is>
      </c>
    </row>
    <row r="376">
      <c r="A376" s="30" t="inlineStr">
        <is>
          <t>CHAMBLFERT</t>
        </is>
      </c>
      <c r="B376" s="30" t="inlineStr">
        <is>
          <t>Chambal Fertilizers &amp; Chemicals Limited</t>
        </is>
      </c>
      <c r="C376" s="30" t="inlineStr">
        <is>
          <t>chemicals</t>
        </is>
      </c>
      <c r="D376" s="30" t="inlineStr">
        <is>
          <t>fertilizers</t>
        </is>
      </c>
      <c r="E376" s="30" t="inlineStr">
        <is>
          <t>midcap</t>
        </is>
      </c>
      <c r="F376" s="30" t="n">
        <v>19435.64</v>
      </c>
      <c r="G376" s="30" t="n">
        <v>482.05</v>
      </c>
      <c r="H376" s="30" t="n">
        <v>-0.63</v>
      </c>
      <c r="I376" s="30" t="n">
        <v>644545</v>
      </c>
      <c r="J376" s="30" t="inlineStr">
        <is>
          <t>500085</t>
        </is>
      </c>
    </row>
    <row r="377">
      <c r="A377" s="30" t="inlineStr">
        <is>
          <t>GREENLAM</t>
        </is>
      </c>
      <c r="B377" s="30" t="inlineStr">
        <is>
          <t>Greenlam Industries Limited</t>
        </is>
      </c>
      <c r="C377" s="30" t="inlineStr">
        <is>
          <t>building materials</t>
        </is>
      </c>
      <c r="D377" s="30" t="inlineStr">
        <is>
          <t>miscellaneous</t>
        </is>
      </c>
      <c r="E377" s="30" t="inlineStr">
        <is>
          <t>midcap</t>
        </is>
      </c>
      <c r="F377" s="30" t="n">
        <v>6562.91</v>
      </c>
      <c r="G377" s="30" t="n">
        <v>255.55</v>
      </c>
      <c r="H377" s="30" t="n">
        <v>-0.65</v>
      </c>
      <c r="I377" s="30" t="n">
        <v>111563</v>
      </c>
      <c r="J377" s="30" t="inlineStr">
        <is>
          <t>538979</t>
        </is>
      </c>
    </row>
    <row r="378">
      <c r="A378" s="30" t="inlineStr">
        <is>
          <t>PYRAMID</t>
        </is>
      </c>
      <c r="B378" s="30" t="inlineStr">
        <is>
          <t>Pyramid Technoplast Ltd</t>
        </is>
      </c>
      <c r="C378" s="30" t="inlineStr">
        <is>
          <t>industrials</t>
        </is>
      </c>
      <c r="D378" s="30" t="inlineStr">
        <is>
          <t>packaging</t>
        </is>
      </c>
      <c r="E378" s="30" t="inlineStr">
        <is>
          <t>smallcap</t>
        </is>
      </c>
      <c r="F378" s="30" t="n">
        <v>649.21</v>
      </c>
      <c r="G378" s="30" t="n">
        <v>175.3</v>
      </c>
      <c r="H378" s="30" t="n">
        <v>-0.67</v>
      </c>
      <c r="I378" s="30" t="n">
        <v>22859</v>
      </c>
      <c r="J378" s="30" t="inlineStr">
        <is>
          <t>543969</t>
        </is>
      </c>
    </row>
    <row r="379">
      <c r="A379" s="30" t="inlineStr">
        <is>
          <t>MANINDS</t>
        </is>
      </c>
      <c r="B379" s="30" t="inlineStr">
        <is>
          <t>Man Industries (india) Limited</t>
        </is>
      </c>
      <c r="C379" s="30" t="inlineStr">
        <is>
          <t>metals &amp; mining</t>
        </is>
      </c>
      <c r="D379" s="30" t="inlineStr">
        <is>
          <t>steel - medium / small</t>
        </is>
      </c>
      <c r="E379" s="30" t="inlineStr">
        <is>
          <t>smallcap</t>
        </is>
      </c>
      <c r="F379" s="30" t="n">
        <v>4445.07</v>
      </c>
      <c r="G379" s="30" t="n">
        <v>588.5</v>
      </c>
      <c r="H379" s="30" t="n">
        <v>-0.6899999999999999</v>
      </c>
      <c r="I379" s="30" t="n">
        <v>1463848</v>
      </c>
      <c r="J379" s="30" t="inlineStr">
        <is>
          <t>513269</t>
        </is>
      </c>
    </row>
    <row r="380">
      <c r="A380" s="30" t="inlineStr">
        <is>
          <t>FEDERALBNK</t>
        </is>
      </c>
      <c r="B380" s="30" t="inlineStr">
        <is>
          <t>The Federal Bank  Limited</t>
        </is>
      </c>
      <c r="C380" s="30" t="inlineStr">
        <is>
          <t>bank</t>
        </is>
      </c>
      <c r="D380" s="30" t="inlineStr">
        <is>
          <t>banks - private sector</t>
        </is>
      </c>
      <c r="E380" s="30" t="inlineStr">
        <is>
          <t>largecap</t>
        </is>
      </c>
      <c r="F380" s="30" t="n">
        <v>79522.39</v>
      </c>
      <c r="G380" s="30" t="n">
        <v>320.45</v>
      </c>
      <c r="H380" s="30" t="n">
        <v>-0.7</v>
      </c>
      <c r="I380" s="30" t="n">
        <v>3885931</v>
      </c>
      <c r="J380" s="30" t="inlineStr">
        <is>
          <t>500469</t>
        </is>
      </c>
    </row>
    <row r="381">
      <c r="A381" s="30" t="inlineStr">
        <is>
          <t>MAHABANK</t>
        </is>
      </c>
      <c r="B381" s="30" t="inlineStr">
        <is>
          <t>Bank Of Maharashtra Ltd</t>
        </is>
      </c>
      <c r="C381" s="30" t="inlineStr">
        <is>
          <t>bank</t>
        </is>
      </c>
      <c r="D381" s="30" t="inlineStr">
        <is>
          <t>banks - public sector</t>
        </is>
      </c>
      <c r="E381" s="30" t="inlineStr">
        <is>
          <t>largecap</t>
        </is>
      </c>
      <c r="F381" s="30" t="n">
        <v>69331.67999999999</v>
      </c>
      <c r="G381" s="30" t="n">
        <v>89.5</v>
      </c>
      <c r="H381" s="30" t="n">
        <v>-0.71</v>
      </c>
      <c r="I381" s="30" t="n">
        <v>12053692</v>
      </c>
      <c r="J381" s="30" t="inlineStr">
        <is>
          <t>532525</t>
        </is>
      </c>
    </row>
    <row r="382">
      <c r="A382" s="30" t="inlineStr">
        <is>
          <t>BHARATFORG</t>
        </is>
      </c>
      <c r="B382" s="30" t="inlineStr">
        <is>
          <t>Bharat Forge Limited</t>
        </is>
      </c>
      <c r="C382" s="30" t="inlineStr">
        <is>
          <t>industrials</t>
        </is>
      </c>
      <c r="D382" s="30" t="inlineStr">
        <is>
          <t>castings &amp; forgings</t>
        </is>
      </c>
      <c r="E382" s="30" t="inlineStr">
        <is>
          <t>largecap</t>
        </is>
      </c>
      <c r="F382" s="30" t="n">
        <v>97267.13</v>
      </c>
      <c r="G382" s="30" t="n">
        <v>2019.9</v>
      </c>
      <c r="H382" s="30" t="n">
        <v>-0.72</v>
      </c>
      <c r="I382" s="30" t="n">
        <v>840631</v>
      </c>
      <c r="J382" s="30" t="inlineStr">
        <is>
          <t>500493</t>
        </is>
      </c>
    </row>
    <row r="383">
      <c r="A383" s="30" t="inlineStr">
        <is>
          <t>TEGA</t>
        </is>
      </c>
      <c r="B383" s="30" t="inlineStr">
        <is>
          <t>Tega Industries Ltd</t>
        </is>
      </c>
      <c r="C383" s="30" t="inlineStr">
        <is>
          <t>industrials</t>
        </is>
      </c>
      <c r="D383" s="30" t="inlineStr">
        <is>
          <t>engineering</t>
        </is>
      </c>
      <c r="E383" s="30" t="inlineStr">
        <is>
          <t>midcap</t>
        </is>
      </c>
      <c r="F383" s="30" t="n">
        <v>13774.66</v>
      </c>
      <c r="G383" s="30" t="n">
        <v>1819.7</v>
      </c>
      <c r="H383" s="30" t="n">
        <v>-0.75</v>
      </c>
      <c r="I383" s="30" t="n">
        <v>39518</v>
      </c>
      <c r="J383" s="30" t="inlineStr">
        <is>
          <t>543413</t>
        </is>
      </c>
    </row>
    <row r="384">
      <c r="A384" s="30" t="inlineStr">
        <is>
          <t>PHOENIXLTD</t>
        </is>
      </c>
      <c r="B384" s="30" t="inlineStr">
        <is>
          <t>The Phoenix Mills Limited</t>
        </is>
      </c>
      <c r="C384" s="30" t="inlineStr">
        <is>
          <t>realty</t>
        </is>
      </c>
      <c r="D384" s="30" t="inlineStr">
        <is>
          <t>construction</t>
        </is>
      </c>
      <c r="E384" s="30" t="inlineStr">
        <is>
          <t>largecap</t>
        </is>
      </c>
      <c r="F384" s="30" t="n">
        <v>66845.49000000001</v>
      </c>
      <c r="G384" s="30" t="n">
        <v>1853.7</v>
      </c>
      <c r="H384" s="30" t="n">
        <v>-0.82</v>
      </c>
      <c r="I384" s="30" t="n">
        <v>290186</v>
      </c>
      <c r="J384" s="30" t="inlineStr">
        <is>
          <t>503100</t>
        </is>
      </c>
    </row>
    <row r="385">
      <c r="A385" s="30" t="inlineStr">
        <is>
          <t>HARSHA</t>
        </is>
      </c>
      <c r="B385" s="30" t="inlineStr">
        <is>
          <t>Harsha Engineers International Ltd</t>
        </is>
      </c>
      <c r="C385" s="30" t="inlineStr">
        <is>
          <t>industrials</t>
        </is>
      </c>
      <c r="D385" s="30" t="inlineStr">
        <is>
          <t>engineering</t>
        </is>
      </c>
      <c r="E385" s="30" t="inlineStr">
        <is>
          <t>smallcap</t>
        </is>
      </c>
      <c r="F385" s="30" t="n">
        <v>3986.37</v>
      </c>
      <c r="G385" s="30" t="n">
        <v>434.25</v>
      </c>
      <c r="H385" s="30" t="n">
        <v>-0.82</v>
      </c>
      <c r="I385" s="30" t="n">
        <v>343803</v>
      </c>
      <c r="J385" s="30" t="inlineStr">
        <is>
          <t>543600</t>
        </is>
      </c>
    </row>
    <row r="386">
      <c r="A386" s="30" t="inlineStr">
        <is>
          <t>KIMS</t>
        </is>
      </c>
      <c r="B386" s="30" t="inlineStr">
        <is>
          <t>Krishna Institute of Medical Sciences Ltd</t>
        </is>
      </c>
      <c r="C386" s="30" t="inlineStr">
        <is>
          <t>healthcare</t>
        </is>
      </c>
      <c r="D386" s="30" t="inlineStr">
        <is>
          <t>healthcare</t>
        </is>
      </c>
      <c r="E386" s="30" t="inlineStr">
        <is>
          <t>largecap</t>
        </is>
      </c>
      <c r="F386" s="30" t="n">
        <v>31867.06</v>
      </c>
      <c r="G386" s="30" t="n">
        <v>789.75</v>
      </c>
      <c r="H386" s="30" t="n">
        <v>-0.84</v>
      </c>
      <c r="I386" s="30" t="n">
        <v>453927</v>
      </c>
      <c r="J386" s="30" t="inlineStr">
        <is>
          <t>543307</t>
        </is>
      </c>
    </row>
    <row r="387">
      <c r="A387" s="30" t="inlineStr">
        <is>
          <t>INDOBORAX</t>
        </is>
      </c>
      <c r="B387" s="30" t="inlineStr">
        <is>
          <t>Indo Borax &amp; Chemicals Ltd</t>
        </is>
      </c>
      <c r="C387" s="30" t="inlineStr">
        <is>
          <t>chemicals</t>
        </is>
      </c>
      <c r="D387" s="30" t="inlineStr">
        <is>
          <t>chemicals</t>
        </is>
      </c>
      <c r="E387" s="30" t="inlineStr">
        <is>
          <t>smallcap</t>
        </is>
      </c>
      <c r="F387" s="30" t="n">
        <v>1165.19</v>
      </c>
      <c r="G387" s="30" t="n">
        <v>359.9</v>
      </c>
      <c r="H387" s="30" t="n">
        <v>-0.88</v>
      </c>
      <c r="I387" s="30" t="n">
        <v>50314</v>
      </c>
      <c r="J387" s="30" t="inlineStr">
        <is>
          <t>524342</t>
        </is>
      </c>
    </row>
    <row r="388">
      <c r="A388" s="30" t="inlineStr">
        <is>
          <t>TINNARUBR</t>
        </is>
      </c>
      <c r="B388" s="30" t="inlineStr">
        <is>
          <t>Tinna Rubber &amp; Infrastructure Ltd</t>
        </is>
      </c>
      <c r="C388" s="30" t="inlineStr">
        <is>
          <t>fmcg</t>
        </is>
      </c>
      <c r="D388" s="30" t="inlineStr">
        <is>
          <t>miscellaneous</t>
        </is>
      </c>
      <c r="E388" s="30" t="inlineStr">
        <is>
          <t>smallcap</t>
        </is>
      </c>
      <c r="F388" s="30" t="n">
        <v>1604.3</v>
      </c>
      <c r="G388" s="30" t="n">
        <v>882.55</v>
      </c>
      <c r="H388" s="30" t="n">
        <v>-0.89</v>
      </c>
      <c r="I388" s="30" t="n">
        <v>21337</v>
      </c>
      <c r="J388" s="30" t="inlineStr">
        <is>
          <t>530475</t>
        </is>
      </c>
    </row>
    <row r="389">
      <c r="A389" s="30" t="inlineStr">
        <is>
          <t>JNKINDIA</t>
        </is>
      </c>
      <c r="B389" s="30" t="inlineStr">
        <is>
          <t>JNK India Ltd</t>
        </is>
      </c>
      <c r="C389" s="30" t="inlineStr">
        <is>
          <t>realty</t>
        </is>
      </c>
      <c r="D389" s="30" t="inlineStr">
        <is>
          <t>engineering - turnkey services</t>
        </is>
      </c>
      <c r="E389" s="30" t="inlineStr">
        <is>
          <t>smallcap</t>
        </is>
      </c>
      <c r="F389" s="30" t="n">
        <v>2636.55</v>
      </c>
      <c r="G389" s="30" t="n">
        <v>467</v>
      </c>
      <c r="H389" s="30" t="n">
        <v>-0.89</v>
      </c>
      <c r="I389" s="30" t="n">
        <v>736953</v>
      </c>
      <c r="J389" s="30" t="inlineStr">
        <is>
          <t>544167</t>
        </is>
      </c>
    </row>
    <row r="390">
      <c r="A390" s="30" t="inlineStr">
        <is>
          <t>SAMMAANCAP</t>
        </is>
      </c>
      <c r="B390" s="30" t="inlineStr">
        <is>
          <t>Sammaan Capital Ltd</t>
        </is>
      </c>
      <c r="C390" s="30" t="inlineStr">
        <is>
          <t>financials</t>
        </is>
      </c>
      <c r="D390" s="30" t="inlineStr">
        <is>
          <t>finance - housing</t>
        </is>
      </c>
      <c r="E390" s="30" t="inlineStr">
        <is>
          <t>largecap</t>
        </is>
      </c>
      <c r="F390" s="30" t="n">
        <v>20457.25</v>
      </c>
      <c r="G390" s="30" t="n">
        <v>174.4</v>
      </c>
      <c r="H390" s="30" t="n">
        <v>-0.97</v>
      </c>
      <c r="I390" s="30" t="n">
        <v>7354929</v>
      </c>
      <c r="J390" s="30" t="inlineStr">
        <is>
          <t>535789</t>
        </is>
      </c>
    </row>
    <row r="391">
      <c r="A391" s="30" t="inlineStr">
        <is>
          <t>SSWL</t>
        </is>
      </c>
      <c r="B391" s="30" t="inlineStr">
        <is>
          <t>Steel Strips Wheels Limited</t>
        </is>
      </c>
      <c r="C391" s="30" t="inlineStr">
        <is>
          <t>auto</t>
        </is>
      </c>
      <c r="D391" s="30" t="inlineStr">
        <is>
          <t>auto ancillaries</t>
        </is>
      </c>
      <c r="E391" s="30" t="inlineStr">
        <is>
          <t>smallcap</t>
        </is>
      </c>
      <c r="F391" s="30" t="n">
        <v>3595.19</v>
      </c>
      <c r="G391" s="30" t="n">
        <v>226.52</v>
      </c>
      <c r="H391" s="30" t="n">
        <v>-0.97</v>
      </c>
      <c r="I391" s="30" t="n">
        <v>518995</v>
      </c>
      <c r="J391" s="30" t="inlineStr">
        <is>
          <t>513262</t>
        </is>
      </c>
    </row>
    <row r="392">
      <c r="A392" s="30" t="inlineStr">
        <is>
          <t>CGPOWER</t>
        </is>
      </c>
      <c r="B392" s="30" t="inlineStr">
        <is>
          <t>CG Power and Industrial Solutions Ltd</t>
        </is>
      </c>
      <c r="C392" s="30" t="inlineStr">
        <is>
          <t>industrials</t>
        </is>
      </c>
      <c r="D392" s="30" t="inlineStr">
        <is>
          <t>electric equipment</t>
        </is>
      </c>
      <c r="E392" s="30" t="inlineStr">
        <is>
          <t>largecap</t>
        </is>
      </c>
      <c r="F392" s="30" t="n">
        <v>151783.04</v>
      </c>
      <c r="G392" s="30" t="n">
        <v>954.45</v>
      </c>
      <c r="H392" s="30" t="n">
        <v>-0.97</v>
      </c>
      <c r="I392" s="30" t="n">
        <v>3552746</v>
      </c>
      <c r="J392" s="30" t="inlineStr">
        <is>
          <t>500093</t>
        </is>
      </c>
    </row>
    <row r="393">
      <c r="A393" s="30" t="inlineStr">
        <is>
          <t>HUDCO</t>
        </is>
      </c>
      <c r="B393" s="30" t="inlineStr">
        <is>
          <t>Housing and Urban Development Corporation Ltd</t>
        </is>
      </c>
      <c r="C393" s="30" t="inlineStr">
        <is>
          <t>financials</t>
        </is>
      </c>
      <c r="D393" s="30" t="inlineStr">
        <is>
          <t>finance - term-lending institutions</t>
        </is>
      </c>
      <c r="E393" s="30" t="inlineStr">
        <is>
          <t>largecap</t>
        </is>
      </c>
      <c r="F393" s="30" t="n">
        <v>42770.59</v>
      </c>
      <c r="G393" s="30" t="n">
        <v>211.55</v>
      </c>
      <c r="H393" s="30" t="n">
        <v>-0.98</v>
      </c>
      <c r="I393" s="30" t="n">
        <v>3833874</v>
      </c>
      <c r="J393" s="30" t="inlineStr">
        <is>
          <t>540530</t>
        </is>
      </c>
    </row>
    <row r="394">
      <c r="A394" s="30" t="inlineStr">
        <is>
          <t>SWANDEF</t>
        </is>
      </c>
      <c r="B394" s="30" t="inlineStr">
        <is>
          <t>Swan Defence and Heavy Industries Ltd</t>
        </is>
      </c>
      <c r="C394" s="30" t="inlineStr">
        <is>
          <t>transportation</t>
        </is>
      </c>
      <c r="D394" s="30" t="inlineStr">
        <is>
          <t>miscellaneous</t>
        </is>
      </c>
      <c r="E394" s="30" t="inlineStr">
        <is>
          <t>midcap</t>
        </is>
      </c>
      <c r="F394" s="30" t="n">
        <v>10827.24</v>
      </c>
      <c r="G394" s="30" t="n">
        <v>2035.1</v>
      </c>
      <c r="H394" s="30" t="n">
        <v>-0.98</v>
      </c>
      <c r="I394" s="30" t="n">
        <v>9200</v>
      </c>
      <c r="J394" s="30" t="inlineStr">
        <is>
          <t>533107</t>
        </is>
      </c>
    </row>
    <row r="395">
      <c r="A395" s="30" t="inlineStr">
        <is>
          <t>CREST</t>
        </is>
      </c>
      <c r="B395" s="30" t="inlineStr">
        <is>
          <t>Crest Ventures Limited</t>
        </is>
      </c>
      <c r="C395" s="30" t="inlineStr">
        <is>
          <t>financials</t>
        </is>
      </c>
      <c r="D395" s="30" t="inlineStr">
        <is>
          <t>finance &amp; investments</t>
        </is>
      </c>
      <c r="E395" s="30" t="inlineStr">
        <is>
          <t>smallcap</t>
        </is>
      </c>
      <c r="F395" s="30" t="n">
        <v>1134.43</v>
      </c>
      <c r="G395" s="30" t="n">
        <v>394.8</v>
      </c>
      <c r="H395" s="30" t="n">
        <v>-0.99</v>
      </c>
      <c r="I395" s="30" t="n">
        <v>8460</v>
      </c>
      <c r="J395" s="30" t="inlineStr">
        <is>
          <t>511413</t>
        </is>
      </c>
    </row>
    <row r="396">
      <c r="A396" s="30" t="inlineStr">
        <is>
          <t>IDEAFORGE</t>
        </is>
      </c>
      <c r="B396" s="30" t="inlineStr">
        <is>
          <t>Ideaforge Technology Ltd</t>
        </is>
      </c>
      <c r="C396" s="30" t="inlineStr">
        <is>
          <t>aerospace &amp; defence</t>
        </is>
      </c>
      <c r="D396" s="30" t="inlineStr">
        <is>
          <t>engineering</t>
        </is>
      </c>
      <c r="E396" s="30" t="inlineStr">
        <is>
          <t>smallcap</t>
        </is>
      </c>
      <c r="F396" s="30" t="n">
        <v>4020.77</v>
      </c>
      <c r="G396" s="30" t="n">
        <v>919.75</v>
      </c>
      <c r="H396" s="30" t="n">
        <v>-1.01</v>
      </c>
      <c r="I396" s="30" t="n">
        <v>198342</v>
      </c>
      <c r="J396" s="30" t="inlineStr">
        <is>
          <t>543932</t>
        </is>
      </c>
    </row>
    <row r="397">
      <c r="A397" s="30" t="inlineStr">
        <is>
          <t>POWERMECH</t>
        </is>
      </c>
      <c r="B397" s="30" t="inlineStr">
        <is>
          <t>Power Mech Projects Limited</t>
        </is>
      </c>
      <c r="C397" s="30" t="inlineStr">
        <is>
          <t>realty</t>
        </is>
      </c>
      <c r="D397" s="30" t="inlineStr">
        <is>
          <t>engineering - turnkey services</t>
        </is>
      </c>
      <c r="E397" s="30" t="inlineStr">
        <is>
          <t>midcap</t>
        </is>
      </c>
      <c r="F397" s="30" t="n">
        <v>8988.51</v>
      </c>
      <c r="G397" s="30" t="n">
        <v>2814.2</v>
      </c>
      <c r="H397" s="30" t="n">
        <v>-1.01</v>
      </c>
      <c r="I397" s="30" t="n">
        <v>75335</v>
      </c>
      <c r="J397" s="30" t="inlineStr">
        <is>
          <t>539302</t>
        </is>
      </c>
    </row>
    <row r="398">
      <c r="A398" s="30" t="inlineStr">
        <is>
          <t>SANGHVIMOV</t>
        </is>
      </c>
      <c r="B398" s="30" t="inlineStr">
        <is>
          <t>Sanghvi Movers Limited</t>
        </is>
      </c>
      <c r="C398" s="30" t="inlineStr">
        <is>
          <t>miscellaneous</t>
        </is>
      </c>
      <c r="D398" s="30" t="inlineStr">
        <is>
          <t>miscellaneous</t>
        </is>
      </c>
      <c r="E398" s="30" t="inlineStr">
        <is>
          <t>smallcap</t>
        </is>
      </c>
      <c r="F398" s="30" t="n">
        <v>3605.89</v>
      </c>
      <c r="G398" s="30" t="n">
        <v>412.3</v>
      </c>
      <c r="H398" s="30" t="n">
        <v>-1.01</v>
      </c>
      <c r="I398" s="30" t="n">
        <v>370253</v>
      </c>
      <c r="J398" s="30" t="inlineStr">
        <is>
          <t>530073</t>
        </is>
      </c>
    </row>
    <row r="399">
      <c r="A399" s="30" t="inlineStr">
        <is>
          <t>VARROC</t>
        </is>
      </c>
      <c r="B399" s="30" t="inlineStr">
        <is>
          <t>Varroc Engineering Ltd</t>
        </is>
      </c>
      <c r="C399" s="30" t="inlineStr">
        <is>
          <t>auto</t>
        </is>
      </c>
      <c r="D399" s="30" t="inlineStr">
        <is>
          <t>auto ancillaries</t>
        </is>
      </c>
      <c r="E399" s="30" t="inlineStr">
        <is>
          <t>midcap</t>
        </is>
      </c>
      <c r="F399" s="30" t="n">
        <v>9468.17</v>
      </c>
      <c r="G399" s="30" t="n">
        <v>613.35</v>
      </c>
      <c r="H399" s="30" t="n">
        <v>-1.02</v>
      </c>
      <c r="I399" s="30" t="n">
        <v>126113</v>
      </c>
      <c r="J399" s="30" t="inlineStr">
        <is>
          <t>541578</t>
        </is>
      </c>
    </row>
    <row r="400">
      <c r="A400" s="30" t="inlineStr">
        <is>
          <t>SFL</t>
        </is>
      </c>
      <c r="B400" s="30" t="inlineStr">
        <is>
          <t>Sheela Foam Limited</t>
        </is>
      </c>
      <c r="C400" s="30" t="inlineStr">
        <is>
          <t>consumer discretionary</t>
        </is>
      </c>
      <c r="D400" s="30" t="inlineStr">
        <is>
          <t>miscellaneous</t>
        </is>
      </c>
      <c r="E400" s="30" t="inlineStr">
        <is>
          <t>midcap</t>
        </is>
      </c>
      <c r="F400" s="30" t="n">
        <v>7715.75</v>
      </c>
      <c r="G400" s="30" t="n">
        <v>702.45</v>
      </c>
      <c r="H400" s="30" t="n">
        <v>-1.03</v>
      </c>
      <c r="I400" s="30" t="n">
        <v>199383</v>
      </c>
      <c r="J400" s="30" t="inlineStr">
        <is>
          <t>540203</t>
        </is>
      </c>
    </row>
    <row r="401">
      <c r="A401" s="30" t="inlineStr">
        <is>
          <t>KMEW</t>
        </is>
      </c>
      <c r="B401" s="30" t="inlineStr">
        <is>
          <t>Knowledge Marine &amp; Engineering Works Ltd</t>
        </is>
      </c>
      <c r="C401" s="30" t="inlineStr">
        <is>
          <t>transportation</t>
        </is>
      </c>
      <c r="D401" s="30" t="inlineStr">
        <is>
          <t>miscellaneous</t>
        </is>
      </c>
      <c r="E401" s="30" t="inlineStr">
        <is>
          <t>midcap</t>
        </is>
      </c>
      <c r="F401" s="30" t="n">
        <v>5074.35</v>
      </c>
      <c r="G401" s="30" t="n">
        <v>2054.3</v>
      </c>
      <c r="H401" s="30" t="n">
        <v>-1.04</v>
      </c>
      <c r="I401" s="30" t="n">
        <v>66186</v>
      </c>
      <c r="J401" s="30" t="inlineStr">
        <is>
          <t>543273</t>
        </is>
      </c>
    </row>
    <row r="402">
      <c r="A402" s="30" t="inlineStr">
        <is>
          <t>RPGLIFE</t>
        </is>
      </c>
      <c r="B402" s="30" t="inlineStr">
        <is>
          <t>Rpg Life Sciences Limited</t>
        </is>
      </c>
      <c r="C402" s="30" t="inlineStr">
        <is>
          <t>healthcare</t>
        </is>
      </c>
      <c r="D402" s="30" t="inlineStr">
        <is>
          <t>pharmaceuticals - indian - bulk drugs &amp; formln</t>
        </is>
      </c>
      <c r="E402" s="30" t="inlineStr">
        <is>
          <t>smallcap</t>
        </is>
      </c>
      <c r="F402" s="30" t="n">
        <v>3807.28</v>
      </c>
      <c r="G402" s="30" t="n">
        <v>2278.1</v>
      </c>
      <c r="H402" s="30" t="n">
        <v>-1.04</v>
      </c>
      <c r="I402" s="30" t="n">
        <v>5366</v>
      </c>
      <c r="J402" s="30" t="inlineStr">
        <is>
          <t>532983</t>
        </is>
      </c>
    </row>
    <row r="403">
      <c r="A403" s="30" t="inlineStr">
        <is>
          <t>CREDITACC</t>
        </is>
      </c>
      <c r="B403" s="30" t="inlineStr">
        <is>
          <t>CreditAccess Grameen Ltd</t>
        </is>
      </c>
      <c r="C403" s="30" t="inlineStr">
        <is>
          <t>financials</t>
        </is>
      </c>
      <c r="D403" s="30" t="inlineStr">
        <is>
          <t>finance &amp; investments</t>
        </is>
      </c>
      <c r="E403" s="30" t="inlineStr">
        <is>
          <t>largecap</t>
        </is>
      </c>
      <c r="F403" s="30" t="n">
        <v>22986.53</v>
      </c>
      <c r="G403" s="30" t="n">
        <v>1419.6</v>
      </c>
      <c r="H403" s="30" t="n">
        <v>-1.07</v>
      </c>
      <c r="I403" s="30" t="n">
        <v>181833</v>
      </c>
      <c r="J403" s="30" t="inlineStr">
        <is>
          <t>541770</t>
        </is>
      </c>
    </row>
    <row r="404">
      <c r="A404" s="30" t="inlineStr">
        <is>
          <t>HAL</t>
        </is>
      </c>
      <c r="B404" s="30" t="inlineStr">
        <is>
          <t>Hindustan Aeronautics Ltd</t>
        </is>
      </c>
      <c r="C404" s="30" t="inlineStr">
        <is>
          <t>aerospace &amp; defence</t>
        </is>
      </c>
      <c r="D404" s="30" t="inlineStr">
        <is>
          <t>engineering</t>
        </is>
      </c>
      <c r="E404" s="30" t="inlineStr">
        <is>
          <t>largecap</t>
        </is>
      </c>
      <c r="F404" s="30" t="n">
        <v>298307.09</v>
      </c>
      <c r="G404" s="30" t="n">
        <v>4411.5</v>
      </c>
      <c r="H404" s="30" t="n">
        <v>-1.1</v>
      </c>
      <c r="I404" s="30" t="n">
        <v>851920</v>
      </c>
      <c r="J404" s="30" t="inlineStr">
        <is>
          <t>541154</t>
        </is>
      </c>
    </row>
    <row r="405">
      <c r="A405" s="30" t="inlineStr">
        <is>
          <t>ARVSMART</t>
        </is>
      </c>
      <c r="B405" s="30" t="inlineStr">
        <is>
          <t>Arvind Smartspaces Limited</t>
        </is>
      </c>
      <c r="C405" s="30" t="inlineStr">
        <is>
          <t>realty</t>
        </is>
      </c>
      <c r="D405" s="30" t="inlineStr">
        <is>
          <t>construction</t>
        </is>
      </c>
      <c r="E405" s="30" t="inlineStr">
        <is>
          <t>smallcap</t>
        </is>
      </c>
      <c r="F405" s="30" t="n">
        <v>2827.47</v>
      </c>
      <c r="G405" s="30" t="n">
        <v>609.65</v>
      </c>
      <c r="H405" s="30" t="n">
        <v>-1.1</v>
      </c>
      <c r="I405" s="30" t="n">
        <v>64823</v>
      </c>
      <c r="J405" s="30" t="inlineStr">
        <is>
          <t>539301</t>
        </is>
      </c>
    </row>
    <row r="406">
      <c r="A406" s="30" t="inlineStr">
        <is>
          <t>DIACABS</t>
        </is>
      </c>
      <c r="B406" s="30" t="inlineStr">
        <is>
          <t>Diamond Power Infrastructure Ltd</t>
        </is>
      </c>
      <c r="C406" s="30" t="inlineStr">
        <is>
          <t>industrials</t>
        </is>
      </c>
      <c r="D406" s="30" t="inlineStr">
        <is>
          <t>cables - power</t>
        </is>
      </c>
      <c r="E406" s="30" t="inlineStr">
        <is>
          <t>midcap</t>
        </is>
      </c>
      <c r="F406" s="30" t="n">
        <v>10777.09</v>
      </c>
      <c r="G406" s="30" t="n">
        <v>202.25</v>
      </c>
      <c r="H406" s="30" t="n">
        <v>-1.11</v>
      </c>
      <c r="I406" s="30" t="n">
        <v>5046488</v>
      </c>
      <c r="J406" s="30" t="inlineStr">
        <is>
          <t>522163</t>
        </is>
      </c>
    </row>
    <row r="407">
      <c r="A407" s="30" t="inlineStr">
        <is>
          <t>STEELCAS</t>
        </is>
      </c>
      <c r="B407" s="30" t="inlineStr">
        <is>
          <t>Steelcast Ltd</t>
        </is>
      </c>
      <c r="C407" s="30" t="inlineStr">
        <is>
          <t>industrials</t>
        </is>
      </c>
      <c r="D407" s="30" t="inlineStr">
        <is>
          <t>castings &amp; forgings</t>
        </is>
      </c>
      <c r="E407" s="30" t="inlineStr">
        <is>
          <t>smallcap</t>
        </is>
      </c>
      <c r="F407" s="30" t="n">
        <v>2992.99</v>
      </c>
      <c r="G407" s="30" t="n">
        <v>292.4</v>
      </c>
      <c r="H407" s="30" t="n">
        <v>-1.13</v>
      </c>
      <c r="I407" s="30" t="n">
        <v>95368</v>
      </c>
      <c r="J407" s="30" t="inlineStr">
        <is>
          <t>513517</t>
        </is>
      </c>
    </row>
    <row r="408">
      <c r="A408" s="30" t="inlineStr">
        <is>
          <t>VINDHYATEL</t>
        </is>
      </c>
      <c r="B408" s="30" t="inlineStr">
        <is>
          <t>Vindhya Telelinks Limited</t>
        </is>
      </c>
      <c r="C408" s="30" t="inlineStr">
        <is>
          <t>realty</t>
        </is>
      </c>
      <c r="D408" s="30" t="inlineStr">
        <is>
          <t>construction</t>
        </is>
      </c>
      <c r="E408" s="30" t="inlineStr">
        <is>
          <t>smallcap</t>
        </is>
      </c>
      <c r="F408" s="30" t="n">
        <v>2612.52</v>
      </c>
      <c r="G408" s="30" t="n">
        <v>2179.5</v>
      </c>
      <c r="H408" s="30" t="n">
        <v>-1.13</v>
      </c>
      <c r="I408" s="30" t="n">
        <v>62203</v>
      </c>
      <c r="J408" s="30" t="inlineStr">
        <is>
          <t>517015</t>
        </is>
      </c>
    </row>
    <row r="409">
      <c r="A409" s="30" t="inlineStr">
        <is>
          <t>JTLIND</t>
        </is>
      </c>
      <c r="B409" s="30" t="inlineStr">
        <is>
          <t>JTL Industries Ltd</t>
        </is>
      </c>
      <c r="C409" s="30" t="inlineStr">
        <is>
          <t>metals &amp; mining</t>
        </is>
      </c>
      <c r="D409" s="30" t="inlineStr">
        <is>
          <t>steel - medium / small</t>
        </is>
      </c>
      <c r="E409" s="30" t="inlineStr">
        <is>
          <t>smallcap</t>
        </is>
      </c>
      <c r="F409" s="30" t="n">
        <v>2994.1</v>
      </c>
      <c r="G409" s="30" t="n">
        <v>75.28</v>
      </c>
      <c r="H409" s="30" t="n">
        <v>-1.17</v>
      </c>
      <c r="I409" s="30" t="n">
        <v>1758387</v>
      </c>
      <c r="J409" s="30" t="inlineStr">
        <is>
          <t>534600</t>
        </is>
      </c>
    </row>
    <row r="410">
      <c r="A410" s="30" t="inlineStr">
        <is>
          <t>MARINE</t>
        </is>
      </c>
      <c r="B410" s="30" t="inlineStr">
        <is>
          <t>Marine Electricals (India) Ltd</t>
        </is>
      </c>
      <c r="C410" s="30" t="inlineStr">
        <is>
          <t>industrials</t>
        </is>
      </c>
      <c r="D410" s="30" t="inlineStr">
        <is>
          <t>electric equipment</t>
        </is>
      </c>
      <c r="E410" s="30" t="inlineStr">
        <is>
          <t>smallcap</t>
        </is>
      </c>
      <c r="F410" s="30" t="n">
        <v>649.27</v>
      </c>
      <c r="G410" s="30" t="n">
        <v>261.5</v>
      </c>
      <c r="H410" s="30" t="n">
        <v>-1.19</v>
      </c>
      <c r="I410" s="30" t="n">
        <v>578199</v>
      </c>
      <c r="J410" s="30" t="inlineStr">
        <is>
          <t>535119</t>
        </is>
      </c>
    </row>
    <row r="411">
      <c r="A411" s="30" t="inlineStr">
        <is>
          <t>PRECWIRE</t>
        </is>
      </c>
      <c r="B411" s="30" t="inlineStr">
        <is>
          <t>Precision Wires India Limited</t>
        </is>
      </c>
      <c r="C411" s="30" t="inlineStr">
        <is>
          <t>metals &amp; mining</t>
        </is>
      </c>
      <c r="D411" s="30" t="inlineStr">
        <is>
          <t>mining / minerals / metals</t>
        </is>
      </c>
      <c r="E411" s="30" t="inlineStr">
        <is>
          <t>midcap</t>
        </is>
      </c>
      <c r="F411" s="30" t="n">
        <v>7840.63</v>
      </c>
      <c r="G411" s="30" t="n">
        <v>423.75</v>
      </c>
      <c r="H411" s="30" t="n">
        <v>-1.2</v>
      </c>
      <c r="I411" s="30" t="n">
        <v>238983</v>
      </c>
      <c r="J411" s="30" t="inlineStr">
        <is>
          <t>523539</t>
        </is>
      </c>
    </row>
    <row r="412">
      <c r="A412" s="30" t="inlineStr">
        <is>
          <t>EQUITASBNK</t>
        </is>
      </c>
      <c r="B412" s="30" t="inlineStr">
        <is>
          <t>Equitas Small Finance Bank Ltd</t>
        </is>
      </c>
      <c r="C412" s="30" t="inlineStr">
        <is>
          <t>bank</t>
        </is>
      </c>
      <c r="D412" s="30" t="inlineStr">
        <is>
          <t>banks - private sector</t>
        </is>
      </c>
      <c r="E412" s="30" t="inlineStr">
        <is>
          <t>midcap</t>
        </is>
      </c>
      <c r="F412" s="30" t="n">
        <v>8974.299999999999</v>
      </c>
      <c r="G412" s="30" t="n">
        <v>77.7</v>
      </c>
      <c r="H412" s="30" t="n">
        <v>-1.21</v>
      </c>
      <c r="I412" s="30" t="n">
        <v>2668337</v>
      </c>
      <c r="J412" s="30" t="inlineStr">
        <is>
          <t>543243</t>
        </is>
      </c>
    </row>
    <row r="413">
      <c r="A413" s="30" t="inlineStr">
        <is>
          <t>TALBROAUTO</t>
        </is>
      </c>
      <c r="B413" s="30" t="inlineStr">
        <is>
          <t>Talbros Automotive Components Limited</t>
        </is>
      </c>
      <c r="C413" s="30" t="inlineStr">
        <is>
          <t>auto</t>
        </is>
      </c>
      <c r="D413" s="30" t="inlineStr">
        <is>
          <t>auto ancillaries</t>
        </is>
      </c>
      <c r="E413" s="30" t="inlineStr">
        <is>
          <t>smallcap</t>
        </is>
      </c>
      <c r="F413" s="30" t="n">
        <v>2212.34</v>
      </c>
      <c r="G413" s="30" t="n">
        <v>354.05</v>
      </c>
      <c r="H413" s="30" t="n">
        <v>-1.21</v>
      </c>
      <c r="I413" s="30" t="n">
        <v>159555</v>
      </c>
      <c r="J413" s="30" t="inlineStr">
        <is>
          <t>505160</t>
        </is>
      </c>
    </row>
    <row r="414">
      <c r="A414" s="30" t="inlineStr">
        <is>
          <t>KERNEX</t>
        </is>
      </c>
      <c r="B414" s="30" t="inlineStr">
        <is>
          <t>Kernex Microsystems (india) Limited</t>
        </is>
      </c>
      <c r="C414" s="30" t="inlineStr">
        <is>
          <t>consumer discretionary</t>
        </is>
      </c>
      <c r="D414" s="30" t="inlineStr">
        <is>
          <t>electronics - components</t>
        </is>
      </c>
      <c r="E414" s="30" t="inlineStr">
        <is>
          <t>smallcap</t>
        </is>
      </c>
      <c r="F414" s="30" t="n">
        <v>3534.39</v>
      </c>
      <c r="G414" s="30" t="n">
        <v>2077.7</v>
      </c>
      <c r="H414" s="30" t="n">
        <v>-1.23</v>
      </c>
      <c r="I414" s="30" t="n">
        <v>182145</v>
      </c>
      <c r="J414" s="30" t="inlineStr">
        <is>
          <t>532686</t>
        </is>
      </c>
    </row>
    <row r="415">
      <c r="A415" s="30" t="inlineStr">
        <is>
          <t>GALAPREC</t>
        </is>
      </c>
      <c r="B415" s="30" t="inlineStr">
        <is>
          <t>Gala Precision Engineering Ltd</t>
        </is>
      </c>
      <c r="C415" s="30" t="inlineStr">
        <is>
          <t>industrials</t>
        </is>
      </c>
      <c r="D415" s="30" t="inlineStr">
        <is>
          <t>fasteners</t>
        </is>
      </c>
      <c r="E415" s="30" t="inlineStr">
        <is>
          <t>smallcap</t>
        </is>
      </c>
      <c r="F415" s="30" t="n">
        <v>1318.51</v>
      </c>
      <c r="G415" s="30" t="n">
        <v>1021</v>
      </c>
      <c r="H415" s="30" t="n">
        <v>-1.27</v>
      </c>
      <c r="I415" s="30" t="n">
        <v>43935</v>
      </c>
      <c r="J415" s="30" t="inlineStr">
        <is>
          <t>544244</t>
        </is>
      </c>
    </row>
    <row r="416">
      <c r="A416" s="30" t="inlineStr">
        <is>
          <t>PETRONET</t>
        </is>
      </c>
      <c r="B416" s="30" t="inlineStr">
        <is>
          <t>Petronet Lng Limited</t>
        </is>
      </c>
      <c r="C416" s="30" t="inlineStr">
        <is>
          <t>energy</t>
        </is>
      </c>
      <c r="D416" s="30" t="inlineStr">
        <is>
          <t>miscellaneous</t>
        </is>
      </c>
      <c r="E416" s="30" t="inlineStr">
        <is>
          <t>largecap</t>
        </is>
      </c>
      <c r="F416" s="30" t="n">
        <v>43800</v>
      </c>
      <c r="G416" s="30" t="n">
        <v>288.25</v>
      </c>
      <c r="H416" s="30" t="n">
        <v>-1.28</v>
      </c>
      <c r="I416" s="30" t="n">
        <v>3730101</v>
      </c>
      <c r="J416" s="30" t="inlineStr">
        <is>
          <t>532522</t>
        </is>
      </c>
    </row>
    <row r="417">
      <c r="A417" s="30" t="inlineStr">
        <is>
          <t>ARVINDFASN</t>
        </is>
      </c>
      <c r="B417" s="30" t="inlineStr">
        <is>
          <t>Arvind Fashions Ltd</t>
        </is>
      </c>
      <c r="C417" s="30" t="inlineStr">
        <is>
          <t>consumer discretionary</t>
        </is>
      </c>
      <c r="D417" s="30" t="inlineStr">
        <is>
          <t>trading</t>
        </is>
      </c>
      <c r="E417" s="30" t="inlineStr">
        <is>
          <t>midcap</t>
        </is>
      </c>
      <c r="F417" s="30" t="n">
        <v>6472.91</v>
      </c>
      <c r="G417" s="30" t="n">
        <v>478.1</v>
      </c>
      <c r="H417" s="30" t="n">
        <v>-1.28</v>
      </c>
      <c r="I417" s="30" t="n">
        <v>247657</v>
      </c>
      <c r="J417" s="30" t="inlineStr">
        <is>
          <t>542484</t>
        </is>
      </c>
    </row>
    <row r="418">
      <c r="A418" s="30" t="inlineStr">
        <is>
          <t>MAXESTATES</t>
        </is>
      </c>
      <c r="B418" s="30" t="inlineStr">
        <is>
          <t>Max Estates Ltd</t>
        </is>
      </c>
      <c r="C418" s="30" t="inlineStr">
        <is>
          <t>realty</t>
        </is>
      </c>
      <c r="D418" s="30" t="inlineStr">
        <is>
          <t>construction</t>
        </is>
      </c>
      <c r="E418" s="30" t="inlineStr">
        <is>
          <t>midcap</t>
        </is>
      </c>
      <c r="F418" s="30" t="n">
        <v>7526.66</v>
      </c>
      <c r="G418" s="30" t="n">
        <v>454.15</v>
      </c>
      <c r="H418" s="30" t="n">
        <v>-1.38</v>
      </c>
      <c r="I418" s="30" t="n">
        <v>41477</v>
      </c>
      <c r="J418" s="30" t="inlineStr">
        <is>
          <t>544008</t>
        </is>
      </c>
    </row>
    <row r="419">
      <c r="A419" s="30" t="inlineStr">
        <is>
          <t>OCCLLTD</t>
        </is>
      </c>
      <c r="B419" s="30" t="inlineStr">
        <is>
          <t>OCCL Ltd</t>
        </is>
      </c>
      <c r="C419" s="30" t="inlineStr">
        <is>
          <t>chemicals</t>
        </is>
      </c>
      <c r="D419" s="30" t="inlineStr">
        <is>
          <t>chemicals</t>
        </is>
      </c>
      <c r="E419" s="30" t="inlineStr">
        <is>
          <t>smallcap</t>
        </is>
      </c>
      <c r="F419" s="30" t="n">
        <v>649.46</v>
      </c>
      <c r="G419" s="30" t="n">
        <v>128.21</v>
      </c>
      <c r="H419" s="30" t="n">
        <v>-1.39</v>
      </c>
      <c r="I419" s="30" t="n">
        <v>25901</v>
      </c>
      <c r="J419" s="30" t="inlineStr">
        <is>
          <t>544278</t>
        </is>
      </c>
    </row>
    <row r="420">
      <c r="A420" s="30" t="inlineStr">
        <is>
          <t>TIRUPATIFL</t>
        </is>
      </c>
      <c r="B420" s="30" t="inlineStr">
        <is>
          <t>Tirupati Forge Ltd</t>
        </is>
      </c>
      <c r="C420" s="30" t="inlineStr">
        <is>
          <t>industrials</t>
        </is>
      </c>
      <c r="D420" s="30" t="inlineStr">
        <is>
          <t>castings &amp; forgings</t>
        </is>
      </c>
      <c r="E420" s="30" t="inlineStr">
        <is>
          <t>smallcap</t>
        </is>
      </c>
      <c r="F420" s="30" t="n">
        <v>617.92</v>
      </c>
      <c r="G420" s="30" t="n">
        <v>47.16</v>
      </c>
      <c r="H420" s="30" t="n">
        <v>-1.4</v>
      </c>
      <c r="I420" s="30" t="n">
        <v>218205</v>
      </c>
      <c r="J420" s="30" t="inlineStr">
        <is>
          <t>535021</t>
        </is>
      </c>
    </row>
    <row r="421">
      <c r="A421" s="30" t="inlineStr">
        <is>
          <t>SUZLON</t>
        </is>
      </c>
      <c r="B421" s="30" t="inlineStr">
        <is>
          <t>Suzlon Energy Limited</t>
        </is>
      </c>
      <c r="C421" s="30" t="inlineStr">
        <is>
          <t>industrials</t>
        </is>
      </c>
      <c r="D421" s="30" t="inlineStr">
        <is>
          <t>electric equipment</t>
        </is>
      </c>
      <c r="E421" s="30" t="inlineStr">
        <is>
          <t>largecap</t>
        </is>
      </c>
      <c r="F421" s="30" t="n">
        <v>81286.92</v>
      </c>
      <c r="G421" s="30" t="n">
        <v>58.44</v>
      </c>
      <c r="H421" s="30" t="n">
        <v>-1.4</v>
      </c>
      <c r="I421" s="30" t="n">
        <v>82275577</v>
      </c>
      <c r="J421" s="30" t="inlineStr">
        <is>
          <t>532667</t>
        </is>
      </c>
    </row>
    <row r="422">
      <c r="A422" s="30" t="inlineStr">
        <is>
          <t>RPEL</t>
        </is>
      </c>
      <c r="B422" s="30" t="inlineStr">
        <is>
          <t>Raghav Productivity Enhancers Ltd</t>
        </is>
      </c>
      <c r="C422" s="30" t="inlineStr">
        <is>
          <t>building materials</t>
        </is>
      </c>
      <c r="D422" s="30" t="inlineStr">
        <is>
          <t>refractories / intermediates</t>
        </is>
      </c>
      <c r="E422" s="30" t="inlineStr">
        <is>
          <t>midcap</t>
        </is>
      </c>
      <c r="F422" s="30" t="n">
        <v>5539.97</v>
      </c>
      <c r="G422" s="30" t="n">
        <v>1189.75</v>
      </c>
      <c r="H422" s="30" t="n">
        <v>-1.4</v>
      </c>
      <c r="I422" s="30" t="n">
        <v>115993</v>
      </c>
      <c r="J422" s="30" t="inlineStr">
        <is>
          <t>539837</t>
        </is>
      </c>
    </row>
    <row r="423">
      <c r="A423" s="30" t="inlineStr">
        <is>
          <t>MMTC</t>
        </is>
      </c>
      <c r="B423" s="30" t="inlineStr">
        <is>
          <t>Mmtc Limited</t>
        </is>
      </c>
      <c r="C423" s="30" t="inlineStr">
        <is>
          <t>services</t>
        </is>
      </c>
      <c r="D423" s="30" t="inlineStr">
        <is>
          <t>trading</t>
        </is>
      </c>
      <c r="E423" s="30" t="inlineStr">
        <is>
          <t>midcap</t>
        </is>
      </c>
      <c r="F423" s="30" t="n">
        <v>11404.5</v>
      </c>
      <c r="G423" s="30" t="n">
        <v>74.95</v>
      </c>
      <c r="H423" s="30" t="n">
        <v>-1.42</v>
      </c>
      <c r="I423" s="30" t="n">
        <v>20107909</v>
      </c>
      <c r="J423" s="30" t="inlineStr">
        <is>
          <t>513377</t>
        </is>
      </c>
    </row>
    <row r="424">
      <c r="A424" s="30" t="inlineStr">
        <is>
          <t>FACT</t>
        </is>
      </c>
      <c r="B424" s="30" t="inlineStr">
        <is>
          <t>Fertilizers And Chemicals Travancore Limited</t>
        </is>
      </c>
      <c r="C424" s="30" t="inlineStr">
        <is>
          <t>chemicals</t>
        </is>
      </c>
      <c r="D424" s="30" t="inlineStr">
        <is>
          <t>fertilizers</t>
        </is>
      </c>
      <c r="E424" s="30" t="inlineStr">
        <is>
          <t>largecap</t>
        </is>
      </c>
      <c r="F424" s="30" t="n">
        <v>62610.68</v>
      </c>
      <c r="G424" s="30" t="n">
        <v>953.45</v>
      </c>
      <c r="H424" s="30" t="n">
        <v>-1.46</v>
      </c>
      <c r="I424" s="30" t="n">
        <v>386522</v>
      </c>
      <c r="J424" s="30" t="inlineStr">
        <is>
          <t>590024</t>
        </is>
      </c>
    </row>
    <row r="425">
      <c r="A425" s="30" t="inlineStr">
        <is>
          <t>ASHIANA</t>
        </is>
      </c>
      <c r="B425" s="30" t="inlineStr">
        <is>
          <t>Ashiana Housing Limited</t>
        </is>
      </c>
      <c r="C425" s="30" t="inlineStr">
        <is>
          <t>realty</t>
        </is>
      </c>
      <c r="D425" s="30" t="inlineStr">
        <is>
          <t>construction</t>
        </is>
      </c>
      <c r="E425" s="30" t="inlineStr">
        <is>
          <t>smallcap</t>
        </is>
      </c>
      <c r="F425" s="30" t="n">
        <v>3875.23</v>
      </c>
      <c r="G425" s="30" t="n">
        <v>379.6</v>
      </c>
      <c r="H425" s="30" t="n">
        <v>-1.53</v>
      </c>
      <c r="I425" s="30" t="n">
        <v>59701</v>
      </c>
      <c r="J425" s="30" t="inlineStr">
        <is>
          <t>523716</t>
        </is>
      </c>
    </row>
    <row r="426">
      <c r="A426" s="30" t="inlineStr">
        <is>
          <t>NCLIND</t>
        </is>
      </c>
      <c r="B426" s="30" t="inlineStr">
        <is>
          <t>Ncl Industries Limited</t>
        </is>
      </c>
      <c r="C426" s="30" t="inlineStr">
        <is>
          <t>building materials</t>
        </is>
      </c>
      <c r="D426" s="30" t="inlineStr">
        <is>
          <t>cement - south india</t>
        </is>
      </c>
      <c r="E426" s="30" t="inlineStr">
        <is>
          <t>smallcap</t>
        </is>
      </c>
      <c r="F426" s="30" t="n">
        <v>883.67</v>
      </c>
      <c r="G426" s="30" t="n">
        <v>192.36</v>
      </c>
      <c r="H426" s="30" t="n">
        <v>-1.54</v>
      </c>
      <c r="I426" s="30" t="n">
        <v>60885</v>
      </c>
      <c r="J426" s="30" t="inlineStr">
        <is>
          <t>502168</t>
        </is>
      </c>
    </row>
    <row r="427">
      <c r="A427" s="30" t="inlineStr">
        <is>
          <t>HSCL</t>
        </is>
      </c>
      <c r="B427" s="30" t="inlineStr">
        <is>
          <t>Himadri Speciality Chemical Limited</t>
        </is>
      </c>
      <c r="C427" s="30" t="inlineStr">
        <is>
          <t>chemicals</t>
        </is>
      </c>
      <c r="D427" s="30" t="inlineStr">
        <is>
          <t>chemicals</t>
        </is>
      </c>
      <c r="E427" s="30" t="inlineStr">
        <is>
          <t>largecap</t>
        </is>
      </c>
      <c r="F427" s="30" t="n">
        <v>35373.41</v>
      </c>
      <c r="G427" s="30" t="n">
        <v>690.3</v>
      </c>
      <c r="H427" s="30" t="n">
        <v>-1.54</v>
      </c>
      <c r="I427" s="30" t="n">
        <v>14206270</v>
      </c>
      <c r="J427" s="30" t="inlineStr">
        <is>
          <t>500184</t>
        </is>
      </c>
    </row>
    <row r="428">
      <c r="A428" s="30" t="inlineStr">
        <is>
          <t>DEEPAKFERT</t>
        </is>
      </c>
      <c r="B428" s="30" t="inlineStr">
        <is>
          <t>Deepak Fertilizers And Petrochemicals Corporation Limited</t>
        </is>
      </c>
      <c r="C428" s="30" t="inlineStr">
        <is>
          <t>chemicals</t>
        </is>
      </c>
      <c r="D428" s="30" t="inlineStr">
        <is>
          <t>chemicals</t>
        </is>
      </c>
      <c r="E428" s="30" t="inlineStr">
        <is>
          <t>midcap</t>
        </is>
      </c>
      <c r="F428" s="30" t="n">
        <v>19573.17</v>
      </c>
      <c r="G428" s="30" t="n">
        <v>1525.7</v>
      </c>
      <c r="H428" s="30" t="n">
        <v>-1.6</v>
      </c>
      <c r="I428" s="30" t="n">
        <v>220879</v>
      </c>
      <c r="J428" s="30" t="inlineStr">
        <is>
          <t>500645</t>
        </is>
      </c>
    </row>
    <row r="429">
      <c r="A429" s="30" t="inlineStr">
        <is>
          <t>EPL</t>
        </is>
      </c>
      <c r="B429" s="30" t="inlineStr">
        <is>
          <t>EPL Ltd</t>
        </is>
      </c>
      <c r="C429" s="30" t="inlineStr">
        <is>
          <t>industrials</t>
        </is>
      </c>
      <c r="D429" s="30" t="inlineStr">
        <is>
          <t>packaging</t>
        </is>
      </c>
      <c r="E429" s="30" t="inlineStr">
        <is>
          <t>midcap</t>
        </is>
      </c>
      <c r="F429" s="30" t="n">
        <v>7462.1</v>
      </c>
      <c r="G429" s="30" t="n">
        <v>229.23</v>
      </c>
      <c r="H429" s="30" t="n">
        <v>-1.62</v>
      </c>
      <c r="I429" s="30" t="n">
        <v>720291</v>
      </c>
      <c r="J429" s="30" t="inlineStr">
        <is>
          <t>500135</t>
        </is>
      </c>
    </row>
    <row r="430">
      <c r="A430" s="30" t="inlineStr">
        <is>
          <t>BOROSCI</t>
        </is>
      </c>
      <c r="B430" s="30" t="inlineStr">
        <is>
          <t>Borosil Scientific Ltd</t>
        </is>
      </c>
      <c r="C430" s="30" t="inlineStr">
        <is>
          <t>building materials</t>
        </is>
      </c>
      <c r="D430" s="30" t="inlineStr">
        <is>
          <t>glass &amp; glass products</t>
        </is>
      </c>
      <c r="E430" s="30" t="inlineStr">
        <is>
          <t>smallcap</t>
        </is>
      </c>
      <c r="F430" s="30" t="n">
        <v>1391.58</v>
      </c>
      <c r="G430" s="30" t="n">
        <v>153.91</v>
      </c>
      <c r="H430" s="30" t="n">
        <v>-1.62</v>
      </c>
      <c r="I430" s="30" t="n">
        <v>95172</v>
      </c>
      <c r="J430" s="30" t="inlineStr">
        <is>
          <t>544184</t>
        </is>
      </c>
    </row>
    <row r="431">
      <c r="A431" s="30" t="inlineStr">
        <is>
          <t>WOCKPHARMA</t>
        </is>
      </c>
      <c r="B431" s="30" t="inlineStr">
        <is>
          <t>Wockhardt Limited</t>
        </is>
      </c>
      <c r="C431" s="30" t="inlineStr">
        <is>
          <t>healthcare</t>
        </is>
      </c>
      <c r="D431" s="30" t="inlineStr">
        <is>
          <t>pharmaceuticals - indian - bulk drugs &amp; formln</t>
        </is>
      </c>
      <c r="E431" s="30" t="inlineStr">
        <is>
          <t>largecap</t>
        </is>
      </c>
      <c r="F431" s="30" t="n">
        <v>32868.92</v>
      </c>
      <c r="G431" s="30" t="n">
        <v>1989.2</v>
      </c>
      <c r="H431" s="30" t="n">
        <v>-1.66</v>
      </c>
      <c r="I431" s="30" t="n">
        <v>3036073</v>
      </c>
      <c r="J431" s="30" t="inlineStr">
        <is>
          <t>532300</t>
        </is>
      </c>
    </row>
    <row r="432">
      <c r="A432" s="30" t="inlineStr">
        <is>
          <t>RAMCOSYS</t>
        </is>
      </c>
      <c r="B432" s="30" t="inlineStr">
        <is>
          <t>Ramco Systems Limited</t>
        </is>
      </c>
      <c r="C432" s="30" t="inlineStr">
        <is>
          <t>i.t</t>
        </is>
      </c>
      <c r="D432" s="30" t="inlineStr">
        <is>
          <t>computers - software - medium / small</t>
        </is>
      </c>
      <c r="E432" s="30" t="inlineStr">
        <is>
          <t>smallcap</t>
        </is>
      </c>
      <c r="F432" s="30" t="n">
        <v>2133.6</v>
      </c>
      <c r="G432" s="30" t="n">
        <v>560.75</v>
      </c>
      <c r="H432" s="30" t="n">
        <v>-1.67</v>
      </c>
      <c r="I432" s="30" t="n">
        <v>106268</v>
      </c>
      <c r="J432" s="30" t="inlineStr">
        <is>
          <t>532370</t>
        </is>
      </c>
    </row>
    <row r="433">
      <c r="A433" s="30" t="inlineStr">
        <is>
          <t>ITDC</t>
        </is>
      </c>
      <c r="B433" s="30" t="inlineStr">
        <is>
          <t>India Tourism Development Corporation Ltd</t>
        </is>
      </c>
      <c r="C433" s="30" t="inlineStr">
        <is>
          <t>services</t>
        </is>
      </c>
      <c r="D433" s="30" t="inlineStr">
        <is>
          <t>hotels</t>
        </is>
      </c>
      <c r="E433" s="30" t="inlineStr">
        <is>
          <t>midcap</t>
        </is>
      </c>
      <c r="F433" s="30" t="n">
        <v>5337</v>
      </c>
      <c r="G433" s="30" t="n">
        <v>611.65</v>
      </c>
      <c r="H433" s="30" t="n">
        <v>-1.7</v>
      </c>
      <c r="I433" s="30" t="n">
        <v>151909</v>
      </c>
      <c r="J433" s="30" t="inlineStr">
        <is>
          <t>532189</t>
        </is>
      </c>
    </row>
    <row r="434">
      <c r="A434" s="30" t="inlineStr">
        <is>
          <t>BLSE</t>
        </is>
      </c>
      <c r="B434" s="30" t="inlineStr">
        <is>
          <t>BLS E-Services Ltd</t>
        </is>
      </c>
      <c r="C434" s="30" t="inlineStr">
        <is>
          <t>i.t</t>
        </is>
      </c>
      <c r="D434" s="30" t="inlineStr">
        <is>
          <t>computers - software - medium / small</t>
        </is>
      </c>
      <c r="E434" s="30" t="inlineStr">
        <is>
          <t>smallcap</t>
        </is>
      </c>
      <c r="F434" s="30" t="n">
        <v>2080.7</v>
      </c>
      <c r="G434" s="30" t="n">
        <v>225.11</v>
      </c>
      <c r="H434" s="30" t="n">
        <v>-1.7</v>
      </c>
      <c r="I434" s="30" t="n">
        <v>85681</v>
      </c>
      <c r="J434" s="30" t="inlineStr">
        <is>
          <t>544107</t>
        </is>
      </c>
    </row>
    <row r="435">
      <c r="A435" s="30" t="inlineStr">
        <is>
          <t>GEOJITFSL</t>
        </is>
      </c>
      <c r="B435" s="30" t="inlineStr">
        <is>
          <t>Geojit Financial Services Ltd</t>
        </is>
      </c>
      <c r="C435" s="30" t="inlineStr">
        <is>
          <t>financials</t>
        </is>
      </c>
      <c r="D435" s="30" t="inlineStr">
        <is>
          <t>finance &amp; investments</t>
        </is>
      </c>
      <c r="E435" s="30" t="inlineStr">
        <is>
          <t>smallcap</t>
        </is>
      </c>
      <c r="F435" s="30" t="n">
        <v>2207.58</v>
      </c>
      <c r="G435" s="30" t="n">
        <v>77.69</v>
      </c>
      <c r="H435" s="30" t="n">
        <v>-1.77</v>
      </c>
      <c r="I435" s="30" t="n">
        <v>321646</v>
      </c>
      <c r="J435" s="30" t="inlineStr">
        <is>
          <t>532285</t>
        </is>
      </c>
    </row>
    <row r="436">
      <c r="A436" s="30" t="inlineStr">
        <is>
          <t>SATIN</t>
        </is>
      </c>
      <c r="B436" s="30" t="inlineStr">
        <is>
          <t>Satin Creditcare Network Limited</t>
        </is>
      </c>
      <c r="C436" s="30" t="inlineStr">
        <is>
          <t>financials</t>
        </is>
      </c>
      <c r="D436" s="30" t="inlineStr">
        <is>
          <t>finance &amp; investments</t>
        </is>
      </c>
      <c r="E436" s="30" t="inlineStr">
        <is>
          <t>smallcap</t>
        </is>
      </c>
      <c r="F436" s="30" t="n">
        <v>2602.59</v>
      </c>
      <c r="G436" s="30" t="n">
        <v>231.43</v>
      </c>
      <c r="H436" s="30" t="n">
        <v>-1.77</v>
      </c>
      <c r="I436" s="30" t="n">
        <v>190544</v>
      </c>
      <c r="J436" s="30" t="inlineStr">
        <is>
          <t>539404</t>
        </is>
      </c>
    </row>
    <row r="437">
      <c r="A437" s="30" t="inlineStr">
        <is>
          <t>RIIL</t>
        </is>
      </c>
      <c r="B437" s="30" t="inlineStr">
        <is>
          <t>Reliance Industrial Infrastructure Limited</t>
        </is>
      </c>
      <c r="C437" s="30" t="inlineStr">
        <is>
          <t>transportation</t>
        </is>
      </c>
      <c r="D437" s="30" t="inlineStr">
        <is>
          <t>miscellaneous</t>
        </is>
      </c>
      <c r="E437" s="30" t="inlineStr">
        <is>
          <t>smallcap</t>
        </is>
      </c>
      <c r="F437" s="30" t="n">
        <v>1325.4</v>
      </c>
      <c r="G437" s="30" t="n">
        <v>862</v>
      </c>
      <c r="H437" s="30" t="n">
        <v>-1.79</v>
      </c>
      <c r="I437" s="30" t="n">
        <v>197858</v>
      </c>
      <c r="J437" s="30" t="inlineStr">
        <is>
          <t>523445</t>
        </is>
      </c>
    </row>
    <row r="438">
      <c r="A438" s="30" t="inlineStr">
        <is>
          <t>APARINDS</t>
        </is>
      </c>
      <c r="B438" s="30" t="inlineStr">
        <is>
          <t>Apar Industries Limited</t>
        </is>
      </c>
      <c r="C438" s="30" t="inlineStr">
        <is>
          <t>industrials</t>
        </is>
      </c>
      <c r="D438" s="30" t="inlineStr">
        <is>
          <t>electric equipment</t>
        </is>
      </c>
      <c r="E438" s="30" t="inlineStr">
        <is>
          <t>largecap</t>
        </is>
      </c>
      <c r="F438" s="30" t="n">
        <v>64683.04</v>
      </c>
      <c r="G438" s="30" t="n">
        <v>15812</v>
      </c>
      <c r="H438" s="30" t="n">
        <v>-1.81</v>
      </c>
      <c r="I438" s="30" t="n">
        <v>186120</v>
      </c>
      <c r="J438" s="30" t="inlineStr">
        <is>
          <t>532259</t>
        </is>
      </c>
    </row>
    <row r="439">
      <c r="A439" s="30" t="inlineStr">
        <is>
          <t>KAMDHENU</t>
        </is>
      </c>
      <c r="B439" s="30" t="inlineStr">
        <is>
          <t>Kamdhenu Limited</t>
        </is>
      </c>
      <c r="C439" s="30" t="inlineStr">
        <is>
          <t>metals &amp; mining</t>
        </is>
      </c>
      <c r="D439" s="30" t="inlineStr">
        <is>
          <t>steel - medium / small</t>
        </is>
      </c>
      <c r="E439" s="30" t="inlineStr">
        <is>
          <t>smallcap</t>
        </is>
      </c>
      <c r="F439" s="30" t="n">
        <v>854.95</v>
      </c>
      <c r="G439" s="30" t="n">
        <v>29.76</v>
      </c>
      <c r="H439" s="30" t="n">
        <v>-1.88</v>
      </c>
      <c r="I439" s="30" t="n">
        <v>1409344</v>
      </c>
      <c r="J439" s="30" t="inlineStr">
        <is>
          <t>532741</t>
        </is>
      </c>
    </row>
    <row r="440">
      <c r="A440" s="30" t="inlineStr">
        <is>
          <t>VINCOFE</t>
        </is>
      </c>
      <c r="B440" s="30" t="inlineStr">
        <is>
          <t>Vintage Coffee &amp; Beverages Ltd</t>
        </is>
      </c>
      <c r="C440" s="30" t="inlineStr">
        <is>
          <t>consumer discretionary</t>
        </is>
      </c>
      <c r="D440" s="30" t="inlineStr">
        <is>
          <t>trading</t>
        </is>
      </c>
      <c r="E440" s="30" t="inlineStr">
        <is>
          <t>smallcap</t>
        </is>
      </c>
      <c r="F440" s="30" t="n">
        <v>2246.37</v>
      </c>
      <c r="G440" s="30" t="n">
        <v>151.27</v>
      </c>
      <c r="H440" s="30" t="n">
        <v>-1.89</v>
      </c>
      <c r="I440" s="30" t="n">
        <v>1248605</v>
      </c>
      <c r="J440" s="30" t="inlineStr">
        <is>
          <t>538920</t>
        </is>
      </c>
    </row>
    <row r="441">
      <c r="A441" s="30" t="inlineStr">
        <is>
          <t>VSSL</t>
        </is>
      </c>
      <c r="B441" s="30" t="inlineStr">
        <is>
          <t>Vardhman Special Steels Limited</t>
        </is>
      </c>
      <c r="C441" s="30" t="inlineStr">
        <is>
          <t>metals &amp; mining</t>
        </is>
      </c>
      <c r="D441" s="30" t="inlineStr">
        <is>
          <t>steel - medium / small</t>
        </is>
      </c>
      <c r="E441" s="30" t="inlineStr">
        <is>
          <t>smallcap</t>
        </is>
      </c>
      <c r="F441" s="30" t="n">
        <v>2791.32</v>
      </c>
      <c r="G441" s="30" t="n">
        <v>283.2</v>
      </c>
      <c r="H441" s="30" t="n">
        <v>-1.91</v>
      </c>
      <c r="I441" s="30" t="n">
        <v>24002</v>
      </c>
      <c r="J441" s="30" t="inlineStr">
        <is>
          <t>534392</t>
        </is>
      </c>
    </row>
    <row r="442">
      <c r="A442" s="30" t="inlineStr">
        <is>
          <t>VENUSREM</t>
        </is>
      </c>
      <c r="B442" s="30" t="inlineStr">
        <is>
          <t>Venus Remedies Limited</t>
        </is>
      </c>
      <c r="C442" s="30" t="inlineStr">
        <is>
          <t>healthcare</t>
        </is>
      </c>
      <c r="D442" s="30" t="inlineStr">
        <is>
          <t>pharmaceuticals - indian - formulations</t>
        </is>
      </c>
      <c r="E442" s="30" t="inlineStr">
        <is>
          <t>smallcap</t>
        </is>
      </c>
      <c r="F442" s="30" t="n">
        <v>2371.97</v>
      </c>
      <c r="G442" s="30" t="n">
        <v>1739.1</v>
      </c>
      <c r="H442" s="30" t="n">
        <v>-1.99</v>
      </c>
      <c r="I442" s="30" t="n">
        <v>103194</v>
      </c>
      <c r="J442" s="30" t="inlineStr">
        <is>
          <t>526953</t>
        </is>
      </c>
    </row>
    <row r="443">
      <c r="A443" s="30" t="inlineStr">
        <is>
          <t>GAYAPROJ</t>
        </is>
      </c>
      <c r="B443" s="30" t="inlineStr">
        <is>
          <t>Gayatri Projects Limited</t>
        </is>
      </c>
      <c r="C443" s="30" t="inlineStr">
        <is>
          <t>realty</t>
        </is>
      </c>
      <c r="D443" s="30" t="inlineStr">
        <is>
          <t>construction</t>
        </is>
      </c>
      <c r="E443" s="30" t="inlineStr">
        <is>
          <t>smallcap</t>
        </is>
      </c>
      <c r="F443" s="30" t="n">
        <v>748.2</v>
      </c>
      <c r="G443" s="30" t="n">
        <v>24.73</v>
      </c>
      <c r="H443" s="30" t="n">
        <v>-2.1</v>
      </c>
      <c r="I443" s="30" t="n">
        <v>991758</v>
      </c>
      <c r="J443" s="30" t="inlineStr">
        <is>
          <t>532767</t>
        </is>
      </c>
    </row>
    <row r="444">
      <c r="A444" s="30" t="inlineStr">
        <is>
          <t>PANSARI</t>
        </is>
      </c>
      <c r="B444" s="30" t="inlineStr">
        <is>
          <t>Pansari Developers Ltd</t>
        </is>
      </c>
      <c r="C444" s="30" t="inlineStr">
        <is>
          <t>realty</t>
        </is>
      </c>
      <c r="D444" s="30" t="inlineStr">
        <is>
          <t>construction</t>
        </is>
      </c>
      <c r="E444" s="30" t="inlineStr">
        <is>
          <t>smallcap</t>
        </is>
      </c>
      <c r="F444" s="30" t="n">
        <v>540.33</v>
      </c>
      <c r="G444" s="30" t="n">
        <v>303</v>
      </c>
      <c r="H444" s="30" t="n">
        <v>-2.16</v>
      </c>
      <c r="I444" s="30" t="n">
        <v>11574</v>
      </c>
      <c r="J444" s="30" t="inlineStr">
        <is>
          <t>538381</t>
        </is>
      </c>
    </row>
    <row r="445">
      <c r="A445" s="30" t="inlineStr">
        <is>
          <t>SKMEGGPROD</t>
        </is>
      </c>
      <c r="B445" s="30" t="inlineStr">
        <is>
          <t>Skm Egg Products Export (india) Limited</t>
        </is>
      </c>
      <c r="C445" s="30" t="inlineStr">
        <is>
          <t>fmcg</t>
        </is>
      </c>
      <c r="D445" s="30" t="inlineStr">
        <is>
          <t>food - processing - indian</t>
        </is>
      </c>
      <c r="E445" s="30" t="inlineStr">
        <is>
          <t>smallcap</t>
        </is>
      </c>
      <c r="F445" s="30" t="n">
        <v>1286.54</v>
      </c>
      <c r="G445" s="30" t="n">
        <v>238.96</v>
      </c>
      <c r="H445" s="30" t="n">
        <v>-2.19</v>
      </c>
      <c r="I445" s="30" t="n">
        <v>545580</v>
      </c>
      <c r="J445" s="30" t="inlineStr">
        <is>
          <t>532143</t>
        </is>
      </c>
    </row>
    <row r="446">
      <c r="A446" s="30" t="inlineStr">
        <is>
          <t>UNIPARTS</t>
        </is>
      </c>
      <c r="B446" s="30" t="inlineStr">
        <is>
          <t>Uniparts India Ltd</t>
        </is>
      </c>
      <c r="C446" s="30" t="inlineStr">
        <is>
          <t>industrials</t>
        </is>
      </c>
      <c r="D446" s="30" t="inlineStr">
        <is>
          <t>engineering</t>
        </is>
      </c>
      <c r="E446" s="30" t="inlineStr">
        <is>
          <t>smallcap</t>
        </is>
      </c>
      <c r="F446" s="30" t="n">
        <v>3015.11</v>
      </c>
      <c r="G446" s="30" t="n">
        <v>652.9</v>
      </c>
      <c r="H446" s="30" t="n">
        <v>-2.25</v>
      </c>
      <c r="I446" s="30" t="n">
        <v>108068</v>
      </c>
      <c r="J446" s="30" t="inlineStr">
        <is>
          <t>543689</t>
        </is>
      </c>
    </row>
    <row r="447">
      <c r="A447" s="30" t="inlineStr">
        <is>
          <t>UNIMECH</t>
        </is>
      </c>
      <c r="B447" s="30" t="inlineStr">
        <is>
          <t>Unimech Aerospace and Manufacturing Ltd</t>
        </is>
      </c>
      <c r="C447" s="30" t="inlineStr">
        <is>
          <t>aerospace &amp; defence</t>
        </is>
      </c>
      <c r="D447" s="30" t="inlineStr">
        <is>
          <t>engineering</t>
        </is>
      </c>
      <c r="E447" s="30" t="inlineStr">
        <is>
          <t>midcap</t>
        </is>
      </c>
      <c r="F447" s="30" t="n">
        <v>5901.18</v>
      </c>
      <c r="G447" s="30" t="n">
        <v>1133.65</v>
      </c>
      <c r="H447" s="30" t="n">
        <v>-2.3</v>
      </c>
      <c r="I447" s="30" t="n">
        <v>137648</v>
      </c>
      <c r="J447" s="30" t="inlineStr">
        <is>
          <t>544322</t>
        </is>
      </c>
    </row>
    <row r="448">
      <c r="A448" s="30" t="inlineStr">
        <is>
          <t>VBL</t>
        </is>
      </c>
      <c r="B448" s="30" t="inlineStr">
        <is>
          <t>Varun Beverages Limited</t>
        </is>
      </c>
      <c r="C448" s="30" t="inlineStr">
        <is>
          <t>fmcg</t>
        </is>
      </c>
      <c r="D448" s="30" t="inlineStr">
        <is>
          <t>food - processing - indian</t>
        </is>
      </c>
      <c r="E448" s="30" t="inlineStr">
        <is>
          <t>largecap</t>
        </is>
      </c>
      <c r="F448" s="30" t="n">
        <v>184002.85</v>
      </c>
      <c r="G448" s="30" t="n">
        <v>531.55</v>
      </c>
      <c r="H448" s="30" t="n">
        <v>-2.3</v>
      </c>
      <c r="I448" s="30" t="n">
        <v>8122763</v>
      </c>
      <c r="J448" s="30" t="inlineStr">
        <is>
          <t>540180</t>
        </is>
      </c>
    </row>
    <row r="449">
      <c r="A449" s="30" t="inlineStr">
        <is>
          <t>NBCC</t>
        </is>
      </c>
      <c r="B449" s="30" t="inlineStr">
        <is>
          <t>Nbcc (india) Limited</t>
        </is>
      </c>
      <c r="C449" s="30" t="inlineStr">
        <is>
          <t>miscellaneous</t>
        </is>
      </c>
      <c r="D449" s="30" t="inlineStr">
        <is>
          <t>miscellaneous</t>
        </is>
      </c>
      <c r="E449" s="30" t="inlineStr">
        <is>
          <t>largecap</t>
        </is>
      </c>
      <c r="F449" s="30" t="n">
        <v>30464.1</v>
      </c>
      <c r="G449" s="30" t="n">
        <v>110.15</v>
      </c>
      <c r="H449" s="30" t="n">
        <v>-2.38</v>
      </c>
      <c r="I449" s="30" t="n">
        <v>18889529</v>
      </c>
      <c r="J449" s="30" t="inlineStr">
        <is>
          <t>534309</t>
        </is>
      </c>
    </row>
    <row r="450">
      <c r="A450" s="30" t="inlineStr">
        <is>
          <t>GUFICBIO</t>
        </is>
      </c>
      <c r="B450" s="30" t="inlineStr">
        <is>
          <t>Gufic Biosciences Limited</t>
        </is>
      </c>
      <c r="C450" s="30" t="inlineStr">
        <is>
          <t>healthcare</t>
        </is>
      </c>
      <c r="D450" s="30" t="inlineStr">
        <is>
          <t>pharmaceuticals - indian - bulk drugs &amp; formln</t>
        </is>
      </c>
      <c r="E450" s="30" t="inlineStr">
        <is>
          <t>smallcap</t>
        </is>
      </c>
      <c r="F450" s="30" t="n">
        <v>3674.85</v>
      </c>
      <c r="G450" s="30" t="n">
        <v>357.65</v>
      </c>
      <c r="H450" s="30" t="n">
        <v>-2.4</v>
      </c>
      <c r="I450" s="30" t="n">
        <v>49457</v>
      </c>
      <c r="J450" s="30" t="inlineStr">
        <is>
          <t>509079</t>
        </is>
      </c>
    </row>
    <row r="451">
      <c r="A451" s="30" t="inlineStr">
        <is>
          <t>CAPITALSFB</t>
        </is>
      </c>
      <c r="B451" s="30" t="inlineStr">
        <is>
          <t>Capital Small Finance Bank Ltd</t>
        </is>
      </c>
      <c r="C451" s="30" t="inlineStr">
        <is>
          <t>bank</t>
        </is>
      </c>
      <c r="D451" s="30" t="inlineStr">
        <is>
          <t>banks - private sector</t>
        </is>
      </c>
      <c r="E451" s="30" t="inlineStr">
        <is>
          <t>smallcap</t>
        </is>
      </c>
      <c r="F451" s="30" t="n">
        <v>1354.61</v>
      </c>
      <c r="G451" s="30" t="n">
        <v>291</v>
      </c>
      <c r="H451" s="30" t="n">
        <v>-2.43</v>
      </c>
      <c r="I451" s="30" t="n">
        <v>48273</v>
      </c>
      <c r="J451" s="30" t="n"/>
    </row>
    <row r="452">
      <c r="A452" s="30" t="inlineStr">
        <is>
          <t>TBZ</t>
        </is>
      </c>
      <c r="B452" s="30" t="inlineStr">
        <is>
          <t>Tribhovandas Bhimji Zaveri Limited</t>
        </is>
      </c>
      <c r="C452" s="30" t="inlineStr">
        <is>
          <t>consumer discretionary</t>
        </is>
      </c>
      <c r="D452" s="30" t="inlineStr">
        <is>
          <t>diamond cutting / jewellery</t>
        </is>
      </c>
      <c r="E452" s="30" t="inlineStr">
        <is>
          <t>smallcap</t>
        </is>
      </c>
      <c r="F452" s="30" t="n">
        <v>1297.24</v>
      </c>
      <c r="G452" s="30" t="n">
        <v>189.67</v>
      </c>
      <c r="H452" s="30" t="n">
        <v>-2.43</v>
      </c>
      <c r="I452" s="30" t="n">
        <v>415783</v>
      </c>
      <c r="J452" s="30" t="inlineStr">
        <is>
          <t>534369</t>
        </is>
      </c>
    </row>
    <row r="453">
      <c r="A453" s="30" t="inlineStr">
        <is>
          <t>LTF</t>
        </is>
      </c>
      <c r="B453" s="30" t="inlineStr">
        <is>
          <t>L&amp;T Finance Ltd</t>
        </is>
      </c>
      <c r="C453" s="30" t="inlineStr">
        <is>
          <t>financials</t>
        </is>
      </c>
      <c r="D453" s="30" t="inlineStr">
        <is>
          <t>finance &amp; investments</t>
        </is>
      </c>
      <c r="E453" s="30" t="inlineStr">
        <is>
          <t>largecap</t>
        </is>
      </c>
      <c r="F453" s="30" t="n">
        <v>73666.50999999999</v>
      </c>
      <c r="G453" s="30" t="n">
        <v>286.9</v>
      </c>
      <c r="H453" s="30" t="n">
        <v>-2.46</v>
      </c>
      <c r="I453" s="30" t="n">
        <v>3512827</v>
      </c>
      <c r="J453" s="30" t="inlineStr">
        <is>
          <t>533519</t>
        </is>
      </c>
    </row>
    <row r="454">
      <c r="A454" s="30" t="inlineStr">
        <is>
          <t>TATATECH</t>
        </is>
      </c>
      <c r="B454" s="30" t="inlineStr">
        <is>
          <t>Tata Technologies Ltd</t>
        </is>
      </c>
      <c r="C454" s="30" t="inlineStr">
        <is>
          <t>i.t</t>
        </is>
      </c>
      <c r="D454" s="30" t="inlineStr">
        <is>
          <t>computers - software - medium / small</t>
        </is>
      </c>
      <c r="E454" s="30" t="inlineStr">
        <is>
          <t>largecap</t>
        </is>
      </c>
      <c r="F454" s="30" t="n">
        <v>31404.53</v>
      </c>
      <c r="G454" s="30" t="n">
        <v>753.7</v>
      </c>
      <c r="H454" s="30" t="n">
        <v>-2.57</v>
      </c>
      <c r="I454" s="30" t="n">
        <v>710403</v>
      </c>
      <c r="J454" s="30" t="inlineStr">
        <is>
          <t>544028</t>
        </is>
      </c>
    </row>
    <row r="455">
      <c r="A455" s="30" t="inlineStr">
        <is>
          <t>ORCHPHARMA</t>
        </is>
      </c>
      <c r="B455" s="30" t="inlineStr">
        <is>
          <t>Orchid Pharma Ltd</t>
        </is>
      </c>
      <c r="C455" s="30" t="inlineStr">
        <is>
          <t>healthcare</t>
        </is>
      </c>
      <c r="D455" s="30" t="inlineStr">
        <is>
          <t>pharmaceuticals - indian - bulk drugs &amp; formln</t>
        </is>
      </c>
      <c r="E455" s="30" t="inlineStr">
        <is>
          <t>midcap</t>
        </is>
      </c>
      <c r="F455" s="30" t="n">
        <v>5258.81</v>
      </c>
      <c r="G455" s="30" t="n">
        <v>1008.25</v>
      </c>
      <c r="H455" s="30" t="n">
        <v>-2.76</v>
      </c>
      <c r="I455" s="30" t="n">
        <v>80794</v>
      </c>
      <c r="J455" s="30" t="inlineStr">
        <is>
          <t>524372</t>
        </is>
      </c>
    </row>
    <row r="456">
      <c r="A456" s="30" t="inlineStr">
        <is>
          <t>APOLLO</t>
        </is>
      </c>
      <c r="B456" s="30" t="inlineStr">
        <is>
          <t>Apollo Micro Systems Ltd</t>
        </is>
      </c>
      <c r="C456" s="30" t="inlineStr">
        <is>
          <t>aerospace &amp; defence</t>
        </is>
      </c>
      <c r="D456" s="30" t="inlineStr">
        <is>
          <t>electronics - components</t>
        </is>
      </c>
      <c r="E456" s="30" t="inlineStr">
        <is>
          <t>midcap</t>
        </is>
      </c>
      <c r="F456" s="30" t="n">
        <v>15676.21</v>
      </c>
      <c r="G456" s="30" t="n">
        <v>426.6</v>
      </c>
      <c r="H456" s="30" t="n">
        <v>-2.77</v>
      </c>
      <c r="I456" s="30" t="n">
        <v>12647378</v>
      </c>
      <c r="J456" s="30" t="inlineStr">
        <is>
          <t>540879</t>
        </is>
      </c>
    </row>
    <row r="457">
      <c r="A457" s="30" t="inlineStr">
        <is>
          <t>HITECHCORP</t>
        </is>
      </c>
      <c r="B457" s="30" t="inlineStr">
        <is>
          <t>Hitech Corporation</t>
        </is>
      </c>
      <c r="C457" s="30" t="inlineStr">
        <is>
          <t>industrials</t>
        </is>
      </c>
      <c r="D457" s="30" t="inlineStr">
        <is>
          <t>packaging</t>
        </is>
      </c>
      <c r="E457" s="30" t="inlineStr">
        <is>
          <t>smallcap</t>
        </is>
      </c>
      <c r="F457" s="30" t="n">
        <v>547.63</v>
      </c>
      <c r="G457" s="30" t="n">
        <v>309.82</v>
      </c>
      <c r="H457" s="30" t="n">
        <v>-2.83</v>
      </c>
      <c r="I457" s="30" t="n">
        <v>31316</v>
      </c>
      <c r="J457" s="30" t="inlineStr">
        <is>
          <t>526217</t>
        </is>
      </c>
    </row>
    <row r="458">
      <c r="A458" s="30" t="inlineStr">
        <is>
          <t>DIFFNKG</t>
        </is>
      </c>
      <c r="B458" s="30" t="inlineStr">
        <is>
          <t>Diffusion Engineers Ltd</t>
        </is>
      </c>
      <c r="C458" s="30" t="inlineStr">
        <is>
          <t>industrials</t>
        </is>
      </c>
      <c r="D458" s="30" t="inlineStr">
        <is>
          <t>electrodes - welding equipment</t>
        </is>
      </c>
      <c r="E458" s="30" t="inlineStr">
        <is>
          <t>smallcap</t>
        </is>
      </c>
      <c r="F458" s="30" t="n">
        <v>1436.61</v>
      </c>
      <c r="G458" s="30" t="n">
        <v>372.25</v>
      </c>
      <c r="H458" s="30" t="n">
        <v>-3.02</v>
      </c>
      <c r="I458" s="30" t="n">
        <v>113508</v>
      </c>
      <c r="J458" s="30" t="inlineStr">
        <is>
          <t>544264</t>
        </is>
      </c>
    </row>
    <row r="459">
      <c r="A459" s="30" t="inlineStr">
        <is>
          <t>FCL</t>
        </is>
      </c>
      <c r="B459" s="30" t="inlineStr">
        <is>
          <t>Fineotex Chemical Limited</t>
        </is>
      </c>
      <c r="C459" s="30" t="inlineStr">
        <is>
          <t>chemicals</t>
        </is>
      </c>
      <c r="D459" s="30" t="inlineStr">
        <is>
          <t>chemicals</t>
        </is>
      </c>
      <c r="E459" s="30" t="inlineStr">
        <is>
          <t>midcap</t>
        </is>
      </c>
      <c r="F459" s="30" t="n">
        <v>5220.46</v>
      </c>
      <c r="G459" s="30" t="n">
        <v>43.45</v>
      </c>
      <c r="H459" s="30" t="n">
        <v>-3.08</v>
      </c>
      <c r="I459" s="30" t="n">
        <v>10768206</v>
      </c>
      <c r="J459" s="30" t="inlineStr">
        <is>
          <t>533333</t>
        </is>
      </c>
    </row>
    <row r="460">
      <c r="A460" s="30" t="inlineStr">
        <is>
          <t>PREMEXPLN</t>
        </is>
      </c>
      <c r="B460" s="30" t="inlineStr">
        <is>
          <t>Premier Explosives Limited</t>
        </is>
      </c>
      <c r="C460" s="30" t="inlineStr">
        <is>
          <t>aerospace &amp; defence</t>
        </is>
      </c>
      <c r="D460" s="30" t="inlineStr">
        <is>
          <t>chemicals</t>
        </is>
      </c>
      <c r="E460" s="30" t="inlineStr">
        <is>
          <t>smallcap</t>
        </is>
      </c>
      <c r="F460" s="30" t="n">
        <v>4117.84</v>
      </c>
      <c r="G460" s="30" t="n">
        <v>741.1</v>
      </c>
      <c r="H460" s="30" t="n">
        <v>-3.24</v>
      </c>
      <c r="I460" s="30" t="n">
        <v>1565118</v>
      </c>
      <c r="J460" s="30" t="inlineStr">
        <is>
          <t>526247</t>
        </is>
      </c>
    </row>
    <row r="461">
      <c r="A461" s="30" t="inlineStr">
        <is>
          <t>PRUDENT</t>
        </is>
      </c>
      <c r="B461" s="30" t="inlineStr">
        <is>
          <t>Prudent Corporate Advisory Services Ltd</t>
        </is>
      </c>
      <c r="C461" s="30" t="inlineStr">
        <is>
          <t>financials</t>
        </is>
      </c>
      <c r="D461" s="30" t="inlineStr">
        <is>
          <t>finance &amp; investments</t>
        </is>
      </c>
      <c r="E461" s="30" t="inlineStr">
        <is>
          <t>midcap</t>
        </is>
      </c>
      <c r="F461" s="30" t="n">
        <v>12645.6</v>
      </c>
      <c r="G461" s="30" t="n">
        <v>2954.7</v>
      </c>
      <c r="H461" s="30" t="n">
        <v>-3.25</v>
      </c>
      <c r="I461" s="30" t="n">
        <v>27817</v>
      </c>
      <c r="J461" s="30" t="inlineStr">
        <is>
          <t>543527</t>
        </is>
      </c>
    </row>
    <row r="462">
      <c r="A462" s="30" t="inlineStr">
        <is>
          <t>LLOYDSENGG</t>
        </is>
      </c>
      <c r="B462" s="30" t="inlineStr">
        <is>
          <t>Lloyds Engineering Works Ltd</t>
        </is>
      </c>
      <c r="C462" s="30" t="inlineStr">
        <is>
          <t>industrials</t>
        </is>
      </c>
      <c r="D462" s="30" t="inlineStr">
        <is>
          <t>engineering</t>
        </is>
      </c>
      <c r="E462" s="30" t="inlineStr">
        <is>
          <t>midcap</t>
        </is>
      </c>
      <c r="F462" s="30" t="n">
        <v>12978.84</v>
      </c>
      <c r="G462" s="30" t="n">
        <v>84.76000000000001</v>
      </c>
      <c r="H462" s="30" t="n">
        <v>-3.34</v>
      </c>
      <c r="I462" s="30" t="n">
        <v>63513726</v>
      </c>
      <c r="J462" s="30" t="inlineStr">
        <is>
          <t>539992</t>
        </is>
      </c>
    </row>
    <row r="463">
      <c r="A463" s="30" t="inlineStr">
        <is>
          <t>DEEDEV</t>
        </is>
      </c>
      <c r="B463" s="30" t="inlineStr">
        <is>
          <t>DEE Development Engineers Ltd</t>
        </is>
      </c>
      <c r="C463" s="30" t="inlineStr">
        <is>
          <t>metals &amp; mining</t>
        </is>
      </c>
      <c r="D463" s="30" t="inlineStr">
        <is>
          <t>steel - medium / small</t>
        </is>
      </c>
      <c r="E463" s="30" t="inlineStr">
        <is>
          <t>midcap</t>
        </is>
      </c>
      <c r="F463" s="30" t="n">
        <v>5116.83</v>
      </c>
      <c r="G463" s="30" t="n">
        <v>714</v>
      </c>
      <c r="H463" s="30" t="n">
        <v>-3.35</v>
      </c>
      <c r="I463" s="30" t="n">
        <v>128733</v>
      </c>
      <c r="J463" s="30" t="n"/>
    </row>
    <row r="464">
      <c r="A464" s="30" t="inlineStr">
        <is>
          <t>ELECTHERM</t>
        </is>
      </c>
      <c r="B464" s="30" t="inlineStr">
        <is>
          <t>Electrotherm (india) Limited</t>
        </is>
      </c>
      <c r="C464" s="30" t="inlineStr">
        <is>
          <t>metals &amp; mining</t>
        </is>
      </c>
      <c r="D464" s="30" t="inlineStr">
        <is>
          <t>steel - medium / small</t>
        </is>
      </c>
      <c r="E464" s="30" t="inlineStr">
        <is>
          <t>smallcap</t>
        </is>
      </c>
      <c r="F464" s="30" t="n">
        <v>1427</v>
      </c>
      <c r="G464" s="30" t="n">
        <v>1081.5</v>
      </c>
      <c r="H464" s="30" t="n">
        <v>-3.42</v>
      </c>
      <c r="I464" s="30" t="n">
        <v>25478</v>
      </c>
      <c r="J464" s="30" t="inlineStr">
        <is>
          <t>526608</t>
        </is>
      </c>
    </row>
    <row r="465">
      <c r="A465" s="30" t="inlineStr">
        <is>
          <t>CENTUM</t>
        </is>
      </c>
      <c r="B465" s="30" t="inlineStr">
        <is>
          <t>Centum Electronics Limited</t>
        </is>
      </c>
      <c r="C465" s="30" t="inlineStr">
        <is>
          <t>consumer discretionary</t>
        </is>
      </c>
      <c r="D465" s="30" t="inlineStr">
        <is>
          <t>electronics - components</t>
        </is>
      </c>
      <c r="E465" s="30" t="inlineStr">
        <is>
          <t>midcap</t>
        </is>
      </c>
      <c r="F465" s="30" t="n">
        <v>5328.42</v>
      </c>
      <c r="G465" s="30" t="n">
        <v>3489.6</v>
      </c>
      <c r="H465" s="30" t="n">
        <v>-3.46</v>
      </c>
      <c r="I465" s="30" t="n">
        <v>91253</v>
      </c>
      <c r="J465" s="30" t="inlineStr">
        <is>
          <t>517544</t>
        </is>
      </c>
    </row>
    <row r="466">
      <c r="A466" s="30" t="inlineStr">
        <is>
          <t>SOTL</t>
        </is>
      </c>
      <c r="B466" s="30" t="inlineStr">
        <is>
          <t>Savita Oil Technologies Limited</t>
        </is>
      </c>
      <c r="C466" s="30" t="inlineStr">
        <is>
          <t>energy</t>
        </is>
      </c>
      <c r="D466" s="30" t="inlineStr">
        <is>
          <t>petrochemicals</t>
        </is>
      </c>
      <c r="E466" s="30" t="inlineStr">
        <is>
          <t>smallcap</t>
        </is>
      </c>
      <c r="F466" s="30" t="n">
        <v>4186.98</v>
      </c>
      <c r="G466" s="30" t="n">
        <v>589.4</v>
      </c>
      <c r="H466" s="30" t="n">
        <v>-3.49</v>
      </c>
      <c r="I466" s="30" t="n">
        <v>241901</v>
      </c>
      <c r="J466" s="30" t="inlineStr">
        <is>
          <t>524667</t>
        </is>
      </c>
    </row>
    <row r="467">
      <c r="A467" s="30" t="inlineStr">
        <is>
          <t>MENONBE</t>
        </is>
      </c>
      <c r="B467" s="30" t="inlineStr">
        <is>
          <t>Menon Bearings Limited</t>
        </is>
      </c>
      <c r="C467" s="30" t="inlineStr">
        <is>
          <t>auto</t>
        </is>
      </c>
      <c r="D467" s="30" t="inlineStr">
        <is>
          <t>auto ancillaries</t>
        </is>
      </c>
      <c r="E467" s="30" t="inlineStr">
        <is>
          <t>smallcap</t>
        </is>
      </c>
      <c r="F467" s="30" t="n">
        <v>985.02</v>
      </c>
      <c r="G467" s="30" t="n">
        <v>169.64</v>
      </c>
      <c r="H467" s="30" t="n">
        <v>-3.49</v>
      </c>
      <c r="I467" s="30" t="n">
        <v>97137</v>
      </c>
      <c r="J467" s="30" t="inlineStr">
        <is>
          <t>523828</t>
        </is>
      </c>
    </row>
    <row r="468">
      <c r="A468" s="30" t="inlineStr">
        <is>
          <t>THANGAMAYL</t>
        </is>
      </c>
      <c r="B468" s="30" t="inlineStr">
        <is>
          <t>Thangamayil Jewellery Limited</t>
        </is>
      </c>
      <c r="C468" s="30" t="inlineStr">
        <is>
          <t>consumer discretionary</t>
        </is>
      </c>
      <c r="D468" s="30" t="inlineStr">
        <is>
          <t>diamond cutting / jewellery</t>
        </is>
      </c>
      <c r="E468" s="30" t="inlineStr">
        <is>
          <t>midcap</t>
        </is>
      </c>
      <c r="F468" s="30" t="n">
        <v>17507.57</v>
      </c>
      <c r="G468" s="30" t="n">
        <v>5435.7</v>
      </c>
      <c r="H468" s="30" t="n">
        <v>-3.5</v>
      </c>
      <c r="I468" s="30" t="n">
        <v>139287</v>
      </c>
      <c r="J468" s="30" t="inlineStr">
        <is>
          <t>533158</t>
        </is>
      </c>
    </row>
    <row r="469">
      <c r="A469" s="30" t="inlineStr">
        <is>
          <t>HIRECT</t>
        </is>
      </c>
      <c r="B469" s="30" t="inlineStr">
        <is>
          <t>Hind Rectifiers Limited</t>
        </is>
      </c>
      <c r="C469" s="30" t="inlineStr">
        <is>
          <t>consumer discretionary</t>
        </is>
      </c>
      <c r="D469" s="30" t="inlineStr">
        <is>
          <t>electronics - components</t>
        </is>
      </c>
      <c r="E469" s="30" t="inlineStr">
        <is>
          <t>smallcap</t>
        </is>
      </c>
      <c r="F469" s="30" t="n">
        <v>4097.31</v>
      </c>
      <c r="G469" s="30" t="n">
        <v>1147</v>
      </c>
      <c r="H469" s="30" t="n">
        <v>-3.79</v>
      </c>
      <c r="I469" s="30" t="n">
        <v>129593</v>
      </c>
      <c r="J469" s="30" t="inlineStr">
        <is>
          <t>504036</t>
        </is>
      </c>
    </row>
    <row r="470">
      <c r="A470" s="30" t="inlineStr">
        <is>
          <t>GOLDIAM</t>
        </is>
      </c>
      <c r="B470" s="30" t="inlineStr">
        <is>
          <t>Goldiam International Limited</t>
        </is>
      </c>
      <c r="C470" s="30" t="inlineStr">
        <is>
          <t>consumer discretionary</t>
        </is>
      </c>
      <c r="D470" s="30" t="inlineStr">
        <is>
          <t>diamond cutting / jewellery</t>
        </is>
      </c>
      <c r="E470" s="30" t="inlineStr">
        <is>
          <t>midcap</t>
        </is>
      </c>
      <c r="F470" s="30" t="n">
        <v>5645.89</v>
      </c>
      <c r="G470" s="30" t="n">
        <v>479.7</v>
      </c>
      <c r="H470" s="30" t="n">
        <v>-4.06</v>
      </c>
      <c r="I470" s="30" t="n">
        <v>1081001</v>
      </c>
      <c r="J470" s="30" t="inlineStr">
        <is>
          <t>526729</t>
        </is>
      </c>
    </row>
    <row r="471">
      <c r="A471" s="30" t="inlineStr">
        <is>
          <t>RAIN</t>
        </is>
      </c>
      <c r="B471" s="30" t="inlineStr">
        <is>
          <t>Rain Industries Limited</t>
        </is>
      </c>
      <c r="C471" s="30" t="inlineStr">
        <is>
          <t>miscellaneous</t>
        </is>
      </c>
      <c r="D471" s="30" t="inlineStr">
        <is>
          <t>miscellaneous</t>
        </is>
      </c>
      <c r="E471" s="30" t="inlineStr">
        <is>
          <t>midcap</t>
        </is>
      </c>
      <c r="F471" s="30" t="n">
        <v>6635.09</v>
      </c>
      <c r="G471" s="30" t="n">
        <v>189.15</v>
      </c>
      <c r="H471" s="30" t="n">
        <v>-4.12</v>
      </c>
      <c r="I471" s="30" t="n">
        <v>4350364</v>
      </c>
      <c r="J471" s="30" t="inlineStr">
        <is>
          <t>500339</t>
        </is>
      </c>
    </row>
    <row r="472">
      <c r="A472" s="30" t="inlineStr">
        <is>
          <t>AEROFLEX</t>
        </is>
      </c>
      <c r="B472" s="30" t="inlineStr">
        <is>
          <t>Aeroflex Industries Ltd</t>
        </is>
      </c>
      <c r="C472" s="30" t="inlineStr">
        <is>
          <t>metals &amp; mining</t>
        </is>
      </c>
      <c r="D472" s="30" t="inlineStr">
        <is>
          <t>steel - medium / small</t>
        </is>
      </c>
      <c r="E472" s="30" t="inlineStr">
        <is>
          <t>midcap</t>
        </is>
      </c>
      <c r="F472" s="30" t="n">
        <v>6760.78</v>
      </c>
      <c r="G472" s="30" t="n">
        <v>489</v>
      </c>
      <c r="H472" s="30" t="n">
        <v>-4.29</v>
      </c>
      <c r="I472" s="30" t="n">
        <v>2184388</v>
      </c>
      <c r="J472" s="30" t="inlineStr">
        <is>
          <t>543972</t>
        </is>
      </c>
    </row>
    <row r="473">
      <c r="A473" s="30" t="inlineStr">
        <is>
          <t>XPROINDIA</t>
        </is>
      </c>
      <c r="B473" s="30" t="inlineStr">
        <is>
          <t>Xpro India Limited</t>
        </is>
      </c>
      <c r="C473" s="30" t="inlineStr">
        <is>
          <t>industrials</t>
        </is>
      </c>
      <c r="D473" s="30" t="inlineStr">
        <is>
          <t>packaging</t>
        </is>
      </c>
      <c r="E473" s="30" t="inlineStr">
        <is>
          <t>smallcap</t>
        </is>
      </c>
      <c r="F473" s="30" t="n">
        <v>3201.36</v>
      </c>
      <c r="G473" s="30" t="n">
        <v>1303.7</v>
      </c>
      <c r="H473" s="30" t="n">
        <v>-4.42</v>
      </c>
      <c r="I473" s="30" t="n">
        <v>122745</v>
      </c>
      <c r="J473" s="30" t="inlineStr">
        <is>
          <t>590013</t>
        </is>
      </c>
    </row>
    <row r="474">
      <c r="A474" s="30" t="inlineStr">
        <is>
          <t>MGEL</t>
        </is>
      </c>
      <c r="B474" s="30" t="inlineStr">
        <is>
          <t>Mangalam Global Enterprise Ltd</t>
        </is>
      </c>
      <c r="C474" s="30" t="inlineStr">
        <is>
          <t>services</t>
        </is>
      </c>
      <c r="D474" s="30" t="inlineStr">
        <is>
          <t>trading</t>
        </is>
      </c>
      <c r="E474" s="30" t="inlineStr">
        <is>
          <t>smallcap</t>
        </is>
      </c>
      <c r="F474" s="30" t="n">
        <v>541.46</v>
      </c>
      <c r="G474" s="30" t="n">
        <v>15.7</v>
      </c>
      <c r="H474" s="30" t="n">
        <v>-4.44</v>
      </c>
      <c r="I474" s="30" t="n">
        <v>643133</v>
      </c>
      <c r="J474" s="30" t="inlineStr">
        <is>
          <t>535349</t>
        </is>
      </c>
    </row>
    <row r="475">
      <c r="A475" s="30" t="inlineStr">
        <is>
          <t>SHILPAMED</t>
        </is>
      </c>
      <c r="B475" s="30" t="inlineStr">
        <is>
          <t>Shilpa Medicare Limited</t>
        </is>
      </c>
      <c r="C475" s="30" t="inlineStr">
        <is>
          <t>healthcare</t>
        </is>
      </c>
      <c r="D475" s="30" t="inlineStr">
        <is>
          <t>pharmaceuticals - indian - formulations</t>
        </is>
      </c>
      <c r="E475" s="30" t="inlineStr">
        <is>
          <t>midcap</t>
        </is>
      </c>
      <c r="F475" s="30" t="n">
        <v>11195.1</v>
      </c>
      <c r="G475" s="30" t="n">
        <v>545.6</v>
      </c>
      <c r="H475" s="30" t="n">
        <v>-4.68</v>
      </c>
      <c r="I475" s="30" t="n">
        <v>1718831</v>
      </c>
      <c r="J475" s="30" t="inlineStr">
        <is>
          <t>530549</t>
        </is>
      </c>
    </row>
    <row r="476">
      <c r="A476" s="30" t="inlineStr">
        <is>
          <t>SILVERTUC</t>
        </is>
      </c>
      <c r="B476" s="30" t="inlineStr">
        <is>
          <t>Silver Touch Technologies Ltd</t>
        </is>
      </c>
      <c r="C476" s="30" t="inlineStr">
        <is>
          <t>i.t</t>
        </is>
      </c>
      <c r="D476" s="30" t="inlineStr">
        <is>
          <t>computers - software - medium / small</t>
        </is>
      </c>
      <c r="E476" s="30" t="inlineStr">
        <is>
          <t>smallcap</t>
        </is>
      </c>
      <c r="F476" s="30" t="n">
        <v>2477.23</v>
      </c>
      <c r="G476" s="30" t="n">
        <v>185.69</v>
      </c>
      <c r="H476" s="30" t="n">
        <v>-4.95</v>
      </c>
      <c r="I476" s="30" t="n">
        <v>411592</v>
      </c>
      <c r="J476" s="30" t="inlineStr">
        <is>
          <t>535031</t>
        </is>
      </c>
    </row>
    <row r="477">
      <c r="A477" s="30" t="inlineStr">
        <is>
          <t>GVPIL</t>
        </is>
      </c>
      <c r="B477" s="30" t="inlineStr">
        <is>
          <t>GE Power India Ltd</t>
        </is>
      </c>
      <c r="C477" s="30" t="inlineStr">
        <is>
          <t>realty</t>
        </is>
      </c>
      <c r="D477" s="30" t="inlineStr">
        <is>
          <t>engineering - turnkey services</t>
        </is>
      </c>
      <c r="E477" s="30" t="inlineStr">
        <is>
          <t>midcap</t>
        </is>
      </c>
      <c r="F477" s="30" t="n">
        <v>7093.84</v>
      </c>
      <c r="G477" s="30" t="n">
        <v>1002.45</v>
      </c>
      <c r="H477" s="30" t="n">
        <v>-5</v>
      </c>
      <c r="I477" s="30" t="n">
        <v>533589</v>
      </c>
      <c r="J477" s="30" t="inlineStr">
        <is>
          <t>532309</t>
        </is>
      </c>
    </row>
    <row r="478">
      <c r="A478" s="30" t="inlineStr">
        <is>
          <t>INOXINDIA</t>
        </is>
      </c>
      <c r="B478" s="30" t="inlineStr">
        <is>
          <t>Inox India Ltd</t>
        </is>
      </c>
      <c r="C478" s="30" t="inlineStr">
        <is>
          <t>industrials</t>
        </is>
      </c>
      <c r="D478" s="30" t="inlineStr">
        <is>
          <t>packaging</t>
        </is>
      </c>
      <c r="E478" s="30" t="inlineStr">
        <is>
          <t>midcap</t>
        </is>
      </c>
      <c r="F478" s="30" t="n">
        <v>17382.12</v>
      </c>
      <c r="G478" s="30" t="n">
        <v>1812.4</v>
      </c>
      <c r="H478" s="30" t="n">
        <v>-5.36</v>
      </c>
      <c r="I478" s="30" t="n">
        <v>402619</v>
      </c>
      <c r="J478" s="30" t="inlineStr">
        <is>
          <t>544046</t>
        </is>
      </c>
    </row>
    <row r="479">
      <c r="A479" s="30" t="inlineStr">
        <is>
          <t>STCINDIA</t>
        </is>
      </c>
      <c r="B479" s="30" t="inlineStr">
        <is>
          <t>The State Trading Corporation Of India Limited</t>
        </is>
      </c>
      <c r="C479" s="30" t="inlineStr">
        <is>
          <t>services</t>
        </is>
      </c>
      <c r="D479" s="30" t="inlineStr">
        <is>
          <t>trading</t>
        </is>
      </c>
      <c r="E479" s="30" t="inlineStr">
        <is>
          <t>smallcap</t>
        </is>
      </c>
      <c r="F479" s="30" t="n">
        <v>870.54</v>
      </c>
      <c r="G479" s="30" t="n">
        <v>135.76</v>
      </c>
      <c r="H479" s="30" t="n">
        <v>-6.43</v>
      </c>
      <c r="I479" s="30" t="n">
        <v>525068</v>
      </c>
      <c r="J479" s="30" t="inlineStr">
        <is>
          <t>512531</t>
        </is>
      </c>
    </row>
    <row r="480">
      <c r="A480" s="30" t="inlineStr">
        <is>
          <t>IFCI</t>
        </is>
      </c>
      <c r="B480" s="30" t="inlineStr">
        <is>
          <t>Ifci Limited</t>
        </is>
      </c>
      <c r="C480" s="30" t="inlineStr">
        <is>
          <t>financials</t>
        </is>
      </c>
      <c r="D480" s="30" t="inlineStr">
        <is>
          <t>finance - term-lending institutions</t>
        </is>
      </c>
      <c r="E480" s="30" t="inlineStr">
        <is>
          <t>largecap</t>
        </is>
      </c>
      <c r="F480" s="30" t="n">
        <v>24267.69</v>
      </c>
      <c r="G480" s="30" t="n">
        <v>82.31</v>
      </c>
      <c r="H480" s="30" t="n">
        <v>-8.619999999999999</v>
      </c>
      <c r="I480" s="30" t="n">
        <v>312395019</v>
      </c>
      <c r="J480" s="30" t="inlineStr">
        <is>
          <t>500106</t>
        </is>
      </c>
    </row>
  </sheetData>
  <autoFilter ref="A1:J4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IBULLSLTD</t>
        </is>
      </c>
      <c r="E2" s="30" t="inlineStr">
        <is>
          <t>Indiabulls Limited</t>
        </is>
      </c>
      <c r="F2" s="30" t="inlineStr">
        <is>
          <t>Diversified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21</v>
      </c>
      <c r="K2" s="30" t="n">
        <v>26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BAJAJCON</t>
        </is>
      </c>
      <c r="E3" s="30" t="inlineStr">
        <is>
          <t>Bajaj Consumer Care Ltd</t>
        </is>
      </c>
      <c r="F3" s="30" t="inlineStr">
        <is>
          <t>FMCG - Personal Care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25</v>
      </c>
      <c r="K3" s="30" t="n">
        <v>30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BLISSGVS</t>
        </is>
      </c>
      <c r="E4" s="30" t="inlineStr">
        <is>
          <t>Bliss Gvs Pharma Limited</t>
        </is>
      </c>
      <c r="F4" s="30" t="inlineStr">
        <is>
          <t>Pharma - Formulators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21</v>
      </c>
      <c r="K4" s="30" t="n">
        <v>30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CUPID</t>
        </is>
      </c>
      <c r="E5" s="30" t="inlineStr">
        <is>
          <t>Cupid Limited</t>
        </is>
      </c>
      <c r="F5" s="30" t="inlineStr">
        <is>
          <t>Contraceptives/Protectives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24</v>
      </c>
      <c r="K5" s="30" t="n">
        <v>29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BHAGYANGR</t>
        </is>
      </c>
      <c r="E6" s="30" t="inlineStr">
        <is>
          <t>Bhagyanagar India</t>
        </is>
      </c>
      <c r="F6" s="30" t="inlineStr">
        <is>
          <t>Recycling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23</v>
      </c>
      <c r="K6" s="30" t="n">
        <v>22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SIGMAADV</t>
        </is>
      </c>
      <c r="E7" s="30" t="inlineStr">
        <is>
          <t>Sigma Advanced System Ltd</t>
        </is>
      </c>
      <c r="F7" s="30" t="inlineStr">
        <is>
          <t>Aerospace &amp; Defence - Equipments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26</v>
      </c>
      <c r="K7" s="30" t="n">
        <v>30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SYRMA</t>
        </is>
      </c>
      <c r="E8" s="30" t="inlineStr">
        <is>
          <t>Syrma SGS Technology Ltd</t>
        </is>
      </c>
      <c r="F8" s="30" t="inlineStr">
        <is>
          <t>Consumer Electronics - EMS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19</v>
      </c>
      <c r="K8" s="30" t="n">
        <v>27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JAYBARMARU</t>
        </is>
      </c>
      <c r="E9" s="30" t="inlineStr">
        <is>
          <t>Jay Bharat Maruti Limited</t>
        </is>
      </c>
      <c r="F9" s="30" t="inlineStr">
        <is>
          <t>Auto Ancillaries - Diversified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25</v>
      </c>
      <c r="K9" s="30" t="n">
        <v>26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SASKEN</t>
        </is>
      </c>
      <c r="E10" s="30" t="inlineStr">
        <is>
          <t>Sasken Communication Technologies Limited</t>
        </is>
      </c>
      <c r="F10" s="30" t="inlineStr">
        <is>
          <t>IT - Software</t>
        </is>
      </c>
      <c r="G10" s="30" t="n">
        <v>3</v>
      </c>
      <c r="H10" s="30" t="inlineStr">
        <is>
          <t>52W Breakout</t>
        </is>
      </c>
      <c r="I10" s="30" t="inlineStr">
        <is>
          <t>Yes</t>
        </is>
      </c>
      <c r="J10" s="30" t="n">
        <v>19</v>
      </c>
      <c r="K10" s="30" t="n">
        <v>30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MAHABANK</t>
        </is>
      </c>
      <c r="E11" s="30" t="inlineStr">
        <is>
          <t>Bank Of Maharashtra Ltd</t>
        </is>
      </c>
      <c r="F11" s="30" t="inlineStr">
        <is>
          <t>Banks - PSU</t>
        </is>
      </c>
      <c r="G11" s="30" t="n">
        <v>2</v>
      </c>
      <c r="H11" s="30" t="inlineStr">
        <is>
          <t>No</t>
        </is>
      </c>
      <c r="I11" s="30" t="inlineStr">
        <is>
          <t>Yes</t>
        </is>
      </c>
      <c r="J11" s="30" t="n">
        <v>20</v>
      </c>
      <c r="K11" s="30" t="n">
        <v>14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SATIN</t>
        </is>
      </c>
      <c r="E12" s="30" t="inlineStr">
        <is>
          <t>Satin Creditcare Network Limited</t>
        </is>
      </c>
      <c r="F12" s="30" t="inlineStr">
        <is>
          <t>Finance &amp; Investments - Microfinance</t>
        </is>
      </c>
      <c r="G12" s="30" t="n">
        <v>2</v>
      </c>
      <c r="H12" s="30" t="inlineStr">
        <is>
          <t>No</t>
        </is>
      </c>
      <c r="I12" s="30" t="inlineStr">
        <is>
          <t>Yes</t>
        </is>
      </c>
      <c r="J12" s="30" t="n">
        <v>21</v>
      </c>
      <c r="K12" s="30" t="n">
        <v>29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RPTECH</t>
        </is>
      </c>
      <c r="E13" s="30" t="inlineStr">
        <is>
          <t>Rashi Peripherals Ltd</t>
        </is>
      </c>
      <c r="F13" s="30" t="inlineStr">
        <is>
          <t>Trading</t>
        </is>
      </c>
      <c r="G13" s="30" t="n">
        <v>2</v>
      </c>
      <c r="H13" s="30" t="inlineStr">
        <is>
          <t>No</t>
        </is>
      </c>
      <c r="I13" s="30" t="inlineStr">
        <is>
          <t>Yes</t>
        </is>
      </c>
      <c r="J13" s="30" t="n">
        <v>28</v>
      </c>
      <c r="K13" s="30" t="n">
        <v>28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GVT&amp;D</t>
        </is>
      </c>
      <c r="E14" s="30" t="inlineStr">
        <is>
          <t>GE Vernova T&amp;D India Ltd</t>
        </is>
      </c>
      <c r="F14" s="30" t="inlineStr">
        <is>
          <t>Electrical Equipments/HVDC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20</v>
      </c>
      <c r="K14" s="30" t="n">
        <v>22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STYLAMIND</t>
        </is>
      </c>
      <c r="E15" s="30" t="inlineStr">
        <is>
          <t>Stylam Industries Ltd</t>
        </is>
      </c>
      <c r="F15" s="30" t="inlineStr">
        <is>
          <t>Plywood Boards/Laminates</t>
        </is>
      </c>
      <c r="G15" s="30" t="n">
        <v>2</v>
      </c>
      <c r="H15" s="30" t="inlineStr">
        <is>
          <t>52W Breakout</t>
        </is>
      </c>
      <c r="I15" s="30" t="inlineStr">
        <is>
          <t>Yes</t>
        </is>
      </c>
      <c r="J15" s="30" t="n">
        <v>14</v>
      </c>
      <c r="K15" s="30" t="n">
        <v>30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VENUSREM</t>
        </is>
      </c>
      <c r="E16" s="30" t="inlineStr">
        <is>
          <t>Venus Remedies Limited</t>
        </is>
      </c>
      <c r="F16" s="30" t="inlineStr">
        <is>
          <t>Pharmaceuticals - I V Fluids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21</v>
      </c>
      <c r="K16" s="30" t="n">
        <v>27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MTARTECH</t>
        </is>
      </c>
      <c r="E17" s="30" t="inlineStr">
        <is>
          <t>MTAR Technologies Ltd</t>
        </is>
      </c>
      <c r="F17" s="30" t="inlineStr">
        <is>
          <t>Aerospace &amp; Defence - Equipments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26</v>
      </c>
      <c r="K17" s="30" t="n">
        <v>24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THANGAMAYL</t>
        </is>
      </c>
      <c r="E18" s="30" t="inlineStr">
        <is>
          <t>Thangamayil Jewellery Limited</t>
        </is>
      </c>
      <c r="F18" s="30" t="inlineStr">
        <is>
          <t>Diamond, Gems &amp; Jewellery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28</v>
      </c>
      <c r="K18" s="30" t="n">
        <v>19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RADICO</t>
        </is>
      </c>
      <c r="E19" s="30" t="inlineStr">
        <is>
          <t>Radico Khaitan Limited</t>
        </is>
      </c>
      <c r="F19" s="30" t="inlineStr">
        <is>
          <t>Alcoholic Beverages</t>
        </is>
      </c>
      <c r="G19" s="30" t="n">
        <v>2</v>
      </c>
      <c r="H19" s="30" t="inlineStr">
        <is>
          <t>52W Breakout</t>
        </is>
      </c>
      <c r="I19" s="30" t="inlineStr">
        <is>
          <t>Yes</t>
        </is>
      </c>
      <c r="J19" s="30" t="n">
        <v>14</v>
      </c>
      <c r="K19" s="30" t="n">
        <v>25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NETWEB</t>
        </is>
      </c>
      <c r="E20" s="30" t="inlineStr">
        <is>
          <t>Netweb Technologies India Ltd</t>
        </is>
      </c>
      <c r="F20" s="30" t="inlineStr">
        <is>
          <t>Data Centre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21</v>
      </c>
      <c r="K20" s="30" t="n">
        <v>18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GAYAPROJ</t>
        </is>
      </c>
      <c r="E21" s="30" t="inlineStr">
        <is>
          <t>Gayatri Projects Limited</t>
        </is>
      </c>
      <c r="F21" s="30" t="inlineStr">
        <is>
          <t>Construction - Civil/Turnkey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21</v>
      </c>
      <c r="K21" s="30" t="n">
        <v>23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MAYURUNIQ</t>
        </is>
      </c>
      <c r="E22" s="30" t="inlineStr">
        <is>
          <t>Mayur Uniquoters Ltd</t>
        </is>
      </c>
      <c r="F22" s="30" t="inlineStr">
        <is>
          <t>Plastics - Plastic &amp; Plastic Products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18</v>
      </c>
      <c r="K22" s="30" t="n">
        <v>30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CARYSIL</t>
        </is>
      </c>
      <c r="E23" s="30" t="inlineStr">
        <is>
          <t>Carysil Ltd</t>
        </is>
      </c>
      <c r="F23" s="30" t="inlineStr">
        <is>
          <t>Building Material USA</t>
        </is>
      </c>
      <c r="G23" s="30" t="n">
        <v>2</v>
      </c>
      <c r="H23" s="30" t="inlineStr">
        <is>
          <t>52W Breakout</t>
        </is>
      </c>
      <c r="I23" s="30" t="inlineStr">
        <is>
          <t>Yes</t>
        </is>
      </c>
      <c r="J23" s="30" t="n">
        <v>15</v>
      </c>
      <c r="K23" s="30" t="n">
        <v>28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GVPIL</t>
        </is>
      </c>
      <c r="E24" s="30" t="inlineStr">
        <is>
          <t>GE Power India Ltd</t>
        </is>
      </c>
      <c r="F24" s="30" t="inlineStr">
        <is>
          <t>Infra - General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21</v>
      </c>
      <c r="K24" s="30" t="n">
        <v>30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SKMEGGPROD</t>
        </is>
      </c>
      <c r="E25" s="30" t="inlineStr">
        <is>
          <t>Skm Egg Products Export (india) Limited</t>
        </is>
      </c>
      <c r="F25" s="30" t="inlineStr">
        <is>
          <t>FMCG - Animal/Polutry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23</v>
      </c>
      <c r="K25" s="30" t="n">
        <v>24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NGLFINE</t>
        </is>
      </c>
      <c r="E26" s="30" t="inlineStr">
        <is>
          <t>NGL Fine Chem Ltd</t>
        </is>
      </c>
      <c r="F26" s="30" t="inlineStr">
        <is>
          <t>Pharma - Animal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26</v>
      </c>
      <c r="K26" s="30" t="n">
        <v>25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AEGISLOG</t>
        </is>
      </c>
      <c r="E27" s="30" t="inlineStr">
        <is>
          <t>Aegis Logistics Ltd</t>
        </is>
      </c>
      <c r="F27" s="30" t="inlineStr">
        <is>
          <t>Logistics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28</v>
      </c>
      <c r="K27" s="30" t="n">
        <v>15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ABSLAMC</t>
        </is>
      </c>
      <c r="E28" s="30" t="inlineStr">
        <is>
          <t>Aditya Birla Sun Life AMC Ltd</t>
        </is>
      </c>
      <c r="F28" s="30" t="inlineStr">
        <is>
          <t>Finance - AMC</t>
        </is>
      </c>
      <c r="G28" s="30" t="n">
        <v>2</v>
      </c>
      <c r="H28" s="30" t="inlineStr">
        <is>
          <t>52W Breakout</t>
        </is>
      </c>
      <c r="I28" s="30" t="inlineStr">
        <is>
          <t>Yes</t>
        </is>
      </c>
      <c r="J28" s="30" t="n">
        <v>11</v>
      </c>
      <c r="K28" s="30" t="n">
        <v>12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VTL</t>
        </is>
      </c>
      <c r="E29" s="30" t="inlineStr">
        <is>
          <t>Vardhman Textiles Limited</t>
        </is>
      </c>
      <c r="F29" s="30" t="inlineStr">
        <is>
          <t>Textiles - Spinning</t>
        </is>
      </c>
      <c r="G29" s="30" t="n">
        <v>2</v>
      </c>
      <c r="H29" s="30" t="inlineStr">
        <is>
          <t>52W Breakout</t>
        </is>
      </c>
      <c r="I29" s="30" t="inlineStr">
        <is>
          <t>Yes</t>
        </is>
      </c>
      <c r="J29" s="30" t="n">
        <v>10</v>
      </c>
      <c r="K29" s="30" t="n">
        <v>19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SPARC</t>
        </is>
      </c>
      <c r="E30" s="30" t="inlineStr">
        <is>
          <t>Sun Pharma Advanced Research Company Limited</t>
        </is>
      </c>
      <c r="F30" s="30" t="inlineStr">
        <is>
          <t>Pharma - Others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22</v>
      </c>
      <c r="K30" s="30" t="n">
        <v>28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PAISALO</t>
        </is>
      </c>
      <c r="E31" s="30" t="inlineStr">
        <is>
          <t>Paisalo Digital Ltd</t>
        </is>
      </c>
      <c r="F31" s="30" t="inlineStr">
        <is>
          <t>Finance - Capital Markets - Brokers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20</v>
      </c>
      <c r="K31" s="30" t="n">
        <v>30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MARKSANS</t>
        </is>
      </c>
      <c r="E32" s="30" t="inlineStr">
        <is>
          <t>Marksans Pharma Limited</t>
        </is>
      </c>
      <c r="F32" s="30" t="inlineStr">
        <is>
          <t>Pharma - Formulators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22</v>
      </c>
      <c r="K32" s="30" t="n">
        <v>26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CEIGALL</t>
        </is>
      </c>
      <c r="E33" s="30" t="inlineStr">
        <is>
          <t>Ceigall India Ltd</t>
        </is>
      </c>
      <c r="F33" s="30" t="inlineStr">
        <is>
          <t>Construction - Civil/Turnkey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21</v>
      </c>
      <c r="K33" s="30" t="n">
        <v>23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PARAS</t>
        </is>
      </c>
      <c r="E34" s="30" t="inlineStr">
        <is>
          <t>Paras Defence and Space Technologies Ltd</t>
        </is>
      </c>
      <c r="F34" s="30" t="inlineStr">
        <is>
          <t>Aerospace &amp; Defence - Equipments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25</v>
      </c>
      <c r="K34" s="30" t="n">
        <v>23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SIS</t>
        </is>
      </c>
      <c r="E35" s="30" t="inlineStr">
        <is>
          <t>Security &amp; Intelligence Services India</t>
        </is>
      </c>
      <c r="F35" s="30" t="inlineStr">
        <is>
          <t>Facility Management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18</v>
      </c>
      <c r="K35" s="30" t="n">
        <v>30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GOLDIAM</t>
        </is>
      </c>
      <c r="E36" s="30" t="inlineStr">
        <is>
          <t>Goldiam International Limited</t>
        </is>
      </c>
      <c r="F36" s="30" t="inlineStr">
        <is>
          <t>Lab Grown Diamonds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23</v>
      </c>
      <c r="K36" s="30" t="n">
        <v>22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UNIPARTS</t>
        </is>
      </c>
      <c r="E37" s="30" t="inlineStr">
        <is>
          <t>Uniparts India Ltd</t>
        </is>
      </c>
      <c r="F37" s="30" t="inlineStr">
        <is>
          <t>Castings, Forgings &amp; Fastners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24</v>
      </c>
      <c r="K37" s="30" t="n">
        <v>29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PRECWIRE</t>
        </is>
      </c>
      <c r="E38" s="30" t="inlineStr">
        <is>
          <t>Precision Wires India Limited</t>
        </is>
      </c>
      <c r="F38" s="30" t="inlineStr">
        <is>
          <t>Copper Wires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21</v>
      </c>
      <c r="K38" s="30" t="n">
        <v>17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RATEGAIN</t>
        </is>
      </c>
      <c r="E39" s="30" t="inlineStr">
        <is>
          <t>Rategain Travel Technologies Ltd</t>
        </is>
      </c>
      <c r="F39" s="30" t="inlineStr">
        <is>
          <t>IT Product Companies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18</v>
      </c>
      <c r="K39" s="30" t="n">
        <v>30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INNOVACAP</t>
        </is>
      </c>
      <c r="E40" s="30" t="inlineStr">
        <is>
          <t>Innova Captab Ltd</t>
        </is>
      </c>
      <c r="F40" s="30" t="inlineStr">
        <is>
          <t>Pharma - API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19</v>
      </c>
      <c r="K40" s="30" t="n">
        <v>30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ANGELONE</t>
        </is>
      </c>
      <c r="E41" s="30" t="inlineStr">
        <is>
          <t>Angel One Ltd</t>
        </is>
      </c>
      <c r="F41" s="30" t="inlineStr">
        <is>
          <t>Finance - Capital Markets - Brokers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19</v>
      </c>
      <c r="K41" s="30" t="n">
        <v>24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CGCL</t>
        </is>
      </c>
      <c r="E42" s="30" t="inlineStr">
        <is>
          <t>Capri Global Capital Limited</t>
        </is>
      </c>
      <c r="F42" s="30" t="inlineStr">
        <is>
          <t>Finance &amp; Investments - Gold Loan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25</v>
      </c>
      <c r="K42" s="30" t="n">
        <v>21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SENORES</t>
        </is>
      </c>
      <c r="E43" s="30" t="inlineStr">
        <is>
          <t>Senores Pharmaceuticals Ltd</t>
        </is>
      </c>
      <c r="F43" s="30" t="inlineStr">
        <is>
          <t>Pharma - API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27</v>
      </c>
      <c r="K43" s="30" t="n">
        <v>23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CAPLIPOINT</t>
        </is>
      </c>
      <c r="E44" s="30" t="inlineStr">
        <is>
          <t>Caplin Point Laboratories Limited</t>
        </is>
      </c>
      <c r="F44" s="30" t="inlineStr">
        <is>
          <t>Pharma - Formulators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19</v>
      </c>
      <c r="K44" s="30" t="n">
        <v>30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STLTECH</t>
        </is>
      </c>
      <c r="E45" s="30" t="inlineStr">
        <is>
          <t>Sterlite Technologies Limited</t>
        </is>
      </c>
      <c r="F45" s="30" t="inlineStr">
        <is>
          <t>Cables - Telecom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20</v>
      </c>
      <c r="K45" s="30" t="n">
        <v>30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KERNEX</t>
        </is>
      </c>
      <c r="E46" s="30" t="inlineStr">
        <is>
          <t>Kernex Microsystems (india) Limited</t>
        </is>
      </c>
      <c r="F46" s="30" t="inlineStr">
        <is>
          <t>Railways - Kavach/Springs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21</v>
      </c>
      <c r="K46" s="30" t="n">
        <v>26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KIRLPNU</t>
        </is>
      </c>
      <c r="E47" s="30" t="inlineStr">
        <is>
          <t>Kirloskar Pneumatic Company Ltd</t>
        </is>
      </c>
      <c r="F47" s="30" t="inlineStr">
        <is>
          <t>Compressors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23</v>
      </c>
      <c r="K47" s="30" t="n">
        <v>28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NRBBEARING</t>
        </is>
      </c>
      <c r="E48" s="30" t="inlineStr">
        <is>
          <t>Nrb Bearing Limited</t>
        </is>
      </c>
      <c r="F48" s="30" t="inlineStr">
        <is>
          <t>Bearings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18</v>
      </c>
      <c r="K48" s="30" t="n">
        <v>30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AVALON</t>
        </is>
      </c>
      <c r="E49" s="30" t="inlineStr">
        <is>
          <t>Avalon Technologies Ltd</t>
        </is>
      </c>
      <c r="F49" s="30" t="inlineStr">
        <is>
          <t>Consumer Electronics - EMS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22</v>
      </c>
      <c r="K49" s="30" t="n">
        <v>30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RPEL</t>
        </is>
      </c>
      <c r="E50" s="30" t="inlineStr">
        <is>
          <t>Raghav Productivity Enhancers Ltd</t>
        </is>
      </c>
      <c r="F50" s="30" t="inlineStr">
        <is>
          <t>Steel Products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24</v>
      </c>
      <c r="K50" s="30" t="n">
        <v>28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MMTC</t>
        </is>
      </c>
      <c r="E51" s="30" t="inlineStr">
        <is>
          <t>Mmtc Limited</t>
        </is>
      </c>
      <c r="F51" s="30" t="inlineStr">
        <is>
          <t>Trading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24</v>
      </c>
      <c r="K51" s="30" t="n">
        <v>6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SKIPPER</t>
        </is>
      </c>
      <c r="E52" s="30" t="inlineStr">
        <is>
          <t>Skipper Limited</t>
        </is>
      </c>
      <c r="F52" s="30" t="inlineStr">
        <is>
          <t>Electrical Equipments/HVDC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19</v>
      </c>
      <c r="K52" s="30" t="n">
        <v>22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SHRIPISTON</t>
        </is>
      </c>
      <c r="E53" s="30" t="inlineStr">
        <is>
          <t>Shriram Pistons &amp; Rings Limited</t>
        </is>
      </c>
      <c r="F53" s="30" t="inlineStr">
        <is>
          <t>Auto Ancillaries - Engine Parts</t>
        </is>
      </c>
      <c r="G53" s="30" t="n">
        <v>2</v>
      </c>
      <c r="H53" s="30" t="inlineStr">
        <is>
          <t>52W Breakout</t>
        </is>
      </c>
      <c r="I53" s="30" t="inlineStr">
        <is>
          <t>Yes</t>
        </is>
      </c>
      <c r="J53" s="30" t="n">
        <v>13</v>
      </c>
      <c r="K53" s="30" t="n">
        <v>8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GRWRHITECH</t>
        </is>
      </c>
      <c r="E54" s="30" t="inlineStr">
        <is>
          <t>Garware Hi Tech Films Ltd</t>
        </is>
      </c>
      <c r="F54" s="30" t="inlineStr">
        <is>
          <t>Packaging - Films</t>
        </is>
      </c>
      <c r="G54" s="30" t="n">
        <v>2</v>
      </c>
      <c r="H54" s="30" t="inlineStr">
        <is>
          <t>52W Breakout</t>
        </is>
      </c>
      <c r="I54" s="30" t="inlineStr">
        <is>
          <t>Yes</t>
        </is>
      </c>
      <c r="J54" s="30" t="n">
        <v>12</v>
      </c>
      <c r="K54" s="30" t="n">
        <v>30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APOLLO</t>
        </is>
      </c>
      <c r="E55" s="30" t="inlineStr">
        <is>
          <t>Apollo Micro Systems Ltd</t>
        </is>
      </c>
      <c r="F55" s="30" t="inlineStr">
        <is>
          <t>Aerospace &amp; Defence - Equipments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22</v>
      </c>
      <c r="K55" s="30" t="n">
        <v>29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ACUTAAS</t>
        </is>
      </c>
      <c r="E56" s="30" t="inlineStr">
        <is>
          <t>Acutaas Chemicals Ltd</t>
        </is>
      </c>
      <c r="F56" s="30" t="inlineStr">
        <is>
          <t>Pharma - API &amp; CRAMS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25</v>
      </c>
      <c r="K56" s="30" t="n">
        <v>28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WABAG</t>
        </is>
      </c>
      <c r="E57" s="30" t="inlineStr">
        <is>
          <t>Va Tech Wabag Limited</t>
        </is>
      </c>
      <c r="F57" s="30" t="inlineStr">
        <is>
          <t>Water Treatment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21</v>
      </c>
      <c r="K57" s="30" t="n">
        <v>22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HFCL</t>
        </is>
      </c>
      <c r="E58" s="30" t="inlineStr">
        <is>
          <t>HFCL Ltd</t>
        </is>
      </c>
      <c r="F58" s="30" t="inlineStr">
        <is>
          <t>Telecom Services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23</v>
      </c>
      <c r="K58" s="30" t="n">
        <v>29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SPECTRUM</t>
        </is>
      </c>
      <c r="E59" s="30" t="inlineStr">
        <is>
          <t>Spectrum Electrical Industries Ltd</t>
        </is>
      </c>
      <c r="F59" s="30" t="inlineStr">
        <is>
          <t>Capital Goods - Electric General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18</v>
      </c>
      <c r="K59" s="30" t="n">
        <v>22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WALCHANNAG</t>
        </is>
      </c>
      <c r="E60" s="30" t="inlineStr">
        <is>
          <t>Walchandnagar Industries Limited</t>
        </is>
      </c>
      <c r="F60" s="30" t="inlineStr">
        <is>
          <t>Capital Goods - Engineering Heavy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18</v>
      </c>
      <c r="K60" s="30" t="n">
        <v>19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NIBE</t>
        </is>
      </c>
      <c r="E61" s="30" t="inlineStr">
        <is>
          <t>NIBE Ltd</t>
        </is>
      </c>
      <c r="F61" s="30" t="inlineStr">
        <is>
          <t>Aerospace &amp; Defence - Equipments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23</v>
      </c>
      <c r="K61" s="30" t="n">
        <v>4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SFL</t>
        </is>
      </c>
      <c r="E62" s="30" t="inlineStr">
        <is>
          <t>Sheela Foam Limited</t>
        </is>
      </c>
      <c r="F62" s="30" t="inlineStr">
        <is>
          <t>Mattress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20</v>
      </c>
      <c r="K62" s="30" t="n">
        <v>18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VADILALIND</t>
        </is>
      </c>
      <c r="E63" s="30" t="inlineStr">
        <is>
          <t>Vadilal Industries Limited</t>
        </is>
      </c>
      <c r="F63" s="30" t="inlineStr">
        <is>
          <t>FMCG - Dairy Products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30</v>
      </c>
      <c r="K63" s="30" t="n">
        <v>16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MINDACORP</t>
        </is>
      </c>
      <c r="E64" s="30" t="inlineStr">
        <is>
          <t>Minda Corporation Limited</t>
        </is>
      </c>
      <c r="F64" s="30" t="inlineStr">
        <is>
          <t>Auto Ancillaries - Diversified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20</v>
      </c>
      <c r="K64" s="30" t="n">
        <v>24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FCL</t>
        </is>
      </c>
      <c r="E65" s="30" t="inlineStr">
        <is>
          <t>Fineotex Chemical Limited</t>
        </is>
      </c>
      <c r="F65" s="30" t="inlineStr">
        <is>
          <t>Speciality Chemicals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19</v>
      </c>
      <c r="K65" s="30" t="n">
        <v>28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AEROFLEX</t>
        </is>
      </c>
      <c r="E66" s="30" t="inlineStr">
        <is>
          <t>Aeroflex Industries Ltd</t>
        </is>
      </c>
      <c r="F66" s="30" t="inlineStr">
        <is>
          <t>Stainless Steel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18</v>
      </c>
      <c r="K66" s="30" t="n">
        <v>28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ORCHPHARMA</t>
        </is>
      </c>
      <c r="E67" s="30" t="inlineStr">
        <is>
          <t>Orchid Pharma Ltd</t>
        </is>
      </c>
      <c r="F67" s="30" t="inlineStr">
        <is>
          <t>unknown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0</v>
      </c>
      <c r="K67" s="30" t="n">
        <v>24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LLOYDSENGG</t>
        </is>
      </c>
      <c r="E68" s="30" t="inlineStr">
        <is>
          <t>Lloyds Engineering Works Ltd</t>
        </is>
      </c>
      <c r="F68" s="30" t="inlineStr">
        <is>
          <t>Capital Goods - Electrical Equipment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18</v>
      </c>
      <c r="K68" s="30" t="n">
        <v>28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PREMEXPLN</t>
        </is>
      </c>
      <c r="E69" s="30" t="inlineStr">
        <is>
          <t>Premier Explosives Limited</t>
        </is>
      </c>
      <c r="F69" s="30" t="inlineStr">
        <is>
          <t>Industrial Explosives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20</v>
      </c>
      <c r="K69" s="30" t="n">
        <v>26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CRAFTSMAN</t>
        </is>
      </c>
      <c r="E70" s="30" t="inlineStr">
        <is>
          <t>Craftsman Automation Ltd</t>
        </is>
      </c>
      <c r="F70" s="30" t="inlineStr">
        <is>
          <t>Auto &amp; Auto Ancl - CV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21</v>
      </c>
      <c r="K70" s="30" t="n">
        <v>29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GMRAIRPORT</t>
        </is>
      </c>
      <c r="E71" s="30" t="inlineStr">
        <is>
          <t>GMR Airports Ltd</t>
        </is>
      </c>
      <c r="F71" s="30" t="inlineStr">
        <is>
          <t>Miscellaneous</t>
        </is>
      </c>
      <c r="G71" s="30" t="n">
        <v>2</v>
      </c>
      <c r="H71" s="30" t="inlineStr">
        <is>
          <t>52W Breakout</t>
        </is>
      </c>
      <c r="I71" s="30" t="inlineStr">
        <is>
          <t>Yes</t>
        </is>
      </c>
      <c r="J71" s="30" t="n">
        <v>17</v>
      </c>
      <c r="K71" s="30" t="n">
        <v>15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AVL</t>
        </is>
      </c>
      <c r="E72" s="30" t="inlineStr">
        <is>
          <t>Aditya Vision Ltd</t>
        </is>
      </c>
      <c r="F72" s="30" t="inlineStr">
        <is>
          <t>Retail - Electronics</t>
        </is>
      </c>
      <c r="G72" s="30" t="n">
        <v>2</v>
      </c>
      <c r="H72" s="30" t="inlineStr">
        <is>
          <t>52W Breakout</t>
        </is>
      </c>
      <c r="I72" s="30" t="inlineStr">
        <is>
          <t>Yes</t>
        </is>
      </c>
      <c r="J72" s="30" t="n">
        <v>14</v>
      </c>
      <c r="K72" s="30" t="n">
        <v>12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POLYCAB</t>
        </is>
      </c>
      <c r="E73" s="30" t="inlineStr">
        <is>
          <t>Polycab India Ltd</t>
        </is>
      </c>
      <c r="F73" s="30" t="inlineStr">
        <is>
          <t>Cables - Power</t>
        </is>
      </c>
      <c r="G73" s="30" t="n">
        <v>2</v>
      </c>
      <c r="H73" s="30" t="inlineStr">
        <is>
          <t>52W Breakout</t>
        </is>
      </c>
      <c r="I73" s="30" t="inlineStr">
        <is>
          <t>Yes</t>
        </is>
      </c>
      <c r="J73" s="30" t="n">
        <v>11</v>
      </c>
      <c r="K73" s="30" t="n">
        <v>30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NYKAA</t>
        </is>
      </c>
      <c r="E74" s="30" t="inlineStr">
        <is>
          <t>FSN E-Commerce Ventures Ltd</t>
        </is>
      </c>
      <c r="F74" s="30" t="inlineStr">
        <is>
          <t>New age - Platform - E-Retail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18</v>
      </c>
      <c r="K74" s="30" t="n">
        <v>12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YASHO</t>
        </is>
      </c>
      <c r="E75" s="30" t="inlineStr">
        <is>
          <t>Yasho Industries Ltd</t>
        </is>
      </c>
      <c r="F75" s="30" t="inlineStr">
        <is>
          <t>Speciality Chemicals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20</v>
      </c>
      <c r="K75" s="30" t="n">
        <v>27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GALAPREC</t>
        </is>
      </c>
      <c r="E76" s="30" t="inlineStr">
        <is>
          <t>Gala Precision Engineering Ltd</t>
        </is>
      </c>
      <c r="F76" s="30" t="inlineStr">
        <is>
          <t>Castings, Forgings &amp; Fastners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20</v>
      </c>
      <c r="K76" s="30" t="n">
        <v>28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SETL</t>
        </is>
      </c>
      <c r="E77" s="30" t="inlineStr">
        <is>
          <t>Standard Enginnering Technology Ltd</t>
        </is>
      </c>
      <c r="F77" s="30" t="inlineStr">
        <is>
          <t>Engineering - Heavy - Glass - lined Equipment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20</v>
      </c>
      <c r="K77" s="30" t="n">
        <v>4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SKYGOLD</t>
        </is>
      </c>
      <c r="E78" s="30" t="inlineStr">
        <is>
          <t>Sky Gold Ltd</t>
        </is>
      </c>
      <c r="F78" s="30" t="inlineStr">
        <is>
          <t>Diamond, Gems &amp; Jewellery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20</v>
      </c>
      <c r="K78" s="30" t="n">
        <v>23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AEROENTER</t>
        </is>
      </c>
      <c r="E79" s="30" t="inlineStr">
        <is>
          <t>Aeroflex Enterprises Ltd</t>
        </is>
      </c>
      <c r="F79" s="30" t="inlineStr">
        <is>
          <t>Miscellaneous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23</v>
      </c>
      <c r="K79" s="30" t="n">
        <v>21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JNKINDIA</t>
        </is>
      </c>
      <c r="E80" s="30" t="inlineStr">
        <is>
          <t>JNK India Ltd</t>
        </is>
      </c>
      <c r="F80" s="30" t="inlineStr">
        <is>
          <t>Capital Goods - Engineering Heavy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31</v>
      </c>
      <c r="K80" s="30" t="n">
        <v>25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DIFFNKG</t>
        </is>
      </c>
      <c r="E81" s="30" t="inlineStr">
        <is>
          <t>Diffusion Engineers Ltd</t>
        </is>
      </c>
      <c r="F81" s="30" t="inlineStr">
        <is>
          <t>Welding Equipments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18</v>
      </c>
      <c r="K81" s="30" t="n">
        <v>9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DIACABS</t>
        </is>
      </c>
      <c r="E82" s="30" t="inlineStr">
        <is>
          <t>Diamond Power Infrastructure Ltd</t>
        </is>
      </c>
      <c r="F82" s="30" t="inlineStr">
        <is>
          <t>Cables - Power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20</v>
      </c>
      <c r="K82" s="30" t="n">
        <v>28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RML</t>
        </is>
      </c>
      <c r="E83" s="30" t="inlineStr">
        <is>
          <t>Rane (madras) Limited</t>
        </is>
      </c>
      <c r="F83" s="30" t="inlineStr">
        <is>
          <t>Auto Ancillaries - Gears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21</v>
      </c>
      <c r="K83" s="30" t="n">
        <v>28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TBZ</t>
        </is>
      </c>
      <c r="E84" s="30" t="inlineStr">
        <is>
          <t>Tribhovandas Bhimji Zaveri Limited</t>
        </is>
      </c>
      <c r="F84" s="30" t="inlineStr">
        <is>
          <t>Diamond, Gems &amp; Jewellery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21</v>
      </c>
      <c r="K84" s="30" t="n">
        <v>8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SOTL</t>
        </is>
      </c>
      <c r="E85" s="30" t="inlineStr">
        <is>
          <t>Savita Oil Technologies Limited</t>
        </is>
      </c>
      <c r="F85" s="30" t="inlineStr">
        <is>
          <t>Petrochem - Others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21</v>
      </c>
      <c r="K85" s="30" t="n">
        <v>30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PANAMAPET</t>
        </is>
      </c>
      <c r="E86" s="30" t="inlineStr">
        <is>
          <t>Panama Petrochem Limited</t>
        </is>
      </c>
      <c r="F86" s="30" t="inlineStr">
        <is>
          <t>Speciality Chemicals</t>
        </is>
      </c>
      <c r="G86" s="30" t="n">
        <v>2</v>
      </c>
      <c r="H86" s="30" t="inlineStr">
        <is>
          <t>No</t>
        </is>
      </c>
      <c r="I86" s="30" t="inlineStr">
        <is>
          <t>Yes</t>
        </is>
      </c>
      <c r="J86" s="30" t="n">
        <v>24</v>
      </c>
      <c r="K86" s="30" t="n">
        <v>23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KRISHANA</t>
        </is>
      </c>
      <c r="E87" s="30" t="inlineStr">
        <is>
          <t>Krishana Phoschem Ltd</t>
        </is>
      </c>
      <c r="F87" s="30" t="inlineStr">
        <is>
          <t>unknown</t>
        </is>
      </c>
      <c r="G87" s="30" t="n">
        <v>2</v>
      </c>
      <c r="H87" s="30" t="inlineStr">
        <is>
          <t>No</t>
        </is>
      </c>
      <c r="I87" s="30" t="inlineStr">
        <is>
          <t>Yes</t>
        </is>
      </c>
      <c r="J87" s="30" t="n">
        <v>0</v>
      </c>
      <c r="K87" s="30" t="n">
        <v>15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VINCOFE</t>
        </is>
      </c>
      <c r="E88" s="30" t="inlineStr">
        <is>
          <t>Vintage Coffee &amp; Beverages Ltd</t>
        </is>
      </c>
      <c r="F88" s="30" t="inlineStr">
        <is>
          <t>FMCG - Coffee</t>
        </is>
      </c>
      <c r="G88" s="30" t="n">
        <v>2</v>
      </c>
      <c r="H88" s="30" t="inlineStr">
        <is>
          <t>No</t>
        </is>
      </c>
      <c r="I88" s="30" t="inlineStr">
        <is>
          <t>Yes</t>
        </is>
      </c>
      <c r="J88" s="30" t="n">
        <v>18</v>
      </c>
      <c r="K88" s="30" t="n">
        <v>21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TVSSCS</t>
        </is>
      </c>
      <c r="E89" s="30" t="inlineStr">
        <is>
          <t>TVS Supply Chain Solutions Ltd</t>
        </is>
      </c>
      <c r="F89" s="30" t="inlineStr">
        <is>
          <t>unknown</t>
        </is>
      </c>
      <c r="G89" s="30" t="n">
        <v>2</v>
      </c>
      <c r="H89" s="30" t="inlineStr">
        <is>
          <t>No</t>
        </is>
      </c>
      <c r="I89" s="30" t="inlineStr">
        <is>
          <t>Yes</t>
        </is>
      </c>
      <c r="J89" s="30" t="n">
        <v>0</v>
      </c>
      <c r="K89" s="30" t="n">
        <v>17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MSTCLTD</t>
        </is>
      </c>
      <c r="E90" s="30" t="inlineStr">
        <is>
          <t>MSTC Ltd</t>
        </is>
      </c>
      <c r="F90" s="30" t="inlineStr">
        <is>
          <t>E-Commerce - Platform - Utility</t>
        </is>
      </c>
      <c r="G90" s="30" t="n">
        <v>2</v>
      </c>
      <c r="H90" s="30" t="inlineStr">
        <is>
          <t>No</t>
        </is>
      </c>
      <c r="I90" s="30" t="inlineStr">
        <is>
          <t>Yes</t>
        </is>
      </c>
      <c r="J90" s="30" t="n">
        <v>20</v>
      </c>
      <c r="K90" s="30" t="n">
        <v>13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MAXHEALTH</t>
        </is>
      </c>
      <c r="E91" s="30" t="inlineStr">
        <is>
          <t>Max Healthcare Institute Ltd</t>
        </is>
      </c>
      <c r="F91" s="30" t="inlineStr">
        <is>
          <t>Hospitals</t>
        </is>
      </c>
      <c r="G91" s="30" t="n">
        <v>2</v>
      </c>
      <c r="H91" s="30" t="inlineStr">
        <is>
          <t>EMA Crossover</t>
        </is>
      </c>
      <c r="I91" s="30" t="inlineStr">
        <is>
          <t>Yes</t>
        </is>
      </c>
      <c r="J91" s="30" t="n">
        <v>3</v>
      </c>
      <c r="K91" s="30" t="n">
        <v>4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KIRLFER</t>
        </is>
      </c>
      <c r="E92" s="30" t="inlineStr">
        <is>
          <t>Kirloskar Ferrous Industries Ltd</t>
        </is>
      </c>
      <c r="F92" s="30" t="inlineStr">
        <is>
          <t>Steel - Pig Iron</t>
        </is>
      </c>
      <c r="G92" s="30" t="n">
        <v>2</v>
      </c>
      <c r="H92" s="30" t="inlineStr">
        <is>
          <t>EMA Crossover</t>
        </is>
      </c>
      <c r="I92" s="30" t="inlineStr">
        <is>
          <t>Yes</t>
        </is>
      </c>
      <c r="J92" s="30" t="n">
        <v>10</v>
      </c>
      <c r="K92" s="30" t="n">
        <v>2</v>
      </c>
    </row>
    <row r="93">
      <c r="A93" s="30">
        <f>IF(B93=0,"",ROW()-1)</f>
        <v/>
      </c>
      <c r="B93" s="31">
        <f>IFERROR(INDEX('Monit Non Financial'!$B$2:$B$400, MATCH(D93, 'Monit Non Financial'!$C$2:$C$400, 0)), IFERROR(INDEX('Monit Banks NBFC'!$B$2:$B$100, MATCH(D93, 'Monit Banks NBFC'!$C$2:$C$100, 0)), 0))</f>
        <v/>
      </c>
      <c r="C93" s="30">
        <f>IFERROR(INDEX('Monit Non Financial'!$L$2:$L$400, MATCH(D93, 'Monit Non Financial'!$C$2:$C$400, 0)), IFERROR(INDEX('Monit Banks NBFC'!$L$2:$L$100, MATCH(D93, 'Monit Banks NBFC'!$C$2:$C$100, 0)), ""))</f>
        <v/>
      </c>
      <c r="D93" s="30" t="inlineStr">
        <is>
          <t>UNITDSPR</t>
        </is>
      </c>
      <c r="E93" s="30" t="inlineStr">
        <is>
          <t>United Spirits Ltd</t>
        </is>
      </c>
      <c r="F93" s="30" t="inlineStr">
        <is>
          <t>Alcoholic Beverages</t>
        </is>
      </c>
      <c r="G93" s="30" t="n">
        <v>2</v>
      </c>
      <c r="H93" s="30" t="inlineStr">
        <is>
          <t>EMA Crossover</t>
        </is>
      </c>
      <c r="I93" s="30" t="inlineStr">
        <is>
          <t>Yes</t>
        </is>
      </c>
      <c r="J93" s="30" t="n">
        <v>3</v>
      </c>
      <c r="K93" s="30" t="n">
        <v>1</v>
      </c>
    </row>
  </sheetData>
  <autoFilter ref="A1:K93"/>
  <conditionalFormatting sqref="G2:G9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3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40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IF(B2=0,"",RANK(B2,$B$2:$B$400,0))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IOLCP</t>
        </is>
      </c>
      <c r="D2" s="30" t="inlineStr">
        <is>
          <t>Iol Chemicals And Pharmaceuticals Limited</t>
        </is>
      </c>
      <c r="E2" s="30" t="inlineStr">
        <is>
          <t>healthcare</t>
        </is>
      </c>
      <c r="F2" s="30" t="inlineStr">
        <is>
          <t>pharmaceuticals - indian - bulk drugs &amp; formln</t>
        </is>
      </c>
      <c r="G2" s="30" t="inlineStr">
        <is>
          <t>smallcap</t>
        </is>
      </c>
      <c r="H2" s="31" t="n">
        <v>3672.03</v>
      </c>
      <c r="I2" s="31" t="n">
        <v>128.3</v>
      </c>
      <c r="J2" s="31" t="n">
        <v>2.56</v>
      </c>
      <c r="K2" s="31" t="n">
        <v>2087654</v>
      </c>
      <c r="L2" s="30" t="n">
        <v>85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73.84999999999999</v>
      </c>
      <c r="P2" s="31" t="n">
        <v>44.83</v>
      </c>
      <c r="Q2" s="31" t="n">
        <v>100.18</v>
      </c>
      <c r="R2" s="30" t="inlineStr">
        <is>
          <t>Near 52W High Breakout</t>
        </is>
      </c>
      <c r="S2" s="30" t="inlineStr">
        <is>
          <t>Nifty Pharma</t>
        </is>
      </c>
      <c r="T2" s="31" t="n">
        <v>12.35</v>
      </c>
      <c r="U2" s="31" t="n">
        <v>50.72</v>
      </c>
      <c r="V2" s="31" t="n">
        <v>34.15</v>
      </c>
      <c r="W2" s="31" t="n">
        <v>28.86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IF(B3=0,"",RANK(B3,$B$2:$B$400,0))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IBULLSLTD</t>
        </is>
      </c>
      <c r="D3" s="30" t="inlineStr">
        <is>
          <t>Indiabulls Limited</t>
        </is>
      </c>
      <c r="E3" s="30" t="inlineStr">
        <is>
          <t>miscellaneous</t>
        </is>
      </c>
      <c r="F3" s="30" t="inlineStr">
        <is>
          <t>diversified - medium / small</t>
        </is>
      </c>
      <c r="G3" s="30" t="inlineStr">
        <is>
          <t>midcap</t>
        </is>
      </c>
      <c r="H3" s="31" t="n">
        <v>5590.14</v>
      </c>
      <c r="I3" s="31" t="n">
        <v>25.25</v>
      </c>
      <c r="J3" s="31" t="n">
        <v>4.99</v>
      </c>
      <c r="K3" s="31" t="n">
        <v>5038057</v>
      </c>
      <c r="L3" s="30" t="n">
        <v>96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74.90000000000001</v>
      </c>
      <c r="P3" s="31" t="n">
        <v>36.21</v>
      </c>
      <c r="Q3" s="31" t="n">
        <v>18.07</v>
      </c>
      <c r="R3" s="30" t="inlineStr">
        <is>
          <t>Near 52W High Breakout</t>
        </is>
      </c>
      <c r="S3" s="30" t="inlineStr">
        <is>
          <t>Nifty 50</t>
        </is>
      </c>
      <c r="T3" s="31" t="n">
        <v>-3.76</v>
      </c>
      <c r="U3" s="31" t="n">
        <v>43.87</v>
      </c>
      <c r="V3" s="31" t="n">
        <v>49.5</v>
      </c>
      <c r="W3" s="31" t="n">
        <v>52.68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Between 50% to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IF(B4=0,"",RANK(B4,$B$2:$B$400,0))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BAJAJCON</t>
        </is>
      </c>
      <c r="D4" s="30" t="inlineStr">
        <is>
          <t>Bajaj Consumer Care Ltd</t>
        </is>
      </c>
      <c r="E4" s="30" t="inlineStr">
        <is>
          <t>fmcg</t>
        </is>
      </c>
      <c r="F4" s="30" t="inlineStr">
        <is>
          <t>personal care - indian</t>
        </is>
      </c>
      <c r="G4" s="30" t="inlineStr">
        <is>
          <t>midcap</t>
        </is>
      </c>
      <c r="H4" s="31" t="n">
        <v>7874.33</v>
      </c>
      <c r="I4" s="31" t="n">
        <v>620.5</v>
      </c>
      <c r="J4" s="31" t="n">
        <v>2.93</v>
      </c>
      <c r="K4" s="31" t="n">
        <v>756495</v>
      </c>
      <c r="L4" s="30" t="n">
        <v>95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79.26000000000001</v>
      </c>
      <c r="P4" s="31" t="n">
        <v>56.08</v>
      </c>
      <c r="Q4" s="31" t="n">
        <v>488.94</v>
      </c>
      <c r="R4" s="30" t="inlineStr">
        <is>
          <t>Near 52W High Breakout</t>
        </is>
      </c>
      <c r="S4" s="30" t="inlineStr">
        <is>
          <t>Nifty FMCG</t>
        </is>
      </c>
      <c r="T4" s="31" t="n">
        <v>-9.109999999999999</v>
      </c>
      <c r="U4" s="31" t="n">
        <v>266.62</v>
      </c>
      <c r="V4" s="31" t="n">
        <v>303.36</v>
      </c>
      <c r="W4" s="31" t="n">
        <v>46.7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B2C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Annuity, Lower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Yes</t>
        </is>
      </c>
      <c r="BS4" s="30">
        <f>IF(BR4="NO",5,0)</f>
        <v/>
      </c>
      <c r="BT4" s="30" t="inlineStr">
        <is>
          <t>Above 2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IF(B5=0,"",RANK(B5,$B$2:$B$400,0))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SCPL</t>
        </is>
      </c>
      <c r="D5" s="30" t="inlineStr">
        <is>
          <t>Sheetal Cool Products Ltd</t>
        </is>
      </c>
      <c r="E5" s="30" t="inlineStr">
        <is>
          <t>fmcg</t>
        </is>
      </c>
      <c r="F5" s="30" t="inlineStr">
        <is>
          <t>food - processing - indian</t>
        </is>
      </c>
      <c r="G5" s="30" t="inlineStr">
        <is>
          <t>smallcap</t>
        </is>
      </c>
      <c r="H5" s="31" t="n">
        <v>502.27</v>
      </c>
      <c r="I5" s="31" t="n">
        <v>489.8</v>
      </c>
      <c r="J5" s="31" t="n">
        <v>2.39</v>
      </c>
      <c r="K5" s="31" t="n">
        <v>11149</v>
      </c>
      <c r="L5" s="30" t="n">
        <v>81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72.29000000000001</v>
      </c>
      <c r="P5" s="31" t="n">
        <v>31.41</v>
      </c>
      <c r="Q5" s="31" t="n">
        <v>358.68</v>
      </c>
      <c r="R5" s="30" t="inlineStr">
        <is>
          <t>Volume Spike &amp; Near 52W High Breakout</t>
        </is>
      </c>
      <c r="S5" s="30" t="inlineStr">
        <is>
          <t>Nifty FMCG</t>
        </is>
      </c>
      <c r="T5" s="31" t="n">
        <v>-9.109999999999999</v>
      </c>
      <c r="U5" s="31" t="n">
        <v>57.09</v>
      </c>
      <c r="V5" s="31" t="n">
        <v>72.83</v>
      </c>
      <c r="W5" s="31" t="n">
        <v>24.99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B2C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20 to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Close to 52 week high or retracement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IF(B6=0,"",RANK(B6,$B$2:$B$400,0))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RPTECH</t>
        </is>
      </c>
      <c r="D6" s="30" t="inlineStr">
        <is>
          <t>Rashi Peripherals Ltd</t>
        </is>
      </c>
      <c r="E6" s="30" t="inlineStr">
        <is>
          <t>services</t>
        </is>
      </c>
      <c r="F6" s="30" t="inlineStr">
        <is>
          <t>trading</t>
        </is>
      </c>
      <c r="G6" s="30" t="inlineStr">
        <is>
          <t>smallcap</t>
        </is>
      </c>
      <c r="H6" s="31" t="n">
        <v>4519.4</v>
      </c>
      <c r="I6" s="31" t="n">
        <v>730</v>
      </c>
      <c r="J6" s="31" t="n">
        <v>6.45</v>
      </c>
      <c r="K6" s="31" t="n">
        <v>10080736</v>
      </c>
      <c r="L6" s="30" t="n">
        <v>95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87.81999999999999</v>
      </c>
      <c r="P6" s="31" t="n">
        <v>53.82</v>
      </c>
      <c r="Q6" s="31" t="n">
        <v>570.38</v>
      </c>
      <c r="R6" s="30" t="inlineStr">
        <is>
          <t>Volume Spike &amp; Near 52W High Breakout</t>
        </is>
      </c>
      <c r="S6" s="30" t="inlineStr">
        <is>
          <t>Nifty 50</t>
        </is>
      </c>
      <c r="T6" s="31" t="n">
        <v>-3.76</v>
      </c>
      <c r="U6" s="31" t="n">
        <v>148.27</v>
      </c>
      <c r="V6" s="31" t="n">
        <v>157.97</v>
      </c>
      <c r="W6" s="31" t="n">
        <v>48.47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Less than 50%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IF(B7=0,"",RANK(B7,$B$2:$B$400,0))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GVT&amp;D</t>
        </is>
      </c>
      <c r="D7" s="30" t="inlineStr">
        <is>
          <t>GE Vernova T&amp;D India Ltd</t>
        </is>
      </c>
      <c r="E7" s="30" t="inlineStr">
        <is>
          <t>industrials</t>
        </is>
      </c>
      <c r="F7" s="30" t="inlineStr">
        <is>
          <t>electric equipment</t>
        </is>
      </c>
      <c r="G7" s="30" t="inlineStr">
        <is>
          <t>largecap</t>
        </is>
      </c>
      <c r="H7" s="31" t="n">
        <v>131927.98</v>
      </c>
      <c r="I7" s="31" t="n">
        <v>5250</v>
      </c>
      <c r="J7" s="31" t="n">
        <v>1.89</v>
      </c>
      <c r="K7" s="31" t="n">
        <v>660399</v>
      </c>
      <c r="L7" s="30" t="n">
        <v>84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72.83</v>
      </c>
      <c r="P7" s="31" t="n">
        <v>50.6</v>
      </c>
      <c r="Q7" s="31" t="n">
        <v>3988.07</v>
      </c>
      <c r="R7" s="30" t="inlineStr">
        <is>
          <t>Near 52W High Breakout</t>
        </is>
      </c>
      <c r="S7" s="30" t="inlineStr">
        <is>
          <t>Nifty 500</t>
        </is>
      </c>
      <c r="T7" s="31" t="n">
        <v>0.72</v>
      </c>
      <c r="U7" s="31" t="n">
        <v>123.22</v>
      </c>
      <c r="V7" s="31" t="n">
        <v>121.62</v>
      </c>
      <c r="W7" s="31" t="n">
        <v>27.39</v>
      </c>
      <c r="X7" s="30" t="inlineStr">
        <is>
          <t>Cyclical in an Upturn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Yes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IF(B8=0,"",RANK(B8,$B$2:$B$400,0))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STYLAMIND</t>
        </is>
      </c>
      <c r="D8" s="30" t="inlineStr">
        <is>
          <t>Stylam Industries Ltd</t>
        </is>
      </c>
      <c r="E8" s="30" t="inlineStr">
        <is>
          <t>building materials</t>
        </is>
      </c>
      <c r="F8" s="30" t="inlineStr">
        <is>
          <t>miscellaneous</t>
        </is>
      </c>
      <c r="G8" s="30" t="inlineStr">
        <is>
          <t>midcap</t>
        </is>
      </c>
      <c r="H8" s="31" t="n">
        <v>5582.52</v>
      </c>
      <c r="I8" s="31" t="n">
        <v>3312.9</v>
      </c>
      <c r="J8" s="31" t="n">
        <v>0.58</v>
      </c>
      <c r="K8" s="31" t="n">
        <v>23272</v>
      </c>
      <c r="L8" s="30" t="n">
        <v>83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91.44</v>
      </c>
      <c r="P8" s="31" t="n">
        <v>59.62</v>
      </c>
      <c r="Q8" s="31" t="n">
        <v>2831.32</v>
      </c>
      <c r="R8" s="30" t="inlineStr">
        <is>
          <t>Near 52W High Breakout</t>
        </is>
      </c>
      <c r="S8" s="30" t="inlineStr">
        <is>
          <t>Nifty Infra</t>
        </is>
      </c>
      <c r="T8" s="31" t="n">
        <v>4.04</v>
      </c>
      <c r="U8" s="31" t="n">
        <v>101.26</v>
      </c>
      <c r="V8" s="31" t="n">
        <v>93.44</v>
      </c>
      <c r="W8" s="31" t="n">
        <v>26.57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IF(B9=0,"",RANK(B9,$B$2:$B$400,0))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RADICO</t>
        </is>
      </c>
      <c r="D9" s="30" t="inlineStr">
        <is>
          <t>Radico Khaitan Limited</t>
        </is>
      </c>
      <c r="E9" s="30" t="inlineStr">
        <is>
          <t>fmcg</t>
        </is>
      </c>
      <c r="F9" s="30" t="inlineStr">
        <is>
          <t>breweries &amp; distilleries</t>
        </is>
      </c>
      <c r="G9" s="30" t="inlineStr">
        <is>
          <t>largecap</t>
        </is>
      </c>
      <c r="H9" s="31" t="n">
        <v>47831.02</v>
      </c>
      <c r="I9" s="31" t="n">
        <v>3690</v>
      </c>
      <c r="J9" s="31" t="n">
        <v>3.3</v>
      </c>
      <c r="K9" s="31" t="n">
        <v>1199579</v>
      </c>
      <c r="L9" s="30" t="n">
        <v>63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72.23999999999999</v>
      </c>
      <c r="P9" s="31" t="n">
        <v>36.08</v>
      </c>
      <c r="Q9" s="31" t="n">
        <v>3035.45</v>
      </c>
      <c r="R9" s="30" t="inlineStr">
        <is>
          <t>Near 52W High Breakout</t>
        </is>
      </c>
      <c r="S9" s="30" t="inlineStr">
        <is>
          <t>Nifty FMCG</t>
        </is>
      </c>
      <c r="T9" s="31" t="n">
        <v>-9.109999999999999</v>
      </c>
      <c r="U9" s="31" t="n">
        <v>40.35</v>
      </c>
      <c r="V9" s="31" t="n">
        <v>54.42</v>
      </c>
      <c r="W9" s="31" t="n">
        <v>16.29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B2C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20 to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Yes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IF(B10=0,"",RANK(B10,$B$2:$B$400,0))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EMCURE</t>
        </is>
      </c>
      <c r="D10" s="30" t="inlineStr">
        <is>
          <t>Emcure Pharmaceuticals Ltd</t>
        </is>
      </c>
      <c r="E10" s="30" t="inlineStr">
        <is>
          <t>healthcare</t>
        </is>
      </c>
      <c r="F10" s="30" t="inlineStr">
        <is>
          <t>pharmaceuticals - indian - bulk drugs &amp; formln</t>
        </is>
      </c>
      <c r="G10" s="30" t="inlineStr">
        <is>
          <t>largecap</t>
        </is>
      </c>
      <c r="H10" s="31" t="n">
        <v>32717.47</v>
      </c>
      <c r="I10" s="31" t="n">
        <v>1753.2</v>
      </c>
      <c r="J10" s="31" t="n">
        <v>1.59</v>
      </c>
      <c r="K10" s="31" t="n">
        <v>479806</v>
      </c>
      <c r="L10" s="30" t="n">
        <v>40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64.56</v>
      </c>
      <c r="P10" s="31" t="n">
        <v>47.27</v>
      </c>
      <c r="Q10" s="31" t="n">
        <v>1377.82</v>
      </c>
      <c r="R10" s="30" t="inlineStr">
        <is>
          <t>Near 52W High Breakout</t>
        </is>
      </c>
      <c r="S10" s="30" t="inlineStr">
        <is>
          <t>Nifty Pharma</t>
        </is>
      </c>
      <c r="T10" s="31" t="n">
        <v>12.35</v>
      </c>
      <c r="U10" s="31" t="n">
        <v>33.86</v>
      </c>
      <c r="V10" s="31" t="n">
        <v>19.15</v>
      </c>
      <c r="W10" s="31" t="n">
        <v>9.92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Between 50% to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IF(B11=0,"",RANK(B11,$B$2:$B$400,0))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VENUSREM</t>
        </is>
      </c>
      <c r="D11" s="30" t="inlineStr">
        <is>
          <t>Venus Remedies Limited</t>
        </is>
      </c>
      <c r="E11" s="30" t="inlineStr">
        <is>
          <t>healthcare</t>
        </is>
      </c>
      <c r="F11" s="30" t="inlineStr">
        <is>
          <t>pharmaceuticals - indian - formulations</t>
        </is>
      </c>
      <c r="G11" s="30" t="inlineStr">
        <is>
          <t>smallcap</t>
        </is>
      </c>
      <c r="H11" s="31" t="n">
        <v>2371.97</v>
      </c>
      <c r="I11" s="31" t="n">
        <v>1739.1</v>
      </c>
      <c r="J11" s="31" t="n">
        <v>-1.99</v>
      </c>
      <c r="K11" s="31" t="n">
        <v>103194</v>
      </c>
      <c r="L11" s="30" t="n">
        <v>96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79.03</v>
      </c>
      <c r="P11" s="31" t="n">
        <v>52.86</v>
      </c>
      <c r="Q11" s="31" t="n">
        <v>1352.57</v>
      </c>
      <c r="R11" s="30" t="inlineStr">
        <is>
          <t>Near 52W High Breakout</t>
        </is>
      </c>
      <c r="S11" s="30" t="inlineStr">
        <is>
          <t>Nifty Pharma</t>
        </is>
      </c>
      <c r="T11" s="31" t="n">
        <v>12.35</v>
      </c>
      <c r="U11" s="31" t="n">
        <v>301.32</v>
      </c>
      <c r="V11" s="31" t="n">
        <v>257.2</v>
      </c>
      <c r="W11" s="31" t="n">
        <v>58.23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IF(B12=0,"",RANK(B12,$B$2:$B$400,0))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PGIL</t>
        </is>
      </c>
      <c r="D12" s="30" t="inlineStr">
        <is>
          <t>Pearl Global Industries Limited</t>
        </is>
      </c>
      <c r="E12" s="30" t="inlineStr">
        <is>
          <t>consumer discretionary</t>
        </is>
      </c>
      <c r="F12" s="30" t="inlineStr">
        <is>
          <t>textiles - products</t>
        </is>
      </c>
      <c r="G12" s="30" t="inlineStr">
        <is>
          <t>midcap</t>
        </is>
      </c>
      <c r="H12" s="31" t="n">
        <v>7658.85</v>
      </c>
      <c r="I12" s="31" t="n">
        <v>1743.5</v>
      </c>
      <c r="J12" s="31" t="n">
        <v>5.05</v>
      </c>
      <c r="K12" s="31" t="n">
        <v>130472</v>
      </c>
      <c r="L12" s="30" t="n">
        <v>28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59.65</v>
      </c>
      <c r="P12" s="31" t="n">
        <v>31.79</v>
      </c>
      <c r="Q12" s="31" t="n">
        <v>1288.8</v>
      </c>
      <c r="R12" s="30" t="inlineStr">
        <is>
          <t>Near 52W High Breakout</t>
        </is>
      </c>
      <c r="S12" s="30" t="inlineStr">
        <is>
          <t>Nifty 50</t>
        </is>
      </c>
      <c r="T12" s="31" t="n">
        <v>-3.76</v>
      </c>
      <c r="U12" s="31" t="n">
        <v>18.13</v>
      </c>
      <c r="V12" s="31" t="n">
        <v>22.75</v>
      </c>
      <c r="W12" s="31" t="n">
        <v>7.66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20 to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IF(B13=0,"",RANK(B13,$B$2:$B$400,0))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PREMIERPOL</t>
        </is>
      </c>
      <c r="D13" s="30" t="inlineStr">
        <is>
          <t>Premier Polyfilm Limited</t>
        </is>
      </c>
      <c r="E13" s="30" t="inlineStr">
        <is>
          <t>plastic products</t>
        </is>
      </c>
      <c r="F13" s="30" t="inlineStr">
        <is>
          <t>plastics products</t>
        </is>
      </c>
      <c r="G13" s="30" t="inlineStr">
        <is>
          <t>smallcap</t>
        </is>
      </c>
      <c r="H13" s="31" t="n">
        <v>609.71</v>
      </c>
      <c r="I13" s="31" t="n">
        <v>61.12</v>
      </c>
      <c r="J13" s="31" t="n">
        <v>5</v>
      </c>
      <c r="K13" s="31" t="n">
        <v>124879</v>
      </c>
      <c r="L13" s="30" t="n">
        <v>21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60.13</v>
      </c>
      <c r="P13" s="31" t="n">
        <v>43.88</v>
      </c>
      <c r="Q13" s="31" t="n">
        <v>43.09</v>
      </c>
      <c r="R13" s="30" t="inlineStr">
        <is>
          <t>Volume Spike &amp; Near 52W High Breakout</t>
        </is>
      </c>
      <c r="S13" s="30" t="inlineStr">
        <is>
          <t>Nifty 50</t>
        </is>
      </c>
      <c r="T13" s="31" t="n">
        <v>-3.76</v>
      </c>
      <c r="U13" s="31" t="n">
        <v>20.27</v>
      </c>
      <c r="V13" s="31" t="n">
        <v>24.97</v>
      </c>
      <c r="W13" s="31" t="n">
        <v>6.19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Close to 52 week high or retracement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Between 50% to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IF(B14=0,"",RANK(B14,$B$2:$B$400,0))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BLUSPRING</t>
        </is>
      </c>
      <c r="D14" s="30" t="inlineStr">
        <is>
          <t>Bluspring Enterprises Ltd</t>
        </is>
      </c>
      <c r="E14" s="30" t="inlineStr">
        <is>
          <t>miscellaneous</t>
        </is>
      </c>
      <c r="F14" s="30" t="inlineStr">
        <is>
          <t>diversified - large</t>
        </is>
      </c>
      <c r="G14" s="30" t="inlineStr">
        <is>
          <t>smallcap</t>
        </is>
      </c>
      <c r="H14" s="31" t="n">
        <v>1630.76</v>
      </c>
      <c r="I14" s="31" t="n">
        <v>114.29</v>
      </c>
      <c r="J14" s="31" t="n">
        <v>4.52</v>
      </c>
      <c r="K14" s="31" t="n">
        <v>4799939</v>
      </c>
      <c r="L14" s="30" t="n">
        <v>96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75.98</v>
      </c>
      <c r="P14" s="31" t="n">
        <v>34.45</v>
      </c>
      <c r="Q14" s="31" t="n">
        <v>82.42</v>
      </c>
      <c r="R14" s="30" t="inlineStr">
        <is>
          <t>Volume Spike &amp; Near 52W High Breakout</t>
        </is>
      </c>
      <c r="S14" s="30" t="inlineStr">
        <is>
          <t>Nifty 50</t>
        </is>
      </c>
      <c r="T14" s="31" t="n">
        <v>-3.76</v>
      </c>
      <c r="U14" s="31" t="n">
        <v>59.18</v>
      </c>
      <c r="V14" s="31" t="n">
        <v>65.40000000000001</v>
      </c>
      <c r="W14" s="31" t="n">
        <v>53.23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20 to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Between 50% to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IF(B15=0,"",RANK(B15,$B$2:$B$400,0))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NETWEB</t>
        </is>
      </c>
      <c r="D15" s="30" t="inlineStr">
        <is>
          <t>Netweb Technologies India Ltd</t>
        </is>
      </c>
      <c r="E15" s="30" t="inlineStr">
        <is>
          <t>i.t</t>
        </is>
      </c>
      <c r="F15" s="30" t="inlineStr">
        <is>
          <t>computers - hardware</t>
        </is>
      </c>
      <c r="G15" s="30" t="inlineStr">
        <is>
          <t>largecap</t>
        </is>
      </c>
      <c r="H15" s="31" t="n">
        <v>27966.42</v>
      </c>
      <c r="I15" s="31" t="n">
        <v>5079.6</v>
      </c>
      <c r="J15" s="31" t="n">
        <v>3.42</v>
      </c>
      <c r="K15" s="31" t="n">
        <v>3604629</v>
      </c>
      <c r="L15" s="30" t="n">
        <v>93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69.48999999999999</v>
      </c>
      <c r="P15" s="31" t="n">
        <v>45.38</v>
      </c>
      <c r="Q15" s="31" t="n">
        <v>3599.77</v>
      </c>
      <c r="R15" s="30" t="inlineStr">
        <is>
          <t>Near 52W High Breakout</t>
        </is>
      </c>
      <c r="S15" s="30" t="inlineStr">
        <is>
          <t>Nifty IT</t>
        </is>
      </c>
      <c r="T15" s="31" t="n">
        <v>-26.99</v>
      </c>
      <c r="U15" s="31" t="n">
        <v>188.29</v>
      </c>
      <c r="V15" s="31" t="n">
        <v>294.88</v>
      </c>
      <c r="W15" s="31" t="n">
        <v>39.12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Yes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Between 50% to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IF(B16=0,"",RANK(B16,$B$2:$B$400,0))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MTARTECH</t>
        </is>
      </c>
      <c r="D16" s="30" t="inlineStr">
        <is>
          <t>MTAR Technologies Ltd</t>
        </is>
      </c>
      <c r="E16" s="30" t="inlineStr">
        <is>
          <t>aerospace &amp; defence</t>
        </is>
      </c>
      <c r="F16" s="30" t="inlineStr">
        <is>
          <t>engineering</t>
        </is>
      </c>
      <c r="G16" s="30" t="inlineStr">
        <is>
          <t>largecap</t>
        </is>
      </c>
      <c r="H16" s="31" t="n">
        <v>25588.9</v>
      </c>
      <c r="I16" s="31" t="n">
        <v>8305.5</v>
      </c>
      <c r="J16" s="31" t="n">
        <v>-0.16</v>
      </c>
      <c r="K16" s="31" t="n">
        <v>3376004</v>
      </c>
      <c r="L16" s="30" t="n">
        <v>98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80.47</v>
      </c>
      <c r="P16" s="31" t="n">
        <v>63.6</v>
      </c>
      <c r="Q16" s="31" t="n">
        <v>5850.9</v>
      </c>
      <c r="R16" s="30" t="inlineStr">
        <is>
          <t>Volume Spike &amp; Near 52W High Breakout</t>
        </is>
      </c>
      <c r="S16" s="30" t="inlineStr">
        <is>
          <t>Nifty 50</t>
        </is>
      </c>
      <c r="T16" s="31" t="n">
        <v>-3.76</v>
      </c>
      <c r="U16" s="31" t="n">
        <v>383.81</v>
      </c>
      <c r="V16" s="31" t="n">
        <v>402.71</v>
      </c>
      <c r="W16" s="31" t="n">
        <v>71.34999999999999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IF(B17=0,"",RANK(B17,$B$2:$B$400,0))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MOTHERSON</t>
        </is>
      </c>
      <c r="D17" s="30" t="inlineStr">
        <is>
          <t>Samvardhana Motherson International Ltd</t>
        </is>
      </c>
      <c r="E17" s="30" t="inlineStr">
        <is>
          <t>auto</t>
        </is>
      </c>
      <c r="F17" s="30" t="inlineStr">
        <is>
          <t>auto ancillaries</t>
        </is>
      </c>
      <c r="G17" s="30" t="inlineStr">
        <is>
          <t>largecap</t>
        </is>
      </c>
      <c r="H17" s="31" t="n">
        <v>153144.96</v>
      </c>
      <c r="I17" s="31" t="n">
        <v>144.68</v>
      </c>
      <c r="J17" s="31" t="n">
        <v>-0.29</v>
      </c>
      <c r="K17" s="31" t="n">
        <v>15847981</v>
      </c>
      <c r="L17" s="30" t="n">
        <v>57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66.53</v>
      </c>
      <c r="P17" s="31" t="n">
        <v>23.03</v>
      </c>
      <c r="Q17" s="31" t="n">
        <v>116.61</v>
      </c>
      <c r="R17" s="30" t="inlineStr">
        <is>
          <t>Near 52W High Breakout</t>
        </is>
      </c>
      <c r="S17" s="30" t="inlineStr">
        <is>
          <t>Nifty Auto</t>
        </is>
      </c>
      <c r="T17" s="31" t="n">
        <v>12.95</v>
      </c>
      <c r="U17" s="31" t="n">
        <v>45.27</v>
      </c>
      <c r="V17" s="31" t="n">
        <v>28.62</v>
      </c>
      <c r="W17" s="31" t="n">
        <v>14.49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IF(B18=0,"",RANK(B18,$B$2:$B$400,0))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INDOBORAX</t>
        </is>
      </c>
      <c r="D18" s="30" t="inlineStr">
        <is>
          <t>Indo Borax &amp; Chemicals Ltd</t>
        </is>
      </c>
      <c r="E18" s="30" t="inlineStr">
        <is>
          <t>chemicals</t>
        </is>
      </c>
      <c r="F18" s="30" t="inlineStr">
        <is>
          <t>chemicals</t>
        </is>
      </c>
      <c r="G18" s="30" t="inlineStr">
        <is>
          <t>smallcap</t>
        </is>
      </c>
      <c r="H18" s="31" t="n">
        <v>1165.19</v>
      </c>
      <c r="I18" s="31" t="n">
        <v>359.9</v>
      </c>
      <c r="J18" s="31" t="n">
        <v>-0.88</v>
      </c>
      <c r="K18" s="31" t="n">
        <v>50314</v>
      </c>
      <c r="L18" s="30" t="n">
        <v>79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75.47</v>
      </c>
      <c r="P18" s="31" t="n">
        <v>52.58</v>
      </c>
      <c r="Q18" s="31" t="n">
        <v>294.71</v>
      </c>
      <c r="R18" s="30" t="inlineStr">
        <is>
          <t>Near 52W High Breakout</t>
        </is>
      </c>
      <c r="S18" s="30" t="inlineStr">
        <is>
          <t>Nifty 50</t>
        </is>
      </c>
      <c r="T18" s="31" t="n">
        <v>-3.76</v>
      </c>
      <c r="U18" s="31" t="n">
        <v>80.22</v>
      </c>
      <c r="V18" s="31" t="n">
        <v>87.26000000000001</v>
      </c>
      <c r="W18" s="31" t="n">
        <v>23.61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IF(B19=0,"",RANK(B19,$B$2:$B$400,0))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GAYAPROJ</t>
        </is>
      </c>
      <c r="D19" s="30" t="inlineStr">
        <is>
          <t>Gayatri Projects Limited</t>
        </is>
      </c>
      <c r="E19" s="30" t="inlineStr">
        <is>
          <t>realty</t>
        </is>
      </c>
      <c r="F19" s="30" t="inlineStr">
        <is>
          <t>construction</t>
        </is>
      </c>
      <c r="G19" s="30" t="inlineStr">
        <is>
          <t>smallcap</t>
        </is>
      </c>
      <c r="H19" s="31" t="n">
        <v>748.2</v>
      </c>
      <c r="I19" s="31" t="n">
        <v>24.73</v>
      </c>
      <c r="J19" s="31" t="n">
        <v>-2.1</v>
      </c>
      <c r="K19" s="31" t="n">
        <v>991758</v>
      </c>
      <c r="L19" s="30" t="n">
        <v>94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80.3</v>
      </c>
      <c r="P19" s="31" t="n">
        <v>60.48</v>
      </c>
      <c r="Q19" s="31" t="n">
        <v>19.74</v>
      </c>
      <c r="R19" s="30" t="inlineStr">
        <is>
          <t>Near 52W High Breakout</t>
        </is>
      </c>
      <c r="S19" s="30" t="inlineStr">
        <is>
          <t>Nifty Realty</t>
        </is>
      </c>
      <c r="T19" s="31" t="n">
        <v>-19.08</v>
      </c>
      <c r="U19" s="31" t="n">
        <v>189.24</v>
      </c>
      <c r="V19" s="31" t="n">
        <v>257.46</v>
      </c>
      <c r="W19" s="31" t="n">
        <v>43.85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IF(B20=0,"",RANK(B20,$B$2:$B$400,0))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THANGAMAYL</t>
        </is>
      </c>
      <c r="D20" s="30" t="inlineStr">
        <is>
          <t>Thangamayil Jewellery Limited</t>
        </is>
      </c>
      <c r="E20" s="30" t="inlineStr">
        <is>
          <t>consumer discretionary</t>
        </is>
      </c>
      <c r="F20" s="30" t="inlineStr">
        <is>
          <t>diamond cutting / jewellery</t>
        </is>
      </c>
      <c r="G20" s="30" t="inlineStr">
        <is>
          <t>midcap</t>
        </is>
      </c>
      <c r="H20" s="31" t="n">
        <v>17507.57</v>
      </c>
      <c r="I20" s="31" t="n">
        <v>5435.7</v>
      </c>
      <c r="J20" s="31" t="n">
        <v>-3.5</v>
      </c>
      <c r="K20" s="31" t="n">
        <v>139287</v>
      </c>
      <c r="L20" s="30" t="n">
        <v>93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70.42</v>
      </c>
      <c r="P20" s="31" t="n">
        <v>40.06</v>
      </c>
      <c r="Q20" s="31" t="n">
        <v>3980.52</v>
      </c>
      <c r="R20" s="30" t="inlineStr">
        <is>
          <t>Near 52W High Breakout</t>
        </is>
      </c>
      <c r="S20" s="30" t="inlineStr">
        <is>
          <t>Nifty 50</t>
        </is>
      </c>
      <c r="T20" s="31" t="n">
        <v>-3.76</v>
      </c>
      <c r="U20" s="31" t="n">
        <v>190.87</v>
      </c>
      <c r="V20" s="31" t="n">
        <v>202.24</v>
      </c>
      <c r="W20" s="31" t="n">
        <v>39.31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Between 50% to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IF(B21=0,"",RANK(B21,$B$2:$B$400,0))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CUPID</t>
        </is>
      </c>
      <c r="D21" s="30" t="inlineStr">
        <is>
          <t>Cupid Limited</t>
        </is>
      </c>
      <c r="E21" s="30" t="inlineStr">
        <is>
          <t>fmcg</t>
        </is>
      </c>
      <c r="F21" s="30" t="inlineStr">
        <is>
          <t>personal care - indian</t>
        </is>
      </c>
      <c r="G21" s="30" t="inlineStr">
        <is>
          <t>largecap</t>
        </is>
      </c>
      <c r="H21" s="31" t="n">
        <v>22345.57</v>
      </c>
      <c r="I21" s="31" t="n">
        <v>169.19</v>
      </c>
      <c r="J21" s="31" t="n">
        <v>1.81</v>
      </c>
      <c r="K21" s="31" t="n">
        <v>33831014</v>
      </c>
      <c r="L21" s="30" t="n">
        <v>99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83.2</v>
      </c>
      <c r="P21" s="31" t="n">
        <v>48.57</v>
      </c>
      <c r="Q21" s="31" t="n">
        <v>131.64</v>
      </c>
      <c r="R21" s="30" t="inlineStr">
        <is>
          <t>Near 52W High Breakout</t>
        </is>
      </c>
      <c r="S21" s="30" t="inlineStr">
        <is>
          <t>Nifty FMCG</t>
        </is>
      </c>
      <c r="T21" s="31" t="n">
        <v>-9.109999999999999</v>
      </c>
      <c r="U21" s="31" t="n">
        <v>810.41</v>
      </c>
      <c r="V21" s="31" t="n">
        <v>901.65</v>
      </c>
      <c r="W21" s="31" t="n">
        <v>90.70999999999999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B2C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Less than 50%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IF(B22=0,"",RANK(B22,$B$2:$B$400,0))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BLISSGVS</t>
        </is>
      </c>
      <c r="D22" s="30" t="inlineStr">
        <is>
          <t>Bliss Gvs Pharma Limited</t>
        </is>
      </c>
      <c r="E22" s="30" t="inlineStr">
        <is>
          <t>healthcare</t>
        </is>
      </c>
      <c r="F22" s="30" t="inlineStr">
        <is>
          <t>pharmaceuticals - indian - formulations</t>
        </is>
      </c>
      <c r="G22" s="30" t="inlineStr">
        <is>
          <t>midcap</t>
        </is>
      </c>
      <c r="H22" s="31" t="n">
        <v>5023.39</v>
      </c>
      <c r="I22" s="31" t="n">
        <v>482.95</v>
      </c>
      <c r="J22" s="31" t="n">
        <v>1.71</v>
      </c>
      <c r="K22" s="31" t="n">
        <v>902557</v>
      </c>
      <c r="L22" s="30" t="n">
        <v>97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90.2</v>
      </c>
      <c r="P22" s="31" t="n">
        <v>63.5</v>
      </c>
      <c r="Q22" s="31" t="n">
        <v>372.21</v>
      </c>
      <c r="R22" s="30" t="inlineStr">
        <is>
          <t>Near 52W High Breakout</t>
        </is>
      </c>
      <c r="S22" s="30" t="inlineStr">
        <is>
          <t>Nifty Pharma</t>
        </is>
      </c>
      <c r="T22" s="31" t="n">
        <v>12.35</v>
      </c>
      <c r="U22" s="31" t="n">
        <v>250.73</v>
      </c>
      <c r="V22" s="31" t="n">
        <v>212.17</v>
      </c>
      <c r="W22" s="31" t="n">
        <v>61.05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IF(B23=0,"",RANK(B23,$B$2:$B$400,0))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GLOBAL</t>
        </is>
      </c>
      <c r="D23" s="30" t="inlineStr">
        <is>
          <t>Global Education Ltd</t>
        </is>
      </c>
      <c r="E23" s="30" t="inlineStr">
        <is>
          <t>services</t>
        </is>
      </c>
      <c r="F23" s="30" t="inlineStr">
        <is>
          <t>miscellaneous</t>
        </is>
      </c>
      <c r="G23" s="30" t="inlineStr">
        <is>
          <t>smallcap</t>
        </is>
      </c>
      <c r="H23" s="31" t="n">
        <v>531.26</v>
      </c>
      <c r="I23" s="31" t="n">
        <v>111.38</v>
      </c>
      <c r="J23" s="31" t="n">
        <v>6.72</v>
      </c>
      <c r="K23" s="31" t="n">
        <v>304629</v>
      </c>
      <c r="L23" s="30" t="n">
        <v>61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60.65</v>
      </c>
      <c r="P23" s="31" t="n">
        <v>51.19</v>
      </c>
      <c r="Q23" s="31" t="n">
        <v>88.51000000000001</v>
      </c>
      <c r="R23" s="30" t="inlineStr">
        <is>
          <t>Earnings / Momentum Support</t>
        </is>
      </c>
      <c r="S23" s="30" t="inlineStr">
        <is>
          <t>Nifty 50</t>
        </is>
      </c>
      <c r="T23" s="31" t="n">
        <v>-3.76</v>
      </c>
      <c r="U23" s="31" t="n">
        <v>81.59999999999999</v>
      </c>
      <c r="V23" s="31" t="n">
        <v>88.7</v>
      </c>
      <c r="W23" s="31" t="n">
        <v>15.74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No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Close to 52 week high or retracement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IF(B24=0,"",RANK(B24,$B$2:$B$400,0))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RUBYMILLS</t>
        </is>
      </c>
      <c r="D24" s="30" t="inlineStr">
        <is>
          <t>The Ruby Mills Limited</t>
        </is>
      </c>
      <c r="E24" s="30" t="inlineStr">
        <is>
          <t>textiles</t>
        </is>
      </c>
      <c r="F24" s="30" t="inlineStr">
        <is>
          <t>textiles - composite</t>
        </is>
      </c>
      <c r="G24" s="30" t="inlineStr">
        <is>
          <t>smallcap</t>
        </is>
      </c>
      <c r="H24" s="31" t="n">
        <v>1063.56</v>
      </c>
      <c r="I24" s="31" t="n">
        <v>333.95</v>
      </c>
      <c r="J24" s="31" t="n">
        <v>5</v>
      </c>
      <c r="K24" s="31" t="n">
        <v>25938</v>
      </c>
      <c r="L24" s="30" t="n">
        <v>80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74.84999999999999</v>
      </c>
      <c r="P24" s="31" t="n">
        <v>41.08</v>
      </c>
      <c r="Q24" s="31" t="n">
        <v>249.36</v>
      </c>
      <c r="R24" s="30" t="inlineStr">
        <is>
          <t>Near 52W High Breakout</t>
        </is>
      </c>
      <c r="S24" s="30" t="inlineStr">
        <is>
          <t>Nifty 50</t>
        </is>
      </c>
      <c r="T24" s="31" t="n">
        <v>-3.76</v>
      </c>
      <c r="U24" s="31" t="n">
        <v>46.07</v>
      </c>
      <c r="V24" s="31" t="n">
        <v>51.78</v>
      </c>
      <c r="W24" s="31" t="n">
        <v>24.01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Less than 12%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IF(B25=0,"",RANK(B25,$B$2:$B$400,0))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CARYSIL</t>
        </is>
      </c>
      <c r="D25" s="30" t="inlineStr">
        <is>
          <t>Carysil Ltd</t>
        </is>
      </c>
      <c r="E25" s="30" t="inlineStr">
        <is>
          <t>consumer discretionary</t>
        </is>
      </c>
      <c r="F25" s="30" t="inlineStr">
        <is>
          <t>domestic appliances</t>
        </is>
      </c>
      <c r="G25" s="30" t="inlineStr">
        <is>
          <t>smallcap</t>
        </is>
      </c>
      <c r="H25" s="31" t="n">
        <v>3378.41</v>
      </c>
      <c r="I25" s="31" t="n">
        <v>1237.8</v>
      </c>
      <c r="J25" s="31" t="n">
        <v>4.21</v>
      </c>
      <c r="K25" s="31" t="n">
        <v>283926</v>
      </c>
      <c r="L25" s="30" t="n">
        <v>74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73.92</v>
      </c>
      <c r="P25" s="31" t="n">
        <v>23.52</v>
      </c>
      <c r="Q25" s="31" t="n">
        <v>940.91</v>
      </c>
      <c r="R25" s="30" t="inlineStr">
        <is>
          <t>Near 52W High Breakout</t>
        </is>
      </c>
      <c r="S25" s="30" t="inlineStr">
        <is>
          <t>Nifty 50</t>
        </is>
      </c>
      <c r="T25" s="31" t="n">
        <v>-3.76</v>
      </c>
      <c r="U25" s="31" t="n">
        <v>43.91</v>
      </c>
      <c r="V25" s="31" t="n">
        <v>49.53</v>
      </c>
      <c r="W25" s="31" t="n">
        <v>21.65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Between 50% to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IF(B26=0,"",RANK(B26,$B$2:$B$400,0))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NRL</t>
        </is>
      </c>
      <c r="D26" s="30" t="inlineStr">
        <is>
          <t>Nupur Recyclers Ltd</t>
        </is>
      </c>
      <c r="E26" s="30" t="inlineStr">
        <is>
          <t>services</t>
        </is>
      </c>
      <c r="F26" s="30" t="inlineStr">
        <is>
          <t>trading</t>
        </is>
      </c>
      <c r="G26" s="30" t="inlineStr">
        <is>
          <t>smallcap</t>
        </is>
      </c>
      <c r="H26" s="31" t="n">
        <v>529.14</v>
      </c>
      <c r="I26" s="31" t="n">
        <v>79.09999999999999</v>
      </c>
      <c r="J26" s="31" t="n">
        <v>3.25</v>
      </c>
      <c r="K26" s="31" t="n">
        <v>272824</v>
      </c>
      <c r="L26" s="30" t="n">
        <v>62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73.48999999999999</v>
      </c>
      <c r="P26" s="31" t="n">
        <v>32.12</v>
      </c>
      <c r="Q26" s="31" t="n">
        <v>60.32</v>
      </c>
      <c r="R26" s="30" t="inlineStr">
        <is>
          <t>Near 52W High Breakout</t>
        </is>
      </c>
      <c r="S26" s="30" t="inlineStr">
        <is>
          <t>Nifty 50</t>
        </is>
      </c>
      <c r="T26" s="31" t="n">
        <v>-3.76</v>
      </c>
      <c r="U26" s="31" t="n">
        <v>4.12</v>
      </c>
      <c r="V26" s="31" t="n">
        <v>8.19</v>
      </c>
      <c r="W26" s="31" t="n">
        <v>15.87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IF(B27=0,"",RANK(B27,$B$2:$B$400,0))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VERANDA</t>
        </is>
      </c>
      <c r="D27" s="30" t="inlineStr">
        <is>
          <t>Veranda Learning Solutions Ltd</t>
        </is>
      </c>
      <c r="E27" s="30" t="inlineStr">
        <is>
          <t>services</t>
        </is>
      </c>
      <c r="F27" s="30" t="inlineStr">
        <is>
          <t>miscellaneous</t>
        </is>
      </c>
      <c r="G27" s="30" t="inlineStr">
        <is>
          <t>smallcap</t>
        </is>
      </c>
      <c r="H27" s="31" t="n">
        <v>2258.93</v>
      </c>
      <c r="I27" s="31" t="n">
        <v>242.44</v>
      </c>
      <c r="J27" s="31" t="n">
        <v>3.21</v>
      </c>
      <c r="K27" s="31" t="n">
        <v>410751</v>
      </c>
      <c r="L27" s="30" t="n">
        <v>80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64.44</v>
      </c>
      <c r="P27" s="31" t="n">
        <v>30.41</v>
      </c>
      <c r="Q27" s="31" t="n">
        <v>171.93</v>
      </c>
      <c r="R27" s="30" t="inlineStr">
        <is>
          <t>Near 52W High Breakout</t>
        </is>
      </c>
      <c r="S27" s="30" t="inlineStr">
        <is>
          <t>Nifty 50</t>
        </is>
      </c>
      <c r="T27" s="31" t="n">
        <v>-3.76</v>
      </c>
      <c r="U27" s="31" t="n">
        <v>21.91</v>
      </c>
      <c r="V27" s="31" t="n">
        <v>26.67</v>
      </c>
      <c r="W27" s="31" t="n">
        <v>24.28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Between 50% to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IF(B28=0,"",RANK(B28,$B$2:$B$400,0))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AMBIKCO</t>
        </is>
      </c>
      <c r="D28" s="30" t="inlineStr">
        <is>
          <t>Ambika Cotton Mills Limited</t>
        </is>
      </c>
      <c r="E28" s="30" t="inlineStr">
        <is>
          <t>textiles</t>
        </is>
      </c>
      <c r="F28" s="30" t="inlineStr">
        <is>
          <t>textiles - cotton/blended</t>
        </is>
      </c>
      <c r="G28" s="30" t="inlineStr">
        <is>
          <t>smallcap</t>
        </is>
      </c>
      <c r="H28" s="31" t="n">
        <v>926.76</v>
      </c>
      <c r="I28" s="31" t="n">
        <v>1659.2</v>
      </c>
      <c r="J28" s="31" t="n">
        <v>2.5</v>
      </c>
      <c r="K28" s="31" t="n">
        <v>13307</v>
      </c>
      <c r="L28" s="30" t="n">
        <v>37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65.90000000000001</v>
      </c>
      <c r="P28" s="31" t="n">
        <v>24.47</v>
      </c>
      <c r="Q28" s="31" t="n">
        <v>1314.34</v>
      </c>
      <c r="R28" s="30" t="inlineStr">
        <is>
          <t>Near 52W High Breakout</t>
        </is>
      </c>
      <c r="S28" s="30" t="inlineStr">
        <is>
          <t>Nifty 50</t>
        </is>
      </c>
      <c r="T28" s="31" t="n">
        <v>-3.76</v>
      </c>
      <c r="U28" s="31" t="n">
        <v>12.93</v>
      </c>
      <c r="V28" s="31" t="n">
        <v>17.35</v>
      </c>
      <c r="W28" s="31" t="n">
        <v>9.44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IF(B29=0,"",RANK(B29,$B$2:$B$400,0))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SJS</t>
        </is>
      </c>
      <c r="D29" s="30" t="inlineStr">
        <is>
          <t>S J S Enterprises Ltd</t>
        </is>
      </c>
      <c r="E29" s="30" t="inlineStr">
        <is>
          <t>auto</t>
        </is>
      </c>
      <c r="F29" s="30" t="inlineStr">
        <is>
          <t>plastics products</t>
        </is>
      </c>
      <c r="G29" s="30" t="inlineStr">
        <is>
          <t>midcap</t>
        </is>
      </c>
      <c r="H29" s="31" t="n">
        <v>7018.49</v>
      </c>
      <c r="I29" s="31" t="n">
        <v>2216.1</v>
      </c>
      <c r="J29" s="31" t="n">
        <v>1.03</v>
      </c>
      <c r="K29" s="31" t="n">
        <v>62588</v>
      </c>
      <c r="L29" s="30" t="n">
        <v>74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66.7</v>
      </c>
      <c r="P29" s="31" t="n">
        <v>24.29</v>
      </c>
      <c r="Q29" s="31" t="n">
        <v>1737.52</v>
      </c>
      <c r="R29" s="30" t="inlineStr">
        <is>
          <t>Near 52W High Breakout</t>
        </is>
      </c>
      <c r="S29" s="30" t="inlineStr">
        <is>
          <t>Nifty Auto</t>
        </is>
      </c>
      <c r="T29" s="31" t="n">
        <v>12.95</v>
      </c>
      <c r="U29" s="31" t="n">
        <v>79.17</v>
      </c>
      <c r="V29" s="31" t="n">
        <v>58.63</v>
      </c>
      <c r="W29" s="31" t="n">
        <v>21.54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IF(B30=0,"",RANK(B30,$B$2:$B$400,0))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MAYURUNIQ</t>
        </is>
      </c>
      <c r="D30" s="30" t="inlineStr">
        <is>
          <t>Mayur Uniquoters Ltd</t>
        </is>
      </c>
      <c r="E30" s="30" t="inlineStr">
        <is>
          <t>consumer discretionary</t>
        </is>
      </c>
      <c r="F30" s="30" t="inlineStr">
        <is>
          <t>leather / leather products</t>
        </is>
      </c>
      <c r="G30" s="30" t="inlineStr">
        <is>
          <t>smallcap</t>
        </is>
      </c>
      <c r="H30" s="31" t="n">
        <v>3592.44</v>
      </c>
      <c r="I30" s="31" t="n">
        <v>827.45</v>
      </c>
      <c r="J30" s="31" t="n">
        <v>0.08</v>
      </c>
      <c r="K30" s="31" t="n">
        <v>88350</v>
      </c>
      <c r="L30" s="30" t="n">
        <v>79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79.51000000000001</v>
      </c>
      <c r="P30" s="31" t="n">
        <v>40.58</v>
      </c>
      <c r="Q30" s="31" t="n">
        <v>649.53</v>
      </c>
      <c r="R30" s="30" t="inlineStr">
        <is>
          <t>Near 52W High Breakout</t>
        </is>
      </c>
      <c r="S30" s="30" t="inlineStr">
        <is>
          <t>Nifty 50</t>
        </is>
      </c>
      <c r="T30" s="31" t="n">
        <v>-3.76</v>
      </c>
      <c r="U30" s="31" t="n">
        <v>50.93</v>
      </c>
      <c r="V30" s="31" t="n">
        <v>56.83</v>
      </c>
      <c r="W30" s="31" t="n">
        <v>23.64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Between 50% to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IF(B31=0,"",RANK(B31,$B$2:$B$400,0))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KPIL</t>
        </is>
      </c>
      <c r="D31" s="30" t="inlineStr">
        <is>
          <t>Kalpataru Projects International Ltd</t>
        </is>
      </c>
      <c r="E31" s="30" t="inlineStr">
        <is>
          <t>realty</t>
        </is>
      </c>
      <c r="F31" s="30" t="inlineStr">
        <is>
          <t>transmisson line towers / equipment</t>
        </is>
      </c>
      <c r="G31" s="30" t="inlineStr">
        <is>
          <t>largecap</t>
        </is>
      </c>
      <c r="H31" s="31" t="n">
        <v>23383.88</v>
      </c>
      <c r="I31" s="31" t="n">
        <v>1367.9</v>
      </c>
      <c r="J31" s="31" t="n">
        <v>-0.1</v>
      </c>
      <c r="K31" s="31" t="n">
        <v>291799</v>
      </c>
      <c r="L31" s="30" t="n">
        <v>40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66.62</v>
      </c>
      <c r="P31" s="31" t="n">
        <v>22.4</v>
      </c>
      <c r="Q31" s="31" t="n">
        <v>1112.23</v>
      </c>
      <c r="R31" s="30" t="inlineStr">
        <is>
          <t>Volume Spike &amp; Near 52W High Breakout</t>
        </is>
      </c>
      <c r="S31" s="30" t="inlineStr">
        <is>
          <t>Nifty Realty</t>
        </is>
      </c>
      <c r="T31" s="31" t="n">
        <v>-19.08</v>
      </c>
      <c r="U31" s="31" t="n">
        <v>18.82</v>
      </c>
      <c r="V31" s="31" t="n">
        <v>46.85</v>
      </c>
      <c r="W31" s="31" t="n">
        <v>9.890000000000001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Between 50% to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IF(B32=0,"",RANK(B32,$B$2:$B$400,0))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SANGHVIMOV</t>
        </is>
      </c>
      <c r="D32" s="30" t="inlineStr">
        <is>
          <t>Sanghvi Movers Limited</t>
        </is>
      </c>
      <c r="E32" s="30" t="inlineStr">
        <is>
          <t>miscellaneous</t>
        </is>
      </c>
      <c r="F32" s="30" t="inlineStr">
        <is>
          <t>miscellaneous</t>
        </is>
      </c>
      <c r="G32" s="30" t="inlineStr">
        <is>
          <t>smallcap</t>
        </is>
      </c>
      <c r="H32" s="31" t="n">
        <v>3605.89</v>
      </c>
      <c r="I32" s="31" t="n">
        <v>412.3</v>
      </c>
      <c r="J32" s="31" t="n">
        <v>-1.01</v>
      </c>
      <c r="K32" s="31" t="n">
        <v>370253</v>
      </c>
      <c r="L32" s="30" t="n">
        <v>84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67.67</v>
      </c>
      <c r="P32" s="31" t="n">
        <v>21.36</v>
      </c>
      <c r="Q32" s="31" t="n">
        <v>299.59</v>
      </c>
      <c r="R32" s="30" t="inlineStr">
        <is>
          <t>Near 52W High Breakout</t>
        </is>
      </c>
      <c r="S32" s="30" t="inlineStr">
        <is>
          <t>Nifty 50</t>
        </is>
      </c>
      <c r="T32" s="31" t="n">
        <v>-3.76</v>
      </c>
      <c r="U32" s="31" t="n">
        <v>47.6</v>
      </c>
      <c r="V32" s="31" t="n">
        <v>53.37</v>
      </c>
      <c r="W32" s="31" t="n">
        <v>27.48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Between 50% to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IF(B33=0,"",RANK(B33,$B$2:$B$400,0))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GRANULES</t>
        </is>
      </c>
      <c r="D33" s="30" t="inlineStr">
        <is>
          <t>Granules India Limited</t>
        </is>
      </c>
      <c r="E33" s="30" t="inlineStr">
        <is>
          <t>healthcare</t>
        </is>
      </c>
      <c r="F33" s="30" t="inlineStr">
        <is>
          <t>pharmaceuticals - indian - bulk drugs &amp; formln</t>
        </is>
      </c>
      <c r="G33" s="30" t="inlineStr">
        <is>
          <t>midcap</t>
        </is>
      </c>
      <c r="H33" s="31" t="n">
        <v>18371.66</v>
      </c>
      <c r="I33" s="31" t="n">
        <v>782.1</v>
      </c>
      <c r="J33" s="31" t="n">
        <v>5.49</v>
      </c>
      <c r="K33" s="31" t="n">
        <v>1614755</v>
      </c>
      <c r="L33" s="30" t="n">
        <v>64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73</v>
      </c>
      <c r="P33" s="31" t="n">
        <v>36.37</v>
      </c>
      <c r="Q33" s="31" t="n">
        <v>660.05</v>
      </c>
      <c r="R33" s="30" t="inlineStr">
        <is>
          <t>Near 52W High Breakout</t>
        </is>
      </c>
      <c r="S33" s="30" t="inlineStr">
        <is>
          <t>Nifty Pharma</t>
        </is>
      </c>
      <c r="T33" s="31" t="n">
        <v>12.35</v>
      </c>
      <c r="U33" s="31" t="n">
        <v>60.97</v>
      </c>
      <c r="V33" s="31" t="n">
        <v>43.28</v>
      </c>
      <c r="W33" s="31" t="n">
        <v>17.04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Annuity, Lower One Time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Between 50% to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IF(B34=0,"",RANK(B34,$B$2:$B$400,0))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NGLFINE</t>
        </is>
      </c>
      <c r="D34" s="30" t="inlineStr">
        <is>
          <t>NGL Fine Chem Ltd</t>
        </is>
      </c>
      <c r="E34" s="30" t="inlineStr">
        <is>
          <t>healthcare</t>
        </is>
      </c>
      <c r="F34" s="30" t="inlineStr">
        <is>
          <t>pharmaceuticals - indian - bulk drugs</t>
        </is>
      </c>
      <c r="G34" s="30" t="inlineStr">
        <is>
          <t>smallcap</t>
        </is>
      </c>
      <c r="H34" s="31" t="n">
        <v>1810.35</v>
      </c>
      <c r="I34" s="31" t="n">
        <v>3045.4</v>
      </c>
      <c r="J34" s="31" t="n">
        <v>3.93</v>
      </c>
      <c r="K34" s="31" t="n">
        <v>27072</v>
      </c>
      <c r="L34" s="30" t="n">
        <v>91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79.39</v>
      </c>
      <c r="P34" s="31" t="n">
        <v>65.51000000000001</v>
      </c>
      <c r="Q34" s="31" t="n">
        <v>2022.1</v>
      </c>
      <c r="R34" s="30" t="inlineStr">
        <is>
          <t>Volume Spike &amp; Near 52W High Breakout</t>
        </is>
      </c>
      <c r="S34" s="30" t="inlineStr">
        <is>
          <t>Nifty Pharma</t>
        </is>
      </c>
      <c r="T34" s="31" t="n">
        <v>12.35</v>
      </c>
      <c r="U34" s="31" t="n">
        <v>204.98</v>
      </c>
      <c r="V34" s="31" t="n">
        <v>171.45</v>
      </c>
      <c r="W34" s="31" t="n">
        <v>36.34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Annuity, Lower One Time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Between 50% to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IF(B35=0,"",RANK(B35,$B$2:$B$400,0))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SUPRIYA</t>
        </is>
      </c>
      <c r="D35" s="30" t="inlineStr">
        <is>
          <t>Supriya Lifescience Ltd</t>
        </is>
      </c>
      <c r="E35" s="30" t="inlineStr">
        <is>
          <t>healthcare</t>
        </is>
      </c>
      <c r="F35" s="30" t="inlineStr">
        <is>
          <t>pharmaceuticals - indian - bulk drugs &amp; formln</t>
        </is>
      </c>
      <c r="G35" s="30" t="inlineStr">
        <is>
          <t>midcap</t>
        </is>
      </c>
      <c r="H35" s="31" t="n">
        <v>7358.94</v>
      </c>
      <c r="I35" s="31" t="n">
        <v>932.25</v>
      </c>
      <c r="J35" s="31" t="n">
        <v>1.96</v>
      </c>
      <c r="K35" s="31" t="n">
        <v>186582</v>
      </c>
      <c r="L35" s="30" t="n">
        <v>73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70</v>
      </c>
      <c r="P35" s="31" t="n">
        <v>35.54</v>
      </c>
      <c r="Q35" s="31" t="n">
        <v>736.14</v>
      </c>
      <c r="R35" s="30" t="inlineStr">
        <is>
          <t>Near 52W High Breakout</t>
        </is>
      </c>
      <c r="S35" s="30" t="inlineStr">
        <is>
          <t>Nifty Pharma</t>
        </is>
      </c>
      <c r="T35" s="31" t="n">
        <v>12.35</v>
      </c>
      <c r="U35" s="31" t="n">
        <v>36.94</v>
      </c>
      <c r="V35" s="31" t="n">
        <v>21.89</v>
      </c>
      <c r="W35" s="31" t="n">
        <v>21.32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Annuity, Lower One Time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Between 50% to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IF(B36=0,"",RANK(B36,$B$2:$B$400,0))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ADFFOODS</t>
        </is>
      </c>
      <c r="D36" s="30" t="inlineStr">
        <is>
          <t>Adf Foods Limited</t>
        </is>
      </c>
      <c r="E36" s="30" t="inlineStr">
        <is>
          <t>fmcg</t>
        </is>
      </c>
      <c r="F36" s="30" t="inlineStr">
        <is>
          <t>food - processing - indian</t>
        </is>
      </c>
      <c r="G36" s="30" t="inlineStr">
        <is>
          <t>smallcap</t>
        </is>
      </c>
      <c r="H36" s="31" t="n">
        <v>3310.19</v>
      </c>
      <c r="I36" s="31" t="n">
        <v>305.6</v>
      </c>
      <c r="J36" s="31" t="n">
        <v>1.43</v>
      </c>
      <c r="K36" s="31" t="n">
        <v>453747</v>
      </c>
      <c r="L36" s="30" t="n">
        <v>75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68.33</v>
      </c>
      <c r="P36" s="31" t="n">
        <v>31.4</v>
      </c>
      <c r="Q36" s="31" t="n">
        <v>222.32</v>
      </c>
      <c r="R36" s="30" t="inlineStr">
        <is>
          <t>Near 52W High Breakout</t>
        </is>
      </c>
      <c r="S36" s="30" t="inlineStr">
        <is>
          <t>Nifty FMCG</t>
        </is>
      </c>
      <c r="T36" s="31" t="n">
        <v>-9.109999999999999</v>
      </c>
      <c r="U36" s="31" t="n">
        <v>12.63</v>
      </c>
      <c r="V36" s="31" t="n">
        <v>23.92</v>
      </c>
      <c r="W36" s="31" t="n">
        <v>21.9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B2C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Annuity, Lower One Time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Less than 50%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IF(B37=0,"",RANK(B37,$B$2:$B$400,0))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AVTNPL</t>
        </is>
      </c>
      <c r="D37" s="30" t="inlineStr">
        <is>
          <t>Avt Natural Products Limited</t>
        </is>
      </c>
      <c r="E37" s="30" t="inlineStr">
        <is>
          <t>fmcg</t>
        </is>
      </c>
      <c r="F37" s="30" t="inlineStr">
        <is>
          <t>solvent extraction</t>
        </is>
      </c>
      <c r="G37" s="30" t="inlineStr">
        <is>
          <t>smallcap</t>
        </is>
      </c>
      <c r="H37" s="31" t="n">
        <v>1097.97</v>
      </c>
      <c r="I37" s="31" t="n">
        <v>72.56999999999999</v>
      </c>
      <c r="J37" s="31" t="n">
        <v>0.65</v>
      </c>
      <c r="K37" s="31" t="n">
        <v>51497</v>
      </c>
      <c r="L37" s="30" t="n">
        <v>29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60.12</v>
      </c>
      <c r="P37" s="31" t="n">
        <v>25.52</v>
      </c>
      <c r="Q37" s="31" t="n">
        <v>55.54</v>
      </c>
      <c r="R37" s="30" t="inlineStr">
        <is>
          <t>Near 52W High Breakout</t>
        </is>
      </c>
      <c r="S37" s="30" t="inlineStr">
        <is>
          <t>Nifty FMCG</t>
        </is>
      </c>
      <c r="T37" s="31" t="n">
        <v>-9.109999999999999</v>
      </c>
      <c r="U37" s="31" t="n">
        <v>12.51</v>
      </c>
      <c r="V37" s="31" t="n">
        <v>23.79</v>
      </c>
      <c r="W37" s="31" t="n">
        <v>7.9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B2C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Less than 50%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IF(B38=0,"",RANK(B38,$B$2:$B$400,0))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NINSYS</t>
        </is>
      </c>
      <c r="D38" s="30" t="inlineStr">
        <is>
          <t>NINtec Systems Ltd</t>
        </is>
      </c>
      <c r="E38" s="30" t="inlineStr">
        <is>
          <t>i.t</t>
        </is>
      </c>
      <c r="F38" s="30" t="inlineStr">
        <is>
          <t>computers - software - medium / small</t>
        </is>
      </c>
      <c r="G38" s="30" t="inlineStr">
        <is>
          <t>smallcap</t>
        </is>
      </c>
      <c r="H38" s="31" t="n">
        <v>1286.11</v>
      </c>
      <c r="I38" s="31" t="n">
        <v>694.75</v>
      </c>
      <c r="J38" s="31" t="n">
        <v>0.35</v>
      </c>
      <c r="K38" s="31" t="n">
        <v>2378</v>
      </c>
      <c r="L38" s="30" t="n">
        <v>95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78.52</v>
      </c>
      <c r="P38" s="31" t="n">
        <v>51.6</v>
      </c>
      <c r="Q38" s="31" t="n">
        <v>543.65</v>
      </c>
      <c r="R38" s="30" t="inlineStr">
        <is>
          <t>Near 52W High Breakout</t>
        </is>
      </c>
      <c r="S38" s="30" t="inlineStr">
        <is>
          <t>Nifty IT</t>
        </is>
      </c>
      <c r="T38" s="31" t="n">
        <v>-26.99</v>
      </c>
      <c r="U38" s="31" t="n">
        <v>54.17</v>
      </c>
      <c r="V38" s="31" t="n">
        <v>111.17</v>
      </c>
      <c r="W38" s="31" t="n">
        <v>48.07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Between 12 to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Between 50% to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IF(B39=0,"",RANK(B39,$B$2:$B$400,0))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METROPOLIS</t>
        </is>
      </c>
      <c r="D39" s="30" t="inlineStr">
        <is>
          <t>Metropolis Healthcare Ltd</t>
        </is>
      </c>
      <c r="E39" s="30" t="inlineStr">
        <is>
          <t>healthcare</t>
        </is>
      </c>
      <c r="F39" s="30" t="inlineStr">
        <is>
          <t>healthcare</t>
        </is>
      </c>
      <c r="G39" s="30" t="inlineStr">
        <is>
          <t>midcap</t>
        </is>
      </c>
      <c r="H39" s="31" t="n">
        <v>11311.8</v>
      </c>
      <c r="I39" s="31" t="n">
        <v>542.5</v>
      </c>
      <c r="J39" s="31" t="n">
        <v>-0.57</v>
      </c>
      <c r="K39" s="31" t="n">
        <v>241893</v>
      </c>
      <c r="L39" s="30" t="n">
        <v>41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60.76</v>
      </c>
      <c r="P39" s="31" t="n">
        <v>26.69</v>
      </c>
      <c r="Q39" s="31" t="n">
        <v>435.8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12.35</v>
      </c>
      <c r="U39" s="31" t="n">
        <v>26.37</v>
      </c>
      <c r="V39" s="31" t="n">
        <v>12.47</v>
      </c>
      <c r="W39" s="31" t="n">
        <v>10.47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IF(B40=0,"",RANK(B40,$B$2:$B$400,0))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SKMEGGPROD</t>
        </is>
      </c>
      <c r="D40" s="30" t="inlineStr">
        <is>
          <t>Skm Egg Products Export (india) Limited</t>
        </is>
      </c>
      <c r="E40" s="30" t="inlineStr">
        <is>
          <t>fmcg</t>
        </is>
      </c>
      <c r="F40" s="30" t="inlineStr">
        <is>
          <t>food - processing - indian</t>
        </is>
      </c>
      <c r="G40" s="30" t="inlineStr">
        <is>
          <t>smallcap</t>
        </is>
      </c>
      <c r="H40" s="31" t="n">
        <v>1286.54</v>
      </c>
      <c r="I40" s="31" t="n">
        <v>238.96</v>
      </c>
      <c r="J40" s="31" t="n">
        <v>-2.19</v>
      </c>
      <c r="K40" s="31" t="n">
        <v>545580</v>
      </c>
      <c r="L40" s="30" t="n">
        <v>84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68.27</v>
      </c>
      <c r="P40" s="31" t="n">
        <v>22.1</v>
      </c>
      <c r="Q40" s="31" t="n">
        <v>171.07</v>
      </c>
      <c r="R40" s="30" t="inlineStr">
        <is>
          <t>Near 52W High Breakout</t>
        </is>
      </c>
      <c r="S40" s="30" t="inlineStr">
        <is>
          <t>Nifty FMCG</t>
        </is>
      </c>
      <c r="T40" s="31" t="n">
        <v>-9.109999999999999</v>
      </c>
      <c r="U40" s="31" t="n">
        <v>89.68000000000001</v>
      </c>
      <c r="V40" s="31" t="n">
        <v>108.7</v>
      </c>
      <c r="W40" s="31" t="n">
        <v>28.1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B2C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Less than 50%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IF(B41=0,"",RANK(B41,$B$2:$B$400,0))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GVPIL</t>
        </is>
      </c>
      <c r="D41" s="30" t="inlineStr">
        <is>
          <t>GE Power India Ltd</t>
        </is>
      </c>
      <c r="E41" s="30" t="inlineStr">
        <is>
          <t>realty</t>
        </is>
      </c>
      <c r="F41" s="30" t="inlineStr">
        <is>
          <t>engineering - turnkey services</t>
        </is>
      </c>
      <c r="G41" s="30" t="inlineStr">
        <is>
          <t>midcap</t>
        </is>
      </c>
      <c r="H41" s="31" t="n">
        <v>7093.84</v>
      </c>
      <c r="I41" s="31" t="n">
        <v>1002.45</v>
      </c>
      <c r="J41" s="31" t="n">
        <v>-5</v>
      </c>
      <c r="K41" s="31" t="n">
        <v>533589</v>
      </c>
      <c r="L41" s="30" t="n">
        <v>97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89.73</v>
      </c>
      <c r="P41" s="31" t="n">
        <v>58.79</v>
      </c>
      <c r="Q41" s="31" t="n">
        <v>769.08</v>
      </c>
      <c r="R41" s="30" t="inlineStr">
        <is>
          <t>Near 52W High Breakout</t>
        </is>
      </c>
      <c r="S41" s="30" t="inlineStr">
        <is>
          <t>Nifty Realty</t>
        </is>
      </c>
      <c r="T41" s="31" t="n">
        <v>-19.08</v>
      </c>
      <c r="U41" s="31" t="n">
        <v>229.92</v>
      </c>
      <c r="V41" s="31" t="n">
        <v>307.73</v>
      </c>
      <c r="W41" s="31" t="n">
        <v>62.36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Duopoly That Cooperate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Shallow Cyclical (2 to 3 Years Growth)</t>
        </is>
      </c>
      <c r="AG41" s="30">
        <f>IF(AF41="Structural (10 Years Consistency)",10,IF(AF41="Shallow Cyclical (2 to 3 years growth)",5,0))</f>
        <v/>
      </c>
      <c r="AH41" s="30" t="inlineStr">
        <is>
          <t>Yes due to Product Mix change or Operating Leverage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B2C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Fully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only for next 1 to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Between 50% to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Between 0.7 to 1.2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IF(B42=0,"",RANK(B42,$B$2:$B$400,0))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ICIL</t>
        </is>
      </c>
      <c r="D42" s="30" t="inlineStr">
        <is>
          <t>Indo Count Industries Limited</t>
        </is>
      </c>
      <c r="E42" s="30" t="inlineStr">
        <is>
          <t>textiles</t>
        </is>
      </c>
      <c r="F42" s="30" t="inlineStr">
        <is>
          <t>textiles - cotton/blended</t>
        </is>
      </c>
      <c r="G42" s="30" t="inlineStr">
        <is>
          <t>midcap</t>
        </is>
      </c>
      <c r="H42" s="31" t="n">
        <v>6775.44</v>
      </c>
      <c r="I42" s="31" t="n">
        <v>405.85</v>
      </c>
      <c r="J42" s="31" t="n">
        <v>18.63</v>
      </c>
      <c r="K42" s="31" t="n">
        <v>6664723</v>
      </c>
      <c r="L42" s="30" t="n">
        <v>83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72.67</v>
      </c>
      <c r="P42" s="31" t="n">
        <v>28.69</v>
      </c>
      <c r="Q42" s="31" t="n">
        <v>300.91</v>
      </c>
      <c r="R42" s="30" t="inlineStr">
        <is>
          <t>Volume Spike &amp; Near 52W High Breakout</t>
        </is>
      </c>
      <c r="S42" s="30" t="inlineStr">
        <is>
          <t>Nifty 50</t>
        </is>
      </c>
      <c r="T42" s="31" t="n">
        <v>-3.76</v>
      </c>
      <c r="U42" s="31" t="n">
        <v>50.47</v>
      </c>
      <c r="V42" s="31" t="n">
        <v>56.35</v>
      </c>
      <c r="W42" s="31" t="n">
        <v>27.05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IF(B43=0,"",RANK(B43,$B$2:$B$400,0))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VTL</t>
        </is>
      </c>
      <c r="D43" s="30" t="inlineStr">
        <is>
          <t>Vardhman Textiles Limited</t>
        </is>
      </c>
      <c r="E43" s="30" t="inlineStr">
        <is>
          <t>textiles</t>
        </is>
      </c>
      <c r="F43" s="30" t="inlineStr">
        <is>
          <t>textiles - cotton/blended</t>
        </is>
      </c>
      <c r="G43" s="30" t="inlineStr">
        <is>
          <t>midcap</t>
        </is>
      </c>
      <c r="H43" s="31" t="n">
        <v>18113.38</v>
      </c>
      <c r="I43" s="31" t="n">
        <v>661.4</v>
      </c>
      <c r="J43" s="31" t="n">
        <v>5.63</v>
      </c>
      <c r="K43" s="31" t="n">
        <v>1413690</v>
      </c>
      <c r="L43" s="30" t="n">
        <v>52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71.34</v>
      </c>
      <c r="P43" s="31" t="n">
        <v>52.83</v>
      </c>
      <c r="Q43" s="31" t="n">
        <v>522.52</v>
      </c>
      <c r="R43" s="30" t="inlineStr">
        <is>
          <t>Near 52W High Breakout</t>
        </is>
      </c>
      <c r="S43" s="30" t="inlineStr">
        <is>
          <t>Nifty 50</t>
        </is>
      </c>
      <c r="T43" s="31" t="n">
        <v>-3.76</v>
      </c>
      <c r="U43" s="31" t="n">
        <v>46.1</v>
      </c>
      <c r="V43" s="31" t="n">
        <v>51.81</v>
      </c>
      <c r="W43" s="31" t="n">
        <v>13.26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Less than 12%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IF(B44=0,"",RANK(B44,$B$2:$B$400,0))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GOCLCORP</t>
        </is>
      </c>
      <c r="D44" s="30" t="inlineStr">
        <is>
          <t>Gocl Corporation Limited</t>
        </is>
      </c>
      <c r="E44" s="30" t="inlineStr">
        <is>
          <t>miscellaneous</t>
        </is>
      </c>
      <c r="F44" s="30" t="inlineStr">
        <is>
          <t>diversified - medium / small</t>
        </is>
      </c>
      <c r="G44" s="30" t="inlineStr">
        <is>
          <t>smallcap</t>
        </is>
      </c>
      <c r="H44" s="31" t="n">
        <v>1999.26</v>
      </c>
      <c r="I44" s="31" t="n">
        <v>424.95</v>
      </c>
      <c r="J44" s="31" t="n">
        <v>5.37</v>
      </c>
      <c r="K44" s="31" t="n">
        <v>1558341</v>
      </c>
      <c r="L44" s="30" t="n">
        <v>80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71.89</v>
      </c>
      <c r="P44" s="31" t="n">
        <v>28.43</v>
      </c>
      <c r="Q44" s="31" t="n">
        <v>312.6</v>
      </c>
      <c r="R44" s="30" t="inlineStr">
        <is>
          <t>Volume Spike &amp; Near 52W High Breakout</t>
        </is>
      </c>
      <c r="S44" s="30" t="inlineStr">
        <is>
          <t>Nifty 50</t>
        </is>
      </c>
      <c r="T44" s="31" t="n">
        <v>-3.76</v>
      </c>
      <c r="U44" s="31" t="n">
        <v>19.04</v>
      </c>
      <c r="V44" s="31" t="n">
        <v>23.7</v>
      </c>
      <c r="W44" s="31" t="n">
        <v>24.57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IF(B45=0,"",RANK(B45,$B$2:$B$400,0))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BHAGYANGR</t>
        </is>
      </c>
      <c r="D45" s="30" t="inlineStr">
        <is>
          <t>Bhagyanagar India</t>
        </is>
      </c>
      <c r="E45" s="30" t="inlineStr">
        <is>
          <t>power &amp; utilities</t>
        </is>
      </c>
      <c r="F45" s="30" t="inlineStr">
        <is>
          <t>power generation and supply</t>
        </is>
      </c>
      <c r="G45" s="30" t="inlineStr">
        <is>
          <t>smallcap</t>
        </is>
      </c>
      <c r="H45" s="31" t="n">
        <v>1150.22</v>
      </c>
      <c r="I45" s="31" t="n">
        <v>377.45</v>
      </c>
      <c r="J45" s="31" t="n">
        <v>4.99</v>
      </c>
      <c r="K45" s="31" t="n">
        <v>95698</v>
      </c>
      <c r="L45" s="30" t="n">
        <v>98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81.56999999999999</v>
      </c>
      <c r="P45" s="31" t="n">
        <v>60.17</v>
      </c>
      <c r="Q45" s="31" t="n">
        <v>272.09</v>
      </c>
      <c r="R45" s="30" t="inlineStr">
        <is>
          <t>Near 52W High Breakout</t>
        </is>
      </c>
      <c r="S45" s="30" t="inlineStr">
        <is>
          <t>Nifty IT</t>
        </is>
      </c>
      <c r="T45" s="31" t="n">
        <v>-26.99</v>
      </c>
      <c r="U45" s="31" t="n">
        <v>381.01</v>
      </c>
      <c r="V45" s="31" t="n">
        <v>558.86</v>
      </c>
      <c r="W45" s="31" t="n">
        <v>77.83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Between 50% to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Between 0.7 to 1.2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IF(B46=0,"",RANK(B46,$B$2:$B$400,0))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ADANIPOWER</t>
        </is>
      </c>
      <c r="D46" s="30" t="inlineStr">
        <is>
          <t>Adani Power Limited</t>
        </is>
      </c>
      <c r="E46" s="30" t="inlineStr">
        <is>
          <t>power &amp; utilities</t>
        </is>
      </c>
      <c r="F46" s="30" t="inlineStr">
        <is>
          <t>power generation and supply</t>
        </is>
      </c>
      <c r="G46" s="30" t="inlineStr">
        <is>
          <t>largecap</t>
        </is>
      </c>
      <c r="H46" s="31" t="n">
        <v>425034.67</v>
      </c>
      <c r="I46" s="31" t="n">
        <v>230.57</v>
      </c>
      <c r="J46" s="31" t="n">
        <v>4.61</v>
      </c>
      <c r="K46" s="31" t="n">
        <v>49545386</v>
      </c>
      <c r="L46" s="30" t="n">
        <v>86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70.43000000000001</v>
      </c>
      <c r="P46" s="31" t="n">
        <v>48.61</v>
      </c>
      <c r="Q46" s="31" t="n">
        <v>196.57</v>
      </c>
      <c r="R46" s="30" t="inlineStr">
        <is>
          <t>Earnings / Momentum Support</t>
        </is>
      </c>
      <c r="S46" s="30" t="inlineStr">
        <is>
          <t>Nifty IT</t>
        </is>
      </c>
      <c r="T46" s="31" t="n">
        <v>-26.99</v>
      </c>
      <c r="U46" s="31" t="n">
        <v>117.42</v>
      </c>
      <c r="V46" s="31" t="n">
        <v>197.8</v>
      </c>
      <c r="W46" s="31" t="n">
        <v>28.98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No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Between 0.7 to 1.2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IF(B47=0,"",RANK(B47,$B$2:$B$400,0))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HARDWYN</t>
        </is>
      </c>
      <c r="D47" s="30" t="inlineStr">
        <is>
          <t>Hardwyn India Ltd</t>
        </is>
      </c>
      <c r="E47" s="30" t="inlineStr">
        <is>
          <t>services</t>
        </is>
      </c>
      <c r="F47" s="30" t="inlineStr">
        <is>
          <t>trading</t>
        </is>
      </c>
      <c r="G47" s="30" t="inlineStr">
        <is>
          <t>smallcap</t>
        </is>
      </c>
      <c r="H47" s="31" t="n">
        <v>1211.32</v>
      </c>
      <c r="I47" s="31" t="n">
        <v>25.84</v>
      </c>
      <c r="J47" s="31" t="n">
        <v>4.19</v>
      </c>
      <c r="K47" s="31" t="n">
        <v>6711428</v>
      </c>
      <c r="L47" s="30" t="n">
        <v>73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66.44</v>
      </c>
      <c r="P47" s="31" t="n">
        <v>46.96</v>
      </c>
      <c r="Q47" s="31" t="n">
        <v>20.61</v>
      </c>
      <c r="R47" s="30" t="inlineStr">
        <is>
          <t>Near 52W High Breakout</t>
        </is>
      </c>
      <c r="S47" s="30" t="inlineStr">
        <is>
          <t>Nifty 50</t>
        </is>
      </c>
      <c r="T47" s="31" t="n">
        <v>-3.76</v>
      </c>
      <c r="U47" s="31" t="n">
        <v>81.97</v>
      </c>
      <c r="V47" s="31" t="n">
        <v>89.08</v>
      </c>
      <c r="W47" s="31" t="n">
        <v>21.48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Less than 50%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IF(B48=0,"",RANK(B48,$B$2:$B$400,0))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ZFCVINDIA</t>
        </is>
      </c>
      <c r="D48" s="30" t="inlineStr">
        <is>
          <t>ZF Commercial Vehicle Control System India Ltd</t>
        </is>
      </c>
      <c r="E48" s="30" t="inlineStr">
        <is>
          <t>auto</t>
        </is>
      </c>
      <c r="F48" s="30" t="inlineStr">
        <is>
          <t>auto ancillaries</t>
        </is>
      </c>
      <c r="G48" s="30" t="inlineStr">
        <is>
          <t>largecap</t>
        </is>
      </c>
      <c r="H48" s="31" t="n">
        <v>28663.81</v>
      </c>
      <c r="I48" s="31" t="n">
        <v>15581</v>
      </c>
      <c r="J48" s="31" t="n">
        <v>3.1</v>
      </c>
      <c r="K48" s="31" t="n">
        <v>44787</v>
      </c>
      <c r="L48" s="30" t="n">
        <v>22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60.47</v>
      </c>
      <c r="P48" s="31" t="n">
        <v>24.92</v>
      </c>
      <c r="Q48" s="31" t="n">
        <v>12618.83</v>
      </c>
      <c r="R48" s="30" t="inlineStr">
        <is>
          <t>Near 52W High Breakout</t>
        </is>
      </c>
      <c r="S48" s="30" t="inlineStr">
        <is>
          <t>Nifty Auto</t>
        </is>
      </c>
      <c r="T48" s="31" t="n">
        <v>12.95</v>
      </c>
      <c r="U48" s="31" t="n">
        <v>18.13</v>
      </c>
      <c r="V48" s="31" t="n">
        <v>4.59</v>
      </c>
      <c r="W48" s="31" t="n">
        <v>6.48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IF(B49=0,"",RANK(B49,$B$2:$B$400,0))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NITINSPIN</t>
        </is>
      </c>
      <c r="D49" s="30" t="inlineStr">
        <is>
          <t>Nitin Spinners Limited</t>
        </is>
      </c>
      <c r="E49" s="30" t="inlineStr">
        <is>
          <t>textiles</t>
        </is>
      </c>
      <c r="F49" s="30" t="inlineStr">
        <is>
          <t>textiles - cotton/blended</t>
        </is>
      </c>
      <c r="G49" s="30" t="inlineStr">
        <is>
          <t>smallcap</t>
        </is>
      </c>
      <c r="H49" s="31" t="n">
        <v>3078.61</v>
      </c>
      <c r="I49" s="31" t="n">
        <v>561</v>
      </c>
      <c r="J49" s="31" t="n">
        <v>2.45</v>
      </c>
      <c r="K49" s="31" t="n">
        <v>112478</v>
      </c>
      <c r="L49" s="30" t="n">
        <v>73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81.25</v>
      </c>
      <c r="P49" s="31" t="n">
        <v>57.16</v>
      </c>
      <c r="Q49" s="31" t="n">
        <v>439.44</v>
      </c>
      <c r="R49" s="30" t="inlineStr">
        <is>
          <t>Near 52W High Breakout</t>
        </is>
      </c>
      <c r="S49" s="30" t="inlineStr">
        <is>
          <t>Nifty 50</t>
        </is>
      </c>
      <c r="T49" s="31" t="n">
        <v>-3.76</v>
      </c>
      <c r="U49" s="31" t="n">
        <v>52.83</v>
      </c>
      <c r="V49" s="31" t="n">
        <v>58.8</v>
      </c>
      <c r="W49" s="31" t="n">
        <v>21.26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Between 0.7 to 1.2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IF(B50=0,"",RANK(B50,$B$2:$B$400,0))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IDEA</t>
        </is>
      </c>
      <c r="D50" s="30" t="inlineStr">
        <is>
          <t>Vodafone Idea Ltd</t>
        </is>
      </c>
      <c r="E50" s="30" t="inlineStr">
        <is>
          <t>telecom-service</t>
        </is>
      </c>
      <c r="F50" s="30" t="inlineStr">
        <is>
          <t>telecommunications - service provider</t>
        </is>
      </c>
      <c r="G50" s="30" t="inlineStr">
        <is>
          <t>largecap</t>
        </is>
      </c>
      <c r="H50" s="31" t="n">
        <v>161647.81</v>
      </c>
      <c r="I50" s="31" t="n">
        <v>15.01</v>
      </c>
      <c r="J50" s="31" t="n">
        <v>0.6</v>
      </c>
      <c r="K50" s="31" t="n">
        <v>343479057</v>
      </c>
      <c r="L50" s="30" t="n">
        <v>90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75.13</v>
      </c>
      <c r="P50" s="31" t="n">
        <v>28.8</v>
      </c>
      <c r="Q50" s="31" t="n">
        <v>11.77</v>
      </c>
      <c r="R50" s="30" t="inlineStr">
        <is>
          <t>Near 52W High Breakout</t>
        </is>
      </c>
      <c r="S50" s="30" t="inlineStr">
        <is>
          <t>Nifty 50</t>
        </is>
      </c>
      <c r="T50" s="31" t="n">
        <v>-3.76</v>
      </c>
      <c r="U50" s="31" t="n">
        <v>128.81</v>
      </c>
      <c r="V50" s="31" t="n">
        <v>137.75</v>
      </c>
      <c r="W50" s="31" t="n">
        <v>33.99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Oligopoly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IF(B51=0,"",RANK(B51,$B$2:$B$400,0))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RISHABH</t>
        </is>
      </c>
      <c r="D51" s="30" t="inlineStr">
        <is>
          <t>Rishabh Instruments Ltd</t>
        </is>
      </c>
      <c r="E51" s="30" t="inlineStr">
        <is>
          <t>industrials</t>
        </is>
      </c>
      <c r="F51" s="30" t="inlineStr">
        <is>
          <t>electric equipment</t>
        </is>
      </c>
      <c r="G51" s="30" t="inlineStr">
        <is>
          <t>smallcap</t>
        </is>
      </c>
      <c r="H51" s="31" t="n">
        <v>2200.98</v>
      </c>
      <c r="I51" s="31" t="n">
        <v>574.25</v>
      </c>
      <c r="J51" s="31" t="n">
        <v>0.57</v>
      </c>
      <c r="K51" s="31" t="n">
        <v>158162</v>
      </c>
      <c r="L51" s="30" t="n">
        <v>83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67.01000000000001</v>
      </c>
      <c r="P51" s="31" t="n">
        <v>30.64</v>
      </c>
      <c r="Q51" s="31" t="n">
        <v>411.75</v>
      </c>
      <c r="R51" s="30" t="inlineStr">
        <is>
          <t>Near 52W High Breakout</t>
        </is>
      </c>
      <c r="S51" s="30" t="inlineStr">
        <is>
          <t>Nifty 50</t>
        </is>
      </c>
      <c r="T51" s="31" t="n">
        <v>-3.76</v>
      </c>
      <c r="U51" s="31" t="n">
        <v>101.77</v>
      </c>
      <c r="V51" s="31" t="n">
        <v>109.66</v>
      </c>
      <c r="W51" s="31" t="n">
        <v>27.11</v>
      </c>
      <c r="X51" s="30" t="inlineStr">
        <is>
          <t>Cyclical in an Upturn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IF(B52=0,"",RANK(B52,$B$2:$B$400,0))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SANSERA</t>
        </is>
      </c>
      <c r="D52" s="30" t="inlineStr">
        <is>
          <t>Sansera Engineering Ltd</t>
        </is>
      </c>
      <c r="E52" s="30" t="inlineStr">
        <is>
          <t>auto</t>
        </is>
      </c>
      <c r="F52" s="30" t="inlineStr">
        <is>
          <t>auto ancillaries</t>
        </is>
      </c>
      <c r="G52" s="30" t="inlineStr">
        <is>
          <t>midcap</t>
        </is>
      </c>
      <c r="H52" s="31" t="n">
        <v>17947.27</v>
      </c>
      <c r="I52" s="31" t="n">
        <v>2886.8</v>
      </c>
      <c r="J52" s="31" t="n">
        <v>0.26</v>
      </c>
      <c r="K52" s="31" t="n">
        <v>80030</v>
      </c>
      <c r="L52" s="30" t="n">
        <v>79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71.70999999999999</v>
      </c>
      <c r="P52" s="31" t="n">
        <v>41.37</v>
      </c>
      <c r="Q52" s="31" t="n">
        <v>2296.55</v>
      </c>
      <c r="R52" s="30" t="inlineStr">
        <is>
          <t>Near 52W High Breakout</t>
        </is>
      </c>
      <c r="S52" s="30" t="inlineStr">
        <is>
          <t>Nifty Auto</t>
        </is>
      </c>
      <c r="T52" s="31" t="n">
        <v>12.95</v>
      </c>
      <c r="U52" s="31" t="n">
        <v>118.01</v>
      </c>
      <c r="V52" s="31" t="n">
        <v>93.01000000000001</v>
      </c>
      <c r="W52" s="31" t="n">
        <v>23.93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Between 50% to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IF(B53=0,"",RANK(B53,$B$2:$B$400,0))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BELRISE</t>
        </is>
      </c>
      <c r="D53" s="30" t="inlineStr">
        <is>
          <t>Belrise Industries Ltd</t>
        </is>
      </c>
      <c r="E53" s="30" t="inlineStr">
        <is>
          <t>auto</t>
        </is>
      </c>
      <c r="F53" s="30" t="inlineStr">
        <is>
          <t>auto ancillaries</t>
        </is>
      </c>
      <c r="G53" s="30" t="inlineStr">
        <is>
          <t>largecap</t>
        </is>
      </c>
      <c r="H53" s="31" t="n">
        <v>21254.76</v>
      </c>
      <c r="I53" s="31" t="n">
        <v>239.24</v>
      </c>
      <c r="J53" s="31" t="n">
        <v>0.16</v>
      </c>
      <c r="K53" s="31" t="n">
        <v>1953387</v>
      </c>
      <c r="L53" s="30" t="n">
        <v>82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73.16</v>
      </c>
      <c r="P53" s="31" t="n">
        <v>52.7</v>
      </c>
      <c r="Q53" s="31" t="n">
        <v>189.61</v>
      </c>
      <c r="R53" s="30" t="inlineStr">
        <is>
          <t>Near 52W High Breakout</t>
        </is>
      </c>
      <c r="S53" s="30" t="inlineStr">
        <is>
          <t>Nifty Auto</t>
        </is>
      </c>
      <c r="T53" s="31" t="n">
        <v>12.95</v>
      </c>
      <c r="U53" s="31" t="n">
        <v>135.51</v>
      </c>
      <c r="V53" s="31" t="n">
        <v>108.51</v>
      </c>
      <c r="W53" s="31" t="n">
        <v>25.51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Less than 12%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IF(B54=0,"",RANK(B54,$B$2:$B$400,0))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ADOR</t>
        </is>
      </c>
      <c r="D54" s="30" t="inlineStr">
        <is>
          <t>Ador Welding Ltd</t>
        </is>
      </c>
      <c r="E54" s="30" t="inlineStr">
        <is>
          <t>industrials</t>
        </is>
      </c>
      <c r="F54" s="30" t="inlineStr">
        <is>
          <t>electrodes - welding equipment</t>
        </is>
      </c>
      <c r="G54" s="30" t="inlineStr">
        <is>
          <t>smallcap</t>
        </is>
      </c>
      <c r="H54" s="31" t="n">
        <v>2041.52</v>
      </c>
      <c r="I54" s="31" t="n">
        <v>1174.8</v>
      </c>
      <c r="J54" s="31" t="n">
        <v>0.14</v>
      </c>
      <c r="K54" s="31" t="n">
        <v>17032</v>
      </c>
      <c r="L54" s="30" t="n">
        <v>40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64.43000000000001</v>
      </c>
      <c r="P54" s="31" t="n">
        <v>23.29</v>
      </c>
      <c r="Q54" s="31" t="n">
        <v>917.12</v>
      </c>
      <c r="R54" s="30" t="inlineStr">
        <is>
          <t>Near 52W High Breakout</t>
        </is>
      </c>
      <c r="S54" s="30" t="inlineStr">
        <is>
          <t>Nifty 50</t>
        </is>
      </c>
      <c r="T54" s="31" t="n">
        <v>-3.76</v>
      </c>
      <c r="U54" s="31" t="n">
        <v>19.43</v>
      </c>
      <c r="V54" s="31" t="n">
        <v>24.09</v>
      </c>
      <c r="W54" s="31" t="n">
        <v>9.99</v>
      </c>
      <c r="X54" s="30" t="inlineStr">
        <is>
          <t>Cyclical in an Upturn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IF(B55=0,"",RANK(B55,$B$2:$B$400,0))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AEGISLOG</t>
        </is>
      </c>
      <c r="D55" s="30" t="inlineStr">
        <is>
          <t>Aegis Logistics Ltd</t>
        </is>
      </c>
      <c r="E55" s="30" t="inlineStr">
        <is>
          <t>services</t>
        </is>
      </c>
      <c r="F55" s="30" t="inlineStr">
        <is>
          <t>trading</t>
        </is>
      </c>
      <c r="G55" s="30" t="inlineStr">
        <is>
          <t>largecap</t>
        </is>
      </c>
      <c r="H55" s="31" t="n">
        <v>35343.95</v>
      </c>
      <c r="I55" s="31" t="n">
        <v>1006.9</v>
      </c>
      <c r="J55" s="31" t="n">
        <v>-0.01</v>
      </c>
      <c r="K55" s="31" t="n">
        <v>1028367</v>
      </c>
      <c r="L55" s="30" t="n">
        <v>73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75.48</v>
      </c>
      <c r="P55" s="31" t="n">
        <v>23.33</v>
      </c>
      <c r="Q55" s="31" t="n">
        <v>782.4400000000001</v>
      </c>
      <c r="R55" s="30" t="inlineStr">
        <is>
          <t>Near 52W High Breakout</t>
        </is>
      </c>
      <c r="S55" s="30" t="inlineStr">
        <is>
          <t>Nifty 50</t>
        </is>
      </c>
      <c r="T55" s="31" t="n">
        <v>-3.76</v>
      </c>
      <c r="U55" s="31" t="n">
        <v>29.23</v>
      </c>
      <c r="V55" s="31" t="n">
        <v>34.28</v>
      </c>
      <c r="W55" s="31" t="n">
        <v>21.38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IF(B56=0,"",RANK(B56,$B$2:$B$400,0))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IDEAFORGE</t>
        </is>
      </c>
      <c r="D56" s="30" t="inlineStr">
        <is>
          <t>Ideaforge Technology Ltd</t>
        </is>
      </c>
      <c r="E56" s="30" t="inlineStr">
        <is>
          <t>aerospace &amp; defence</t>
        </is>
      </c>
      <c r="F56" s="30" t="inlineStr">
        <is>
          <t>engineering</t>
        </is>
      </c>
      <c r="G56" s="30" t="inlineStr">
        <is>
          <t>smallcap</t>
        </is>
      </c>
      <c r="H56" s="31" t="n">
        <v>4020.77</v>
      </c>
      <c r="I56" s="31" t="n">
        <v>919.75</v>
      </c>
      <c r="J56" s="31" t="n">
        <v>-1.01</v>
      </c>
      <c r="K56" s="31" t="n">
        <v>198342</v>
      </c>
      <c r="L56" s="30" t="n">
        <v>93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73.70999999999999</v>
      </c>
      <c r="P56" s="31" t="n">
        <v>46.96</v>
      </c>
      <c r="Q56" s="31" t="n">
        <v>669.8200000000001</v>
      </c>
      <c r="R56" s="30" t="inlineStr">
        <is>
          <t>Near 52W High Breakout</t>
        </is>
      </c>
      <c r="S56" s="30" t="inlineStr">
        <is>
          <t>Nifty Infra</t>
        </is>
      </c>
      <c r="T56" s="31" t="n">
        <v>4.04</v>
      </c>
      <c r="U56" s="31" t="n">
        <v>60.32</v>
      </c>
      <c r="V56" s="31" t="n">
        <v>54.09</v>
      </c>
      <c r="W56" s="31" t="n">
        <v>42.24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Negative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IF(B57=0,"",RANK(B57,$B$2:$B$400,0))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MENONBE</t>
        </is>
      </c>
      <c r="D57" s="30" t="inlineStr">
        <is>
          <t>Menon Bearings Limited</t>
        </is>
      </c>
      <c r="E57" s="30" t="inlineStr">
        <is>
          <t>auto</t>
        </is>
      </c>
      <c r="F57" s="30" t="inlineStr">
        <is>
          <t>auto ancillaries</t>
        </is>
      </c>
      <c r="G57" s="30" t="inlineStr">
        <is>
          <t>smallcap</t>
        </is>
      </c>
      <c r="H57" s="31" t="n">
        <v>985.02</v>
      </c>
      <c r="I57" s="31" t="n">
        <v>169.64</v>
      </c>
      <c r="J57" s="31" t="n">
        <v>-3.49</v>
      </c>
      <c r="K57" s="31" t="n">
        <v>97137</v>
      </c>
      <c r="L57" s="30" t="n">
        <v>66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71.59</v>
      </c>
      <c r="P57" s="31" t="n">
        <v>32.82</v>
      </c>
      <c r="Q57" s="31" t="n">
        <v>124.62</v>
      </c>
      <c r="R57" s="30" t="inlineStr">
        <is>
          <t>Near 52W High Breakout</t>
        </is>
      </c>
      <c r="S57" s="30" t="inlineStr">
        <is>
          <t>Nifty Auto</t>
        </is>
      </c>
      <c r="T57" s="31" t="n">
        <v>12.95</v>
      </c>
      <c r="U57" s="31" t="n">
        <v>42.8</v>
      </c>
      <c r="V57" s="31" t="n">
        <v>26.43</v>
      </c>
      <c r="W57" s="31" t="n">
        <v>17.98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Less than 50%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IF(B58=0,"",RANK(B58,$B$2:$B$400,0))</f>
        <v/>
      </c>
      <c r="B58" s="31">
        <f>SUM(N58,Y58,AA58,AC58,AE58,AG58,AI58,AK58,AM58,AO58,AQ58,AS58,AU58,AW58,AY58,BA58,BC58,BE58,BG58,BI58,BK58,BM58,BO58,BQ58,BS58,BU58,BW58,BY58,CA58,CC58,CE58)</f>
        <v/>
      </c>
      <c r="C58" s="32" t="inlineStr">
        <is>
          <t>STCINDIA</t>
        </is>
      </c>
      <c r="D58" s="32" t="inlineStr">
        <is>
          <t>The State Trading Corporation Of India Limited</t>
        </is>
      </c>
      <c r="E58" s="30" t="inlineStr">
        <is>
          <t>services</t>
        </is>
      </c>
      <c r="F58" s="30" t="inlineStr">
        <is>
          <t>trading</t>
        </is>
      </c>
      <c r="G58" s="30" t="inlineStr">
        <is>
          <t>smallcap</t>
        </is>
      </c>
      <c r="H58" s="31" t="n">
        <v>870.54</v>
      </c>
      <c r="I58" s="31" t="n">
        <v>135.76</v>
      </c>
      <c r="J58" s="31" t="n">
        <v>-6.43</v>
      </c>
      <c r="K58" s="31" t="n">
        <v>525068</v>
      </c>
      <c r="L58" s="30" t="n">
        <v>14</v>
      </c>
      <c r="M58" s="30" t="inlineStr">
        <is>
          <t>Underperforming</t>
        </is>
      </c>
      <c r="N58" s="31">
        <f>IF(M58="Underperforming",-5,IF(L58&gt;=95,15,IF(L58&gt;=90,10,IF(L58&gt;=80,5,0))))</f>
        <v/>
      </c>
      <c r="O58" s="31" t="n">
        <v>60.74</v>
      </c>
      <c r="P58" s="31" t="n">
        <v>22.82</v>
      </c>
      <c r="Q58" s="31" t="n">
        <v>95.11</v>
      </c>
      <c r="R58" s="30" t="inlineStr">
        <is>
          <t>Volume Spike / Accumulation</t>
        </is>
      </c>
      <c r="S58" s="30" t="inlineStr">
        <is>
          <t>Nifty 50</t>
        </is>
      </c>
      <c r="T58" s="31" t="n">
        <v>-3.76</v>
      </c>
      <c r="U58" s="31" t="n">
        <v>-7.12</v>
      </c>
      <c r="V58" s="31" t="n">
        <v>-3.49</v>
      </c>
      <c r="W58" s="31" t="n">
        <v>4.76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IF(B59=0,"",RANK(B59,$B$2:$B$400,0))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ASTERDM</t>
        </is>
      </c>
      <c r="D59" s="30" t="inlineStr">
        <is>
          <t>Aster DM Healthcare Ltd</t>
        </is>
      </c>
      <c r="E59" s="30" t="inlineStr">
        <is>
          <t>healthcare</t>
        </is>
      </c>
      <c r="F59" s="30" t="inlineStr">
        <is>
          <t>healthcare</t>
        </is>
      </c>
      <c r="G59" s="30" t="inlineStr">
        <is>
          <t>largecap</t>
        </is>
      </c>
      <c r="H59" s="31" t="n">
        <v>39685.48</v>
      </c>
      <c r="I59" s="31" t="n">
        <v>788.5</v>
      </c>
      <c r="J59" s="31" t="n">
        <v>2.94</v>
      </c>
      <c r="K59" s="31" t="n">
        <v>355032</v>
      </c>
      <c r="L59" s="30" t="n">
        <v>52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66.06</v>
      </c>
      <c r="P59" s="31" t="n">
        <v>38.96</v>
      </c>
      <c r="Q59" s="31" t="n">
        <v>661.02</v>
      </c>
      <c r="R59" s="30" t="inlineStr">
        <is>
          <t>Near 52W High Breakout</t>
        </is>
      </c>
      <c r="S59" s="30" t="inlineStr">
        <is>
          <t>Nifty Pharma</t>
        </is>
      </c>
      <c r="T59" s="31" t="n">
        <v>12.35</v>
      </c>
      <c r="U59" s="31" t="n">
        <v>41.96</v>
      </c>
      <c r="V59" s="31" t="n">
        <v>26.36</v>
      </c>
      <c r="W59" s="31" t="n">
        <v>13.2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Between 1.5 to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IF(B60=0,"",RANK(B60,$B$2:$B$400,0))</f>
        <v/>
      </c>
      <c r="B60" s="31">
        <f>SUM(N60,Y60,AA60,AC60,AE60,AG60,AI60,AK60,AM60,AO60,AQ60,AS60,AU60,AW60,AY60,BA60,BC60,BE60,BG60,BI60,BK60,BM60,BO60,BQ60,BS60,BU60,BW60,BY60,CA60,CC60,CE60)</f>
        <v/>
      </c>
      <c r="C60" s="32" t="inlineStr">
        <is>
          <t>MARKSANS</t>
        </is>
      </c>
      <c r="D60" s="32" t="inlineStr">
        <is>
          <t>Marksans Pharma Limited</t>
        </is>
      </c>
      <c r="E60" s="30" t="inlineStr">
        <is>
          <t>healthcare</t>
        </is>
      </c>
      <c r="F60" s="30" t="inlineStr">
        <is>
          <t>pharmaceuticals - indian - formulations</t>
        </is>
      </c>
      <c r="G60" s="30" t="inlineStr">
        <is>
          <t>midcap</t>
        </is>
      </c>
      <c r="H60" s="31" t="n">
        <v>11544.35</v>
      </c>
      <c r="I60" s="31" t="n">
        <v>261.45</v>
      </c>
      <c r="J60" s="31" t="n">
        <v>2.63</v>
      </c>
      <c r="K60" s="31" t="n">
        <v>4915028</v>
      </c>
      <c r="L60" s="30" t="n">
        <v>60</v>
      </c>
      <c r="M60" s="30" t="inlineStr">
        <is>
          <t>Underperforming</t>
        </is>
      </c>
      <c r="N60" s="31">
        <f>IF(M60="Underperforming",-5,IF(L60&gt;=95,15,IF(L60&gt;=90,10,IF(L60&gt;=80,5,0))))</f>
        <v/>
      </c>
      <c r="O60" s="31" t="n">
        <v>73.76000000000001</v>
      </c>
      <c r="P60" s="31" t="n">
        <v>32.42</v>
      </c>
      <c r="Q60" s="31" t="n">
        <v>202.49</v>
      </c>
      <c r="R60" s="30" t="inlineStr">
        <is>
          <t>Near 52W High Breakout</t>
        </is>
      </c>
      <c r="S60" s="30" t="inlineStr">
        <is>
          <t>Nifty Pharma</t>
        </is>
      </c>
      <c r="T60" s="31" t="n">
        <v>12.35</v>
      </c>
      <c r="U60" s="31" t="n">
        <v>9.32</v>
      </c>
      <c r="V60" s="31" t="n">
        <v>-2.7</v>
      </c>
      <c r="W60" s="31" t="n">
        <v>15.5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IF(B61=0,"",RANK(B61,$B$2:$B$400,0))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SPARC</t>
        </is>
      </c>
      <c r="D61" s="30" t="inlineStr">
        <is>
          <t>Sun Pharma Advanced Research Company Limited</t>
        </is>
      </c>
      <c r="E61" s="30" t="inlineStr">
        <is>
          <t>healthcare</t>
        </is>
      </c>
      <c r="F61" s="30" t="inlineStr">
        <is>
          <t>miscellaneous</t>
        </is>
      </c>
      <c r="G61" s="30" t="inlineStr">
        <is>
          <t>midcap</t>
        </is>
      </c>
      <c r="H61" s="31" t="n">
        <v>7775.86</v>
      </c>
      <c r="I61" s="31" t="n">
        <v>242.47</v>
      </c>
      <c r="J61" s="31" t="n">
        <v>1.19</v>
      </c>
      <c r="K61" s="31" t="n">
        <v>6146954</v>
      </c>
      <c r="L61" s="30" t="n">
        <v>92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79.44</v>
      </c>
      <c r="P61" s="31" t="n">
        <v>50.15</v>
      </c>
      <c r="Q61" s="31" t="n">
        <v>172.59</v>
      </c>
      <c r="R61" s="30" t="inlineStr">
        <is>
          <t>Near 52W High Breakout</t>
        </is>
      </c>
      <c r="S61" s="30" t="inlineStr">
        <is>
          <t>Nifty Pharma</t>
        </is>
      </c>
      <c r="T61" s="31" t="n">
        <v>12.35</v>
      </c>
      <c r="U61" s="31" t="n">
        <v>54.76</v>
      </c>
      <c r="V61" s="31" t="n">
        <v>37.75</v>
      </c>
      <c r="W61" s="31" t="n">
        <v>38.45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Yes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Annuity, Lower One Time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Negative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IF(B62=0,"",RANK(B62,$B$2:$B$400,0))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RATEGAIN</t>
        </is>
      </c>
      <c r="D62" s="30" t="inlineStr">
        <is>
          <t>Rategain Travel Technologies Ltd</t>
        </is>
      </c>
      <c r="E62" s="30" t="inlineStr">
        <is>
          <t>i.t</t>
        </is>
      </c>
      <c r="F62" s="30" t="inlineStr">
        <is>
          <t>computers - software - medium / small</t>
        </is>
      </c>
      <c r="G62" s="30" t="inlineStr">
        <is>
          <t>midcap</t>
        </is>
      </c>
      <c r="H62" s="31" t="n">
        <v>10471.82</v>
      </c>
      <c r="I62" s="31" t="n">
        <v>889</v>
      </c>
      <c r="J62" s="31" t="n">
        <v>0.32</v>
      </c>
      <c r="K62" s="31" t="n">
        <v>489709</v>
      </c>
      <c r="L62" s="30" t="n">
        <v>92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78.73</v>
      </c>
      <c r="P62" s="31" t="n">
        <v>26.88</v>
      </c>
      <c r="Q62" s="31" t="n">
        <v>693.66</v>
      </c>
      <c r="R62" s="30" t="inlineStr">
        <is>
          <t>Near 52W High Breakout</t>
        </is>
      </c>
      <c r="S62" s="30" t="inlineStr">
        <is>
          <t>Nifty IT</t>
        </is>
      </c>
      <c r="T62" s="31" t="n">
        <v>-26.99</v>
      </c>
      <c r="U62" s="31" t="n">
        <v>105.34</v>
      </c>
      <c r="V62" s="31" t="n">
        <v>181.25</v>
      </c>
      <c r="W62" s="31" t="n">
        <v>38.57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Annuity, Lower One Time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Between 1.5 to 2</t>
        </is>
      </c>
      <c r="BU62" s="30">
        <f>IF(BT62="Above 2",0,IF(BT62="Between 1.5 to 2",5,IF(BT62="Less than 1.5",10,0)))</f>
        <v/>
      </c>
      <c r="BV62" s="30" t="inlineStr">
        <is>
          <t>Between 50% to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IF(B63=0,"",RANK(B63,$B$2:$B$400,0))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MANORAMA</t>
        </is>
      </c>
      <c r="D63" s="30" t="inlineStr">
        <is>
          <t>Manorama Industries Ltd</t>
        </is>
      </c>
      <c r="E63" s="30" t="inlineStr">
        <is>
          <t>fmcg</t>
        </is>
      </c>
      <c r="F63" s="30" t="inlineStr">
        <is>
          <t>food - processing - indian</t>
        </is>
      </c>
      <c r="G63" s="30" t="inlineStr">
        <is>
          <t>midcap</t>
        </is>
      </c>
      <c r="H63" s="31" t="n">
        <v>9118.690000000001</v>
      </c>
      <c r="I63" s="31" t="n">
        <v>1529.3</v>
      </c>
      <c r="J63" s="31" t="n">
        <v>0.14</v>
      </c>
      <c r="K63" s="31" t="n">
        <v>102995</v>
      </c>
      <c r="L63" s="30" t="n">
        <v>24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57.33</v>
      </c>
      <c r="P63" s="31" t="n">
        <v>13.91</v>
      </c>
      <c r="Q63" s="31" t="n">
        <v>1182.97</v>
      </c>
      <c r="R63" s="30" t="inlineStr">
        <is>
          <t>Near 52W High Breakout</t>
        </is>
      </c>
      <c r="S63" s="30" t="inlineStr">
        <is>
          <t>Nifty FMCG</t>
        </is>
      </c>
      <c r="T63" s="31" t="n">
        <v>-9.109999999999999</v>
      </c>
      <c r="U63" s="31" t="n">
        <v>13.15</v>
      </c>
      <c r="V63" s="31" t="n">
        <v>24.49</v>
      </c>
      <c r="W63" s="31" t="n">
        <v>6.98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B2C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Annuity, Lower One Time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0 to 20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IF(B64=0,"",RANK(B64,$B$2:$B$400,0))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TINNARUBR</t>
        </is>
      </c>
      <c r="D64" s="30" t="inlineStr">
        <is>
          <t>Tinna Rubber &amp; Infrastructure Ltd</t>
        </is>
      </c>
      <c r="E64" s="30" t="inlineStr">
        <is>
          <t>fmcg</t>
        </is>
      </c>
      <c r="F64" s="30" t="inlineStr">
        <is>
          <t>miscellaneous</t>
        </is>
      </c>
      <c r="G64" s="30" t="inlineStr">
        <is>
          <t>smallcap</t>
        </is>
      </c>
      <c r="H64" s="31" t="n">
        <v>1604.3</v>
      </c>
      <c r="I64" s="31" t="n">
        <v>882.55</v>
      </c>
      <c r="J64" s="31" t="n">
        <v>-0.89</v>
      </c>
      <c r="K64" s="31" t="n">
        <v>21337</v>
      </c>
      <c r="L64" s="30" t="n">
        <v>37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59.3</v>
      </c>
      <c r="P64" s="31" t="n">
        <v>22.33</v>
      </c>
      <c r="Q64" s="31" t="n">
        <v>631.12</v>
      </c>
      <c r="R64" s="30" t="inlineStr">
        <is>
          <t>Earnings / Momentum Support</t>
        </is>
      </c>
      <c r="S64" s="30" t="inlineStr">
        <is>
          <t>Nifty FMCG</t>
        </is>
      </c>
      <c r="T64" s="31" t="n">
        <v>-9.109999999999999</v>
      </c>
      <c r="U64" s="31" t="n">
        <v>-4.26</v>
      </c>
      <c r="V64" s="31" t="n">
        <v>5.34</v>
      </c>
      <c r="W64" s="31" t="n">
        <v>9.24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B2C</t>
        </is>
      </c>
      <c r="AO64" s="30">
        <f>IF(AN64="B2C",10,IF(AN64="B2B",5,0))</f>
        <v/>
      </c>
      <c r="AP64" s="30" t="inlineStr">
        <is>
          <t>No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Between 50% to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IF(B65=0,"",RANK(B65,$B$2:$B$400,0))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SIGMAADV</t>
        </is>
      </c>
      <c r="D65" s="30" t="inlineStr">
        <is>
          <t>Sigma Advanced System Ltd</t>
        </is>
      </c>
      <c r="E65" s="30" t="inlineStr">
        <is>
          <t>aerospace &amp; defence</t>
        </is>
      </c>
      <c r="F65" s="30" t="inlineStr">
        <is>
          <t>electronics - components</t>
        </is>
      </c>
      <c r="G65" s="30" t="inlineStr">
        <is>
          <t>midcap</t>
        </is>
      </c>
      <c r="H65" s="31" t="n">
        <v>8393.42</v>
      </c>
      <c r="I65" s="31" t="n">
        <v>500.05</v>
      </c>
      <c r="J65" s="31" t="n">
        <v>5</v>
      </c>
      <c r="K65" s="31" t="n">
        <v>203095</v>
      </c>
      <c r="L65" s="30" t="n">
        <v>99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86.98</v>
      </c>
      <c r="P65" s="31" t="n">
        <v>43.45</v>
      </c>
      <c r="Q65" s="31" t="n">
        <v>377.36</v>
      </c>
      <c r="R65" s="30" t="inlineStr">
        <is>
          <t>Near 52W High Breakout</t>
        </is>
      </c>
      <c r="S65" s="30" t="inlineStr">
        <is>
          <t>Nifty 50</t>
        </is>
      </c>
      <c r="T65" s="31" t="n">
        <v>-3.76</v>
      </c>
      <c r="U65" s="31" t="n">
        <v>485.33</v>
      </c>
      <c r="V65" s="31" t="n">
        <v>508.21</v>
      </c>
      <c r="W65" s="31" t="n">
        <v>94.68000000000001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Negative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Between 0.7 to 1.2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IF(B66=0,"",RANK(B66,$B$2:$B$400,0))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STLTECH</t>
        </is>
      </c>
      <c r="D66" s="30" t="inlineStr">
        <is>
          <t>Sterlite Technologies Limited</t>
        </is>
      </c>
      <c r="E66" s="30" t="inlineStr">
        <is>
          <t>industrials</t>
        </is>
      </c>
      <c r="F66" s="30" t="inlineStr">
        <is>
          <t>cables - telephone</t>
        </is>
      </c>
      <c r="G66" s="30" t="inlineStr">
        <is>
          <t>largecap</t>
        </is>
      </c>
      <c r="H66" s="31" t="n">
        <v>30098.25</v>
      </c>
      <c r="I66" s="31" t="n">
        <v>647.2</v>
      </c>
      <c r="J66" s="31" t="n">
        <v>4.96</v>
      </c>
      <c r="K66" s="31" t="n">
        <v>2876701</v>
      </c>
      <c r="L66" s="30" t="n">
        <v>99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89.56</v>
      </c>
      <c r="P66" s="31" t="n">
        <v>81.73</v>
      </c>
      <c r="Q66" s="31" t="n">
        <v>499.34</v>
      </c>
      <c r="R66" s="30" t="inlineStr">
        <is>
          <t>Near 52W High Breakout</t>
        </is>
      </c>
      <c r="S66" s="30" t="inlineStr">
        <is>
          <t>Nifty Infra</t>
        </is>
      </c>
      <c r="T66" s="31" t="n">
        <v>4.04</v>
      </c>
      <c r="U66" s="31" t="n">
        <v>510.85</v>
      </c>
      <c r="V66" s="31" t="n">
        <v>487.12</v>
      </c>
      <c r="W66" s="31" t="n">
        <v>114.59</v>
      </c>
      <c r="X66" s="30" t="inlineStr">
        <is>
          <t>Cyclical in an Upturn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Above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Between 0.7 to 1.2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IF(B67=0,"",RANK(B67,$B$2:$B$400,0))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SYRMA</t>
        </is>
      </c>
      <c r="D67" s="30" t="inlineStr">
        <is>
          <t>Syrma SGS Technology Ltd</t>
        </is>
      </c>
      <c r="E67" s="30" t="inlineStr">
        <is>
          <t>consumer discretionary</t>
        </is>
      </c>
      <c r="F67" s="30" t="inlineStr">
        <is>
          <t>electronics - components</t>
        </is>
      </c>
      <c r="G67" s="30" t="inlineStr">
        <is>
          <t>largecap</t>
        </is>
      </c>
      <c r="H67" s="31" t="n">
        <v>25035.18</v>
      </c>
      <c r="I67" s="31" t="n">
        <v>1346.8</v>
      </c>
      <c r="J67" s="31" t="n">
        <v>3.74</v>
      </c>
      <c r="K67" s="31" t="n">
        <v>1276205</v>
      </c>
      <c r="L67" s="30" t="n">
        <v>93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77.09999999999999</v>
      </c>
      <c r="P67" s="31" t="n">
        <v>37.65</v>
      </c>
      <c r="Q67" s="31" t="n">
        <v>1061.32</v>
      </c>
      <c r="R67" s="30" t="inlineStr">
        <is>
          <t>Near 52W High Breakout</t>
        </is>
      </c>
      <c r="S67" s="30" t="inlineStr">
        <is>
          <t>Nifty 50</t>
        </is>
      </c>
      <c r="T67" s="31" t="n">
        <v>-3.76</v>
      </c>
      <c r="U67" s="31" t="n">
        <v>166.32</v>
      </c>
      <c r="V67" s="31" t="n">
        <v>176.72</v>
      </c>
      <c r="W67" s="31" t="n">
        <v>40.54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Between 1.5 to 2</t>
        </is>
      </c>
      <c r="BU67" s="30">
        <f>IF(BT67="Above 2",0,IF(BT67="Between 1.5 to 2",5,IF(BT67="Less than 1.5",10,0)))</f>
        <v/>
      </c>
      <c r="BV67" s="30" t="inlineStr">
        <is>
          <t>Between 50% to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IF(B68=0,"",RANK(B68,$B$2:$B$400,0))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GANESHBE</t>
        </is>
      </c>
      <c r="D68" s="30" t="inlineStr">
        <is>
          <t>Ganesh Benzoplast Ltd</t>
        </is>
      </c>
      <c r="E68" s="30" t="inlineStr">
        <is>
          <t>miscellaneous</t>
        </is>
      </c>
      <c r="F68" s="30" t="inlineStr">
        <is>
          <t>miscellaneous</t>
        </is>
      </c>
      <c r="G68" s="30" t="inlineStr">
        <is>
          <t>smallcap</t>
        </is>
      </c>
      <c r="H68" s="31" t="n">
        <v>731.27</v>
      </c>
      <c r="I68" s="31" t="n">
        <v>105.23</v>
      </c>
      <c r="J68" s="31" t="n">
        <v>3.59</v>
      </c>
      <c r="K68" s="31" t="n">
        <v>441803</v>
      </c>
      <c r="L68" s="30" t="n">
        <v>41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60.9</v>
      </c>
      <c r="P68" s="31" t="n">
        <v>24.33</v>
      </c>
      <c r="Q68" s="31" t="n">
        <v>81.97</v>
      </c>
      <c r="R68" s="30" t="inlineStr">
        <is>
          <t>Earnings / Momentum Support</t>
        </is>
      </c>
      <c r="S68" s="30" t="inlineStr">
        <is>
          <t>Nifty 50</t>
        </is>
      </c>
      <c r="T68" s="31" t="n">
        <v>-3.76</v>
      </c>
      <c r="U68" s="31" t="n">
        <v>7.4</v>
      </c>
      <c r="V68" s="31" t="n">
        <v>11.6</v>
      </c>
      <c r="W68" s="31" t="n">
        <v>10.37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No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IF(B69=0,"",RANK(B69,$B$2:$B$400,0))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SPORTKING</t>
        </is>
      </c>
      <c r="D69" s="30" t="inlineStr">
        <is>
          <t>Sportking India Ltd</t>
        </is>
      </c>
      <c r="E69" s="30" t="inlineStr">
        <is>
          <t>textiles</t>
        </is>
      </c>
      <c r="F69" s="30" t="inlineStr">
        <is>
          <t>textiles - spinning - synthetic / blended</t>
        </is>
      </c>
      <c r="G69" s="30" t="inlineStr">
        <is>
          <t>smallcap</t>
        </is>
      </c>
      <c r="H69" s="31" t="n">
        <v>2257.69</v>
      </c>
      <c r="I69" s="31" t="n">
        <v>182.7</v>
      </c>
      <c r="J69" s="31" t="n">
        <v>2.83</v>
      </c>
      <c r="K69" s="31" t="n">
        <v>385442</v>
      </c>
      <c r="L69" s="30" t="n">
        <v>81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80.95999999999999</v>
      </c>
      <c r="P69" s="31" t="n">
        <v>57.62</v>
      </c>
      <c r="Q69" s="31" t="n">
        <v>136.18</v>
      </c>
      <c r="R69" s="30" t="inlineStr">
        <is>
          <t>Near 52W High Breakout</t>
        </is>
      </c>
      <c r="S69" s="30" t="inlineStr">
        <is>
          <t>Nifty 50</t>
        </is>
      </c>
      <c r="T69" s="31" t="n">
        <v>-3.76</v>
      </c>
      <c r="U69" s="31" t="n">
        <v>72.38</v>
      </c>
      <c r="V69" s="31" t="n">
        <v>79.12</v>
      </c>
      <c r="W69" s="31" t="n">
        <v>25.27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Less than 12%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IF(B70=0,"",RANK(B70,$B$2:$B$400,0))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CEIGALL</t>
        </is>
      </c>
      <c r="D70" s="30" t="inlineStr">
        <is>
          <t>Ceigall India Ltd</t>
        </is>
      </c>
      <c r="E70" s="30" t="inlineStr">
        <is>
          <t>realty</t>
        </is>
      </c>
      <c r="F70" s="30" t="inlineStr">
        <is>
          <t>construction</t>
        </is>
      </c>
      <c r="G70" s="30" t="inlineStr">
        <is>
          <t>midcap</t>
        </is>
      </c>
      <c r="H70" s="31" t="n">
        <v>6489.13</v>
      </c>
      <c r="I70" s="31" t="n">
        <v>379.8</v>
      </c>
      <c r="J70" s="31" t="n">
        <v>1.96</v>
      </c>
      <c r="K70" s="31" t="n">
        <v>603557</v>
      </c>
      <c r="L70" s="30" t="n">
        <v>68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72.89</v>
      </c>
      <c r="P70" s="31" t="n">
        <v>45.92</v>
      </c>
      <c r="Q70" s="31" t="n">
        <v>299.68</v>
      </c>
      <c r="R70" s="30" t="inlineStr">
        <is>
          <t>Near 52W High Breakout</t>
        </is>
      </c>
      <c r="S70" s="30" t="inlineStr">
        <is>
          <t>Nifty Realty</t>
        </is>
      </c>
      <c r="T70" s="31" t="n">
        <v>-19.08</v>
      </c>
      <c r="U70" s="31" t="n">
        <v>55.75</v>
      </c>
      <c r="V70" s="31" t="n">
        <v>92.48</v>
      </c>
      <c r="W70" s="31" t="n">
        <v>18.65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Negative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IF(B71=0,"",RANK(B71,$B$2:$B$400,0))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PARAS</t>
        </is>
      </c>
      <c r="D71" s="30" t="inlineStr">
        <is>
          <t>Paras Defence and Space Technologies Ltd</t>
        </is>
      </c>
      <c r="E71" s="30" t="inlineStr">
        <is>
          <t>aerospace &amp; defence</t>
        </is>
      </c>
      <c r="F71" s="30" t="inlineStr">
        <is>
          <t>engineering</t>
        </is>
      </c>
      <c r="G71" s="30" t="inlineStr">
        <is>
          <t>midcap</t>
        </is>
      </c>
      <c r="H71" s="31" t="n">
        <v>10360.71</v>
      </c>
      <c r="I71" s="31" t="n">
        <v>1310.3</v>
      </c>
      <c r="J71" s="31" t="n">
        <v>1.92</v>
      </c>
      <c r="K71" s="31" t="n">
        <v>17292975</v>
      </c>
      <c r="L71" s="30" t="n">
        <v>92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79.19</v>
      </c>
      <c r="P71" s="31" t="n">
        <v>41.28</v>
      </c>
      <c r="Q71" s="31" t="n">
        <v>982</v>
      </c>
      <c r="R71" s="30" t="inlineStr">
        <is>
          <t>Volume Spike &amp; Near 52W High Breakout</t>
        </is>
      </c>
      <c r="S71" s="30" t="inlineStr">
        <is>
          <t>Nifty 50</t>
        </is>
      </c>
      <c r="T71" s="31" t="n">
        <v>-3.76</v>
      </c>
      <c r="U71" s="31" t="n">
        <v>58.54</v>
      </c>
      <c r="V71" s="31" t="n">
        <v>64.73999999999999</v>
      </c>
      <c r="W71" s="31" t="n">
        <v>38.38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Between 1.5 to 2</t>
        </is>
      </c>
      <c r="BU71" s="30">
        <f>IF(BT71="Above 2",0,IF(BT71="Between 1.5 to 2",5,IF(BT71="Less than 1.5",10,0)))</f>
        <v/>
      </c>
      <c r="BV71" s="30" t="inlineStr">
        <is>
          <t>Less than 50%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IF(B72=0,"",RANK(B72,$B$2:$B$400,0))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HAPPYFORGE</t>
        </is>
      </c>
      <c r="D72" s="30" t="inlineStr">
        <is>
          <t>Happy Forgings Ltd</t>
        </is>
      </c>
      <c r="E72" s="30" t="inlineStr">
        <is>
          <t>industrials</t>
        </is>
      </c>
      <c r="F72" s="30" t="inlineStr">
        <is>
          <t>castings &amp; forgings</t>
        </is>
      </c>
      <c r="G72" s="30" t="inlineStr">
        <is>
          <t>midcap</t>
        </is>
      </c>
      <c r="H72" s="31" t="n">
        <v>13503.44</v>
      </c>
      <c r="I72" s="31" t="n">
        <v>1453.9</v>
      </c>
      <c r="J72" s="31" t="n">
        <v>1.59</v>
      </c>
      <c r="K72" s="31" t="n">
        <v>114664</v>
      </c>
      <c r="L72" s="30" t="n">
        <v>46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65.23999999999999</v>
      </c>
      <c r="P72" s="31" t="n">
        <v>33.27</v>
      </c>
      <c r="Q72" s="31" t="n">
        <v>1139.1</v>
      </c>
      <c r="R72" s="30" t="inlineStr">
        <is>
          <t>Near 52W High Breakout</t>
        </is>
      </c>
      <c r="S72" s="30" t="inlineStr">
        <is>
          <t>Nifty 50</t>
        </is>
      </c>
      <c r="T72" s="31" t="n">
        <v>-3.76</v>
      </c>
      <c r="U72" s="31" t="n">
        <v>51.78</v>
      </c>
      <c r="V72" s="31" t="n">
        <v>57.71</v>
      </c>
      <c r="W72" s="31" t="n">
        <v>11.93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Between 1.5 to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IF(B73=0,"",RANK(B73,$B$2:$B$400,0))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ABB</t>
        </is>
      </c>
      <c r="D73" s="30" t="inlineStr">
        <is>
          <t>Abb India Limited</t>
        </is>
      </c>
      <c r="E73" s="30" t="inlineStr">
        <is>
          <t>industrials</t>
        </is>
      </c>
      <c r="F73" s="30" t="inlineStr">
        <is>
          <t>electric equipment</t>
        </is>
      </c>
      <c r="G73" s="30" t="inlineStr">
        <is>
          <t>largecap</t>
        </is>
      </c>
      <c r="H73" s="31" t="n">
        <v>151811.16</v>
      </c>
      <c r="I73" s="31" t="n">
        <v>7229</v>
      </c>
      <c r="J73" s="31" t="n">
        <v>0.91</v>
      </c>
      <c r="K73" s="31" t="n">
        <v>239735</v>
      </c>
      <c r="L73" s="30" t="n">
        <v>28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62.19</v>
      </c>
      <c r="P73" s="31" t="n">
        <v>42.46</v>
      </c>
      <c r="Q73" s="31" t="n">
        <v>5928.08</v>
      </c>
      <c r="R73" s="30" t="inlineStr">
        <is>
          <t>Near 52W High Breakout</t>
        </is>
      </c>
      <c r="S73" s="30" t="inlineStr">
        <is>
          <t>Nifty 50</t>
        </is>
      </c>
      <c r="T73" s="31" t="n">
        <v>-3.76</v>
      </c>
      <c r="U73" s="31" t="n">
        <v>21.85</v>
      </c>
      <c r="V73" s="31" t="n">
        <v>26.61</v>
      </c>
      <c r="W73" s="31" t="n">
        <v>7.73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IF(B74=0,"",RANK(B74,$B$2:$B$400,0))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PTL</t>
        </is>
      </c>
      <c r="D74" s="30" t="inlineStr">
        <is>
          <t>Ptl Enterprises Limited</t>
        </is>
      </c>
      <c r="E74" s="30" t="inlineStr">
        <is>
          <t>miscellaneous</t>
        </is>
      </c>
      <c r="F74" s="30" t="inlineStr">
        <is>
          <t>miscellaneous</t>
        </is>
      </c>
      <c r="G74" s="30" t="inlineStr">
        <is>
          <t>smallcap</t>
        </is>
      </c>
      <c r="H74" s="31" t="n">
        <v>551.75</v>
      </c>
      <c r="I74" s="31" t="n">
        <v>41.95</v>
      </c>
      <c r="J74" s="31" t="n">
        <v>0.65</v>
      </c>
      <c r="K74" s="31" t="n">
        <v>119201</v>
      </c>
      <c r="L74" s="30" t="n">
        <v>12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63.59</v>
      </c>
      <c r="P74" s="31" t="n">
        <v>11.25</v>
      </c>
      <c r="Q74" s="31" t="n">
        <v>36.04</v>
      </c>
      <c r="R74" s="30" t="inlineStr">
        <is>
          <t>Near 52W High Breakout</t>
        </is>
      </c>
      <c r="S74" s="30" t="inlineStr">
        <is>
          <t>Nifty 50</t>
        </is>
      </c>
      <c r="T74" s="31" t="n">
        <v>-3.76</v>
      </c>
      <c r="U74" s="31" t="n">
        <v>9.800000000000001</v>
      </c>
      <c r="V74" s="31" t="n">
        <v>14.09</v>
      </c>
      <c r="W74" s="31" t="n">
        <v>4.25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0 to 20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IF(B75=0,"",RANK(B75,$B$2:$B$400,0))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CUMMINSIND</t>
        </is>
      </c>
      <c r="D75" s="30" t="inlineStr">
        <is>
          <t>Cummins India Limited</t>
        </is>
      </c>
      <c r="E75" s="30" t="inlineStr">
        <is>
          <t>industrials</t>
        </is>
      </c>
      <c r="F75" s="30" t="inlineStr">
        <is>
          <t>engines</t>
        </is>
      </c>
      <c r="G75" s="30" t="inlineStr">
        <is>
          <t>largecap</t>
        </is>
      </c>
      <c r="H75" s="31" t="n">
        <v>161690.76</v>
      </c>
      <c r="I75" s="31" t="n">
        <v>5858</v>
      </c>
      <c r="J75" s="31" t="n">
        <v>0.43</v>
      </c>
      <c r="K75" s="31" t="n">
        <v>311191</v>
      </c>
      <c r="L75" s="30" t="n">
        <v>68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73.03</v>
      </c>
      <c r="P75" s="31" t="n">
        <v>42.79</v>
      </c>
      <c r="Q75" s="31" t="n">
        <v>4967.59</v>
      </c>
      <c r="R75" s="30" t="inlineStr">
        <is>
          <t>Near 52W High Breakout</t>
        </is>
      </c>
      <c r="S75" s="30" t="inlineStr">
        <is>
          <t>Nifty 50</t>
        </is>
      </c>
      <c r="T75" s="31" t="n">
        <v>-3.76</v>
      </c>
      <c r="U75" s="31" t="n">
        <v>81.56999999999999</v>
      </c>
      <c r="V75" s="31" t="n">
        <v>88.67</v>
      </c>
      <c r="W75" s="31" t="n">
        <v>18.59</v>
      </c>
      <c r="X75" s="30" t="inlineStr">
        <is>
          <t>Cyclical in an Upturn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Between 50% to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IF(B76=0,"",RANK(B76,$B$2:$B$400,0))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MODISONLTD</t>
        </is>
      </c>
      <c r="D76" s="30" t="inlineStr">
        <is>
          <t>Modison Ltd</t>
        </is>
      </c>
      <c r="E76" s="30" t="inlineStr">
        <is>
          <t>industrials</t>
        </is>
      </c>
      <c r="F76" s="30" t="inlineStr">
        <is>
          <t>electric equipment</t>
        </is>
      </c>
      <c r="G76" s="30" t="inlineStr">
        <is>
          <t>smallcap</t>
        </is>
      </c>
      <c r="H76" s="31" t="n">
        <v>993.13</v>
      </c>
      <c r="I76" s="31" t="n">
        <v>307</v>
      </c>
      <c r="J76" s="31" t="n">
        <v>0.31</v>
      </c>
      <c r="K76" s="31" t="n">
        <v>175744</v>
      </c>
      <c r="L76" s="30" t="n">
        <v>96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71.42</v>
      </c>
      <c r="P76" s="31" t="n">
        <v>38.28</v>
      </c>
      <c r="Q76" s="31" t="n">
        <v>270.8</v>
      </c>
      <c r="R76" s="30" t="inlineStr">
        <is>
          <t>Earnings / Momentum Support</t>
        </is>
      </c>
      <c r="S76" s="30" t="inlineStr">
        <is>
          <t>Nifty 50</t>
        </is>
      </c>
      <c r="T76" s="31" t="n">
        <v>-3.76</v>
      </c>
      <c r="U76" s="31" t="n">
        <v>98.91</v>
      </c>
      <c r="V76" s="31" t="n">
        <v>106.69</v>
      </c>
      <c r="W76" s="31" t="n">
        <v>53.72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No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IF(B77=0,"",RANK(B77,$B$2:$B$400,0))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PIDILITIND</t>
        </is>
      </c>
      <c r="D77" s="30" t="inlineStr">
        <is>
          <t>Pidilite Industries Limited</t>
        </is>
      </c>
      <c r="E77" s="30" t="inlineStr">
        <is>
          <t>chemicals</t>
        </is>
      </c>
      <c r="F77" s="30" t="inlineStr">
        <is>
          <t>chemicals</t>
        </is>
      </c>
      <c r="G77" s="30" t="inlineStr">
        <is>
          <t>largecap</t>
        </is>
      </c>
      <c r="H77" s="31" t="n">
        <v>160623.88</v>
      </c>
      <c r="I77" s="31" t="n">
        <v>1581.1</v>
      </c>
      <c r="J77" s="31" t="n">
        <v>0.18</v>
      </c>
      <c r="K77" s="31" t="n">
        <v>759760</v>
      </c>
      <c r="L77" s="30" t="n">
        <v>17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65.87</v>
      </c>
      <c r="P77" s="31" t="n">
        <v>20.88</v>
      </c>
      <c r="Q77" s="31" t="n">
        <v>1371.43</v>
      </c>
      <c r="R77" s="30" t="inlineStr">
        <is>
          <t>Near 52W High Breakout</t>
        </is>
      </c>
      <c r="S77" s="30" t="inlineStr">
        <is>
          <t>Nifty 50</t>
        </is>
      </c>
      <c r="T77" s="31" t="n">
        <v>-3.76</v>
      </c>
      <c r="U77" s="31" t="n">
        <v>7.71</v>
      </c>
      <c r="V77" s="31" t="n">
        <v>11.91</v>
      </c>
      <c r="W77" s="31" t="n">
        <v>5.45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Between 1.5 to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IF(B78=0,"",RANK(B78,$B$2:$B$400,0))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SIS</t>
        </is>
      </c>
      <c r="D78" s="30" t="inlineStr">
        <is>
          <t>Security &amp; Intelligence Services India</t>
        </is>
      </c>
      <c r="E78" s="30" t="inlineStr">
        <is>
          <t>miscellaneous</t>
        </is>
      </c>
      <c r="F78" s="30" t="inlineStr">
        <is>
          <t>miscellaneous</t>
        </is>
      </c>
      <c r="G78" s="30" t="inlineStr">
        <is>
          <t>midcap</t>
        </is>
      </c>
      <c r="H78" s="31" t="n">
        <v>6023.84</v>
      </c>
      <c r="I78" s="31" t="n">
        <v>424.2</v>
      </c>
      <c r="J78" s="31" t="n">
        <v>-0.52</v>
      </c>
      <c r="K78" s="31" t="n">
        <v>35661</v>
      </c>
      <c r="L78" s="30" t="n">
        <v>64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76.58</v>
      </c>
      <c r="P78" s="31" t="n">
        <v>41.22</v>
      </c>
      <c r="Q78" s="31" t="n">
        <v>338.77</v>
      </c>
      <c r="R78" s="30" t="inlineStr">
        <is>
          <t>Near 52W High Breakout</t>
        </is>
      </c>
      <c r="S78" s="30" t="inlineStr">
        <is>
          <t>Nifty 50</t>
        </is>
      </c>
      <c r="T78" s="31" t="n">
        <v>-3.76</v>
      </c>
      <c r="U78" s="31" t="n">
        <v>17.73</v>
      </c>
      <c r="V78" s="31" t="n">
        <v>22.33</v>
      </c>
      <c r="W78" s="31" t="n">
        <v>16.85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Between 0.7 to 1.2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IF(B79=0,"",RANK(B79,$B$2:$B$400,0))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PRECWIRE</t>
        </is>
      </c>
      <c r="D79" s="30" t="inlineStr">
        <is>
          <t>Precision Wires India Limited</t>
        </is>
      </c>
      <c r="E79" s="30" t="inlineStr">
        <is>
          <t>metals &amp; mining</t>
        </is>
      </c>
      <c r="F79" s="30" t="inlineStr">
        <is>
          <t>mining / minerals / metals</t>
        </is>
      </c>
      <c r="G79" s="30" t="inlineStr">
        <is>
          <t>midcap</t>
        </is>
      </c>
      <c r="H79" s="31" t="n">
        <v>7840.63</v>
      </c>
      <c r="I79" s="31" t="n">
        <v>423.75</v>
      </c>
      <c r="J79" s="31" t="n">
        <v>-1.2</v>
      </c>
      <c r="K79" s="31" t="n">
        <v>238983</v>
      </c>
      <c r="L79" s="30" t="n">
        <v>85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66.97</v>
      </c>
      <c r="P79" s="31" t="n">
        <v>67.04000000000001</v>
      </c>
      <c r="Q79" s="31" t="n">
        <v>304.38</v>
      </c>
      <c r="R79" s="30" t="inlineStr">
        <is>
          <t>Near 52W High Breakout</t>
        </is>
      </c>
      <c r="S79" s="30" t="inlineStr">
        <is>
          <t>Nifty Metal</t>
        </is>
      </c>
      <c r="T79" s="31" t="n">
        <v>42.37</v>
      </c>
      <c r="U79" s="31" t="n">
        <v>140.9</v>
      </c>
      <c r="V79" s="31" t="n">
        <v>69.20999999999999</v>
      </c>
      <c r="W79" s="31" t="n">
        <v>28.32</v>
      </c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Cyclical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Volatile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IF(B80=0,"",RANK(B80,$B$2:$B$400,0))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OCCLLTD</t>
        </is>
      </c>
      <c r="D80" s="30" t="inlineStr">
        <is>
          <t>OCCL Ltd</t>
        </is>
      </c>
      <c r="E80" s="30" t="inlineStr">
        <is>
          <t>chemicals</t>
        </is>
      </c>
      <c r="F80" s="30" t="inlineStr">
        <is>
          <t>chemicals</t>
        </is>
      </c>
      <c r="G80" s="30" t="inlineStr">
        <is>
          <t>smallcap</t>
        </is>
      </c>
      <c r="H80" s="31" t="n">
        <v>649.46</v>
      </c>
      <c r="I80" s="31" t="n">
        <v>128.21</v>
      </c>
      <c r="J80" s="31" t="n">
        <v>-1.39</v>
      </c>
      <c r="K80" s="31" t="n">
        <v>25901</v>
      </c>
      <c r="L80" s="30" t="n">
        <v>54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68.05</v>
      </c>
      <c r="P80" s="31" t="n">
        <v>23.33</v>
      </c>
      <c r="Q80" s="31" t="n">
        <v>90.62</v>
      </c>
      <c r="R80" s="30" t="inlineStr">
        <is>
          <t>Earnings / Momentum Support</t>
        </is>
      </c>
      <c r="S80" s="30" t="inlineStr">
        <is>
          <t>Nifty 50</t>
        </is>
      </c>
      <c r="T80" s="31" t="n">
        <v>-3.76</v>
      </c>
      <c r="U80" s="31" t="n">
        <v>8.449999999999999</v>
      </c>
      <c r="V80" s="31" t="n">
        <v>12.69</v>
      </c>
      <c r="W80" s="31" t="n">
        <v>13.92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IF(B81=0,"",RANK(B81,$B$2:$B$400,0))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UNIPARTS</t>
        </is>
      </c>
      <c r="D81" s="30" t="inlineStr">
        <is>
          <t>Uniparts India Ltd</t>
        </is>
      </c>
      <c r="E81" s="30" t="inlineStr">
        <is>
          <t>industrials</t>
        </is>
      </c>
      <c r="F81" s="30" t="inlineStr">
        <is>
          <t>engineering</t>
        </is>
      </c>
      <c r="G81" s="30" t="inlineStr">
        <is>
          <t>smallcap</t>
        </is>
      </c>
      <c r="H81" s="31" t="n">
        <v>3015.11</v>
      </c>
      <c r="I81" s="31" t="n">
        <v>652.9</v>
      </c>
      <c r="J81" s="31" t="n">
        <v>-2.25</v>
      </c>
      <c r="K81" s="31" t="n">
        <v>108068</v>
      </c>
      <c r="L81" s="30" t="n">
        <v>78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72.26000000000001</v>
      </c>
      <c r="P81" s="31" t="n">
        <v>37.9</v>
      </c>
      <c r="Q81" s="31" t="n">
        <v>515.5700000000001</v>
      </c>
      <c r="R81" s="30" t="inlineStr">
        <is>
          <t>Near 52W High Breakout</t>
        </is>
      </c>
      <c r="S81" s="30" t="inlineStr">
        <is>
          <t>Nifty 50</t>
        </is>
      </c>
      <c r="T81" s="31" t="n">
        <v>-3.76</v>
      </c>
      <c r="U81" s="31" t="n">
        <v>89.61</v>
      </c>
      <c r="V81" s="31" t="n">
        <v>97.02</v>
      </c>
      <c r="W81" s="31" t="n">
        <v>23.52</v>
      </c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IF(B82=0,"",RANK(B82,$B$2:$B$400,0))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GOLDIAM</t>
        </is>
      </c>
      <c r="D82" s="30" t="inlineStr">
        <is>
          <t>Goldiam International Limited</t>
        </is>
      </c>
      <c r="E82" s="30" t="inlineStr">
        <is>
          <t>consumer discretionary</t>
        </is>
      </c>
      <c r="F82" s="30" t="inlineStr">
        <is>
          <t>diamond cutting / jewellery</t>
        </is>
      </c>
      <c r="G82" s="30" t="inlineStr">
        <is>
          <t>midcap</t>
        </is>
      </c>
      <c r="H82" s="31" t="n">
        <v>5645.89</v>
      </c>
      <c r="I82" s="31" t="n">
        <v>479.7</v>
      </c>
      <c r="J82" s="31" t="n">
        <v>-4.06</v>
      </c>
      <c r="K82" s="31" t="n">
        <v>1081001</v>
      </c>
      <c r="L82" s="30" t="n">
        <v>76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65.08</v>
      </c>
      <c r="P82" s="31" t="n">
        <v>28.74</v>
      </c>
      <c r="Q82" s="31" t="n">
        <v>343.37</v>
      </c>
      <c r="R82" s="30" t="inlineStr">
        <is>
          <t>Near 52W High Breakout</t>
        </is>
      </c>
      <c r="S82" s="30" t="inlineStr">
        <is>
          <t>Nifty 50</t>
        </is>
      </c>
      <c r="T82" s="31" t="n">
        <v>-3.76</v>
      </c>
      <c r="U82" s="31" t="n">
        <v>39.64</v>
      </c>
      <c r="V82" s="31" t="n">
        <v>45.1</v>
      </c>
      <c r="W82" s="31" t="n">
        <v>22.52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Less than 50%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IF(B83=0,"",RANK(B83,$B$2:$B$400,0))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RAIN</t>
        </is>
      </c>
      <c r="D83" s="30" t="inlineStr">
        <is>
          <t>Rain Industries Limited</t>
        </is>
      </c>
      <c r="E83" s="30" t="inlineStr">
        <is>
          <t>miscellaneous</t>
        </is>
      </c>
      <c r="F83" s="30" t="inlineStr">
        <is>
          <t>miscellaneous</t>
        </is>
      </c>
      <c r="G83" s="30" t="inlineStr">
        <is>
          <t>midcap</t>
        </is>
      </c>
      <c r="H83" s="31" t="n">
        <v>6635.09</v>
      </c>
      <c r="I83" s="31" t="n">
        <v>189.15</v>
      </c>
      <c r="J83" s="31" t="n">
        <v>-4.12</v>
      </c>
      <c r="K83" s="31" t="n">
        <v>4350364</v>
      </c>
      <c r="L83" s="30" t="n">
        <v>80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67.68000000000001</v>
      </c>
      <c r="P83" s="31" t="n">
        <v>25.42</v>
      </c>
      <c r="Q83" s="31" t="n">
        <v>144.48</v>
      </c>
      <c r="R83" s="30" t="inlineStr">
        <is>
          <t>Near 52W High Breakout</t>
        </is>
      </c>
      <c r="S83" s="30" t="inlineStr">
        <is>
          <t>Nifty 50</t>
        </is>
      </c>
      <c r="T83" s="31" t="n">
        <v>-3.76</v>
      </c>
      <c r="U83" s="31" t="n">
        <v>34.53</v>
      </c>
      <c r="V83" s="31" t="n">
        <v>39.79</v>
      </c>
      <c r="W83" s="31" t="n">
        <v>24.64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Less than 1.5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More than 1.2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IF(B84=0,"",RANK(B84,$B$2:$B$400,0))</f>
        <v/>
      </c>
      <c r="B84" s="31">
        <f>SUM(N84,Y84,AA84,AC84,AE84,AG84,AI84,AK84,AM84,AO84,AQ84,AS84,AU84,AW84,AY84,BA84,BC84,BE84,BG84,BI84,BK84,BM84,BO84,BQ84,BS84,BU84,BW84,BY84,CA84,CC84,CE84)</f>
        <v/>
      </c>
      <c r="C84" s="32" t="inlineStr">
        <is>
          <t>SANOFICONR</t>
        </is>
      </c>
      <c r="D84" s="32" t="inlineStr">
        <is>
          <t>Sanofi Consumer Healthcare India Ltd</t>
        </is>
      </c>
      <c r="E84" s="30" t="inlineStr">
        <is>
          <t>healthcare</t>
        </is>
      </c>
      <c r="F84" s="30" t="inlineStr">
        <is>
          <t>pharmaceuticals - multinational</t>
        </is>
      </c>
      <c r="G84" s="30" t="inlineStr">
        <is>
          <t>midcap</t>
        </is>
      </c>
      <c r="H84" s="31" t="n">
        <v>10947.15</v>
      </c>
      <c r="I84" s="31" t="n">
        <v>4948.6</v>
      </c>
      <c r="J84" s="31" t="n">
        <v>4.11</v>
      </c>
      <c r="K84" s="31" t="n">
        <v>77499</v>
      </c>
      <c r="L84" s="30" t="n">
        <v>7</v>
      </c>
      <c r="M84" s="30" t="inlineStr">
        <is>
          <t>Underperforming</t>
        </is>
      </c>
      <c r="N84" s="31">
        <f>IF(M84="Underperforming",-5,IF(L84&gt;=95,15,IF(L84&gt;=90,10,IF(L84&gt;=80,5,0))))</f>
        <v/>
      </c>
      <c r="O84" s="31" t="n">
        <v>58.34</v>
      </c>
      <c r="P84" s="31" t="n">
        <v>34.43</v>
      </c>
      <c r="Q84" s="31" t="n">
        <v>3927.01</v>
      </c>
      <c r="R84" s="30" t="inlineStr">
        <is>
          <t>Volume Spike / Accumulation</t>
        </is>
      </c>
      <c r="S84" s="30" t="inlineStr">
        <is>
          <t>Nifty Pharma</t>
        </is>
      </c>
      <c r="T84" s="31" t="n">
        <v>12.35</v>
      </c>
      <c r="U84" s="31" t="n">
        <v>-2.1</v>
      </c>
      <c r="V84" s="31" t="n">
        <v>-12.87</v>
      </c>
      <c r="W84" s="31" t="n">
        <v>3.28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Yes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Annuity, Lower One Time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IF(B85=0,"",RANK(B85,$B$2:$B$400,0))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SENORES</t>
        </is>
      </c>
      <c r="D85" s="30" t="inlineStr">
        <is>
          <t>Senores Pharmaceuticals Ltd</t>
        </is>
      </c>
      <c r="E85" s="30" t="inlineStr">
        <is>
          <t>healthcare</t>
        </is>
      </c>
      <c r="F85" s="30" t="inlineStr">
        <is>
          <t>pharmaceuticals - indian - formulations</t>
        </is>
      </c>
      <c r="G85" s="30" t="inlineStr">
        <is>
          <t>midcap</t>
        </is>
      </c>
      <c r="H85" s="31" t="n">
        <v>5847.88</v>
      </c>
      <c r="I85" s="31" t="n">
        <v>1315.4</v>
      </c>
      <c r="J85" s="31" t="n">
        <v>3.59</v>
      </c>
      <c r="K85" s="31" t="n">
        <v>620514</v>
      </c>
      <c r="L85" s="30" t="n">
        <v>92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78.23</v>
      </c>
      <c r="P85" s="31" t="n">
        <v>44.88</v>
      </c>
      <c r="Q85" s="31" t="n">
        <v>1015.12</v>
      </c>
      <c r="R85" s="30" t="inlineStr">
        <is>
          <t>Near 52W High Breakout</t>
        </is>
      </c>
      <c r="S85" s="30" t="inlineStr">
        <is>
          <t>Nifty Pharma</t>
        </is>
      </c>
      <c r="T85" s="31" t="n">
        <v>12.35</v>
      </c>
      <c r="U85" s="31" t="n">
        <v>152.89</v>
      </c>
      <c r="V85" s="31" t="n">
        <v>125.09</v>
      </c>
      <c r="W85" s="31" t="n">
        <v>38.68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Yes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Annuity, Lower One Time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Less than 50%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IF(B86=0,"",RANK(B86,$B$2:$B$400,0))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LUPIN</t>
        </is>
      </c>
      <c r="D86" s="30" t="inlineStr">
        <is>
          <t>Lupin Limited</t>
        </is>
      </c>
      <c r="E86" s="30" t="inlineStr">
        <is>
          <t>healthcare</t>
        </is>
      </c>
      <c r="F86" s="30" t="inlineStr">
        <is>
          <t>pharmaceuticals - indian - bulk drugs &amp; formln</t>
        </is>
      </c>
      <c r="G86" s="30" t="inlineStr">
        <is>
          <t>largecap</t>
        </is>
      </c>
      <c r="H86" s="31" t="n">
        <v>103871.09</v>
      </c>
      <c r="I86" s="31" t="n">
        <v>2327.1</v>
      </c>
      <c r="J86" s="31" t="n">
        <v>2.43</v>
      </c>
      <c r="K86" s="31" t="n">
        <v>934007</v>
      </c>
      <c r="L86" s="30" t="n">
        <v>10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59.89</v>
      </c>
      <c r="P86" s="31" t="n">
        <v>12.07</v>
      </c>
      <c r="Q86" s="31" t="n">
        <v>2083</v>
      </c>
      <c r="R86" s="30" t="inlineStr">
        <is>
          <t>Near 52W High Breakout</t>
        </is>
      </c>
      <c r="S86" s="30" t="inlineStr">
        <is>
          <t>Nifty Pharma</t>
        </is>
      </c>
      <c r="T86" s="31" t="n">
        <v>12.35</v>
      </c>
      <c r="U86" s="31" t="n">
        <v>20.2</v>
      </c>
      <c r="V86" s="31" t="n">
        <v>6.99</v>
      </c>
      <c r="W86" s="31" t="n">
        <v>3.85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Yes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Annuity, Lower One Time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0 to 20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IF(B87=0,"",RANK(B87,$B$2:$B$400,0))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NEULANDLAB</t>
        </is>
      </c>
      <c r="D87" s="30" t="inlineStr">
        <is>
          <t>Neuland Laboratories Limited</t>
        </is>
      </c>
      <c r="E87" s="30" t="inlineStr">
        <is>
          <t>healthcare</t>
        </is>
      </c>
      <c r="F87" s="30" t="inlineStr">
        <is>
          <t>pharmaceuticals - indian - bulk drugs</t>
        </is>
      </c>
      <c r="G87" s="30" t="inlineStr">
        <is>
          <t>largecap</t>
        </is>
      </c>
      <c r="H87" s="31" t="n">
        <v>21831.34</v>
      </c>
      <c r="I87" s="31" t="n">
        <v>17220</v>
      </c>
      <c r="J87" s="31" t="n">
        <v>1.2</v>
      </c>
      <c r="K87" s="31" t="n">
        <v>25881</v>
      </c>
      <c r="L87" s="30" t="n">
        <v>68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62.29</v>
      </c>
      <c r="P87" s="31" t="n">
        <v>32.41</v>
      </c>
      <c r="Q87" s="31" t="n">
        <v>13873.78</v>
      </c>
      <c r="R87" s="30" t="inlineStr">
        <is>
          <t>Near 52W High Breakout</t>
        </is>
      </c>
      <c r="S87" s="30" t="inlineStr">
        <is>
          <t>Nifty Pharma</t>
        </is>
      </c>
      <c r="T87" s="31" t="n">
        <v>12.35</v>
      </c>
      <c r="U87" s="31" t="n">
        <v>40.75</v>
      </c>
      <c r="V87" s="31" t="n">
        <v>25.27</v>
      </c>
      <c r="W87" s="31" t="n">
        <v>18.41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Yes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Annuity, Lower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IF(B88=0,"",RANK(B88,$B$2:$B$400,0))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CAPLIPOINT</t>
        </is>
      </c>
      <c r="D88" s="30" t="inlineStr">
        <is>
          <t>Caplin Point Laboratories Limited</t>
        </is>
      </c>
      <c r="E88" s="30" t="inlineStr">
        <is>
          <t>healthcare</t>
        </is>
      </c>
      <c r="F88" s="30" t="inlineStr">
        <is>
          <t>pharmaceuticals - indian - formulations</t>
        </is>
      </c>
      <c r="G88" s="30" t="inlineStr">
        <is>
          <t>midcap</t>
        </is>
      </c>
      <c r="H88" s="31" t="n">
        <v>17747.97</v>
      </c>
      <c r="I88" s="31" t="n">
        <v>2359.4</v>
      </c>
      <c r="J88" s="31" t="n">
        <v>1.05</v>
      </c>
      <c r="K88" s="31" t="n">
        <v>56125</v>
      </c>
      <c r="L88" s="30" t="n">
        <v>59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72.94</v>
      </c>
      <c r="P88" s="31" t="n">
        <v>25.58</v>
      </c>
      <c r="Q88" s="31" t="n">
        <v>1981.13</v>
      </c>
      <c r="R88" s="30" t="inlineStr">
        <is>
          <t>Near 52W High Breakout</t>
        </is>
      </c>
      <c r="S88" s="30" t="inlineStr">
        <is>
          <t>Nifty Pharma</t>
        </is>
      </c>
      <c r="T88" s="31" t="n">
        <v>12.35</v>
      </c>
      <c r="U88" s="31" t="n">
        <v>15.72</v>
      </c>
      <c r="V88" s="31" t="n">
        <v>3</v>
      </c>
      <c r="W88" s="31" t="n">
        <v>14.99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Yes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Between 12 to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Between 50% to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IF(B89=0,"",RANK(B89,$B$2:$B$400,0))</f>
        <v/>
      </c>
      <c r="B89" s="31">
        <f>SUM(N89,Y89,AA89,AC89,AE89,AG89,AI89,AK89,AM89,AO89,AQ89,AS89,AU89,AW89,AY89,BA89,BC89,BE89,BG89,BI89,BK89,BM89,BO89,BQ89,BS89,BU89,BW89,BY89,CA89,CC89,CE89)</f>
        <v/>
      </c>
      <c r="C89" s="32" t="inlineStr">
        <is>
          <t>PGHL</t>
        </is>
      </c>
      <c r="D89" s="32" t="inlineStr">
        <is>
          <t>Procter &amp; Gamble Health Ltd</t>
        </is>
      </c>
      <c r="E89" s="30" t="inlineStr">
        <is>
          <t>healthcare</t>
        </is>
      </c>
      <c r="F89" s="30" t="inlineStr">
        <is>
          <t>pharmaceuticals - multinational</t>
        </is>
      </c>
      <c r="G89" s="30" t="inlineStr">
        <is>
          <t>midcap</t>
        </is>
      </c>
      <c r="H89" s="31" t="n">
        <v>10373.78</v>
      </c>
      <c r="I89" s="31" t="n">
        <v>6310.5</v>
      </c>
      <c r="J89" s="31" t="n">
        <v>0.98</v>
      </c>
      <c r="K89" s="31" t="n">
        <v>8875</v>
      </c>
      <c r="L89" s="30" t="n">
        <v>36</v>
      </c>
      <c r="M89" s="30" t="inlineStr">
        <is>
          <t>Underperforming</t>
        </is>
      </c>
      <c r="N89" s="31">
        <f>IF(M89="Underperforming",-5,IF(L89&gt;=95,15,IF(L89&gt;=90,10,IF(L89&gt;=80,5,0))))</f>
        <v/>
      </c>
      <c r="O89" s="31" t="n">
        <v>75.69</v>
      </c>
      <c r="P89" s="31" t="n">
        <v>39.96</v>
      </c>
      <c r="Q89" s="31" t="n">
        <v>5372.51</v>
      </c>
      <c r="R89" s="30" t="inlineStr">
        <is>
          <t>Near 52W High Breakout</t>
        </is>
      </c>
      <c r="S89" s="30" t="inlineStr">
        <is>
          <t>Nifty Pharma</t>
        </is>
      </c>
      <c r="T89" s="31" t="n">
        <v>12.35</v>
      </c>
      <c r="U89" s="31" t="n">
        <v>10.83</v>
      </c>
      <c r="V89" s="31" t="n">
        <v>-1.35</v>
      </c>
      <c r="W89" s="31" t="n">
        <v>9.109999999999999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Yes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Annuity, Lower One Time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Above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IF(B90=0,"",RANK(B90,$B$2:$B$400,0))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VIJAYA</t>
        </is>
      </c>
      <c r="D90" s="30" t="inlineStr">
        <is>
          <t>Vijaya Diagnostic Centre Ltd</t>
        </is>
      </c>
      <c r="E90" s="30" t="inlineStr">
        <is>
          <t>healthcare</t>
        </is>
      </c>
      <c r="F90" s="30" t="inlineStr">
        <is>
          <t>healthcare</t>
        </is>
      </c>
      <c r="G90" s="30" t="inlineStr">
        <is>
          <t>midcap</t>
        </is>
      </c>
      <c r="H90" s="31" t="n">
        <v>13371.43</v>
      </c>
      <c r="I90" s="31" t="n">
        <v>1305.6</v>
      </c>
      <c r="J90" s="31" t="n">
        <v>0.47</v>
      </c>
      <c r="K90" s="31" t="n">
        <v>77484</v>
      </c>
      <c r="L90" s="30" t="n">
        <v>65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64.05</v>
      </c>
      <c r="P90" s="31" t="n">
        <v>34.88</v>
      </c>
      <c r="Q90" s="31" t="n">
        <v>1088.25</v>
      </c>
      <c r="R90" s="30" t="inlineStr">
        <is>
          <t>Near 52W High Breakout</t>
        </is>
      </c>
      <c r="S90" s="30" t="inlineStr">
        <is>
          <t>Nifty Pharma</t>
        </is>
      </c>
      <c r="T90" s="31" t="n">
        <v>12.35</v>
      </c>
      <c r="U90" s="31" t="n">
        <v>40.63</v>
      </c>
      <c r="V90" s="31" t="n">
        <v>25.17</v>
      </c>
      <c r="W90" s="31" t="n">
        <v>17.52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Annuity, Lower One Time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Blue sky scenario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IF(B91=0,"",RANK(B91,$B$2:$B$400,0))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THYROCARE</t>
        </is>
      </c>
      <c r="D91" s="30" t="inlineStr">
        <is>
          <t>Thyrocare Technologies Limited</t>
        </is>
      </c>
      <c r="E91" s="30" t="inlineStr">
        <is>
          <t>healthcare</t>
        </is>
      </c>
      <c r="F91" s="30" t="inlineStr">
        <is>
          <t>healthcare</t>
        </is>
      </c>
      <c r="G91" s="30" t="inlineStr">
        <is>
          <t>midcap</t>
        </is>
      </c>
      <c r="H91" s="31" t="n">
        <v>8491.469999999999</v>
      </c>
      <c r="I91" s="31" t="n">
        <v>534.4</v>
      </c>
      <c r="J91" s="31" t="n">
        <v>0.17</v>
      </c>
      <c r="K91" s="31" t="n">
        <v>475384</v>
      </c>
      <c r="L91" s="30" t="n">
        <v>78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69.67</v>
      </c>
      <c r="P91" s="31" t="n">
        <v>29.47</v>
      </c>
      <c r="Q91" s="31" t="n">
        <v>405.05</v>
      </c>
      <c r="R91" s="30" t="inlineStr">
        <is>
          <t>Near 52W High Breakout</t>
        </is>
      </c>
      <c r="S91" s="30" t="inlineStr">
        <is>
          <t>Nifty Pharma</t>
        </is>
      </c>
      <c r="T91" s="31" t="n">
        <v>12.35</v>
      </c>
      <c r="U91" s="31" t="n">
        <v>62.19</v>
      </c>
      <c r="V91" s="31" t="n">
        <v>44.36</v>
      </c>
      <c r="W91" s="31" t="n">
        <v>23.04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Yes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Annuity, Lower One Time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IF(B92=0,"",RANK(B92,$B$2:$B$400,0))</f>
        <v/>
      </c>
      <c r="B92" s="31">
        <f>SUM(N92,Y92,AA92,AC92,AE92,AG92,AI92,AK92,AM92,AO92,AQ92,AS92,AU92,AW92,AY92,BA92,BC92,BE92,BG92,BI92,BK92,BM92,BO92,BQ92,BS92,BU92,BW92,BY92,CA92,CC92,CE92)</f>
        <v/>
      </c>
      <c r="C92" s="32" t="inlineStr">
        <is>
          <t>INNOVACAP</t>
        </is>
      </c>
      <c r="D92" s="32" t="inlineStr">
        <is>
          <t>Innova Captab Ltd</t>
        </is>
      </c>
      <c r="E92" s="30" t="inlineStr">
        <is>
          <t>healthcare</t>
        </is>
      </c>
      <c r="F92" s="30" t="inlineStr">
        <is>
          <t>pharmaceuticals - indian - bulk drugs &amp; formln</t>
        </is>
      </c>
      <c r="G92" s="30" t="inlineStr">
        <is>
          <t>midcap</t>
        </is>
      </c>
      <c r="H92" s="31" t="n">
        <v>5349.96</v>
      </c>
      <c r="I92" s="31" t="n">
        <v>932.95</v>
      </c>
      <c r="J92" s="31" t="n">
        <v>-0.21</v>
      </c>
      <c r="K92" s="31" t="n">
        <v>44131</v>
      </c>
      <c r="L92" s="30" t="n">
        <v>43</v>
      </c>
      <c r="M92" s="30" t="inlineStr">
        <is>
          <t>Underperforming</t>
        </is>
      </c>
      <c r="N92" s="31">
        <f>IF(M92="Underperforming",-5,IF(L92&gt;=95,15,IF(L92&gt;=90,10,IF(L92&gt;=80,5,0))))</f>
        <v/>
      </c>
      <c r="O92" s="31" t="n">
        <v>69.70999999999999</v>
      </c>
      <c r="P92" s="31" t="n">
        <v>31.94</v>
      </c>
      <c r="Q92" s="31" t="n">
        <v>737.35</v>
      </c>
      <c r="R92" s="30" t="inlineStr">
        <is>
          <t>Near 52W High Breakout</t>
        </is>
      </c>
      <c r="S92" s="30" t="inlineStr">
        <is>
          <t>Nifty Pharma</t>
        </is>
      </c>
      <c r="T92" s="31" t="n">
        <v>12.35</v>
      </c>
      <c r="U92" s="31" t="n">
        <v>10.4</v>
      </c>
      <c r="V92" s="31" t="n">
        <v>-1.74</v>
      </c>
      <c r="W92" s="31" t="n">
        <v>11.02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Annuity, Lower One Time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Between 50% to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IF(B93=0,"",RANK(B93,$B$2:$B$400,0))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KEI</t>
        </is>
      </c>
      <c r="D93" s="30" t="inlineStr">
        <is>
          <t>Kei Industries Limited</t>
        </is>
      </c>
      <c r="E93" s="30" t="inlineStr">
        <is>
          <t>industrials</t>
        </is>
      </c>
      <c r="F93" s="30" t="inlineStr">
        <is>
          <t>cables - power</t>
        </is>
      </c>
      <c r="G93" s="30" t="inlineStr">
        <is>
          <t>largecap</t>
        </is>
      </c>
      <c r="H93" s="31" t="n">
        <v>53952.2</v>
      </c>
      <c r="I93" s="31" t="n">
        <v>5630.5</v>
      </c>
      <c r="J93" s="31" t="n">
        <v>-0.23</v>
      </c>
      <c r="K93" s="31" t="n">
        <v>243449</v>
      </c>
      <c r="L93" s="30" t="n">
        <v>65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71.08</v>
      </c>
      <c r="P93" s="31" t="n">
        <v>23.93</v>
      </c>
      <c r="Q93" s="31" t="n">
        <v>4565.25</v>
      </c>
      <c r="R93" s="30" t="inlineStr">
        <is>
          <t>Near 52W High Breakout</t>
        </is>
      </c>
      <c r="S93" s="30" t="inlineStr">
        <is>
          <t>Nifty Energy</t>
        </is>
      </c>
      <c r="T93" s="31" t="n">
        <v>13.64</v>
      </c>
      <c r="U93" s="31" t="n">
        <v>57.71</v>
      </c>
      <c r="V93" s="31" t="n">
        <v>38.77</v>
      </c>
      <c r="W93" s="31" t="n">
        <v>17.25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Fully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Yes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Yes, More Than 10%</t>
        </is>
      </c>
      <c r="CE93" s="30">
        <f>IF(CD93="Yes, more than 10%",-10,IF(CD93="No",10,0))</f>
        <v/>
      </c>
    </row>
    <row r="94">
      <c r="A94" s="30">
        <f>IF(B94=0,"",RANK(B94,$B$2:$B$400,0))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SHILPAMED</t>
        </is>
      </c>
      <c r="D94" s="30" t="inlineStr">
        <is>
          <t>Shilpa Medicare Limited</t>
        </is>
      </c>
      <c r="E94" s="30" t="inlineStr">
        <is>
          <t>healthcare</t>
        </is>
      </c>
      <c r="F94" s="30" t="inlineStr">
        <is>
          <t>pharmaceuticals - indian - formulations</t>
        </is>
      </c>
      <c r="G94" s="30" t="inlineStr">
        <is>
          <t>midcap</t>
        </is>
      </c>
      <c r="H94" s="31" t="n">
        <v>11195.1</v>
      </c>
      <c r="I94" s="31" t="n">
        <v>545.6</v>
      </c>
      <c r="J94" s="31" t="n">
        <v>-4.68</v>
      </c>
      <c r="K94" s="31" t="n">
        <v>1718831</v>
      </c>
      <c r="L94" s="30" t="n">
        <v>75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79.13</v>
      </c>
      <c r="P94" s="31" t="n">
        <v>49.81</v>
      </c>
      <c r="Q94" s="31" t="n">
        <v>418.76</v>
      </c>
      <c r="R94" s="30" t="inlineStr">
        <is>
          <t>Near 52W High Breakout</t>
        </is>
      </c>
      <c r="S94" s="30" t="inlineStr">
        <is>
          <t>Nifty Pharma</t>
        </is>
      </c>
      <c r="T94" s="31" t="n">
        <v>12.35</v>
      </c>
      <c r="U94" s="31" t="n">
        <v>24.09</v>
      </c>
      <c r="V94" s="31" t="n">
        <v>10.45</v>
      </c>
      <c r="W94" s="31" t="n">
        <v>21.93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Yes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Annuity, Lower One Time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Above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Yes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IF(B95=0,"",RANK(B95,$B$2:$B$400,0))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ASTRAMICRO</t>
        </is>
      </c>
      <c r="D95" s="30" t="inlineStr">
        <is>
          <t>Astra Microwave Products Limited</t>
        </is>
      </c>
      <c r="E95" s="30" t="inlineStr">
        <is>
          <t>aerospace &amp; defence</t>
        </is>
      </c>
      <c r="F95" s="30" t="inlineStr">
        <is>
          <t>telecommunications - equipment</t>
        </is>
      </c>
      <c r="G95" s="30" t="inlineStr">
        <is>
          <t>midcap</t>
        </is>
      </c>
      <c r="H95" s="31" t="n">
        <v>14948.14</v>
      </c>
      <c r="I95" s="31" t="n">
        <v>1670</v>
      </c>
      <c r="J95" s="31" t="n">
        <v>6.07</v>
      </c>
      <c r="K95" s="31" t="n">
        <v>3308242</v>
      </c>
      <c r="L95" s="30" t="n">
        <v>88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82.36</v>
      </c>
      <c r="P95" s="31" t="n">
        <v>33.08</v>
      </c>
      <c r="Q95" s="31" t="n">
        <v>1318.64</v>
      </c>
      <c r="R95" s="30" t="inlineStr">
        <is>
          <t>Volume Spike &amp; Near 52W High Breakout</t>
        </is>
      </c>
      <c r="S95" s="30" t="inlineStr">
        <is>
          <t>Nifty 50</t>
        </is>
      </c>
      <c r="T95" s="31" t="n">
        <v>-3.76</v>
      </c>
      <c r="U95" s="31" t="n">
        <v>51.05</v>
      </c>
      <c r="V95" s="31" t="n">
        <v>56.95</v>
      </c>
      <c r="W95" s="31" t="n">
        <v>31.16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Oligopoly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Yes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20 to 40</t>
        </is>
      </c>
      <c r="AY95" s="30">
        <f>IF(AX95="Above 40",20,IF(AX95="20 to 40",10,IF(AX95="0 to 20",-5,0)))</f>
        <v/>
      </c>
      <c r="AZ95" s="30" t="inlineStr">
        <is>
          <t>Above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Between 1.5 to 2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IF(B96=0,"",RANK(B96,$B$2:$B$400,0))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RRKABEL</t>
        </is>
      </c>
      <c r="D96" s="30" t="inlineStr">
        <is>
          <t>R R Kabel Ltd</t>
        </is>
      </c>
      <c r="E96" s="30" t="inlineStr">
        <is>
          <t>industrials</t>
        </is>
      </c>
      <c r="F96" s="30" t="inlineStr">
        <is>
          <t>cables - power</t>
        </is>
      </c>
      <c r="G96" s="30" t="inlineStr">
        <is>
          <t>largecap</t>
        </is>
      </c>
      <c r="H96" s="31" t="n">
        <v>24994.05</v>
      </c>
      <c r="I96" s="31" t="n">
        <v>2296.2</v>
      </c>
      <c r="J96" s="31" t="n">
        <v>3.91</v>
      </c>
      <c r="K96" s="31" t="n">
        <v>1681174</v>
      </c>
      <c r="L96" s="30" t="n">
        <v>84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77.61</v>
      </c>
      <c r="P96" s="31" t="n">
        <v>40.35</v>
      </c>
      <c r="Q96" s="31" t="n">
        <v>1821.34</v>
      </c>
      <c r="R96" s="30" t="inlineStr">
        <is>
          <t>Near 52W High Breakout</t>
        </is>
      </c>
      <c r="S96" s="30" t="inlineStr">
        <is>
          <t>Nifty Energy</t>
        </is>
      </c>
      <c r="T96" s="31" t="n">
        <v>13.64</v>
      </c>
      <c r="U96" s="31" t="n">
        <v>75.67</v>
      </c>
      <c r="V96" s="31" t="n">
        <v>54.58</v>
      </c>
      <c r="W96" s="31" t="n">
        <v>27.76</v>
      </c>
      <c r="X96" s="30" t="inlineStr">
        <is>
          <t>Cyclical in an Upturn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One Time, Lower Annuity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Above 40</t>
        </is>
      </c>
      <c r="AY96" s="30">
        <f>IF(AX96="Above 40",20,IF(AX96="20 to 40",10,IF(AX96="0 to 20",-5,0)))</f>
        <v/>
      </c>
      <c r="AZ96" s="30" t="inlineStr">
        <is>
          <t>Above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Blue sky scenario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Yes</t>
        </is>
      </c>
      <c r="BS96" s="30">
        <f>IF(BR96="NO",5,0)</f>
        <v/>
      </c>
      <c r="BT96" s="30" t="inlineStr">
        <is>
          <t>Between 1.5 to 2</t>
        </is>
      </c>
      <c r="BU96" s="30">
        <f>IF(BT96="Above 2",0,IF(BT96="Between 1.5 to 2",5,IF(BT96="Less than 1.5",10,0)))</f>
        <v/>
      </c>
      <c r="BV96" s="30" t="inlineStr">
        <is>
          <t>Less than 50%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IF(B97=0,"",RANK(B97,$B$2:$B$400,0))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SANGAMIND</t>
        </is>
      </c>
      <c r="D97" s="30" t="inlineStr">
        <is>
          <t>Sangam (india) Limited</t>
        </is>
      </c>
      <c r="E97" s="30" t="inlineStr">
        <is>
          <t>textiles</t>
        </is>
      </c>
      <c r="F97" s="30" t="inlineStr">
        <is>
          <t>textiles - spinning - synthetic / blended</t>
        </is>
      </c>
      <c r="G97" s="30" t="inlineStr">
        <is>
          <t>smallcap</t>
        </is>
      </c>
      <c r="H97" s="31" t="n">
        <v>2636.19</v>
      </c>
      <c r="I97" s="31" t="n">
        <v>540.75</v>
      </c>
      <c r="J97" s="31" t="n">
        <v>3.07</v>
      </c>
      <c r="K97" s="31" t="n">
        <v>34933</v>
      </c>
      <c r="L97" s="30" t="n">
        <v>39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65.98999999999999</v>
      </c>
      <c r="P97" s="31" t="n">
        <v>31.63</v>
      </c>
      <c r="Q97" s="31" t="n">
        <v>421.35</v>
      </c>
      <c r="R97" s="30" t="inlineStr">
        <is>
          <t>Near 52W High Breakout</t>
        </is>
      </c>
      <c r="S97" s="30" t="inlineStr">
        <is>
          <t>Nifty 50</t>
        </is>
      </c>
      <c r="T97" s="31" t="n">
        <v>-3.76</v>
      </c>
      <c r="U97" s="31" t="n">
        <v>25.35</v>
      </c>
      <c r="V97" s="31" t="n">
        <v>30.25</v>
      </c>
      <c r="W97" s="31" t="n">
        <v>9.859999999999999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One Time, Lower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20 to 40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No</t>
        </is>
      </c>
      <c r="BS97" s="30">
        <f>IF(BR97="NO",5,0)</f>
        <v/>
      </c>
      <c r="BT97" s="30" t="inlineStr">
        <is>
          <t>Above 2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Between 0.7 to 1.2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IF(B98=0,"",RANK(B98,$B$2:$B$400,0))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SHRIPISTON</t>
        </is>
      </c>
      <c r="D98" s="30" t="inlineStr">
        <is>
          <t>Shriram Pistons &amp; Rings Limited</t>
        </is>
      </c>
      <c r="E98" s="30" t="inlineStr">
        <is>
          <t>auto</t>
        </is>
      </c>
      <c r="F98" s="30" t="inlineStr">
        <is>
          <t>auto ancillaries</t>
        </is>
      </c>
      <c r="G98" s="30" t="inlineStr">
        <is>
          <t>midcap</t>
        </is>
      </c>
      <c r="H98" s="31" t="n">
        <v>16316.05</v>
      </c>
      <c r="I98" s="31" t="n">
        <v>3807.2</v>
      </c>
      <c r="J98" s="31" t="n">
        <v>2.79</v>
      </c>
      <c r="K98" s="31" t="n">
        <v>130749</v>
      </c>
      <c r="L98" s="30" t="n">
        <v>59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64.36</v>
      </c>
      <c r="P98" s="31" t="n">
        <v>29</v>
      </c>
      <c r="Q98" s="31" t="n">
        <v>2968.13</v>
      </c>
      <c r="R98" s="30" t="inlineStr">
        <is>
          <t>Near 52W High Breakout</t>
        </is>
      </c>
      <c r="S98" s="30" t="inlineStr">
        <is>
          <t>Nifty Auto</t>
        </is>
      </c>
      <c r="T98" s="31" t="n">
        <v>12.95</v>
      </c>
      <c r="U98" s="31" t="n">
        <v>61.97</v>
      </c>
      <c r="V98" s="31" t="n">
        <v>43.4</v>
      </c>
      <c r="W98" s="31" t="n">
        <v>14.85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One Time, Lower Annuity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20 to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Less than 12%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No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IF(B99=0,"",RANK(B99,$B$2:$B$400,0))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ARVIND</t>
        </is>
      </c>
      <c r="D99" s="30" t="inlineStr">
        <is>
          <t>Arvind Limited</t>
        </is>
      </c>
      <c r="E99" s="30" t="inlineStr">
        <is>
          <t>textiles</t>
        </is>
      </c>
      <c r="F99" s="30" t="inlineStr">
        <is>
          <t>textiles - cotton/blended</t>
        </is>
      </c>
      <c r="G99" s="30" t="inlineStr">
        <is>
          <t>midcap</t>
        </is>
      </c>
      <c r="H99" s="31" t="n">
        <v>13053.31</v>
      </c>
      <c r="I99" s="31" t="n">
        <v>510.65</v>
      </c>
      <c r="J99" s="31" t="n">
        <v>2.54</v>
      </c>
      <c r="K99" s="31" t="n">
        <v>909110</v>
      </c>
      <c r="L99" s="30" t="n">
        <v>66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78.3</v>
      </c>
      <c r="P99" s="31" t="n">
        <v>41.88</v>
      </c>
      <c r="Q99" s="31" t="n">
        <v>410.83</v>
      </c>
      <c r="R99" s="30" t="inlineStr">
        <is>
          <t>Near 52W High Breakout</t>
        </is>
      </c>
      <c r="S99" s="30" t="inlineStr">
        <is>
          <t>Nifty 50</t>
        </is>
      </c>
      <c r="T99" s="31" t="n">
        <v>-3.76</v>
      </c>
      <c r="U99" s="31" t="n">
        <v>47.65</v>
      </c>
      <c r="V99" s="31" t="n">
        <v>53.42</v>
      </c>
      <c r="W99" s="31" t="n">
        <v>17.82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Above 40</t>
        </is>
      </c>
      <c r="AY99" s="30">
        <f>IF(AX99="Above 40",20,IF(AX99="20 to 40",10,IF(AX99="0 to 20",-5,0)))</f>
        <v/>
      </c>
      <c r="AZ99" s="30" t="inlineStr">
        <is>
          <t>Above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Blue sky scenario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Less than 12%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Above 2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IF(B100=0,"",RANK(B100,$B$2:$B$400,0))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GRINDWELL</t>
        </is>
      </c>
      <c r="D100" s="30" t="inlineStr">
        <is>
          <t>Grindwell Norton Limited</t>
        </is>
      </c>
      <c r="E100" s="30" t="inlineStr">
        <is>
          <t>industrials</t>
        </is>
      </c>
      <c r="F100" s="30" t="inlineStr">
        <is>
          <t>abrasives and grinding wheels</t>
        </is>
      </c>
      <c r="G100" s="30" t="inlineStr">
        <is>
          <t>largecap</t>
        </is>
      </c>
      <c r="H100" s="31" t="n">
        <v>22756.28</v>
      </c>
      <c r="I100" s="31" t="n">
        <v>2105.5</v>
      </c>
      <c r="J100" s="31" t="n">
        <v>2.44</v>
      </c>
      <c r="K100" s="31" t="n">
        <v>69681</v>
      </c>
      <c r="L100" s="30" t="n">
        <v>64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70.2</v>
      </c>
      <c r="P100" s="31" t="n">
        <v>30.51</v>
      </c>
      <c r="Q100" s="31" t="n">
        <v>1718.55</v>
      </c>
      <c r="R100" s="30" t="inlineStr">
        <is>
          <t>Near 52W High Breakout</t>
        </is>
      </c>
      <c r="S100" s="30" t="inlineStr">
        <is>
          <t>Nifty 50</t>
        </is>
      </c>
      <c r="T100" s="31" t="n">
        <v>-3.76</v>
      </c>
      <c r="U100" s="31" t="n">
        <v>28.49</v>
      </c>
      <c r="V100" s="31" t="n">
        <v>33.51</v>
      </c>
      <c r="W100" s="31" t="n">
        <v>17.09</v>
      </c>
      <c r="X100" s="30" t="inlineStr">
        <is>
          <t>Cyclical in an Upturn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20 to 40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Close to 52 week high or retracement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Between 1.5 to 2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IF(B101=0,"",RANK(B101,$B$2:$B$400,0))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GRWRHITECH</t>
        </is>
      </c>
      <c r="D101" s="30" t="inlineStr">
        <is>
          <t>Garware Hi Tech Films Ltd</t>
        </is>
      </c>
      <c r="E101" s="30" t="inlineStr">
        <is>
          <t>industrials</t>
        </is>
      </c>
      <c r="F101" s="30" t="inlineStr">
        <is>
          <t>packaging</t>
        </is>
      </c>
      <c r="G101" s="30" t="inlineStr">
        <is>
          <t>midcap</t>
        </is>
      </c>
      <c r="H101" s="31" t="n">
        <v>15067.37</v>
      </c>
      <c r="I101" s="31" t="n">
        <v>6575</v>
      </c>
      <c r="J101" s="31" t="n">
        <v>1.38</v>
      </c>
      <c r="K101" s="31" t="n">
        <v>86159</v>
      </c>
      <c r="L101" s="30" t="n">
        <v>87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76.81999999999999</v>
      </c>
      <c r="P101" s="31" t="n">
        <v>30.81</v>
      </c>
      <c r="Q101" s="31" t="n">
        <v>4939.87</v>
      </c>
      <c r="R101" s="30" t="inlineStr">
        <is>
          <t>Near 52W High Breakout</t>
        </is>
      </c>
      <c r="S101" s="30" t="inlineStr">
        <is>
          <t>Nifty 50</t>
        </is>
      </c>
      <c r="T101" s="31" t="n">
        <v>-3.76</v>
      </c>
      <c r="U101" s="31" t="n">
        <v>63.79</v>
      </c>
      <c r="V101" s="31" t="n">
        <v>70.19</v>
      </c>
      <c r="W101" s="31" t="n">
        <v>30.5</v>
      </c>
      <c r="X101" s="30" t="inlineStr">
        <is>
          <t>Cyclical in an Upturn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20 to 40</t>
        </is>
      </c>
      <c r="AY101" s="30">
        <f>IF(AX101="Above 40",20,IF(AX101="20 to 40",10,IF(AX101="0 to 20",-5,0)))</f>
        <v/>
      </c>
      <c r="AZ101" s="30" t="inlineStr">
        <is>
          <t>Above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Yes</t>
        </is>
      </c>
      <c r="BS101" s="30">
        <f>IF(BR101="NO",5,0)</f>
        <v/>
      </c>
      <c r="BT101" s="30" t="inlineStr">
        <is>
          <t>Less than 1.5</t>
        </is>
      </c>
      <c r="BU101" s="30">
        <f>IF(BT101="Above 2",0,IF(BT101="Between 1.5 to 2",5,IF(BT101="Less than 1.5",10,0)))</f>
        <v/>
      </c>
      <c r="BV101" s="30" t="inlineStr">
        <is>
          <t>Between 50% to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IF(B102=0,"",RANK(B102,$B$2:$B$400,0))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SANDHAR</t>
        </is>
      </c>
      <c r="D102" s="30" t="inlineStr">
        <is>
          <t>Sandhar Technologies Limited</t>
        </is>
      </c>
      <c r="E102" s="30" t="inlineStr">
        <is>
          <t>auto</t>
        </is>
      </c>
      <c r="F102" s="30" t="inlineStr">
        <is>
          <t>auto ancillaries</t>
        </is>
      </c>
      <c r="G102" s="30" t="inlineStr">
        <is>
          <t>smallcap</t>
        </is>
      </c>
      <c r="H102" s="31" t="n">
        <v>4131.79</v>
      </c>
      <c r="I102" s="31" t="n">
        <v>694.6</v>
      </c>
      <c r="J102" s="31" t="n">
        <v>1.19</v>
      </c>
      <c r="K102" s="31" t="n">
        <v>151706</v>
      </c>
      <c r="L102" s="30" t="n">
        <v>63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68.77</v>
      </c>
      <c r="P102" s="31" t="n">
        <v>23.42</v>
      </c>
      <c r="Q102" s="31" t="n">
        <v>530.48</v>
      </c>
      <c r="R102" s="30" t="inlineStr">
        <is>
          <t>Near 52W High Breakout</t>
        </is>
      </c>
      <c r="S102" s="30" t="inlineStr">
        <is>
          <t>Nifty Auto</t>
        </is>
      </c>
      <c r="T102" s="31" t="n">
        <v>12.95</v>
      </c>
      <c r="U102" s="31" t="n">
        <v>26.41</v>
      </c>
      <c r="V102" s="31" t="n">
        <v>11.92</v>
      </c>
      <c r="W102" s="31" t="n">
        <v>16.3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20 to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Blue sky scenario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No</t>
        </is>
      </c>
      <c r="BS102" s="30">
        <f>IF(BR102="NO",5,0)</f>
        <v/>
      </c>
      <c r="BT102" s="30" t="inlineStr">
        <is>
          <t>Less than 1.5</t>
        </is>
      </c>
      <c r="BU102" s="30">
        <f>IF(BT102="Above 2",0,IF(BT102="Between 1.5 to 2",5,IF(BT102="Less than 1.5",10,0)))</f>
        <v/>
      </c>
      <c r="BV102" s="30" t="inlineStr">
        <is>
          <t>Less than 50%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Between 0.7 to 1.2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IF(B103=0,"",RANK(B103,$B$2:$B$400,0))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WSTCSTPAPR</t>
        </is>
      </c>
      <c r="D103" s="30" t="inlineStr">
        <is>
          <t>West Coast Paper Mills Limited</t>
        </is>
      </c>
      <c r="E103" s="30" t="inlineStr">
        <is>
          <t>building materials</t>
        </is>
      </c>
      <c r="F103" s="30" t="inlineStr">
        <is>
          <t>paper</t>
        </is>
      </c>
      <c r="G103" s="30" t="inlineStr">
        <is>
          <t>smallcap</t>
        </is>
      </c>
      <c r="H103" s="31" t="n">
        <v>3405.48</v>
      </c>
      <c r="I103" s="31" t="n">
        <v>520.85</v>
      </c>
      <c r="J103" s="31" t="n">
        <v>1.02</v>
      </c>
      <c r="K103" s="31" t="n">
        <v>72315</v>
      </c>
      <c r="L103" s="30" t="n">
        <v>17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60.48</v>
      </c>
      <c r="P103" s="31" t="n">
        <v>29.26</v>
      </c>
      <c r="Q103" s="31" t="n">
        <v>406.71</v>
      </c>
      <c r="R103" s="30" t="inlineStr">
        <is>
          <t>Earnings / Momentum Support</t>
        </is>
      </c>
      <c r="S103" s="30" t="inlineStr">
        <is>
          <t>Nifty Infra</t>
        </is>
      </c>
      <c r="T103" s="31" t="n">
        <v>4.04</v>
      </c>
      <c r="U103" s="31" t="n">
        <v>4.51</v>
      </c>
      <c r="V103" s="31" t="n">
        <v>0.45</v>
      </c>
      <c r="W103" s="31" t="n">
        <v>5.52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No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Close to 52 week high or retracement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Between 12 to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Less than 1.5</t>
        </is>
      </c>
      <c r="BU103" s="30">
        <f>IF(BT103="Above 2",0,IF(BT103="Between 1.5 to 2",5,IF(BT103="Less than 1.5",10,0)))</f>
        <v/>
      </c>
      <c r="BV103" s="30" t="inlineStr">
        <is>
          <t>Above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IF(B104=0,"",RANK(B104,$B$2:$B$400,0))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POWERINDIA</t>
        </is>
      </c>
      <c r="D104" s="30" t="inlineStr">
        <is>
          <t>Hitachi Energy India Ltd</t>
        </is>
      </c>
      <c r="E104" s="30" t="inlineStr">
        <is>
          <t>industrials</t>
        </is>
      </c>
      <c r="F104" s="30" t="inlineStr">
        <is>
          <t>electric equipment</t>
        </is>
      </c>
      <c r="G104" s="30" t="inlineStr">
        <is>
          <t>largecap</t>
        </is>
      </c>
      <c r="H104" s="31" t="n">
        <v>160237.65</v>
      </c>
      <c r="I104" s="31" t="n">
        <v>36300</v>
      </c>
      <c r="J104" s="31" t="n">
        <v>0.97</v>
      </c>
      <c r="K104" s="31" t="n">
        <v>127709</v>
      </c>
      <c r="L104" s="30" t="n">
        <v>81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68.84999999999999</v>
      </c>
      <c r="P104" s="31" t="n">
        <v>58.74</v>
      </c>
      <c r="Q104" s="31" t="n">
        <v>30512.94</v>
      </c>
      <c r="R104" s="30" t="inlineStr">
        <is>
          <t>Earnings / Momentum Support</t>
        </is>
      </c>
      <c r="S104" s="30" t="inlineStr">
        <is>
          <t>Nifty 50</t>
        </is>
      </c>
      <c r="T104" s="31" t="n">
        <v>-3.76</v>
      </c>
      <c r="U104" s="31" t="n">
        <v>94.34</v>
      </c>
      <c r="V104" s="31" t="n">
        <v>101.93</v>
      </c>
      <c r="W104" s="31" t="n">
        <v>24.87</v>
      </c>
      <c r="X104" s="30" t="inlineStr">
        <is>
          <t>Cyclical in an Upturn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No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Above 40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Close to 52 week high or retracement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Yes</t>
        </is>
      </c>
      <c r="BS104" s="30">
        <f>IF(BR104="NO",5,0)</f>
        <v/>
      </c>
      <c r="BT104" s="30" t="inlineStr">
        <is>
          <t>Above 2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IF(B105=0,"",RANK(B105,$B$2:$B$400,0))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AVALON</t>
        </is>
      </c>
      <c r="D105" s="30" t="inlineStr">
        <is>
          <t>Avalon Technologies Ltd</t>
        </is>
      </c>
      <c r="E105" s="30" t="inlineStr">
        <is>
          <t>consumer discretionary</t>
        </is>
      </c>
      <c r="F105" s="30" t="inlineStr">
        <is>
          <t>electronics - components</t>
        </is>
      </c>
      <c r="G105" s="30" t="inlineStr">
        <is>
          <t>midcap</t>
        </is>
      </c>
      <c r="H105" s="31" t="n">
        <v>11626.66</v>
      </c>
      <c r="I105" s="31" t="n">
        <v>1755.3</v>
      </c>
      <c r="J105" s="31" t="n">
        <v>0.8</v>
      </c>
      <c r="K105" s="31" t="n">
        <v>182683</v>
      </c>
      <c r="L105" s="30" t="n">
        <v>91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77.87</v>
      </c>
      <c r="P105" s="31" t="n">
        <v>37.55</v>
      </c>
      <c r="Q105" s="31" t="n">
        <v>1305.17</v>
      </c>
      <c r="R105" s="30" t="inlineStr">
        <is>
          <t>Near 52W High Breakout</t>
        </is>
      </c>
      <c r="S105" s="30" t="inlineStr">
        <is>
          <t>Nifty 50</t>
        </is>
      </c>
      <c r="T105" s="31" t="n">
        <v>-3.76</v>
      </c>
      <c r="U105" s="31" t="n">
        <v>110.08</v>
      </c>
      <c r="V105" s="31" t="n">
        <v>118.29</v>
      </c>
      <c r="W105" s="31" t="n">
        <v>36.8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20 to 40</t>
        </is>
      </c>
      <c r="AY105" s="30">
        <f>IF(AX105="Above 40",20,IF(AX105="20 to 40",10,IF(AX105="0 to 20",-5,0)))</f>
        <v/>
      </c>
      <c r="AZ105" s="30" t="inlineStr">
        <is>
          <t>Above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Yes</t>
        </is>
      </c>
      <c r="BS105" s="30">
        <f>IF(BR105="NO",5,0)</f>
        <v/>
      </c>
      <c r="BT105" s="30" t="inlineStr">
        <is>
          <t>Between 1.5 to 2</t>
        </is>
      </c>
      <c r="BU105" s="30">
        <f>IF(BT105="Above 2",0,IF(BT105="Between 1.5 to 2",5,IF(BT105="Less than 1.5",10,0)))</f>
        <v/>
      </c>
      <c r="BV105" s="30" t="inlineStr">
        <is>
          <t>Less than 50%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IF(B106=0,"",RANK(B106,$B$2:$B$400,0))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ADANIPORTS</t>
        </is>
      </c>
      <c r="D106" s="30" t="inlineStr">
        <is>
          <t>Adani Ports And Special Economic Zone Limited</t>
        </is>
      </c>
      <c r="E106" s="30" t="inlineStr">
        <is>
          <t>transportation</t>
        </is>
      </c>
      <c r="F106" s="30" t="inlineStr">
        <is>
          <t>miscellaneous</t>
        </is>
      </c>
      <c r="G106" s="30" t="inlineStr">
        <is>
          <t>largecap</t>
        </is>
      </c>
      <c r="H106" s="31" t="n">
        <v>421301.96</v>
      </c>
      <c r="I106" s="31" t="n">
        <v>1842.1</v>
      </c>
      <c r="J106" s="31" t="n">
        <v>0.74</v>
      </c>
      <c r="K106" s="31" t="n">
        <v>1643528</v>
      </c>
      <c r="L106" s="30" t="n">
        <v>58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72.69</v>
      </c>
      <c r="P106" s="31" t="n">
        <v>28.24</v>
      </c>
      <c r="Q106" s="31" t="n">
        <v>1571.75</v>
      </c>
      <c r="R106" s="30" t="inlineStr">
        <is>
          <t>Near 52W High Breakout</t>
        </is>
      </c>
      <c r="S106" s="30" t="inlineStr">
        <is>
          <t>Nifty 50</t>
        </is>
      </c>
      <c r="T106" s="31" t="n">
        <v>-3.76</v>
      </c>
      <c r="U106" s="31" t="n">
        <v>37.1</v>
      </c>
      <c r="V106" s="31" t="n">
        <v>42.46</v>
      </c>
      <c r="W106" s="31" t="n">
        <v>14.57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20 to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Less than 12%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Above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IF(B107=0,"",RANK(B107,$B$2:$B$400,0))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CEMPRO</t>
        </is>
      </c>
      <c r="D107" s="30" t="inlineStr">
        <is>
          <t>Cemindia Projects Ltd</t>
        </is>
      </c>
      <c r="E107" s="30" t="inlineStr">
        <is>
          <t>realty</t>
        </is>
      </c>
      <c r="F107" s="30" t="inlineStr">
        <is>
          <t>construction</t>
        </is>
      </c>
      <c r="G107" s="30" t="inlineStr">
        <is>
          <t>largecap</t>
        </is>
      </c>
      <c r="H107" s="31" t="n">
        <v>20339.65</v>
      </c>
      <c r="I107" s="31" t="n">
        <v>1192.4</v>
      </c>
      <c r="J107" s="31" t="n">
        <v>0.71</v>
      </c>
      <c r="K107" s="31" t="n">
        <v>378741</v>
      </c>
      <c r="L107" s="30" t="n">
        <v>93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77.66</v>
      </c>
      <c r="P107" s="31" t="n">
        <v>39.36</v>
      </c>
      <c r="Q107" s="31" t="n">
        <v>897.5</v>
      </c>
      <c r="R107" s="30" t="inlineStr">
        <is>
          <t>Near 52W High Breakout</t>
        </is>
      </c>
      <c r="S107" s="30" t="inlineStr">
        <is>
          <t>Nifty Realty</t>
        </is>
      </c>
      <c r="T107" s="31" t="n">
        <v>-19.08</v>
      </c>
      <c r="U107" s="31" t="n">
        <v>48.71</v>
      </c>
      <c r="V107" s="31" t="n">
        <v>83.78</v>
      </c>
      <c r="W107" s="31" t="n">
        <v>42.04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20 to 40</t>
        </is>
      </c>
      <c r="AY107" s="30">
        <f>IF(AX107="Above 40",20,IF(AX107="20 to 40",10,IF(AX107="0 to 20",-5,0)))</f>
        <v/>
      </c>
      <c r="AZ107" s="30" t="inlineStr">
        <is>
          <t>Above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No</t>
        </is>
      </c>
      <c r="BS107" s="30">
        <f>IF(BR107="NO",5,0)</f>
        <v/>
      </c>
      <c r="BT107" s="30" t="inlineStr">
        <is>
          <t>Above 2</t>
        </is>
      </c>
      <c r="BU107" s="30">
        <f>IF(BT107="Above 2",0,IF(BT107="Between 1.5 to 2",5,IF(BT107="Less than 1.5",10,0)))</f>
        <v/>
      </c>
      <c r="BV107" s="30" t="inlineStr">
        <is>
          <t>Less than 50%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IF(B108=0,"",RANK(B108,$B$2:$B$400,0))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DIVGIITTS</t>
        </is>
      </c>
      <c r="D108" s="30" t="inlineStr">
        <is>
          <t>Divgi Torqtransfer Systems Ltd</t>
        </is>
      </c>
      <c r="E108" s="30" t="inlineStr">
        <is>
          <t>auto</t>
        </is>
      </c>
      <c r="F108" s="30" t="inlineStr">
        <is>
          <t>auto ancillaries</t>
        </is>
      </c>
      <c r="G108" s="30" t="inlineStr">
        <is>
          <t>smallcap</t>
        </is>
      </c>
      <c r="H108" s="31" t="n">
        <v>2583.8</v>
      </c>
      <c r="I108" s="31" t="n">
        <v>850.6</v>
      </c>
      <c r="J108" s="31" t="n">
        <v>0.68</v>
      </c>
      <c r="K108" s="31" t="n">
        <v>29684</v>
      </c>
      <c r="L108" s="30" t="n">
        <v>48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63.38</v>
      </c>
      <c r="P108" s="31" t="n">
        <v>28.55</v>
      </c>
      <c r="Q108" s="31" t="n">
        <v>624.59</v>
      </c>
      <c r="R108" s="30" t="inlineStr">
        <is>
          <t>Near 52W High Breakout</t>
        </is>
      </c>
      <c r="S108" s="30" t="inlineStr">
        <is>
          <t>Nifty Auto</t>
        </is>
      </c>
      <c r="T108" s="31" t="n">
        <v>12.95</v>
      </c>
      <c r="U108" s="31" t="n">
        <v>43.44</v>
      </c>
      <c r="V108" s="31" t="n">
        <v>26.99</v>
      </c>
      <c r="W108" s="31" t="n">
        <v>12.35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20 to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Yes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Between 50% to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IF(B109=0,"",RANK(B109,$B$2:$B$400,0))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ASIANPAINT</t>
        </is>
      </c>
      <c r="D109" s="30" t="inlineStr">
        <is>
          <t>Asian Paints Limited</t>
        </is>
      </c>
      <c r="E109" s="30" t="inlineStr">
        <is>
          <t>building materials</t>
        </is>
      </c>
      <c r="F109" s="30" t="inlineStr">
        <is>
          <t>paints / varnishes</t>
        </is>
      </c>
      <c r="G109" s="30" t="inlineStr">
        <is>
          <t>largecap</t>
        </is>
      </c>
      <c r="H109" s="31" t="n">
        <v>262628.35</v>
      </c>
      <c r="I109" s="31" t="n">
        <v>2755</v>
      </c>
      <c r="J109" s="31" t="n">
        <v>0.62</v>
      </c>
      <c r="K109" s="31" t="n">
        <v>600888</v>
      </c>
      <c r="L109" s="30" t="n">
        <v>40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63.82</v>
      </c>
      <c r="P109" s="31" t="n">
        <v>20.43</v>
      </c>
      <c r="Q109" s="31" t="n">
        <v>2337.29</v>
      </c>
      <c r="R109" s="30" t="inlineStr">
        <is>
          <t>Earnings / Momentum Support</t>
        </is>
      </c>
      <c r="S109" s="30" t="inlineStr">
        <is>
          <t>Nifty Infra</t>
        </is>
      </c>
      <c r="T109" s="31" t="n">
        <v>4.04</v>
      </c>
      <c r="U109" s="31" t="n">
        <v>20.72</v>
      </c>
      <c r="V109" s="31" t="n">
        <v>16.03</v>
      </c>
      <c r="W109" s="31" t="n">
        <v>10.19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No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Close to 52 week high or retracement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Less than 1.5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IF(B110=0,"",RANK(B110,$B$2:$B$400,0))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WELCORP</t>
        </is>
      </c>
      <c r="D110" s="30" t="inlineStr">
        <is>
          <t>Welspun Corp Limited</t>
        </is>
      </c>
      <c r="E110" s="30" t="inlineStr">
        <is>
          <t>industrials</t>
        </is>
      </c>
      <c r="F110" s="30" t="inlineStr">
        <is>
          <t>steel - large</t>
        </is>
      </c>
      <c r="G110" s="30" t="inlineStr">
        <is>
          <t>largecap</t>
        </is>
      </c>
      <c r="H110" s="31" t="n">
        <v>36780.33</v>
      </c>
      <c r="I110" s="31" t="n">
        <v>1397.4</v>
      </c>
      <c r="J110" s="31" t="n">
        <v>0.22</v>
      </c>
      <c r="K110" s="31" t="n">
        <v>284832</v>
      </c>
      <c r="L110" s="30" t="n">
        <v>83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81.41</v>
      </c>
      <c r="P110" s="31" t="n">
        <v>52.9</v>
      </c>
      <c r="Q110" s="31" t="n">
        <v>1148.41</v>
      </c>
      <c r="R110" s="30" t="inlineStr">
        <is>
          <t>Near 52W High Breakout</t>
        </is>
      </c>
      <c r="S110" s="30" t="inlineStr">
        <is>
          <t>Nifty Metal</t>
        </is>
      </c>
      <c r="T110" s="31" t="n">
        <v>42.37</v>
      </c>
      <c r="U110" s="31" t="n">
        <v>53.53</v>
      </c>
      <c r="V110" s="31" t="n">
        <v>7.84</v>
      </c>
      <c r="W110" s="31" t="n">
        <v>27.28</v>
      </c>
      <c r="X110" s="30" t="inlineStr">
        <is>
          <t>Cyclical in an Upturn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Above 40</t>
        </is>
      </c>
      <c r="AY110" s="30">
        <f>IF(AX110="Above 40",20,IF(AX110="20 to 40",10,IF(AX110="0 to 20",-5,0)))</f>
        <v/>
      </c>
      <c r="AZ110" s="30" t="inlineStr">
        <is>
          <t>Above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Blue sky scenario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Less than 12%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No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IF(B111=0,"",RANK(B111,$B$2:$B$400,0))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NRBBEARING</t>
        </is>
      </c>
      <c r="D111" s="30" t="inlineStr">
        <is>
          <t>Nrb Bearing Limited</t>
        </is>
      </c>
      <c r="E111" s="30" t="inlineStr">
        <is>
          <t>industrials</t>
        </is>
      </c>
      <c r="F111" s="30" t="inlineStr">
        <is>
          <t>bearings</t>
        </is>
      </c>
      <c r="G111" s="30" t="inlineStr">
        <is>
          <t>smallcap</t>
        </is>
      </c>
      <c r="H111" s="31" t="n">
        <v>4076.56</v>
      </c>
      <c r="I111" s="31" t="n">
        <v>419.8</v>
      </c>
      <c r="J111" s="31" t="n">
        <v>-0.19</v>
      </c>
      <c r="K111" s="31" t="n">
        <v>277122</v>
      </c>
      <c r="L111" s="30" t="n">
        <v>83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76.8</v>
      </c>
      <c r="P111" s="31" t="n">
        <v>33.01</v>
      </c>
      <c r="Q111" s="31" t="n">
        <v>330.94</v>
      </c>
      <c r="R111" s="30" t="inlineStr">
        <is>
          <t>Near 52W High Breakout</t>
        </is>
      </c>
      <c r="S111" s="30" t="inlineStr">
        <is>
          <t>Nifty 50</t>
        </is>
      </c>
      <c r="T111" s="31" t="n">
        <v>-3.76</v>
      </c>
      <c r="U111" s="31" t="n">
        <v>50.85</v>
      </c>
      <c r="V111" s="31" t="n">
        <v>56.75</v>
      </c>
      <c r="W111" s="31" t="n">
        <v>26.98</v>
      </c>
      <c r="X111" s="30" t="inlineStr">
        <is>
          <t>Cyclical in an Upturn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Above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Blue sky scenario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Above 2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IF(B112=0,"",RANK(B112,$B$2:$B$400,0))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KIRLPNU</t>
        </is>
      </c>
      <c r="D112" s="30" t="inlineStr">
        <is>
          <t>Kirloskar Pneumatic Company Ltd</t>
        </is>
      </c>
      <c r="E112" s="30" t="inlineStr">
        <is>
          <t>industrials</t>
        </is>
      </c>
      <c r="F112" s="30" t="inlineStr">
        <is>
          <t>compressors / drilling equipment</t>
        </is>
      </c>
      <c r="G112" s="30" t="inlineStr">
        <is>
          <t>midcap</t>
        </is>
      </c>
      <c r="H112" s="31" t="n">
        <v>11902.94</v>
      </c>
      <c r="I112" s="31" t="n">
        <v>1828</v>
      </c>
      <c r="J112" s="31" t="n">
        <v>-0.24</v>
      </c>
      <c r="K112" s="31" t="n">
        <v>311763</v>
      </c>
      <c r="L112" s="30" t="n">
        <v>81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82.06999999999999</v>
      </c>
      <c r="P112" s="31" t="n">
        <v>39.7</v>
      </c>
      <c r="Q112" s="31" t="n">
        <v>1448.41</v>
      </c>
      <c r="R112" s="30" t="inlineStr">
        <is>
          <t>Near 52W High Breakout</t>
        </is>
      </c>
      <c r="S112" s="30" t="inlineStr">
        <is>
          <t>Nifty 50</t>
        </is>
      </c>
      <c r="T112" s="31" t="n">
        <v>-3.76</v>
      </c>
      <c r="U112" s="31" t="n">
        <v>36.96</v>
      </c>
      <c r="V112" s="31" t="n">
        <v>42.32</v>
      </c>
      <c r="W112" s="31" t="n">
        <v>25.2</v>
      </c>
      <c r="X112" s="30" t="inlineStr">
        <is>
          <t>Cyclical in an Upturn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20 to 40</t>
        </is>
      </c>
      <c r="AY112" s="30">
        <f>IF(AX112="Above 40",20,IF(AX112="20 to 40",10,IF(AX112="0 to 20",-5,0)))</f>
        <v/>
      </c>
      <c r="AZ112" s="30" t="inlineStr">
        <is>
          <t>Above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Blue sky scenario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Yes</t>
        </is>
      </c>
      <c r="BS112" s="30">
        <f>IF(BR112="NO",5,0)</f>
        <v/>
      </c>
      <c r="BT112" s="30" t="inlineStr">
        <is>
          <t>Less than 1.5</t>
        </is>
      </c>
      <c r="BU112" s="30">
        <f>IF(BT112="Above 2",0,IF(BT112="Between 1.5 to 2",5,IF(BT112="Less than 1.5",10,0)))</f>
        <v/>
      </c>
      <c r="BV112" s="30" t="inlineStr">
        <is>
          <t>Between 50% to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IF(B113=0,"",RANK(B113,$B$2:$B$400,0))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SKIPPER</t>
        </is>
      </c>
      <c r="D113" s="30" t="inlineStr">
        <is>
          <t>Skipper Limited</t>
        </is>
      </c>
      <c r="E113" s="30" t="inlineStr">
        <is>
          <t>industrials</t>
        </is>
      </c>
      <c r="F113" s="30" t="inlineStr">
        <is>
          <t>engineering</t>
        </is>
      </c>
      <c r="G113" s="30" t="inlineStr">
        <is>
          <t>midcap</t>
        </is>
      </c>
      <c r="H113" s="31" t="n">
        <v>6198.43</v>
      </c>
      <c r="I113" s="31" t="n">
        <v>547.05</v>
      </c>
      <c r="J113" s="31" t="n">
        <v>-0.36</v>
      </c>
      <c r="K113" s="31" t="n">
        <v>387747</v>
      </c>
      <c r="L113" s="30" t="n">
        <v>64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68.20999999999999</v>
      </c>
      <c r="P113" s="31" t="n">
        <v>33.2</v>
      </c>
      <c r="Q113" s="31" t="n">
        <v>420.51</v>
      </c>
      <c r="R113" s="30" t="inlineStr">
        <is>
          <t>Near 52W High Breakout</t>
        </is>
      </c>
      <c r="S113" s="30" t="inlineStr">
        <is>
          <t>Nifty 50</t>
        </is>
      </c>
      <c r="T113" s="31" t="n">
        <v>-3.76</v>
      </c>
      <c r="U113" s="31" t="n">
        <v>13.41</v>
      </c>
      <c r="V113" s="31" t="n">
        <v>17.84</v>
      </c>
      <c r="W113" s="31" t="n">
        <v>17.05</v>
      </c>
      <c r="X113" s="30" t="inlineStr">
        <is>
          <t>Cyclical in an Upturn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20 to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Less than 50%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IF(B114=0,"",RANK(B114,$B$2:$B$400,0))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HARSHA</t>
        </is>
      </c>
      <c r="D114" s="30" t="inlineStr">
        <is>
          <t>Harsha Engineers International Ltd</t>
        </is>
      </c>
      <c r="E114" s="30" t="inlineStr">
        <is>
          <t>industrials</t>
        </is>
      </c>
      <c r="F114" s="30" t="inlineStr">
        <is>
          <t>engineering</t>
        </is>
      </c>
      <c r="G114" s="30" t="inlineStr">
        <is>
          <t>smallcap</t>
        </is>
      </c>
      <c r="H114" s="31" t="n">
        <v>3986.37</v>
      </c>
      <c r="I114" s="31" t="n">
        <v>434.25</v>
      </c>
      <c r="J114" s="31" t="n">
        <v>-0.82</v>
      </c>
      <c r="K114" s="31" t="n">
        <v>343803</v>
      </c>
      <c r="L114" s="30" t="n">
        <v>35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62.02</v>
      </c>
      <c r="P114" s="31" t="n">
        <v>31.79</v>
      </c>
      <c r="Q114" s="31" t="n">
        <v>335.38</v>
      </c>
      <c r="R114" s="30" t="inlineStr">
        <is>
          <t>Near 52W High Breakout</t>
        </is>
      </c>
      <c r="S114" s="30" t="inlineStr">
        <is>
          <t>Nifty Infra</t>
        </is>
      </c>
      <c r="T114" s="31" t="n">
        <v>4.04</v>
      </c>
      <c r="U114" s="31" t="n">
        <v>13.12</v>
      </c>
      <c r="V114" s="31" t="n">
        <v>8.720000000000001</v>
      </c>
      <c r="W114" s="31" t="n">
        <v>8.94</v>
      </c>
      <c r="X114" s="30" t="inlineStr">
        <is>
          <t>Cyclical in an Upturn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20 to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Close to 52 week high or retracement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Less than 1.5</t>
        </is>
      </c>
      <c r="BU114" s="30">
        <f>IF(BT114="Above 2",0,IF(BT114="Between 1.5 to 2",5,IF(BT114="Less than 1.5",10,0)))</f>
        <v/>
      </c>
      <c r="BV114" s="30" t="inlineStr">
        <is>
          <t>Less than 50%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IF(B115=0,"",RANK(B115,$B$2:$B$400,0))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SWANDEF</t>
        </is>
      </c>
      <c r="D115" s="30" t="inlineStr">
        <is>
          <t>Swan Defence and Heavy Industries Ltd</t>
        </is>
      </c>
      <c r="E115" s="30" t="inlineStr">
        <is>
          <t>transportation</t>
        </is>
      </c>
      <c r="F115" s="30" t="inlineStr">
        <is>
          <t>miscellaneous</t>
        </is>
      </c>
      <c r="G115" s="30" t="inlineStr">
        <is>
          <t>midcap</t>
        </is>
      </c>
      <c r="H115" s="31" t="n">
        <v>10827.24</v>
      </c>
      <c r="I115" s="31" t="n">
        <v>2035.1</v>
      </c>
      <c r="J115" s="31" t="n">
        <v>-0.98</v>
      </c>
      <c r="K115" s="31" t="n">
        <v>9200</v>
      </c>
      <c r="L115" s="30" t="n">
        <v>98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62.32</v>
      </c>
      <c r="P115" s="31" t="n">
        <v>42.28</v>
      </c>
      <c r="Q115" s="31" t="n">
        <v>1541.81</v>
      </c>
      <c r="R115" s="30" t="inlineStr">
        <is>
          <t>Volume Spike / Accumulation</t>
        </is>
      </c>
      <c r="S115" s="30" t="inlineStr">
        <is>
          <t>Nifty 50</t>
        </is>
      </c>
      <c r="T115" s="31" t="n">
        <v>-3.76</v>
      </c>
      <c r="U115" s="31" t="n">
        <v>982.15</v>
      </c>
      <c r="V115" s="31" t="n">
        <v>1024.44</v>
      </c>
      <c r="W115" s="31" t="n">
        <v>76.52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Above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Close to 52 week high or retracement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No</t>
        </is>
      </c>
      <c r="BS115" s="30">
        <f>IF(BR115="NO",5,0)</f>
        <v/>
      </c>
      <c r="BT115" s="30" t="inlineStr">
        <is>
          <t>Less than 1.5</t>
        </is>
      </c>
      <c r="BU115" s="30">
        <f>IF(BT115="Above 2",0,IF(BT115="Between 1.5 to 2",5,IF(BT115="Less than 1.5",10,0)))</f>
        <v/>
      </c>
      <c r="BV115" s="30" t="inlineStr">
        <is>
          <t>Negative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More than 1.2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IF(B116=0,"",RANK(B116,$B$2:$B$400,0))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POWERMECH</t>
        </is>
      </c>
      <c r="D116" s="30" t="inlineStr">
        <is>
          <t>Power Mech Projects Limited</t>
        </is>
      </c>
      <c r="E116" s="30" t="inlineStr">
        <is>
          <t>realty</t>
        </is>
      </c>
      <c r="F116" s="30" t="inlineStr">
        <is>
          <t>engineering - turnkey services</t>
        </is>
      </c>
      <c r="G116" s="30" t="inlineStr">
        <is>
          <t>midcap</t>
        </is>
      </c>
      <c r="H116" s="31" t="n">
        <v>8988.51</v>
      </c>
      <c r="I116" s="31" t="n">
        <v>2814.2</v>
      </c>
      <c r="J116" s="31" t="n">
        <v>-1.01</v>
      </c>
      <c r="K116" s="31" t="n">
        <v>75335</v>
      </c>
      <c r="L116" s="30" t="n">
        <v>34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65.23999999999999</v>
      </c>
      <c r="P116" s="31" t="n">
        <v>20.26</v>
      </c>
      <c r="Q116" s="31" t="n">
        <v>2166.67</v>
      </c>
      <c r="R116" s="30" t="inlineStr">
        <is>
          <t>Earnings / Momentum Support</t>
        </is>
      </c>
      <c r="S116" s="30" t="inlineStr">
        <is>
          <t>Nifty Realty</t>
        </is>
      </c>
      <c r="T116" s="31" t="n">
        <v>-19.08</v>
      </c>
      <c r="U116" s="31" t="n">
        <v>-7.51</v>
      </c>
      <c r="V116" s="31" t="n">
        <v>14.31</v>
      </c>
      <c r="W116" s="31" t="n">
        <v>8.789999999999999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No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No</t>
        </is>
      </c>
      <c r="BS116" s="30">
        <f>IF(BR116="NO",5,0)</f>
        <v/>
      </c>
      <c r="BT116" s="30" t="inlineStr">
        <is>
          <t>Less than 1.5</t>
        </is>
      </c>
      <c r="BU116" s="30">
        <f>IF(BT116="Above 2",0,IF(BT116="Between 1.5 to 2",5,IF(BT116="Less than 1.5",10,0)))</f>
        <v/>
      </c>
      <c r="BV116" s="30" t="inlineStr">
        <is>
          <t>Between 50% to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IF(B117=0,"",RANK(B117,$B$2:$B$400,0))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KERNEX</t>
        </is>
      </c>
      <c r="D117" s="30" t="inlineStr">
        <is>
          <t>Kernex Microsystems (india) Limited</t>
        </is>
      </c>
      <c r="E117" s="30" t="inlineStr">
        <is>
          <t>consumer discretionary</t>
        </is>
      </c>
      <c r="F117" s="30" t="inlineStr">
        <is>
          <t>electronics - components</t>
        </is>
      </c>
      <c r="G117" s="30" t="inlineStr">
        <is>
          <t>smallcap</t>
        </is>
      </c>
      <c r="H117" s="31" t="n">
        <v>3534.39</v>
      </c>
      <c r="I117" s="31" t="n">
        <v>2077.7</v>
      </c>
      <c r="J117" s="31" t="n">
        <v>-1.23</v>
      </c>
      <c r="K117" s="31" t="n">
        <v>182145</v>
      </c>
      <c r="L117" s="30" t="n">
        <v>94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74.76000000000001</v>
      </c>
      <c r="P117" s="31" t="n">
        <v>34.44</v>
      </c>
      <c r="Q117" s="31" t="n">
        <v>1549.69</v>
      </c>
      <c r="R117" s="30" t="inlineStr">
        <is>
          <t>Near 52W High Breakout</t>
        </is>
      </c>
      <c r="S117" s="30" t="inlineStr">
        <is>
          <t>Nifty 50</t>
        </is>
      </c>
      <c r="T117" s="31" t="n">
        <v>-3.76</v>
      </c>
      <c r="U117" s="31" t="n">
        <v>73.40000000000001</v>
      </c>
      <c r="V117" s="31" t="n">
        <v>80.18000000000001</v>
      </c>
      <c r="W117" s="31" t="n">
        <v>42.34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Blue sky scenario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Above 2</t>
        </is>
      </c>
      <c r="BU117" s="30">
        <f>IF(BT117="Above 2",0,IF(BT117="Between 1.5 to 2",5,IF(BT117="Less than 1.5",10,0)))</f>
        <v/>
      </c>
      <c r="BV117" s="30" t="inlineStr">
        <is>
          <t>Negative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IF(B118=0,"",RANK(B118,$B$2:$B$400,0))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RPEL</t>
        </is>
      </c>
      <c r="D118" s="30" t="inlineStr">
        <is>
          <t>Raghav Productivity Enhancers Ltd</t>
        </is>
      </c>
      <c r="E118" s="30" t="inlineStr">
        <is>
          <t>building materials</t>
        </is>
      </c>
      <c r="F118" s="30" t="inlineStr">
        <is>
          <t>refractories / intermediates</t>
        </is>
      </c>
      <c r="G118" s="30" t="inlineStr">
        <is>
          <t>midcap</t>
        </is>
      </c>
      <c r="H118" s="31" t="n">
        <v>5539.97</v>
      </c>
      <c r="I118" s="31" t="n">
        <v>1189.75</v>
      </c>
      <c r="J118" s="31" t="n">
        <v>-1.4</v>
      </c>
      <c r="K118" s="31" t="n">
        <v>115993</v>
      </c>
      <c r="L118" s="30" t="n">
        <v>90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77.09</v>
      </c>
      <c r="P118" s="31" t="n">
        <v>32.05</v>
      </c>
      <c r="Q118" s="31" t="n">
        <v>916.41</v>
      </c>
      <c r="R118" s="30" t="inlineStr">
        <is>
          <t>Near 52W High Breakout</t>
        </is>
      </c>
      <c r="S118" s="30" t="inlineStr">
        <is>
          <t>Nifty Infra</t>
        </is>
      </c>
      <c r="T118" s="31" t="n">
        <v>4.04</v>
      </c>
      <c r="U118" s="31" t="n">
        <v>69.48</v>
      </c>
      <c r="V118" s="31" t="n">
        <v>62.9</v>
      </c>
      <c r="W118" s="31" t="n">
        <v>34.49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Above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Blue sky scenario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Yes</t>
        </is>
      </c>
      <c r="BS118" s="30">
        <f>IF(BR118="NO",5,0)</f>
        <v/>
      </c>
      <c r="BT118" s="30" t="inlineStr">
        <is>
          <t>Between 1.5 to 2</t>
        </is>
      </c>
      <c r="BU118" s="30">
        <f>IF(BT118="Above 2",0,IF(BT118="Between 1.5 to 2",5,IF(BT118="Less than 1.5",10,0)))</f>
        <v/>
      </c>
      <c r="BV118" s="30" t="inlineStr">
        <is>
          <t>Less than 50%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IF(B119=0,"",RANK(B119,$B$2:$B$400,0))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MMTC</t>
        </is>
      </c>
      <c r="D119" s="30" t="inlineStr">
        <is>
          <t>Mmtc Limited</t>
        </is>
      </c>
      <c r="E119" s="30" t="inlineStr">
        <is>
          <t>services</t>
        </is>
      </c>
      <c r="F119" s="30" t="inlineStr">
        <is>
          <t>trading</t>
        </is>
      </c>
      <c r="G119" s="30" t="inlineStr">
        <is>
          <t>midcap</t>
        </is>
      </c>
      <c r="H119" s="31" t="n">
        <v>11404.5</v>
      </c>
      <c r="I119" s="31" t="n">
        <v>74.95</v>
      </c>
      <c r="J119" s="31" t="n">
        <v>-1.42</v>
      </c>
      <c r="K119" s="31" t="n">
        <v>20107909</v>
      </c>
      <c r="L119" s="30" t="n">
        <v>30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63.06</v>
      </c>
      <c r="P119" s="31" t="n">
        <v>15.8</v>
      </c>
      <c r="Q119" s="31" t="n">
        <v>54.61</v>
      </c>
      <c r="R119" s="30" t="inlineStr">
        <is>
          <t>Volume Spike &amp; Near 52W High Breakout</t>
        </is>
      </c>
      <c r="S119" s="30" t="inlineStr">
        <is>
          <t>Nifty 50</t>
        </is>
      </c>
      <c r="T119" s="31" t="n">
        <v>-3.76</v>
      </c>
      <c r="U119" s="31" t="n">
        <v>11.23</v>
      </c>
      <c r="V119" s="31" t="n">
        <v>15.58</v>
      </c>
      <c r="W119" s="31" t="n">
        <v>8.07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0 to 20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Close to 52 week high or retracement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No</t>
        </is>
      </c>
      <c r="BS119" s="30">
        <f>IF(BR119="NO",5,0)</f>
        <v/>
      </c>
      <c r="BT119" s="30" t="inlineStr">
        <is>
          <t>Less than 1.5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IF(B120=0,"",RANK(B120,$B$2:$B$400,0))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HSCL</t>
        </is>
      </c>
      <c r="D120" s="30" t="inlineStr">
        <is>
          <t>Himadri Speciality Chemical Limited</t>
        </is>
      </c>
      <c r="E120" s="30" t="inlineStr">
        <is>
          <t>chemicals</t>
        </is>
      </c>
      <c r="F120" s="30" t="inlineStr">
        <is>
          <t>chemicals</t>
        </is>
      </c>
      <c r="G120" s="30" t="inlineStr">
        <is>
          <t>largecap</t>
        </is>
      </c>
      <c r="H120" s="31" t="n">
        <v>35373.41</v>
      </c>
      <c r="I120" s="31" t="n">
        <v>690.3</v>
      </c>
      <c r="J120" s="31" t="n">
        <v>-1.54</v>
      </c>
      <c r="K120" s="31" t="n">
        <v>14206270</v>
      </c>
      <c r="L120" s="30" t="n">
        <v>74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73.8</v>
      </c>
      <c r="P120" s="31" t="n">
        <v>32.56</v>
      </c>
      <c r="Q120" s="31" t="n">
        <v>526.74</v>
      </c>
      <c r="R120" s="30" t="inlineStr">
        <is>
          <t>Near 52W High Breakout</t>
        </is>
      </c>
      <c r="S120" s="30" t="inlineStr">
        <is>
          <t>Nifty 50</t>
        </is>
      </c>
      <c r="T120" s="31" t="n">
        <v>-3.76</v>
      </c>
      <c r="U120" s="31" t="n">
        <v>57.28</v>
      </c>
      <c r="V120" s="31" t="n">
        <v>63.42</v>
      </c>
      <c r="W120" s="31" t="n">
        <v>21.86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Blue sky scenario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Between 1.5 to 2</t>
        </is>
      </c>
      <c r="BU120" s="30">
        <f>IF(BT120="Above 2",0,IF(BT120="Between 1.5 to 2",5,IF(BT120="Less than 1.5",10,0)))</f>
        <v/>
      </c>
      <c r="BV120" s="30" t="inlineStr">
        <is>
          <t>Less than 50%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IF(B121=0,"",RANK(B121,$B$2:$B$400,0))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HITECHCORP</t>
        </is>
      </c>
      <c r="D121" s="30" t="inlineStr">
        <is>
          <t>Hitech Corporation</t>
        </is>
      </c>
      <c r="E121" s="30" t="inlineStr">
        <is>
          <t>industrials</t>
        </is>
      </c>
      <c r="F121" s="30" t="inlineStr">
        <is>
          <t>packaging</t>
        </is>
      </c>
      <c r="G121" s="30" t="inlineStr">
        <is>
          <t>smallcap</t>
        </is>
      </c>
      <c r="H121" s="31" t="n">
        <v>547.63</v>
      </c>
      <c r="I121" s="31" t="n">
        <v>309.82</v>
      </c>
      <c r="J121" s="31" t="n">
        <v>-2.83</v>
      </c>
      <c r="K121" s="31" t="n">
        <v>31316</v>
      </c>
      <c r="L121" s="30" t="n">
        <v>94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80.38</v>
      </c>
      <c r="P121" s="31" t="n">
        <v>36.53</v>
      </c>
      <c r="Q121" s="31" t="n">
        <v>233.8</v>
      </c>
      <c r="R121" s="30" t="inlineStr">
        <is>
          <t>Near 52W High Breakout</t>
        </is>
      </c>
      <c r="S121" s="30" t="inlineStr">
        <is>
          <t>Nifty 50</t>
        </is>
      </c>
      <c r="T121" s="31" t="n">
        <v>-3.76</v>
      </c>
      <c r="U121" s="31" t="n">
        <v>72.54000000000001</v>
      </c>
      <c r="V121" s="31" t="n">
        <v>79.28</v>
      </c>
      <c r="W121" s="31" t="n">
        <v>43.83</v>
      </c>
      <c r="X121" s="30" t="inlineStr">
        <is>
          <t>Cyclical in an Upturn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20 to 40</t>
        </is>
      </c>
      <c r="AY121" s="30">
        <f>IF(AX121="Above 40",20,IF(AX121="20 to 40",10,IF(AX121="0 to 20",-5,0)))</f>
        <v/>
      </c>
      <c r="AZ121" s="30" t="inlineStr">
        <is>
          <t>Above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Blue sky scenario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No</t>
        </is>
      </c>
      <c r="BS121" s="30">
        <f>IF(BR121="NO",5,0)</f>
        <v/>
      </c>
      <c r="BT121" s="30" t="inlineStr">
        <is>
          <t>Above 2</t>
        </is>
      </c>
      <c r="BU121" s="30">
        <f>IF(BT121="Above 2",0,IF(BT121="Between 1.5 to 2",5,IF(BT121="Less than 1.5",10,0)))</f>
        <v/>
      </c>
      <c r="BV121" s="30" t="inlineStr">
        <is>
          <t>Between 50% to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IF(B122=0,"",RANK(B122,$B$2:$B$400,0))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ACUTAAS</t>
        </is>
      </c>
      <c r="D122" s="30" t="inlineStr">
        <is>
          <t>Acutaas Chemicals Ltd</t>
        </is>
      </c>
      <c r="E122" s="30" t="inlineStr">
        <is>
          <t>healthcare</t>
        </is>
      </c>
      <c r="F122" s="30" t="inlineStr">
        <is>
          <t>pharmaceuticals - indian - bulk drugs</t>
        </is>
      </c>
      <c r="G122" s="30" t="inlineStr">
        <is>
          <t>largecap</t>
        </is>
      </c>
      <c r="H122" s="31" t="n">
        <v>24560.52</v>
      </c>
      <c r="I122" s="31" t="n">
        <v>3136.3</v>
      </c>
      <c r="J122" s="31" t="n">
        <v>4.55</v>
      </c>
      <c r="K122" s="31" t="n">
        <v>360896</v>
      </c>
      <c r="L122" s="30" t="n">
        <v>86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71.36</v>
      </c>
      <c r="P122" s="31" t="n">
        <v>65.34999999999999</v>
      </c>
      <c r="Q122" s="31" t="n">
        <v>2566.78</v>
      </c>
      <c r="R122" s="30" t="inlineStr">
        <is>
          <t>Earnings / Momentum Support</t>
        </is>
      </c>
      <c r="S122" s="30" t="inlineStr">
        <is>
          <t>Nifty Pharma</t>
        </is>
      </c>
      <c r="T122" s="31" t="n">
        <v>12.35</v>
      </c>
      <c r="U122" s="31" t="n">
        <v>177.29</v>
      </c>
      <c r="V122" s="31" t="n">
        <v>146.81</v>
      </c>
      <c r="W122" s="31" t="n">
        <v>29.78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Yes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No</t>
        </is>
      </c>
      <c r="AQ122" s="30">
        <f>IF(AP122="Yes",10,0)</f>
        <v/>
      </c>
      <c r="AR122" s="30" t="inlineStr">
        <is>
          <t>Higher Annuity, Lower One Time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Above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Close to 52 week high or retracement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Between 50% to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IF(B123=0,"",RANK(B123,$B$2:$B$400,0))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2" t="inlineStr">
        <is>
          <t>KOPRAN</t>
        </is>
      </c>
      <c r="D123" s="32" t="inlineStr">
        <is>
          <t>Kopran Limited</t>
        </is>
      </c>
      <c r="E123" s="30" t="inlineStr">
        <is>
          <t>healthcare</t>
        </is>
      </c>
      <c r="F123" s="30" t="inlineStr">
        <is>
          <t>pharmaceuticals - indian - bulk drugs &amp; formln</t>
        </is>
      </c>
      <c r="G123" s="30" t="inlineStr">
        <is>
          <t>smallcap</t>
        </is>
      </c>
      <c r="H123" s="31" t="n">
        <v>868.46</v>
      </c>
      <c r="I123" s="31" t="n">
        <v>184.78</v>
      </c>
      <c r="J123" s="31" t="n">
        <v>2.74</v>
      </c>
      <c r="K123" s="31" t="n">
        <v>162567</v>
      </c>
      <c r="L123" s="30" t="n">
        <v>58</v>
      </c>
      <c r="M123" s="30" t="inlineStr">
        <is>
          <t>Underperforming</t>
        </is>
      </c>
      <c r="N123" s="31">
        <f>IF(M123="Underperforming",-5,IF(L123&gt;=95,15,IF(L123&gt;=90,10,IF(L123&gt;=80,5,0))))</f>
        <v/>
      </c>
      <c r="O123" s="31" t="n">
        <v>60.48</v>
      </c>
      <c r="P123" s="31" t="n">
        <v>28.36</v>
      </c>
      <c r="Q123" s="31" t="n">
        <v>150.77</v>
      </c>
      <c r="R123" s="30" t="inlineStr">
        <is>
          <t>Earnings / Momentum Support</t>
        </is>
      </c>
      <c r="S123" s="30" t="inlineStr">
        <is>
          <t>Nifty Pharma</t>
        </is>
      </c>
      <c r="T123" s="31" t="n">
        <v>12.35</v>
      </c>
      <c r="U123" s="31" t="n">
        <v>0.62</v>
      </c>
      <c r="V123" s="31" t="n">
        <v>-10.44</v>
      </c>
      <c r="W123" s="31" t="n">
        <v>14.57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Yes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No</t>
        </is>
      </c>
      <c r="AQ123" s="30">
        <f>IF(AP123="Yes",10,0)</f>
        <v/>
      </c>
      <c r="AR123" s="30" t="inlineStr">
        <is>
          <t>Higher Annuity, Lower One Time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Close to 52 week high or retracement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No</t>
        </is>
      </c>
      <c r="BS123" s="30">
        <f>IF(BR123="NO",5,0)</f>
        <v/>
      </c>
      <c r="BT123" s="30" t="inlineStr">
        <is>
          <t>Less than 1.5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IF(B124=0,"",RANK(B124,$B$2:$B$400,0))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HNDFDS</t>
        </is>
      </c>
      <c r="D124" s="30" t="inlineStr">
        <is>
          <t>Hindustan Foods Ltd</t>
        </is>
      </c>
      <c r="E124" s="30" t="inlineStr">
        <is>
          <t>fmcg</t>
        </is>
      </c>
      <c r="F124" s="30" t="inlineStr">
        <is>
          <t>diversified - large</t>
        </is>
      </c>
      <c r="G124" s="30" t="inlineStr">
        <is>
          <t>midcap</t>
        </is>
      </c>
      <c r="H124" s="31" t="n">
        <v>6530.87</v>
      </c>
      <c r="I124" s="31" t="n">
        <v>554.25</v>
      </c>
      <c r="J124" s="31" t="n">
        <v>1.4</v>
      </c>
      <c r="K124" s="31" t="n">
        <v>65865</v>
      </c>
      <c r="L124" s="30" t="n">
        <v>11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60.58</v>
      </c>
      <c r="P124" s="31" t="n">
        <v>21.64</v>
      </c>
      <c r="Q124" s="31" t="n">
        <v>458.01</v>
      </c>
      <c r="R124" s="30" t="inlineStr">
        <is>
          <t>Near 52W High Breakout</t>
        </is>
      </c>
      <c r="S124" s="30" t="inlineStr">
        <is>
          <t>Nifty FMCG</t>
        </is>
      </c>
      <c r="T124" s="31" t="n">
        <v>-9.109999999999999</v>
      </c>
      <c r="U124" s="31" t="n">
        <v>4.08</v>
      </c>
      <c r="V124" s="31" t="n">
        <v>14.52</v>
      </c>
      <c r="W124" s="31" t="n">
        <v>4.09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B2C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Annuity, Lower One Time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20 to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Close to 52 week high or retracement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Yes</t>
        </is>
      </c>
      <c r="BS124" s="30">
        <f>IF(BR124="NO",5,0)</f>
        <v/>
      </c>
      <c r="BT124" s="30" t="inlineStr">
        <is>
          <t>Less than 1.5</t>
        </is>
      </c>
      <c r="BU124" s="30">
        <f>IF(BT124="Above 2",0,IF(BT124="Between 1.5 to 2",5,IF(BT124="Less than 1.5",10,0)))</f>
        <v/>
      </c>
      <c r="BV124" s="30" t="inlineStr">
        <is>
          <t>Less than 50%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Between 0.7 to 1.2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IF(B125=0,"",RANK(B125,$B$2:$B$400,0))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SBCL</t>
        </is>
      </c>
      <c r="D125" s="30" t="inlineStr">
        <is>
          <t>Shivalik Bimetal Controls Ltd</t>
        </is>
      </c>
      <c r="E125" s="30" t="inlineStr">
        <is>
          <t>metals &amp; mining</t>
        </is>
      </c>
      <c r="F125" s="30" t="inlineStr">
        <is>
          <t>mining / minerals / metals</t>
        </is>
      </c>
      <c r="G125" s="30" t="inlineStr">
        <is>
          <t>smallcap</t>
        </is>
      </c>
      <c r="H125" s="31" t="n">
        <v>4199.92</v>
      </c>
      <c r="I125" s="31" t="n">
        <v>738.4</v>
      </c>
      <c r="J125" s="31" t="n">
        <v>1.28</v>
      </c>
      <c r="K125" s="31" t="n">
        <v>310029</v>
      </c>
      <c r="L125" s="30" t="n">
        <v>87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70.31999999999999</v>
      </c>
      <c r="P125" s="31" t="n">
        <v>36.42</v>
      </c>
      <c r="Q125" s="31" t="n">
        <v>545.71</v>
      </c>
      <c r="R125" s="30" t="inlineStr">
        <is>
          <t>Near 52W High Breakout</t>
        </is>
      </c>
      <c r="S125" s="30" t="inlineStr">
        <is>
          <t>Nifty Metal</t>
        </is>
      </c>
      <c r="T125" s="31" t="n">
        <v>42.37</v>
      </c>
      <c r="U125" s="31" t="n">
        <v>52.64</v>
      </c>
      <c r="V125" s="31" t="n">
        <v>7.22</v>
      </c>
      <c r="W125" s="31" t="n">
        <v>29.96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Monopoly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Shallow Cyclical (2 to 3 Years Growth)</t>
        </is>
      </c>
      <c r="AG125" s="30">
        <f>IF(AF125="Structural (10 Years Consistency)",10,IF(AF125="Shallow Cyclical (2 to 3 years growth)",5,0))</f>
        <v/>
      </c>
      <c r="AH125" s="30" t="inlineStr">
        <is>
          <t>Yes due to Product Mix change or Operating Leverage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Fully One Time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Yes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Between 1.5 to 2</t>
        </is>
      </c>
      <c r="BU125" s="30">
        <f>IF(BT125="Above 2",0,IF(BT125="Between 1.5 to 2",5,IF(BT125="Less than 1.5",10,0)))</f>
        <v/>
      </c>
      <c r="BV125" s="30" t="inlineStr">
        <is>
          <t>Less than 50%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IF(B126=0,"",RANK(B126,$B$2:$B$400,0))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PANACEABIO</t>
        </is>
      </c>
      <c r="D126" s="30" t="inlineStr">
        <is>
          <t>Panacea Biotec Limited</t>
        </is>
      </c>
      <c r="E126" s="30" t="inlineStr">
        <is>
          <t>healthcare</t>
        </is>
      </c>
      <c r="F126" s="30" t="inlineStr">
        <is>
          <t>pharmaceuticals - indian - bulk drugs &amp; formln</t>
        </is>
      </c>
      <c r="G126" s="30" t="inlineStr">
        <is>
          <t>smallcap</t>
        </is>
      </c>
      <c r="H126" s="31" t="n">
        <v>3259.76</v>
      </c>
      <c r="I126" s="31" t="n">
        <v>534.85</v>
      </c>
      <c r="J126" s="31" t="n">
        <v>0.5</v>
      </c>
      <c r="K126" s="31" t="n">
        <v>299454</v>
      </c>
      <c r="L126" s="30" t="n">
        <v>72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75.02</v>
      </c>
      <c r="P126" s="31" t="n">
        <v>28.02</v>
      </c>
      <c r="Q126" s="31" t="n">
        <v>370.1</v>
      </c>
      <c r="R126" s="30" t="inlineStr">
        <is>
          <t>Near 52W High Breakout</t>
        </is>
      </c>
      <c r="S126" s="30" t="inlineStr">
        <is>
          <t>Nifty Pharma</t>
        </is>
      </c>
      <c r="T126" s="31" t="n">
        <v>12.35</v>
      </c>
      <c r="U126" s="31" t="n">
        <v>25.54</v>
      </c>
      <c r="V126" s="31" t="n">
        <v>11.74</v>
      </c>
      <c r="W126" s="31" t="n">
        <v>20.14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Yes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Annuity, Lower One Time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Above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Blue sky scenario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Less than 12%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No</t>
        </is>
      </c>
      <c r="BS126" s="30">
        <f>IF(BR126="NO",5,0)</f>
        <v/>
      </c>
      <c r="BT126" s="30" t="inlineStr">
        <is>
          <t>Less than 1.5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IF(B127=0,"",RANK(B127,$B$2:$B$400,0))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ABDL</t>
        </is>
      </c>
      <c r="D127" s="30" t="inlineStr">
        <is>
          <t>Allied Blenders &amp; Distillers Ltd</t>
        </is>
      </c>
      <c r="E127" s="30" t="inlineStr">
        <is>
          <t>fmcg</t>
        </is>
      </c>
      <c r="F127" s="30" t="inlineStr">
        <is>
          <t>breweries &amp; distilleries</t>
        </is>
      </c>
      <c r="G127" s="30" t="inlineStr">
        <is>
          <t>midcap</t>
        </is>
      </c>
      <c r="H127" s="31" t="n">
        <v>17628.73</v>
      </c>
      <c r="I127" s="31" t="n">
        <v>632.8</v>
      </c>
      <c r="J127" s="31" t="n">
        <v>0.4</v>
      </c>
      <c r="K127" s="31" t="n">
        <v>294081</v>
      </c>
      <c r="L127" s="30" t="n">
        <v>79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61.48</v>
      </c>
      <c r="P127" s="31" t="n">
        <v>20.57</v>
      </c>
      <c r="Q127" s="31" t="n">
        <v>489.7</v>
      </c>
      <c r="R127" s="30" t="inlineStr">
        <is>
          <t>Near 52W High Breakout</t>
        </is>
      </c>
      <c r="S127" s="30" t="inlineStr">
        <is>
          <t>Nifty FMCG</t>
        </is>
      </c>
      <c r="T127" s="31" t="n">
        <v>-9.109999999999999</v>
      </c>
      <c r="U127" s="31" t="n">
        <v>50.97</v>
      </c>
      <c r="V127" s="31" t="n">
        <v>66.09999999999999</v>
      </c>
      <c r="W127" s="31" t="n">
        <v>23.98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B2C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Annuity, Lower One Time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20 to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Less than 12%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Yes</t>
        </is>
      </c>
      <c r="BS127" s="30">
        <f>IF(BR127="NO",5,0)</f>
        <v/>
      </c>
      <c r="BT127" s="30" t="inlineStr">
        <is>
          <t>Above 2</t>
        </is>
      </c>
      <c r="BU127" s="30">
        <f>IF(BT127="Above 2",0,IF(BT127="Between 1.5 to 2",5,IF(BT127="Less than 1.5",10,0)))</f>
        <v/>
      </c>
      <c r="BV127" s="30" t="inlineStr">
        <is>
          <t>Between 50% to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IF(B128=0,"",RANK(B128,$B$2:$B$400,0))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SAILIFE</t>
        </is>
      </c>
      <c r="D128" s="30" t="inlineStr">
        <is>
          <t>Sai Life Sciences Ltd</t>
        </is>
      </c>
      <c r="E128" s="30" t="inlineStr">
        <is>
          <t>healthcare</t>
        </is>
      </c>
      <c r="F128" s="30" t="inlineStr">
        <is>
          <t>pharmaceuticals - indian - bulk drugs &amp; formln</t>
        </is>
      </c>
      <c r="G128" s="30" t="inlineStr">
        <is>
          <t>largecap</t>
        </is>
      </c>
      <c r="H128" s="31" t="n">
        <v>25699.41</v>
      </c>
      <c r="I128" s="31" t="n">
        <v>1206.8</v>
      </c>
      <c r="J128" s="31" t="n">
        <v>-0.55</v>
      </c>
      <c r="K128" s="31" t="n">
        <v>331630</v>
      </c>
      <c r="L128" s="30" t="n">
        <v>55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70.29000000000001</v>
      </c>
      <c r="P128" s="31" t="n">
        <v>28.89</v>
      </c>
      <c r="Q128" s="31" t="n">
        <v>976.67</v>
      </c>
      <c r="R128" s="30" t="inlineStr">
        <is>
          <t>Near 52W High Breakout</t>
        </is>
      </c>
      <c r="S128" s="30" t="inlineStr">
        <is>
          <t>Nifty Pharma</t>
        </is>
      </c>
      <c r="T128" s="31" t="n">
        <v>12.35</v>
      </c>
      <c r="U128" s="31" t="n">
        <v>57.7</v>
      </c>
      <c r="V128" s="31" t="n">
        <v>40.37</v>
      </c>
      <c r="W128" s="31" t="n">
        <v>14.03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Yes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Annuity, Lower One Time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20 to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Blue sky scenario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Between 12 to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IF(B129=0,"",RANK(B129,$B$2:$B$400,0))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AURUM</t>
        </is>
      </c>
      <c r="D129" s="30" t="inlineStr">
        <is>
          <t>Aurum Proptech Ltd</t>
        </is>
      </c>
      <c r="E129" s="30" t="inlineStr">
        <is>
          <t>i.t</t>
        </is>
      </c>
      <c r="F129" s="30" t="inlineStr">
        <is>
          <t>computers - software - medium / small</t>
        </is>
      </c>
      <c r="G129" s="30" t="inlineStr">
        <is>
          <t>smallcap</t>
        </is>
      </c>
      <c r="H129" s="31" t="n">
        <v>1544.59</v>
      </c>
      <c r="I129" s="31" t="n">
        <v>200.27</v>
      </c>
      <c r="J129" s="31" t="n">
        <v>-0.61</v>
      </c>
      <c r="K129" s="31" t="n">
        <v>250636</v>
      </c>
      <c r="L129" s="30" t="n">
        <v>13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62.65</v>
      </c>
      <c r="P129" s="31" t="n">
        <v>20.26</v>
      </c>
      <c r="Q129" s="31" t="n">
        <v>155.05</v>
      </c>
      <c r="R129" s="30" t="inlineStr">
        <is>
          <t>Volume Spike &amp; Near 52W High Breakout</t>
        </is>
      </c>
      <c r="S129" s="30" t="inlineStr">
        <is>
          <t>Nifty IT</t>
        </is>
      </c>
      <c r="T129" s="31" t="n">
        <v>-26.99</v>
      </c>
      <c r="U129" s="31" t="n">
        <v>3.27</v>
      </c>
      <c r="V129" s="31" t="n">
        <v>41.46</v>
      </c>
      <c r="W129" s="31" t="n">
        <v>4.64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Annuity, Lower One Time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Yes</t>
        </is>
      </c>
      <c r="BS129" s="30">
        <f>IF(BR129="NO",5,0)</f>
        <v/>
      </c>
      <c r="BT129" s="30" t="inlineStr">
        <is>
          <t>Above 2</t>
        </is>
      </c>
      <c r="BU129" s="30">
        <f>IF(BT129="Above 2",0,IF(BT129="Between 1.5 to 2",5,IF(BT129="Less than 1.5",10,0)))</f>
        <v/>
      </c>
      <c r="BV129" s="30" t="inlineStr">
        <is>
          <t>Between 50% to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IF(B130=0,"",RANK(B130,$B$2:$B$400,0))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WOCKPHARMA</t>
        </is>
      </c>
      <c r="D130" s="30" t="inlineStr">
        <is>
          <t>Wockhardt Limited</t>
        </is>
      </c>
      <c r="E130" s="30" t="inlineStr">
        <is>
          <t>healthcare</t>
        </is>
      </c>
      <c r="F130" s="30" t="inlineStr">
        <is>
          <t>pharmaceuticals - indian - bulk drugs &amp; formln</t>
        </is>
      </c>
      <c r="G130" s="30" t="inlineStr">
        <is>
          <t>largecap</t>
        </is>
      </c>
      <c r="H130" s="31" t="n">
        <v>32868.92</v>
      </c>
      <c r="I130" s="31" t="n">
        <v>1989.2</v>
      </c>
      <c r="J130" s="31" t="n">
        <v>-1.66</v>
      </c>
      <c r="K130" s="31" t="n">
        <v>3036073</v>
      </c>
      <c r="L130" s="30" t="n">
        <v>72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71.98999999999999</v>
      </c>
      <c r="P130" s="31" t="n">
        <v>34.66</v>
      </c>
      <c r="Q130" s="31" t="n">
        <v>1457.84</v>
      </c>
      <c r="R130" s="30" t="inlineStr">
        <is>
          <t>Near 52W High Breakout</t>
        </is>
      </c>
      <c r="S130" s="30" t="inlineStr">
        <is>
          <t>Nifty Pharma</t>
        </is>
      </c>
      <c r="T130" s="31" t="n">
        <v>12.35</v>
      </c>
      <c r="U130" s="31" t="n">
        <v>14.93</v>
      </c>
      <c r="V130" s="31" t="n">
        <v>2.3</v>
      </c>
      <c r="W130" s="31" t="n">
        <v>20.46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Yes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Annuity, Lower One Time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Blue sky scenario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Above 2</t>
        </is>
      </c>
      <c r="BU130" s="30">
        <f>IF(BT130="Above 2",0,IF(BT130="Between 1.5 to 2",5,IF(BT130="Less than 1.5",10,0)))</f>
        <v/>
      </c>
      <c r="BV130" s="30" t="inlineStr">
        <is>
          <t>Between 50% to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IF(B131=0,"",RANK(B131,$B$2:$B$400,0))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VBL</t>
        </is>
      </c>
      <c r="D131" s="30" t="inlineStr">
        <is>
          <t>Varun Beverages Limited</t>
        </is>
      </c>
      <c r="E131" s="30" t="inlineStr">
        <is>
          <t>fmcg</t>
        </is>
      </c>
      <c r="F131" s="30" t="inlineStr">
        <is>
          <t>food - processing - indian</t>
        </is>
      </c>
      <c r="G131" s="30" t="inlineStr">
        <is>
          <t>largecap</t>
        </is>
      </c>
      <c r="H131" s="31" t="n">
        <v>184002.85</v>
      </c>
      <c r="I131" s="31" t="n">
        <v>531.55</v>
      </c>
      <c r="J131" s="31" t="n">
        <v>-2.3</v>
      </c>
      <c r="K131" s="31" t="n">
        <v>8122763</v>
      </c>
      <c r="L131" s="30" t="n">
        <v>42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63.15</v>
      </c>
      <c r="P131" s="31" t="n">
        <v>27.95</v>
      </c>
      <c r="Q131" s="31" t="n">
        <v>446.99</v>
      </c>
      <c r="R131" s="30" t="inlineStr">
        <is>
          <t>Near 52W High Breakout</t>
        </is>
      </c>
      <c r="S131" s="30" t="inlineStr">
        <is>
          <t>Nifty FMCG</t>
        </is>
      </c>
      <c r="T131" s="31" t="n">
        <v>-9.109999999999999</v>
      </c>
      <c r="U131" s="31" t="n">
        <v>16.02</v>
      </c>
      <c r="V131" s="31" t="n">
        <v>27.65</v>
      </c>
      <c r="W131" s="31" t="n">
        <v>10.64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Duopoly That Cooperate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Shallow Cyclical (2 to 3 Years Growth)</t>
        </is>
      </c>
      <c r="AG131" s="30">
        <f>IF(AF131="Structural (10 Years Consistency)",10,IF(AF131="Shallow Cyclical (2 to 3 years growth)",5,0))</f>
        <v/>
      </c>
      <c r="AH131" s="30" t="inlineStr">
        <is>
          <t>Yes due to Product Mix change or Operating Leverage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B2C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Fully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only for next 1 to 2 years</t>
        </is>
      </c>
      <c r="AW131" s="30">
        <f>IF(AV131="Yes for more than 2 years",10,IF(AV131="Yes only for next 1 to 2 years",5,0))</f>
        <v/>
      </c>
      <c r="AX131" s="30" t="inlineStr">
        <is>
          <t>Above 40</t>
        </is>
      </c>
      <c r="AY131" s="30">
        <f>IF(AX131="Above 40",20,IF(AX131="20 to 40",10,IF(AX131="0 to 20",-5,0)))</f>
        <v/>
      </c>
      <c r="AZ131" s="30" t="inlineStr">
        <is>
          <t>Above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Yes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Between 50% to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Between 0.7 to 1.2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IF(B132=0,"",RANK(B132,$B$2:$B$400,0))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APOLLO</t>
        </is>
      </c>
      <c r="D132" s="30" t="inlineStr">
        <is>
          <t>Apollo Micro Systems Ltd</t>
        </is>
      </c>
      <c r="E132" s="30" t="inlineStr">
        <is>
          <t>aerospace &amp; defence</t>
        </is>
      </c>
      <c r="F132" s="30" t="inlineStr">
        <is>
          <t>electronics - components</t>
        </is>
      </c>
      <c r="G132" s="30" t="inlineStr">
        <is>
          <t>midcap</t>
        </is>
      </c>
      <c r="H132" s="31" t="n">
        <v>15676.21</v>
      </c>
      <c r="I132" s="31" t="n">
        <v>426.6</v>
      </c>
      <c r="J132" s="31" t="n">
        <v>-2.77</v>
      </c>
      <c r="K132" s="31" t="n">
        <v>12647378</v>
      </c>
      <c r="L132" s="30" t="n">
        <v>96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73.45</v>
      </c>
      <c r="P132" s="31" t="n">
        <v>37.26</v>
      </c>
      <c r="Q132" s="31" t="n">
        <v>305.02</v>
      </c>
      <c r="R132" s="30" t="inlineStr">
        <is>
          <t>Near 52W High Breakout</t>
        </is>
      </c>
      <c r="S132" s="30" t="inlineStr">
        <is>
          <t>Nifty 50</t>
        </is>
      </c>
      <c r="T132" s="31" t="n">
        <v>-3.76</v>
      </c>
      <c r="U132" s="31" t="n">
        <v>119.46</v>
      </c>
      <c r="V132" s="31" t="n">
        <v>128.03</v>
      </c>
      <c r="W132" s="31" t="n">
        <v>51.82</v>
      </c>
      <c r="X132" s="30" t="inlineStr">
        <is>
          <t>Cyclical in an Upturn</t>
        </is>
      </c>
      <c r="Y132" s="30">
        <f>IF(X132="Growing Industry",10,IF(X132="Cyclical in an Upturn",5,0))</f>
        <v/>
      </c>
      <c r="Z132" s="30" t="inlineStr">
        <is>
          <t>Oligopoly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Cyclical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B2C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Fully One Time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Above 40</t>
        </is>
      </c>
      <c r="AY132" s="30">
        <f>IF(AX132="Above 40",20,IF(AX132="20 to 40",10,IF(AX132="0 to 20",-5,0)))</f>
        <v/>
      </c>
      <c r="AZ132" s="30" t="inlineStr">
        <is>
          <t>Above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Yes</t>
        </is>
      </c>
      <c r="BQ132" s="30">
        <f>IF(BP132="No",10,0)</f>
        <v/>
      </c>
      <c r="BR132" s="30" t="inlineStr">
        <is>
          <t>Yes</t>
        </is>
      </c>
      <c r="BS132" s="30">
        <f>IF(BR132="NO",5,0)</f>
        <v/>
      </c>
      <c r="BT132" s="30" t="inlineStr">
        <is>
          <t>Between 1.5 to 2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IF(B133=0,"",RANK(B133,$B$2:$B$400,0))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SPAL</t>
        </is>
      </c>
      <c r="D133" s="30" t="inlineStr">
        <is>
          <t>S. P. Apparels Limited</t>
        </is>
      </c>
      <c r="E133" s="30" t="inlineStr">
        <is>
          <t>consumer discretionary</t>
        </is>
      </c>
      <c r="F133" s="30" t="inlineStr">
        <is>
          <t>textiles - products</t>
        </is>
      </c>
      <c r="G133" s="30" t="inlineStr">
        <is>
          <t>smallcap</t>
        </is>
      </c>
      <c r="H133" s="31" t="n">
        <v>2088.92</v>
      </c>
      <c r="I133" s="31" t="n">
        <v>920.95</v>
      </c>
      <c r="J133" s="31" t="n">
        <v>10.83</v>
      </c>
      <c r="K133" s="31" t="n">
        <v>1430721</v>
      </c>
      <c r="L133" s="30" t="n">
        <v>35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70.34999999999999</v>
      </c>
      <c r="P133" s="31" t="n">
        <v>22.69</v>
      </c>
      <c r="Q133" s="31" t="n">
        <v>712.74</v>
      </c>
      <c r="R133" s="30" t="inlineStr">
        <is>
          <t>Volume Spike &amp; Near 52W High Breakout</t>
        </is>
      </c>
      <c r="S133" s="30" t="inlineStr">
        <is>
          <t>Nifty 50</t>
        </is>
      </c>
      <c r="T133" s="31" t="n">
        <v>-3.76</v>
      </c>
      <c r="U133" s="31" t="n">
        <v>12.41</v>
      </c>
      <c r="V133" s="31" t="n">
        <v>16.8</v>
      </c>
      <c r="W133" s="31" t="n">
        <v>8.890000000000001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Less than 12%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No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IF(B134=0,"",RANK(B134,$B$2:$B$400,0))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SPECTRUM</t>
        </is>
      </c>
      <c r="D134" s="30" t="inlineStr">
        <is>
          <t>Spectrum Electrical Industries Ltd</t>
        </is>
      </c>
      <c r="E134" s="30" t="inlineStr">
        <is>
          <t>industrials</t>
        </is>
      </c>
      <c r="F134" s="30" t="inlineStr">
        <is>
          <t>electric equipment</t>
        </is>
      </c>
      <c r="G134" s="30" t="inlineStr">
        <is>
          <t>smallcap</t>
        </is>
      </c>
      <c r="H134" s="31" t="n">
        <v>2584.3</v>
      </c>
      <c r="I134" s="31" t="n">
        <v>1770.7</v>
      </c>
      <c r="J134" s="31" t="n">
        <v>7.67</v>
      </c>
      <c r="K134" s="31" t="n">
        <v>44816</v>
      </c>
      <c r="L134" s="30" t="n">
        <v>38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63.27</v>
      </c>
      <c r="P134" s="31" t="n">
        <v>28.24</v>
      </c>
      <c r="Q134" s="31" t="n">
        <v>1191.13</v>
      </c>
      <c r="R134" s="30" t="inlineStr">
        <is>
          <t>Near 52W High Breakout</t>
        </is>
      </c>
      <c r="S134" s="30" t="inlineStr">
        <is>
          <t>Nifty Infra</t>
        </is>
      </c>
      <c r="T134" s="31" t="n">
        <v>4.04</v>
      </c>
      <c r="U134" s="31" t="n">
        <v>21.34</v>
      </c>
      <c r="V134" s="31" t="n">
        <v>16.62</v>
      </c>
      <c r="W134" s="31" t="n">
        <v>9.460000000000001</v>
      </c>
      <c r="X134" s="30" t="inlineStr">
        <is>
          <t>Cyclical in an Upturn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Less than 1.5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Between 0.7 to 1.2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IF(B135=0,"",RANK(B135,$B$2:$B$400,0))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WALCHANNAG</t>
        </is>
      </c>
      <c r="D135" s="30" t="inlineStr">
        <is>
          <t>Walchandnagar Industries Limited</t>
        </is>
      </c>
      <c r="E135" s="30" t="inlineStr">
        <is>
          <t>industrials</t>
        </is>
      </c>
      <c r="F135" s="30" t="inlineStr">
        <is>
          <t>engineering</t>
        </is>
      </c>
      <c r="G135" s="30" t="inlineStr">
        <is>
          <t>smallcap</t>
        </is>
      </c>
      <c r="H135" s="31" t="n">
        <v>1899.92</v>
      </c>
      <c r="I135" s="31" t="n">
        <v>301.35</v>
      </c>
      <c r="J135" s="31" t="n">
        <v>7.61</v>
      </c>
      <c r="K135" s="31" t="n">
        <v>10957946</v>
      </c>
      <c r="L135" s="30" t="n">
        <v>89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71.75</v>
      </c>
      <c r="P135" s="31" t="n">
        <v>29.33</v>
      </c>
      <c r="Q135" s="31" t="n">
        <v>212.07</v>
      </c>
      <c r="R135" s="30" t="inlineStr">
        <is>
          <t>Volume Spike &amp; Near 52W High Breakout</t>
        </is>
      </c>
      <c r="S135" s="30" t="inlineStr">
        <is>
          <t>Nifty 50</t>
        </is>
      </c>
      <c r="T135" s="31" t="n">
        <v>-3.76</v>
      </c>
      <c r="U135" s="31" t="n">
        <v>33.64</v>
      </c>
      <c r="V135" s="31" t="n">
        <v>38.86</v>
      </c>
      <c r="W135" s="31" t="n">
        <v>33.78</v>
      </c>
      <c r="X135" s="30" t="inlineStr">
        <is>
          <t>Cyclical in an Upturn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More than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No</t>
        </is>
      </c>
      <c r="BS135" s="30">
        <f>IF(BR135="NO",5,0)</f>
        <v/>
      </c>
      <c r="BT135" s="30" t="inlineStr">
        <is>
          <t>Less than 1.5</t>
        </is>
      </c>
      <c r="BU135" s="30">
        <f>IF(BT135="Above 2",0,IF(BT135="Between 1.5 to 2",5,IF(BT135="Less than 1.5",10,0)))</f>
        <v/>
      </c>
      <c r="BV135" s="30" t="inlineStr">
        <is>
          <t>Negative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IF(B136=0,"",RANK(B136,$B$2:$B$400,0))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2" t="inlineStr">
        <is>
          <t>NIBE</t>
        </is>
      </c>
      <c r="D136" s="32" t="inlineStr">
        <is>
          <t>NIBE Ltd</t>
        </is>
      </c>
      <c r="E136" s="30" t="inlineStr">
        <is>
          <t>aerospace &amp; defence</t>
        </is>
      </c>
      <c r="F136" s="30" t="inlineStr">
        <is>
          <t>engineering</t>
        </is>
      </c>
      <c r="G136" s="30" t="inlineStr">
        <is>
          <t>smallcap</t>
        </is>
      </c>
      <c r="H136" s="31" t="n">
        <v>2480.41</v>
      </c>
      <c r="I136" s="31" t="n">
        <v>1748.4</v>
      </c>
      <c r="J136" s="31" t="n">
        <v>7.57</v>
      </c>
      <c r="K136" s="31" t="n">
        <v>693812</v>
      </c>
      <c r="L136" s="30" t="n">
        <v>77</v>
      </c>
      <c r="M136" s="30" t="inlineStr">
        <is>
          <t>Underperforming</t>
        </is>
      </c>
      <c r="N136" s="31">
        <f>IF(M136="Underperforming",-5,IF(L136&gt;=95,15,IF(L136&gt;=90,10,IF(L136&gt;=80,5,0))))</f>
        <v/>
      </c>
      <c r="O136" s="31" t="n">
        <v>73.17</v>
      </c>
      <c r="P136" s="31" t="n">
        <v>22</v>
      </c>
      <c r="Q136" s="31" t="n">
        <v>1260.61</v>
      </c>
      <c r="R136" s="30" t="inlineStr">
        <is>
          <t>Near 52W High Breakout</t>
        </is>
      </c>
      <c r="S136" s="30" t="inlineStr">
        <is>
          <t>Nifty Infra</t>
        </is>
      </c>
      <c r="T136" s="31" t="n">
        <v>4.04</v>
      </c>
      <c r="U136" s="31" t="n">
        <v>2.76</v>
      </c>
      <c r="V136" s="31" t="n">
        <v>-1.23</v>
      </c>
      <c r="W136" s="31" t="n">
        <v>22.67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Close to 52 week high or retracement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IF(B137=0,"",RANK(B137,$B$2:$B$400,0))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PARACABLES</t>
        </is>
      </c>
      <c r="D137" s="30" t="inlineStr">
        <is>
          <t>Paramount Communications Limited</t>
        </is>
      </c>
      <c r="E137" s="30" t="inlineStr">
        <is>
          <t>industrials</t>
        </is>
      </c>
      <c r="F137" s="30" t="inlineStr">
        <is>
          <t>cables - power</t>
        </is>
      </c>
      <c r="G137" s="30" t="inlineStr">
        <is>
          <t>smallcap</t>
        </is>
      </c>
      <c r="H137" s="31" t="n">
        <v>2016.52</v>
      </c>
      <c r="I137" s="31" t="n">
        <v>69.81999999999999</v>
      </c>
      <c r="J137" s="31" t="n">
        <v>5.68</v>
      </c>
      <c r="K137" s="31" t="n">
        <v>7688020</v>
      </c>
      <c r="L137" s="30" t="n">
        <v>89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73.52</v>
      </c>
      <c r="P137" s="31" t="n">
        <v>35.23</v>
      </c>
      <c r="Q137" s="31" t="n">
        <v>49.02</v>
      </c>
      <c r="R137" s="30" t="inlineStr">
        <is>
          <t>Near 52W High Breakout</t>
        </is>
      </c>
      <c r="S137" s="30" t="inlineStr">
        <is>
          <t>Nifty Energy</t>
        </is>
      </c>
      <c r="T137" s="31" t="n">
        <v>13.64</v>
      </c>
      <c r="U137" s="31" t="n">
        <v>28.7</v>
      </c>
      <c r="V137" s="31" t="n">
        <v>13.25</v>
      </c>
      <c r="W137" s="31" t="n">
        <v>32.47</v>
      </c>
      <c r="X137" s="30" t="inlineStr">
        <is>
          <t>Cyclical in an Upturn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20 to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Less than 12%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No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IF(B138=0,"",RANK(B138,$B$2:$B$400,0))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HFCL</t>
        </is>
      </c>
      <c r="D138" s="30" t="inlineStr">
        <is>
          <t>HFCL Ltd</t>
        </is>
      </c>
      <c r="E138" s="30" t="inlineStr">
        <is>
          <t>telecom</t>
        </is>
      </c>
      <c r="F138" s="30" t="inlineStr">
        <is>
          <t>cables - telephone</t>
        </is>
      </c>
      <c r="G138" s="30" t="inlineStr">
        <is>
          <t>largecap</t>
        </is>
      </c>
      <c r="H138" s="31" t="n">
        <v>29101.34</v>
      </c>
      <c r="I138" s="31" t="n">
        <v>199.63</v>
      </c>
      <c r="J138" s="31" t="n">
        <v>5</v>
      </c>
      <c r="K138" s="31" t="n">
        <v>26354654</v>
      </c>
      <c r="L138" s="30" t="n">
        <v>98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83.61</v>
      </c>
      <c r="P138" s="31" t="n">
        <v>51.72</v>
      </c>
      <c r="Q138" s="31" t="n">
        <v>150.63</v>
      </c>
      <c r="R138" s="30" t="inlineStr">
        <is>
          <t>Near 52W High Breakout</t>
        </is>
      </c>
      <c r="S138" s="30" t="inlineStr">
        <is>
          <t>Nifty Infra</t>
        </is>
      </c>
      <c r="T138" s="31" t="n">
        <v>4.04</v>
      </c>
      <c r="U138" s="31" t="n">
        <v>144.64</v>
      </c>
      <c r="V138" s="31" t="n">
        <v>135.13</v>
      </c>
      <c r="W138" s="31" t="n">
        <v>69.92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Oligopoly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Yes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Above 40</t>
        </is>
      </c>
      <c r="AY138" s="30">
        <f>IF(AX138="Above 40",20,IF(AX138="20 to 40",10,IF(AX138="0 to 20",-5,0)))</f>
        <v/>
      </c>
      <c r="AZ138" s="30" t="inlineStr">
        <is>
          <t>Above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Blue sky scenario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Yes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Negative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IF(B139=0,"",RANK(B139,$B$2:$B$400,0))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JAYBARMARU</t>
        </is>
      </c>
      <c r="D139" s="30" t="inlineStr">
        <is>
          <t>Jay Bharat Maruti Limited</t>
        </is>
      </c>
      <c r="E139" s="30" t="inlineStr">
        <is>
          <t>auto</t>
        </is>
      </c>
      <c r="F139" s="30" t="inlineStr">
        <is>
          <t>auto ancillaries</t>
        </is>
      </c>
      <c r="G139" s="30" t="inlineStr">
        <is>
          <t>smallcap</t>
        </is>
      </c>
      <c r="H139" s="31" t="n">
        <v>1781.47</v>
      </c>
      <c r="I139" s="31" t="n">
        <v>172.79</v>
      </c>
      <c r="J139" s="31" t="n">
        <v>4.99</v>
      </c>
      <c r="K139" s="31" t="n">
        <v>1390958</v>
      </c>
      <c r="L139" s="30" t="n">
        <v>94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76.34</v>
      </c>
      <c r="P139" s="31" t="n">
        <v>20.78</v>
      </c>
      <c r="Q139" s="31" t="n">
        <v>129.49</v>
      </c>
      <c r="R139" s="30" t="inlineStr">
        <is>
          <t>Near 52W High Breakout</t>
        </is>
      </c>
      <c r="S139" s="30" t="inlineStr">
        <is>
          <t>Nifty Auto</t>
        </is>
      </c>
      <c r="T139" s="31" t="n">
        <v>12.95</v>
      </c>
      <c r="U139" s="31" t="n">
        <v>126.28</v>
      </c>
      <c r="V139" s="31" t="n">
        <v>100.33</v>
      </c>
      <c r="W139" s="31" t="n">
        <v>43.78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Above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Blue sky scenario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No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Between 50% to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Between 0.7 to 1.2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IF(B140=0,"",RANK(B140,$B$2:$B$400,0))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QPOWER</t>
        </is>
      </c>
      <c r="D140" s="30" t="inlineStr">
        <is>
          <t>Quality Power Electrical Equipments Ltd</t>
        </is>
      </c>
      <c r="E140" s="30" t="inlineStr">
        <is>
          <t>industrials</t>
        </is>
      </c>
      <c r="F140" s="30" t="inlineStr">
        <is>
          <t>electric equipment</t>
        </is>
      </c>
      <c r="G140" s="30" t="inlineStr">
        <is>
          <t>midcap</t>
        </is>
      </c>
      <c r="H140" s="31" t="n">
        <v>9661.93</v>
      </c>
      <c r="I140" s="31" t="n">
        <v>1309.7</v>
      </c>
      <c r="J140" s="31" t="n">
        <v>4.98</v>
      </c>
      <c r="K140" s="31" t="n">
        <v>367509</v>
      </c>
      <c r="L140" s="30" t="n">
        <v>90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64.65000000000001</v>
      </c>
      <c r="P140" s="31" t="n">
        <v>26.72</v>
      </c>
      <c r="Q140" s="31" t="n">
        <v>979.64</v>
      </c>
      <c r="R140" s="30" t="inlineStr">
        <is>
          <t>Earnings / Momentum Support</t>
        </is>
      </c>
      <c r="S140" s="30" t="inlineStr">
        <is>
          <t>Nifty 50</t>
        </is>
      </c>
      <c r="T140" s="31" t="n">
        <v>-3.76</v>
      </c>
      <c r="U140" s="31" t="n">
        <v>129.06</v>
      </c>
      <c r="V140" s="31" t="n">
        <v>138.01</v>
      </c>
      <c r="W140" s="31" t="n">
        <v>35.69</v>
      </c>
      <c r="X140" s="30" t="inlineStr">
        <is>
          <t>Cyclical in an Upturn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No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Close to 52 week high or retracement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Less than 1.5</t>
        </is>
      </c>
      <c r="BU140" s="30">
        <f>IF(BT140="Above 2",0,IF(BT140="Between 1.5 to 2",5,IF(BT140="Less than 1.5",10,0)))</f>
        <v/>
      </c>
      <c r="BV140" s="30" t="inlineStr">
        <is>
          <t>Less than 50%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IF(B141=0,"",RANK(B141,$B$2:$B$400,0))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FINCABLES</t>
        </is>
      </c>
      <c r="D141" s="30" t="inlineStr">
        <is>
          <t>Finolex Cables Limited</t>
        </is>
      </c>
      <c r="E141" s="30" t="inlineStr">
        <is>
          <t>industrials</t>
        </is>
      </c>
      <c r="F141" s="30" t="inlineStr">
        <is>
          <t>cables - power</t>
        </is>
      </c>
      <c r="G141" s="30" t="inlineStr">
        <is>
          <t>midcap</t>
        </is>
      </c>
      <c r="H141" s="31" t="n">
        <v>17129.21</v>
      </c>
      <c r="I141" s="31" t="n">
        <v>1158.6</v>
      </c>
      <c r="J141" s="31" t="n">
        <v>3.45</v>
      </c>
      <c r="K141" s="31" t="n">
        <v>988512</v>
      </c>
      <c r="L141" s="30" t="n">
        <v>48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64.2</v>
      </c>
      <c r="P141" s="31" t="n">
        <v>33.05</v>
      </c>
      <c r="Q141" s="31" t="n">
        <v>861.01</v>
      </c>
      <c r="R141" s="30" t="inlineStr">
        <is>
          <t>Near 52W High Breakout</t>
        </is>
      </c>
      <c r="S141" s="30" t="inlineStr">
        <is>
          <t>Nifty Energy</t>
        </is>
      </c>
      <c r="T141" s="31" t="n">
        <v>13.64</v>
      </c>
      <c r="U141" s="31" t="n">
        <v>27.73</v>
      </c>
      <c r="V141" s="31" t="n">
        <v>12.4</v>
      </c>
      <c r="W141" s="31" t="n">
        <v>12.35</v>
      </c>
      <c r="X141" s="30" t="inlineStr">
        <is>
          <t>Cyclical in an Upturn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Close to 52 week high or retracement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Between 12 to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No</t>
        </is>
      </c>
      <c r="BS141" s="30">
        <f>IF(BR141="NO",5,0)</f>
        <v/>
      </c>
      <c r="BT141" s="30" t="inlineStr">
        <is>
          <t>Less than 1.5</t>
        </is>
      </c>
      <c r="BU141" s="30">
        <f>IF(BT141="Above 2",0,IF(BT141="Between 1.5 to 2",5,IF(BT141="Less than 1.5",10,0)))</f>
        <v/>
      </c>
      <c r="BV141" s="30" t="inlineStr">
        <is>
          <t>Less than 50%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IF(B142=0,"",RANK(B142,$B$2:$B$400,0))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FINEORG</t>
        </is>
      </c>
      <c r="D142" s="30" t="inlineStr">
        <is>
          <t>Fine Organic Industries Ltd</t>
        </is>
      </c>
      <c r="E142" s="30" t="inlineStr">
        <is>
          <t>chemicals</t>
        </is>
      </c>
      <c r="F142" s="30" t="inlineStr">
        <is>
          <t>chemicals</t>
        </is>
      </c>
      <c r="G142" s="30" t="inlineStr">
        <is>
          <t>midcap</t>
        </is>
      </c>
      <c r="H142" s="31" t="n">
        <v>15301.17</v>
      </c>
      <c r="I142" s="31" t="n">
        <v>5150.9</v>
      </c>
      <c r="J142" s="31" t="n">
        <v>3.21</v>
      </c>
      <c r="K142" s="31" t="n">
        <v>17806</v>
      </c>
      <c r="L142" s="30" t="n">
        <v>26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65.06</v>
      </c>
      <c r="P142" s="31" t="n">
        <v>11.7</v>
      </c>
      <c r="Q142" s="31" t="n">
        <v>4180.49</v>
      </c>
      <c r="R142" s="30" t="inlineStr">
        <is>
          <t>Volume Spike &amp; Near 52W High Breakout</t>
        </is>
      </c>
      <c r="S142" s="30" t="inlineStr">
        <is>
          <t>Nifty 50</t>
        </is>
      </c>
      <c r="T142" s="31" t="n">
        <v>-3.76</v>
      </c>
      <c r="U142" s="31" t="n">
        <v>13.61</v>
      </c>
      <c r="V142" s="31" t="n">
        <v>18.05</v>
      </c>
      <c r="W142" s="31" t="n">
        <v>7.4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0 to 20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Close to 52 week high or retracement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No</t>
        </is>
      </c>
      <c r="BS142" s="30">
        <f>IF(BR142="NO",5,0)</f>
        <v/>
      </c>
      <c r="BT142" s="30" t="inlineStr">
        <is>
          <t>Between 1.5 to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IF(B143=0,"",RANK(B143,$B$2:$B$400,0))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WABAG</t>
        </is>
      </c>
      <c r="D143" s="30" t="inlineStr">
        <is>
          <t>Va Tech Wabag Limited</t>
        </is>
      </c>
      <c r="E143" s="30" t="inlineStr">
        <is>
          <t>realty</t>
        </is>
      </c>
      <c r="F143" s="30" t="inlineStr">
        <is>
          <t>engineering - turnkey services</t>
        </is>
      </c>
      <c r="G143" s="30" t="inlineStr">
        <is>
          <t>midcap</t>
        </is>
      </c>
      <c r="H143" s="31" t="n">
        <v>11006.99</v>
      </c>
      <c r="I143" s="31" t="n">
        <v>1821.8</v>
      </c>
      <c r="J143" s="31" t="n">
        <v>3.13</v>
      </c>
      <c r="K143" s="31" t="n">
        <v>777730</v>
      </c>
      <c r="L143" s="30" t="n">
        <v>61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73.5</v>
      </c>
      <c r="P143" s="31" t="n">
        <v>15.55</v>
      </c>
      <c r="Q143" s="31" t="n">
        <v>1452.22</v>
      </c>
      <c r="R143" s="30" t="inlineStr">
        <is>
          <t>Volume Spike &amp; Near 52W High Breakout</t>
        </is>
      </c>
      <c r="S143" s="30" t="inlineStr">
        <is>
          <t>Nifty Realty</t>
        </is>
      </c>
      <c r="T143" s="31" t="n">
        <v>-19.08</v>
      </c>
      <c r="U143" s="31" t="n">
        <v>23.91</v>
      </c>
      <c r="V143" s="31" t="n">
        <v>53.13</v>
      </c>
      <c r="W143" s="31" t="n">
        <v>15.86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0 to 20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Blue sky scenario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No</t>
        </is>
      </c>
      <c r="BS143" s="30">
        <f>IF(BR143="NO",5,0)</f>
        <v/>
      </c>
      <c r="BT143" s="30" t="inlineStr">
        <is>
          <t>Less than 1.5</t>
        </is>
      </c>
      <c r="BU143" s="30">
        <f>IF(BT143="Above 2",0,IF(BT143="Between 1.5 to 2",5,IF(BT143="Less than 1.5",10,0)))</f>
        <v/>
      </c>
      <c r="BV143" s="30" t="inlineStr">
        <is>
          <t>Less than 50%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IF(B144=0,"",RANK(B144,$B$2:$B$400,0))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ADANIGREEN</t>
        </is>
      </c>
      <c r="D144" s="30" t="inlineStr">
        <is>
          <t>Adani Green Energy Ltd</t>
        </is>
      </c>
      <c r="E144" s="30" t="inlineStr">
        <is>
          <t>power &amp; utilities</t>
        </is>
      </c>
      <c r="F144" s="30" t="inlineStr">
        <is>
          <t>power generation and supply</t>
        </is>
      </c>
      <c r="G144" s="30" t="inlineStr">
        <is>
          <t>largecap</t>
        </is>
      </c>
      <c r="H144" s="31" t="n">
        <v>241443.08</v>
      </c>
      <c r="I144" s="31" t="n">
        <v>1506.8</v>
      </c>
      <c r="J144" s="31" t="n">
        <v>2.8</v>
      </c>
      <c r="K144" s="31" t="n">
        <v>2123098</v>
      </c>
      <c r="L144" s="30" t="n">
        <v>85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73.44</v>
      </c>
      <c r="P144" s="31" t="n">
        <v>40.67</v>
      </c>
      <c r="Q144" s="31" t="n">
        <v>1212.34</v>
      </c>
      <c r="R144" s="30" t="inlineStr">
        <is>
          <t>Near 52W High Breakout</t>
        </is>
      </c>
      <c r="S144" s="30" t="inlineStr">
        <is>
          <t>Nifty IT</t>
        </is>
      </c>
      <c r="T144" s="31" t="n">
        <v>-26.99</v>
      </c>
      <c r="U144" s="31" t="n">
        <v>59</v>
      </c>
      <c r="V144" s="31" t="n">
        <v>117.78</v>
      </c>
      <c r="W144" s="31" t="n">
        <v>28.3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Above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Yes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More than 1.2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IF(B145=0,"",RANK(B145,$B$2:$B$400,0))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BOSCHLTD</t>
        </is>
      </c>
      <c r="D145" s="30" t="inlineStr">
        <is>
          <t>Bosch Limited</t>
        </is>
      </c>
      <c r="E145" s="30" t="inlineStr">
        <is>
          <t>auto</t>
        </is>
      </c>
      <c r="F145" s="30" t="inlineStr">
        <is>
          <t>auto ancillaries</t>
        </is>
      </c>
      <c r="G145" s="30" t="inlineStr">
        <is>
          <t>largecap</t>
        </is>
      </c>
      <c r="H145" s="31" t="n">
        <v>115703.55</v>
      </c>
      <c r="I145" s="31" t="n">
        <v>40035</v>
      </c>
      <c r="J145" s="31" t="n">
        <v>2.05</v>
      </c>
      <c r="K145" s="31" t="n">
        <v>53616</v>
      </c>
      <c r="L145" s="30" t="n">
        <v>50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61.38</v>
      </c>
      <c r="P145" s="31" t="n">
        <v>20.81</v>
      </c>
      <c r="Q145" s="31" t="n">
        <v>32970.96</v>
      </c>
      <c r="R145" s="30" t="inlineStr">
        <is>
          <t>Near 52W High Breakout</t>
        </is>
      </c>
      <c r="S145" s="30" t="inlineStr">
        <is>
          <t>Nifty Auto</t>
        </is>
      </c>
      <c r="T145" s="31" t="n">
        <v>12.95</v>
      </c>
      <c r="U145" s="31" t="n">
        <v>25.67</v>
      </c>
      <c r="V145" s="31" t="n">
        <v>11.26</v>
      </c>
      <c r="W145" s="31" t="n">
        <v>12.65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Blue sky scenario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Less than 12%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IF(B146=0,"",RANK(B146,$B$2:$B$400,0))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AARTIIND</t>
        </is>
      </c>
      <c r="D146" s="30" t="inlineStr">
        <is>
          <t>Aarti Industries Limited</t>
        </is>
      </c>
      <c r="E146" s="30" t="inlineStr">
        <is>
          <t>chemicals</t>
        </is>
      </c>
      <c r="F146" s="30" t="inlineStr">
        <is>
          <t>chemicals</t>
        </is>
      </c>
      <c r="G146" s="30" t="inlineStr">
        <is>
          <t>midcap</t>
        </is>
      </c>
      <c r="H146" s="31" t="n">
        <v>17375.52</v>
      </c>
      <c r="I146" s="31" t="n">
        <v>486.45</v>
      </c>
      <c r="J146" s="31" t="n">
        <v>1.51</v>
      </c>
      <c r="K146" s="31" t="n">
        <v>1047043</v>
      </c>
      <c r="L146" s="30" t="n">
        <v>16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60.45</v>
      </c>
      <c r="P146" s="31" t="n">
        <v>20.94</v>
      </c>
      <c r="Q146" s="31" t="n">
        <v>399.89</v>
      </c>
      <c r="R146" s="30" t="inlineStr">
        <is>
          <t>Volume Spike &amp; Near 52W High Breakout</t>
        </is>
      </c>
      <c r="S146" s="30" t="inlineStr">
        <is>
          <t>Nifty 50</t>
        </is>
      </c>
      <c r="T146" s="31" t="n">
        <v>-3.76</v>
      </c>
      <c r="U146" s="31" t="n">
        <v>10.53</v>
      </c>
      <c r="V146" s="31" t="n">
        <v>14.84</v>
      </c>
      <c r="W146" s="31" t="n">
        <v>5.32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20 to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Yes</t>
        </is>
      </c>
      <c r="BS146" s="30">
        <f>IF(BR146="NO",5,0)</f>
        <v/>
      </c>
      <c r="BT146" s="30" t="inlineStr">
        <is>
          <t>Less than 1.5</t>
        </is>
      </c>
      <c r="BU146" s="30">
        <f>IF(BT146="Above 2",0,IF(BT146="Between 1.5 to 2",5,IF(BT146="Less than 1.5",10,0)))</f>
        <v/>
      </c>
      <c r="BV146" s="30" t="inlineStr">
        <is>
          <t>Between 50% to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Between 0.7 to 1.2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IF(B147=0,"",RANK(B147,$B$2:$B$400,0))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HONASA</t>
        </is>
      </c>
      <c r="D147" s="30" t="inlineStr">
        <is>
          <t>Honasa Consumer Ltd</t>
        </is>
      </c>
      <c r="E147" s="30" t="inlineStr">
        <is>
          <t>services</t>
        </is>
      </c>
      <c r="F147" s="30" t="inlineStr">
        <is>
          <t>trading</t>
        </is>
      </c>
      <c r="G147" s="30" t="inlineStr">
        <is>
          <t>midcap</t>
        </is>
      </c>
      <c r="H147" s="31" t="n">
        <v>13061.97</v>
      </c>
      <c r="I147" s="31" t="n">
        <v>406.5</v>
      </c>
      <c r="J147" s="31" t="n">
        <v>1.26</v>
      </c>
      <c r="K147" s="31" t="n">
        <v>1012931</v>
      </c>
      <c r="L147" s="30" t="n">
        <v>61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71.95999999999999</v>
      </c>
      <c r="P147" s="31" t="n">
        <v>34.55</v>
      </c>
      <c r="Q147" s="31" t="n">
        <v>334.4</v>
      </c>
      <c r="R147" s="30" t="inlineStr">
        <is>
          <t>Near 52W High Breakout</t>
        </is>
      </c>
      <c r="S147" s="30" t="inlineStr">
        <is>
          <t>Nifty 50</t>
        </is>
      </c>
      <c r="T147" s="31" t="n">
        <v>-3.76</v>
      </c>
      <c r="U147" s="31" t="n">
        <v>35.21</v>
      </c>
      <c r="V147" s="31" t="n">
        <v>40.49</v>
      </c>
      <c r="W147" s="31" t="n">
        <v>15.61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Yes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Between 50% to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IF(B148=0,"",RANK(B148,$B$2:$B$400,0))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ORBTEXP</t>
        </is>
      </c>
      <c r="D148" s="30" t="inlineStr">
        <is>
          <t>Orbit Exports Limited</t>
        </is>
      </c>
      <c r="E148" s="30" t="inlineStr">
        <is>
          <t>textiles</t>
        </is>
      </c>
      <c r="F148" s="30" t="inlineStr">
        <is>
          <t>textiles - processing</t>
        </is>
      </c>
      <c r="G148" s="30" t="inlineStr">
        <is>
          <t>smallcap</t>
        </is>
      </c>
      <c r="H148" s="31" t="n">
        <v>562.99</v>
      </c>
      <c r="I148" s="31" t="n">
        <v>213.69</v>
      </c>
      <c r="J148" s="31" t="n">
        <v>0.63</v>
      </c>
      <c r="K148" s="31" t="n">
        <v>23054</v>
      </c>
      <c r="L148" s="30" t="n">
        <v>58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66.98999999999999</v>
      </c>
      <c r="P148" s="31" t="n">
        <v>20.4</v>
      </c>
      <c r="Q148" s="31" t="n">
        <v>152.6</v>
      </c>
      <c r="R148" s="30" t="inlineStr">
        <is>
          <t>Volume Spike / Accumulation</t>
        </is>
      </c>
      <c r="S148" s="30" t="inlineStr">
        <is>
          <t>Nifty 50</t>
        </is>
      </c>
      <c r="T148" s="31" t="n">
        <v>-3.76</v>
      </c>
      <c r="U148" s="31" t="n">
        <v>21.7</v>
      </c>
      <c r="V148" s="31" t="n">
        <v>26.45</v>
      </c>
      <c r="W148" s="31" t="n">
        <v>14.73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Less than 12%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No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IF(B149=0,"",RANK(B149,$B$2:$B$400,0))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2" t="inlineStr">
        <is>
          <t>GREENPLY</t>
        </is>
      </c>
      <c r="D149" s="32" t="inlineStr">
        <is>
          <t>Greenply Industries Limited</t>
        </is>
      </c>
      <c r="E149" s="30" t="inlineStr">
        <is>
          <t>building materials</t>
        </is>
      </c>
      <c r="F149" s="30" t="inlineStr">
        <is>
          <t>miscellaneous</t>
        </is>
      </c>
      <c r="G149" s="30" t="inlineStr">
        <is>
          <t>smallcap</t>
        </is>
      </c>
      <c r="H149" s="31" t="n">
        <v>3668</v>
      </c>
      <c r="I149" s="31" t="n">
        <v>292.21</v>
      </c>
      <c r="J149" s="31" t="n">
        <v>-0.5</v>
      </c>
      <c r="K149" s="31" t="n">
        <v>110401</v>
      </c>
      <c r="L149" s="30" t="n">
        <v>46</v>
      </c>
      <c r="M149" s="30" t="inlineStr">
        <is>
          <t>Underperforming</t>
        </is>
      </c>
      <c r="N149" s="31">
        <f>IF(M149="Underperforming",-5,IF(L149&gt;=95,15,IF(L149&gt;=90,10,IF(L149&gt;=80,5,0))))</f>
        <v/>
      </c>
      <c r="O149" s="31" t="n">
        <v>62.55</v>
      </c>
      <c r="P149" s="31" t="n">
        <v>28.16</v>
      </c>
      <c r="Q149" s="31" t="n">
        <v>216.05</v>
      </c>
      <c r="R149" s="30" t="inlineStr">
        <is>
          <t>Earnings / Momentum Support</t>
        </is>
      </c>
      <c r="S149" s="30" t="inlineStr">
        <is>
          <t>Nifty Infra</t>
        </is>
      </c>
      <c r="T149" s="31" t="n">
        <v>4.04</v>
      </c>
      <c r="U149" s="31" t="n">
        <v>-7.56</v>
      </c>
      <c r="V149" s="31" t="n">
        <v>-11.15</v>
      </c>
      <c r="W149" s="31" t="n">
        <v>11.96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No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20 to 40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Close to 52 week high or retracement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Yes</t>
        </is>
      </c>
      <c r="BS149" s="30">
        <f>IF(BR149="NO",5,0)</f>
        <v/>
      </c>
      <c r="BT149" s="30" t="inlineStr">
        <is>
          <t>Less than 1.5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IF(B150=0,"",RANK(B150,$B$2:$B$400,0))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PHOENIXLTD</t>
        </is>
      </c>
      <c r="D150" s="30" t="inlineStr">
        <is>
          <t>The Phoenix Mills Limited</t>
        </is>
      </c>
      <c r="E150" s="30" t="inlineStr">
        <is>
          <t>realty</t>
        </is>
      </c>
      <c r="F150" s="30" t="inlineStr">
        <is>
          <t>construction</t>
        </is>
      </c>
      <c r="G150" s="30" t="inlineStr">
        <is>
          <t>largecap</t>
        </is>
      </c>
      <c r="H150" s="31" t="n">
        <v>66845.49000000001</v>
      </c>
      <c r="I150" s="31" t="n">
        <v>1853.7</v>
      </c>
      <c r="J150" s="31" t="n">
        <v>-0.82</v>
      </c>
      <c r="K150" s="31" t="n">
        <v>290186</v>
      </c>
      <c r="L150" s="30" t="n">
        <v>27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59.73</v>
      </c>
      <c r="P150" s="31" t="n">
        <v>12.93</v>
      </c>
      <c r="Q150" s="31" t="n">
        <v>1523.39</v>
      </c>
      <c r="R150" s="30" t="inlineStr">
        <is>
          <t>Near 52W High Breakout</t>
        </is>
      </c>
      <c r="S150" s="30" t="inlineStr">
        <is>
          <t>Nifty Realty</t>
        </is>
      </c>
      <c r="T150" s="31" t="n">
        <v>-19.08</v>
      </c>
      <c r="U150" s="31" t="n">
        <v>14.89</v>
      </c>
      <c r="V150" s="31" t="n">
        <v>41.98</v>
      </c>
      <c r="W150" s="31" t="n">
        <v>7.58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0 to 20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Yes</t>
        </is>
      </c>
      <c r="BS150" s="30">
        <f>IF(BR150="NO",5,0)</f>
        <v/>
      </c>
      <c r="BT150" s="30" t="inlineStr">
        <is>
          <t>Less than 1.5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IF(B151=0,"",RANK(B151,$B$2:$B$400,0))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2" t="inlineStr">
        <is>
          <t>SFL</t>
        </is>
      </c>
      <c r="D151" s="32" t="inlineStr">
        <is>
          <t>Sheela Foam Limited</t>
        </is>
      </c>
      <c r="E151" s="30" t="inlineStr">
        <is>
          <t>consumer discretionary</t>
        </is>
      </c>
      <c r="F151" s="30" t="inlineStr">
        <is>
          <t>miscellaneous</t>
        </is>
      </c>
      <c r="G151" s="30" t="inlineStr">
        <is>
          <t>midcap</t>
        </is>
      </c>
      <c r="H151" s="31" t="n">
        <v>7715.75</v>
      </c>
      <c r="I151" s="31" t="n">
        <v>702.45</v>
      </c>
      <c r="J151" s="31" t="n">
        <v>-1.03</v>
      </c>
      <c r="K151" s="31" t="n">
        <v>199383</v>
      </c>
      <c r="L151" s="30" t="n">
        <v>28</v>
      </c>
      <c r="M151" s="30" t="inlineStr">
        <is>
          <t>Underperforming</t>
        </is>
      </c>
      <c r="N151" s="31">
        <f>IF(M151="Underperforming",-5,IF(L151&gt;=95,15,IF(L151&gt;=90,10,IF(L151&gt;=80,5,0))))</f>
        <v/>
      </c>
      <c r="O151" s="31" t="n">
        <v>65.81</v>
      </c>
      <c r="P151" s="31" t="n">
        <v>21.06</v>
      </c>
      <c r="Q151" s="31" t="n">
        <v>542.04</v>
      </c>
      <c r="R151" s="30" t="inlineStr">
        <is>
          <t>Near 52W High Breakout</t>
        </is>
      </c>
      <c r="S151" s="30" t="inlineStr">
        <is>
          <t>Nifty 50</t>
        </is>
      </c>
      <c r="T151" s="31" t="n">
        <v>-3.76</v>
      </c>
      <c r="U151" s="31" t="n">
        <v>-5.33</v>
      </c>
      <c r="V151" s="31" t="n">
        <v>-1.63</v>
      </c>
      <c r="W151" s="31" t="n">
        <v>7.64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Yes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IF(B152=0,"",RANK(B152,$B$2:$B$400,0))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STEELCAS</t>
        </is>
      </c>
      <c r="D152" s="30" t="inlineStr">
        <is>
          <t>Steelcast Ltd</t>
        </is>
      </c>
      <c r="E152" s="30" t="inlineStr">
        <is>
          <t>industrials</t>
        </is>
      </c>
      <c r="F152" s="30" t="inlineStr">
        <is>
          <t>castings &amp; forgings</t>
        </is>
      </c>
      <c r="G152" s="30" t="inlineStr">
        <is>
          <t>smallcap</t>
        </is>
      </c>
      <c r="H152" s="31" t="n">
        <v>2992.99</v>
      </c>
      <c r="I152" s="31" t="n">
        <v>292.4</v>
      </c>
      <c r="J152" s="31" t="n">
        <v>-1.13</v>
      </c>
      <c r="K152" s="31" t="n">
        <v>95368</v>
      </c>
      <c r="L152" s="30" t="n">
        <v>50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68.8</v>
      </c>
      <c r="P152" s="31" t="n">
        <v>30.05</v>
      </c>
      <c r="Q152" s="31" t="n">
        <v>219.12</v>
      </c>
      <c r="R152" s="30" t="inlineStr">
        <is>
          <t>Near 52W High Breakout</t>
        </is>
      </c>
      <c r="S152" s="30" t="inlineStr">
        <is>
          <t>Nifty 50</t>
        </is>
      </c>
      <c r="T152" s="31" t="n">
        <v>-3.76</v>
      </c>
      <c r="U152" s="31" t="n">
        <v>35.79</v>
      </c>
      <c r="V152" s="31" t="n">
        <v>41.09</v>
      </c>
      <c r="W152" s="31" t="n">
        <v>12.59</v>
      </c>
      <c r="X152" s="30" t="inlineStr">
        <is>
          <t>Cyclical in an Upturn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20 to 40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Blue sky scenario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Less than 12%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Above 2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IF(B153=0,"",RANK(B153,$B$2:$B$400,0))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ASHIANA</t>
        </is>
      </c>
      <c r="D153" s="30" t="inlineStr">
        <is>
          <t>Ashiana Housing Limited</t>
        </is>
      </c>
      <c r="E153" s="30" t="inlineStr">
        <is>
          <t>realty</t>
        </is>
      </c>
      <c r="F153" s="30" t="inlineStr">
        <is>
          <t>construction</t>
        </is>
      </c>
      <c r="G153" s="30" t="inlineStr">
        <is>
          <t>smallcap</t>
        </is>
      </c>
      <c r="H153" s="31" t="n">
        <v>3875.23</v>
      </c>
      <c r="I153" s="31" t="n">
        <v>379.6</v>
      </c>
      <c r="J153" s="31" t="n">
        <v>-1.53</v>
      </c>
      <c r="K153" s="31" t="n">
        <v>59701</v>
      </c>
      <c r="L153" s="30" t="n">
        <v>29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64.26000000000001</v>
      </c>
      <c r="P153" s="31" t="n">
        <v>28.5</v>
      </c>
      <c r="Q153" s="31" t="n">
        <v>290.77</v>
      </c>
      <c r="R153" s="30" t="inlineStr">
        <is>
          <t>Near 52W High Breakout</t>
        </is>
      </c>
      <c r="S153" s="30" t="inlineStr">
        <is>
          <t>Nifty Realty</t>
        </is>
      </c>
      <c r="T153" s="31" t="n">
        <v>-19.08</v>
      </c>
      <c r="U153" s="31" t="n">
        <v>11.09</v>
      </c>
      <c r="V153" s="31" t="n">
        <v>37.29</v>
      </c>
      <c r="W153" s="31" t="n">
        <v>7.79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Less than 12%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No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IF(B154=0,"",RANK(B154,$B$2:$B$400,0))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CENTUM</t>
        </is>
      </c>
      <c r="D154" s="30" t="inlineStr">
        <is>
          <t>Centum Electronics Limited</t>
        </is>
      </c>
      <c r="E154" s="30" t="inlineStr">
        <is>
          <t>consumer discretionary</t>
        </is>
      </c>
      <c r="F154" s="30" t="inlineStr">
        <is>
          <t>electronics - components</t>
        </is>
      </c>
      <c r="G154" s="30" t="inlineStr">
        <is>
          <t>midcap</t>
        </is>
      </c>
      <c r="H154" s="31" t="n">
        <v>5328.42</v>
      </c>
      <c r="I154" s="31" t="n">
        <v>3489.6</v>
      </c>
      <c r="J154" s="31" t="n">
        <v>-3.46</v>
      </c>
      <c r="K154" s="31" t="n">
        <v>91253</v>
      </c>
      <c r="L154" s="30" t="n">
        <v>57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65.28</v>
      </c>
      <c r="P154" s="31" t="n">
        <v>57.85</v>
      </c>
      <c r="Q154" s="31" t="n">
        <v>2592.82</v>
      </c>
      <c r="R154" s="30" t="inlineStr">
        <is>
          <t>Near 52W High Breakout</t>
        </is>
      </c>
      <c r="S154" s="30" t="inlineStr">
        <is>
          <t>Nifty 50</t>
        </is>
      </c>
      <c r="T154" s="31" t="n">
        <v>-3.76</v>
      </c>
      <c r="U154" s="31" t="n">
        <v>54.13</v>
      </c>
      <c r="V154" s="31" t="n">
        <v>60.15</v>
      </c>
      <c r="W154" s="31" t="n">
        <v>14.55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Above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Blue sky scenario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Less than 12%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Yes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Less than 50%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IF(B155=0,"",RANK(B155,$B$2:$B$400,0))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SASKEN</t>
        </is>
      </c>
      <c r="D155" s="30" t="inlineStr">
        <is>
          <t>Sasken Communication Technologies Limited</t>
        </is>
      </c>
      <c r="E155" s="30" t="inlineStr">
        <is>
          <t>i.t</t>
        </is>
      </c>
      <c r="F155" s="30" t="inlineStr">
        <is>
          <t>computers - software - medium / small</t>
        </is>
      </c>
      <c r="G155" s="30" t="inlineStr">
        <is>
          <t>smallcap</t>
        </is>
      </c>
      <c r="H155" s="31" t="n">
        <v>3655.69</v>
      </c>
      <c r="I155" s="31" t="n">
        <v>2647.9</v>
      </c>
      <c r="J155" s="31" t="n">
        <v>10</v>
      </c>
      <c r="K155" s="31" t="n">
        <v>116241</v>
      </c>
      <c r="L155" s="30" t="n">
        <v>95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79.41</v>
      </c>
      <c r="P155" s="31" t="n">
        <v>34.5</v>
      </c>
      <c r="Q155" s="31" t="n">
        <v>1962.56</v>
      </c>
      <c r="R155" s="30" t="inlineStr">
        <is>
          <t>Near 52W High Breakout</t>
        </is>
      </c>
      <c r="S155" s="30" t="inlineStr">
        <is>
          <t>Nifty IT</t>
        </is>
      </c>
      <c r="T155" s="31" t="n">
        <v>-26.99</v>
      </c>
      <c r="U155" s="31" t="n">
        <v>93.06</v>
      </c>
      <c r="V155" s="31" t="n">
        <v>164.44</v>
      </c>
      <c r="W155" s="31" t="n">
        <v>47.64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Annuity, Lower One Time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Above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Blue sky scenario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Negative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IF(B156=0,"",RANK(B156,$B$2:$B$400,0))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VIYASH</t>
        </is>
      </c>
      <c r="D156" s="30" t="inlineStr">
        <is>
          <t>Viyash Scientific Ltd</t>
        </is>
      </c>
      <c r="E156" s="30" t="inlineStr">
        <is>
          <t>healthcare</t>
        </is>
      </c>
      <c r="F156" s="30" t="inlineStr">
        <is>
          <t>pharmaceuticals - indian - bulk drugs &amp; formln</t>
        </is>
      </c>
      <c r="G156" s="30" t="inlineStr">
        <is>
          <t>midcap</t>
        </is>
      </c>
      <c r="H156" s="31" t="n">
        <v>10674.45</v>
      </c>
      <c r="I156" s="31" t="n">
        <v>253.85</v>
      </c>
      <c r="J156" s="31" t="n">
        <v>3.89</v>
      </c>
      <c r="K156" s="31" t="n">
        <v>4076179</v>
      </c>
      <c r="L156" s="30" t="n">
        <v>56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66.38</v>
      </c>
      <c r="P156" s="31" t="n">
        <v>32.15</v>
      </c>
      <c r="Q156" s="31" t="n">
        <v>198.75</v>
      </c>
      <c r="R156" s="30" t="inlineStr">
        <is>
          <t>Near 52W High Breakout</t>
        </is>
      </c>
      <c r="S156" s="30" t="inlineStr">
        <is>
          <t>Nifty Pharma</t>
        </is>
      </c>
      <c r="T156" s="31" t="n">
        <v>12.35</v>
      </c>
      <c r="U156" s="31" t="n">
        <v>35.68</v>
      </c>
      <c r="V156" s="31" t="n">
        <v>20.77</v>
      </c>
      <c r="W156" s="31" t="n">
        <v>14.22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Yes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Annuity, Lower One Time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20 to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Blue sky scenario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Yes</t>
        </is>
      </c>
      <c r="BS156" s="30">
        <f>IF(BR156="NO",5,0)</f>
        <v/>
      </c>
      <c r="BT156" s="30" t="inlineStr">
        <is>
          <t>Above 2</t>
        </is>
      </c>
      <c r="BU156" s="30">
        <f>IF(BT156="Above 2",0,IF(BT156="Between 1.5 to 2",5,IF(BT156="Less than 1.5",10,0)))</f>
        <v/>
      </c>
      <c r="BV156" s="30" t="inlineStr">
        <is>
          <t>Less than 50%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IF(B157=0,"",RANK(B157,$B$2:$B$400,0))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DBOL</t>
        </is>
      </c>
      <c r="D157" s="30" t="inlineStr">
        <is>
          <t>Dhampur Bio Organics Ltd</t>
        </is>
      </c>
      <c r="E157" s="30" t="inlineStr">
        <is>
          <t>fmcg</t>
        </is>
      </c>
      <c r="F157" s="30" t="inlineStr">
        <is>
          <t>sugar</t>
        </is>
      </c>
      <c r="G157" s="30" t="inlineStr">
        <is>
          <t>smallcap</t>
        </is>
      </c>
      <c r="H157" s="31" t="n">
        <v>750.05</v>
      </c>
      <c r="I157" s="31" t="n">
        <v>116.35</v>
      </c>
      <c r="J157" s="31" t="n">
        <v>2.98</v>
      </c>
      <c r="K157" s="31" t="n">
        <v>53893</v>
      </c>
      <c r="L157" s="30" t="n">
        <v>51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60.55</v>
      </c>
      <c r="P157" s="31" t="n">
        <v>48.48</v>
      </c>
      <c r="Q157" s="31" t="n">
        <v>94.31999999999999</v>
      </c>
      <c r="R157" s="30" t="inlineStr">
        <is>
          <t>Earnings / Momentum Support</t>
        </is>
      </c>
      <c r="S157" s="30" t="inlineStr">
        <is>
          <t>Nifty FMCG</t>
        </is>
      </c>
      <c r="T157" s="31" t="n">
        <v>-9.109999999999999</v>
      </c>
      <c r="U157" s="31" t="n">
        <v>50.74</v>
      </c>
      <c r="V157" s="31" t="n">
        <v>65.84999999999999</v>
      </c>
      <c r="W157" s="31" t="n">
        <v>13.04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B2C</t>
        </is>
      </c>
      <c r="AO157" s="30">
        <f>IF(AN157="B2C",10,IF(AN157="B2B",5,0))</f>
        <v/>
      </c>
      <c r="AP157" s="30" t="inlineStr">
        <is>
          <t>No</t>
        </is>
      </c>
      <c r="AQ157" s="30">
        <f>IF(AP157="Yes",10,0)</f>
        <v/>
      </c>
      <c r="AR157" s="30" t="inlineStr">
        <is>
          <t>Higher Annuity, Lower One Time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Above 40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Less than 12%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No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Between 0.7 to 1.2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IF(B158=0,"",RANK(B158,$B$2:$B$400,0))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VADILALIND</t>
        </is>
      </c>
      <c r="D158" s="30" t="inlineStr">
        <is>
          <t>Vadilal Industries Limited</t>
        </is>
      </c>
      <c r="E158" s="30" t="inlineStr">
        <is>
          <t>fmcg</t>
        </is>
      </c>
      <c r="F158" s="30" t="inlineStr">
        <is>
          <t>food - processing - indian</t>
        </is>
      </c>
      <c r="G158" s="30" t="inlineStr">
        <is>
          <t>smallcap</t>
        </is>
      </c>
      <c r="H158" s="31" t="n">
        <v>4434.1</v>
      </c>
      <c r="I158" s="31" t="n">
        <v>6212.3</v>
      </c>
      <c r="J158" s="31" t="n">
        <v>0.7</v>
      </c>
      <c r="K158" s="31" t="n">
        <v>9211</v>
      </c>
      <c r="L158" s="30" t="n">
        <v>43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68.15000000000001</v>
      </c>
      <c r="P158" s="31" t="n">
        <v>15.37</v>
      </c>
      <c r="Q158" s="31" t="n">
        <v>4802.71</v>
      </c>
      <c r="R158" s="30" t="inlineStr">
        <is>
          <t>Near 52W High Breakout</t>
        </is>
      </c>
      <c r="S158" s="30" t="inlineStr">
        <is>
          <t>Nifty FMCG</t>
        </is>
      </c>
      <c r="T158" s="31" t="n">
        <v>-9.109999999999999</v>
      </c>
      <c r="U158" s="31" t="n">
        <v>12.64</v>
      </c>
      <c r="V158" s="31" t="n">
        <v>23.93</v>
      </c>
      <c r="W158" s="31" t="n">
        <v>11.13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B2C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Annuity, Lower One Time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0 to 20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Between 50% to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IF(B159=0,"",RANK(B159,$B$2:$B$400,0))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LALPATHLAB</t>
        </is>
      </c>
      <c r="D159" s="30" t="inlineStr">
        <is>
          <t>Dr. Lal Path Labs Ltd.</t>
        </is>
      </c>
      <c r="E159" s="30" t="inlineStr">
        <is>
          <t>healthcare</t>
        </is>
      </c>
      <c r="F159" s="30" t="inlineStr">
        <is>
          <t>healthcare</t>
        </is>
      </c>
      <c r="G159" s="30" t="inlineStr">
        <is>
          <t>largecap</t>
        </is>
      </c>
      <c r="H159" s="31" t="n">
        <v>27676.74</v>
      </c>
      <c r="I159" s="31" t="n">
        <v>1662.9</v>
      </c>
      <c r="J159" s="31" t="n">
        <v>0.67</v>
      </c>
      <c r="K159" s="31" t="n">
        <v>321314</v>
      </c>
      <c r="L159" s="30" t="n">
        <v>39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63.31</v>
      </c>
      <c r="P159" s="31" t="n">
        <v>25.07</v>
      </c>
      <c r="Q159" s="31" t="n">
        <v>1327.95</v>
      </c>
      <c r="R159" s="30" t="inlineStr">
        <is>
          <t>Volume Spike &amp; Near 52W High Breakout</t>
        </is>
      </c>
      <c r="S159" s="30" t="inlineStr">
        <is>
          <t>Nifty Pharma</t>
        </is>
      </c>
      <c r="T159" s="31" t="n">
        <v>12.35</v>
      </c>
      <c r="U159" s="31" t="n">
        <v>14.96</v>
      </c>
      <c r="V159" s="31" t="n">
        <v>2.32</v>
      </c>
      <c r="W159" s="31" t="n">
        <v>9.65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Yes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Annuity, Lower One Time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Blue sky scenario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Less than 12%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Yes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IF(B160=0,"",RANK(B160,$B$2:$B$400,0))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2" t="inlineStr">
        <is>
          <t>RAINBOW</t>
        </is>
      </c>
      <c r="D160" s="32" t="inlineStr">
        <is>
          <t>Rainbow Childrens Medicare Ltd</t>
        </is>
      </c>
      <c r="E160" s="30" t="inlineStr">
        <is>
          <t>healthcare</t>
        </is>
      </c>
      <c r="F160" s="30" t="inlineStr">
        <is>
          <t>healthcare</t>
        </is>
      </c>
      <c r="G160" s="30" t="inlineStr">
        <is>
          <t>midcap</t>
        </is>
      </c>
      <c r="H160" s="31" t="n">
        <v>14670.22</v>
      </c>
      <c r="I160" s="31" t="n">
        <v>1450</v>
      </c>
      <c r="J160" s="31" t="n">
        <v>0.38</v>
      </c>
      <c r="K160" s="31" t="n">
        <v>83135</v>
      </c>
      <c r="L160" s="30" t="n">
        <v>24</v>
      </c>
      <c r="M160" s="30" t="inlineStr">
        <is>
          <t>Underperforming</t>
        </is>
      </c>
      <c r="N160" s="31">
        <f>IF(M160="Underperforming",-5,IF(L160&gt;=95,15,IF(L160&gt;=90,10,IF(L160&gt;=80,5,0))))</f>
        <v/>
      </c>
      <c r="O160" s="31" t="n">
        <v>66.98999999999999</v>
      </c>
      <c r="P160" s="31" t="n">
        <v>25.93</v>
      </c>
      <c r="Q160" s="31" t="n">
        <v>1218.07</v>
      </c>
      <c r="R160" s="30" t="inlineStr">
        <is>
          <t>Earnings / Momentum Support</t>
        </is>
      </c>
      <c r="S160" s="30" t="inlineStr">
        <is>
          <t>Nifty Pharma</t>
        </is>
      </c>
      <c r="T160" s="31" t="n">
        <v>12.35</v>
      </c>
      <c r="U160" s="31" t="n">
        <v>0.05</v>
      </c>
      <c r="V160" s="31" t="n">
        <v>-10.95</v>
      </c>
      <c r="W160" s="31" t="n">
        <v>7.12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Yes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No</t>
        </is>
      </c>
      <c r="AQ160" s="30">
        <f>IF(AP160="Yes",10,0)</f>
        <v/>
      </c>
      <c r="AR160" s="30" t="inlineStr">
        <is>
          <t>Higher Annuity, Lower One Time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20 to 40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Yes</t>
        </is>
      </c>
      <c r="BS160" s="30">
        <f>IF(BR160="NO",5,0)</f>
        <v/>
      </c>
      <c r="BT160" s="30" t="inlineStr">
        <is>
          <t>Less than 1.5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IF(B161=0,"",RANK(B161,$B$2:$B$400,0))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HESTERBIO</t>
        </is>
      </c>
      <c r="D161" s="30" t="inlineStr">
        <is>
          <t>Hester Biosciences Limited</t>
        </is>
      </c>
      <c r="E161" s="30" t="inlineStr">
        <is>
          <t>healthcare</t>
        </is>
      </c>
      <c r="F161" s="30" t="inlineStr">
        <is>
          <t>pharmaceuticals - indian - formulations</t>
        </is>
      </c>
      <c r="G161" s="30" t="inlineStr">
        <is>
          <t>smallcap</t>
        </is>
      </c>
      <c r="H161" s="31" t="n">
        <v>1746.12</v>
      </c>
      <c r="I161" s="31" t="n">
        <v>2058.7</v>
      </c>
      <c r="J161" s="31" t="n">
        <v>0.3</v>
      </c>
      <c r="K161" s="31" t="n">
        <v>9589</v>
      </c>
      <c r="L161" s="30" t="n">
        <v>60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70.72</v>
      </c>
      <c r="P161" s="31" t="n">
        <v>37.59</v>
      </c>
      <c r="Q161" s="31" t="n">
        <v>1585.77</v>
      </c>
      <c r="R161" s="30" t="inlineStr">
        <is>
          <t>Earnings / Momentum Support</t>
        </is>
      </c>
      <c r="S161" s="30" t="inlineStr">
        <is>
          <t>Nifty Pharma</t>
        </is>
      </c>
      <c r="T161" s="31" t="n">
        <v>12.35</v>
      </c>
      <c r="U161" s="31" t="n">
        <v>18.12</v>
      </c>
      <c r="V161" s="31" t="n">
        <v>5.14</v>
      </c>
      <c r="W161" s="31" t="n">
        <v>15.51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Yes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No</t>
        </is>
      </c>
      <c r="AQ161" s="30">
        <f>IF(AP161="Yes",10,0)</f>
        <v/>
      </c>
      <c r="AR161" s="30" t="inlineStr">
        <is>
          <t>Higher Annuity, Lower One Time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Close to 52 week high or retracement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No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IF(B162=0,"",RANK(B162,$B$2:$B$400,0))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HMVL</t>
        </is>
      </c>
      <c r="D162" s="30" t="inlineStr">
        <is>
          <t>Hindustan Media Ventures Limited</t>
        </is>
      </c>
      <c r="E162" s="30" t="inlineStr">
        <is>
          <t>media</t>
        </is>
      </c>
      <c r="F162" s="30" t="inlineStr">
        <is>
          <t>entertainment / electronic media software</t>
        </is>
      </c>
      <c r="G162" s="30" t="inlineStr">
        <is>
          <t>smallcap</t>
        </is>
      </c>
      <c r="H162" s="31" t="n">
        <v>626.4299999999999</v>
      </c>
      <c r="I162" s="31" t="n">
        <v>84.83</v>
      </c>
      <c r="J162" s="31" t="n">
        <v>-0.24</v>
      </c>
      <c r="K162" s="31" t="n">
        <v>62596</v>
      </c>
      <c r="L162" s="30" t="n">
        <v>31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66.53</v>
      </c>
      <c r="P162" s="31" t="n">
        <v>28.46</v>
      </c>
      <c r="Q162" s="31" t="n">
        <v>63.46</v>
      </c>
      <c r="R162" s="30" t="inlineStr">
        <is>
          <t>Volume Spike / Accumulation</t>
        </is>
      </c>
      <c r="S162" s="30" t="inlineStr">
        <is>
          <t>Nifty IT</t>
        </is>
      </c>
      <c r="T162" s="31" t="n">
        <v>-26.99</v>
      </c>
      <c r="U162" s="31" t="n">
        <v>-0.09</v>
      </c>
      <c r="V162" s="31" t="n">
        <v>36.84</v>
      </c>
      <c r="W162" s="31" t="n">
        <v>8.220000000000001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Annuity, Lower One Time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Less than 12%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No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Between 50% to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IF(B163=0,"",RANK(B163,$B$2:$B$400,0))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BLSE</t>
        </is>
      </c>
      <c r="D163" s="30" t="inlineStr">
        <is>
          <t>BLS E-Services Ltd</t>
        </is>
      </c>
      <c r="E163" s="30" t="inlineStr">
        <is>
          <t>i.t</t>
        </is>
      </c>
      <c r="F163" s="30" t="inlineStr">
        <is>
          <t>computers - software - medium / small</t>
        </is>
      </c>
      <c r="G163" s="30" t="inlineStr">
        <is>
          <t>smallcap</t>
        </is>
      </c>
      <c r="H163" s="31" t="n">
        <v>2080.7</v>
      </c>
      <c r="I163" s="31" t="n">
        <v>225.11</v>
      </c>
      <c r="J163" s="31" t="n">
        <v>-1.7</v>
      </c>
      <c r="K163" s="31" t="n">
        <v>85681</v>
      </c>
      <c r="L163" s="30" t="n">
        <v>67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66.39</v>
      </c>
      <c r="P163" s="31" t="n">
        <v>21.54</v>
      </c>
      <c r="Q163" s="31" t="n">
        <v>177.76</v>
      </c>
      <c r="R163" s="30" t="inlineStr">
        <is>
          <t>Near 52W High Breakout</t>
        </is>
      </c>
      <c r="S163" s="30" t="inlineStr">
        <is>
          <t>Nifty IT</t>
        </is>
      </c>
      <c r="T163" s="31" t="n">
        <v>-26.99</v>
      </c>
      <c r="U163" s="31" t="n">
        <v>19.76</v>
      </c>
      <c r="V163" s="31" t="n">
        <v>64.04000000000001</v>
      </c>
      <c r="W163" s="31" t="n">
        <v>18.28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Annuity, Lower One Time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Less than 12%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No</t>
        </is>
      </c>
      <c r="BS163" s="30">
        <f>IF(BR163="NO",5,0)</f>
        <v/>
      </c>
      <c r="BT163" s="30" t="inlineStr">
        <is>
          <t>Above 2</t>
        </is>
      </c>
      <c r="BU163" s="30">
        <f>IF(BT163="Above 2",0,IF(BT163="Between 1.5 to 2",5,IF(BT163="Less than 1.5",10,0)))</f>
        <v/>
      </c>
      <c r="BV163" s="30" t="inlineStr">
        <is>
          <t>Between 50% to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IF(B164=0,"",RANK(B164,$B$2:$B$400,0))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TATATECH</t>
        </is>
      </c>
      <c r="D164" s="30" t="inlineStr">
        <is>
          <t>Tata Technologies Ltd</t>
        </is>
      </c>
      <c r="E164" s="30" t="inlineStr">
        <is>
          <t>i.t</t>
        </is>
      </c>
      <c r="F164" s="30" t="inlineStr">
        <is>
          <t>computers - software - medium / small</t>
        </is>
      </c>
      <c r="G164" s="30" t="inlineStr">
        <is>
          <t>largecap</t>
        </is>
      </c>
      <c r="H164" s="31" t="n">
        <v>31404.53</v>
      </c>
      <c r="I164" s="31" t="n">
        <v>753.7</v>
      </c>
      <c r="J164" s="31" t="n">
        <v>-2.57</v>
      </c>
      <c r="K164" s="31" t="n">
        <v>710403</v>
      </c>
      <c r="L164" s="30" t="n">
        <v>47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70.83</v>
      </c>
      <c r="P164" s="31" t="n">
        <v>35.14</v>
      </c>
      <c r="Q164" s="31" t="n">
        <v>627.1</v>
      </c>
      <c r="R164" s="30" t="inlineStr">
        <is>
          <t>Near 52W High Breakout</t>
        </is>
      </c>
      <c r="S164" s="30" t="inlineStr">
        <is>
          <t>Nifty IT</t>
        </is>
      </c>
      <c r="T164" s="31" t="n">
        <v>-26.99</v>
      </c>
      <c r="U164" s="31" t="n">
        <v>10</v>
      </c>
      <c r="V164" s="31" t="n">
        <v>50.68</v>
      </c>
      <c r="W164" s="31" t="n">
        <v>12.11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Annuity, Lower One Time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Close to 52 week high or retracement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Less than 12%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Yes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IF(B165=0,"",RANK(B165,$B$2:$B$400,0))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ORCHPHARMA</t>
        </is>
      </c>
      <c r="D165" s="30" t="inlineStr">
        <is>
          <t>Orchid Pharma Ltd</t>
        </is>
      </c>
      <c r="E165" s="30" t="inlineStr">
        <is>
          <t>healthcare</t>
        </is>
      </c>
      <c r="F165" s="30" t="inlineStr">
        <is>
          <t>pharmaceuticals - indian - bulk drugs &amp; formln</t>
        </is>
      </c>
      <c r="G165" s="30" t="inlineStr">
        <is>
          <t>midcap</t>
        </is>
      </c>
      <c r="H165" s="31" t="n">
        <v>5258.81</v>
      </c>
      <c r="I165" s="31" t="n">
        <v>1008.25</v>
      </c>
      <c r="J165" s="31" t="n">
        <v>-2.76</v>
      </c>
      <c r="K165" s="31" t="n">
        <v>80794</v>
      </c>
      <c r="L165" s="30" t="n">
        <v>89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75.89</v>
      </c>
      <c r="P165" s="31" t="n">
        <v>36.27</v>
      </c>
      <c r="Q165" s="31" t="n">
        <v>765.1</v>
      </c>
      <c r="R165" s="30" t="inlineStr">
        <is>
          <t>Volume Spike &amp; Near 52W High Breakout</t>
        </is>
      </c>
      <c r="S165" s="30" t="inlineStr">
        <is>
          <t>Nifty Pharma</t>
        </is>
      </c>
      <c r="T165" s="31" t="n">
        <v>12.35</v>
      </c>
      <c r="U165" s="31" t="n">
        <v>46.17</v>
      </c>
      <c r="V165" s="31" t="n">
        <v>30.1</v>
      </c>
      <c r="W165" s="31" t="n">
        <v>32.09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Yes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Annuity, Lower One Time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Above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Yes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IF(B166=0,"",RANK(B166,$B$2:$B$400,0))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KPRMILL</t>
        </is>
      </c>
      <c r="D166" s="30" t="inlineStr">
        <is>
          <t>K.p.r. Mill Limited</t>
        </is>
      </c>
      <c r="E166" s="30" t="inlineStr">
        <is>
          <t>consumer discretionary</t>
        </is>
      </c>
      <c r="F166" s="30" t="inlineStr">
        <is>
          <t>textiles - products</t>
        </is>
      </c>
      <c r="G166" s="30" t="inlineStr">
        <is>
          <t>largecap</t>
        </is>
      </c>
      <c r="H166" s="31" t="n">
        <v>35659.75</v>
      </c>
      <c r="I166" s="31" t="n">
        <v>1186.4</v>
      </c>
      <c r="J166" s="31" t="n">
        <v>13.72</v>
      </c>
      <c r="K166" s="31" t="n">
        <v>5589467</v>
      </c>
      <c r="L166" s="30" t="n">
        <v>50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71.23999999999999</v>
      </c>
      <c r="P166" s="31" t="n">
        <v>26.11</v>
      </c>
      <c r="Q166" s="31" t="n">
        <v>933.92</v>
      </c>
      <c r="R166" s="30" t="inlineStr">
        <is>
          <t>Volume Spike &amp; Near 52W High Breakout</t>
        </is>
      </c>
      <c r="S166" s="30" t="inlineStr">
        <is>
          <t>Nifty 50</t>
        </is>
      </c>
      <c r="T166" s="31" t="n">
        <v>-3.76</v>
      </c>
      <c r="U166" s="31" t="n">
        <v>8.76</v>
      </c>
      <c r="V166" s="31" t="n">
        <v>13.01</v>
      </c>
      <c r="W166" s="31" t="n">
        <v>12.51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Less than 12%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Yes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Above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IF(B167=0,"",RANK(B167,$B$2:$B$400,0))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OLECTRA</t>
        </is>
      </c>
      <c r="D167" s="30" t="inlineStr">
        <is>
          <t>Olectra Greentech Ltd</t>
        </is>
      </c>
      <c r="E167" s="30" t="inlineStr">
        <is>
          <t>auto</t>
        </is>
      </c>
      <c r="F167" s="30" t="inlineStr">
        <is>
          <t>automobiles - lcvs / hcvs</t>
        </is>
      </c>
      <c r="G167" s="30" t="inlineStr">
        <is>
          <t>midcap</t>
        </is>
      </c>
      <c r="H167" s="31" t="n">
        <v>11121.12</v>
      </c>
      <c r="I167" s="31" t="n">
        <v>1446.6</v>
      </c>
      <c r="J167" s="31" t="n">
        <v>6.77</v>
      </c>
      <c r="K167" s="31" t="n">
        <v>3590500</v>
      </c>
      <c r="L167" s="30" t="n">
        <v>57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63.36</v>
      </c>
      <c r="P167" s="31" t="n">
        <v>21.41</v>
      </c>
      <c r="Q167" s="31" t="n">
        <v>1074.75</v>
      </c>
      <c r="R167" s="30" t="inlineStr">
        <is>
          <t>Earnings / Momentum Support</t>
        </is>
      </c>
      <c r="S167" s="30" t="inlineStr">
        <is>
          <t>Nifty Auto</t>
        </is>
      </c>
      <c r="T167" s="31" t="n">
        <v>12.95</v>
      </c>
      <c r="U167" s="31" t="n">
        <v>26.15</v>
      </c>
      <c r="V167" s="31" t="n">
        <v>11.68</v>
      </c>
      <c r="W167" s="31" t="n">
        <v>14.34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No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20 to 40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Close to 52 week high or retracement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IF(B168=0,"",RANK(B168,$B$2:$B$400,0))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CARBORUNIV</t>
        </is>
      </c>
      <c r="D168" s="30" t="inlineStr">
        <is>
          <t>Carborundum Universal Limited</t>
        </is>
      </c>
      <c r="E168" s="30" t="inlineStr">
        <is>
          <t>industrials</t>
        </is>
      </c>
      <c r="F168" s="30" t="inlineStr">
        <is>
          <t>abrasives and grinding wheels</t>
        </is>
      </c>
      <c r="G168" s="30" t="inlineStr">
        <is>
          <t>largecap</t>
        </is>
      </c>
      <c r="H168" s="31" t="n">
        <v>21531.37</v>
      </c>
      <c r="I168" s="31" t="n">
        <v>1192.2</v>
      </c>
      <c r="J168" s="31" t="n">
        <v>5.48</v>
      </c>
      <c r="K168" s="31" t="n">
        <v>2071027</v>
      </c>
      <c r="L168" s="30" t="n">
        <v>69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73.34</v>
      </c>
      <c r="P168" s="31" t="n">
        <v>34.74</v>
      </c>
      <c r="Q168" s="31" t="n">
        <v>943.54</v>
      </c>
      <c r="R168" s="30" t="inlineStr">
        <is>
          <t>Volume Spike &amp; Near 52W High Breakout</t>
        </is>
      </c>
      <c r="S168" s="30" t="inlineStr">
        <is>
          <t>Nifty 50</t>
        </is>
      </c>
      <c r="T168" s="31" t="n">
        <v>-3.76</v>
      </c>
      <c r="U168" s="31" t="n">
        <v>27.7</v>
      </c>
      <c r="V168" s="31" t="n">
        <v>32.69</v>
      </c>
      <c r="W168" s="31" t="n">
        <v>19.08</v>
      </c>
      <c r="X168" s="30" t="inlineStr">
        <is>
          <t>Cyclical in an Upturn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20 to 40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Close to 52 week high or retracement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Between 50% to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IF(B169=0,"",RANK(B169,$B$2:$B$400,0))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GPTINFRA</t>
        </is>
      </c>
      <c r="D169" s="30" t="inlineStr">
        <is>
          <t>Gpt Infraprojects Limited</t>
        </is>
      </c>
      <c r="E169" s="30" t="inlineStr">
        <is>
          <t>realty</t>
        </is>
      </c>
      <c r="F169" s="30" t="inlineStr">
        <is>
          <t>construction</t>
        </is>
      </c>
      <c r="G169" s="30" t="inlineStr">
        <is>
          <t>smallcap</t>
        </is>
      </c>
      <c r="H169" s="31" t="n">
        <v>1466.46</v>
      </c>
      <c r="I169" s="31" t="n">
        <v>122.35</v>
      </c>
      <c r="J169" s="31" t="n">
        <v>5.43</v>
      </c>
      <c r="K169" s="31" t="n">
        <v>521065</v>
      </c>
      <c r="L169" s="30" t="n">
        <v>14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60.71</v>
      </c>
      <c r="P169" s="31" t="n">
        <v>16.77</v>
      </c>
      <c r="Q169" s="31" t="n">
        <v>93.51000000000001</v>
      </c>
      <c r="R169" s="30" t="inlineStr">
        <is>
          <t>Near 52W High Breakout</t>
        </is>
      </c>
      <c r="S169" s="30" t="inlineStr">
        <is>
          <t>Nifty Realty</t>
        </is>
      </c>
      <c r="T169" s="31" t="n">
        <v>-19.08</v>
      </c>
      <c r="U169" s="31" t="n">
        <v>2.01</v>
      </c>
      <c r="V169" s="31" t="n">
        <v>26.07</v>
      </c>
      <c r="W169" s="31" t="n">
        <v>4.7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0 to 20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No</t>
        </is>
      </c>
      <c r="BS169" s="30">
        <f>IF(BR169="NO",5,0)</f>
        <v/>
      </c>
      <c r="BT169" s="30" t="inlineStr">
        <is>
          <t>Less than 1.5</t>
        </is>
      </c>
      <c r="BU169" s="30">
        <f>IF(BT169="Above 2",0,IF(BT169="Between 1.5 to 2",5,IF(BT169="Less than 1.5",10,0)))</f>
        <v/>
      </c>
      <c r="BV169" s="30" t="inlineStr">
        <is>
          <t>Less than 50%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IF(B170=0,"",RANK(B170,$B$2:$B$400,0))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INGERRAND</t>
        </is>
      </c>
      <c r="D170" s="30" t="inlineStr">
        <is>
          <t>Ingersoll Rand (india) Limited</t>
        </is>
      </c>
      <c r="E170" s="30" t="inlineStr">
        <is>
          <t>industrials</t>
        </is>
      </c>
      <c r="F170" s="30" t="inlineStr">
        <is>
          <t>compressors / drilling equipment</t>
        </is>
      </c>
      <c r="G170" s="30" t="inlineStr">
        <is>
          <t>midcap</t>
        </is>
      </c>
      <c r="H170" s="31" t="n">
        <v>14201.81</v>
      </c>
      <c r="I170" s="31" t="n">
        <v>4714.1</v>
      </c>
      <c r="J170" s="31" t="n">
        <v>4.79</v>
      </c>
      <c r="K170" s="31" t="n">
        <v>53054</v>
      </c>
      <c r="L170" s="30" t="n">
        <v>45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64.16</v>
      </c>
      <c r="P170" s="31" t="n">
        <v>24.28</v>
      </c>
      <c r="Q170" s="31" t="n">
        <v>3784.31</v>
      </c>
      <c r="R170" s="30" t="inlineStr">
        <is>
          <t>Near 52W High Breakout</t>
        </is>
      </c>
      <c r="S170" s="30" t="inlineStr">
        <is>
          <t>Nifty 50</t>
        </is>
      </c>
      <c r="T170" s="31" t="n">
        <v>-3.76</v>
      </c>
      <c r="U170" s="31" t="n">
        <v>28.22</v>
      </c>
      <c r="V170" s="31" t="n">
        <v>33.23</v>
      </c>
      <c r="W170" s="31" t="n">
        <v>11.8</v>
      </c>
      <c r="X170" s="30" t="inlineStr">
        <is>
          <t>Cyclical in an Upturn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20 to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Blue sky scenario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Less than 12%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Yes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Above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IF(B171=0,"",RANK(B171,$B$2:$B$400,0))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WELENT</t>
        </is>
      </c>
      <c r="D171" s="30" t="inlineStr">
        <is>
          <t>Welspun Enterprises Limited</t>
        </is>
      </c>
      <c r="E171" s="30" t="inlineStr">
        <is>
          <t>realty</t>
        </is>
      </c>
      <c r="F171" s="30" t="inlineStr">
        <is>
          <t>construction</t>
        </is>
      </c>
      <c r="G171" s="30" t="inlineStr">
        <is>
          <t>midcap</t>
        </is>
      </c>
      <c r="H171" s="31" t="n">
        <v>7608.61</v>
      </c>
      <c r="I171" s="31" t="n">
        <v>570.35</v>
      </c>
      <c r="J171" s="31" t="n">
        <v>3.76</v>
      </c>
      <c r="K171" s="31" t="n">
        <v>965724</v>
      </c>
      <c r="L171" s="30" t="n">
        <v>32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65.76000000000001</v>
      </c>
      <c r="P171" s="31" t="n">
        <v>13.94</v>
      </c>
      <c r="Q171" s="31" t="n">
        <v>449.75</v>
      </c>
      <c r="R171" s="30" t="inlineStr">
        <is>
          <t>Near 52W High Breakout</t>
        </is>
      </c>
      <c r="S171" s="30" t="inlineStr">
        <is>
          <t>Nifty Realty</t>
        </is>
      </c>
      <c r="T171" s="31" t="n">
        <v>-19.08</v>
      </c>
      <c r="U171" s="31" t="n">
        <v>14.98</v>
      </c>
      <c r="V171" s="31" t="n">
        <v>42.1</v>
      </c>
      <c r="W171" s="31" t="n">
        <v>8.26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0 to 20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Close to 52 week high or retracement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Less than 1.5</t>
        </is>
      </c>
      <c r="BU171" s="30">
        <f>IF(BT171="Above 2",0,IF(BT171="Between 1.5 to 2",5,IF(BT171="Less than 1.5",10,0)))</f>
        <v/>
      </c>
      <c r="BV171" s="30" t="inlineStr">
        <is>
          <t>Less than 50%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IF(B172=0,"",RANK(B172,$B$2:$B$400,0))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LINDEINDIA</t>
        </is>
      </c>
      <c r="D172" s="30" t="inlineStr">
        <is>
          <t>Linde India Limited</t>
        </is>
      </c>
      <c r="E172" s="30" t="inlineStr">
        <is>
          <t>chemicals</t>
        </is>
      </c>
      <c r="F172" s="30" t="inlineStr">
        <is>
          <t>chemicals</t>
        </is>
      </c>
      <c r="G172" s="30" t="inlineStr">
        <is>
          <t>largecap</t>
        </is>
      </c>
      <c r="H172" s="31" t="n">
        <v>59946.28</v>
      </c>
      <c r="I172" s="31" t="n">
        <v>7275.5</v>
      </c>
      <c r="J172" s="31" t="n">
        <v>3.51</v>
      </c>
      <c r="K172" s="31" t="n">
        <v>56800</v>
      </c>
      <c r="L172" s="30" t="n">
        <v>7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58.23</v>
      </c>
      <c r="P172" s="31" t="n">
        <v>26.14</v>
      </c>
      <c r="Q172" s="31" t="n">
        <v>6458.98</v>
      </c>
      <c r="R172" s="30" t="inlineStr">
        <is>
          <t>Earnings / Momentum Support</t>
        </is>
      </c>
      <c r="S172" s="30" t="inlineStr">
        <is>
          <t>Nifty 500</t>
        </is>
      </c>
      <c r="T172" s="31" t="n">
        <v>0.72</v>
      </c>
      <c r="U172" s="31" t="n">
        <v>11.75</v>
      </c>
      <c r="V172" s="31" t="n">
        <v>10.96</v>
      </c>
      <c r="W172" s="31" t="n">
        <v>3.36</v>
      </c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No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20 to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Close to 52 week high or retracement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Yes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IF(B173=0,"",RANK(B173,$B$2:$B$400,0))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JSWINFRA</t>
        </is>
      </c>
      <c r="D173" s="30" t="inlineStr">
        <is>
          <t>JSW Infrastructure Ltd</t>
        </is>
      </c>
      <c r="E173" s="30" t="inlineStr">
        <is>
          <t>transportation</t>
        </is>
      </c>
      <c r="F173" s="30" t="inlineStr">
        <is>
          <t>miscellaneous</t>
        </is>
      </c>
      <c r="G173" s="30" t="inlineStr">
        <is>
          <t>largecap</t>
        </is>
      </c>
      <c r="H173" s="31" t="n">
        <v>62853.05</v>
      </c>
      <c r="I173" s="31" t="n">
        <v>307.95</v>
      </c>
      <c r="J173" s="31" t="n">
        <v>2.89</v>
      </c>
      <c r="K173" s="31" t="n">
        <v>7197025</v>
      </c>
      <c r="L173" s="30" t="n">
        <v>21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65.02</v>
      </c>
      <c r="P173" s="31" t="n">
        <v>21.24</v>
      </c>
      <c r="Q173" s="31" t="n">
        <v>250.67</v>
      </c>
      <c r="R173" s="30" t="inlineStr">
        <is>
          <t>Volume Spike / Accumulation</t>
        </is>
      </c>
      <c r="S173" s="30" t="inlineStr">
        <is>
          <t>Nifty 500</t>
        </is>
      </c>
      <c r="T173" s="31" t="n">
        <v>0.72</v>
      </c>
      <c r="U173" s="31" t="n">
        <v>2.76</v>
      </c>
      <c r="V173" s="31" t="n">
        <v>2.03</v>
      </c>
      <c r="W173" s="31" t="n">
        <v>6.17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20 to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Less than 12%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Yes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IF(B174=0,"",RANK(B174,$B$2:$B$400,0))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STOVEKRAFT</t>
        </is>
      </c>
      <c r="D174" s="30" t="inlineStr">
        <is>
          <t>Stove Kraft Ltd</t>
        </is>
      </c>
      <c r="E174" s="30" t="inlineStr">
        <is>
          <t>consumer discretionary</t>
        </is>
      </c>
      <c r="F174" s="30" t="inlineStr">
        <is>
          <t>domestic appliances</t>
        </is>
      </c>
      <c r="G174" s="30" t="inlineStr">
        <is>
          <t>smallcap</t>
        </is>
      </c>
      <c r="H174" s="31" t="n">
        <v>2217.86</v>
      </c>
      <c r="I174" s="31" t="n">
        <v>687.75</v>
      </c>
      <c r="J174" s="31" t="n">
        <v>2.66</v>
      </c>
      <c r="K174" s="31" t="n">
        <v>171726</v>
      </c>
      <c r="L174" s="30" t="n">
        <v>54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68.75</v>
      </c>
      <c r="P174" s="31" t="n">
        <v>25.04</v>
      </c>
      <c r="Q174" s="31" t="n">
        <v>524.25</v>
      </c>
      <c r="R174" s="30" t="inlineStr">
        <is>
          <t>Earnings / Momentum Support</t>
        </is>
      </c>
      <c r="S174" s="30" t="inlineStr">
        <is>
          <t>Nifty 50</t>
        </is>
      </c>
      <c r="T174" s="31" t="n">
        <v>-3.76</v>
      </c>
      <c r="U174" s="31" t="n">
        <v>22.62</v>
      </c>
      <c r="V174" s="31" t="n">
        <v>27.42</v>
      </c>
      <c r="W174" s="31" t="n">
        <v>13.99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No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Yes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IF(B175=0,"",RANK(B175,$B$2:$B$400,0))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ZENTEC</t>
        </is>
      </c>
      <c r="D175" s="30" t="inlineStr">
        <is>
          <t>Zen Technologies Limited</t>
        </is>
      </c>
      <c r="E175" s="30" t="inlineStr">
        <is>
          <t>aerospace &amp; defence</t>
        </is>
      </c>
      <c r="F175" s="30" t="inlineStr">
        <is>
          <t>miscellaneous</t>
        </is>
      </c>
      <c r="G175" s="30" t="inlineStr">
        <is>
          <t>midcap</t>
        </is>
      </c>
      <c r="H175" s="31" t="n">
        <v>17041.4</v>
      </c>
      <c r="I175" s="31" t="n">
        <v>1929.4</v>
      </c>
      <c r="J175" s="31" t="n">
        <v>2.23</v>
      </c>
      <c r="K175" s="31" t="n">
        <v>2038962</v>
      </c>
      <c r="L175" s="30" t="n">
        <v>36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72.59999999999999</v>
      </c>
      <c r="P175" s="31" t="n">
        <v>25.15</v>
      </c>
      <c r="Q175" s="31" t="n">
        <v>1474.99</v>
      </c>
      <c r="R175" s="30" t="inlineStr">
        <is>
          <t>Near 52W High Breakout</t>
        </is>
      </c>
      <c r="S175" s="30" t="inlineStr">
        <is>
          <t>Nifty 50</t>
        </is>
      </c>
      <c r="T175" s="31" t="n">
        <v>-3.76</v>
      </c>
      <c r="U175" s="31" t="n">
        <v>1.71</v>
      </c>
      <c r="V175" s="31" t="n">
        <v>5.68</v>
      </c>
      <c r="W175" s="31" t="n">
        <v>9.23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20 to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Less than 12%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IF(B176=0,"",RANK(B176,$B$2:$B$400,0))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AVL</t>
        </is>
      </c>
      <c r="D176" s="30" t="inlineStr">
        <is>
          <t>Aditya Vision Ltd</t>
        </is>
      </c>
      <c r="E176" s="30" t="inlineStr">
        <is>
          <t>consumer discretionary</t>
        </is>
      </c>
      <c r="F176" s="30" t="inlineStr">
        <is>
          <t>trading</t>
        </is>
      </c>
      <c r="G176" s="30" t="inlineStr">
        <is>
          <t>midcap</t>
        </is>
      </c>
      <c r="H176" s="31" t="n">
        <v>7845.14</v>
      </c>
      <c r="I176" s="31" t="n">
        <v>617.45</v>
      </c>
      <c r="J176" s="31" t="n">
        <v>1.64</v>
      </c>
      <c r="K176" s="31" t="n">
        <v>504141</v>
      </c>
      <c r="L176" s="30" t="n">
        <v>76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67.43000000000001</v>
      </c>
      <c r="P176" s="31" t="n">
        <v>23.63</v>
      </c>
      <c r="Q176" s="31" t="n">
        <v>485.78</v>
      </c>
      <c r="R176" s="30" t="inlineStr">
        <is>
          <t>Volume Spike &amp; Near 52W High Breakout</t>
        </is>
      </c>
      <c r="S176" s="30" t="inlineStr">
        <is>
          <t>Nifty 50</t>
        </is>
      </c>
      <c r="T176" s="31" t="n">
        <v>-3.76</v>
      </c>
      <c r="U176" s="31" t="n">
        <v>74.17</v>
      </c>
      <c r="V176" s="31" t="n">
        <v>80.98</v>
      </c>
      <c r="W176" s="31" t="n">
        <v>22.09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20 to 40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Blue sky scenario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Between 1.5 to 2</t>
        </is>
      </c>
      <c r="BU176" s="30">
        <f>IF(BT176="Above 2",0,IF(BT176="Between 1.5 to 2",5,IF(BT176="Less than 1.5",10,0)))</f>
        <v/>
      </c>
      <c r="BV176" s="30" t="inlineStr">
        <is>
          <t>Less than 50%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Between 0.7 to 1.2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IF(B177=0,"",RANK(B177,$B$2:$B$400,0))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JAMNAAUTO</t>
        </is>
      </c>
      <c r="D177" s="30" t="inlineStr">
        <is>
          <t>Jamna Auto Industries Limited</t>
        </is>
      </c>
      <c r="E177" s="30" t="inlineStr">
        <is>
          <t>auto</t>
        </is>
      </c>
      <c r="F177" s="30" t="inlineStr">
        <is>
          <t>auto ancillaries</t>
        </is>
      </c>
      <c r="G177" s="30" t="inlineStr">
        <is>
          <t>midcap</t>
        </is>
      </c>
      <c r="H177" s="31" t="n">
        <v>5205.04</v>
      </c>
      <c r="I177" s="31" t="n">
        <v>132.11</v>
      </c>
      <c r="J177" s="31" t="n">
        <v>1.45</v>
      </c>
      <c r="K177" s="31" t="n">
        <v>4152112</v>
      </c>
      <c r="L177" s="30" t="n">
        <v>43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56.41</v>
      </c>
      <c r="P177" s="31" t="n">
        <v>14.01</v>
      </c>
      <c r="Q177" s="31" t="n">
        <v>96.56999999999999</v>
      </c>
      <c r="R177" s="30" t="inlineStr">
        <is>
          <t>Earnings / Momentum Support</t>
        </is>
      </c>
      <c r="S177" s="30" t="inlineStr">
        <is>
          <t>Nifty Auto</t>
        </is>
      </c>
      <c r="T177" s="31" t="n">
        <v>12.95</v>
      </c>
      <c r="U177" s="31" t="n">
        <v>50.84</v>
      </c>
      <c r="V177" s="31" t="n">
        <v>33.55</v>
      </c>
      <c r="W177" s="31" t="n">
        <v>11.13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No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0 to 20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No</t>
        </is>
      </c>
      <c r="BS177" s="30">
        <f>IF(BR177="NO",5,0)</f>
        <v/>
      </c>
      <c r="BT177" s="30" t="inlineStr">
        <is>
          <t>Less than 1.5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IF(B178=0,"",RANK(B178,$B$2:$B$400,0))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IGPL</t>
        </is>
      </c>
      <c r="D178" s="30" t="inlineStr">
        <is>
          <t>Ig Petrochemicals Limited</t>
        </is>
      </c>
      <c r="E178" s="30" t="inlineStr">
        <is>
          <t>chemicals</t>
        </is>
      </c>
      <c r="F178" s="30" t="inlineStr">
        <is>
          <t>chemicals</t>
        </is>
      </c>
      <c r="G178" s="30" t="inlineStr">
        <is>
          <t>smallcap</t>
        </is>
      </c>
      <c r="H178" s="31" t="n">
        <v>1376.22</v>
      </c>
      <c r="I178" s="31" t="n">
        <v>452.35</v>
      </c>
      <c r="J178" s="31" t="n">
        <v>1.22</v>
      </c>
      <c r="K178" s="31" t="n">
        <v>67184</v>
      </c>
      <c r="L178" s="30" t="n">
        <v>10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59.08</v>
      </c>
      <c r="P178" s="31" t="n">
        <v>21.63</v>
      </c>
      <c r="Q178" s="31" t="n">
        <v>355.92</v>
      </c>
      <c r="R178" s="30" t="inlineStr">
        <is>
          <t>Earnings / Momentum Support</t>
        </is>
      </c>
      <c r="S178" s="30" t="inlineStr">
        <is>
          <t>Nifty 50</t>
        </is>
      </c>
      <c r="T178" s="31" t="n">
        <v>-3.76</v>
      </c>
      <c r="U178" s="31" t="n">
        <v>-0.11</v>
      </c>
      <c r="V178" s="31" t="n">
        <v>3.8</v>
      </c>
      <c r="W178" s="31" t="n">
        <v>3.87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No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Yes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IF(B179=0,"",RANK(B179,$B$2:$B$400,0))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GMRAIRPORT</t>
        </is>
      </c>
      <c r="D179" s="30" t="inlineStr">
        <is>
          <t>GMR Airports Ltd</t>
        </is>
      </c>
      <c r="E179" s="30" t="inlineStr">
        <is>
          <t>miscellaneous</t>
        </is>
      </c>
      <c r="F179" s="30" t="inlineStr">
        <is>
          <t>miscellaneous</t>
        </is>
      </c>
      <c r="G179" s="30" t="inlineStr">
        <is>
          <t>largecap</t>
        </is>
      </c>
      <c r="H179" s="31" t="n">
        <v>115430.73</v>
      </c>
      <c r="I179" s="31" t="n">
        <v>110.55</v>
      </c>
      <c r="J179" s="31" t="n">
        <v>1.13</v>
      </c>
      <c r="K179" s="31" t="n">
        <v>16084104</v>
      </c>
      <c r="L179" s="30" t="n">
        <v>44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65.17</v>
      </c>
      <c r="P179" s="31" t="n">
        <v>13.91</v>
      </c>
      <c r="Q179" s="31" t="n">
        <v>90.67</v>
      </c>
      <c r="R179" s="30" t="inlineStr">
        <is>
          <t>Near 52W High Breakout</t>
        </is>
      </c>
      <c r="S179" s="30" t="inlineStr">
        <is>
          <t>Nifty 50</t>
        </is>
      </c>
      <c r="T179" s="31" t="n">
        <v>-3.76</v>
      </c>
      <c r="U179" s="31" t="n">
        <v>36.53</v>
      </c>
      <c r="V179" s="31" t="n">
        <v>41.87</v>
      </c>
      <c r="W179" s="31" t="n">
        <v>11.47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0 to 20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Blue sky scenario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IF(B180=0,"",RANK(B180,$B$2:$B$400,0))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MINDACORP</t>
        </is>
      </c>
      <c r="D180" s="30" t="inlineStr">
        <is>
          <t>Minda Corporation Limited</t>
        </is>
      </c>
      <c r="E180" s="30" t="inlineStr">
        <is>
          <t>auto</t>
        </is>
      </c>
      <c r="F180" s="30" t="inlineStr">
        <is>
          <t>auto ancillaries</t>
        </is>
      </c>
      <c r="G180" s="30" t="inlineStr">
        <is>
          <t>midcap</t>
        </is>
      </c>
      <c r="H180" s="31" t="n">
        <v>15396.72</v>
      </c>
      <c r="I180" s="31" t="n">
        <v>650.9</v>
      </c>
      <c r="J180" s="31" t="n">
        <v>1.07</v>
      </c>
      <c r="K180" s="31" t="n">
        <v>328315</v>
      </c>
      <c r="L180" s="30" t="n">
        <v>48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65.91</v>
      </c>
      <c r="P180" s="31" t="n">
        <v>19.66</v>
      </c>
      <c r="Q180" s="31" t="n">
        <v>521.01</v>
      </c>
      <c r="R180" s="30" t="inlineStr">
        <is>
          <t>Near 52W High Breakout</t>
        </is>
      </c>
      <c r="S180" s="30" t="inlineStr">
        <is>
          <t>Nifty Auto</t>
        </is>
      </c>
      <c r="T180" s="31" t="n">
        <v>12.95</v>
      </c>
      <c r="U180" s="31" t="n">
        <v>29.23</v>
      </c>
      <c r="V180" s="31" t="n">
        <v>14.41</v>
      </c>
      <c r="W180" s="31" t="n">
        <v>12.19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0 to 20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Blue sky scenario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Yes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IF(B181=0,"",RANK(B181,$B$2:$B$400,0))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UFBL</t>
        </is>
      </c>
      <c r="D181" s="30" t="inlineStr">
        <is>
          <t>United Foodbrands Ltd</t>
        </is>
      </c>
      <c r="E181" s="30" t="inlineStr">
        <is>
          <t>consumer discretionary</t>
        </is>
      </c>
      <c r="F181" s="30" t="inlineStr">
        <is>
          <t>hotels</t>
        </is>
      </c>
      <c r="G181" s="30" t="inlineStr">
        <is>
          <t>smallcap</t>
        </is>
      </c>
      <c r="H181" s="31" t="n">
        <v>2419.84</v>
      </c>
      <c r="I181" s="31" t="n">
        <v>624.55</v>
      </c>
      <c r="J181" s="31" t="n">
        <v>0.88</v>
      </c>
      <c r="K181" s="31" t="n">
        <v>137401</v>
      </c>
      <c r="L181" s="30" t="n">
        <v>97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82.92</v>
      </c>
      <c r="P181" s="31" t="n">
        <v>39.6</v>
      </c>
      <c r="Q181" s="31" t="n">
        <v>462.95</v>
      </c>
      <c r="R181" s="30" t="inlineStr">
        <is>
          <t>Near 52W High Breakout</t>
        </is>
      </c>
      <c r="S181" s="30" t="inlineStr">
        <is>
          <t>Nifty 50</t>
        </is>
      </c>
      <c r="T181" s="31" t="n">
        <v>-3.76</v>
      </c>
      <c r="U181" s="31" t="n">
        <v>97.23999999999999</v>
      </c>
      <c r="V181" s="31" t="n">
        <v>104.94</v>
      </c>
      <c r="W181" s="31" t="n">
        <v>62.74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20 to 40</t>
        </is>
      </c>
      <c r="AY181" s="30">
        <f>IF(AX181="Above 40",20,IF(AX181="20 to 40",10,IF(AX181="0 to 20",-5,0)))</f>
        <v/>
      </c>
      <c r="AZ181" s="30" t="inlineStr">
        <is>
          <t>Above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No</t>
        </is>
      </c>
      <c r="BS181" s="30">
        <f>IF(BR181="NO",5,0)</f>
        <v/>
      </c>
      <c r="BT181" s="30" t="inlineStr">
        <is>
          <t>Above 2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More than 1.2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IF(B182=0,"",RANK(B182,$B$2:$B$400,0))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RICOAUTO</t>
        </is>
      </c>
      <c r="D182" s="30" t="inlineStr">
        <is>
          <t>Rico Auto Industries Limited</t>
        </is>
      </c>
      <c r="E182" s="30" t="inlineStr">
        <is>
          <t>auto</t>
        </is>
      </c>
      <c r="F182" s="30" t="inlineStr">
        <is>
          <t>auto ancillaries</t>
        </is>
      </c>
      <c r="G182" s="30" t="inlineStr">
        <is>
          <t>smallcap</t>
        </is>
      </c>
      <c r="H182" s="31" t="n">
        <v>1938.5</v>
      </c>
      <c r="I182" s="31" t="n">
        <v>144.43</v>
      </c>
      <c r="J182" s="31" t="n">
        <v>0.8</v>
      </c>
      <c r="K182" s="31" t="n">
        <v>5956706</v>
      </c>
      <c r="L182" s="30" t="n">
        <v>77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63.6</v>
      </c>
      <c r="P182" s="31" t="n">
        <v>20.11</v>
      </c>
      <c r="Q182" s="31" t="n">
        <v>102.23</v>
      </c>
      <c r="R182" s="30" t="inlineStr">
        <is>
          <t>Near 52W High Breakout</t>
        </is>
      </c>
      <c r="S182" s="30" t="inlineStr">
        <is>
          <t>Nifty Auto</t>
        </is>
      </c>
      <c r="T182" s="31" t="n">
        <v>12.95</v>
      </c>
      <c r="U182" s="31" t="n">
        <v>96.94</v>
      </c>
      <c r="V182" s="31" t="n">
        <v>74.34999999999999</v>
      </c>
      <c r="W182" s="31" t="n">
        <v>22.68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Blue sky scenario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Less than 12%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No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Between 0.7 to 1.2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IF(B183=0,"",RANK(B183,$B$2:$B$400,0))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AIAENG</t>
        </is>
      </c>
      <c r="D183" s="30" t="inlineStr">
        <is>
          <t>Aia Engineering Limited</t>
        </is>
      </c>
      <c r="E183" s="30" t="inlineStr">
        <is>
          <t>industrials</t>
        </is>
      </c>
      <c r="F183" s="30" t="inlineStr">
        <is>
          <t>castings &amp; forgings</t>
        </is>
      </c>
      <c r="G183" s="30" t="inlineStr">
        <is>
          <t>largecap</t>
        </is>
      </c>
      <c r="H183" s="31" t="n">
        <v>42009.1</v>
      </c>
      <c r="I183" s="31" t="n">
        <v>4532.9</v>
      </c>
      <c r="J183" s="31" t="n">
        <v>0.7</v>
      </c>
      <c r="K183" s="31" t="n">
        <v>51768</v>
      </c>
      <c r="L183" s="30" t="n">
        <v>58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64.84999999999999</v>
      </c>
      <c r="P183" s="31" t="n">
        <v>19.27</v>
      </c>
      <c r="Q183" s="31" t="n">
        <v>3738.51</v>
      </c>
      <c r="R183" s="30" t="inlineStr">
        <is>
          <t>Near 52W High Breakout</t>
        </is>
      </c>
      <c r="S183" s="30" t="inlineStr">
        <is>
          <t>Nifty 50</t>
        </is>
      </c>
      <c r="T183" s="31" t="n">
        <v>-3.76</v>
      </c>
      <c r="U183" s="31" t="n">
        <v>39.36</v>
      </c>
      <c r="V183" s="31" t="n">
        <v>44.81</v>
      </c>
      <c r="W183" s="31" t="n">
        <v>14.75</v>
      </c>
      <c r="X183" s="30" t="inlineStr">
        <is>
          <t>Cyclical in an Upturn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0 to 20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Blue sky scenario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No</t>
        </is>
      </c>
      <c r="BS183" s="30">
        <f>IF(BR183="NO",5,0)</f>
        <v/>
      </c>
      <c r="BT183" s="30" t="inlineStr">
        <is>
          <t>Less than 1.5</t>
        </is>
      </c>
      <c r="BU183" s="30">
        <f>IF(BT183="Above 2",0,IF(BT183="Between 1.5 to 2",5,IF(BT183="Less than 1.5",10,0)))</f>
        <v/>
      </c>
      <c r="BV183" s="30" t="inlineStr">
        <is>
          <t>Less than 50%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IF(B184=0,"",RANK(B184,$B$2:$B$400,0))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SONACOMS</t>
        </is>
      </c>
      <c r="D184" s="30" t="inlineStr">
        <is>
          <t>Sona BLW Precision Forgings Ltd</t>
        </is>
      </c>
      <c r="E184" s="30" t="inlineStr">
        <is>
          <t>auto</t>
        </is>
      </c>
      <c r="F184" s="30" t="inlineStr">
        <is>
          <t>auto ancillaries</t>
        </is>
      </c>
      <c r="G184" s="30" t="inlineStr">
        <is>
          <t>largecap</t>
        </is>
      </c>
      <c r="H184" s="31" t="n">
        <v>37388.54</v>
      </c>
      <c r="I184" s="31" t="n">
        <v>605.05</v>
      </c>
      <c r="J184" s="31" t="n">
        <v>0.63</v>
      </c>
      <c r="K184" s="31" t="n">
        <v>1024033</v>
      </c>
      <c r="L184" s="30" t="n">
        <v>35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62.39</v>
      </c>
      <c r="P184" s="31" t="n">
        <v>26.96</v>
      </c>
      <c r="Q184" s="31" t="n">
        <v>500.09</v>
      </c>
      <c r="R184" s="30" t="inlineStr">
        <is>
          <t>Near 52W High Breakout</t>
        </is>
      </c>
      <c r="S184" s="30" t="inlineStr">
        <is>
          <t>Nifty Auto</t>
        </is>
      </c>
      <c r="T184" s="31" t="n">
        <v>12.95</v>
      </c>
      <c r="U184" s="31" t="n">
        <v>25.07</v>
      </c>
      <c r="V184" s="31" t="n">
        <v>10.73</v>
      </c>
      <c r="W184" s="31" t="n">
        <v>9.01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20 to 40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Between 12 to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Yes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Between 50% to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IF(B185=0,"",RANK(B185,$B$2:$B$400,0))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PSPPROJECT</t>
        </is>
      </c>
      <c r="D185" s="30" t="inlineStr">
        <is>
          <t>PSP Projects Ltd</t>
        </is>
      </c>
      <c r="E185" s="30" t="inlineStr">
        <is>
          <t>realty</t>
        </is>
      </c>
      <c r="F185" s="30" t="inlineStr">
        <is>
          <t>construction</t>
        </is>
      </c>
      <c r="G185" s="30" t="inlineStr">
        <is>
          <t>smallcap</t>
        </is>
      </c>
      <c r="H185" s="31" t="n">
        <v>3597.29</v>
      </c>
      <c r="I185" s="31" t="n">
        <v>911.15</v>
      </c>
      <c r="J185" s="31" t="n">
        <v>0.41</v>
      </c>
      <c r="K185" s="31" t="n">
        <v>59955</v>
      </c>
      <c r="L185" s="30" t="n">
        <v>57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62.82</v>
      </c>
      <c r="P185" s="31" t="n">
        <v>23.51</v>
      </c>
      <c r="Q185" s="31" t="n">
        <v>680.92</v>
      </c>
      <c r="R185" s="30" t="inlineStr">
        <is>
          <t>Earnings / Momentum Support</t>
        </is>
      </c>
      <c r="S185" s="30" t="inlineStr">
        <is>
          <t>Nifty Realty</t>
        </is>
      </c>
      <c r="T185" s="31" t="n">
        <v>-19.08</v>
      </c>
      <c r="U185" s="31" t="n">
        <v>24.1</v>
      </c>
      <c r="V185" s="31" t="n">
        <v>53.37</v>
      </c>
      <c r="W185" s="31" t="n">
        <v>14.42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No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20 to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More than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IF(B186=0,"",RANK(B186,$B$2:$B$400,0))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POLYCAB</t>
        </is>
      </c>
      <c r="D186" s="30" t="inlineStr">
        <is>
          <t>Polycab India Ltd</t>
        </is>
      </c>
      <c r="E186" s="30" t="inlineStr">
        <is>
          <t>industrials</t>
        </is>
      </c>
      <c r="F186" s="30" t="inlineStr">
        <is>
          <t>cables - power</t>
        </is>
      </c>
      <c r="G186" s="30" t="inlineStr">
        <is>
          <t>largecap</t>
        </is>
      </c>
      <c r="H186" s="31" t="n">
        <v>149443.96</v>
      </c>
      <c r="I186" s="31" t="n">
        <v>9952.5</v>
      </c>
      <c r="J186" s="31" t="n">
        <v>0.26</v>
      </c>
      <c r="K186" s="31" t="n">
        <v>264707</v>
      </c>
      <c r="L186" s="30" t="n">
        <v>70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70.98999999999999</v>
      </c>
      <c r="P186" s="31" t="n">
        <v>26.5</v>
      </c>
      <c r="Q186" s="31" t="n">
        <v>8358.43</v>
      </c>
      <c r="R186" s="30" t="inlineStr">
        <is>
          <t>Near 52W High Breakout</t>
        </is>
      </c>
      <c r="S186" s="30" t="inlineStr">
        <is>
          <t>Nifty Energy</t>
        </is>
      </c>
      <c r="T186" s="31" t="n">
        <v>13.64</v>
      </c>
      <c r="U186" s="31" t="n">
        <v>66.79000000000001</v>
      </c>
      <c r="V186" s="31" t="n">
        <v>46.77</v>
      </c>
      <c r="W186" s="31" t="n">
        <v>19.81</v>
      </c>
      <c r="X186" s="30" t="inlineStr">
        <is>
          <t>Cyclical in an Upturn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Blue sky scenario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Less than 12%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IF(B187=0,"",RANK(B187,$B$2:$B$400,0))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BORORENEW</t>
        </is>
      </c>
      <c r="D187" s="30" t="inlineStr">
        <is>
          <t>Borosil Renewables Ltd</t>
        </is>
      </c>
      <c r="E187" s="30" t="inlineStr">
        <is>
          <t>building materials</t>
        </is>
      </c>
      <c r="F187" s="30" t="inlineStr">
        <is>
          <t>glass &amp; glass products</t>
        </is>
      </c>
      <c r="G187" s="30" t="inlineStr">
        <is>
          <t>midcap</t>
        </is>
      </c>
      <c r="H187" s="31" t="n">
        <v>8325.82</v>
      </c>
      <c r="I187" s="31" t="n">
        <v>595.2</v>
      </c>
      <c r="J187" s="31" t="n">
        <v>0.22</v>
      </c>
      <c r="K187" s="31" t="n">
        <v>747638</v>
      </c>
      <c r="L187" s="30" t="n">
        <v>50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61.82</v>
      </c>
      <c r="P187" s="31" t="n">
        <v>22.94</v>
      </c>
      <c r="Q187" s="31" t="n">
        <v>451.52</v>
      </c>
      <c r="R187" s="30" t="inlineStr">
        <is>
          <t>Earnings / Momentum Support</t>
        </is>
      </c>
      <c r="S187" s="30" t="inlineStr">
        <is>
          <t>Nifty Infra</t>
        </is>
      </c>
      <c r="T187" s="31" t="n">
        <v>4.04</v>
      </c>
      <c r="U187" s="31" t="n">
        <v>11.38</v>
      </c>
      <c r="V187" s="31" t="n">
        <v>7.05</v>
      </c>
      <c r="W187" s="31" t="n">
        <v>12.55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No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Yes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IF(B188=0,"",RANK(B188,$B$2:$B$400,0))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CRAFTSMAN</t>
        </is>
      </c>
      <c r="D188" s="30" t="inlineStr">
        <is>
          <t>Craftsman Automation Ltd</t>
        </is>
      </c>
      <c r="E188" s="30" t="inlineStr">
        <is>
          <t>auto</t>
        </is>
      </c>
      <c r="F188" s="30" t="inlineStr">
        <is>
          <t>auto ancillaries</t>
        </is>
      </c>
      <c r="G188" s="30" t="inlineStr">
        <is>
          <t>largecap</t>
        </is>
      </c>
      <c r="H188" s="31" t="n">
        <v>22659.23</v>
      </c>
      <c r="I188" s="31" t="n">
        <v>9500</v>
      </c>
      <c r="J188" s="31" t="n">
        <v>0.02</v>
      </c>
      <c r="K188" s="31" t="n">
        <v>37642</v>
      </c>
      <c r="L188" s="30" t="n">
        <v>74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68.84</v>
      </c>
      <c r="P188" s="31" t="n">
        <v>36.96</v>
      </c>
      <c r="Q188" s="31" t="n">
        <v>7468.77</v>
      </c>
      <c r="R188" s="30" t="inlineStr">
        <is>
          <t>Near 52W High Breakout</t>
        </is>
      </c>
      <c r="S188" s="30" t="inlineStr">
        <is>
          <t>Nifty Auto</t>
        </is>
      </c>
      <c r="T188" s="31" t="n">
        <v>12.95</v>
      </c>
      <c r="U188" s="31" t="n">
        <v>84.26000000000001</v>
      </c>
      <c r="V188" s="31" t="n">
        <v>63.13</v>
      </c>
      <c r="W188" s="31" t="n">
        <v>21.68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Blue sky scenario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Yes</t>
        </is>
      </c>
      <c r="BS188" s="30">
        <f>IF(BR188="NO",5,0)</f>
        <v/>
      </c>
      <c r="BT188" s="30" t="inlineStr">
        <is>
          <t>Less than 1.5</t>
        </is>
      </c>
      <c r="BU188" s="30">
        <f>IF(BT188="Above 2",0,IF(BT188="Between 1.5 to 2",5,IF(BT188="Less than 1.5",10,0)))</f>
        <v/>
      </c>
      <c r="BV188" s="30" t="inlineStr">
        <is>
          <t>Less than 50% and Borrowings are increasing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Between 0.7 to 1.2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IF(B189=0,"",RANK(B189,$B$2:$B$400,0))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JSWDULUX</t>
        </is>
      </c>
      <c r="D189" s="30" t="inlineStr">
        <is>
          <t>JSW Dulux Ltd</t>
        </is>
      </c>
      <c r="E189" s="30" t="inlineStr">
        <is>
          <t>building materials</t>
        </is>
      </c>
      <c r="F189" s="30" t="inlineStr">
        <is>
          <t>paints / varnishes</t>
        </is>
      </c>
      <c r="G189" s="30" t="inlineStr">
        <is>
          <t>midcap</t>
        </is>
      </c>
      <c r="H189" s="31" t="n">
        <v>14716.81</v>
      </c>
      <c r="I189" s="31" t="n">
        <v>3230.9</v>
      </c>
      <c r="J189" s="31" t="n">
        <v>-0.02</v>
      </c>
      <c r="K189" s="31" t="n">
        <v>20960</v>
      </c>
      <c r="L189" s="30" t="n">
        <v>14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58.8</v>
      </c>
      <c r="P189" s="31" t="n">
        <v>17.76</v>
      </c>
      <c r="Q189" s="31" t="n">
        <v>2680.52</v>
      </c>
      <c r="R189" s="30" t="inlineStr">
        <is>
          <t>Earnings / Momentum Support</t>
        </is>
      </c>
      <c r="S189" s="30" t="inlineStr">
        <is>
          <t>Nifty Infra</t>
        </is>
      </c>
      <c r="T189" s="31" t="n">
        <v>4.04</v>
      </c>
      <c r="U189" s="31" t="n">
        <v>9.75</v>
      </c>
      <c r="V189" s="31" t="n">
        <v>5.49</v>
      </c>
      <c r="W189" s="31" t="n">
        <v>4.71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No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0 to 20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No</t>
        </is>
      </c>
      <c r="BS189" s="30">
        <f>IF(BR189="NO",5,0)</f>
        <v/>
      </c>
      <c r="BT189" s="30" t="inlineStr">
        <is>
          <t>Less than 1.5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IF(B190=0,"",RANK(B190,$B$2:$B$400,0))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UNIVCABLES</t>
        </is>
      </c>
      <c r="D190" s="30" t="inlineStr">
        <is>
          <t>Universal Cables Limited</t>
        </is>
      </c>
      <c r="E190" s="30" t="inlineStr">
        <is>
          <t>industrials</t>
        </is>
      </c>
      <c r="F190" s="30" t="inlineStr">
        <is>
          <t>cables - power</t>
        </is>
      </c>
      <c r="G190" s="30" t="inlineStr">
        <is>
          <t>smallcap</t>
        </is>
      </c>
      <c r="H190" s="31" t="n">
        <v>4303.62</v>
      </c>
      <c r="I190" s="31" t="n">
        <v>1236</v>
      </c>
      <c r="J190" s="31" t="n">
        <v>-0.35</v>
      </c>
      <c r="K190" s="31" t="n">
        <v>223349</v>
      </c>
      <c r="L190" s="30" t="n">
        <v>89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68.29000000000001</v>
      </c>
      <c r="P190" s="31" t="n">
        <v>39.33</v>
      </c>
      <c r="Q190" s="31" t="n">
        <v>850.29</v>
      </c>
      <c r="R190" s="30" t="inlineStr">
        <is>
          <t>Near 52W High Breakout</t>
        </is>
      </c>
      <c r="S190" s="30" t="inlineStr">
        <is>
          <t>Nifty Energy</t>
        </is>
      </c>
      <c r="T190" s="31" t="n">
        <v>13.64</v>
      </c>
      <c r="U190" s="31" t="n">
        <v>81.36</v>
      </c>
      <c r="V190" s="31" t="n">
        <v>59.59</v>
      </c>
      <c r="W190" s="31" t="n">
        <v>33.82</v>
      </c>
      <c r="X190" s="30" t="inlineStr">
        <is>
          <t>Cyclical in an Upturn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Blue sky scenario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Less than 12%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Above 2</t>
        </is>
      </c>
      <c r="BU190" s="30">
        <f>IF(BT190="Above 2",0,IF(BT190="Between 1.5 to 2",5,IF(BT190="Less than 1.5",10,0)))</f>
        <v/>
      </c>
      <c r="BV190" s="30" t="inlineStr">
        <is>
          <t>Less than 50%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IF(B191=0,"",RANK(B191,$B$2:$B$400,0))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PRIVISCL</t>
        </is>
      </c>
      <c r="D191" s="30" t="inlineStr">
        <is>
          <t>Privi Speciality Chemicals Ltd</t>
        </is>
      </c>
      <c r="E191" s="30" t="inlineStr">
        <is>
          <t>chemicals</t>
        </is>
      </c>
      <c r="F191" s="30" t="inlineStr">
        <is>
          <t>chemicals</t>
        </is>
      </c>
      <c r="G191" s="30" t="inlineStr">
        <is>
          <t>midcap</t>
        </is>
      </c>
      <c r="H191" s="31" t="n">
        <v>13599.68</v>
      </c>
      <c r="I191" s="31" t="n">
        <v>3463.6</v>
      </c>
      <c r="J191" s="31" t="n">
        <v>-0.51</v>
      </c>
      <c r="K191" s="31" t="n">
        <v>39958</v>
      </c>
      <c r="L191" s="30" t="n">
        <v>49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62.42</v>
      </c>
      <c r="P191" s="31" t="n">
        <v>19.14</v>
      </c>
      <c r="Q191" s="31" t="n">
        <v>2812.78</v>
      </c>
      <c r="R191" s="30" t="inlineStr">
        <is>
          <t>Near 52W High Breakout</t>
        </is>
      </c>
      <c r="S191" s="30" t="inlineStr">
        <is>
          <t>Nifty 50</t>
        </is>
      </c>
      <c r="T191" s="31" t="n">
        <v>-3.76</v>
      </c>
      <c r="U191" s="31" t="n">
        <v>48.14</v>
      </c>
      <c r="V191" s="31" t="n">
        <v>53.93</v>
      </c>
      <c r="W191" s="31" t="n">
        <v>12.46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0 to 20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Blue sky scenario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Yes</t>
        </is>
      </c>
      <c r="BS191" s="30">
        <f>IF(BR191="NO",5,0)</f>
        <v/>
      </c>
      <c r="BT191" s="30" t="inlineStr">
        <is>
          <t>Less than 1.5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Between 0.7 to 1.2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IF(B192=0,"",RANK(B192,$B$2:$B$400,0))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CGPOWER</t>
        </is>
      </c>
      <c r="D192" s="30" t="inlineStr">
        <is>
          <t>CG Power and Industrial Solutions Ltd</t>
        </is>
      </c>
      <c r="E192" s="30" t="inlineStr">
        <is>
          <t>industrials</t>
        </is>
      </c>
      <c r="F192" s="30" t="inlineStr">
        <is>
          <t>electric equipment</t>
        </is>
      </c>
      <c r="G192" s="30" t="inlineStr">
        <is>
          <t>largecap</t>
        </is>
      </c>
      <c r="H192" s="31" t="n">
        <v>151783.04</v>
      </c>
      <c r="I192" s="31" t="n">
        <v>954.45</v>
      </c>
      <c r="J192" s="31" t="n">
        <v>-0.97</v>
      </c>
      <c r="K192" s="31" t="n">
        <v>3552746</v>
      </c>
      <c r="L192" s="30" t="n">
        <v>63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71.95999999999999</v>
      </c>
      <c r="P192" s="31" t="n">
        <v>28.11</v>
      </c>
      <c r="Q192" s="31" t="n">
        <v>787.3099999999999</v>
      </c>
      <c r="R192" s="30" t="inlineStr">
        <is>
          <t>Near 52W High Breakout</t>
        </is>
      </c>
      <c r="S192" s="30" t="inlineStr">
        <is>
          <t>Nifty 500</t>
        </is>
      </c>
      <c r="T192" s="31" t="n">
        <v>0.72</v>
      </c>
      <c r="U192" s="31" t="n">
        <v>38.98</v>
      </c>
      <c r="V192" s="31" t="n">
        <v>37.99</v>
      </c>
      <c r="W192" s="31" t="n">
        <v>16.24</v>
      </c>
      <c r="X192" s="30" t="inlineStr">
        <is>
          <t>Cyclical in an Upturn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Blue sky scenario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Yes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Less than 50%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IF(B193=0,"",RANK(B193,$B$2:$B$400,0))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BOROSCI</t>
        </is>
      </c>
      <c r="D193" s="30" t="inlineStr">
        <is>
          <t>Borosil Scientific Ltd</t>
        </is>
      </c>
      <c r="E193" s="30" t="inlineStr">
        <is>
          <t>building materials</t>
        </is>
      </c>
      <c r="F193" s="30" t="inlineStr">
        <is>
          <t>glass &amp; glass products</t>
        </is>
      </c>
      <c r="G193" s="30" t="inlineStr">
        <is>
          <t>smallcap</t>
        </is>
      </c>
      <c r="H193" s="31" t="n">
        <v>1391.58</v>
      </c>
      <c r="I193" s="31" t="n">
        <v>153.91</v>
      </c>
      <c r="J193" s="31" t="n">
        <v>-1.62</v>
      </c>
      <c r="K193" s="31" t="n">
        <v>95172</v>
      </c>
      <c r="L193" s="30" t="n">
        <v>53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70.2</v>
      </c>
      <c r="P193" s="31" t="n">
        <v>23.95</v>
      </c>
      <c r="Q193" s="31" t="n">
        <v>117.24</v>
      </c>
      <c r="R193" s="30" t="inlineStr">
        <is>
          <t>Earnings / Momentum Support</t>
        </is>
      </c>
      <c r="S193" s="30" t="inlineStr">
        <is>
          <t>Nifty Infra</t>
        </is>
      </c>
      <c r="T193" s="31" t="n">
        <v>4.04</v>
      </c>
      <c r="U193" s="31" t="n">
        <v>11.19</v>
      </c>
      <c r="V193" s="31" t="n">
        <v>6.87</v>
      </c>
      <c r="W193" s="31" t="n">
        <v>13.63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No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No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Between 50% to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IF(B194=0,"",RANK(B194,$B$2:$B$400,0))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APARINDS</t>
        </is>
      </c>
      <c r="D194" s="30" t="inlineStr">
        <is>
          <t>Apar Industries Limited</t>
        </is>
      </c>
      <c r="E194" s="30" t="inlineStr">
        <is>
          <t>industrials</t>
        </is>
      </c>
      <c r="F194" s="30" t="inlineStr">
        <is>
          <t>electric equipment</t>
        </is>
      </c>
      <c r="G194" s="30" t="inlineStr">
        <is>
          <t>largecap</t>
        </is>
      </c>
      <c r="H194" s="31" t="n">
        <v>64683.04</v>
      </c>
      <c r="I194" s="31" t="n">
        <v>15812</v>
      </c>
      <c r="J194" s="31" t="n">
        <v>-1.81</v>
      </c>
      <c r="K194" s="31" t="n">
        <v>186120</v>
      </c>
      <c r="L194" s="30" t="n">
        <v>86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78.34999999999999</v>
      </c>
      <c r="P194" s="31" t="n">
        <v>42.07</v>
      </c>
      <c r="Q194" s="31" t="n">
        <v>12318.05</v>
      </c>
      <c r="R194" s="30" t="inlineStr">
        <is>
          <t>Near 52W High Breakout</t>
        </is>
      </c>
      <c r="S194" s="30" t="inlineStr">
        <is>
          <t>Nifty 500</t>
        </is>
      </c>
      <c r="T194" s="31" t="n">
        <v>0.72</v>
      </c>
      <c r="U194" s="31" t="n">
        <v>100.85</v>
      </c>
      <c r="V194" s="31" t="n">
        <v>99.42</v>
      </c>
      <c r="W194" s="31" t="n">
        <v>29.75</v>
      </c>
      <c r="X194" s="30" t="inlineStr">
        <is>
          <t>Cyclical in an Upturn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Above 40</t>
        </is>
      </c>
      <c r="AY194" s="30">
        <f>IF(AX194="Above 40",20,IF(AX194="20 to 40",10,IF(AX194="0 to 20",-5,0)))</f>
        <v/>
      </c>
      <c r="AZ194" s="30" t="inlineStr">
        <is>
          <t>Above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Blue sky scenario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Less than 12%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Yes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Between 50% to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IF(B195=0,"",RANK(B195,$B$2:$B$400,0))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FCL</t>
        </is>
      </c>
      <c r="D195" s="30" t="inlineStr">
        <is>
          <t>Fineotex Chemical Limited</t>
        </is>
      </c>
      <c r="E195" s="30" t="inlineStr">
        <is>
          <t>chemicals</t>
        </is>
      </c>
      <c r="F195" s="30" t="inlineStr">
        <is>
          <t>chemicals</t>
        </is>
      </c>
      <c r="G195" s="30" t="inlineStr">
        <is>
          <t>midcap</t>
        </is>
      </c>
      <c r="H195" s="31" t="n">
        <v>5220.46</v>
      </c>
      <c r="I195" s="31" t="n">
        <v>43.45</v>
      </c>
      <c r="J195" s="31" t="n">
        <v>-3.08</v>
      </c>
      <c r="K195" s="31" t="n">
        <v>10768206</v>
      </c>
      <c r="L195" s="30" t="n">
        <v>90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76.3</v>
      </c>
      <c r="P195" s="31" t="n">
        <v>34.11</v>
      </c>
      <c r="Q195" s="31" t="n">
        <v>31.86</v>
      </c>
      <c r="R195" s="30" t="inlineStr">
        <is>
          <t>Near 52W High Breakout</t>
        </is>
      </c>
      <c r="S195" s="30" t="inlineStr">
        <is>
          <t>Nifty IT</t>
        </is>
      </c>
      <c r="T195" s="31" t="n">
        <v>-26.99</v>
      </c>
      <c r="U195" s="31" t="n">
        <v>57.22</v>
      </c>
      <c r="V195" s="31" t="n">
        <v>115.35</v>
      </c>
      <c r="W195" s="31" t="n">
        <v>35.41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Above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Blue sky scenario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No</t>
        </is>
      </c>
      <c r="BS195" s="30">
        <f>IF(BR195="NO",5,0)</f>
        <v/>
      </c>
      <c r="BT195" s="30" t="inlineStr">
        <is>
          <t>Above 2</t>
        </is>
      </c>
      <c r="BU195" s="30">
        <f>IF(BT195="Above 2",0,IF(BT195="Between 1.5 to 2",5,IF(BT195="Less than 1.5",10,0)))</f>
        <v/>
      </c>
      <c r="BV195" s="30" t="inlineStr">
        <is>
          <t>Negative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IF(B196=0,"",RANK(B196,$B$2:$B$400,0))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PREMEXPLN</t>
        </is>
      </c>
      <c r="D196" s="30" t="inlineStr">
        <is>
          <t>Premier Explosives Limited</t>
        </is>
      </c>
      <c r="E196" s="30" t="inlineStr">
        <is>
          <t>aerospace &amp; defence</t>
        </is>
      </c>
      <c r="F196" s="30" t="inlineStr">
        <is>
          <t>chemicals</t>
        </is>
      </c>
      <c r="G196" s="30" t="inlineStr">
        <is>
          <t>smallcap</t>
        </is>
      </c>
      <c r="H196" s="31" t="n">
        <v>4117.84</v>
      </c>
      <c r="I196" s="31" t="n">
        <v>741.1</v>
      </c>
      <c r="J196" s="31" t="n">
        <v>-3.24</v>
      </c>
      <c r="K196" s="31" t="n">
        <v>1565118</v>
      </c>
      <c r="L196" s="30" t="n">
        <v>76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71.18000000000001</v>
      </c>
      <c r="P196" s="31" t="n">
        <v>21.8</v>
      </c>
      <c r="Q196" s="31" t="n">
        <v>520.61</v>
      </c>
      <c r="R196" s="30" t="inlineStr">
        <is>
          <t>Near 52W High Breakout</t>
        </is>
      </c>
      <c r="S196" s="30" t="inlineStr">
        <is>
          <t>Nifty IT</t>
        </is>
      </c>
      <c r="T196" s="31" t="n">
        <v>-26.99</v>
      </c>
      <c r="U196" s="31" t="n">
        <v>25.12</v>
      </c>
      <c r="V196" s="31" t="n">
        <v>71.38</v>
      </c>
      <c r="W196" s="31" t="n">
        <v>22.31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20 to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Yes</t>
        </is>
      </c>
      <c r="BS196" s="30">
        <f>IF(BR196="NO",5,0)</f>
        <v/>
      </c>
      <c r="BT196" s="30" t="inlineStr">
        <is>
          <t>Less than 1.5</t>
        </is>
      </c>
      <c r="BU196" s="30">
        <f>IF(BT196="Above 2",0,IF(BT196="Between 1.5 to 2",5,IF(BT196="Less than 1.5",10,0)))</f>
        <v/>
      </c>
      <c r="BV196" s="30" t="inlineStr">
        <is>
          <t>Negative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IF(B197=0,"",RANK(B197,$B$2:$B$400,0))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LLOYDSENGG</t>
        </is>
      </c>
      <c r="D197" s="30" t="inlineStr">
        <is>
          <t>Lloyds Engineering Works Ltd</t>
        </is>
      </c>
      <c r="E197" s="30" t="inlineStr">
        <is>
          <t>industrials</t>
        </is>
      </c>
      <c r="F197" s="30" t="inlineStr">
        <is>
          <t>engineering</t>
        </is>
      </c>
      <c r="G197" s="30" t="inlineStr">
        <is>
          <t>midcap</t>
        </is>
      </c>
      <c r="H197" s="31" t="n">
        <v>12978.84</v>
      </c>
      <c r="I197" s="31" t="n">
        <v>84.76000000000001</v>
      </c>
      <c r="J197" s="31" t="n">
        <v>-3.34</v>
      </c>
      <c r="K197" s="31" t="n">
        <v>63513726</v>
      </c>
      <c r="L197" s="30" t="n">
        <v>91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74.76000000000001</v>
      </c>
      <c r="P197" s="31" t="n">
        <v>30.43</v>
      </c>
      <c r="Q197" s="31" t="n">
        <v>63.06</v>
      </c>
      <c r="R197" s="30" t="inlineStr">
        <is>
          <t>Volume Spike &amp; Near 52W High Breakout</t>
        </is>
      </c>
      <c r="S197" s="30" t="inlineStr">
        <is>
          <t>Nifty 50</t>
        </is>
      </c>
      <c r="T197" s="31" t="n">
        <v>-3.76</v>
      </c>
      <c r="U197" s="31" t="n">
        <v>48.47</v>
      </c>
      <c r="V197" s="31" t="n">
        <v>54.27</v>
      </c>
      <c r="W197" s="31" t="n">
        <v>36.75</v>
      </c>
      <c r="X197" s="30" t="inlineStr">
        <is>
          <t>Cyclical in an Upturn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20 to 40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Blue sky scenario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Above 2</t>
        </is>
      </c>
      <c r="BU197" s="30">
        <f>IF(BT197="Above 2",0,IF(BT197="Between 1.5 to 2",5,IF(BT197="Less than 1.5",10,0)))</f>
        <v/>
      </c>
      <c r="BV197" s="30" t="inlineStr">
        <is>
          <t>Negative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IF(B198=0,"",RANK(B198,$B$2:$B$400,0))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AEROFLEX</t>
        </is>
      </c>
      <c r="D198" s="30" t="inlineStr">
        <is>
          <t>Aeroflex Industries Ltd</t>
        </is>
      </c>
      <c r="E198" s="30" t="inlineStr">
        <is>
          <t>metals &amp; mining</t>
        </is>
      </c>
      <c r="F198" s="30" t="inlineStr">
        <is>
          <t>steel - medium / small</t>
        </is>
      </c>
      <c r="G198" s="30" t="inlineStr">
        <is>
          <t>midcap</t>
        </is>
      </c>
      <c r="H198" s="31" t="n">
        <v>6760.78</v>
      </c>
      <c r="I198" s="31" t="n">
        <v>489</v>
      </c>
      <c r="J198" s="31" t="n">
        <v>-4.29</v>
      </c>
      <c r="K198" s="31" t="n">
        <v>2184388</v>
      </c>
      <c r="L198" s="30" t="n">
        <v>95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76.27</v>
      </c>
      <c r="P198" s="31" t="n">
        <v>61.09</v>
      </c>
      <c r="Q198" s="31" t="n">
        <v>346.46</v>
      </c>
      <c r="R198" s="30" t="inlineStr">
        <is>
          <t>Near 52W High Breakout</t>
        </is>
      </c>
      <c r="S198" s="30" t="inlineStr">
        <is>
          <t>Nifty Metal</t>
        </is>
      </c>
      <c r="T198" s="31" t="n">
        <v>42.37</v>
      </c>
      <c r="U198" s="31" t="n">
        <v>139.5</v>
      </c>
      <c r="V198" s="31" t="n">
        <v>68.23</v>
      </c>
      <c r="W198" s="31" t="n">
        <v>46.82</v>
      </c>
      <c r="X198" s="30" t="inlineStr">
        <is>
          <t>Cyclical in an Upturn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Cyclical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Volatile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Yes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Above 40</t>
        </is>
      </c>
      <c r="AY198" s="30">
        <f>IF(AX198="Above 40",20,IF(AX198="20 to 40",10,IF(AX198="0 to 20",-5,0)))</f>
        <v/>
      </c>
      <c r="AZ198" s="30" t="inlineStr">
        <is>
          <t>Above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Blue sky scenario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Yes</t>
        </is>
      </c>
      <c r="BS198" s="30">
        <f>IF(BR198="NO",5,0)</f>
        <v/>
      </c>
      <c r="BT198" s="30" t="inlineStr">
        <is>
          <t>Above 2</t>
        </is>
      </c>
      <c r="BU198" s="30">
        <f>IF(BT198="Above 2",0,IF(BT198="Between 1.5 to 2",5,IF(BT198="Less than 1.5",10,0)))</f>
        <v/>
      </c>
      <c r="BV198" s="30" t="inlineStr">
        <is>
          <t>Between 50% to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IF(B199=0,"",RANK(B199,$B$2:$B$400,0))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XPROINDIA</t>
        </is>
      </c>
      <c r="D199" s="30" t="inlineStr">
        <is>
          <t>Xpro India Limited</t>
        </is>
      </c>
      <c r="E199" s="30" t="inlineStr">
        <is>
          <t>industrials</t>
        </is>
      </c>
      <c r="F199" s="30" t="inlineStr">
        <is>
          <t>packaging</t>
        </is>
      </c>
      <c r="G199" s="30" t="inlineStr">
        <is>
          <t>smallcap</t>
        </is>
      </c>
      <c r="H199" s="31" t="n">
        <v>3201.36</v>
      </c>
      <c r="I199" s="31" t="n">
        <v>1303.7</v>
      </c>
      <c r="J199" s="31" t="n">
        <v>-4.42</v>
      </c>
      <c r="K199" s="31" t="n">
        <v>122745</v>
      </c>
      <c r="L199" s="30" t="n">
        <v>33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64.83</v>
      </c>
      <c r="P199" s="31" t="n">
        <v>21.78</v>
      </c>
      <c r="Q199" s="31" t="n">
        <v>946.36</v>
      </c>
      <c r="R199" s="30" t="inlineStr">
        <is>
          <t>Volume Spike &amp; Near 52W High Breakout</t>
        </is>
      </c>
      <c r="S199" s="30" t="inlineStr">
        <is>
          <t>Nifty 50</t>
        </is>
      </c>
      <c r="T199" s="31" t="n">
        <v>-3.76</v>
      </c>
      <c r="U199" s="31" t="n">
        <v>8.699999999999999</v>
      </c>
      <c r="V199" s="31" t="n">
        <v>12.95</v>
      </c>
      <c r="W199" s="31" t="n">
        <v>8.609999999999999</v>
      </c>
      <c r="X199" s="30" t="inlineStr">
        <is>
          <t>Cyclical in an Upturn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Yes</t>
        </is>
      </c>
      <c r="BS199" s="30">
        <f>IF(BR199="NO",5,0)</f>
        <v/>
      </c>
      <c r="BT199" s="30" t="inlineStr">
        <is>
          <t>Between 1.5 to 2</t>
        </is>
      </c>
      <c r="BU199" s="30">
        <f>IF(BT199="Above 2",0,IF(BT199="Between 1.5 to 2",5,IF(BT199="Less than 1.5",10,0)))</f>
        <v/>
      </c>
      <c r="BV199" s="30" t="inlineStr">
        <is>
          <t>Less than 50%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IF(B200=0,"",RANK(B200,$B$2:$B$400,0))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2" t="inlineStr">
        <is>
          <t>AKUMS</t>
        </is>
      </c>
      <c r="D200" s="32" t="inlineStr">
        <is>
          <t>Akums Drugs &amp; Pharmaceuticals Ltd</t>
        </is>
      </c>
      <c r="E200" s="30" t="inlineStr">
        <is>
          <t>healthcare</t>
        </is>
      </c>
      <c r="F200" s="30" t="inlineStr">
        <is>
          <t>pharmaceuticals - indian - bulk drugs &amp; formln</t>
        </is>
      </c>
      <c r="G200" s="30" t="inlineStr">
        <is>
          <t>midcap</t>
        </is>
      </c>
      <c r="H200" s="31" t="n">
        <v>9310.639999999999</v>
      </c>
      <c r="I200" s="31" t="n">
        <v>601.7</v>
      </c>
      <c r="J200" s="31" t="n">
        <v>1.72</v>
      </c>
      <c r="K200" s="31" t="n">
        <v>179494</v>
      </c>
      <c r="L200" s="30" t="n">
        <v>29</v>
      </c>
      <c r="M200" s="30" t="inlineStr">
        <is>
          <t>Underperforming</t>
        </is>
      </c>
      <c r="N200" s="31">
        <f>IF(M200="Underperforming",-5,IF(L200&gt;=95,15,IF(L200&gt;=90,10,IF(L200&gt;=80,5,0))))</f>
        <v/>
      </c>
      <c r="O200" s="31" t="n">
        <v>66.52</v>
      </c>
      <c r="P200" s="31" t="n">
        <v>39.07</v>
      </c>
      <c r="Q200" s="31" t="n">
        <v>497.09</v>
      </c>
      <c r="R200" s="30" t="inlineStr">
        <is>
          <t>Near 52W High Breakout</t>
        </is>
      </c>
      <c r="S200" s="30" t="inlineStr">
        <is>
          <t>Nifty Pharma</t>
        </is>
      </c>
      <c r="T200" s="31" t="n">
        <v>12.35</v>
      </c>
      <c r="U200" s="31" t="n">
        <v>10.87</v>
      </c>
      <c r="V200" s="31" t="n">
        <v>-1.32</v>
      </c>
      <c r="W200" s="31" t="n">
        <v>7.91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Yes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Annuity, Lower One Time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20 to 40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Less than 12%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No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IF(B201=0,"",RANK(B201,$B$2:$B$400,0))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SAREGAMA</t>
        </is>
      </c>
      <c r="D201" s="30" t="inlineStr">
        <is>
          <t>Saregama India Limited</t>
        </is>
      </c>
      <c r="E201" s="30" t="inlineStr">
        <is>
          <t>media</t>
        </is>
      </c>
      <c r="F201" s="30" t="inlineStr">
        <is>
          <t>entertainment / electronic media software</t>
        </is>
      </c>
      <c r="G201" s="30" t="inlineStr">
        <is>
          <t>midcap</t>
        </is>
      </c>
      <c r="H201" s="31" t="n">
        <v>8741.98</v>
      </c>
      <c r="I201" s="31" t="n">
        <v>456.15</v>
      </c>
      <c r="J201" s="31" t="n">
        <v>0.61</v>
      </c>
      <c r="K201" s="31" t="n">
        <v>347314</v>
      </c>
      <c r="L201" s="30" t="n">
        <v>23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65.41</v>
      </c>
      <c r="P201" s="31" t="n">
        <v>24.83</v>
      </c>
      <c r="Q201" s="31" t="n">
        <v>368.39</v>
      </c>
      <c r="R201" s="30" t="inlineStr">
        <is>
          <t>Earnings / Momentum Support</t>
        </is>
      </c>
      <c r="S201" s="30" t="inlineStr">
        <is>
          <t>Nifty IT</t>
        </is>
      </c>
      <c r="T201" s="31" t="n">
        <v>-26.99</v>
      </c>
      <c r="U201" s="31" t="n">
        <v>-7.72</v>
      </c>
      <c r="V201" s="31" t="n">
        <v>26.39</v>
      </c>
      <c r="W201" s="31" t="n">
        <v>6.77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No</t>
        </is>
      </c>
      <c r="AQ201" s="30">
        <f>IF(AP201="Yes",10,0)</f>
        <v/>
      </c>
      <c r="AR201" s="30" t="inlineStr">
        <is>
          <t>Higher Annuity, Lower One Time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More than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Yes</t>
        </is>
      </c>
      <c r="BS201" s="30">
        <f>IF(BR201="NO",5,0)</f>
        <v/>
      </c>
      <c r="BT201" s="30" t="inlineStr">
        <is>
          <t>Between 1.5 to 2</t>
        </is>
      </c>
      <c r="BU201" s="30">
        <f>IF(BT201="Above 2",0,IF(BT201="Between 1.5 to 2",5,IF(BT201="Less than 1.5",10,0)))</f>
        <v/>
      </c>
      <c r="BV201" s="30" t="inlineStr">
        <is>
          <t>Less than 50%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IF(B202=0,"",RANK(B202,$B$2:$B$400,0))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LAURUSLABS</t>
        </is>
      </c>
      <c r="D202" s="30" t="inlineStr">
        <is>
          <t>Laurus Labs Limited</t>
        </is>
      </c>
      <c r="E202" s="30" t="inlineStr">
        <is>
          <t>healthcare</t>
        </is>
      </c>
      <c r="F202" s="30" t="inlineStr">
        <is>
          <t>pharmaceuticals - indian - bulk drugs &amp; formln</t>
        </is>
      </c>
      <c r="G202" s="30" t="inlineStr">
        <is>
          <t>largecap</t>
        </is>
      </c>
      <c r="H202" s="31" t="n">
        <v>73949.55</v>
      </c>
      <c r="I202" s="31" t="n">
        <v>1368.8</v>
      </c>
      <c r="J202" s="31" t="n">
        <v>-0.07000000000000001</v>
      </c>
      <c r="K202" s="31" t="n">
        <v>1650715</v>
      </c>
      <c r="L202" s="30" t="n">
        <v>82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69.81</v>
      </c>
      <c r="P202" s="31" t="n">
        <v>36.07</v>
      </c>
      <c r="Q202" s="31" t="n">
        <v>1223.39</v>
      </c>
      <c r="R202" s="30" t="inlineStr">
        <is>
          <t>Earnings / Momentum Support</t>
        </is>
      </c>
      <c r="S202" s="30" t="inlineStr">
        <is>
          <t>Nifty Pharma</t>
        </is>
      </c>
      <c r="T202" s="31" t="n">
        <v>12.35</v>
      </c>
      <c r="U202" s="31" t="n">
        <v>110.64</v>
      </c>
      <c r="V202" s="31" t="n">
        <v>87.48999999999999</v>
      </c>
      <c r="W202" s="31" t="n">
        <v>25.49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Yes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No</t>
        </is>
      </c>
      <c r="AQ202" s="30">
        <f>IF(AP202="Yes",10,0)</f>
        <v/>
      </c>
      <c r="AR202" s="30" t="inlineStr">
        <is>
          <t>Higher Annuity, Lower One Time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Close to 52 week high or retracement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Between 12 to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IF(B203=0,"",RANK(B203,$B$2:$B$400,0))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2" t="inlineStr">
        <is>
          <t>SICALLOG</t>
        </is>
      </c>
      <c r="D203" s="32" t="inlineStr">
        <is>
          <t>Sical Logistics Ltd</t>
        </is>
      </c>
      <c r="E203" s="30" t="inlineStr">
        <is>
          <t>transportation</t>
        </is>
      </c>
      <c r="F203" s="30" t="inlineStr">
        <is>
          <t>miscellaneous</t>
        </is>
      </c>
      <c r="G203" s="30" t="inlineStr">
        <is>
          <t>smallcap</t>
        </is>
      </c>
      <c r="H203" s="31" t="n">
        <v>771.04</v>
      </c>
      <c r="I203" s="31" t="n">
        <v>100.87</v>
      </c>
      <c r="J203" s="31" t="n">
        <v>4.38</v>
      </c>
      <c r="K203" s="31" t="n">
        <v>620674</v>
      </c>
      <c r="L203" s="30" t="n">
        <v>52</v>
      </c>
      <c r="M203" s="30" t="inlineStr">
        <is>
          <t>Underperforming</t>
        </is>
      </c>
      <c r="N203" s="31">
        <f>IF(M203="Underperforming",-5,IF(L203&gt;=95,15,IF(L203&gt;=90,10,IF(L203&gt;=80,5,0))))</f>
        <v/>
      </c>
      <c r="O203" s="31" t="n">
        <v>68.41</v>
      </c>
      <c r="P203" s="31" t="n">
        <v>29.75</v>
      </c>
      <c r="Q203" s="31" t="n">
        <v>75.76000000000001</v>
      </c>
      <c r="R203" s="30" t="inlineStr">
        <is>
          <t>Volume Spike / Accumulation</t>
        </is>
      </c>
      <c r="S203" s="30" t="inlineStr">
        <is>
          <t>Nifty 50</t>
        </is>
      </c>
      <c r="T203" s="31" t="n">
        <v>-3.76</v>
      </c>
      <c r="U203" s="31" t="n">
        <v>-8.42</v>
      </c>
      <c r="V203" s="31" t="n">
        <v>-4.84</v>
      </c>
      <c r="W203" s="31" t="n">
        <v>13.23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20 to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No</t>
        </is>
      </c>
      <c r="BS203" s="30">
        <f>IF(BR203="NO",5,0)</f>
        <v/>
      </c>
      <c r="BT203" s="30" t="inlineStr">
        <is>
          <t>Less than 1.5</t>
        </is>
      </c>
      <c r="BU203" s="30">
        <f>IF(BT203="Above 2",0,IF(BT203="Between 1.5 to 2",5,IF(BT203="Less than 1.5",10,0)))</f>
        <v/>
      </c>
      <c r="BV203" s="30" t="inlineStr">
        <is>
          <t>Between 50% to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More than 1.2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IF(B204=0,"",RANK(B204,$B$2:$B$400,0))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YASHO</t>
        </is>
      </c>
      <c r="D204" s="30" t="inlineStr">
        <is>
          <t>Yasho Industries Ltd</t>
        </is>
      </c>
      <c r="E204" s="30" t="inlineStr">
        <is>
          <t>chemicals</t>
        </is>
      </c>
      <c r="F204" s="30" t="inlineStr">
        <is>
          <t>chemicals</t>
        </is>
      </c>
      <c r="G204" s="30" t="inlineStr">
        <is>
          <t>smallcap</t>
        </is>
      </c>
      <c r="H204" s="31" t="n">
        <v>3345.96</v>
      </c>
      <c r="I204" s="31" t="n">
        <v>2892.4</v>
      </c>
      <c r="J204" s="31" t="n">
        <v>4.23</v>
      </c>
      <c r="K204" s="31" t="n">
        <v>46642</v>
      </c>
      <c r="L204" s="30" t="n">
        <v>91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83.8</v>
      </c>
      <c r="P204" s="31" t="n">
        <v>26.77</v>
      </c>
      <c r="Q204" s="31" t="n">
        <v>2168.3</v>
      </c>
      <c r="R204" s="30" t="inlineStr">
        <is>
          <t>Near 52W High Breakout</t>
        </is>
      </c>
      <c r="S204" s="30" t="inlineStr">
        <is>
          <t>Nifty 50</t>
        </is>
      </c>
      <c r="T204" s="31" t="n">
        <v>-3.76</v>
      </c>
      <c r="U204" s="31" t="n">
        <v>49.36</v>
      </c>
      <c r="V204" s="31" t="n">
        <v>55.19</v>
      </c>
      <c r="W204" s="31" t="n">
        <v>36.02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Above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Blue sky scenario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More than 20%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More than 1.2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IF(B205=0,"",RANK(B205,$B$2:$B$400,0))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DLINKINDIA</t>
        </is>
      </c>
      <c r="D205" s="30" t="inlineStr">
        <is>
          <t>D-link (india) Limited</t>
        </is>
      </c>
      <c r="E205" s="30" t="inlineStr">
        <is>
          <t>services</t>
        </is>
      </c>
      <c r="F205" s="30" t="inlineStr">
        <is>
          <t>trading</t>
        </is>
      </c>
      <c r="G205" s="30" t="inlineStr">
        <is>
          <t>smallcap</t>
        </is>
      </c>
      <c r="H205" s="31" t="n">
        <v>1814.3</v>
      </c>
      <c r="I205" s="31" t="n">
        <v>526.3</v>
      </c>
      <c r="J205" s="31" t="n">
        <v>2.99</v>
      </c>
      <c r="K205" s="31" t="n">
        <v>754389</v>
      </c>
      <c r="L205" s="30" t="n">
        <v>31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69.64</v>
      </c>
      <c r="P205" s="31" t="n">
        <v>29.24</v>
      </c>
      <c r="Q205" s="31" t="n">
        <v>430.09</v>
      </c>
      <c r="R205" s="30" t="inlineStr">
        <is>
          <t>Near 52W High Breakout</t>
        </is>
      </c>
      <c r="S205" s="30" t="inlineStr">
        <is>
          <t>Nifty 50</t>
        </is>
      </c>
      <c r="T205" s="31" t="n">
        <v>-3.76</v>
      </c>
      <c r="U205" s="31" t="n">
        <v>0.8100000000000001</v>
      </c>
      <c r="V205" s="31" t="n">
        <v>4.75</v>
      </c>
      <c r="W205" s="31" t="n">
        <v>8.15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20 to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Close to 52 week high or retracement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Less than 12%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No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Less than 50%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IF(B206=0,"",RANK(B206,$B$2:$B$400,0))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SHREEPUSHK</t>
        </is>
      </c>
      <c r="D206" s="30" t="inlineStr">
        <is>
          <t>Shree Pushkar Chemicals &amp; Fertilisers Limited</t>
        </is>
      </c>
      <c r="E206" s="30" t="inlineStr">
        <is>
          <t>chemicals</t>
        </is>
      </c>
      <c r="F206" s="30" t="inlineStr">
        <is>
          <t>dyes and pigments</t>
        </is>
      </c>
      <c r="G206" s="30" t="inlineStr">
        <is>
          <t>smallcap</t>
        </is>
      </c>
      <c r="H206" s="31" t="n">
        <v>1222.04</v>
      </c>
      <c r="I206" s="31" t="n">
        <v>389.1</v>
      </c>
      <c r="J206" s="31" t="n">
        <v>2.96</v>
      </c>
      <c r="K206" s="31" t="n">
        <v>76620</v>
      </c>
      <c r="L206" s="30" t="n">
        <v>51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56.77</v>
      </c>
      <c r="P206" s="31" t="n">
        <v>25.1</v>
      </c>
      <c r="Q206" s="31" t="n">
        <v>293</v>
      </c>
      <c r="R206" s="30" t="inlineStr">
        <is>
          <t>Earnings / Momentum Support</t>
        </is>
      </c>
      <c r="S206" s="30" t="inlineStr">
        <is>
          <t>Nifty IT</t>
        </is>
      </c>
      <c r="T206" s="31" t="n">
        <v>-26.99</v>
      </c>
      <c r="U206" s="31" t="n">
        <v>27.87</v>
      </c>
      <c r="V206" s="31" t="n">
        <v>75.15000000000001</v>
      </c>
      <c r="W206" s="31" t="n">
        <v>12.83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No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20 to 40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Less than 12%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No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IF(B207=0,"",RANK(B207,$B$2:$B$400,0))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FILATEX</t>
        </is>
      </c>
      <c r="D207" s="30" t="inlineStr">
        <is>
          <t>Filatex India Limited</t>
        </is>
      </c>
      <c r="E207" s="30" t="inlineStr">
        <is>
          <t>textiles</t>
        </is>
      </c>
      <c r="F207" s="30" t="inlineStr">
        <is>
          <t>textiles - manmade</t>
        </is>
      </c>
      <c r="G207" s="30" t="inlineStr">
        <is>
          <t>smallcap</t>
        </is>
      </c>
      <c r="H207" s="31" t="n">
        <v>2357.95</v>
      </c>
      <c r="I207" s="31" t="n">
        <v>54.49</v>
      </c>
      <c r="J207" s="31" t="n">
        <v>2.62</v>
      </c>
      <c r="K207" s="31" t="n">
        <v>1782253</v>
      </c>
      <c r="L207" s="30" t="n">
        <v>36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62.48</v>
      </c>
      <c r="P207" s="31" t="n">
        <v>17.88</v>
      </c>
      <c r="Q207" s="31" t="n">
        <v>40.49</v>
      </c>
      <c r="R207" s="30" t="inlineStr">
        <is>
          <t>Earnings / Momentum Support</t>
        </is>
      </c>
      <c r="S207" s="30" t="inlineStr">
        <is>
          <t>Nifty 50</t>
        </is>
      </c>
      <c r="T207" s="31" t="n">
        <v>-3.76</v>
      </c>
      <c r="U207" s="31" t="n">
        <v>3.85</v>
      </c>
      <c r="V207" s="31" t="n">
        <v>7.91</v>
      </c>
      <c r="W207" s="31" t="n">
        <v>9.130000000000001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No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0 to 20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Close to 52 week high or retracement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Between 12 to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No</t>
        </is>
      </c>
      <c r="BS207" s="30">
        <f>IF(BR207="NO",5,0)</f>
        <v/>
      </c>
      <c r="BT207" s="30" t="inlineStr">
        <is>
          <t>Less than 1.5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IF(B208=0,"",RANK(B208,$B$2:$B$400,0))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2" t="inlineStr">
        <is>
          <t>JINDALSAW</t>
        </is>
      </c>
      <c r="D208" s="32" t="inlineStr">
        <is>
          <t>Jindal Saw Limited</t>
        </is>
      </c>
      <c r="E208" s="30" t="inlineStr">
        <is>
          <t>industrials</t>
        </is>
      </c>
      <c r="F208" s="30" t="inlineStr">
        <is>
          <t>steel - large</t>
        </is>
      </c>
      <c r="G208" s="30" t="inlineStr">
        <is>
          <t>midcap</t>
        </is>
      </c>
      <c r="H208" s="31" t="n">
        <v>16530.01</v>
      </c>
      <c r="I208" s="31" t="n">
        <v>264.06</v>
      </c>
      <c r="J208" s="31" t="n">
        <v>2.16</v>
      </c>
      <c r="K208" s="31" t="n">
        <v>3323364</v>
      </c>
      <c r="L208" s="30" t="n">
        <v>46</v>
      </c>
      <c r="M208" s="30" t="inlineStr">
        <is>
          <t>Underperforming</t>
        </is>
      </c>
      <c r="N208" s="31">
        <f>IF(M208="Underperforming",-5,IF(L208&gt;=95,15,IF(L208&gt;=90,10,IF(L208&gt;=80,5,0))))</f>
        <v/>
      </c>
      <c r="O208" s="31" t="n">
        <v>65.11</v>
      </c>
      <c r="P208" s="31" t="n">
        <v>30.88</v>
      </c>
      <c r="Q208" s="31" t="n">
        <v>196.46</v>
      </c>
      <c r="R208" s="30" t="inlineStr">
        <is>
          <t>Near 52W High Breakout</t>
        </is>
      </c>
      <c r="S208" s="30" t="inlineStr">
        <is>
          <t>Nifty Metal</t>
        </is>
      </c>
      <c r="T208" s="31" t="n">
        <v>42.37</v>
      </c>
      <c r="U208" s="31" t="n">
        <v>11.26</v>
      </c>
      <c r="V208" s="31" t="n">
        <v>-21.85</v>
      </c>
      <c r="W208" s="31" t="n">
        <v>11.93</v>
      </c>
      <c r="X208" s="30" t="inlineStr">
        <is>
          <t>Cyclical in an Upturn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20 to 40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Less than 12%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Above 2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IF(B209=0,"",RANK(B209,$B$2:$B$400,0))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PASUPTAC</t>
        </is>
      </c>
      <c r="D209" s="30" t="inlineStr">
        <is>
          <t>Pasupati Acrylon Ltd</t>
        </is>
      </c>
      <c r="E209" s="30" t="inlineStr">
        <is>
          <t>textiles</t>
        </is>
      </c>
      <c r="F209" s="30" t="inlineStr">
        <is>
          <t>textiles - manmade</t>
        </is>
      </c>
      <c r="G209" s="30" t="inlineStr">
        <is>
          <t>smallcap</t>
        </is>
      </c>
      <c r="H209" s="31" t="n">
        <v>586.76</v>
      </c>
      <c r="I209" s="31" t="n">
        <v>66.89</v>
      </c>
      <c r="J209" s="31" t="n">
        <v>1.61</v>
      </c>
      <c r="K209" s="31" t="n">
        <v>133910</v>
      </c>
      <c r="L209" s="30" t="n">
        <v>68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63.88</v>
      </c>
      <c r="P209" s="31" t="n">
        <v>34.29</v>
      </c>
      <c r="Q209" s="31" t="n">
        <v>52.31</v>
      </c>
      <c r="R209" s="30" t="inlineStr">
        <is>
          <t>Earnings / Momentum Support</t>
        </is>
      </c>
      <c r="S209" s="30" t="inlineStr">
        <is>
          <t>Nifty 50</t>
        </is>
      </c>
      <c r="T209" s="31" t="n">
        <v>-3.76</v>
      </c>
      <c r="U209" s="31" t="n">
        <v>36.32</v>
      </c>
      <c r="V209" s="31" t="n">
        <v>41.64</v>
      </c>
      <c r="W209" s="31" t="n">
        <v>18.53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No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More than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No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Less than 50%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IF(B210=0,"",RANK(B210,$B$2:$B$400,0))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DREDGECORP</t>
        </is>
      </c>
      <c r="D210" s="30" t="inlineStr">
        <is>
          <t>Dredging Corporation Of India Limited</t>
        </is>
      </c>
      <c r="E210" s="30" t="inlineStr">
        <is>
          <t>miscellaneous</t>
        </is>
      </c>
      <c r="F210" s="30" t="inlineStr">
        <is>
          <t>miscellaneous</t>
        </is>
      </c>
      <c r="G210" s="30" t="inlineStr">
        <is>
          <t>smallcap</t>
        </is>
      </c>
      <c r="H210" s="31" t="n">
        <v>3138.24</v>
      </c>
      <c r="I210" s="31" t="n">
        <v>1137.2</v>
      </c>
      <c r="J210" s="31" t="n">
        <v>1.46</v>
      </c>
      <c r="K210" s="31" t="n">
        <v>223017</v>
      </c>
      <c r="L210" s="30" t="n">
        <v>65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60.59</v>
      </c>
      <c r="P210" s="31" t="n">
        <v>35.67</v>
      </c>
      <c r="Q210" s="31" t="n">
        <v>779.46</v>
      </c>
      <c r="R210" s="30" t="inlineStr">
        <is>
          <t>Near 52W High Breakout</t>
        </is>
      </c>
      <c r="S210" s="30" t="inlineStr">
        <is>
          <t>Nifty 50</t>
        </is>
      </c>
      <c r="T210" s="31" t="n">
        <v>-3.76</v>
      </c>
      <c r="U210" s="31" t="n">
        <v>60.94</v>
      </c>
      <c r="V210" s="31" t="n">
        <v>67.23</v>
      </c>
      <c r="W210" s="31" t="n">
        <v>17.64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20 to 40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Yes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Between 50% to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Between 0.7 to 1.2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IF(B211=0,"",RANK(B211,$B$2:$B$400,0))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TITAGARH</t>
        </is>
      </c>
      <c r="D211" s="30" t="inlineStr">
        <is>
          <t>Titagarh Rail Systems Ltd</t>
        </is>
      </c>
      <c r="E211" s="30" t="inlineStr">
        <is>
          <t>industrials</t>
        </is>
      </c>
      <c r="F211" s="30" t="inlineStr">
        <is>
          <t>engineering</t>
        </is>
      </c>
      <c r="G211" s="30" t="inlineStr">
        <is>
          <t>midcap</t>
        </is>
      </c>
      <c r="H211" s="31" t="n">
        <v>12395.37</v>
      </c>
      <c r="I211" s="31" t="n">
        <v>932.6</v>
      </c>
      <c r="J211" s="31" t="n">
        <v>1.33</v>
      </c>
      <c r="K211" s="31" t="n">
        <v>3362059</v>
      </c>
      <c r="L211" s="30" t="n">
        <v>55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65.23999999999999</v>
      </c>
      <c r="P211" s="31" t="n">
        <v>22.33</v>
      </c>
      <c r="Q211" s="31" t="n">
        <v>719.91</v>
      </c>
      <c r="R211" s="30" t="inlineStr">
        <is>
          <t>Near 52W High Breakout</t>
        </is>
      </c>
      <c r="S211" s="30" t="inlineStr">
        <is>
          <t>Nifty 50</t>
        </is>
      </c>
      <c r="T211" s="31" t="n">
        <v>-3.76</v>
      </c>
      <c r="U211" s="31" t="n">
        <v>7.83</v>
      </c>
      <c r="V211" s="31" t="n">
        <v>12.04</v>
      </c>
      <c r="W211" s="31" t="n">
        <v>14.04</v>
      </c>
      <c r="X211" s="30" t="inlineStr">
        <is>
          <t>Cyclical in an Upturn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Yes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20 to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Less than 12%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IF(B212=0,"",RANK(B212,$B$2:$B$400,0))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RSWM</t>
        </is>
      </c>
      <c r="D212" s="30" t="inlineStr">
        <is>
          <t>Rswm Limited</t>
        </is>
      </c>
      <c r="E212" s="30" t="inlineStr">
        <is>
          <t>textiles</t>
        </is>
      </c>
      <c r="F212" s="30" t="inlineStr">
        <is>
          <t>textiles - cotton/blended</t>
        </is>
      </c>
      <c r="G212" s="30" t="inlineStr">
        <is>
          <t>smallcap</t>
        </is>
      </c>
      <c r="H212" s="31" t="n">
        <v>909.63</v>
      </c>
      <c r="I212" s="31" t="n">
        <v>195.32</v>
      </c>
      <c r="J212" s="31" t="n">
        <v>1.14</v>
      </c>
      <c r="K212" s="31" t="n">
        <v>101062</v>
      </c>
      <c r="L212" s="30" t="n">
        <v>57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63.3</v>
      </c>
      <c r="P212" s="31" t="n">
        <v>25.52</v>
      </c>
      <c r="Q212" s="31" t="n">
        <v>153.97</v>
      </c>
      <c r="R212" s="30" t="inlineStr">
        <is>
          <t>Earnings / Momentum Support</t>
        </is>
      </c>
      <c r="S212" s="30" t="inlineStr">
        <is>
          <t>Nifty 50</t>
        </is>
      </c>
      <c r="T212" s="31" t="n">
        <v>-3.76</v>
      </c>
      <c r="U212" s="31" t="n">
        <v>15.96</v>
      </c>
      <c r="V212" s="31" t="n">
        <v>20.49</v>
      </c>
      <c r="W212" s="31" t="n">
        <v>14.43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No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20 to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Less than 1.5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More than 1.2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IF(B213=0,"",RANK(B213,$B$2:$B$400,0))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DATAPATTNS</t>
        </is>
      </c>
      <c r="D213" s="30" t="inlineStr">
        <is>
          <t>Data Patterns (India) Ltd</t>
        </is>
      </c>
      <c r="E213" s="30" t="inlineStr">
        <is>
          <t>aerospace &amp; defence</t>
        </is>
      </c>
      <c r="F213" s="30" t="inlineStr">
        <is>
          <t>electronics - components</t>
        </is>
      </c>
      <c r="G213" s="30" t="inlineStr">
        <is>
          <t>largecap</t>
        </is>
      </c>
      <c r="H213" s="31" t="n">
        <v>26702.11</v>
      </c>
      <c r="I213" s="31" t="n">
        <v>4802.1</v>
      </c>
      <c r="J213" s="31" t="n">
        <v>0.68</v>
      </c>
      <c r="K213" s="31" t="n">
        <v>1614207</v>
      </c>
      <c r="L213" s="30" t="n">
        <v>75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76.75</v>
      </c>
      <c r="P213" s="31" t="n">
        <v>30.04</v>
      </c>
      <c r="Q213" s="31" t="n">
        <v>3532.06</v>
      </c>
      <c r="R213" s="30" t="inlineStr">
        <is>
          <t>Near 52W High Breakout</t>
        </is>
      </c>
      <c r="S213" s="30" t="inlineStr">
        <is>
          <t>Nifty 50</t>
        </is>
      </c>
      <c r="T213" s="31" t="n">
        <v>-3.76</v>
      </c>
      <c r="U213" s="31" t="n">
        <v>62.84</v>
      </c>
      <c r="V213" s="31" t="n">
        <v>69.2</v>
      </c>
      <c r="W213" s="31" t="n">
        <v>22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20 to 40</t>
        </is>
      </c>
      <c r="AY213" s="30">
        <f>IF(AX213="Above 40",20,IF(AX213="20 to 40",10,IF(AX213="0 to 20",-5,0)))</f>
        <v/>
      </c>
      <c r="AZ213" s="30" t="inlineStr">
        <is>
          <t>Above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Blue sky scenario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More than 20%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Less than 50%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IF(B214=0,"",RANK(B214,$B$2:$B$400,0))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MUNJALAU</t>
        </is>
      </c>
      <c r="D214" s="30" t="inlineStr">
        <is>
          <t>Munjal Auto Industries Limited</t>
        </is>
      </c>
      <c r="E214" s="30" t="inlineStr">
        <is>
          <t>auto</t>
        </is>
      </c>
      <c r="F214" s="30" t="inlineStr">
        <is>
          <t>auto ancillaries</t>
        </is>
      </c>
      <c r="G214" s="30" t="inlineStr">
        <is>
          <t>smallcap</t>
        </is>
      </c>
      <c r="H214" s="31" t="n">
        <v>966.7</v>
      </c>
      <c r="I214" s="31" t="n">
        <v>97.13</v>
      </c>
      <c r="J214" s="31" t="n">
        <v>0.48</v>
      </c>
      <c r="K214" s="31" t="n">
        <v>169681</v>
      </c>
      <c r="L214" s="30" t="n">
        <v>51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66.14</v>
      </c>
      <c r="P214" s="31" t="n">
        <v>24.3</v>
      </c>
      <c r="Q214" s="31" t="n">
        <v>73.93000000000001</v>
      </c>
      <c r="R214" s="30" t="inlineStr">
        <is>
          <t>Earnings / Momentum Support</t>
        </is>
      </c>
      <c r="S214" s="30" t="inlineStr">
        <is>
          <t>Nifty Auto</t>
        </is>
      </c>
      <c r="T214" s="31" t="n">
        <v>12.95</v>
      </c>
      <c r="U214" s="31" t="n">
        <v>31.73</v>
      </c>
      <c r="V214" s="31" t="n">
        <v>16.63</v>
      </c>
      <c r="W214" s="31" t="n">
        <v>13.17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No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Less than 1.5</t>
        </is>
      </c>
      <c r="BU214" s="30">
        <f>IF(BT214="Above 2",0,IF(BT214="Between 1.5 to 2",5,IF(BT214="Less than 1.5",10,0)))</f>
        <v/>
      </c>
      <c r="BV214" s="30" t="inlineStr">
        <is>
          <t>Less than 50%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Between 0.7 to 1.2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IF(B215=0,"",RANK(B215,$B$2:$B$400,0))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ELGIEQUIP</t>
        </is>
      </c>
      <c r="D215" s="30" t="inlineStr">
        <is>
          <t>Elgi Equipments Limited</t>
        </is>
      </c>
      <c r="E215" s="30" t="inlineStr">
        <is>
          <t>industrials</t>
        </is>
      </c>
      <c r="F215" s="30" t="inlineStr">
        <is>
          <t>compressors / drilling equipment</t>
        </is>
      </c>
      <c r="G215" s="30" t="inlineStr">
        <is>
          <t>midcap</t>
        </is>
      </c>
      <c r="H215" s="31" t="n">
        <v>19017.71</v>
      </c>
      <c r="I215" s="31" t="n">
        <v>602</v>
      </c>
      <c r="J215" s="31" t="n">
        <v>0.32</v>
      </c>
      <c r="K215" s="31" t="n">
        <v>236148</v>
      </c>
      <c r="L215" s="30" t="n">
        <v>36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64.53</v>
      </c>
      <c r="P215" s="31" t="n">
        <v>16.95</v>
      </c>
      <c r="Q215" s="31" t="n">
        <v>485.92</v>
      </c>
      <c r="R215" s="30" t="inlineStr">
        <is>
          <t>Near 52W High Breakout</t>
        </is>
      </c>
      <c r="S215" s="30" t="inlineStr">
        <is>
          <t>Nifty 50</t>
        </is>
      </c>
      <c r="T215" s="31" t="n">
        <v>-3.76</v>
      </c>
      <c r="U215" s="31" t="n">
        <v>18.45</v>
      </c>
      <c r="V215" s="31" t="n">
        <v>23.08</v>
      </c>
      <c r="W215" s="31" t="n">
        <v>9.06</v>
      </c>
      <c r="X215" s="30" t="inlineStr">
        <is>
          <t>Cyclical in an Upturn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0 to 20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Yes</t>
        </is>
      </c>
      <c r="BS215" s="30">
        <f>IF(BR215="NO",5,0)</f>
        <v/>
      </c>
      <c r="BT215" s="30" t="inlineStr">
        <is>
          <t>Between 1.5 to 2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IF(B216=0,"",RANK(B216,$B$2:$B$400,0))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PREMIERENE</t>
        </is>
      </c>
      <c r="D216" s="30" t="inlineStr">
        <is>
          <t>Premier Energies Ltd</t>
        </is>
      </c>
      <c r="E216" s="30" t="inlineStr">
        <is>
          <t>services</t>
        </is>
      </c>
      <c r="F216" s="30" t="inlineStr">
        <is>
          <t>trading</t>
        </is>
      </c>
      <c r="G216" s="30" t="inlineStr">
        <is>
          <t>largecap</t>
        </is>
      </c>
      <c r="H216" s="31" t="n">
        <v>47827.15</v>
      </c>
      <c r="I216" s="31" t="n">
        <v>1057.7</v>
      </c>
      <c r="J216" s="31" t="n">
        <v>0.18</v>
      </c>
      <c r="K216" s="31" t="n">
        <v>959162</v>
      </c>
      <c r="L216" s="30" t="n">
        <v>19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61.4</v>
      </c>
      <c r="P216" s="31" t="n">
        <v>17.37</v>
      </c>
      <c r="Q216" s="31" t="n">
        <v>853.8</v>
      </c>
      <c r="R216" s="30" t="inlineStr">
        <is>
          <t>Near 52W High Breakout</t>
        </is>
      </c>
      <c r="S216" s="30" t="inlineStr">
        <is>
          <t>Nifty 50</t>
        </is>
      </c>
      <c r="T216" s="31" t="n">
        <v>-3.76</v>
      </c>
      <c r="U216" s="31" t="n">
        <v>3</v>
      </c>
      <c r="V216" s="31" t="n">
        <v>7.03</v>
      </c>
      <c r="W216" s="31" t="n">
        <v>5.8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0 to 20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Less than 1.5</t>
        </is>
      </c>
      <c r="BU216" s="30">
        <f>IF(BT216="Above 2",0,IF(BT216="Between 1.5 to 2",5,IF(BT216="Less than 1.5",10,0)))</f>
        <v/>
      </c>
      <c r="BV216" s="30" t="inlineStr">
        <is>
          <t>Between 50% to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Between 0.7 to 1.2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IF(B217=0,"",RANK(B217,$B$2:$B$400,0))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TIRUPATIFL</t>
        </is>
      </c>
      <c r="D217" s="30" t="inlineStr">
        <is>
          <t>Tirupati Forge Ltd</t>
        </is>
      </c>
      <c r="E217" s="30" t="inlineStr">
        <is>
          <t>industrials</t>
        </is>
      </c>
      <c r="F217" s="30" t="inlineStr">
        <is>
          <t>castings &amp; forgings</t>
        </is>
      </c>
      <c r="G217" s="30" t="inlineStr">
        <is>
          <t>smallcap</t>
        </is>
      </c>
      <c r="H217" s="31" t="n">
        <v>617.92</v>
      </c>
      <c r="I217" s="31" t="n">
        <v>47.16</v>
      </c>
      <c r="J217" s="31" t="n">
        <v>-1.4</v>
      </c>
      <c r="K217" s="31" t="n">
        <v>218205</v>
      </c>
      <c r="L217" s="30" t="n">
        <v>12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60.07</v>
      </c>
      <c r="P217" s="31" t="n">
        <v>30.81</v>
      </c>
      <c r="Q217" s="31" t="n">
        <v>31.84</v>
      </c>
      <c r="R217" s="30" t="inlineStr">
        <is>
          <t>Near 52W High Breakout</t>
        </is>
      </c>
      <c r="S217" s="30" t="inlineStr">
        <is>
          <t>Nifty 50</t>
        </is>
      </c>
      <c r="T217" s="31" t="n">
        <v>-3.76</v>
      </c>
      <c r="U217" s="31" t="n">
        <v>11.28</v>
      </c>
      <c r="V217" s="31" t="n">
        <v>15.63</v>
      </c>
      <c r="W217" s="31" t="n">
        <v>4.33</v>
      </c>
      <c r="X217" s="30" t="inlineStr">
        <is>
          <t>Cyclical in an Upturn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Less than 12%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Yes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IF(B218=0,"",RANK(B218,$B$2:$B$400,0))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MGEL</t>
        </is>
      </c>
      <c r="D218" s="30" t="inlineStr">
        <is>
          <t>Mangalam Global Enterprise Ltd</t>
        </is>
      </c>
      <c r="E218" s="30" t="inlineStr">
        <is>
          <t>services</t>
        </is>
      </c>
      <c r="F218" s="30" t="inlineStr">
        <is>
          <t>trading</t>
        </is>
      </c>
      <c r="G218" s="30" t="inlineStr">
        <is>
          <t>smallcap</t>
        </is>
      </c>
      <c r="H218" s="31" t="n">
        <v>541.46</v>
      </c>
      <c r="I218" s="31" t="n">
        <v>15.7</v>
      </c>
      <c r="J218" s="31" t="n">
        <v>-4.44</v>
      </c>
      <c r="K218" s="31" t="n">
        <v>643133</v>
      </c>
      <c r="L218" s="30" t="n">
        <v>56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61.35</v>
      </c>
      <c r="P218" s="31" t="n">
        <v>29.41</v>
      </c>
      <c r="Q218" s="31" t="n">
        <v>11.61</v>
      </c>
      <c r="R218" s="30" t="inlineStr">
        <is>
          <t>Earnings / Momentum Support</t>
        </is>
      </c>
      <c r="S218" s="30" t="inlineStr">
        <is>
          <t>Nifty 50</t>
        </is>
      </c>
      <c r="T218" s="31" t="n">
        <v>-3.76</v>
      </c>
      <c r="U218" s="31" t="n">
        <v>7.16</v>
      </c>
      <c r="V218" s="31" t="n">
        <v>11.34</v>
      </c>
      <c r="W218" s="31" t="n">
        <v>14.26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No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20 to 40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No</t>
        </is>
      </c>
      <c r="BS218" s="30">
        <f>IF(BR218="NO",5,0)</f>
        <v/>
      </c>
      <c r="BT218" s="30" t="inlineStr">
        <is>
          <t>Above 2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Between 0.7 to 1.2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IF(B219=0,"",RANK(B219,$B$2:$B$400,0))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INOXINDIA</t>
        </is>
      </c>
      <c r="D219" s="30" t="inlineStr">
        <is>
          <t>Inox India Ltd</t>
        </is>
      </c>
      <c r="E219" s="30" t="inlineStr">
        <is>
          <t>industrials</t>
        </is>
      </c>
      <c r="F219" s="30" t="inlineStr">
        <is>
          <t>packaging</t>
        </is>
      </c>
      <c r="G219" s="30" t="inlineStr">
        <is>
          <t>midcap</t>
        </is>
      </c>
      <c r="H219" s="31" t="n">
        <v>17382.12</v>
      </c>
      <c r="I219" s="31" t="n">
        <v>1812.4</v>
      </c>
      <c r="J219" s="31" t="n">
        <v>-5.36</v>
      </c>
      <c r="K219" s="31" t="n">
        <v>402619</v>
      </c>
      <c r="L219" s="30" t="n">
        <v>74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81.7</v>
      </c>
      <c r="P219" s="31" t="n">
        <v>56.99</v>
      </c>
      <c r="Q219" s="31" t="n">
        <v>1390.82</v>
      </c>
      <c r="R219" s="30" t="inlineStr">
        <is>
          <t>Near 52W High Breakout</t>
        </is>
      </c>
      <c r="S219" s="30" t="inlineStr">
        <is>
          <t>Nifty 50</t>
        </is>
      </c>
      <c r="T219" s="31" t="n">
        <v>-3.76</v>
      </c>
      <c r="U219" s="31" t="n">
        <v>53.38</v>
      </c>
      <c r="V219" s="31" t="n">
        <v>59.37</v>
      </c>
      <c r="W219" s="31" t="n">
        <v>21.54</v>
      </c>
      <c r="X219" s="30" t="inlineStr">
        <is>
          <t>Cyclical in an Upturn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Above 40</t>
        </is>
      </c>
      <c r="AY219" s="30">
        <f>IF(AX219="Above 40",20,IF(AX219="20 to 40",10,IF(AX219="0 to 20",-5,0)))</f>
        <v/>
      </c>
      <c r="AZ219" s="30" t="inlineStr">
        <is>
          <t>Above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Blue sky scenario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Between 12 to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Yes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Less than 50%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IF(B220=0,"",RANK(B220,$B$2:$B$400,0))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2" t="inlineStr">
        <is>
          <t>ZIMLAB</t>
        </is>
      </c>
      <c r="D220" s="32" t="inlineStr">
        <is>
          <t>Zim Laboratories Ltd</t>
        </is>
      </c>
      <c r="E220" s="30" t="inlineStr">
        <is>
          <t>healthcare</t>
        </is>
      </c>
      <c r="F220" s="30" t="inlineStr">
        <is>
          <t>pharmaceuticals - indian - bulk drugs &amp; formln</t>
        </is>
      </c>
      <c r="G220" s="30" t="inlineStr">
        <is>
          <t>smallcap</t>
        </is>
      </c>
      <c r="H220" s="31" t="n">
        <v>580.96</v>
      </c>
      <c r="I220" s="31" t="n">
        <v>113.97</v>
      </c>
      <c r="J220" s="31" t="n">
        <v>4.95</v>
      </c>
      <c r="K220" s="31" t="n">
        <v>79215</v>
      </c>
      <c r="L220" s="30" t="n">
        <v>70</v>
      </c>
      <c r="M220" s="30" t="inlineStr">
        <is>
          <t>Underperforming</t>
        </is>
      </c>
      <c r="N220" s="31">
        <f>IF(M220="Underperforming",-5,IF(L220&gt;=95,15,IF(L220&gt;=90,10,IF(L220&gt;=80,5,0))))</f>
        <v/>
      </c>
      <c r="O220" s="31" t="n">
        <v>75.66</v>
      </c>
      <c r="P220" s="31" t="n">
        <v>46.63</v>
      </c>
      <c r="Q220" s="31" t="n">
        <v>82.44</v>
      </c>
      <c r="R220" s="30" t="inlineStr">
        <is>
          <t>Near 52W High Breakout</t>
        </is>
      </c>
      <c r="S220" s="30" t="inlineStr">
        <is>
          <t>Nifty Pharma</t>
        </is>
      </c>
      <c r="T220" s="31" t="n">
        <v>12.35</v>
      </c>
      <c r="U220" s="31" t="n">
        <v>7.31</v>
      </c>
      <c r="V220" s="31" t="n">
        <v>-4.49</v>
      </c>
      <c r="W220" s="31" t="n">
        <v>19.47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Yes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Yes</t>
        </is>
      </c>
      <c r="AQ220" s="30">
        <f>IF(AP220="Yes",10,0)</f>
        <v/>
      </c>
      <c r="AR220" s="30" t="inlineStr">
        <is>
          <t>Higher Annuity, Lower One Time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Above 40</t>
        </is>
      </c>
      <c r="AY220" s="30">
        <f>IF(AX220="Above 40",20,IF(AX220="20 to 40",10,IF(AX220="0 to 20",-5,0)))</f>
        <v/>
      </c>
      <c r="AZ220" s="30" t="inlineStr">
        <is>
          <t>Above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Less than 12%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Yes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IF(B221=0,"",RANK(B221,$B$2:$B$400,0))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BALRAMCHIN</t>
        </is>
      </c>
      <c r="D221" s="30" t="inlineStr">
        <is>
          <t>Balrampur Chini Mills Limited</t>
        </is>
      </c>
      <c r="E221" s="30" t="inlineStr">
        <is>
          <t>fmcg</t>
        </is>
      </c>
      <c r="F221" s="30" t="inlineStr">
        <is>
          <t>sugar</t>
        </is>
      </c>
      <c r="G221" s="30" t="inlineStr">
        <is>
          <t>midcap</t>
        </is>
      </c>
      <c r="H221" s="31" t="n">
        <v>11554.2</v>
      </c>
      <c r="I221" s="31" t="n">
        <v>554.15</v>
      </c>
      <c r="J221" s="31" t="n">
        <v>1.33</v>
      </c>
      <c r="K221" s="31" t="n">
        <v>231364</v>
      </c>
      <c r="L221" s="30" t="n">
        <v>4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66.33</v>
      </c>
      <c r="P221" s="31" t="n">
        <v>20.38</v>
      </c>
      <c r="Q221" s="31" t="n">
        <v>447.51</v>
      </c>
      <c r="R221" s="30" t="inlineStr">
        <is>
          <t>Earnings / Momentum Support</t>
        </is>
      </c>
      <c r="S221" s="30" t="inlineStr">
        <is>
          <t>Nifty FMCG</t>
        </is>
      </c>
      <c r="T221" s="31" t="n">
        <v>-9.109999999999999</v>
      </c>
      <c r="U221" s="31" t="n">
        <v>-6.1</v>
      </c>
      <c r="V221" s="31" t="n">
        <v>3.31</v>
      </c>
      <c r="W221" s="31" t="n">
        <v>2.27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B2C</t>
        </is>
      </c>
      <c r="AO221" s="30">
        <f>IF(AN221="B2C",10,IF(AN221="B2B",5,0))</f>
        <v/>
      </c>
      <c r="AP221" s="30" t="inlineStr">
        <is>
          <t>No</t>
        </is>
      </c>
      <c r="AQ221" s="30">
        <f>IF(AP221="Yes",10,0)</f>
        <v/>
      </c>
      <c r="AR221" s="30" t="inlineStr">
        <is>
          <t>Higher Annuity, Lower One Time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20 to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Less than 12%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No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Between 0.7 to 1.2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IF(B222=0,"",RANK(B222,$B$2:$B$400,0))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ZYDUSLIFE</t>
        </is>
      </c>
      <c r="D222" s="30" t="inlineStr">
        <is>
          <t>Zydus Lifesciences Ltd</t>
        </is>
      </c>
      <c r="E222" s="30" t="inlineStr">
        <is>
          <t>healthcare</t>
        </is>
      </c>
      <c r="F222" s="30" t="inlineStr">
        <is>
          <t>pharmaceuticals - indian - bulk drugs &amp; formln</t>
        </is>
      </c>
      <c r="G222" s="30" t="inlineStr">
        <is>
          <t>largecap</t>
        </is>
      </c>
      <c r="H222" s="31" t="n">
        <v>106801.68</v>
      </c>
      <c r="I222" s="31" t="n">
        <v>1074.4</v>
      </c>
      <c r="J222" s="31" t="n">
        <v>1.22</v>
      </c>
      <c r="K222" s="31" t="n">
        <v>1319818</v>
      </c>
      <c r="L222" s="30" t="n">
        <v>25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65.8</v>
      </c>
      <c r="P222" s="31" t="n">
        <v>21.85</v>
      </c>
      <c r="Q222" s="31" t="n">
        <v>938.89</v>
      </c>
      <c r="R222" s="30" t="inlineStr">
        <is>
          <t>Near 52W High Breakout</t>
        </is>
      </c>
      <c r="S222" s="30" t="inlineStr">
        <is>
          <t>Nifty Pharma</t>
        </is>
      </c>
      <c r="T222" s="31" t="n">
        <v>12.35</v>
      </c>
      <c r="U222" s="31" t="n">
        <v>13.54</v>
      </c>
      <c r="V222" s="31" t="n">
        <v>1.06</v>
      </c>
      <c r="W222" s="31" t="n">
        <v>7.28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Yes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Yes</t>
        </is>
      </c>
      <c r="AQ222" s="30">
        <f>IF(AP222="Yes",10,0)</f>
        <v/>
      </c>
      <c r="AR222" s="30" t="inlineStr">
        <is>
          <t>Higher Annuity, Lower One Time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20 to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Less than 12%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Less than 50%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IF(B223=0,"",RANK(B223,$B$2:$B$400,0))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DIAMONDYD</t>
        </is>
      </c>
      <c r="D223" s="30" t="inlineStr">
        <is>
          <t>Prataap Snacks Ltd</t>
        </is>
      </c>
      <c r="E223" s="30" t="inlineStr">
        <is>
          <t>fmcg</t>
        </is>
      </c>
      <c r="F223" s="30" t="inlineStr">
        <is>
          <t>food - processing - indian</t>
        </is>
      </c>
      <c r="G223" s="30" t="inlineStr">
        <is>
          <t>smallcap</t>
        </is>
      </c>
      <c r="H223" s="31" t="n">
        <v>2669.07</v>
      </c>
      <c r="I223" s="31" t="n">
        <v>1124.8</v>
      </c>
      <c r="J223" s="31" t="n">
        <v>0.73</v>
      </c>
      <c r="K223" s="31" t="n">
        <v>25830</v>
      </c>
      <c r="L223" s="30" t="n">
        <v>29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58.96</v>
      </c>
      <c r="P223" s="31" t="n">
        <v>20.25</v>
      </c>
      <c r="Q223" s="31" t="n">
        <v>926.1799999999999</v>
      </c>
      <c r="R223" s="30" t="inlineStr">
        <is>
          <t>Earnings / Momentum Support</t>
        </is>
      </c>
      <c r="S223" s="30" t="inlineStr">
        <is>
          <t>Nifty FMCG</t>
        </is>
      </c>
      <c r="T223" s="31" t="n">
        <v>-9.109999999999999</v>
      </c>
      <c r="U223" s="31" t="n">
        <v>10.99</v>
      </c>
      <c r="V223" s="31" t="n">
        <v>22.12</v>
      </c>
      <c r="W223" s="31" t="n">
        <v>7.91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Headwind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B2C</t>
        </is>
      </c>
      <c r="AO223" s="30">
        <f>IF(AN223="B2C",10,IF(AN223="B2B",5,0))</f>
        <v/>
      </c>
      <c r="AP223" s="30" t="inlineStr">
        <is>
          <t>No</t>
        </is>
      </c>
      <c r="AQ223" s="30">
        <f>IF(AP223="Yes",10,0)</f>
        <v/>
      </c>
      <c r="AR223" s="30" t="inlineStr">
        <is>
          <t>Higher Annuity, Lower One Time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Yes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Between 50% to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IF(B224=0,"",RANK(B224,$B$2:$B$400,0))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STAR</t>
        </is>
      </c>
      <c r="D224" s="30" t="inlineStr">
        <is>
          <t>Strides Shasun Limited</t>
        </is>
      </c>
      <c r="E224" s="30" t="inlineStr">
        <is>
          <t>healthcare</t>
        </is>
      </c>
      <c r="F224" s="30" t="inlineStr">
        <is>
          <t>pharmaceuticals - indian - bulk drugs &amp; formln</t>
        </is>
      </c>
      <c r="G224" s="30" t="inlineStr">
        <is>
          <t>midcap</t>
        </is>
      </c>
      <c r="H224" s="31" t="n">
        <v>10202.6</v>
      </c>
      <c r="I224" s="31" t="n">
        <v>1110.8</v>
      </c>
      <c r="J224" s="31" t="n">
        <v>0.35</v>
      </c>
      <c r="K224" s="31" t="n">
        <v>125348</v>
      </c>
      <c r="L224" s="30" t="n">
        <v>43</v>
      </c>
      <c r="M224" s="30" t="inlineStr">
        <is>
          <t>Outperforming</t>
        </is>
      </c>
      <c r="N224" s="31">
        <f>IF(M224="Underperforming",-5,IF(L224&gt;=95,15,IF(L224&gt;=90,10,IF(L224&gt;=80,5,0))))</f>
        <v/>
      </c>
      <c r="O224" s="31" t="n">
        <v>62.18</v>
      </c>
      <c r="P224" s="31" t="n">
        <v>30.34</v>
      </c>
      <c r="Q224" s="31" t="n">
        <v>878.8</v>
      </c>
      <c r="R224" s="30" t="inlineStr">
        <is>
          <t>Near 52W High Breakout</t>
        </is>
      </c>
      <c r="S224" s="30" t="inlineStr">
        <is>
          <t>Nifty Pharma</t>
        </is>
      </c>
      <c r="T224" s="31" t="n">
        <v>12.35</v>
      </c>
      <c r="U224" s="31" t="n">
        <v>34.96</v>
      </c>
      <c r="V224" s="31" t="n">
        <v>20.12</v>
      </c>
      <c r="W224" s="31" t="n">
        <v>11.12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Yes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Yes</t>
        </is>
      </c>
      <c r="AQ224" s="30">
        <f>IF(AP224="Yes",10,0)</f>
        <v/>
      </c>
      <c r="AR224" s="30" t="inlineStr">
        <is>
          <t>Higher Annuity, Lower One Time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Negative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No</t>
        </is>
      </c>
      <c r="BS224" s="30">
        <f>IF(BR224="NO",5,0)</f>
        <v/>
      </c>
      <c r="BT224" s="30" t="inlineStr">
        <is>
          <t>Less than 1.5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IF(B225=0,"",RANK(B225,$B$2:$B$400,0))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NOVARTIND</t>
        </is>
      </c>
      <c r="D225" s="30" t="inlineStr">
        <is>
          <t>Novartis India Ltd</t>
        </is>
      </c>
      <c r="E225" s="30" t="inlineStr">
        <is>
          <t>healthcare</t>
        </is>
      </c>
      <c r="F225" s="30" t="inlineStr">
        <is>
          <t>pharmaceuticals - multinational</t>
        </is>
      </c>
      <c r="G225" s="30" t="inlineStr">
        <is>
          <t>smallcap</t>
        </is>
      </c>
      <c r="H225" s="31" t="n">
        <v>3371.78</v>
      </c>
      <c r="I225" s="31" t="n">
        <v>1364.3</v>
      </c>
      <c r="J225" s="31" t="n">
        <v>-0.1</v>
      </c>
      <c r="K225" s="31" t="n">
        <v>11042</v>
      </c>
      <c r="L225" s="30" t="n">
        <v>66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65.61</v>
      </c>
      <c r="P225" s="31" t="n">
        <v>63.47</v>
      </c>
      <c r="Q225" s="31" t="n">
        <v>1204.79</v>
      </c>
      <c r="R225" s="30" t="inlineStr">
        <is>
          <t>Earnings / Momentum Support</t>
        </is>
      </c>
      <c r="S225" s="30" t="inlineStr">
        <is>
          <t>Nifty Pharma</t>
        </is>
      </c>
      <c r="T225" s="31" t="n">
        <v>12.35</v>
      </c>
      <c r="U225" s="31" t="n">
        <v>37.78</v>
      </c>
      <c r="V225" s="31" t="n">
        <v>22.63</v>
      </c>
      <c r="W225" s="31" t="n">
        <v>17.84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Yes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No</t>
        </is>
      </c>
      <c r="AQ225" s="30">
        <f>IF(AP225="Yes",10,0)</f>
        <v/>
      </c>
      <c r="AR225" s="30" t="inlineStr">
        <is>
          <t>Higher Annuity, Lower One Time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Above 40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Less than 12%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No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Less than 50%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IF(B226=0,"",RANK(B226,$B$2:$B$400,0))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APOLLOHOSP</t>
        </is>
      </c>
      <c r="D226" s="30" t="inlineStr">
        <is>
          <t>Apollo Hospitals Enterprise Limited</t>
        </is>
      </c>
      <c r="E226" s="30" t="inlineStr">
        <is>
          <t>healthcare</t>
        </is>
      </c>
      <c r="F226" s="30" t="inlineStr">
        <is>
          <t>healthcare</t>
        </is>
      </c>
      <c r="G226" s="30" t="inlineStr">
        <is>
          <t>largecap</t>
        </is>
      </c>
      <c r="H226" s="31" t="n">
        <v>121174.52</v>
      </c>
      <c r="I226" s="31" t="n">
        <v>8411.5</v>
      </c>
      <c r="J226" s="31" t="n">
        <v>-0.19</v>
      </c>
      <c r="K226" s="31" t="n">
        <v>304242</v>
      </c>
      <c r="L226" s="30" t="n">
        <v>23</v>
      </c>
      <c r="M226" s="30" t="inlineStr">
        <is>
          <t>Outperforming</t>
        </is>
      </c>
      <c r="N226" s="31">
        <f>IF(M226="Underperforming",-5,IF(L226&gt;=95,15,IF(L226&gt;=90,10,IF(L226&gt;=80,5,0))))</f>
        <v/>
      </c>
      <c r="O226" s="31" t="n">
        <v>64.16</v>
      </c>
      <c r="P226" s="31" t="n">
        <v>14.28</v>
      </c>
      <c r="Q226" s="31" t="n">
        <v>7429.19</v>
      </c>
      <c r="R226" s="30" t="inlineStr">
        <is>
          <t>Near 52W High Breakout</t>
        </is>
      </c>
      <c r="S226" s="30" t="inlineStr">
        <is>
          <t>Nifty Pharma</t>
        </is>
      </c>
      <c r="T226" s="31" t="n">
        <v>12.35</v>
      </c>
      <c r="U226" s="31" t="n">
        <v>19.39</v>
      </c>
      <c r="V226" s="31" t="n">
        <v>6.27</v>
      </c>
      <c r="W226" s="31" t="n">
        <v>6.82</v>
      </c>
      <c r="X226" s="30" t="inlineStr">
        <is>
          <t>Cyclical in an Upturn</t>
        </is>
      </c>
      <c r="Y226" s="30">
        <f>IF(X226="Growing Industry",10,IF(X226="Cyclical in an Upturn",5,0))</f>
        <v/>
      </c>
      <c r="Z226" s="30" t="inlineStr">
        <is>
          <t>Oligopoly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Cyclical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B2C</t>
        </is>
      </c>
      <c r="AO226" s="30">
        <f>IF(AN226="B2C",10,IF(AN226="B2B",5,0))</f>
        <v/>
      </c>
      <c r="AP226" s="30" t="inlineStr">
        <is>
          <t>Yes</t>
        </is>
      </c>
      <c r="AQ226" s="30">
        <f>IF(AP226="Yes",10,0)</f>
        <v/>
      </c>
      <c r="AR226" s="30" t="inlineStr">
        <is>
          <t>Fully One Time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Above 40</t>
        </is>
      </c>
      <c r="AY226" s="30">
        <f>IF(AX226="Above 40",20,IF(AX226="20 to 40",10,IF(AX226="0 to 20",-5,0)))</f>
        <v/>
      </c>
      <c r="AZ226" s="30" t="inlineStr">
        <is>
          <t>Above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Yes</t>
        </is>
      </c>
      <c r="BQ226" s="30">
        <f>IF(BP226="No",10,0)</f>
        <v/>
      </c>
      <c r="BR226" s="30" t="inlineStr">
        <is>
          <t>Yes</t>
        </is>
      </c>
      <c r="BS226" s="30">
        <f>IF(BR226="NO",5,0)</f>
        <v/>
      </c>
      <c r="BT226" s="30" t="inlineStr">
        <is>
          <t>Between 1.5 to 2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IF(B227=0,"",RANK(B227,$B$2:$B$400,0))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NYKAA</t>
        </is>
      </c>
      <c r="D227" s="30" t="inlineStr">
        <is>
          <t>FSN E-Commerce Ventures Ltd</t>
        </is>
      </c>
      <c r="E227" s="30" t="inlineStr">
        <is>
          <t>i.t</t>
        </is>
      </c>
      <c r="F227" s="30" t="inlineStr">
        <is>
          <t>trading</t>
        </is>
      </c>
      <c r="G227" s="30" t="inlineStr">
        <is>
          <t>largecap</t>
        </is>
      </c>
      <c r="H227" s="31" t="n">
        <v>80442.37</v>
      </c>
      <c r="I227" s="31" t="n">
        <v>298.1</v>
      </c>
      <c r="J227" s="31" t="n">
        <v>6.1</v>
      </c>
      <c r="K227" s="31" t="n">
        <v>36124206</v>
      </c>
      <c r="L227" s="30" t="n">
        <v>55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66.3</v>
      </c>
      <c r="P227" s="31" t="n">
        <v>19.32</v>
      </c>
      <c r="Q227" s="31" t="n">
        <v>245.12</v>
      </c>
      <c r="R227" s="30" t="inlineStr">
        <is>
          <t>Volume Spike &amp; Near 52W High Breakout</t>
        </is>
      </c>
      <c r="S227" s="30" t="inlineStr">
        <is>
          <t>Nifty IT</t>
        </is>
      </c>
      <c r="T227" s="31" t="n">
        <v>-26.99</v>
      </c>
      <c r="U227" s="31" t="n">
        <v>51.27</v>
      </c>
      <c r="V227" s="31" t="n">
        <v>107.19</v>
      </c>
      <c r="W227" s="31" t="n">
        <v>14.05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0 to 20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Blue sky scenario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Yes</t>
        </is>
      </c>
      <c r="BS227" s="30">
        <f>IF(BR227="NO",5,0)</f>
        <v/>
      </c>
      <c r="BT227" s="30" t="inlineStr">
        <is>
          <t>Above 2</t>
        </is>
      </c>
      <c r="BU227" s="30">
        <f>IF(BT227="Above 2",0,IF(BT227="Between 1.5 to 2",5,IF(BT227="Less than 1.5",10,0)))</f>
        <v/>
      </c>
      <c r="BV227" s="30" t="inlineStr">
        <is>
          <t>Above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Between 0.7 to 1.2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IF(B228=0,"",RANK(B228,$B$2:$B$400,0))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2" t="inlineStr">
        <is>
          <t>BEPL</t>
        </is>
      </c>
      <c r="D228" s="32" t="inlineStr">
        <is>
          <t>Bhansali Engineering Polymers Limited</t>
        </is>
      </c>
      <c r="E228" s="30" t="inlineStr">
        <is>
          <t>energy</t>
        </is>
      </c>
      <c r="F228" s="30" t="inlineStr">
        <is>
          <t>petrochemicals</t>
        </is>
      </c>
      <c r="G228" s="30" t="inlineStr">
        <is>
          <t>smallcap</t>
        </is>
      </c>
      <c r="H228" s="31" t="n">
        <v>2526.91</v>
      </c>
      <c r="I228" s="31" t="n">
        <v>107.06</v>
      </c>
      <c r="J228" s="31" t="n">
        <v>5.44</v>
      </c>
      <c r="K228" s="31" t="n">
        <v>4385019</v>
      </c>
      <c r="L228" s="30" t="n">
        <v>18</v>
      </c>
      <c r="M228" s="30" t="inlineStr">
        <is>
          <t>Underperforming</t>
        </is>
      </c>
      <c r="N228" s="31">
        <f>IF(M228="Underperforming",-5,IF(L228&gt;=95,15,IF(L228&gt;=90,10,IF(L228&gt;=80,5,0))))</f>
        <v/>
      </c>
      <c r="O228" s="31" t="n">
        <v>68.01000000000001</v>
      </c>
      <c r="P228" s="31" t="n">
        <v>27.11</v>
      </c>
      <c r="Q228" s="31" t="n">
        <v>86.65000000000001</v>
      </c>
      <c r="R228" s="30" t="inlineStr">
        <is>
          <t>Volume Spike &amp; Near 52W High Breakout</t>
        </is>
      </c>
      <c r="S228" s="30" t="inlineStr">
        <is>
          <t>Nifty Energy</t>
        </is>
      </c>
      <c r="T228" s="31" t="n">
        <v>13.64</v>
      </c>
      <c r="U228" s="31" t="n">
        <v>0.84</v>
      </c>
      <c r="V228" s="31" t="n">
        <v>-11.26</v>
      </c>
      <c r="W228" s="31" t="n">
        <v>5.76</v>
      </c>
      <c r="X228" s="30" t="inlineStr">
        <is>
          <t>Cyclical in an Upturn</t>
        </is>
      </c>
      <c r="Y228" s="30">
        <f>IF(X228="Growing Industry",10,IF(X228="Cyclical in an Upturn",5,0))</f>
        <v/>
      </c>
      <c r="Z228" s="30" t="inlineStr">
        <is>
          <t>Oligopoly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Yes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Cyclical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Volatile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Yes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No</t>
        </is>
      </c>
      <c r="BS228" s="30">
        <f>IF(BR228="NO",5,0)</f>
        <v/>
      </c>
      <c r="BT228" s="30" t="inlineStr">
        <is>
          <t>Less than 1.5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IF(B229=0,"",RANK(B229,$B$2:$B$400,0))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GNA</t>
        </is>
      </c>
      <c r="D229" s="30" t="inlineStr">
        <is>
          <t>Gna Axles Limited</t>
        </is>
      </c>
      <c r="E229" s="30" t="inlineStr">
        <is>
          <t>auto</t>
        </is>
      </c>
      <c r="F229" s="30" t="inlineStr">
        <is>
          <t>auto ancillaries</t>
        </is>
      </c>
      <c r="G229" s="30" t="inlineStr">
        <is>
          <t>smallcap</t>
        </is>
      </c>
      <c r="H229" s="31" t="n">
        <v>1684.6</v>
      </c>
      <c r="I229" s="31" t="n">
        <v>412.85</v>
      </c>
      <c r="J229" s="31" t="n">
        <v>5.21</v>
      </c>
      <c r="K229" s="31" t="n">
        <v>4221325</v>
      </c>
      <c r="L229" s="30" t="n">
        <v>31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57.13</v>
      </c>
      <c r="P229" s="31" t="n">
        <v>19.01</v>
      </c>
      <c r="Q229" s="31" t="n">
        <v>325.51</v>
      </c>
      <c r="R229" s="30" t="inlineStr">
        <is>
          <t>Volume Spike / Accumulation</t>
        </is>
      </c>
      <c r="S229" s="30" t="inlineStr">
        <is>
          <t>Nifty Auto</t>
        </is>
      </c>
      <c r="T229" s="31" t="n">
        <v>12.95</v>
      </c>
      <c r="U229" s="31" t="n">
        <v>33.24</v>
      </c>
      <c r="V229" s="31" t="n">
        <v>17.96</v>
      </c>
      <c r="W229" s="31" t="n">
        <v>8.23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0 to 20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1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No</t>
        </is>
      </c>
      <c r="BS229" s="30">
        <f>IF(BR229="NO",5,0)</f>
        <v/>
      </c>
      <c r="BT229" s="30" t="inlineStr">
        <is>
          <t>Less than 1.5</t>
        </is>
      </c>
      <c r="BU229" s="30">
        <f>IF(BT229="Above 2",0,IF(BT229="Between 1.5 to 2",5,IF(BT229="Less than 1.5",10,0)))</f>
        <v/>
      </c>
      <c r="BV229" s="30" t="inlineStr">
        <is>
          <t>Above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IF(B230=0,"",RANK(B230,$B$2:$B$400,0))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2" t="inlineStr">
        <is>
          <t>HMT</t>
        </is>
      </c>
      <c r="D230" s="32" t="inlineStr">
        <is>
          <t>Hmt Limited</t>
        </is>
      </c>
      <c r="E230" s="30" t="inlineStr">
        <is>
          <t>consumer discretionary</t>
        </is>
      </c>
      <c r="F230" s="30" t="inlineStr">
        <is>
          <t>miscellaneous</t>
        </is>
      </c>
      <c r="G230" s="30" t="inlineStr">
        <is>
          <t>midcap</t>
        </is>
      </c>
      <c r="H230" s="31" t="n">
        <v>7071.63</v>
      </c>
      <c r="I230" s="31" t="n">
        <v>61.66</v>
      </c>
      <c r="J230" s="31" t="n">
        <v>4.99</v>
      </c>
      <c r="K230" s="31" t="n">
        <v>8004</v>
      </c>
      <c r="L230" s="30" t="n">
        <v>2</v>
      </c>
      <c r="M230" s="30" t="inlineStr">
        <is>
          <t>Underperforming</t>
        </is>
      </c>
      <c r="N230" s="31">
        <f>IF(M230="Underperforming",-5,IF(L230&gt;=95,15,IF(L230&gt;=90,10,IF(L230&gt;=80,5,0))))</f>
        <v/>
      </c>
      <c r="O230" s="31" t="n">
        <v>57.06</v>
      </c>
      <c r="P230" s="31" t="n">
        <v>26.14</v>
      </c>
      <c r="Q230" s="31" t="n">
        <v>48.37</v>
      </c>
      <c r="R230" s="30" t="inlineStr">
        <is>
          <t>Earnings / Momentum Support</t>
        </is>
      </c>
      <c r="S230" s="30" t="inlineStr">
        <is>
          <t>Nifty 50</t>
        </is>
      </c>
      <c r="T230" s="31" t="n">
        <v>-3.76</v>
      </c>
      <c r="U230" s="31" t="n">
        <v>-7.04</v>
      </c>
      <c r="V230" s="31" t="n">
        <v>-3.41</v>
      </c>
      <c r="W230" s="31" t="n">
        <v>1.28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No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1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No</t>
        </is>
      </c>
      <c r="BS230" s="30">
        <f>IF(BR230="NO",5,0)</f>
        <v/>
      </c>
      <c r="BT230" s="30" t="inlineStr">
        <is>
          <t>Less than 1.5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IF(B231=0,"",RANK(B231,$B$2:$B$400,0))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SETL</t>
        </is>
      </c>
      <c r="D231" s="30" t="inlineStr">
        <is>
          <t>Standard Enginnering Technology Ltd</t>
        </is>
      </c>
      <c r="E231" s="30" t="inlineStr">
        <is>
          <t>industrials</t>
        </is>
      </c>
      <c r="F231" s="30" t="inlineStr">
        <is>
          <t>engineering</t>
        </is>
      </c>
      <c r="G231" s="30" t="inlineStr">
        <is>
          <t>smallcap</t>
        </is>
      </c>
      <c r="H231" s="31" t="n">
        <v>3460.18</v>
      </c>
      <c r="I231" s="31" t="n">
        <v>180.17</v>
      </c>
      <c r="J231" s="31" t="n">
        <v>3.87</v>
      </c>
      <c r="K231" s="31" t="n">
        <v>1148712</v>
      </c>
      <c r="L231" s="30" t="n">
        <v>61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69.56999999999999</v>
      </c>
      <c r="P231" s="31" t="n">
        <v>15.08</v>
      </c>
      <c r="Q231" s="31" t="n">
        <v>136.1</v>
      </c>
      <c r="R231" s="30" t="inlineStr">
        <is>
          <t>Volume Spike / Accumulation</t>
        </is>
      </c>
      <c r="S231" s="30" t="inlineStr">
        <is>
          <t>Nifty Infra</t>
        </is>
      </c>
      <c r="T231" s="31" t="n">
        <v>4.04</v>
      </c>
      <c r="U231" s="31" t="n">
        <v>6.26</v>
      </c>
      <c r="V231" s="31" t="n">
        <v>2.13</v>
      </c>
      <c r="W231" s="31" t="n">
        <v>15.64</v>
      </c>
      <c r="X231" s="30" t="inlineStr">
        <is>
          <t>Cyclical in an Upturn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0 to 20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More than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Less than 1.5</t>
        </is>
      </c>
      <c r="BU231" s="30">
        <f>IF(BT231="Above 2",0,IF(BT231="Between 1.5 to 2",5,IF(BT231="Less than 1.5",10,0)))</f>
        <v/>
      </c>
      <c r="BV231" s="30" t="inlineStr">
        <is>
          <t>Less than 50%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IF(B232=0,"",RANK(B232,$B$2:$B$400,0))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BIRLACABLE</t>
        </is>
      </c>
      <c r="D232" s="30" t="inlineStr">
        <is>
          <t>Birla Cable Limited</t>
        </is>
      </c>
      <c r="E232" s="30" t="inlineStr">
        <is>
          <t>industrials</t>
        </is>
      </c>
      <c r="F232" s="30" t="inlineStr">
        <is>
          <t>cables - telephone</t>
        </is>
      </c>
      <c r="G232" s="30" t="inlineStr">
        <is>
          <t>smallcap</t>
        </is>
      </c>
      <c r="H232" s="31" t="n">
        <v>627.5700000000001</v>
      </c>
      <c r="I232" s="31" t="n">
        <v>216.53</v>
      </c>
      <c r="J232" s="31" t="n">
        <v>3.51</v>
      </c>
      <c r="K232" s="31" t="n">
        <v>94520</v>
      </c>
      <c r="L232" s="30" t="n">
        <v>73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65.78</v>
      </c>
      <c r="P232" s="31" t="n">
        <v>33.36</v>
      </c>
      <c r="Q232" s="31" t="n">
        <v>159.63</v>
      </c>
      <c r="R232" s="30" t="inlineStr">
        <is>
          <t>Near 52W High Breakout</t>
        </is>
      </c>
      <c r="S232" s="30" t="inlineStr">
        <is>
          <t>Nifty Infra</t>
        </is>
      </c>
      <c r="T232" s="31" t="n">
        <v>4.04</v>
      </c>
      <c r="U232" s="31" t="n">
        <v>18.1</v>
      </c>
      <c r="V232" s="31" t="n">
        <v>13.51</v>
      </c>
      <c r="W232" s="31" t="n">
        <v>20.87</v>
      </c>
      <c r="X232" s="30" t="inlineStr">
        <is>
          <t>Cyclical in an Upturn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20 to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No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Negative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IF(B233=0,"",RANK(B233,$B$2:$B$400,0))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BHEL</t>
        </is>
      </c>
      <c r="D233" s="30" t="inlineStr">
        <is>
          <t>Bharat Heavy Electricals Limited</t>
        </is>
      </c>
      <c r="E233" s="30" t="inlineStr">
        <is>
          <t>industrials</t>
        </is>
      </c>
      <c r="F233" s="30" t="inlineStr">
        <is>
          <t>electric equipment</t>
        </is>
      </c>
      <c r="G233" s="30" t="inlineStr">
        <is>
          <t>largecap</t>
        </is>
      </c>
      <c r="H233" s="31" t="n">
        <v>136583.94</v>
      </c>
      <c r="I233" s="31" t="n">
        <v>405.9</v>
      </c>
      <c r="J233" s="31" t="n">
        <v>3.48</v>
      </c>
      <c r="K233" s="31" t="n">
        <v>15191954</v>
      </c>
      <c r="L233" s="30" t="n">
        <v>78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69.59</v>
      </c>
      <c r="P233" s="31" t="n">
        <v>40.01</v>
      </c>
      <c r="Q233" s="31" t="n">
        <v>338.13</v>
      </c>
      <c r="R233" s="30" t="inlineStr">
        <is>
          <t>Near 52W High Breakout</t>
        </is>
      </c>
      <c r="S233" s="30" t="inlineStr">
        <is>
          <t>Nifty 50</t>
        </is>
      </c>
      <c r="T233" s="31" t="n">
        <v>-3.76</v>
      </c>
      <c r="U233" s="31" t="n">
        <v>62.41</v>
      </c>
      <c r="V233" s="31" t="n">
        <v>68.76000000000001</v>
      </c>
      <c r="W233" s="31" t="n">
        <v>23.2</v>
      </c>
      <c r="X233" s="30" t="inlineStr">
        <is>
          <t>Cyclical in an Upturn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Above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Negative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Blue sky scenario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More than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IF(B234=0,"",RANK(B234,$B$2:$B$400,0))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ADANIENSOL</t>
        </is>
      </c>
      <c r="D234" s="30" t="inlineStr">
        <is>
          <t>Adani Energy Solutions Ltd</t>
        </is>
      </c>
      <c r="E234" s="30" t="inlineStr">
        <is>
          <t>power &amp; utilities</t>
        </is>
      </c>
      <c r="F234" s="30" t="inlineStr">
        <is>
          <t>power generation and supply</t>
        </is>
      </c>
      <c r="G234" s="30" t="inlineStr">
        <is>
          <t>largecap</t>
        </is>
      </c>
      <c r="H234" s="31" t="n">
        <v>179111.24</v>
      </c>
      <c r="I234" s="31" t="n">
        <v>1523.3</v>
      </c>
      <c r="J234" s="31" t="n">
        <v>2.17</v>
      </c>
      <c r="K234" s="31" t="n">
        <v>1942444</v>
      </c>
      <c r="L234" s="30" t="n">
        <v>80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69.02</v>
      </c>
      <c r="P234" s="31" t="n">
        <v>37.85</v>
      </c>
      <c r="Q234" s="31" t="n">
        <v>1231.08</v>
      </c>
      <c r="R234" s="30" t="inlineStr">
        <is>
          <t>Near 52W High Breakout</t>
        </is>
      </c>
      <c r="S234" s="30" t="inlineStr">
        <is>
          <t>Nifty IT</t>
        </is>
      </c>
      <c r="T234" s="31" t="n">
        <v>-26.99</v>
      </c>
      <c r="U234" s="31" t="n">
        <v>83.95</v>
      </c>
      <c r="V234" s="31" t="n">
        <v>151.96</v>
      </c>
      <c r="W234" s="31" t="n">
        <v>24.49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Yes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Blue sky scenario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Less than 12%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Yes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More than 1.2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IF(B235=0,"",RANK(B235,$B$2:$B$400,0))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2" t="inlineStr">
        <is>
          <t>HONAUT</t>
        </is>
      </c>
      <c r="D235" s="32" t="inlineStr">
        <is>
          <t>Honeywell Automation India Limited</t>
        </is>
      </c>
      <c r="E235" s="30" t="inlineStr">
        <is>
          <t>consumer discretionary</t>
        </is>
      </c>
      <c r="F235" s="30" t="inlineStr">
        <is>
          <t>electronics - components</t>
        </is>
      </c>
      <c r="G235" s="30" t="inlineStr">
        <is>
          <t>largecap</t>
        </is>
      </c>
      <c r="H235" s="31" t="n">
        <v>32165.46</v>
      </c>
      <c r="I235" s="31" t="n">
        <v>37170</v>
      </c>
      <c r="J235" s="31" t="n">
        <v>2.17</v>
      </c>
      <c r="K235" s="31" t="n">
        <v>6140</v>
      </c>
      <c r="L235" s="30" t="n">
        <v>25</v>
      </c>
      <c r="M235" s="30" t="inlineStr">
        <is>
          <t>Underperforming</t>
        </is>
      </c>
      <c r="N235" s="31">
        <f>IF(M235="Underperforming",-5,IF(L235&gt;=95,15,IF(L235&gt;=90,10,IF(L235&gt;=80,5,0))))</f>
        <v/>
      </c>
      <c r="O235" s="31" t="n">
        <v>62.32</v>
      </c>
      <c r="P235" s="31" t="n">
        <v>23.17</v>
      </c>
      <c r="Q235" s="31" t="n">
        <v>30194.43</v>
      </c>
      <c r="R235" s="30" t="inlineStr">
        <is>
          <t>Earnings / Momentum Support</t>
        </is>
      </c>
      <c r="S235" s="30" t="inlineStr">
        <is>
          <t>Nifty 500</t>
        </is>
      </c>
      <c r="T235" s="31" t="n">
        <v>0.72</v>
      </c>
      <c r="U235" s="31" t="n">
        <v>-0.63</v>
      </c>
      <c r="V235" s="31" t="n">
        <v>-1.34</v>
      </c>
      <c r="W235" s="31" t="n">
        <v>7.31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No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Between 12 to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IF(B236=0,"",RANK(B236,$B$2:$B$400,0))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LMW</t>
        </is>
      </c>
      <c r="D236" s="30" t="inlineStr">
        <is>
          <t>LMW Ltd</t>
        </is>
      </c>
      <c r="E236" s="30" t="inlineStr">
        <is>
          <t>industrials</t>
        </is>
      </c>
      <c r="F236" s="30" t="inlineStr">
        <is>
          <t>textile machinery</t>
        </is>
      </c>
      <c r="G236" s="30" t="inlineStr">
        <is>
          <t>midcap</t>
        </is>
      </c>
      <c r="H236" s="31" t="n">
        <v>17530.8</v>
      </c>
      <c r="I236" s="31" t="n">
        <v>16720</v>
      </c>
      <c r="J236" s="31" t="n">
        <v>1.89</v>
      </c>
      <c r="K236" s="31" t="n">
        <v>4170</v>
      </c>
      <c r="L236" s="30" t="n">
        <v>20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64.3</v>
      </c>
      <c r="P236" s="31" t="n">
        <v>19.35</v>
      </c>
      <c r="Q236" s="31" t="n">
        <v>13679.44</v>
      </c>
      <c r="R236" s="30" t="inlineStr">
        <is>
          <t>Volume Spike &amp; Near 52W High Breakout</t>
        </is>
      </c>
      <c r="S236" s="30" t="inlineStr">
        <is>
          <t>Nifty 50</t>
        </is>
      </c>
      <c r="T236" s="31" t="n">
        <v>-3.76</v>
      </c>
      <c r="U236" s="31" t="n">
        <v>5.59</v>
      </c>
      <c r="V236" s="31" t="n">
        <v>9.710000000000001</v>
      </c>
      <c r="W236" s="31" t="n">
        <v>6.01</v>
      </c>
      <c r="X236" s="30" t="inlineStr">
        <is>
          <t>Cyclical in an Upturn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0 to 20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Yes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Above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IF(B237=0,"",RANK(B237,$B$2:$B$400,0))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DELHIVERY</t>
        </is>
      </c>
      <c r="D237" s="30" t="inlineStr">
        <is>
          <t>Delhivery Ltd</t>
        </is>
      </c>
      <c r="E237" s="30" t="inlineStr">
        <is>
          <t>transportation</t>
        </is>
      </c>
      <c r="F237" s="30" t="inlineStr">
        <is>
          <t>miscellaneous</t>
        </is>
      </c>
      <c r="G237" s="30" t="inlineStr">
        <is>
          <t>largecap</t>
        </is>
      </c>
      <c r="H237" s="31" t="n">
        <v>33803.4</v>
      </c>
      <c r="I237" s="31" t="n">
        <v>459.2</v>
      </c>
      <c r="J237" s="31" t="n">
        <v>1.69</v>
      </c>
      <c r="K237" s="31" t="n">
        <v>2089503</v>
      </c>
      <c r="L237" s="30" t="n">
        <v>29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55.56</v>
      </c>
      <c r="P237" s="31" t="n">
        <v>10.12</v>
      </c>
      <c r="Q237" s="31" t="n">
        <v>396.01</v>
      </c>
      <c r="R237" s="30" t="inlineStr">
        <is>
          <t>Near 52W High Breakout</t>
        </is>
      </c>
      <c r="S237" s="30" t="inlineStr">
        <is>
          <t>Nifty 50</t>
        </is>
      </c>
      <c r="T237" s="31" t="n">
        <v>-3.76</v>
      </c>
      <c r="U237" s="31" t="n">
        <v>28.32</v>
      </c>
      <c r="V237" s="31" t="n">
        <v>33.34</v>
      </c>
      <c r="W237" s="31" t="n">
        <v>7.99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0 to 20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Blue sky scenario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Less than 12%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Yes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IF(B238=0,"",RANK(B238,$B$2:$B$400,0))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2" t="inlineStr">
        <is>
          <t>SUPRAJIT</t>
        </is>
      </c>
      <c r="D238" s="32" t="inlineStr">
        <is>
          <t>Suprajit Engineering Limited</t>
        </is>
      </c>
      <c r="E238" s="30" t="inlineStr">
        <is>
          <t>auto</t>
        </is>
      </c>
      <c r="F238" s="30" t="inlineStr">
        <is>
          <t>auto ancillaries</t>
        </is>
      </c>
      <c r="G238" s="30" t="inlineStr">
        <is>
          <t>midcap</t>
        </is>
      </c>
      <c r="H238" s="31" t="n">
        <v>6337.31</v>
      </c>
      <c r="I238" s="31" t="n">
        <v>469.8</v>
      </c>
      <c r="J238" s="31" t="n">
        <v>1.69</v>
      </c>
      <c r="K238" s="31" t="n">
        <v>133015</v>
      </c>
      <c r="L238" s="30" t="n">
        <v>15</v>
      </c>
      <c r="M238" s="30" t="inlineStr">
        <is>
          <t>Underperforming</t>
        </is>
      </c>
      <c r="N238" s="31">
        <f>IF(M238="Underperforming",-5,IF(L238&gt;=95,15,IF(L238&gt;=90,10,IF(L238&gt;=80,5,0))))</f>
        <v/>
      </c>
      <c r="O238" s="31" t="n">
        <v>56.73</v>
      </c>
      <c r="P238" s="31" t="n">
        <v>21.72</v>
      </c>
      <c r="Q238" s="31" t="n">
        <v>375.4</v>
      </c>
      <c r="R238" s="30" t="inlineStr">
        <is>
          <t>Near 52W High Breakout</t>
        </is>
      </c>
      <c r="S238" s="30" t="inlineStr">
        <is>
          <t>Nifty Auto</t>
        </is>
      </c>
      <c r="T238" s="31" t="n">
        <v>12.95</v>
      </c>
      <c r="U238" s="31" t="n">
        <v>6.52</v>
      </c>
      <c r="V238" s="31" t="n">
        <v>-5.69</v>
      </c>
      <c r="W238" s="31" t="n">
        <v>5.1</v>
      </c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Headwind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More than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No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Less than 50%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IF(B239=0,"",RANK(B239,$B$2:$B$400,0))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GABRIEL</t>
        </is>
      </c>
      <c r="D239" s="30" t="inlineStr">
        <is>
          <t>Gabriel India Limited</t>
        </is>
      </c>
      <c r="E239" s="30" t="inlineStr">
        <is>
          <t>auto</t>
        </is>
      </c>
      <c r="F239" s="30" t="inlineStr">
        <is>
          <t>auto ancillaries</t>
        </is>
      </c>
      <c r="G239" s="30" t="inlineStr">
        <is>
          <t>midcap</t>
        </is>
      </c>
      <c r="H239" s="31" t="n">
        <v>16134.09</v>
      </c>
      <c r="I239" s="31" t="n">
        <v>1141.9</v>
      </c>
      <c r="J239" s="31" t="n">
        <v>1.66</v>
      </c>
      <c r="K239" s="31" t="n">
        <v>391238</v>
      </c>
      <c r="L239" s="30" t="n">
        <v>86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58.93</v>
      </c>
      <c r="P239" s="31" t="n">
        <v>16.62</v>
      </c>
      <c r="Q239" s="31" t="n">
        <v>854.3099999999999</v>
      </c>
      <c r="R239" s="30" t="inlineStr">
        <is>
          <t>Volume Spike / Accumulation</t>
        </is>
      </c>
      <c r="S239" s="30" t="inlineStr">
        <is>
          <t>Nifty Auto</t>
        </is>
      </c>
      <c r="T239" s="31" t="n">
        <v>12.95</v>
      </c>
      <c r="U239" s="31" t="n">
        <v>93.29000000000001</v>
      </c>
      <c r="V239" s="31" t="n">
        <v>71.13</v>
      </c>
      <c r="W239" s="31" t="n">
        <v>29.12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Yes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0 to 20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Less than 12%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Yes</t>
        </is>
      </c>
      <c r="BS239" s="30">
        <f>IF(BR239="NO",5,0)</f>
        <v/>
      </c>
      <c r="BT239" s="30" t="inlineStr">
        <is>
          <t>Above 2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IF(B240=0,"",RANK(B240,$B$2:$B$400,0))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VAIBHAVGBL</t>
        </is>
      </c>
      <c r="D240" s="30" t="inlineStr">
        <is>
          <t>Vaibhav Global Limited</t>
        </is>
      </c>
      <c r="E240" s="30" t="inlineStr">
        <is>
          <t>consumer discretionary</t>
        </is>
      </c>
      <c r="F240" s="30" t="inlineStr">
        <is>
          <t>diamond cutting / jewellery</t>
        </is>
      </c>
      <c r="G240" s="30" t="inlineStr">
        <is>
          <t>smallcap</t>
        </is>
      </c>
      <c r="H240" s="31" t="n">
        <v>4143.11</v>
      </c>
      <c r="I240" s="31" t="n">
        <v>251.2</v>
      </c>
      <c r="J240" s="31" t="n">
        <v>1.29</v>
      </c>
      <c r="K240" s="31" t="n">
        <v>561628</v>
      </c>
      <c r="L240" s="30" t="n">
        <v>25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60.07</v>
      </c>
      <c r="P240" s="31" t="n">
        <v>12.13</v>
      </c>
      <c r="Q240" s="31" t="n">
        <v>186.98</v>
      </c>
      <c r="R240" s="30" t="inlineStr">
        <is>
          <t>Earnings / Momentum Support</t>
        </is>
      </c>
      <c r="S240" s="30" t="inlineStr">
        <is>
          <t>Nifty 50</t>
        </is>
      </c>
      <c r="T240" s="31" t="n">
        <v>-3.76</v>
      </c>
      <c r="U240" s="31" t="n">
        <v>10.44</v>
      </c>
      <c r="V240" s="31" t="n">
        <v>14.76</v>
      </c>
      <c r="W240" s="31" t="n">
        <v>7.23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No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0 to 20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No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IF(B241=0,"",RANK(B241,$B$2:$B$400,0))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CYIENTDLM</t>
        </is>
      </c>
      <c r="D241" s="30" t="inlineStr">
        <is>
          <t>Cyient DLM Ltd</t>
        </is>
      </c>
      <c r="E241" s="30" t="inlineStr">
        <is>
          <t>consumer discretionary</t>
        </is>
      </c>
      <c r="F241" s="30" t="inlineStr">
        <is>
          <t>electronics - components</t>
        </is>
      </c>
      <c r="G241" s="30" t="inlineStr">
        <is>
          <t>smallcap</t>
        </is>
      </c>
      <c r="H241" s="31" t="n">
        <v>3689.65</v>
      </c>
      <c r="I241" s="31" t="n">
        <v>469.1</v>
      </c>
      <c r="J241" s="31" t="n">
        <v>0.9</v>
      </c>
      <c r="K241" s="31" t="n">
        <v>150103</v>
      </c>
      <c r="L241" s="30" t="n">
        <v>59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66.40000000000001</v>
      </c>
      <c r="P241" s="31" t="n">
        <v>30.47</v>
      </c>
      <c r="Q241" s="31" t="n">
        <v>359.32</v>
      </c>
      <c r="R241" s="30" t="inlineStr">
        <is>
          <t>Near 52W High Breakout</t>
        </is>
      </c>
      <c r="S241" s="30" t="inlineStr">
        <is>
          <t>Nifty 50</t>
        </is>
      </c>
      <c r="T241" s="31" t="n">
        <v>-3.76</v>
      </c>
      <c r="U241" s="31" t="n">
        <v>3.26</v>
      </c>
      <c r="V241" s="31" t="n">
        <v>7.29</v>
      </c>
      <c r="W241" s="31" t="n">
        <v>14.86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Yes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20 to 40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Less than 12%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Less than 50%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IF(B242=0,"",RANK(B242,$B$2:$B$400,0))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KKCL</t>
        </is>
      </c>
      <c r="D242" s="30" t="inlineStr">
        <is>
          <t>Kewal Kiran Clothing Limited</t>
        </is>
      </c>
      <c r="E242" s="30" t="inlineStr">
        <is>
          <t>consumer discretionary</t>
        </is>
      </c>
      <c r="F242" s="30" t="inlineStr">
        <is>
          <t>textiles - products</t>
        </is>
      </c>
      <c r="G242" s="30" t="inlineStr">
        <is>
          <t>smallcap</t>
        </is>
      </c>
      <c r="H242" s="31" t="n">
        <v>3003</v>
      </c>
      <c r="I242" s="31" t="n">
        <v>491.45</v>
      </c>
      <c r="J242" s="31" t="n">
        <v>0.85</v>
      </c>
      <c r="K242" s="31" t="n">
        <v>32047</v>
      </c>
      <c r="L242" s="30" t="n">
        <v>10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54.91</v>
      </c>
      <c r="P242" s="31" t="n">
        <v>12.02</v>
      </c>
      <c r="Q242" s="31" t="n">
        <v>385.96</v>
      </c>
      <c r="R242" s="30" t="inlineStr">
        <is>
          <t>Volume Spike / Accumulation</t>
        </is>
      </c>
      <c r="S242" s="30" t="inlineStr">
        <is>
          <t>Nifty 50</t>
        </is>
      </c>
      <c r="T242" s="31" t="n">
        <v>-3.76</v>
      </c>
      <c r="U242" s="31" t="n">
        <v>-0.25</v>
      </c>
      <c r="V242" s="31" t="n">
        <v>3.65</v>
      </c>
      <c r="W242" s="31" t="n">
        <v>3.89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0 to 20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1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No</t>
        </is>
      </c>
      <c r="BS242" s="30">
        <f>IF(BR242="NO",5,0)</f>
        <v/>
      </c>
      <c r="BT242" s="30" t="inlineStr">
        <is>
          <t>Less than 1.5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IF(B243=0,"",RANK(B243,$B$2:$B$400,0))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KAJARIACER</t>
        </is>
      </c>
      <c r="D243" s="30" t="inlineStr">
        <is>
          <t>Kajaria Ceramics Limited</t>
        </is>
      </c>
      <c r="E243" s="30" t="inlineStr">
        <is>
          <t>building materials</t>
        </is>
      </c>
      <c r="F243" s="30" t="inlineStr">
        <is>
          <t>ceramics - tiles / sanitaryware</t>
        </is>
      </c>
      <c r="G243" s="30" t="inlineStr">
        <is>
          <t>midcap</t>
        </is>
      </c>
      <c r="H243" s="31" t="n">
        <v>18410.28</v>
      </c>
      <c r="I243" s="31" t="n">
        <v>1164.1</v>
      </c>
      <c r="J243" s="31" t="n">
        <v>0.71</v>
      </c>
      <c r="K243" s="31" t="n">
        <v>173706</v>
      </c>
      <c r="L243" s="30" t="n">
        <v>31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60.46</v>
      </c>
      <c r="P243" s="31" t="n">
        <v>18.1</v>
      </c>
      <c r="Q243" s="31" t="n">
        <v>990.49</v>
      </c>
      <c r="R243" s="30" t="inlineStr">
        <is>
          <t>Earnings / Momentum Support</t>
        </is>
      </c>
      <c r="S243" s="30" t="inlineStr">
        <is>
          <t>Nifty Infra</t>
        </is>
      </c>
      <c r="T243" s="31" t="n">
        <v>4.04</v>
      </c>
      <c r="U243" s="31" t="n">
        <v>14.98</v>
      </c>
      <c r="V243" s="31" t="n">
        <v>10.51</v>
      </c>
      <c r="W243" s="31" t="n">
        <v>8.25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No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0 to 20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No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IF(B244=0,"",RANK(B244,$B$2:$B$400,0))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MBAPL</t>
        </is>
      </c>
      <c r="D244" s="30" t="inlineStr">
        <is>
          <t>Madhya Bharat Agro Products Ltd</t>
        </is>
      </c>
      <c r="E244" s="30" t="inlineStr">
        <is>
          <t>chemicals</t>
        </is>
      </c>
      <c r="F244" s="30" t="inlineStr">
        <is>
          <t>fertilizers</t>
        </is>
      </c>
      <c r="G244" s="30" t="inlineStr">
        <is>
          <t>smallcap</t>
        </is>
      </c>
      <c r="H244" s="31" t="n">
        <v>4935.59</v>
      </c>
      <c r="I244" s="31" t="n">
        <v>565.9</v>
      </c>
      <c r="J244" s="31" t="n">
        <v>0.47</v>
      </c>
      <c r="K244" s="31" t="n">
        <v>108679</v>
      </c>
      <c r="L244" s="30" t="n">
        <v>56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67.81</v>
      </c>
      <c r="P244" s="31" t="n">
        <v>48.67</v>
      </c>
      <c r="Q244" s="31" t="n">
        <v>460.88</v>
      </c>
      <c r="R244" s="30" t="inlineStr">
        <is>
          <t>Near 52W High Breakout</t>
        </is>
      </c>
      <c r="S244" s="30" t="inlineStr">
        <is>
          <t>Nifty 50</t>
        </is>
      </c>
      <c r="T244" s="31" t="n">
        <v>-3.76</v>
      </c>
      <c r="U244" s="31" t="n">
        <v>51.07</v>
      </c>
      <c r="V244" s="31" t="n">
        <v>56.98</v>
      </c>
      <c r="W244" s="31" t="n">
        <v>14.19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Yes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Above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Blue sky scenario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More than 20%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No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Negative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More than 1.2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IF(B245=0,"",RANK(B245,$B$2:$B$400,0))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NAZARA</t>
        </is>
      </c>
      <c r="D245" s="30" t="inlineStr">
        <is>
          <t>Nazara Technologies Ltd</t>
        </is>
      </c>
      <c r="E245" s="30" t="inlineStr">
        <is>
          <t>i.t</t>
        </is>
      </c>
      <c r="F245" s="30" t="inlineStr">
        <is>
          <t>telecommunications - service provider</t>
        </is>
      </c>
      <c r="G245" s="30" t="inlineStr">
        <is>
          <t>midcap</t>
        </is>
      </c>
      <c r="H245" s="31" t="n">
        <v>11099.13</v>
      </c>
      <c r="I245" s="31" t="n">
        <v>301</v>
      </c>
      <c r="J245" s="31" t="n">
        <v>0.47</v>
      </c>
      <c r="K245" s="31" t="n">
        <v>2465739</v>
      </c>
      <c r="L245" s="30" t="n">
        <v>18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59.78</v>
      </c>
      <c r="P245" s="31" t="n">
        <v>16.35</v>
      </c>
      <c r="Q245" s="31" t="n">
        <v>228.61</v>
      </c>
      <c r="R245" s="30" t="inlineStr">
        <is>
          <t>Earnings / Momentum Support</t>
        </is>
      </c>
      <c r="S245" s="30" t="inlineStr">
        <is>
          <t>Nifty IT</t>
        </is>
      </c>
      <c r="T245" s="31" t="n">
        <v>-26.99</v>
      </c>
      <c r="U245" s="31" t="n">
        <v>-5.52</v>
      </c>
      <c r="V245" s="31" t="n">
        <v>29.41</v>
      </c>
      <c r="W245" s="31" t="n">
        <v>5.64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Oligopoly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Yes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No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0 to 20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More than 20%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Less than 1.5</t>
        </is>
      </c>
      <c r="BU245" s="30">
        <f>IF(BT245="Above 2",0,IF(BT245="Between 1.5 to 2",5,IF(BT245="Less than 1.5",10,0)))</f>
        <v/>
      </c>
      <c r="BV245" s="30" t="inlineStr">
        <is>
          <t>Between 50% to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IF(B246=0,"",RANK(B246,$B$2:$B$400,0))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THELEELA</t>
        </is>
      </c>
      <c r="D246" s="30" t="inlineStr">
        <is>
          <t>Leela Palaces Hotels &amp; Resorts Ltd</t>
        </is>
      </c>
      <c r="E246" s="30" t="inlineStr">
        <is>
          <t>services</t>
        </is>
      </c>
      <c r="F246" s="30" t="inlineStr">
        <is>
          <t>hotels</t>
        </is>
      </c>
      <c r="G246" s="30" t="inlineStr">
        <is>
          <t>midcap</t>
        </is>
      </c>
      <c r="H246" s="31" t="n">
        <v>15221.8</v>
      </c>
      <c r="I246" s="31" t="n">
        <v>457.6</v>
      </c>
      <c r="J246" s="31" t="n">
        <v>0.39</v>
      </c>
      <c r="K246" s="31" t="n">
        <v>224958</v>
      </c>
      <c r="L246" s="30" t="n">
        <v>21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58.48</v>
      </c>
      <c r="P246" s="31" t="n">
        <v>7.36</v>
      </c>
      <c r="Q246" s="31" t="n">
        <v>371</v>
      </c>
      <c r="R246" s="30" t="inlineStr">
        <is>
          <t>Volume Spike &amp; Near 52W High Breakout</t>
        </is>
      </c>
      <c r="S246" s="30" t="inlineStr">
        <is>
          <t>Nifty 50</t>
        </is>
      </c>
      <c r="T246" s="31" t="n">
        <v>-3.76</v>
      </c>
      <c r="U246" s="31" t="n">
        <v>16.29</v>
      </c>
      <c r="V246" s="31" t="n">
        <v>20.83</v>
      </c>
      <c r="W246" s="31" t="n">
        <v>6.19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0 to 20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1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Blue sky scenario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More than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No</t>
        </is>
      </c>
      <c r="BS246" s="30">
        <f>IF(BR246="NO",5,0)</f>
        <v/>
      </c>
      <c r="BT246" s="30" t="inlineStr">
        <is>
          <t>Between 1.5 to 2</t>
        </is>
      </c>
      <c r="BU246" s="30">
        <f>IF(BT246="Above 2",0,IF(BT246="Between 1.5 to 2",5,IF(BT246="Less than 1.5",10,0)))</f>
        <v/>
      </c>
      <c r="BV246" s="30" t="inlineStr">
        <is>
          <t>Above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IF(B247=0,"",RANK(B247,$B$2:$B$400,0))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KDDL</t>
        </is>
      </c>
      <c r="D247" s="30" t="inlineStr">
        <is>
          <t>Kddl Limited</t>
        </is>
      </c>
      <c r="E247" s="30" t="inlineStr">
        <is>
          <t>consumer discretionary</t>
        </is>
      </c>
      <c r="F247" s="30" t="inlineStr">
        <is>
          <t>miscellaneous</t>
        </is>
      </c>
      <c r="G247" s="30" t="inlineStr">
        <is>
          <t>smallcap</t>
        </is>
      </c>
      <c r="H247" s="31" t="n">
        <v>3570.85</v>
      </c>
      <c r="I247" s="31" t="n">
        <v>2908.8</v>
      </c>
      <c r="J247" s="31" t="n">
        <v>0.19</v>
      </c>
      <c r="K247" s="31" t="n">
        <v>11620</v>
      </c>
      <c r="L247" s="30" t="n">
        <v>35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62.28</v>
      </c>
      <c r="P247" s="31" t="n">
        <v>17.14</v>
      </c>
      <c r="Q247" s="31" t="n">
        <v>2132.75</v>
      </c>
      <c r="R247" s="30" t="inlineStr">
        <is>
          <t>Near 52W High Breakout</t>
        </is>
      </c>
      <c r="S247" s="30" t="inlineStr">
        <is>
          <t>Nifty 50</t>
        </is>
      </c>
      <c r="T247" s="31" t="n">
        <v>-3.76</v>
      </c>
      <c r="U247" s="31" t="n">
        <v>7.15</v>
      </c>
      <c r="V247" s="31" t="n">
        <v>11.34</v>
      </c>
      <c r="W247" s="31" t="n">
        <v>8.94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0 to 20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Yes</t>
        </is>
      </c>
      <c r="BS247" s="30">
        <f>IF(BR247="NO",5,0)</f>
        <v/>
      </c>
      <c r="BT247" s="30" t="inlineStr">
        <is>
          <t>Between 1.5 to 2</t>
        </is>
      </c>
      <c r="BU247" s="30">
        <f>IF(BT247="Above 2",0,IF(BT247="Between 1.5 to 2",5,IF(BT247="Less than 1.5",10,0)))</f>
        <v/>
      </c>
      <c r="BV247" s="30" t="inlineStr">
        <is>
          <t>Less than 50%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IF(B248=0,"",RANK(B248,$B$2:$B$400,0))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2" t="inlineStr">
        <is>
          <t>CERA</t>
        </is>
      </c>
      <c r="D248" s="32" t="inlineStr">
        <is>
          <t>Cera Sanitaryware Limited</t>
        </is>
      </c>
      <c r="E248" s="30" t="inlineStr">
        <is>
          <t>building materials</t>
        </is>
      </c>
      <c r="F248" s="30" t="inlineStr">
        <is>
          <t>ceramics - tiles / sanitaryware</t>
        </is>
      </c>
      <c r="G248" s="30" t="inlineStr">
        <is>
          <t>midcap</t>
        </is>
      </c>
      <c r="H248" s="31" t="n">
        <v>7939.73</v>
      </c>
      <c r="I248" s="31" t="n">
        <v>6160</v>
      </c>
      <c r="J248" s="31" t="n">
        <v>0.07000000000000001</v>
      </c>
      <c r="K248" s="31" t="n">
        <v>6749</v>
      </c>
      <c r="L248" s="30" t="n">
        <v>19</v>
      </c>
      <c r="M248" s="30" t="inlineStr">
        <is>
          <t>Underperforming</t>
        </is>
      </c>
      <c r="N248" s="31">
        <f>IF(M248="Underperforming",-5,IF(L248&gt;=95,15,IF(L248&gt;=90,10,IF(L248&gt;=80,5,0))))</f>
        <v/>
      </c>
      <c r="O248" s="31" t="n">
        <v>64.89</v>
      </c>
      <c r="P248" s="31" t="n">
        <v>29.21</v>
      </c>
      <c r="Q248" s="31" t="n">
        <v>5052.32</v>
      </c>
      <c r="R248" s="30" t="inlineStr">
        <is>
          <t>Earnings / Momentum Support</t>
        </is>
      </c>
      <c r="S248" s="30" t="inlineStr">
        <is>
          <t>Nifty Infra</t>
        </is>
      </c>
      <c r="T248" s="31" t="n">
        <v>4.04</v>
      </c>
      <c r="U248" s="31" t="n">
        <v>-5.83</v>
      </c>
      <c r="V248" s="31" t="n">
        <v>-9.49</v>
      </c>
      <c r="W248" s="31" t="n">
        <v>5.85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No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20 to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Less than 12%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No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IF(B249=0,"",RANK(B249,$B$2:$B$400,0))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OBEROIRLTY</t>
        </is>
      </c>
      <c r="D249" s="30" t="inlineStr">
        <is>
          <t>Oberoi Realty Limited</t>
        </is>
      </c>
      <c r="E249" s="30" t="inlineStr">
        <is>
          <t>realty</t>
        </is>
      </c>
      <c r="F249" s="30" t="inlineStr">
        <is>
          <t>construction</t>
        </is>
      </c>
      <c r="G249" s="30" t="inlineStr">
        <is>
          <t>largecap</t>
        </is>
      </c>
      <c r="H249" s="31" t="n">
        <v>61623.31</v>
      </c>
      <c r="I249" s="31" t="n">
        <v>1694.2</v>
      </c>
      <c r="J249" s="31" t="n">
        <v>-0.04</v>
      </c>
      <c r="K249" s="31" t="n">
        <v>313625</v>
      </c>
      <c r="L249" s="30" t="n">
        <v>3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55.6</v>
      </c>
      <c r="P249" s="31" t="n">
        <v>13.58</v>
      </c>
      <c r="Q249" s="31" t="n">
        <v>1419.45</v>
      </c>
      <c r="R249" s="30" t="inlineStr">
        <is>
          <t>Earnings / Momentum Support</t>
        </is>
      </c>
      <c r="S249" s="30" t="inlineStr">
        <is>
          <t>Nifty Realty</t>
        </is>
      </c>
      <c r="T249" s="31" t="n">
        <v>-19.08</v>
      </c>
      <c r="U249" s="31" t="n">
        <v>-10.9</v>
      </c>
      <c r="V249" s="31" t="n">
        <v>10.11</v>
      </c>
      <c r="W249" s="31" t="n">
        <v>1.8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No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0 to 20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More than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No</t>
        </is>
      </c>
      <c r="BS249" s="30">
        <f>IF(BR249="NO",5,0)</f>
        <v/>
      </c>
      <c r="BT249" s="30" t="inlineStr">
        <is>
          <t>Less than 1.5</t>
        </is>
      </c>
      <c r="BU249" s="30">
        <f>IF(BT249="Above 2",0,IF(BT249="Between 1.5 to 2",5,IF(BT249="Less than 1.5",10,0)))</f>
        <v/>
      </c>
      <c r="BV249" s="30" t="inlineStr">
        <is>
          <t>Less than 50%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IF(B250=0,"",RANK(B250,$B$2:$B$400,0))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SKYGOLD</t>
        </is>
      </c>
      <c r="D250" s="30" t="inlineStr">
        <is>
          <t>Sky Gold Ltd</t>
        </is>
      </c>
      <c r="E250" s="30" t="inlineStr">
        <is>
          <t>consumer discretionary</t>
        </is>
      </c>
      <c r="F250" s="30" t="inlineStr">
        <is>
          <t>diamond cutting / jewellery</t>
        </is>
      </c>
      <c r="G250" s="30" t="inlineStr">
        <is>
          <t>midcap</t>
        </is>
      </c>
      <c r="H250" s="31" t="n">
        <v>8105.32</v>
      </c>
      <c r="I250" s="31" t="n">
        <v>522.1</v>
      </c>
      <c r="J250" s="31" t="n">
        <v>-0.24</v>
      </c>
      <c r="K250" s="31" t="n">
        <v>511732</v>
      </c>
      <c r="L250" s="30" t="n">
        <v>76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64.98</v>
      </c>
      <c r="P250" s="31" t="n">
        <v>38.86</v>
      </c>
      <c r="Q250" s="31" t="n">
        <v>389.91</v>
      </c>
      <c r="R250" s="30" t="inlineStr">
        <is>
          <t>Near 52W High Breakout</t>
        </is>
      </c>
      <c r="S250" s="30" t="inlineStr">
        <is>
          <t>Nifty 50</t>
        </is>
      </c>
      <c r="T250" s="31" t="n">
        <v>-3.76</v>
      </c>
      <c r="U250" s="31" t="n">
        <v>64.16</v>
      </c>
      <c r="V250" s="31" t="n">
        <v>70.56999999999999</v>
      </c>
      <c r="W250" s="31" t="n">
        <v>22.18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20 to 40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Blue sky scenario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More than 20%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No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Negative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Between 0.7 to 1.2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IF(B251=0,"",RANK(B251,$B$2:$B$400,0))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SCHAEFFLER</t>
        </is>
      </c>
      <c r="D251" s="30" t="inlineStr">
        <is>
          <t>Schaeffler India Ltd</t>
        </is>
      </c>
      <c r="E251" s="30" t="inlineStr">
        <is>
          <t>industrials</t>
        </is>
      </c>
      <c r="F251" s="30" t="inlineStr">
        <is>
          <t>bearings</t>
        </is>
      </c>
      <c r="G251" s="30" t="inlineStr">
        <is>
          <t>largecap</t>
        </is>
      </c>
      <c r="H251" s="31" t="n">
        <v>65602.21000000001</v>
      </c>
      <c r="I251" s="31" t="n">
        <v>4186</v>
      </c>
      <c r="J251" s="31" t="n">
        <v>-0.26</v>
      </c>
      <c r="K251" s="31" t="n">
        <v>40301</v>
      </c>
      <c r="L251" s="30" t="n">
        <v>3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55.03</v>
      </c>
      <c r="P251" s="31" t="n">
        <v>14.97</v>
      </c>
      <c r="Q251" s="31" t="n">
        <v>3405.32</v>
      </c>
      <c r="R251" s="30" t="inlineStr">
        <is>
          <t>Near 52W High Breakout</t>
        </is>
      </c>
      <c r="S251" s="30" t="inlineStr">
        <is>
          <t>Nifty 50</t>
        </is>
      </c>
      <c r="T251" s="31" t="n">
        <v>-3.76</v>
      </c>
      <c r="U251" s="31" t="n">
        <v>7.49</v>
      </c>
      <c r="V251" s="31" t="n">
        <v>11.69</v>
      </c>
      <c r="W251" s="31" t="n">
        <v>1.77</v>
      </c>
      <c r="X251" s="30" t="inlineStr">
        <is>
          <t>Cyclical in an Upturn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0 to 20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Yes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Above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IF(B252=0,"",RANK(B252,$B$2:$B$400,0))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BHAGERIA</t>
        </is>
      </c>
      <c r="D252" s="30" t="inlineStr">
        <is>
          <t>Bhageria Industries Limited</t>
        </is>
      </c>
      <c r="E252" s="30" t="inlineStr">
        <is>
          <t>chemicals</t>
        </is>
      </c>
      <c r="F252" s="30" t="inlineStr">
        <is>
          <t>dyes and pigments</t>
        </is>
      </c>
      <c r="G252" s="30" t="inlineStr">
        <is>
          <t>smallcap</t>
        </is>
      </c>
      <c r="H252" s="31" t="n">
        <v>992.99</v>
      </c>
      <c r="I252" s="31" t="n">
        <v>226.35</v>
      </c>
      <c r="J252" s="31" t="n">
        <v>-0.51</v>
      </c>
      <c r="K252" s="31" t="n">
        <v>234250</v>
      </c>
      <c r="L252" s="30" t="n">
        <v>71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68.68000000000001</v>
      </c>
      <c r="P252" s="31" t="n">
        <v>17.29</v>
      </c>
      <c r="Q252" s="31" t="n">
        <v>170.07</v>
      </c>
      <c r="R252" s="30" t="inlineStr">
        <is>
          <t>Near 52W High Breakout</t>
        </is>
      </c>
      <c r="S252" s="30" t="inlineStr">
        <is>
          <t>Nifty IT</t>
        </is>
      </c>
      <c r="T252" s="31" t="n">
        <v>-26.99</v>
      </c>
      <c r="U252" s="31" t="n">
        <v>26.36</v>
      </c>
      <c r="V252" s="31" t="n">
        <v>73.08</v>
      </c>
      <c r="W252" s="31" t="n">
        <v>19.89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0 to 20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Less than 12%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No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Above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IF(B253=0,"",RANK(B253,$B$2:$B$400,0))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INDNIPPON</t>
        </is>
      </c>
      <c r="D253" s="30" t="inlineStr">
        <is>
          <t>India Nippon Electricals Limited</t>
        </is>
      </c>
      <c r="E253" s="30" t="inlineStr">
        <is>
          <t>auto</t>
        </is>
      </c>
      <c r="F253" s="30" t="inlineStr">
        <is>
          <t>auto ancillaries</t>
        </is>
      </c>
      <c r="G253" s="30" t="inlineStr">
        <is>
          <t>smallcap</t>
        </is>
      </c>
      <c r="H253" s="31" t="n">
        <v>2074.84</v>
      </c>
      <c r="I253" s="31" t="n">
        <v>911.95</v>
      </c>
      <c r="J253" s="31" t="n">
        <v>-0.57</v>
      </c>
      <c r="K253" s="31" t="n">
        <v>16585</v>
      </c>
      <c r="L253" s="30" t="n">
        <v>49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60.92</v>
      </c>
      <c r="P253" s="31" t="n">
        <v>13.34</v>
      </c>
      <c r="Q253" s="31" t="n">
        <v>720.12</v>
      </c>
      <c r="R253" s="30" t="inlineStr">
        <is>
          <t>Earnings / Momentum Support</t>
        </is>
      </c>
      <c r="S253" s="30" t="inlineStr">
        <is>
          <t>Nifty Auto</t>
        </is>
      </c>
      <c r="T253" s="31" t="n">
        <v>12.95</v>
      </c>
      <c r="U253" s="31" t="n">
        <v>31.16</v>
      </c>
      <c r="V253" s="31" t="n">
        <v>16.12</v>
      </c>
      <c r="W253" s="31" t="n">
        <v>12.45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No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0 to 20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More than 20%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No</t>
        </is>
      </c>
      <c r="BS253" s="30">
        <f>IF(BR253="NO",5,0)</f>
        <v/>
      </c>
      <c r="BT253" s="30" t="inlineStr">
        <is>
          <t>Less than 1.5</t>
        </is>
      </c>
      <c r="BU253" s="30">
        <f>IF(BT253="Above 2",0,IF(BT253="Between 1.5 to 2",5,IF(BT253="Less than 1.5",10,0)))</f>
        <v/>
      </c>
      <c r="BV253" s="30" t="inlineStr">
        <is>
          <t>Less than 50%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IF(B254=0,"",RANK(B254,$B$2:$B$400,0))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VINDHYATEL</t>
        </is>
      </c>
      <c r="D254" s="30" t="inlineStr">
        <is>
          <t>Vindhya Telelinks Limited</t>
        </is>
      </c>
      <c r="E254" s="30" t="inlineStr">
        <is>
          <t>realty</t>
        </is>
      </c>
      <c r="F254" s="30" t="inlineStr">
        <is>
          <t>construction</t>
        </is>
      </c>
      <c r="G254" s="30" t="inlineStr">
        <is>
          <t>smallcap</t>
        </is>
      </c>
      <c r="H254" s="31" t="n">
        <v>2612.52</v>
      </c>
      <c r="I254" s="31" t="n">
        <v>2179.5</v>
      </c>
      <c r="J254" s="31" t="n">
        <v>-1.13</v>
      </c>
      <c r="K254" s="31" t="n">
        <v>62203</v>
      </c>
      <c r="L254" s="30" t="n">
        <v>89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68.03</v>
      </c>
      <c r="P254" s="31" t="n">
        <v>37.58</v>
      </c>
      <c r="Q254" s="31" t="n">
        <v>1542.98</v>
      </c>
      <c r="R254" s="30" t="inlineStr">
        <is>
          <t>Near 52W High Breakout</t>
        </is>
      </c>
      <c r="S254" s="30" t="inlineStr">
        <is>
          <t>Nifty Realty</t>
        </is>
      </c>
      <c r="T254" s="31" t="n">
        <v>-19.08</v>
      </c>
      <c r="U254" s="31" t="n">
        <v>29.44</v>
      </c>
      <c r="V254" s="31" t="n">
        <v>59.97</v>
      </c>
      <c r="W254" s="31" t="n">
        <v>33.94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20 to 40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Less than 12%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No</t>
        </is>
      </c>
      <c r="BS254" s="30">
        <f>IF(BR254="NO",5,0)</f>
        <v/>
      </c>
      <c r="BT254" s="30" t="inlineStr">
        <is>
          <t>Above 2</t>
        </is>
      </c>
      <c r="BU254" s="30">
        <f>IF(BT254="Above 2",0,IF(BT254="Between 1.5 to 2",5,IF(BT254="Less than 1.5",10,0)))</f>
        <v/>
      </c>
      <c r="BV254" s="30" t="inlineStr">
        <is>
          <t>Negative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IF(B255=0,"",RANK(B255,$B$2:$B$400,0))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MARINE</t>
        </is>
      </c>
      <c r="D255" s="30" t="inlineStr">
        <is>
          <t>Marine Electricals (India) Ltd</t>
        </is>
      </c>
      <c r="E255" s="30" t="inlineStr">
        <is>
          <t>industrials</t>
        </is>
      </c>
      <c r="F255" s="30" t="inlineStr">
        <is>
          <t>electric equipment</t>
        </is>
      </c>
      <c r="G255" s="30" t="inlineStr">
        <is>
          <t>smallcap</t>
        </is>
      </c>
      <c r="H255" s="31" t="n">
        <v>649.27</v>
      </c>
      <c r="I255" s="31" t="n">
        <v>261.5</v>
      </c>
      <c r="J255" s="31" t="n">
        <v>-1.19</v>
      </c>
      <c r="K255" s="31" t="n">
        <v>578199</v>
      </c>
      <c r="L255" s="30" t="n">
        <v>65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62.11</v>
      </c>
      <c r="P255" s="31" t="n">
        <v>25.2</v>
      </c>
      <c r="Q255" s="31" t="n">
        <v>193.5</v>
      </c>
      <c r="R255" s="30" t="inlineStr">
        <is>
          <t>Near 52W High Breakout</t>
        </is>
      </c>
      <c r="S255" s="30" t="inlineStr">
        <is>
          <t>Nifty 50</t>
        </is>
      </c>
      <c r="T255" s="31" t="n">
        <v>-3.76</v>
      </c>
      <c r="U255" s="31" t="n">
        <v>25.21</v>
      </c>
      <c r="V255" s="31" t="n">
        <v>30.11</v>
      </c>
      <c r="W255" s="31" t="n">
        <v>17.62</v>
      </c>
      <c r="X255" s="30" t="inlineStr">
        <is>
          <t>Cyclical in an Upturn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20 to 40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Between 1.5 to 2</t>
        </is>
      </c>
      <c r="BU255" s="30">
        <f>IF(BT255="Above 2",0,IF(BT255="Between 1.5 to 2",5,IF(BT255="Less than 1.5",10,0)))</f>
        <v/>
      </c>
      <c r="BV255" s="30" t="inlineStr">
        <is>
          <t>Negative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IF(B256=0,"",RANK(B256,$B$2:$B$400,0))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TALBROAUTO</t>
        </is>
      </c>
      <c r="D256" s="30" t="inlineStr">
        <is>
          <t>Talbros Automotive Components Limited</t>
        </is>
      </c>
      <c r="E256" s="30" t="inlineStr">
        <is>
          <t>auto</t>
        </is>
      </c>
      <c r="F256" s="30" t="inlineStr">
        <is>
          <t>auto ancillaries</t>
        </is>
      </c>
      <c r="G256" s="30" t="inlineStr">
        <is>
          <t>smallcap</t>
        </is>
      </c>
      <c r="H256" s="31" t="n">
        <v>2212.34</v>
      </c>
      <c r="I256" s="31" t="n">
        <v>354.05</v>
      </c>
      <c r="J256" s="31" t="n">
        <v>-1.21</v>
      </c>
      <c r="K256" s="31" t="n">
        <v>159555</v>
      </c>
      <c r="L256" s="30" t="n">
        <v>62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66.41</v>
      </c>
      <c r="P256" s="31" t="n">
        <v>28.47</v>
      </c>
      <c r="Q256" s="31" t="n">
        <v>266.02</v>
      </c>
      <c r="R256" s="30" t="inlineStr">
        <is>
          <t>Near 52W High Breakout</t>
        </is>
      </c>
      <c r="S256" s="30" t="inlineStr">
        <is>
          <t>Nifty Auto</t>
        </is>
      </c>
      <c r="T256" s="31" t="n">
        <v>12.95</v>
      </c>
      <c r="U256" s="31" t="n">
        <v>22.17</v>
      </c>
      <c r="V256" s="31" t="n">
        <v>8.16</v>
      </c>
      <c r="W256" s="31" t="n">
        <v>16.08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20 to 40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Negative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Blue sky scenario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Between 12 to 20%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No</t>
        </is>
      </c>
      <c r="BS256" s="30">
        <f>IF(BR256="NO",5,0)</f>
        <v/>
      </c>
      <c r="BT256" s="30" t="inlineStr">
        <is>
          <t>Less than 1.5</t>
        </is>
      </c>
      <c r="BU256" s="30">
        <f>IF(BT256="Above 2",0,IF(BT256="Between 1.5 to 2",5,IF(BT256="Less than 1.5",10,0)))</f>
        <v/>
      </c>
      <c r="BV256" s="30" t="inlineStr">
        <is>
          <t>Between 50% to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IF(B257=0,"",RANK(B257,$B$2:$B$400,0))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GALAPREC</t>
        </is>
      </c>
      <c r="D257" s="30" t="inlineStr">
        <is>
          <t>Gala Precision Engineering Ltd</t>
        </is>
      </c>
      <c r="E257" s="30" t="inlineStr">
        <is>
          <t>industrials</t>
        </is>
      </c>
      <c r="F257" s="30" t="inlineStr">
        <is>
          <t>fasteners</t>
        </is>
      </c>
      <c r="G257" s="30" t="inlineStr">
        <is>
          <t>smallcap</t>
        </is>
      </c>
      <c r="H257" s="31" t="n">
        <v>1318.51</v>
      </c>
      <c r="I257" s="31" t="n">
        <v>1021</v>
      </c>
      <c r="J257" s="31" t="n">
        <v>-1.27</v>
      </c>
      <c r="K257" s="31" t="n">
        <v>43935</v>
      </c>
      <c r="L257" s="30" t="n">
        <v>45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72.2</v>
      </c>
      <c r="P257" s="31" t="n">
        <v>23.71</v>
      </c>
      <c r="Q257" s="31" t="n">
        <v>777.6799999999999</v>
      </c>
      <c r="R257" s="30" t="inlineStr">
        <is>
          <t>Volume Spike &amp; Near 52W High Breakout</t>
        </is>
      </c>
      <c r="S257" s="30" t="inlineStr">
        <is>
          <t>Nifty 50</t>
        </is>
      </c>
      <c r="T257" s="31" t="n">
        <v>-3.76</v>
      </c>
      <c r="U257" s="31" t="n">
        <v>17.4</v>
      </c>
      <c r="V257" s="31" t="n">
        <v>21.99</v>
      </c>
      <c r="W257" s="31" t="n">
        <v>11.58</v>
      </c>
      <c r="X257" s="30" t="inlineStr">
        <is>
          <t>Cyclical in an Upturn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Yes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20 to 40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Less than 12%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No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Less than 50%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IF(B258=0,"",RANK(B258,$B$2:$B$400,0))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ITDC</t>
        </is>
      </c>
      <c r="D258" s="30" t="inlineStr">
        <is>
          <t>India Tourism Development Corporation Ltd</t>
        </is>
      </c>
      <c r="E258" s="30" t="inlineStr">
        <is>
          <t>services</t>
        </is>
      </c>
      <c r="F258" s="30" t="inlineStr">
        <is>
          <t>hotels</t>
        </is>
      </c>
      <c r="G258" s="30" t="inlineStr">
        <is>
          <t>midcap</t>
        </is>
      </c>
      <c r="H258" s="31" t="n">
        <v>5337</v>
      </c>
      <c r="I258" s="31" t="n">
        <v>611.65</v>
      </c>
      <c r="J258" s="31" t="n">
        <v>-1.7</v>
      </c>
      <c r="K258" s="31" t="n">
        <v>151909</v>
      </c>
      <c r="L258" s="30" t="n">
        <v>46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55.43</v>
      </c>
      <c r="P258" s="31" t="n">
        <v>28.03</v>
      </c>
      <c r="Q258" s="31" t="n">
        <v>467.04</v>
      </c>
      <c r="R258" s="30" t="inlineStr">
        <is>
          <t>Earnings / Momentum Support</t>
        </is>
      </c>
      <c r="S258" s="30" t="inlineStr">
        <is>
          <t>Nifty 50</t>
        </is>
      </c>
      <c r="T258" s="31" t="n">
        <v>-3.76</v>
      </c>
      <c r="U258" s="31" t="n">
        <v>4.72</v>
      </c>
      <c r="V258" s="31" t="n">
        <v>8.81</v>
      </c>
      <c r="W258" s="31" t="n">
        <v>11.93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No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20 to 40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Less than 12%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Yes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IF(B259=0,"",RANK(B259,$B$2:$B$400,0))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HIRECT</t>
        </is>
      </c>
      <c r="D259" s="30" t="inlineStr">
        <is>
          <t>Hind Rectifiers Limited</t>
        </is>
      </c>
      <c r="E259" s="30" t="inlineStr">
        <is>
          <t>consumer discretionary</t>
        </is>
      </c>
      <c r="F259" s="30" t="inlineStr">
        <is>
          <t>electronics - components</t>
        </is>
      </c>
      <c r="G259" s="30" t="inlineStr">
        <is>
          <t>smallcap</t>
        </is>
      </c>
      <c r="H259" s="31" t="n">
        <v>4097.31</v>
      </c>
      <c r="I259" s="31" t="n">
        <v>1147</v>
      </c>
      <c r="J259" s="31" t="n">
        <v>-3.79</v>
      </c>
      <c r="K259" s="31" t="n">
        <v>129593</v>
      </c>
      <c r="L259" s="30" t="n">
        <v>82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77.48999999999999</v>
      </c>
      <c r="P259" s="31" t="n">
        <v>27.33</v>
      </c>
      <c r="Q259" s="31" t="n">
        <v>812.39</v>
      </c>
      <c r="R259" s="30" t="inlineStr">
        <is>
          <t>Near 52W High Breakout</t>
        </is>
      </c>
      <c r="S259" s="30" t="inlineStr">
        <is>
          <t>Nifty 50</t>
        </is>
      </c>
      <c r="T259" s="31" t="n">
        <v>-3.76</v>
      </c>
      <c r="U259" s="31" t="n">
        <v>81.42</v>
      </c>
      <c r="V259" s="31" t="n">
        <v>88.5</v>
      </c>
      <c r="W259" s="31" t="n">
        <v>26.41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Yes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20 to 40</t>
        </is>
      </c>
      <c r="AY259" s="30">
        <f>IF(AX259="Above 40",20,IF(AX259="20 to 40",10,IF(AX259="0 to 20",-5,0)))</f>
        <v/>
      </c>
      <c r="AZ259" s="30" t="inlineStr">
        <is>
          <t>Above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Blue sky scenario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Less than 12%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Above 2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Between 0.7 to 1.2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IF(B260=0,"",RANK(B260,$B$2:$B$400,0))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0" t="inlineStr">
        <is>
          <t>BBOX</t>
        </is>
      </c>
      <c r="D260" s="30" t="inlineStr">
        <is>
          <t>Black Box Ltd</t>
        </is>
      </c>
      <c r="E260" s="30" t="inlineStr">
        <is>
          <t>i.t</t>
        </is>
      </c>
      <c r="F260" s="30" t="inlineStr">
        <is>
          <t>computers - software - medium / small</t>
        </is>
      </c>
      <c r="G260" s="30" t="inlineStr">
        <is>
          <t>midcap</t>
        </is>
      </c>
      <c r="H260" s="31" t="n">
        <v>18072.57</v>
      </c>
      <c r="I260" s="31" t="n">
        <v>1042</v>
      </c>
      <c r="J260" s="31" t="n">
        <v>2.34</v>
      </c>
      <c r="K260" s="31" t="n">
        <v>1065237</v>
      </c>
      <c r="L260" s="30" t="n">
        <v>94</v>
      </c>
      <c r="M260" s="30" t="inlineStr">
        <is>
          <t>Outperforming</t>
        </is>
      </c>
      <c r="N260" s="31">
        <f>IF(M260="Underperforming",-5,IF(L260&gt;=95,15,IF(L260&gt;=90,10,IF(L260&gt;=80,5,0))))</f>
        <v/>
      </c>
      <c r="O260" s="31" t="n">
        <v>79.40000000000001</v>
      </c>
      <c r="P260" s="31" t="n">
        <v>38.54</v>
      </c>
      <c r="Q260" s="31" t="n">
        <v>831.6</v>
      </c>
      <c r="R260" s="30" t="inlineStr">
        <is>
          <t>Near 52W High Breakout</t>
        </is>
      </c>
      <c r="S260" s="30" t="inlineStr">
        <is>
          <t>Nifty IT</t>
        </is>
      </c>
      <c r="T260" s="31" t="n">
        <v>-26.99</v>
      </c>
      <c r="U260" s="31" t="n">
        <v>118.22</v>
      </c>
      <c r="V260" s="31" t="n">
        <v>198.9</v>
      </c>
      <c r="W260" s="31" t="n">
        <v>43.78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Yes</t>
        </is>
      </c>
      <c r="AQ260" s="30">
        <f>IF(AP260="Yes",10,0)</f>
        <v/>
      </c>
      <c r="AR260" s="30" t="inlineStr">
        <is>
          <t>Higher Annuity, Lower One Time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20 to 40</t>
        </is>
      </c>
      <c r="AY260" s="30">
        <f>IF(AX260="Above 40",20,IF(AX260="20 to 40",10,IF(AX260="0 to 20",-5,0)))</f>
        <v/>
      </c>
      <c r="AZ260" s="30" t="inlineStr">
        <is>
          <t>Above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Blue sky scenario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Less than 12%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Less than 50%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Between 0.7 to 1.2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IF(B261=0,"",RANK(B261,$B$2:$B$400,0))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SANSTAR</t>
        </is>
      </c>
      <c r="D261" s="30" t="inlineStr">
        <is>
          <t>Sanstar Ltd</t>
        </is>
      </c>
      <c r="E261" s="30" t="inlineStr">
        <is>
          <t>fmcg</t>
        </is>
      </c>
      <c r="F261" s="30" t="inlineStr">
        <is>
          <t>miscellaneous</t>
        </is>
      </c>
      <c r="G261" s="30" t="inlineStr">
        <is>
          <t>smallcap</t>
        </is>
      </c>
      <c r="H261" s="31" t="n">
        <v>2091.62</v>
      </c>
      <c r="I261" s="31" t="n">
        <v>115.12</v>
      </c>
      <c r="J261" s="31" t="n">
        <v>0.31</v>
      </c>
      <c r="K261" s="31" t="n">
        <v>499872</v>
      </c>
      <c r="L261" s="30" t="n">
        <v>55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70.63</v>
      </c>
      <c r="P261" s="31" t="n">
        <v>32.05</v>
      </c>
      <c r="Q261" s="31" t="n">
        <v>92.91</v>
      </c>
      <c r="R261" s="30" t="inlineStr">
        <is>
          <t>Near 52W High Breakout</t>
        </is>
      </c>
      <c r="S261" s="30" t="inlineStr">
        <is>
          <t>Nifty FMCG</t>
        </is>
      </c>
      <c r="T261" s="31" t="n">
        <v>-9.109999999999999</v>
      </c>
      <c r="U261" s="31" t="n">
        <v>26.46</v>
      </c>
      <c r="V261" s="31" t="n">
        <v>39.14</v>
      </c>
      <c r="W261" s="31" t="n">
        <v>14.03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B2C</t>
        </is>
      </c>
      <c r="AO261" s="30">
        <f>IF(AN261="B2C",10,IF(AN261="B2B",5,0))</f>
        <v/>
      </c>
      <c r="AP261" s="30" t="inlineStr">
        <is>
          <t>Yes</t>
        </is>
      </c>
      <c r="AQ261" s="30">
        <f>IF(AP261="Yes",10,0)</f>
        <v/>
      </c>
      <c r="AR261" s="30" t="inlineStr">
        <is>
          <t>Higher Annuity, Lower One Time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20 to 40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Negative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More than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Yes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IF(B262=0,"",RANK(B262,$B$2:$B$400,0))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2" t="inlineStr">
        <is>
          <t>MEDANTA</t>
        </is>
      </c>
      <c r="D262" s="32" t="inlineStr">
        <is>
          <t>Global Health Ltd</t>
        </is>
      </c>
      <c r="E262" s="30" t="inlineStr">
        <is>
          <t>healthcare</t>
        </is>
      </c>
      <c r="F262" s="30" t="inlineStr">
        <is>
          <t>healthcare</t>
        </is>
      </c>
      <c r="G262" s="30" t="inlineStr">
        <is>
          <t>largecap</t>
        </is>
      </c>
      <c r="H262" s="31" t="n">
        <v>33717.07</v>
      </c>
      <c r="I262" s="31" t="n">
        <v>1258.2</v>
      </c>
      <c r="J262" s="31" t="n">
        <v>0.3</v>
      </c>
      <c r="K262" s="31" t="n">
        <v>396389</v>
      </c>
      <c r="L262" s="30" t="n">
        <v>33</v>
      </c>
      <c r="M262" s="30" t="inlineStr">
        <is>
          <t>Underperforming</t>
        </is>
      </c>
      <c r="N262" s="31">
        <f>IF(M262="Underperforming",-5,IF(L262&gt;=95,15,IF(L262&gt;=90,10,IF(L262&gt;=80,5,0))))</f>
        <v/>
      </c>
      <c r="O262" s="31" t="n">
        <v>59.76</v>
      </c>
      <c r="P262" s="31" t="n">
        <v>18.82</v>
      </c>
      <c r="Q262" s="31" t="n">
        <v>1024.92</v>
      </c>
      <c r="R262" s="30" t="inlineStr">
        <is>
          <t>Earnings / Momentum Support</t>
        </is>
      </c>
      <c r="S262" s="30" t="inlineStr">
        <is>
          <t>Nifty Pharma</t>
        </is>
      </c>
      <c r="T262" s="31" t="n">
        <v>12.35</v>
      </c>
      <c r="U262" s="31" t="n">
        <v>11.24</v>
      </c>
      <c r="V262" s="31" t="n">
        <v>-0.99</v>
      </c>
      <c r="W262" s="31" t="n">
        <v>8.460000000000001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Yes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No</t>
        </is>
      </c>
      <c r="AQ262" s="30">
        <f>IF(AP262="Yes",10,0)</f>
        <v/>
      </c>
      <c r="AR262" s="30" t="inlineStr">
        <is>
          <t>Higher Annuity, Lower One Time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0 to 20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Yes</t>
        </is>
      </c>
      <c r="BS262" s="30">
        <f>IF(BR262="NO",5,0)</f>
        <v/>
      </c>
      <c r="BT262" s="30" t="inlineStr">
        <is>
          <t>Less than 1.5</t>
        </is>
      </c>
      <c r="BU262" s="30">
        <f>IF(BT262="Above 2",0,IF(BT262="Between 1.5 to 2",5,IF(BT262="Less than 1.5",10,0)))</f>
        <v/>
      </c>
      <c r="BV262" s="30" t="inlineStr">
        <is>
          <t>Above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IF(B263=0,"",RANK(B263,$B$2:$B$400,0))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ADVENZYMES</t>
        </is>
      </c>
      <c r="D263" s="30" t="inlineStr">
        <is>
          <t>Advanced Enzyme Technologies Limited</t>
        </is>
      </c>
      <c r="E263" s="30" t="inlineStr">
        <is>
          <t>healthcare</t>
        </is>
      </c>
      <c r="F263" s="30" t="inlineStr">
        <is>
          <t>pharmaceuticals - indian - bulk drugs &amp; formln</t>
        </is>
      </c>
      <c r="G263" s="30" t="inlineStr">
        <is>
          <t>smallcap</t>
        </is>
      </c>
      <c r="H263" s="31" t="n">
        <v>4172.63</v>
      </c>
      <c r="I263" s="31" t="n">
        <v>373.4</v>
      </c>
      <c r="J263" s="31" t="n">
        <v>0.16</v>
      </c>
      <c r="K263" s="31" t="n">
        <v>65108</v>
      </c>
      <c r="L263" s="30" t="n">
        <v>45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66.59999999999999</v>
      </c>
      <c r="P263" s="31" t="n">
        <v>33.99</v>
      </c>
      <c r="Q263" s="31" t="n">
        <v>289.95</v>
      </c>
      <c r="R263" s="30" t="inlineStr">
        <is>
          <t>Near 52W High Breakout</t>
        </is>
      </c>
      <c r="S263" s="30" t="inlineStr">
        <is>
          <t>Nifty Pharma</t>
        </is>
      </c>
      <c r="T263" s="31" t="n">
        <v>12.35</v>
      </c>
      <c r="U263" s="31" t="n">
        <v>15.3</v>
      </c>
      <c r="V263" s="31" t="n">
        <v>2.63</v>
      </c>
      <c r="W263" s="31" t="n">
        <v>11.6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Yes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Annuity, Lower One Time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20 to 40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Negative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More than 20%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No</t>
        </is>
      </c>
      <c r="BS263" s="30">
        <f>IF(BR263="NO",5,0)</f>
        <v/>
      </c>
      <c r="BT263" s="30" t="inlineStr">
        <is>
          <t>Less than 1.5</t>
        </is>
      </c>
      <c r="BU263" s="30">
        <f>IF(BT263="Above 2",0,IF(BT263="Between 1.5 to 2",5,IF(BT263="Less than 1.5",10,0)))</f>
        <v/>
      </c>
      <c r="BV263" s="30" t="inlineStr">
        <is>
          <t>Between 50% to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Less than 0.7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IF(B264=0,"",RANK(B264,$B$2:$B$400,0))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WELSPUNLIV</t>
        </is>
      </c>
      <c r="D264" s="30" t="inlineStr">
        <is>
          <t>Welspun Living Ltd</t>
        </is>
      </c>
      <c r="E264" s="30" t="inlineStr">
        <is>
          <t>textiles</t>
        </is>
      </c>
      <c r="F264" s="30" t="inlineStr">
        <is>
          <t>textiles - products</t>
        </is>
      </c>
      <c r="G264" s="30" t="inlineStr">
        <is>
          <t>midcap</t>
        </is>
      </c>
      <c r="H264" s="31" t="n">
        <v>14065.97</v>
      </c>
      <c r="I264" s="31" t="n">
        <v>163</v>
      </c>
      <c r="J264" s="31" t="n">
        <v>11.15</v>
      </c>
      <c r="K264" s="31" t="n">
        <v>26612966</v>
      </c>
      <c r="L264" s="30" t="n">
        <v>60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69.56</v>
      </c>
      <c r="P264" s="31" t="n">
        <v>18.87</v>
      </c>
      <c r="Q264" s="31" t="n">
        <v>127.11</v>
      </c>
      <c r="R264" s="30" t="inlineStr">
        <is>
          <t>Volume Spike &amp; Near 52W High Breakout</t>
        </is>
      </c>
      <c r="S264" s="30" t="inlineStr">
        <is>
          <t>Nifty 50</t>
        </is>
      </c>
      <c r="T264" s="31" t="n">
        <v>-3.76</v>
      </c>
      <c r="U264" s="31" t="n">
        <v>28.09</v>
      </c>
      <c r="V264" s="31" t="n">
        <v>33.1</v>
      </c>
      <c r="W264" s="31" t="n">
        <v>15.16</v>
      </c>
      <c r="X264" s="30" t="inlineStr">
        <is>
          <t>Growing Industry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Yes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0 to 20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Less than 12%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Yes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Above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IF(B265=0,"",RANK(B265,$B$2:$B$400,0))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2" t="inlineStr">
        <is>
          <t>AEROENTER</t>
        </is>
      </c>
      <c r="D265" s="32" t="inlineStr">
        <is>
          <t>Aeroflex Enterprises Ltd</t>
        </is>
      </c>
      <c r="E265" s="30" t="inlineStr">
        <is>
          <t>metals &amp; mining</t>
        </is>
      </c>
      <c r="F265" s="30" t="inlineStr">
        <is>
          <t>steel - medium / small</t>
        </is>
      </c>
      <c r="G265" s="30" t="inlineStr">
        <is>
          <t>smallcap</t>
        </is>
      </c>
      <c r="H265" s="31" t="n">
        <v>1307.83</v>
      </c>
      <c r="I265" s="31" t="n">
        <v>124.42</v>
      </c>
      <c r="J265" s="31" t="n">
        <v>7.58</v>
      </c>
      <c r="K265" s="31" t="n">
        <v>10263334</v>
      </c>
      <c r="L265" s="30" t="n">
        <v>78</v>
      </c>
      <c r="M265" s="30" t="inlineStr">
        <is>
          <t>Underperforming</t>
        </is>
      </c>
      <c r="N265" s="31">
        <f>IF(M265="Underperforming",-5,IF(L265&gt;=95,15,IF(L265&gt;=90,10,IF(L265&gt;=80,5,0))))</f>
        <v/>
      </c>
      <c r="O265" s="31" t="n">
        <v>71.53</v>
      </c>
      <c r="P265" s="31" t="n">
        <v>35.55</v>
      </c>
      <c r="Q265" s="31" t="n">
        <v>91.01000000000001</v>
      </c>
      <c r="R265" s="30" t="inlineStr">
        <is>
          <t>Volume Spike &amp; Near 52W High Breakout</t>
        </is>
      </c>
      <c r="S265" s="30" t="inlineStr">
        <is>
          <t>Nifty Metal</t>
        </is>
      </c>
      <c r="T265" s="31" t="n">
        <v>42.37</v>
      </c>
      <c r="U265" s="31" t="n">
        <v>26.68</v>
      </c>
      <c r="V265" s="31" t="n">
        <v>-11.02</v>
      </c>
      <c r="W265" s="31" t="n">
        <v>22.94</v>
      </c>
      <c r="X265" s="30" t="inlineStr">
        <is>
          <t>Cyclical in an Upturn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Cyclical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Volatile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Yes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20 to 40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More than 20%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No</t>
        </is>
      </c>
      <c r="BS265" s="30">
        <f>IF(BR265="NO",5,0)</f>
        <v/>
      </c>
      <c r="BT265" s="30" t="inlineStr">
        <is>
          <t>Less than 1.5</t>
        </is>
      </c>
      <c r="BU265" s="30">
        <f>IF(BT265="Above 2",0,IF(BT265="Between 1.5 to 2",5,IF(BT265="Less than 1.5",10,0)))</f>
        <v/>
      </c>
      <c r="BV265" s="30" t="inlineStr">
        <is>
          <t>Less than 50%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IF(B266=0,"",RANK(B266,$B$2:$B$400,0))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2" t="inlineStr">
        <is>
          <t>RATNAVEER</t>
        </is>
      </c>
      <c r="D266" s="32" t="inlineStr">
        <is>
          <t>Ratnaveer Precision Engineering Ltd</t>
        </is>
      </c>
      <c r="E266" s="30" t="inlineStr">
        <is>
          <t>metals &amp; mining</t>
        </is>
      </c>
      <c r="F266" s="30" t="inlineStr">
        <is>
          <t>steel - medium / small</t>
        </is>
      </c>
      <c r="G266" s="30" t="inlineStr">
        <is>
          <t>smallcap</t>
        </is>
      </c>
      <c r="H266" s="31" t="n">
        <v>1294.04</v>
      </c>
      <c r="I266" s="31" t="n">
        <v>187.13</v>
      </c>
      <c r="J266" s="31" t="n">
        <v>3.29</v>
      </c>
      <c r="K266" s="31" t="n">
        <v>10205256</v>
      </c>
      <c r="L266" s="30" t="n">
        <v>47</v>
      </c>
      <c r="M266" s="30" t="inlineStr">
        <is>
          <t>Underperforming</t>
        </is>
      </c>
      <c r="N266" s="31">
        <f>IF(M266="Underperforming",-5,IF(L266&gt;=95,15,IF(L266&gt;=90,10,IF(L266&gt;=80,5,0))))</f>
        <v/>
      </c>
      <c r="O266" s="31" t="n">
        <v>62.19</v>
      </c>
      <c r="P266" s="31" t="n">
        <v>43.86</v>
      </c>
      <c r="Q266" s="31" t="n">
        <v>129.45</v>
      </c>
      <c r="R266" s="30" t="inlineStr">
        <is>
          <t>Volume Spike &amp; Near 52W High Breakout</t>
        </is>
      </c>
      <c r="S266" s="30" t="inlineStr">
        <is>
          <t>Nifty Metal</t>
        </is>
      </c>
      <c r="T266" s="31" t="n">
        <v>42.37</v>
      </c>
      <c r="U266" s="31" t="n">
        <v>22.79</v>
      </c>
      <c r="V266" s="31" t="n">
        <v>-13.75</v>
      </c>
      <c r="W266" s="31" t="n">
        <v>12.13</v>
      </c>
      <c r="X266" s="30" t="inlineStr">
        <is>
          <t>Cyclical in an Upturn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Cyclical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Volatile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Above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No</t>
        </is>
      </c>
      <c r="BS266" s="30">
        <f>IF(BR266="NO",5,0)</f>
        <v/>
      </c>
      <c r="BT266" s="30" t="inlineStr">
        <is>
          <t>Less than 1.5</t>
        </is>
      </c>
      <c r="BU266" s="30">
        <f>IF(BT266="Above 2",0,IF(BT266="Between 1.5 to 2",5,IF(BT266="Less than 1.5",10,0)))</f>
        <v/>
      </c>
      <c r="BV266" s="30" t="inlineStr">
        <is>
          <t>Negative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IF(B267=0,"",RANK(B267,$B$2:$B$400,0))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PANACHE</t>
        </is>
      </c>
      <c r="D267" s="30" t="inlineStr">
        <is>
          <t>Panache Digilife Ltd</t>
        </is>
      </c>
      <c r="E267" s="30" t="inlineStr">
        <is>
          <t>i.t</t>
        </is>
      </c>
      <c r="F267" s="30" t="inlineStr">
        <is>
          <t>computers - hardware</t>
        </is>
      </c>
      <c r="G267" s="30" t="inlineStr">
        <is>
          <t>smallcap</t>
        </is>
      </c>
      <c r="H267" s="31" t="n">
        <v>658.5</v>
      </c>
      <c r="I267" s="31" t="n">
        <v>424.15</v>
      </c>
      <c r="J267" s="31" t="n">
        <v>3.15</v>
      </c>
      <c r="K267" s="31" t="n">
        <v>74449</v>
      </c>
      <c r="L267" s="30" t="n">
        <v>82</v>
      </c>
      <c r="M267" s="30" t="inlineStr">
        <is>
          <t>Outperforming</t>
        </is>
      </c>
      <c r="N267" s="31">
        <f>IF(M267="Underperforming",-5,IF(L267&gt;=95,15,IF(L267&gt;=90,10,IF(L267&gt;=80,5,0))))</f>
        <v/>
      </c>
      <c r="O267" s="31" t="n">
        <v>65.34999999999999</v>
      </c>
      <c r="P267" s="31" t="n">
        <v>12.75</v>
      </c>
      <c r="Q267" s="31" t="n">
        <v>300.3</v>
      </c>
      <c r="R267" s="30" t="inlineStr">
        <is>
          <t>Volume Spike &amp; Near 52W High Breakout</t>
        </is>
      </c>
      <c r="S267" s="30" t="inlineStr">
        <is>
          <t>Nifty IT</t>
        </is>
      </c>
      <c r="T267" s="31" t="n">
        <v>-26.99</v>
      </c>
      <c r="U267" s="31" t="n">
        <v>118.54</v>
      </c>
      <c r="V267" s="31" t="n">
        <v>199.35</v>
      </c>
      <c r="W267" s="31" t="n">
        <v>26.37</v>
      </c>
      <c r="X267" s="30" t="inlineStr">
        <is>
          <t>Growing Industry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Yes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0 to 20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Blue sky scenario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Yes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Negative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Less than 0.7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IF(B268=0,"",RANK(B268,$B$2:$B$400,0))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0" t="inlineStr">
        <is>
          <t>TDPOWERSYS</t>
        </is>
      </c>
      <c r="D268" s="30" t="inlineStr">
        <is>
          <t>Td Power Systems Limited</t>
        </is>
      </c>
      <c r="E268" s="30" t="inlineStr">
        <is>
          <t>industrials</t>
        </is>
      </c>
      <c r="F268" s="30" t="inlineStr">
        <is>
          <t>electric equipment</t>
        </is>
      </c>
      <c r="G268" s="30" t="inlineStr">
        <is>
          <t>midcap</t>
        </is>
      </c>
      <c r="H268" s="31" t="n">
        <v>19222.23</v>
      </c>
      <c r="I268" s="31" t="n">
        <v>1269</v>
      </c>
      <c r="J268" s="31" t="n">
        <v>3.13</v>
      </c>
      <c r="K268" s="31" t="n">
        <v>979242</v>
      </c>
      <c r="L268" s="30" t="n">
        <v>87</v>
      </c>
      <c r="M268" s="30" t="inlineStr">
        <is>
          <t>Outperforming</t>
        </is>
      </c>
      <c r="N268" s="31">
        <f>IF(M268="Underperforming",-5,IF(L268&gt;=95,15,IF(L268&gt;=90,10,IF(L268&gt;=80,5,0))))</f>
        <v/>
      </c>
      <c r="O268" s="31" t="n">
        <v>69.43000000000001</v>
      </c>
      <c r="P268" s="31" t="n">
        <v>49.24</v>
      </c>
      <c r="Q268" s="31" t="n">
        <v>971.28</v>
      </c>
      <c r="R268" s="30" t="inlineStr">
        <is>
          <t>Near 52W High Breakout</t>
        </is>
      </c>
      <c r="S268" s="30" t="inlineStr">
        <is>
          <t>Nifty 50</t>
        </is>
      </c>
      <c r="T268" s="31" t="n">
        <v>-3.76</v>
      </c>
      <c r="U268" s="31" t="n">
        <v>146.99</v>
      </c>
      <c r="V268" s="31" t="n">
        <v>156.64</v>
      </c>
      <c r="W268" s="31" t="n">
        <v>30.34</v>
      </c>
      <c r="X268" s="30" t="inlineStr">
        <is>
          <t>Cyclical in an Upturn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Above 40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Negative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Blue sky scenario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More than 20%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Yes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Less than 50%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IF(B269=0,"",RANK(B269,$B$2:$B$400,0))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ADANIENT</t>
        </is>
      </c>
      <c r="D269" s="30" t="inlineStr">
        <is>
          <t>Adani Enterprises Limited</t>
        </is>
      </c>
      <c r="E269" s="30" t="inlineStr">
        <is>
          <t>services</t>
        </is>
      </c>
      <c r="F269" s="30" t="inlineStr">
        <is>
          <t>trading</t>
        </is>
      </c>
      <c r="G269" s="30" t="inlineStr">
        <is>
          <t>largecap</t>
        </is>
      </c>
      <c r="H269" s="31" t="n">
        <v>381586.92</v>
      </c>
      <c r="I269" s="31" t="n">
        <v>3013.4</v>
      </c>
      <c r="J269" s="31" t="n">
        <v>2.08</v>
      </c>
      <c r="K269" s="31" t="n">
        <v>1774394</v>
      </c>
      <c r="L269" s="30" t="n">
        <v>67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70.66</v>
      </c>
      <c r="P269" s="31" t="n">
        <v>32.66</v>
      </c>
      <c r="Q269" s="31" t="n">
        <v>2517.67</v>
      </c>
      <c r="R269" s="30" t="inlineStr">
        <is>
          <t>Near 52W High Breakout</t>
        </is>
      </c>
      <c r="S269" s="30" t="inlineStr">
        <is>
          <t>Nifty 50</t>
        </is>
      </c>
      <c r="T269" s="31" t="n">
        <v>-3.76</v>
      </c>
      <c r="U269" s="31" t="n">
        <v>23.13</v>
      </c>
      <c r="V269" s="31" t="n">
        <v>27.94</v>
      </c>
      <c r="W269" s="31" t="n">
        <v>18.15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20 to 40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More than 20%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Yes</t>
        </is>
      </c>
      <c r="BS269" s="30">
        <f>IF(BR269="NO",5,0)</f>
        <v/>
      </c>
      <c r="BT269" s="30" t="inlineStr">
        <is>
          <t>Above 2</t>
        </is>
      </c>
      <c r="BU269" s="30">
        <f>IF(BT269="Above 2",0,IF(BT269="Between 1.5 to 2",5,IF(BT269="Less than 1.5",10,0)))</f>
        <v/>
      </c>
      <c r="BV269" s="30" t="inlineStr">
        <is>
          <t>Less than 50% and Borrowings are increasing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Between 0.7 to 1.2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IF(B270=0,"",RANK(B270,$B$2:$B$400,0))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2" t="inlineStr">
        <is>
          <t>SHYAMMETL</t>
        </is>
      </c>
      <c r="D270" s="32" t="inlineStr">
        <is>
          <t>Shyam Metalics &amp; Energy Ltd</t>
        </is>
      </c>
      <c r="E270" s="30" t="inlineStr">
        <is>
          <t>metals &amp; mining</t>
        </is>
      </c>
      <c r="F270" s="30" t="inlineStr">
        <is>
          <t>steel - large</t>
        </is>
      </c>
      <c r="G270" s="30" t="inlineStr">
        <is>
          <t>largecap</t>
        </is>
      </c>
      <c r="H270" s="31" t="n">
        <v>26672.44</v>
      </c>
      <c r="I270" s="31" t="n">
        <v>975.1</v>
      </c>
      <c r="J270" s="31" t="n">
        <v>2.05</v>
      </c>
      <c r="K270" s="31" t="n">
        <v>1729481</v>
      </c>
      <c r="L270" s="30" t="n">
        <v>33</v>
      </c>
      <c r="M270" s="30" t="inlineStr">
        <is>
          <t>Underperforming</t>
        </is>
      </c>
      <c r="N270" s="31">
        <f>IF(M270="Underperforming",-5,IF(L270&gt;=95,15,IF(L270&gt;=90,10,IF(L270&gt;=80,5,0))))</f>
        <v/>
      </c>
      <c r="O270" s="31" t="n">
        <v>61.8</v>
      </c>
      <c r="P270" s="31" t="n">
        <v>15.22</v>
      </c>
      <c r="Q270" s="31" t="n">
        <v>814.54</v>
      </c>
      <c r="R270" s="30" t="inlineStr">
        <is>
          <t>Near 52W High Breakout</t>
        </is>
      </c>
      <c r="S270" s="30" t="inlineStr">
        <is>
          <t>Nifty Metal</t>
        </is>
      </c>
      <c r="T270" s="31" t="n">
        <v>42.37</v>
      </c>
      <c r="U270" s="31" t="n">
        <v>18.5</v>
      </c>
      <c r="V270" s="31" t="n">
        <v>-16.77</v>
      </c>
      <c r="W270" s="31" t="n">
        <v>8.57</v>
      </c>
      <c r="X270" s="30" t="inlineStr">
        <is>
          <t>Cyclical in an Upturn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Cyclical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Volatile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Yes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0 to 20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Blue sky scenario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More than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No</t>
        </is>
      </c>
      <c r="BS270" s="30">
        <f>IF(BR270="NO",5,0)</f>
        <v/>
      </c>
      <c r="BT270" s="30" t="inlineStr">
        <is>
          <t>Less than 1.5</t>
        </is>
      </c>
      <c r="BU270" s="30">
        <f>IF(BT270="Above 2",0,IF(BT270="Between 1.5 to 2",5,IF(BT270="Less than 1.5",10,0)))</f>
        <v/>
      </c>
      <c r="BV270" s="30" t="inlineStr">
        <is>
          <t>Above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IF(B271=0,"",RANK(B271,$B$2:$B$400,0))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2" t="inlineStr">
        <is>
          <t>OAL</t>
        </is>
      </c>
      <c r="D271" s="32" t="inlineStr">
        <is>
          <t>Oriental Aromatics Ltd</t>
        </is>
      </c>
      <c r="E271" s="30" t="inlineStr">
        <is>
          <t>chemicals</t>
        </is>
      </c>
      <c r="F271" s="30" t="inlineStr">
        <is>
          <t>chemicals</t>
        </is>
      </c>
      <c r="G271" s="30" t="inlineStr">
        <is>
          <t>smallcap</t>
        </is>
      </c>
      <c r="H271" s="31" t="n">
        <v>1147.08</v>
      </c>
      <c r="I271" s="31" t="n">
        <v>346.7</v>
      </c>
      <c r="J271" s="31" t="n">
        <v>1.72</v>
      </c>
      <c r="K271" s="31" t="n">
        <v>27836</v>
      </c>
      <c r="L271" s="30" t="n">
        <v>23</v>
      </c>
      <c r="M271" s="30" t="inlineStr">
        <is>
          <t>Underperforming</t>
        </is>
      </c>
      <c r="N271" s="31">
        <f>IF(M271="Underperforming",-5,IF(L271&gt;=95,15,IF(L271&gt;=90,10,IF(L271&gt;=80,5,0))))</f>
        <v/>
      </c>
      <c r="O271" s="31" t="n">
        <v>62.46</v>
      </c>
      <c r="P271" s="31" t="n">
        <v>23.41</v>
      </c>
      <c r="Q271" s="31" t="n">
        <v>259.52</v>
      </c>
      <c r="R271" s="30" t="inlineStr">
        <is>
          <t>Earnings / Momentum Support</t>
        </is>
      </c>
      <c r="S271" s="30" t="inlineStr">
        <is>
          <t>Nifty 50</t>
        </is>
      </c>
      <c r="T271" s="31" t="n">
        <v>-3.76</v>
      </c>
      <c r="U271" s="31" t="n">
        <v>-10.83</v>
      </c>
      <c r="V271" s="31" t="n">
        <v>-7.34</v>
      </c>
      <c r="W271" s="31" t="n">
        <v>6.88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No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20 to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Yes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Less than 50%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IF(B272=0,"",RANK(B272,$B$2:$B$400,0))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KSB</t>
        </is>
      </c>
      <c r="D272" s="30" t="inlineStr">
        <is>
          <t>KSB Ltd</t>
        </is>
      </c>
      <c r="E272" s="30" t="inlineStr">
        <is>
          <t>industrials</t>
        </is>
      </c>
      <c r="F272" s="30" t="inlineStr">
        <is>
          <t>pumps</t>
        </is>
      </c>
      <c r="G272" s="30" t="inlineStr">
        <is>
          <t>midcap</t>
        </is>
      </c>
      <c r="H272" s="31" t="n">
        <v>15145.76</v>
      </c>
      <c r="I272" s="31" t="n">
        <v>878.15</v>
      </c>
      <c r="J272" s="31" t="n">
        <v>0.91</v>
      </c>
      <c r="K272" s="31" t="n">
        <v>141117</v>
      </c>
      <c r="L272" s="30" t="n">
        <v>11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57.44</v>
      </c>
      <c r="P272" s="31" t="n">
        <v>28.24</v>
      </c>
      <c r="Q272" s="31" t="n">
        <v>789.45</v>
      </c>
      <c r="R272" s="30" t="inlineStr">
        <is>
          <t>Earnings / Momentum Support</t>
        </is>
      </c>
      <c r="S272" s="30" t="inlineStr">
        <is>
          <t>Nifty 50</t>
        </is>
      </c>
      <c r="T272" s="31" t="n">
        <v>-3.76</v>
      </c>
      <c r="U272" s="31" t="n">
        <v>6.6</v>
      </c>
      <c r="V272" s="31" t="n">
        <v>10.77</v>
      </c>
      <c r="W272" s="31" t="n">
        <v>4.15</v>
      </c>
      <c r="X272" s="30" t="inlineStr">
        <is>
          <t>Cyclical in an Upturn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No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20 to 40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Less than 12%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Yes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IF(B273=0,"",RANK(B273,$B$2:$B$400,0))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2" t="inlineStr">
        <is>
          <t>RML</t>
        </is>
      </c>
      <c r="D273" s="32" t="inlineStr">
        <is>
          <t>Rane (madras) Limited</t>
        </is>
      </c>
      <c r="E273" s="30" t="inlineStr">
        <is>
          <t>auto</t>
        </is>
      </c>
      <c r="F273" s="30" t="inlineStr">
        <is>
          <t>auto ancillaries</t>
        </is>
      </c>
      <c r="G273" s="30" t="inlineStr">
        <is>
          <t>smallcap</t>
        </is>
      </c>
      <c r="H273" s="31" t="n">
        <v>2704.57</v>
      </c>
      <c r="I273" s="31" t="n">
        <v>986.75</v>
      </c>
      <c r="J273" s="31" t="n">
        <v>0.83</v>
      </c>
      <c r="K273" s="31" t="n">
        <v>38890</v>
      </c>
      <c r="L273" s="30" t="n">
        <v>40</v>
      </c>
      <c r="M273" s="30" t="inlineStr">
        <is>
          <t>Underperforming</t>
        </is>
      </c>
      <c r="N273" s="31">
        <f>IF(M273="Underperforming",-5,IF(L273&gt;=95,15,IF(L273&gt;=90,10,IF(L273&gt;=80,5,0))))</f>
        <v/>
      </c>
      <c r="O273" s="31" t="n">
        <v>66.41</v>
      </c>
      <c r="P273" s="31" t="n">
        <v>22.1</v>
      </c>
      <c r="Q273" s="31" t="n">
        <v>786.75</v>
      </c>
      <c r="R273" s="30" t="inlineStr">
        <is>
          <t>Near 52W High Breakout</t>
        </is>
      </c>
      <c r="S273" s="30" t="inlineStr">
        <is>
          <t>Nifty Auto</t>
        </is>
      </c>
      <c r="T273" s="31" t="n">
        <v>12.95</v>
      </c>
      <c r="U273" s="31" t="n">
        <v>8.15</v>
      </c>
      <c r="V273" s="31" t="n">
        <v>-4.25</v>
      </c>
      <c r="W273" s="31" t="n">
        <v>10.14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Yes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20 to 40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Less than 12%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No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Between 50% to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Between 0.7 to 1.2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IF(B274=0,"",RANK(B274,$B$2:$B$400,0))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CENTENKA</t>
        </is>
      </c>
      <c r="D274" s="30" t="inlineStr">
        <is>
          <t>Century Enka Limited</t>
        </is>
      </c>
      <c r="E274" s="30" t="inlineStr">
        <is>
          <t>textiles</t>
        </is>
      </c>
      <c r="F274" s="30" t="inlineStr">
        <is>
          <t>textiles - manmade</t>
        </is>
      </c>
      <c r="G274" s="30" t="inlineStr">
        <is>
          <t>smallcap</t>
        </is>
      </c>
      <c r="H274" s="31" t="n">
        <v>1102.8</v>
      </c>
      <c r="I274" s="31" t="n">
        <v>506.9</v>
      </c>
      <c r="J274" s="31" t="n">
        <v>0.44</v>
      </c>
      <c r="K274" s="31" t="n">
        <v>24378</v>
      </c>
      <c r="L274" s="30" t="n">
        <v>19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59.19</v>
      </c>
      <c r="P274" s="31" t="n">
        <v>31.69</v>
      </c>
      <c r="Q274" s="31" t="n">
        <v>406.47</v>
      </c>
      <c r="R274" s="30" t="inlineStr">
        <is>
          <t>Near 52W High Breakout</t>
        </is>
      </c>
      <c r="S274" s="30" t="inlineStr">
        <is>
          <t>Nifty 50</t>
        </is>
      </c>
      <c r="T274" s="31" t="n">
        <v>-3.76</v>
      </c>
      <c r="U274" s="31" t="n">
        <v>4.26</v>
      </c>
      <c r="V274" s="31" t="n">
        <v>8.33</v>
      </c>
      <c r="W274" s="31" t="n">
        <v>5.79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Yes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Negative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More than 20%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No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IF(B275=0,"",RANK(B275,$B$2:$B$400,0))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MMFL</t>
        </is>
      </c>
      <c r="D275" s="30" t="inlineStr">
        <is>
          <t>Mm Forgings Limited</t>
        </is>
      </c>
      <c r="E275" s="30" t="inlineStr">
        <is>
          <t>industrials</t>
        </is>
      </c>
      <c r="F275" s="30" t="inlineStr">
        <is>
          <t>castings &amp; forgings</t>
        </is>
      </c>
      <c r="G275" s="30" t="inlineStr">
        <is>
          <t>smallcap</t>
        </is>
      </c>
      <c r="H275" s="31" t="n">
        <v>2278.17</v>
      </c>
      <c r="I275" s="31" t="n">
        <v>471.4</v>
      </c>
      <c r="J275" s="31" t="n">
        <v>-0.1</v>
      </c>
      <c r="K275" s="31" t="n">
        <v>54349</v>
      </c>
      <c r="L275" s="30" t="n">
        <v>30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60.13</v>
      </c>
      <c r="P275" s="31" t="n">
        <v>15.5</v>
      </c>
      <c r="Q275" s="31" t="n">
        <v>372.59</v>
      </c>
      <c r="R275" s="30" t="inlineStr">
        <is>
          <t>Near 52W High Breakout</t>
        </is>
      </c>
      <c r="S275" s="30" t="inlineStr">
        <is>
          <t>Nifty 50</t>
        </is>
      </c>
      <c r="T275" s="31" t="n">
        <v>-3.76</v>
      </c>
      <c r="U275" s="31" t="n">
        <v>30.76</v>
      </c>
      <c r="V275" s="31" t="n">
        <v>35.87</v>
      </c>
      <c r="W275" s="31" t="n">
        <v>8.119999999999999</v>
      </c>
      <c r="X275" s="30" t="inlineStr">
        <is>
          <t>Cyclical in an Upturn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Yes</t>
        </is>
      </c>
      <c r="AQ275" s="30">
        <f>IF(AP275="Yes",10,0)</f>
        <v/>
      </c>
      <c r="AR275" s="30" t="inlineStr">
        <is>
          <t>Higher One Time, Lower Annuity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0 to 20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Less than 1.5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More than 1.2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IF(B276=0,"",RANK(B276,$B$2:$B$400,0))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0" t="inlineStr">
        <is>
          <t>NAVINFLUOR</t>
        </is>
      </c>
      <c r="D276" s="30" t="inlineStr">
        <is>
          <t>Navin Fluorine International Limited</t>
        </is>
      </c>
      <c r="E276" s="30" t="inlineStr">
        <is>
          <t>chemicals</t>
        </is>
      </c>
      <c r="F276" s="30" t="inlineStr">
        <is>
          <t>chemicals</t>
        </is>
      </c>
      <c r="G276" s="30" t="inlineStr">
        <is>
          <t>largecap</t>
        </is>
      </c>
      <c r="H276" s="31" t="n">
        <v>37636.95</v>
      </c>
      <c r="I276" s="31" t="n">
        <v>7303.5</v>
      </c>
      <c r="J276" s="31" t="n">
        <v>-0.55</v>
      </c>
      <c r="K276" s="31" t="n">
        <v>101512</v>
      </c>
      <c r="L276" s="30" t="n">
        <v>53</v>
      </c>
      <c r="M276" s="30" t="inlineStr">
        <is>
          <t>Outperforming</t>
        </is>
      </c>
      <c r="N276" s="31">
        <f>IF(M276="Underperforming",-5,IF(L276&gt;=95,15,IF(L276&gt;=90,10,IF(L276&gt;=80,5,0))))</f>
        <v/>
      </c>
      <c r="O276" s="31" t="n">
        <v>69.51000000000001</v>
      </c>
      <c r="P276" s="31" t="n">
        <v>37.33</v>
      </c>
      <c r="Q276" s="31" t="n">
        <v>5950.21</v>
      </c>
      <c r="R276" s="30" t="inlineStr">
        <is>
          <t>Near 52W High Breakout</t>
        </is>
      </c>
      <c r="S276" s="30" t="inlineStr">
        <is>
          <t>Nifty 50</t>
        </is>
      </c>
      <c r="T276" s="31" t="n">
        <v>-3.76</v>
      </c>
      <c r="U276" s="31" t="n">
        <v>56.47</v>
      </c>
      <c r="V276" s="31" t="n">
        <v>62.58</v>
      </c>
      <c r="W276" s="31" t="n">
        <v>13.62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Oligopoly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Shallow Cyclical (2 to 3 Years Growth)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Yes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20 to 40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3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Yes</t>
        </is>
      </c>
      <c r="BS276" s="30">
        <f>IF(BR276="NO",5,0)</f>
        <v/>
      </c>
      <c r="BT276" s="30" t="inlineStr">
        <is>
          <t>Above 2</t>
        </is>
      </c>
      <c r="BU276" s="30">
        <f>IF(BT276="Above 2",0,IF(BT276="Between 1.5 to 2",5,IF(BT276="Less than 1.5",10,0)))</f>
        <v/>
      </c>
      <c r="BV276" s="30" t="inlineStr">
        <is>
          <t>Between 50% to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IF(B277=0,"",RANK(B277,$B$2:$B$400,0))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2" t="inlineStr">
        <is>
          <t>CHAMBLFERT</t>
        </is>
      </c>
      <c r="D277" s="32" t="inlineStr">
        <is>
          <t>Chambal Fertilizers &amp; Chemicals Limited</t>
        </is>
      </c>
      <c r="E277" s="30" t="inlineStr">
        <is>
          <t>chemicals</t>
        </is>
      </c>
      <c r="F277" s="30" t="inlineStr">
        <is>
          <t>fertilizers</t>
        </is>
      </c>
      <c r="G277" s="30" t="inlineStr">
        <is>
          <t>midcap</t>
        </is>
      </c>
      <c r="H277" s="31" t="n">
        <v>19435.64</v>
      </c>
      <c r="I277" s="31" t="n">
        <v>482.05</v>
      </c>
      <c r="J277" s="31" t="n">
        <v>-0.63</v>
      </c>
      <c r="K277" s="31" t="n">
        <v>644545</v>
      </c>
      <c r="L277" s="30" t="n">
        <v>1</v>
      </c>
      <c r="M277" s="30" t="inlineStr">
        <is>
          <t>Underperforming</t>
        </is>
      </c>
      <c r="N277" s="31">
        <f>IF(M277="Underperforming",-5,IF(L277&gt;=95,15,IF(L277&gt;=90,10,IF(L277&gt;=80,5,0))))</f>
        <v/>
      </c>
      <c r="O277" s="31" t="n">
        <v>58.5</v>
      </c>
      <c r="P277" s="31" t="n">
        <v>13.71</v>
      </c>
      <c r="Q277" s="31" t="n">
        <v>397.27</v>
      </c>
      <c r="R277" s="30" t="inlineStr">
        <is>
          <t>Earnings / Momentum Support</t>
        </is>
      </c>
      <c r="S277" s="30" t="inlineStr">
        <is>
          <t>Nifty 50</t>
        </is>
      </c>
      <c r="T277" s="31" t="n">
        <v>-3.76</v>
      </c>
      <c r="U277" s="31" t="n">
        <v>-10.71</v>
      </c>
      <c r="V277" s="31" t="n">
        <v>-7.22</v>
      </c>
      <c r="W277" s="31" t="n">
        <v>0.72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No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0 to 20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More than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No</t>
        </is>
      </c>
      <c r="BS277" s="30">
        <f>IF(BR277="NO",5,0)</f>
        <v/>
      </c>
      <c r="BT277" s="30" t="inlineStr">
        <is>
          <t>Less than 1.5</t>
        </is>
      </c>
      <c r="BU277" s="30">
        <f>IF(BT277="Above 2",0,IF(BT277="Between 1.5 to 2",5,IF(BT277="Less than 1.5",10,0)))</f>
        <v/>
      </c>
      <c r="BV277" s="30" t="inlineStr">
        <is>
          <t>Less than 50%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IF(B278=0,"",RANK(B278,$B$2:$B$400,0))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GREENLAM</t>
        </is>
      </c>
      <c r="D278" s="30" t="inlineStr">
        <is>
          <t>Greenlam Industries Limited</t>
        </is>
      </c>
      <c r="E278" s="30" t="inlineStr">
        <is>
          <t>building materials</t>
        </is>
      </c>
      <c r="F278" s="30" t="inlineStr">
        <is>
          <t>miscellaneous</t>
        </is>
      </c>
      <c r="G278" s="30" t="inlineStr">
        <is>
          <t>midcap</t>
        </is>
      </c>
      <c r="H278" s="31" t="n">
        <v>6562.91</v>
      </c>
      <c r="I278" s="31" t="n">
        <v>255.55</v>
      </c>
      <c r="J278" s="31" t="n">
        <v>-0.65</v>
      </c>
      <c r="K278" s="31" t="n">
        <v>111563</v>
      </c>
      <c r="L278" s="30" t="n">
        <v>22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60.48</v>
      </c>
      <c r="P278" s="31" t="n">
        <v>18.41</v>
      </c>
      <c r="Q278" s="31" t="n">
        <v>190.05</v>
      </c>
      <c r="R278" s="30" t="inlineStr">
        <is>
          <t>Near 52W High Breakout</t>
        </is>
      </c>
      <c r="S278" s="30" t="inlineStr">
        <is>
          <t>Nifty Infra</t>
        </is>
      </c>
      <c r="T278" s="31" t="n">
        <v>4.04</v>
      </c>
      <c r="U278" s="31" t="n">
        <v>8.699999999999999</v>
      </c>
      <c r="V278" s="31" t="n">
        <v>4.47</v>
      </c>
      <c r="W278" s="31" t="n">
        <v>6.32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Yes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0 to 20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More than 20%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Yes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Above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Between 0.7 to 1.2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IF(B279=0,"",RANK(B279,$B$2:$B$400,0))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PYRAMID</t>
        </is>
      </c>
      <c r="D279" s="30" t="inlineStr">
        <is>
          <t>Pyramid Technoplast Ltd</t>
        </is>
      </c>
      <c r="E279" s="30" t="inlineStr">
        <is>
          <t>industrials</t>
        </is>
      </c>
      <c r="F279" s="30" t="inlineStr">
        <is>
          <t>packaging</t>
        </is>
      </c>
      <c r="G279" s="30" t="inlineStr">
        <is>
          <t>smallcap</t>
        </is>
      </c>
      <c r="H279" s="31" t="n">
        <v>649.21</v>
      </c>
      <c r="I279" s="31" t="n">
        <v>175.3</v>
      </c>
      <c r="J279" s="31" t="n">
        <v>-0.67</v>
      </c>
      <c r="K279" s="31" t="n">
        <v>22859</v>
      </c>
      <c r="L279" s="30" t="n">
        <v>10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57.95</v>
      </c>
      <c r="P279" s="31" t="n">
        <v>15.07</v>
      </c>
      <c r="Q279" s="31" t="n">
        <v>133.72</v>
      </c>
      <c r="R279" s="30" t="inlineStr">
        <is>
          <t>Near 52W High Breakout</t>
        </is>
      </c>
      <c r="S279" s="30" t="inlineStr">
        <is>
          <t>Nifty 50</t>
        </is>
      </c>
      <c r="T279" s="31" t="n">
        <v>-3.76</v>
      </c>
      <c r="U279" s="31" t="n">
        <v>-1.75</v>
      </c>
      <c r="V279" s="31" t="n">
        <v>2.08</v>
      </c>
      <c r="W279" s="31" t="n">
        <v>3.94</v>
      </c>
      <c r="X279" s="30" t="inlineStr">
        <is>
          <t>Cyclical in an Upturn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Yes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0 to 20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Close to 52 week high or retracement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More than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No</t>
        </is>
      </c>
      <c r="BS279" s="30">
        <f>IF(BR279="NO",5,0)</f>
        <v/>
      </c>
      <c r="BT279" s="30" t="inlineStr">
        <is>
          <t>Less than 1.5</t>
        </is>
      </c>
      <c r="BU279" s="30">
        <f>IF(BT279="Above 2",0,IF(BT279="Between 1.5 to 2",5,IF(BT279="Less than 1.5",10,0)))</f>
        <v/>
      </c>
      <c r="BV279" s="30" t="inlineStr">
        <is>
          <t>Negative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Less than 0.7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IF(B280=0,"",RANK(B280,$B$2:$B$400,0))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0" t="inlineStr">
        <is>
          <t>MANINDS</t>
        </is>
      </c>
      <c r="D280" s="30" t="inlineStr">
        <is>
          <t>Man Industries (india) Limited</t>
        </is>
      </c>
      <c r="E280" s="30" t="inlineStr">
        <is>
          <t>metals &amp; mining</t>
        </is>
      </c>
      <c r="F280" s="30" t="inlineStr">
        <is>
          <t>steel - medium / small</t>
        </is>
      </c>
      <c r="G280" s="30" t="inlineStr">
        <is>
          <t>smallcap</t>
        </is>
      </c>
      <c r="H280" s="31" t="n">
        <v>4445.07</v>
      </c>
      <c r="I280" s="31" t="n">
        <v>588.5</v>
      </c>
      <c r="J280" s="31" t="n">
        <v>-0.6899999999999999</v>
      </c>
      <c r="K280" s="31" t="n">
        <v>1463848</v>
      </c>
      <c r="L280" s="30" t="n">
        <v>78</v>
      </c>
      <c r="M280" s="30" t="inlineStr">
        <is>
          <t>Outperforming</t>
        </is>
      </c>
      <c r="N280" s="31">
        <f>IF(M280="Underperforming",-5,IF(L280&gt;=95,15,IF(L280&gt;=90,10,IF(L280&gt;=80,5,0))))</f>
        <v/>
      </c>
      <c r="O280" s="31" t="n">
        <v>64.09</v>
      </c>
      <c r="P280" s="31" t="n">
        <v>26.44</v>
      </c>
      <c r="Q280" s="31" t="n">
        <v>407.27</v>
      </c>
      <c r="R280" s="30" t="inlineStr">
        <is>
          <t>Near 52W High Breakout</t>
        </is>
      </c>
      <c r="S280" s="30" t="inlineStr">
        <is>
          <t>Nifty Metal</t>
        </is>
      </c>
      <c r="T280" s="31" t="n">
        <v>42.37</v>
      </c>
      <c r="U280" s="31" t="n">
        <v>56.33</v>
      </c>
      <c r="V280" s="31" t="n">
        <v>9.81</v>
      </c>
      <c r="W280" s="31" t="n">
        <v>23.54</v>
      </c>
      <c r="X280" s="30" t="inlineStr">
        <is>
          <t>Cyclical in an Upturn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Cyclical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Volatile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Yes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20 to 40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Blue sky scenario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Less than 12%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No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IF(B281=0,"",RANK(B281,$B$2:$B$400,0))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0" t="inlineStr">
        <is>
          <t>BHARATFORG</t>
        </is>
      </c>
      <c r="D281" s="30" t="inlineStr">
        <is>
          <t>Bharat Forge Limited</t>
        </is>
      </c>
      <c r="E281" s="30" t="inlineStr">
        <is>
          <t>industrials</t>
        </is>
      </c>
      <c r="F281" s="30" t="inlineStr">
        <is>
          <t>castings &amp; forgings</t>
        </is>
      </c>
      <c r="G281" s="30" t="inlineStr">
        <is>
          <t>largecap</t>
        </is>
      </c>
      <c r="H281" s="31" t="n">
        <v>97267.13</v>
      </c>
      <c r="I281" s="31" t="n">
        <v>2019.9</v>
      </c>
      <c r="J281" s="31" t="n">
        <v>-0.72</v>
      </c>
      <c r="K281" s="31" t="n">
        <v>840631</v>
      </c>
      <c r="L281" s="30" t="n">
        <v>53</v>
      </c>
      <c r="M281" s="30" t="inlineStr">
        <is>
          <t>Outperforming</t>
        </is>
      </c>
      <c r="N281" s="31">
        <f>IF(M281="Underperforming",-5,IF(L281&gt;=95,15,IF(L281&gt;=90,10,IF(L281&gt;=80,5,0))))</f>
        <v/>
      </c>
      <c r="O281" s="31" t="n">
        <v>67.69</v>
      </c>
      <c r="P281" s="31" t="n">
        <v>34.55</v>
      </c>
      <c r="Q281" s="31" t="n">
        <v>1667.81</v>
      </c>
      <c r="R281" s="30" t="inlineStr">
        <is>
          <t>Near 52W High Breakout</t>
        </is>
      </c>
      <c r="S281" s="30" t="inlineStr">
        <is>
          <t>Nifty 50</t>
        </is>
      </c>
      <c r="T281" s="31" t="n">
        <v>-3.76</v>
      </c>
      <c r="U281" s="31" t="n">
        <v>58.93</v>
      </c>
      <c r="V281" s="31" t="n">
        <v>65.14</v>
      </c>
      <c r="W281" s="31" t="n">
        <v>13.64</v>
      </c>
      <c r="X281" s="30" t="inlineStr">
        <is>
          <t>Cyclical in an Upturn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20 to 40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Blue sky scenario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Less than 12%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Yes</t>
        </is>
      </c>
      <c r="BS281" s="30">
        <f>IF(BR281="NO",5,0)</f>
        <v/>
      </c>
      <c r="BT281" s="30" t="inlineStr">
        <is>
          <t>Above 2</t>
        </is>
      </c>
      <c r="BU281" s="30">
        <f>IF(BT281="Above 2",0,IF(BT281="Between 1.5 to 2",5,IF(BT281="Less than 1.5",10,0)))</f>
        <v/>
      </c>
      <c r="BV281" s="30" t="inlineStr">
        <is>
          <t>Between 50% to 70%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Between 0.7 to 1.2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IF(B282=0,"",RANK(B282,$B$2:$B$400,0))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0" t="inlineStr">
        <is>
          <t>JNKINDIA</t>
        </is>
      </c>
      <c r="D282" s="30" t="inlineStr">
        <is>
          <t>JNK India Ltd</t>
        </is>
      </c>
      <c r="E282" s="30" t="inlineStr">
        <is>
          <t>realty</t>
        </is>
      </c>
      <c r="F282" s="30" t="inlineStr">
        <is>
          <t>engineering - turnkey services</t>
        </is>
      </c>
      <c r="G282" s="30" t="inlineStr">
        <is>
          <t>smallcap</t>
        </is>
      </c>
      <c r="H282" s="31" t="n">
        <v>2636.55</v>
      </c>
      <c r="I282" s="31" t="n">
        <v>467</v>
      </c>
      <c r="J282" s="31" t="n">
        <v>-0.89</v>
      </c>
      <c r="K282" s="31" t="n">
        <v>736953</v>
      </c>
      <c r="L282" s="30" t="n">
        <v>88</v>
      </c>
      <c r="M282" s="30" t="inlineStr">
        <is>
          <t>Outperforming</t>
        </is>
      </c>
      <c r="N282" s="31">
        <f>IF(M282="Underperforming",-5,IF(L282&gt;=95,15,IF(L282&gt;=90,10,IF(L282&gt;=80,5,0))))</f>
        <v/>
      </c>
      <c r="O282" s="31" t="n">
        <v>69.70999999999999</v>
      </c>
      <c r="P282" s="31" t="n">
        <v>32.47</v>
      </c>
      <c r="Q282" s="31" t="n">
        <v>354.94</v>
      </c>
      <c r="R282" s="30" t="inlineStr">
        <is>
          <t>Earnings / Momentum Support</t>
        </is>
      </c>
      <c r="S282" s="30" t="inlineStr">
        <is>
          <t>Nifty Realty</t>
        </is>
      </c>
      <c r="T282" s="31" t="n">
        <v>-19.08</v>
      </c>
      <c r="U282" s="31" t="n">
        <v>29.76</v>
      </c>
      <c r="V282" s="31" t="n">
        <v>60.36</v>
      </c>
      <c r="W282" s="31" t="n">
        <v>31.56</v>
      </c>
      <c r="X282" s="30" t="inlineStr">
        <is>
          <t>Growing Industry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No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20 to 40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More than 20%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Yes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Negative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IF(B283=0,"",RANK(B283,$B$2:$B$400,0))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2" t="inlineStr">
        <is>
          <t>VARROC</t>
        </is>
      </c>
      <c r="D283" s="32" t="inlineStr">
        <is>
          <t>Varroc Engineering Ltd</t>
        </is>
      </c>
      <c r="E283" s="30" t="inlineStr">
        <is>
          <t>auto</t>
        </is>
      </c>
      <c r="F283" s="30" t="inlineStr">
        <is>
          <t>auto ancillaries</t>
        </is>
      </c>
      <c r="G283" s="30" t="inlineStr">
        <is>
          <t>midcap</t>
        </is>
      </c>
      <c r="H283" s="31" t="n">
        <v>9468.17</v>
      </c>
      <c r="I283" s="31" t="n">
        <v>613.35</v>
      </c>
      <c r="J283" s="31" t="n">
        <v>-1.02</v>
      </c>
      <c r="K283" s="31" t="n">
        <v>126113</v>
      </c>
      <c r="L283" s="30" t="n">
        <v>27</v>
      </c>
      <c r="M283" s="30" t="inlineStr">
        <is>
          <t>Underperforming</t>
        </is>
      </c>
      <c r="N283" s="31">
        <f>IF(M283="Underperforming",-5,IF(L283&gt;=95,15,IF(L283&gt;=90,10,IF(L283&gt;=80,5,0))))</f>
        <v/>
      </c>
      <c r="O283" s="31" t="n">
        <v>61.91</v>
      </c>
      <c r="P283" s="31" t="n">
        <v>15.1</v>
      </c>
      <c r="Q283" s="31" t="n">
        <v>487.81</v>
      </c>
      <c r="R283" s="30" t="inlineStr">
        <is>
          <t>Volume Spike / Accumulation</t>
        </is>
      </c>
      <c r="S283" s="30" t="inlineStr">
        <is>
          <t>Nifty Auto</t>
        </is>
      </c>
      <c r="T283" s="31" t="n">
        <v>12.95</v>
      </c>
      <c r="U283" s="31" t="n">
        <v>8.970000000000001</v>
      </c>
      <c r="V283" s="31" t="n">
        <v>-3.53</v>
      </c>
      <c r="W283" s="31" t="n">
        <v>7.49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Yes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0 to 20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More than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Yes</t>
        </is>
      </c>
      <c r="BS283" s="30">
        <f>IF(BR283="NO",5,0)</f>
        <v/>
      </c>
      <c r="BT283" s="30" t="inlineStr">
        <is>
          <t>Above 2</t>
        </is>
      </c>
      <c r="BU283" s="30">
        <f>IF(BT283="Above 2",0,IF(BT283="Between 1.5 to 2",5,IF(BT283="Less than 1.5",10,0)))</f>
        <v/>
      </c>
      <c r="BV283" s="30" t="inlineStr">
        <is>
          <t>Between 50% to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IF(B284=0,"",RANK(B284,$B$2:$B$400,0))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DIACABS</t>
        </is>
      </c>
      <c r="D284" s="30" t="inlineStr">
        <is>
          <t>Diamond Power Infrastructure Ltd</t>
        </is>
      </c>
      <c r="E284" s="30" t="inlineStr">
        <is>
          <t>industrials</t>
        </is>
      </c>
      <c r="F284" s="30" t="inlineStr">
        <is>
          <t>cables - power</t>
        </is>
      </c>
      <c r="G284" s="30" t="inlineStr">
        <is>
          <t>midcap</t>
        </is>
      </c>
      <c r="H284" s="31" t="n">
        <v>10777.09</v>
      </c>
      <c r="I284" s="31" t="n">
        <v>202.25</v>
      </c>
      <c r="J284" s="31" t="n">
        <v>-1.11</v>
      </c>
      <c r="K284" s="31" t="n">
        <v>5046488</v>
      </c>
      <c r="L284" s="30" t="n">
        <v>87</v>
      </c>
      <c r="M284" s="30" t="inlineStr">
        <is>
          <t>Outperforming</t>
        </is>
      </c>
      <c r="N284" s="31">
        <f>IF(M284="Underperforming",-5,IF(L284&gt;=95,15,IF(L284&gt;=90,10,IF(L284&gt;=80,5,0))))</f>
        <v/>
      </c>
      <c r="O284" s="31" t="n">
        <v>75.23999999999999</v>
      </c>
      <c r="P284" s="31" t="n">
        <v>35.79</v>
      </c>
      <c r="Q284" s="31" t="n">
        <v>150.54</v>
      </c>
      <c r="R284" s="30" t="inlineStr">
        <is>
          <t>Near 52W High Breakout</t>
        </is>
      </c>
      <c r="S284" s="30" t="inlineStr">
        <is>
          <t>Nifty Energy</t>
        </is>
      </c>
      <c r="T284" s="31" t="n">
        <v>13.64</v>
      </c>
      <c r="U284" s="31" t="n">
        <v>94.95999999999999</v>
      </c>
      <c r="V284" s="31" t="n">
        <v>71.55</v>
      </c>
      <c r="W284" s="31" t="n">
        <v>30.3</v>
      </c>
      <c r="X284" s="30" t="inlineStr">
        <is>
          <t>Cyclical in an Upturn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Structural (10 Years Consistency)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Yes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20 to 40</t>
        </is>
      </c>
      <c r="AY284" s="30">
        <f>IF(AX284="Above 40",20,IF(AX284="20 to 40",10,IF(AX284="0 to 20",-5,0)))</f>
        <v/>
      </c>
      <c r="AZ284" s="30" t="inlineStr">
        <is>
          <t>Above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Blue sky scenario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More than 20%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Yes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Negative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IF(B285=0,"",RANK(B285,$B$2:$B$400,0))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0" t="inlineStr">
        <is>
          <t>EPL</t>
        </is>
      </c>
      <c r="D285" s="30" t="inlineStr">
        <is>
          <t>EPL Ltd</t>
        </is>
      </c>
      <c r="E285" s="30" t="inlineStr">
        <is>
          <t>industrials</t>
        </is>
      </c>
      <c r="F285" s="30" t="inlineStr">
        <is>
          <t>packaging</t>
        </is>
      </c>
      <c r="G285" s="30" t="inlineStr">
        <is>
          <t>midcap</t>
        </is>
      </c>
      <c r="H285" s="31" t="n">
        <v>7462.1</v>
      </c>
      <c r="I285" s="31" t="n">
        <v>229.23</v>
      </c>
      <c r="J285" s="31" t="n">
        <v>-1.62</v>
      </c>
      <c r="K285" s="31" t="n">
        <v>720291</v>
      </c>
      <c r="L285" s="30" t="n">
        <v>13</v>
      </c>
      <c r="M285" s="30" t="inlineStr">
        <is>
          <t>Outperforming</t>
        </is>
      </c>
      <c r="N285" s="31">
        <f>IF(M285="Underperforming",-5,IF(L285&gt;=95,15,IF(L285&gt;=90,10,IF(L285&gt;=80,5,0))))</f>
        <v/>
      </c>
      <c r="O285" s="31" t="n">
        <v>56.45</v>
      </c>
      <c r="P285" s="31" t="n">
        <v>10.83</v>
      </c>
      <c r="Q285" s="31" t="n">
        <v>187.47</v>
      </c>
      <c r="R285" s="30" t="inlineStr">
        <is>
          <t>Near 52W High Breakout</t>
        </is>
      </c>
      <c r="S285" s="30" t="inlineStr">
        <is>
          <t>Nifty 50</t>
        </is>
      </c>
      <c r="T285" s="31" t="n">
        <v>-3.76</v>
      </c>
      <c r="U285" s="31" t="n">
        <v>0.43</v>
      </c>
      <c r="V285" s="31" t="n">
        <v>4.36</v>
      </c>
      <c r="W285" s="31" t="n">
        <v>4.64</v>
      </c>
      <c r="X285" s="30" t="inlineStr">
        <is>
          <t>Cyclical in an Upturn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Yes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Less than 12%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IF(B286=0,"",RANK(B286,$B$2:$B$400,0))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2" t="inlineStr">
        <is>
          <t>UNIMECH</t>
        </is>
      </c>
      <c r="D286" s="32" t="inlineStr">
        <is>
          <t>Unimech Aerospace and Manufacturing Ltd</t>
        </is>
      </c>
      <c r="E286" s="30" t="inlineStr">
        <is>
          <t>aerospace &amp; defence</t>
        </is>
      </c>
      <c r="F286" s="30" t="inlineStr">
        <is>
          <t>engineering</t>
        </is>
      </c>
      <c r="G286" s="30" t="inlineStr">
        <is>
          <t>midcap</t>
        </is>
      </c>
      <c r="H286" s="31" t="n">
        <v>5901.18</v>
      </c>
      <c r="I286" s="31" t="n">
        <v>1133.65</v>
      </c>
      <c r="J286" s="31" t="n">
        <v>-2.3</v>
      </c>
      <c r="K286" s="31" t="n">
        <v>137648</v>
      </c>
      <c r="L286" s="30" t="n">
        <v>30</v>
      </c>
      <c r="M286" s="30" t="inlineStr">
        <is>
          <t>Underperforming</t>
        </is>
      </c>
      <c r="N286" s="31">
        <f>IF(M286="Underperforming",-5,IF(L286&gt;=95,15,IF(L286&gt;=90,10,IF(L286&gt;=80,5,0))))</f>
        <v/>
      </c>
      <c r="O286" s="31" t="n">
        <v>62.19</v>
      </c>
      <c r="P286" s="31" t="n">
        <v>25.74</v>
      </c>
      <c r="Q286" s="31" t="n">
        <v>850.87</v>
      </c>
      <c r="R286" s="30" t="inlineStr">
        <is>
          <t>Earnings / Momentum Support</t>
        </is>
      </c>
      <c r="S286" s="30" t="inlineStr">
        <is>
          <t>Nifty 50</t>
        </is>
      </c>
      <c r="T286" s="31" t="n">
        <v>-3.76</v>
      </c>
      <c r="U286" s="31" t="n">
        <v>-11.92</v>
      </c>
      <c r="V286" s="31" t="n">
        <v>-8.48</v>
      </c>
      <c r="W286" s="31" t="n">
        <v>8.119999999999999</v>
      </c>
      <c r="X286" s="30" t="inlineStr">
        <is>
          <t>Growing Industry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No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20 to 40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Less than 12%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Yes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Above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IF(B287=0,"",RANK(B287,$B$2:$B$400,0))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2" t="inlineStr">
        <is>
          <t>NBCC</t>
        </is>
      </c>
      <c r="D287" s="32" t="inlineStr">
        <is>
          <t>Nbcc (india) Limited</t>
        </is>
      </c>
      <c r="E287" s="30" t="inlineStr">
        <is>
          <t>miscellaneous</t>
        </is>
      </c>
      <c r="F287" s="30" t="inlineStr">
        <is>
          <t>miscellaneous</t>
        </is>
      </c>
      <c r="G287" s="30" t="inlineStr">
        <is>
          <t>largecap</t>
        </is>
      </c>
      <c r="H287" s="31" t="n">
        <v>30464.1</v>
      </c>
      <c r="I287" s="31" t="n">
        <v>110.15</v>
      </c>
      <c r="J287" s="31" t="n">
        <v>-2.38</v>
      </c>
      <c r="K287" s="31" t="n">
        <v>18889529</v>
      </c>
      <c r="L287" s="30" t="n">
        <v>23</v>
      </c>
      <c r="M287" s="30" t="inlineStr">
        <is>
          <t>Underperforming</t>
        </is>
      </c>
      <c r="N287" s="31">
        <f>IF(M287="Underperforming",-5,IF(L287&gt;=95,15,IF(L287&gt;=90,10,IF(L287&gt;=80,5,0))))</f>
        <v/>
      </c>
      <c r="O287" s="31" t="n">
        <v>60.59</v>
      </c>
      <c r="P287" s="31" t="n">
        <v>21.42</v>
      </c>
      <c r="Q287" s="31" t="n">
        <v>86.88</v>
      </c>
      <c r="R287" s="30" t="inlineStr">
        <is>
          <t>Earnings / Momentum Support</t>
        </is>
      </c>
      <c r="S287" s="30" t="inlineStr">
        <is>
          <t>Nifty 50</t>
        </is>
      </c>
      <c r="T287" s="31" t="n">
        <v>-3.76</v>
      </c>
      <c r="U287" s="31" t="n">
        <v>-5.31</v>
      </c>
      <c r="V287" s="31" t="n">
        <v>-1.61</v>
      </c>
      <c r="W287" s="31" t="n">
        <v>6.84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Headwind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20 to 40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More than 20%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Less than 1.5</t>
        </is>
      </c>
      <c r="BU287" s="30">
        <f>IF(BT287="Above 2",0,IF(BT287="Between 1.5 to 2",5,IF(BT287="Less than 1.5",10,0)))</f>
        <v/>
      </c>
      <c r="BV287" s="30" t="inlineStr">
        <is>
          <t>Less than 50%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IF(B288=0,"",RANK(B288,$B$2:$B$400,0))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TBZ</t>
        </is>
      </c>
      <c r="D288" s="30" t="inlineStr">
        <is>
          <t>Tribhovandas Bhimji Zaveri Limited</t>
        </is>
      </c>
      <c r="E288" s="30" t="inlineStr">
        <is>
          <t>consumer discretionary</t>
        </is>
      </c>
      <c r="F288" s="30" t="inlineStr">
        <is>
          <t>diamond cutting / jewellery</t>
        </is>
      </c>
      <c r="G288" s="30" t="inlineStr">
        <is>
          <t>smallcap</t>
        </is>
      </c>
      <c r="H288" s="31" t="n">
        <v>1297.24</v>
      </c>
      <c r="I288" s="31" t="n">
        <v>189.67</v>
      </c>
      <c r="J288" s="31" t="n">
        <v>-2.43</v>
      </c>
      <c r="K288" s="31" t="n">
        <v>415783</v>
      </c>
      <c r="L288" s="30" t="n">
        <v>49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63.92</v>
      </c>
      <c r="P288" s="31" t="n">
        <v>15.54</v>
      </c>
      <c r="Q288" s="31" t="n">
        <v>138.41</v>
      </c>
      <c r="R288" s="30" t="inlineStr">
        <is>
          <t>Near 52W High Breakout</t>
        </is>
      </c>
      <c r="S288" s="30" t="inlineStr">
        <is>
          <t>Nifty 50</t>
        </is>
      </c>
      <c r="T288" s="31" t="n">
        <v>-3.76</v>
      </c>
      <c r="U288" s="31" t="n">
        <v>2.99</v>
      </c>
      <c r="V288" s="31" t="n">
        <v>7.01</v>
      </c>
      <c r="W288" s="31" t="n">
        <v>12.36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0 to 20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More than 20%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No</t>
        </is>
      </c>
      <c r="BS288" s="30">
        <f>IF(BR288="NO",5,0)</f>
        <v/>
      </c>
      <c r="BT288" s="30" t="inlineStr">
        <is>
          <t>Less than 1.5</t>
        </is>
      </c>
      <c r="BU288" s="30">
        <f>IF(BT288="Above 2",0,IF(BT288="Between 1.5 to 2",5,IF(BT288="Less than 1.5",10,0)))</f>
        <v/>
      </c>
      <c r="BV288" s="30" t="inlineStr">
        <is>
          <t>Less than 50% and Borrowings are increasing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Between 0.7 to 1.2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IF(B289=0,"",RANK(B289,$B$2:$B$400,0))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0" t="inlineStr">
        <is>
          <t>DIFFNKG</t>
        </is>
      </c>
      <c r="D289" s="30" t="inlineStr">
        <is>
          <t>Diffusion Engineers Ltd</t>
        </is>
      </c>
      <c r="E289" s="30" t="inlineStr">
        <is>
          <t>industrials</t>
        </is>
      </c>
      <c r="F289" s="30" t="inlineStr">
        <is>
          <t>electrodes - welding equipment</t>
        </is>
      </c>
      <c r="G289" s="30" t="inlineStr">
        <is>
          <t>smallcap</t>
        </is>
      </c>
      <c r="H289" s="31" t="n">
        <v>1436.61</v>
      </c>
      <c r="I289" s="31" t="n">
        <v>372.25</v>
      </c>
      <c r="J289" s="31" t="n">
        <v>-3.02</v>
      </c>
      <c r="K289" s="31" t="n">
        <v>113508</v>
      </c>
      <c r="L289" s="30" t="n">
        <v>64</v>
      </c>
      <c r="M289" s="30" t="inlineStr">
        <is>
          <t>Outperforming</t>
        </is>
      </c>
      <c r="N289" s="31">
        <f>IF(M289="Underperforming",-5,IF(L289&gt;=95,15,IF(L289&gt;=90,10,IF(L289&gt;=80,5,0))))</f>
        <v/>
      </c>
      <c r="O289" s="31" t="n">
        <v>66.95</v>
      </c>
      <c r="P289" s="31" t="n">
        <v>16.24</v>
      </c>
      <c r="Q289" s="31" t="n">
        <v>275.75</v>
      </c>
      <c r="R289" s="30" t="inlineStr">
        <is>
          <t>Earnings / Momentum Support</t>
        </is>
      </c>
      <c r="S289" s="30" t="inlineStr">
        <is>
          <t>Nifty Infra</t>
        </is>
      </c>
      <c r="T289" s="31" t="n">
        <v>4.04</v>
      </c>
      <c r="U289" s="31" t="n">
        <v>22.78</v>
      </c>
      <c r="V289" s="31" t="n">
        <v>18</v>
      </c>
      <c r="W289" s="31" t="n">
        <v>16.64</v>
      </c>
      <c r="X289" s="30" t="inlineStr">
        <is>
          <t>Cyclical in an Upturn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No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0 to 20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More than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No</t>
        </is>
      </c>
      <c r="BS289" s="30">
        <f>IF(BR289="NO",5,0)</f>
        <v/>
      </c>
      <c r="BT289" s="30" t="inlineStr">
        <is>
          <t>Less than 1.5</t>
        </is>
      </c>
      <c r="BU289" s="30">
        <f>IF(BT289="Above 2",0,IF(BT289="Between 1.5 to 2",5,IF(BT289="Less than 1.5",10,0)))</f>
        <v/>
      </c>
      <c r="BV289" s="30" t="inlineStr">
        <is>
          <t>Less than 50%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IF(B290=0,"",RANK(B290,$B$2:$B$400,0))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0" t="inlineStr">
        <is>
          <t>SOTL</t>
        </is>
      </c>
      <c r="D290" s="30" t="inlineStr">
        <is>
          <t>Savita Oil Technologies Limited</t>
        </is>
      </c>
      <c r="E290" s="30" t="inlineStr">
        <is>
          <t>energy</t>
        </is>
      </c>
      <c r="F290" s="30" t="inlineStr">
        <is>
          <t>petrochemicals</t>
        </is>
      </c>
      <c r="G290" s="30" t="inlineStr">
        <is>
          <t>smallcap</t>
        </is>
      </c>
      <c r="H290" s="31" t="n">
        <v>4186.98</v>
      </c>
      <c r="I290" s="31" t="n">
        <v>589.4</v>
      </c>
      <c r="J290" s="31" t="n">
        <v>-3.49</v>
      </c>
      <c r="K290" s="31" t="n">
        <v>241901</v>
      </c>
      <c r="L290" s="30" t="n">
        <v>81</v>
      </c>
      <c r="M290" s="30" t="inlineStr">
        <is>
          <t>Outperforming</t>
        </is>
      </c>
      <c r="N290" s="31">
        <f>IF(M290="Underperforming",-5,IF(L290&gt;=95,15,IF(L290&gt;=90,10,IF(L290&gt;=80,5,0))))</f>
        <v/>
      </c>
      <c r="O290" s="31" t="n">
        <v>76.67</v>
      </c>
      <c r="P290" s="31" t="n">
        <v>31.46</v>
      </c>
      <c r="Q290" s="31" t="n">
        <v>447.89</v>
      </c>
      <c r="R290" s="30" t="inlineStr">
        <is>
          <t>Near 52W High Breakout</t>
        </is>
      </c>
      <c r="S290" s="30" t="inlineStr">
        <is>
          <t>Nifty Energy</t>
        </is>
      </c>
      <c r="T290" s="31" t="n">
        <v>13.64</v>
      </c>
      <c r="U290" s="31" t="n">
        <v>43.64</v>
      </c>
      <c r="V290" s="31" t="n">
        <v>26.4</v>
      </c>
      <c r="W290" s="31" t="n">
        <v>25.35</v>
      </c>
      <c r="X290" s="30" t="inlineStr">
        <is>
          <t>Cyclical in an Upturn</t>
        </is>
      </c>
      <c r="Y290" s="30">
        <f>IF(X290="Growing Industry",10,IF(X290="Cyclical in an Upturn",5,0))</f>
        <v/>
      </c>
      <c r="Z290" s="30" t="inlineStr">
        <is>
          <t>Oligopoly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Yes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Cyclical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Volatile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Yes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20 to 40</t>
        </is>
      </c>
      <c r="AY290" s="30">
        <f>IF(AX290="Above 40",20,IF(AX290="20 to 40",10,IF(AX290="0 to 20",-5,0)))</f>
        <v/>
      </c>
      <c r="AZ290" s="30" t="inlineStr">
        <is>
          <t>Above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More than 20%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No</t>
        </is>
      </c>
      <c r="BS290" s="30">
        <f>IF(BR290="NO",5,0)</f>
        <v/>
      </c>
      <c r="BT290" s="30" t="inlineStr">
        <is>
          <t>Less than 1.5</t>
        </is>
      </c>
      <c r="BU290" s="30">
        <f>IF(BT290="Above 2",0,IF(BT290="Between 1.5 to 2",5,IF(BT290="Less than 1.5",10,0)))</f>
        <v/>
      </c>
      <c r="BV290" s="30" t="inlineStr">
        <is>
          <t>Between 50% to 70%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IF(B291=0,"",RANK(B291,$B$2:$B$400,0))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0" t="inlineStr">
        <is>
          <t>EIFFL</t>
        </is>
      </c>
      <c r="D291" s="30" t="inlineStr">
        <is>
          <t>Euro India Fresh Foods Ltd</t>
        </is>
      </c>
      <c r="E291" s="30" t="inlineStr">
        <is>
          <t>fmcg</t>
        </is>
      </c>
      <c r="F291" s="30" t="inlineStr">
        <is>
          <t>food - processing - indian</t>
        </is>
      </c>
      <c r="G291" s="30" t="inlineStr">
        <is>
          <t>smallcap</t>
        </is>
      </c>
      <c r="H291" s="31" t="n">
        <v>740.45</v>
      </c>
      <c r="I291" s="31" t="n">
        <v>349.71</v>
      </c>
      <c r="J291" s="31" t="n">
        <v>17.13</v>
      </c>
      <c r="K291" s="31" t="n">
        <v>601559</v>
      </c>
      <c r="L291" s="30" t="n">
        <v>75</v>
      </c>
      <c r="M291" s="30" t="inlineStr">
        <is>
          <t>Outperforming</t>
        </is>
      </c>
      <c r="N291" s="31">
        <f>IF(M291="Underperforming",-5,IF(L291&gt;=95,15,IF(L291&gt;=90,10,IF(L291&gt;=80,5,0))))</f>
        <v/>
      </c>
      <c r="O291" s="31" t="n">
        <v>77.27</v>
      </c>
      <c r="P291" s="31" t="n">
        <v>13.2</v>
      </c>
      <c r="Q291" s="31" t="n">
        <v>264.19</v>
      </c>
      <c r="R291" s="30" t="inlineStr">
        <is>
          <t>Volume Spike &amp; Near 52W High Breakout</t>
        </is>
      </c>
      <c r="S291" s="30" t="inlineStr">
        <is>
          <t>Nifty FMCG</t>
        </is>
      </c>
      <c r="T291" s="31" t="n">
        <v>-9.109999999999999</v>
      </c>
      <c r="U291" s="31" t="n">
        <v>63.38</v>
      </c>
      <c r="V291" s="31" t="n">
        <v>79.75</v>
      </c>
      <c r="W291" s="31" t="n">
        <v>22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B2C</t>
        </is>
      </c>
      <c r="AO291" s="30">
        <f>IF(AN291="B2C",10,IF(AN291="B2B",5,0))</f>
        <v/>
      </c>
      <c r="AP291" s="30" t="inlineStr">
        <is>
          <t>Yes</t>
        </is>
      </c>
      <c r="AQ291" s="30">
        <f>IF(AP291="Yes",10,0)</f>
        <v/>
      </c>
      <c r="AR291" s="30" t="inlineStr">
        <is>
          <t>Higher Annuity, Lower One Time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0 to 20</t>
        </is>
      </c>
      <c r="AY291" s="30">
        <f>IF(AX291="Above 40",20,IF(AX291="20 to 40",10,IF(AX291="0 to 20",-5,0)))</f>
        <v/>
      </c>
      <c r="AZ291" s="30" t="inlineStr">
        <is>
          <t>Above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Blue sky scenario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More than 20%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Yes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Between 50% to 70%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Between 0.7 to 1.2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IF(B292=0,"",RANK(B292,$B$2:$B$400,0))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0" t="inlineStr">
        <is>
          <t>APCOTEXIND</t>
        </is>
      </c>
      <c r="D292" s="30" t="inlineStr">
        <is>
          <t>Apcotex Industries Limited</t>
        </is>
      </c>
      <c r="E292" s="30" t="inlineStr">
        <is>
          <t>chemicals</t>
        </is>
      </c>
      <c r="F292" s="30" t="inlineStr">
        <is>
          <t>miscellaneous</t>
        </is>
      </c>
      <c r="G292" s="30" t="inlineStr">
        <is>
          <t>smallcap</t>
        </is>
      </c>
      <c r="H292" s="31" t="n">
        <v>2710.45</v>
      </c>
      <c r="I292" s="31" t="n">
        <v>526.25</v>
      </c>
      <c r="J292" s="31" t="n">
        <v>0.66</v>
      </c>
      <c r="K292" s="31" t="n">
        <v>97708</v>
      </c>
      <c r="L292" s="30" t="n">
        <v>68</v>
      </c>
      <c r="M292" s="30" t="inlineStr">
        <is>
          <t>Outperforming</t>
        </is>
      </c>
      <c r="N292" s="31">
        <f>IF(M292="Underperforming",-5,IF(L292&gt;=95,15,IF(L292&gt;=90,10,IF(L292&gt;=80,5,0))))</f>
        <v/>
      </c>
      <c r="O292" s="31" t="n">
        <v>70.42</v>
      </c>
      <c r="P292" s="31" t="n">
        <v>38.47</v>
      </c>
      <c r="Q292" s="31" t="n">
        <v>404.97</v>
      </c>
      <c r="R292" s="30" t="inlineStr">
        <is>
          <t>Near 52W High Breakout</t>
        </is>
      </c>
      <c r="S292" s="30" t="inlineStr">
        <is>
          <t>Nifty 50</t>
        </is>
      </c>
      <c r="T292" s="31" t="n">
        <v>-3.76</v>
      </c>
      <c r="U292" s="31" t="n">
        <v>38.07</v>
      </c>
      <c r="V292" s="31" t="n">
        <v>43.47</v>
      </c>
      <c r="W292" s="31" t="n">
        <v>18.96</v>
      </c>
      <c r="X292" s="30" t="inlineStr">
        <is>
          <t>Growing Industry</t>
        </is>
      </c>
      <c r="Y292" s="30">
        <f>IF(X292="Growing Industry",10,IF(X292="Cyclical in an Upturn",5,0))</f>
        <v/>
      </c>
      <c r="Z292" s="30" t="inlineStr">
        <is>
          <t>Oligopoly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Cyclical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Yes</t>
        </is>
      </c>
      <c r="AQ292" s="30">
        <f>IF(AP292="Yes",10,0)</f>
        <v/>
      </c>
      <c r="AR292" s="30" t="inlineStr">
        <is>
          <t>Fully One Time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Above 40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1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Sideways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Overhead supply in last 2 years in last 2 years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More than 20%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No</t>
        </is>
      </c>
      <c r="BS292" s="30">
        <f>IF(BR292="NO",5,0)</f>
        <v/>
      </c>
      <c r="BT292" s="30" t="inlineStr">
        <is>
          <t>Less than 1.5</t>
        </is>
      </c>
      <c r="BU292" s="30">
        <f>IF(BT292="Above 2",0,IF(BT292="Between 1.5 to 2",5,IF(BT292="Less than 1.5",10,0)))</f>
        <v/>
      </c>
      <c r="BV292" s="30" t="inlineStr">
        <is>
          <t>Between 50% to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IF(B293=0,"",RANK(B293,$B$2:$B$400,0))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PIXTRANS</t>
        </is>
      </c>
      <c r="D293" s="30" t="inlineStr">
        <is>
          <t>Pix Transmission Ltd</t>
        </is>
      </c>
      <c r="E293" s="30" t="inlineStr">
        <is>
          <t>fmcg</t>
        </is>
      </c>
      <c r="F293" s="30" t="inlineStr">
        <is>
          <t>miscellaneous</t>
        </is>
      </c>
      <c r="G293" s="30" t="inlineStr">
        <is>
          <t>smallcap</t>
        </is>
      </c>
      <c r="H293" s="31" t="n">
        <v>2190.66</v>
      </c>
      <c r="I293" s="31" t="n">
        <v>1616.5</v>
      </c>
      <c r="J293" s="31" t="n">
        <v>0.54</v>
      </c>
      <c r="K293" s="31" t="n">
        <v>10701</v>
      </c>
      <c r="L293" s="30" t="n">
        <v>6</v>
      </c>
      <c r="M293" s="30" t="inlineStr">
        <is>
          <t>Outperforming</t>
        </is>
      </c>
      <c r="N293" s="31">
        <f>IF(M293="Underperforming",-5,IF(L293&gt;=95,15,IF(L293&gt;=90,10,IF(L293&gt;=80,5,0))))</f>
        <v/>
      </c>
      <c r="O293" s="31" t="n">
        <v>60.7</v>
      </c>
      <c r="P293" s="31" t="n">
        <v>23.01</v>
      </c>
      <c r="Q293" s="31" t="n">
        <v>1320.7</v>
      </c>
      <c r="R293" s="30" t="inlineStr">
        <is>
          <t>Near 52W High Breakout</t>
        </is>
      </c>
      <c r="S293" s="30" t="inlineStr">
        <is>
          <t>Nifty FMCG</t>
        </is>
      </c>
      <c r="T293" s="31" t="n">
        <v>-9.109999999999999</v>
      </c>
      <c r="U293" s="31" t="n">
        <v>2.99</v>
      </c>
      <c r="V293" s="31" t="n">
        <v>13.32</v>
      </c>
      <c r="W293" s="31" t="n">
        <v>3.05</v>
      </c>
      <c r="X293" s="30" t="inlineStr">
        <is>
          <t>Growing Industry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B2C</t>
        </is>
      </c>
      <c r="AO293" s="30">
        <f>IF(AN293="B2C",10,IF(AN293="B2B",5,0))</f>
        <v/>
      </c>
      <c r="AP293" s="30" t="inlineStr">
        <is>
          <t>Yes</t>
        </is>
      </c>
      <c r="AQ293" s="30">
        <f>IF(AP293="Yes",10,0)</f>
        <v/>
      </c>
      <c r="AR293" s="30" t="inlineStr">
        <is>
          <t>Higher Annuity, Lower One Time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20 to 40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Negative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Less than 12%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No</t>
        </is>
      </c>
      <c r="BS293" s="30">
        <f>IF(BR293="NO",5,0)</f>
        <v/>
      </c>
      <c r="BT293" s="30" t="inlineStr">
        <is>
          <t>Above 2</t>
        </is>
      </c>
      <c r="BU293" s="30">
        <f>IF(BT293="Above 2",0,IF(BT293="Between 1.5 to 2",5,IF(BT293="Less than 1.5",10,0)))</f>
        <v/>
      </c>
      <c r="BV293" s="30" t="inlineStr">
        <is>
          <t>Above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IF(B294=0,"",RANK(B294,$B$2:$B$400,0))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2" t="inlineStr">
        <is>
          <t>GUFICBIO</t>
        </is>
      </c>
      <c r="D294" s="32" t="inlineStr">
        <is>
          <t>Gufic Biosciences Limited</t>
        </is>
      </c>
      <c r="E294" s="30" t="inlineStr">
        <is>
          <t>healthcare</t>
        </is>
      </c>
      <c r="F294" s="30" t="inlineStr">
        <is>
          <t>pharmaceuticals - indian - bulk drugs &amp; formln</t>
        </is>
      </c>
      <c r="G294" s="30" t="inlineStr">
        <is>
          <t>smallcap</t>
        </is>
      </c>
      <c r="H294" s="31" t="n">
        <v>3674.85</v>
      </c>
      <c r="I294" s="31" t="n">
        <v>357.65</v>
      </c>
      <c r="J294" s="31" t="n">
        <v>-2.4</v>
      </c>
      <c r="K294" s="31" t="n">
        <v>49457</v>
      </c>
      <c r="L294" s="30" t="n">
        <v>16</v>
      </c>
      <c r="M294" s="30" t="inlineStr">
        <is>
          <t>Underperforming</t>
        </is>
      </c>
      <c r="N294" s="31">
        <f>IF(M294="Underperforming",-5,IF(L294&gt;=95,15,IF(L294&gt;=90,10,IF(L294&gt;=80,5,0))))</f>
        <v/>
      </c>
      <c r="O294" s="31" t="n">
        <v>60.67</v>
      </c>
      <c r="P294" s="31" t="n">
        <v>23.68</v>
      </c>
      <c r="Q294" s="31" t="n">
        <v>287.04</v>
      </c>
      <c r="R294" s="30" t="inlineStr">
        <is>
          <t>Earnings / Momentum Support</t>
        </is>
      </c>
      <c r="S294" s="30" t="inlineStr">
        <is>
          <t>Nifty Pharma</t>
        </is>
      </c>
      <c r="T294" s="31" t="n">
        <v>12.35</v>
      </c>
      <c r="U294" s="31" t="n">
        <v>0.5600000000000001</v>
      </c>
      <c r="V294" s="31" t="n">
        <v>-10.49</v>
      </c>
      <c r="W294" s="31" t="n">
        <v>5.14</v>
      </c>
      <c r="X294" s="30" t="inlineStr">
        <is>
          <t>Growing Industry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Yes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No</t>
        </is>
      </c>
      <c r="AQ294" s="30">
        <f>IF(AP294="Yes",10,0)</f>
        <v/>
      </c>
      <c r="AR294" s="30" t="inlineStr">
        <is>
          <t>Higher Annuity, Lower One Time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20 to 40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More than 20%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Yes</t>
        </is>
      </c>
      <c r="BS294" s="30">
        <f>IF(BR294="NO",5,0)</f>
        <v/>
      </c>
      <c r="BT294" s="30" t="inlineStr">
        <is>
          <t>Above 2</t>
        </is>
      </c>
      <c r="BU294" s="30">
        <f>IF(BT294="Above 2",0,IF(BT294="Between 1.5 to 2",5,IF(BT294="Less than 1.5",10,0)))</f>
        <v/>
      </c>
      <c r="BV294" s="30" t="inlineStr">
        <is>
          <t>Less than 50%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Less than 0.7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IF(B295=0,"",RANK(B295,$B$2:$B$400,0))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0" t="inlineStr">
        <is>
          <t>PANAMAPET</t>
        </is>
      </c>
      <c r="D295" s="30" t="inlineStr">
        <is>
          <t>Panama Petrochem Limited</t>
        </is>
      </c>
      <c r="E295" s="30" t="inlineStr">
        <is>
          <t>energy</t>
        </is>
      </c>
      <c r="F295" s="30" t="inlineStr">
        <is>
          <t>petrochemicals</t>
        </is>
      </c>
      <c r="G295" s="30" t="inlineStr">
        <is>
          <t>smallcap</t>
        </is>
      </c>
      <c r="H295" s="31" t="n">
        <v>2263.07</v>
      </c>
      <c r="I295" s="31" t="n">
        <v>408.25</v>
      </c>
      <c r="J295" s="31" t="n">
        <v>9.130000000000001</v>
      </c>
      <c r="K295" s="31" t="n">
        <v>1694510</v>
      </c>
      <c r="L295" s="30" t="n">
        <v>63</v>
      </c>
      <c r="M295" s="30" t="inlineStr">
        <is>
          <t>Outperforming</t>
        </is>
      </c>
      <c r="N295" s="31">
        <f>IF(M295="Underperforming",-5,IF(L295&gt;=95,15,IF(L295&gt;=90,10,IF(L295&gt;=80,5,0))))</f>
        <v/>
      </c>
      <c r="O295" s="31" t="n">
        <v>74.73999999999999</v>
      </c>
      <c r="P295" s="31" t="n">
        <v>23</v>
      </c>
      <c r="Q295" s="31" t="n">
        <v>306.97</v>
      </c>
      <c r="R295" s="30" t="inlineStr">
        <is>
          <t>Near 52W High Breakout</t>
        </is>
      </c>
      <c r="S295" s="30" t="inlineStr">
        <is>
          <t>Nifty Energy</t>
        </is>
      </c>
      <c r="T295" s="31" t="n">
        <v>13.64</v>
      </c>
      <c r="U295" s="31" t="n">
        <v>13.77</v>
      </c>
      <c r="V295" s="31" t="n">
        <v>0.11</v>
      </c>
      <c r="W295" s="31" t="n">
        <v>16.36</v>
      </c>
      <c r="X295" s="30" t="inlineStr">
        <is>
          <t>Cyclical in an Upturn</t>
        </is>
      </c>
      <c r="Y295" s="30">
        <f>IF(X295="Growing Industry",10,IF(X295="Cyclical in an Upturn",5,0))</f>
        <v/>
      </c>
      <c r="Z295" s="30" t="inlineStr">
        <is>
          <t>Oligopoly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Yes</t>
        </is>
      </c>
      <c r="AC295" s="30">
        <f>IF(AB295="No",5,0)</f>
        <v/>
      </c>
      <c r="AD295" s="30" t="inlineStr">
        <is>
          <t>Tailwind</t>
        </is>
      </c>
      <c r="AE295" s="30">
        <f>IF(AD295="Tailwind",10,0)</f>
        <v/>
      </c>
      <c r="AF295" s="30" t="inlineStr">
        <is>
          <t>Cyclical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Volatile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Yes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20 to 40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Blue sky scenario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More than 20%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No</t>
        </is>
      </c>
      <c r="BS295" s="30">
        <f>IF(BR295="NO",5,0)</f>
        <v/>
      </c>
      <c r="BT295" s="30" t="inlineStr">
        <is>
          <t>Less than 1.5</t>
        </is>
      </c>
      <c r="BU295" s="30">
        <f>IF(BT295="Above 2",0,IF(BT295="Between 1.5 to 2",5,IF(BT295="Less than 1.5",10,0)))</f>
        <v/>
      </c>
      <c r="BV295" s="30" t="inlineStr">
        <is>
          <t>Negative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IF(B296=0,"",RANK(B296,$B$2:$B$400,0))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0" t="inlineStr">
        <is>
          <t>ENGINERSIN</t>
        </is>
      </c>
      <c r="D296" s="30" t="inlineStr">
        <is>
          <t>Engineers India Limited</t>
        </is>
      </c>
      <c r="E296" s="30" t="inlineStr">
        <is>
          <t>realty</t>
        </is>
      </c>
      <c r="F296" s="30" t="inlineStr">
        <is>
          <t>engineering - turnkey services</t>
        </is>
      </c>
      <c r="G296" s="30" t="inlineStr">
        <is>
          <t>midcap</t>
        </is>
      </c>
      <c r="H296" s="31" t="n">
        <v>13668.31</v>
      </c>
      <c r="I296" s="31" t="n">
        <v>253.15</v>
      </c>
      <c r="J296" s="31" t="n">
        <v>4.1</v>
      </c>
      <c r="K296" s="31" t="n">
        <v>10768293</v>
      </c>
      <c r="L296" s="30" t="n">
        <v>41</v>
      </c>
      <c r="M296" s="30" t="inlineStr">
        <is>
          <t>Outperforming</t>
        </is>
      </c>
      <c r="N296" s="31">
        <f>IF(M296="Underperforming",-5,IF(L296&gt;=95,15,IF(L296&gt;=90,10,IF(L296&gt;=80,5,0))))</f>
        <v/>
      </c>
      <c r="O296" s="31" t="n">
        <v>61.88</v>
      </c>
      <c r="P296" s="31" t="n">
        <v>18.79</v>
      </c>
      <c r="Q296" s="31" t="n">
        <v>192.98</v>
      </c>
      <c r="R296" s="30" t="inlineStr">
        <is>
          <t>Near 52W High Breakout</t>
        </is>
      </c>
      <c r="S296" s="30" t="inlineStr">
        <is>
          <t>Nifty Realty</t>
        </is>
      </c>
      <c r="T296" s="31" t="n">
        <v>-19.08</v>
      </c>
      <c r="U296" s="31" t="n">
        <v>17.06</v>
      </c>
      <c r="V296" s="31" t="n">
        <v>44.67</v>
      </c>
      <c r="W296" s="31" t="n">
        <v>10.47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Yes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0 to 20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Less than 12%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No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Less than 50%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Less than 0.7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IF(B297=0,"",RANK(B297,$B$2:$B$400,0))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2" t="inlineStr">
        <is>
          <t>SUYOG</t>
        </is>
      </c>
      <c r="D297" s="32" t="inlineStr">
        <is>
          <t>Suyog Telematics Ltd</t>
        </is>
      </c>
      <c r="E297" s="30" t="inlineStr">
        <is>
          <t>telecom</t>
        </is>
      </c>
      <c r="F297" s="30" t="inlineStr">
        <is>
          <t>transmisson line towers / equipment</t>
        </is>
      </c>
      <c r="G297" s="30" t="inlineStr">
        <is>
          <t>smallcap</t>
        </is>
      </c>
      <c r="H297" s="31" t="n">
        <v>928.23</v>
      </c>
      <c r="I297" s="31" t="n">
        <v>805.2</v>
      </c>
      <c r="J297" s="31" t="n">
        <v>1.64</v>
      </c>
      <c r="K297" s="31" t="n">
        <v>107629</v>
      </c>
      <c r="L297" s="30" t="n">
        <v>5</v>
      </c>
      <c r="M297" s="30" t="inlineStr">
        <is>
          <t>Underperforming</t>
        </is>
      </c>
      <c r="N297" s="31">
        <f>IF(M297="Underperforming",-5,IF(L297&gt;=95,15,IF(L297&gt;=90,10,IF(L297&gt;=80,5,0))))</f>
        <v/>
      </c>
      <c r="O297" s="31" t="n">
        <v>55.82</v>
      </c>
      <c r="P297" s="31" t="n">
        <v>14.94</v>
      </c>
      <c r="Q297" s="31" t="n">
        <v>592.74</v>
      </c>
      <c r="R297" s="30" t="inlineStr">
        <is>
          <t>Volume Spike / Accumulation</t>
        </is>
      </c>
      <c r="S297" s="30" t="inlineStr">
        <is>
          <t>Nifty 50</t>
        </is>
      </c>
      <c r="T297" s="31" t="n">
        <v>-3.76</v>
      </c>
      <c r="U297" s="31" t="n">
        <v>-9.48</v>
      </c>
      <c r="V297" s="31" t="n">
        <v>-5.95</v>
      </c>
      <c r="W297" s="31" t="n">
        <v>2.7</v>
      </c>
      <c r="X297" s="30" t="inlineStr">
        <is>
          <t>Growing Industry</t>
        </is>
      </c>
      <c r="Y297" s="30">
        <f>IF(X297="Growing Industry",10,IF(X297="Cyclical in an Upturn",5,0))</f>
        <v/>
      </c>
      <c r="Z297" s="30" t="inlineStr">
        <is>
          <t>Oligopoly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Yes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Yes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0 to 20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More than 20%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No</t>
        </is>
      </c>
      <c r="BS297" s="30">
        <f>IF(BR297="NO",5,0)</f>
        <v/>
      </c>
      <c r="BT297" s="30" t="inlineStr">
        <is>
          <t>Less than 1.5</t>
        </is>
      </c>
      <c r="BU297" s="30">
        <f>IF(BT297="Above 2",0,IF(BT297="Between 1.5 to 2",5,IF(BT297="Less than 1.5",10,0)))</f>
        <v/>
      </c>
      <c r="BV297" s="30" t="inlineStr">
        <is>
          <t>Less than 50%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Between 0.7 to 1.2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IF(B298=0,"",RANK(B298,$B$2:$B$400,0))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GLOSTERLTD</t>
        </is>
      </c>
      <c r="D298" s="30" t="inlineStr">
        <is>
          <t>Gloster Ltd</t>
        </is>
      </c>
      <c r="E298" s="30" t="inlineStr">
        <is>
          <t>textiles</t>
        </is>
      </c>
      <c r="F298" s="30" t="inlineStr">
        <is>
          <t>textiles - jute - yarn / products</t>
        </is>
      </c>
      <c r="G298" s="30" t="inlineStr">
        <is>
          <t>smallcap</t>
        </is>
      </c>
      <c r="H298" s="31" t="n">
        <v>748.35</v>
      </c>
      <c r="I298" s="31" t="n">
        <v>692.5</v>
      </c>
      <c r="J298" s="31" t="n">
        <v>1.26</v>
      </c>
      <c r="K298" s="31" t="n">
        <v>10736</v>
      </c>
      <c r="L298" s="30" t="n">
        <v>34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63.97</v>
      </c>
      <c r="P298" s="31" t="n">
        <v>26.64</v>
      </c>
      <c r="Q298" s="31" t="n">
        <v>550.88</v>
      </c>
      <c r="R298" s="30" t="inlineStr">
        <is>
          <t>Earnings / Momentum Support</t>
        </is>
      </c>
      <c r="S298" s="30" t="inlineStr">
        <is>
          <t>Nifty 50</t>
        </is>
      </c>
      <c r="T298" s="31" t="n">
        <v>-3.76</v>
      </c>
      <c r="U298" s="31" t="n">
        <v>2.01</v>
      </c>
      <c r="V298" s="31" t="n">
        <v>6</v>
      </c>
      <c r="W298" s="31" t="n">
        <v>8.789999999999999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No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20 to 40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Positive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Yes</t>
        </is>
      </c>
      <c r="BS298" s="30">
        <f>IF(BR298="NO",5,0)</f>
        <v/>
      </c>
      <c r="BT298" s="30" t="inlineStr">
        <is>
          <t>Less than 1.5</t>
        </is>
      </c>
      <c r="BU298" s="30">
        <f>IF(BT298="Above 2",0,IF(BT298="Between 1.5 to 2",5,IF(BT298="Less than 1.5",10,0)))</f>
        <v/>
      </c>
      <c r="BV298" s="30" t="inlineStr">
        <is>
          <t>Negative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Between 0.7 to 1.2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IF(B299=0,"",RANK(B299,$B$2:$B$400,0))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0" t="inlineStr">
        <is>
          <t>EICHERMOT</t>
        </is>
      </c>
      <c r="D299" s="30" t="inlineStr">
        <is>
          <t>Eicher Motors Limited</t>
        </is>
      </c>
      <c r="E299" s="30" t="inlineStr">
        <is>
          <t>auto</t>
        </is>
      </c>
      <c r="F299" s="30" t="inlineStr">
        <is>
          <t>automobiles - motorcycles / mopeds</t>
        </is>
      </c>
      <c r="G299" s="30" t="inlineStr">
        <is>
          <t>largecap</t>
        </is>
      </c>
      <c r="H299" s="31" t="n">
        <v>205982.54</v>
      </c>
      <c r="I299" s="31" t="n">
        <v>7601</v>
      </c>
      <c r="J299" s="31" t="n">
        <v>1.23</v>
      </c>
      <c r="K299" s="31" t="n">
        <v>485856</v>
      </c>
      <c r="L299" s="30" t="n">
        <v>37</v>
      </c>
      <c r="M299" s="30" t="inlineStr">
        <is>
          <t>Outperforming</t>
        </is>
      </c>
      <c r="N299" s="31">
        <f>IF(M299="Underperforming",-5,IF(L299&gt;=95,15,IF(L299&gt;=90,10,IF(L299&gt;=80,5,0))))</f>
        <v/>
      </c>
      <c r="O299" s="31" t="n">
        <v>58.28</v>
      </c>
      <c r="P299" s="31" t="n">
        <v>8.84</v>
      </c>
      <c r="Q299" s="31" t="n">
        <v>6381.35</v>
      </c>
      <c r="R299" s="30" t="inlineStr">
        <is>
          <t>Earnings / Momentum Support</t>
        </is>
      </c>
      <c r="S299" s="30" t="inlineStr">
        <is>
          <t>Nifty Auto</t>
        </is>
      </c>
      <c r="T299" s="31" t="n">
        <v>12.95</v>
      </c>
      <c r="U299" s="31" t="n">
        <v>39.36</v>
      </c>
      <c r="V299" s="31" t="n">
        <v>23.38</v>
      </c>
      <c r="W299" s="31" t="n">
        <v>9.42</v>
      </c>
      <c r="X299" s="30" t="inlineStr">
        <is>
          <t>Growing Industry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No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0 to 20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Less than 12%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No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Above 70%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IF(B300=0,"",RANK(B300,$B$2:$B$400,0))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0" t="inlineStr">
        <is>
          <t>KRISHANA</t>
        </is>
      </c>
      <c r="D300" s="30" t="inlineStr">
        <is>
          <t>Krishana Phoschem Ltd</t>
        </is>
      </c>
      <c r="E300" s="30" t="inlineStr">
        <is>
          <t>chemicals</t>
        </is>
      </c>
      <c r="F300" s="30" t="inlineStr">
        <is>
          <t>fertilizers</t>
        </is>
      </c>
      <c r="G300" s="30" t="inlineStr">
        <is>
          <t>smallcap</t>
        </is>
      </c>
      <c r="H300" s="31" t="n">
        <v>4194.69</v>
      </c>
      <c r="I300" s="31" t="n">
        <v>686.7</v>
      </c>
      <c r="J300" s="31" t="n">
        <v>1.22</v>
      </c>
      <c r="K300" s="31" t="n">
        <v>176426</v>
      </c>
      <c r="L300" s="30" t="n">
        <v>61</v>
      </c>
      <c r="M300" s="30" t="inlineStr">
        <is>
          <t>Outperforming</t>
        </is>
      </c>
      <c r="N300" s="31">
        <f>IF(M300="Underperforming",-5,IF(L300&gt;=95,15,IF(L300&gt;=90,10,IF(L300&gt;=80,5,0))))</f>
        <v/>
      </c>
      <c r="O300" s="31" t="n">
        <v>68.22</v>
      </c>
      <c r="P300" s="31" t="n">
        <v>38.69</v>
      </c>
      <c r="Q300" s="31" t="n">
        <v>546.87</v>
      </c>
      <c r="R300" s="30" t="inlineStr">
        <is>
          <t>Near 52W High Breakout</t>
        </is>
      </c>
      <c r="S300" s="30" t="inlineStr">
        <is>
          <t>Nifty 50</t>
        </is>
      </c>
      <c r="T300" s="31" t="n">
        <v>-3.76</v>
      </c>
      <c r="U300" s="31" t="n">
        <v>35.06</v>
      </c>
      <c r="V300" s="31" t="n">
        <v>40.34</v>
      </c>
      <c r="W300" s="31" t="n">
        <v>15.67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20 to 40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Positive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Blue sky scenario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More than 20%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No</t>
        </is>
      </c>
      <c r="BS300" s="30">
        <f>IF(BR300="NO",5,0)</f>
        <v/>
      </c>
      <c r="BT300" s="30" t="inlineStr">
        <is>
          <t>Above 2</t>
        </is>
      </c>
      <c r="BU300" s="30">
        <f>IF(BT300="Above 2",0,IF(BT300="Between 1.5 to 2",5,IF(BT300="Less than 1.5",10,0)))</f>
        <v/>
      </c>
      <c r="BV300" s="30" t="inlineStr">
        <is>
          <t>Negative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More than 1.2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IF(B301=0,"",RANK(B301,$B$2:$B$400,0))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0" t="inlineStr">
        <is>
          <t>SWARAJENG</t>
        </is>
      </c>
      <c r="D301" s="30" t="inlineStr">
        <is>
          <t>Swaraj Engines Limited</t>
        </is>
      </c>
      <c r="E301" s="30" t="inlineStr">
        <is>
          <t>industrials</t>
        </is>
      </c>
      <c r="F301" s="30" t="inlineStr">
        <is>
          <t>engines</t>
        </is>
      </c>
      <c r="G301" s="30" t="inlineStr">
        <is>
          <t>smallcap</t>
        </is>
      </c>
      <c r="H301" s="31" t="n">
        <v>4691.18</v>
      </c>
      <c r="I301" s="31" t="n">
        <v>3872.3</v>
      </c>
      <c r="J301" s="31" t="n">
        <v>0.29</v>
      </c>
      <c r="K301" s="31" t="n">
        <v>9851</v>
      </c>
      <c r="L301" s="30" t="n">
        <v>2</v>
      </c>
      <c r="M301" s="30" t="inlineStr">
        <is>
          <t>Outperforming</t>
        </is>
      </c>
      <c r="N301" s="31">
        <f>IF(M301="Underperforming",-5,IF(L301&gt;=95,15,IF(L301&gt;=90,10,IF(L301&gt;=80,5,0))))</f>
        <v/>
      </c>
      <c r="O301" s="31" t="n">
        <v>53.96</v>
      </c>
      <c r="P301" s="31" t="n">
        <v>20.65</v>
      </c>
      <c r="Q301" s="31" t="n">
        <v>3376.61</v>
      </c>
      <c r="R301" s="30" t="inlineStr">
        <is>
          <t>Earnings / Momentum Support</t>
        </is>
      </c>
      <c r="S301" s="30" t="inlineStr">
        <is>
          <t>Nifty 50</t>
        </is>
      </c>
      <c r="T301" s="31" t="n">
        <v>-3.76</v>
      </c>
      <c r="U301" s="31" t="n">
        <v>-3.7</v>
      </c>
      <c r="V301" s="31" t="n">
        <v>0.06</v>
      </c>
      <c r="W301" s="31" t="n">
        <v>1.55</v>
      </c>
      <c r="X301" s="30" t="inlineStr">
        <is>
          <t>Cyclical in an Upturn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No</t>
        </is>
      </c>
      <c r="AQ301" s="30">
        <f>IF(AP301="Yes",10,0)</f>
        <v/>
      </c>
      <c r="AR301" s="30" t="inlineStr">
        <is>
          <t>Higher One Time, Lower Annuity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20 to 40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1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More than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No</t>
        </is>
      </c>
      <c r="BS301" s="30">
        <f>IF(BR301="NO",5,0)</f>
        <v/>
      </c>
      <c r="BT301" s="30" t="inlineStr">
        <is>
          <t>Less than 1.5</t>
        </is>
      </c>
      <c r="BU301" s="30">
        <f>IF(BT301="Above 2",0,IF(BT301="Between 1.5 to 2",5,IF(BT301="Less than 1.5",10,0)))</f>
        <v/>
      </c>
      <c r="BV301" s="30" t="inlineStr">
        <is>
          <t>Less than 50%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IF(B302=0,"",RANK(B302,$B$2:$B$400,0))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KIRLOSENG</t>
        </is>
      </c>
      <c r="D302" s="30" t="inlineStr">
        <is>
          <t>Kirloskar Oil Engines Limited</t>
        </is>
      </c>
      <c r="E302" s="30" t="inlineStr">
        <is>
          <t>industrials</t>
        </is>
      </c>
      <c r="F302" s="30" t="inlineStr">
        <is>
          <t>engines</t>
        </is>
      </c>
      <c r="G302" s="30" t="inlineStr">
        <is>
          <t>largecap</t>
        </is>
      </c>
      <c r="H302" s="31" t="n">
        <v>28907.59</v>
      </c>
      <c r="I302" s="31" t="n">
        <v>1983.5</v>
      </c>
      <c r="J302" s="31" t="n">
        <v>-0.26</v>
      </c>
      <c r="K302" s="31" t="n">
        <v>510072</v>
      </c>
      <c r="L302" s="30" t="n">
        <v>85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75.70999999999999</v>
      </c>
      <c r="P302" s="31" t="n">
        <v>38.91</v>
      </c>
      <c r="Q302" s="31" t="n">
        <v>1548.59</v>
      </c>
      <c r="R302" s="30" t="inlineStr">
        <is>
          <t>Near 52W High Breakout</t>
        </is>
      </c>
      <c r="S302" s="30" t="inlineStr">
        <is>
          <t>Nifty 50</t>
        </is>
      </c>
      <c r="T302" s="31" t="n">
        <v>-3.76</v>
      </c>
      <c r="U302" s="31" t="n">
        <v>135.81</v>
      </c>
      <c r="V302" s="31" t="n">
        <v>145.03</v>
      </c>
      <c r="W302" s="31" t="n">
        <v>28.49</v>
      </c>
      <c r="X302" s="30" t="inlineStr">
        <is>
          <t>Cyclical in an Upturn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Yes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20 to 40</t>
        </is>
      </c>
      <c r="AY302" s="30">
        <f>IF(AX302="Above 40",20,IF(AX302="20 to 40",10,IF(AX302="0 to 20",-5,0)))</f>
        <v/>
      </c>
      <c r="AZ302" s="30" t="inlineStr">
        <is>
          <t>Above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Blue sky scenario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More than 20%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Yes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Between 50% to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More than 1.2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IF(B303=0,"",RANK(B303,$B$2:$B$400,0))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2" t="inlineStr">
        <is>
          <t>SOMANYCERA</t>
        </is>
      </c>
      <c r="D303" s="32" t="inlineStr">
        <is>
          <t>Somany Ceramics Limited</t>
        </is>
      </c>
      <c r="E303" s="30" t="inlineStr">
        <is>
          <t>building materials</t>
        </is>
      </c>
      <c r="F303" s="30" t="inlineStr">
        <is>
          <t>ceramics - tiles / sanitaryware</t>
        </is>
      </c>
      <c r="G303" s="30" t="inlineStr">
        <is>
          <t>smallcap</t>
        </is>
      </c>
      <c r="H303" s="31" t="n">
        <v>2139.23</v>
      </c>
      <c r="I303" s="31" t="n">
        <v>519.6</v>
      </c>
      <c r="J303" s="31" t="n">
        <v>-0.38</v>
      </c>
      <c r="K303" s="31" t="n">
        <v>375868</v>
      </c>
      <c r="L303" s="30" t="n">
        <v>33</v>
      </c>
      <c r="M303" s="30" t="inlineStr">
        <is>
          <t>Underperforming</t>
        </is>
      </c>
      <c r="N303" s="31">
        <f>IF(M303="Underperforming",-5,IF(L303&gt;=95,15,IF(L303&gt;=90,10,IF(L303&gt;=80,5,0))))</f>
        <v/>
      </c>
      <c r="O303" s="31" t="n">
        <v>63.73</v>
      </c>
      <c r="P303" s="31" t="n">
        <v>27.12</v>
      </c>
      <c r="Q303" s="31" t="n">
        <v>405.48</v>
      </c>
      <c r="R303" s="30" t="inlineStr">
        <is>
          <t>Earnings / Momentum Support</t>
        </is>
      </c>
      <c r="S303" s="30" t="inlineStr">
        <is>
          <t>Nifty Infra</t>
        </is>
      </c>
      <c r="T303" s="31" t="n">
        <v>4.04</v>
      </c>
      <c r="U303" s="31" t="n">
        <v>-4.21</v>
      </c>
      <c r="V303" s="31" t="n">
        <v>-7.93</v>
      </c>
      <c r="W303" s="31" t="n">
        <v>8.48</v>
      </c>
      <c r="X303" s="30" t="inlineStr">
        <is>
          <t>Growing Industry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Structural (10 Years Consistency)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Stable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No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20 to 40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Negative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More than 20%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Less than 1.5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IF(B304=0,"",RANK(B304,$B$2:$B$400,0))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2" t="inlineStr">
        <is>
          <t>SSWL</t>
        </is>
      </c>
      <c r="D304" s="32" t="inlineStr">
        <is>
          <t>Steel Strips Wheels Limited</t>
        </is>
      </c>
      <c r="E304" s="30" t="inlineStr">
        <is>
          <t>auto</t>
        </is>
      </c>
      <c r="F304" s="30" t="inlineStr">
        <is>
          <t>auto ancillaries</t>
        </is>
      </c>
      <c r="G304" s="30" t="inlineStr">
        <is>
          <t>smallcap</t>
        </is>
      </c>
      <c r="H304" s="31" t="n">
        <v>3595.19</v>
      </c>
      <c r="I304" s="31" t="n">
        <v>226.52</v>
      </c>
      <c r="J304" s="31" t="n">
        <v>-0.97</v>
      </c>
      <c r="K304" s="31" t="n">
        <v>518995</v>
      </c>
      <c r="L304" s="30" t="n">
        <v>5</v>
      </c>
      <c r="M304" s="30" t="inlineStr">
        <is>
          <t>Underperforming</t>
        </is>
      </c>
      <c r="N304" s="31">
        <f>IF(M304="Underperforming",-5,IF(L304&gt;=95,15,IF(L304&gt;=90,10,IF(L304&gt;=80,5,0))))</f>
        <v/>
      </c>
      <c r="O304" s="31" t="n">
        <v>56.97</v>
      </c>
      <c r="P304" s="31" t="n">
        <v>8.81</v>
      </c>
      <c r="Q304" s="31" t="n">
        <v>174.88</v>
      </c>
      <c r="R304" s="30" t="inlineStr">
        <is>
          <t>Earnings / Momentum Support</t>
        </is>
      </c>
      <c r="S304" s="30" t="inlineStr">
        <is>
          <t>Nifty Auto</t>
        </is>
      </c>
      <c r="T304" s="31" t="n">
        <v>12.95</v>
      </c>
      <c r="U304" s="31" t="n">
        <v>-11.68</v>
      </c>
      <c r="V304" s="31" t="n">
        <v>-21.81</v>
      </c>
      <c r="W304" s="31" t="n">
        <v>2.9</v>
      </c>
      <c r="X304" s="30" t="inlineStr">
        <is>
          <t>Growing Industry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No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0 to 20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Less than 12%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No</t>
        </is>
      </c>
      <c r="BS304" s="30">
        <f>IF(BR304="NO",5,0)</f>
        <v/>
      </c>
      <c r="BT304" s="30" t="inlineStr">
        <is>
          <t>Less than 1.5</t>
        </is>
      </c>
      <c r="BU304" s="30">
        <f>IF(BT304="Above 2",0,IF(BT304="Between 1.5 to 2",5,IF(BT304="Less than 1.5",10,0)))</f>
        <v/>
      </c>
      <c r="BV304" s="30" t="inlineStr">
        <is>
          <t>Between 50% to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IF(B305=0,"",RANK(B305,$B$2:$B$400,0))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2" t="inlineStr">
        <is>
          <t>RIIL</t>
        </is>
      </c>
      <c r="D305" s="32" t="inlineStr">
        <is>
          <t>Reliance Industrial Infrastructure Limited</t>
        </is>
      </c>
      <c r="E305" s="30" t="inlineStr">
        <is>
          <t>transportation</t>
        </is>
      </c>
      <c r="F305" s="30" t="inlineStr">
        <is>
          <t>miscellaneous</t>
        </is>
      </c>
      <c r="G305" s="30" t="inlineStr">
        <is>
          <t>smallcap</t>
        </is>
      </c>
      <c r="H305" s="31" t="n">
        <v>1325.4</v>
      </c>
      <c r="I305" s="31" t="n">
        <v>862</v>
      </c>
      <c r="J305" s="31" t="n">
        <v>-1.79</v>
      </c>
      <c r="K305" s="31" t="n">
        <v>197858</v>
      </c>
      <c r="L305" s="30" t="n">
        <v>7</v>
      </c>
      <c r="M305" s="30" t="inlineStr">
        <is>
          <t>Underperforming</t>
        </is>
      </c>
      <c r="N305" s="31">
        <f>IF(M305="Underperforming",-5,IF(L305&gt;=95,15,IF(L305&gt;=90,10,IF(L305&gt;=80,5,0))))</f>
        <v/>
      </c>
      <c r="O305" s="31" t="n">
        <v>61.94</v>
      </c>
      <c r="P305" s="31" t="n">
        <v>14.92</v>
      </c>
      <c r="Q305" s="31" t="n">
        <v>667.33</v>
      </c>
      <c r="R305" s="30" t="inlineStr">
        <is>
          <t>Volume Spike / Accumulation</t>
        </is>
      </c>
      <c r="S305" s="30" t="inlineStr">
        <is>
          <t>Nifty 50</t>
        </is>
      </c>
      <c r="T305" s="31" t="n">
        <v>-3.76</v>
      </c>
      <c r="U305" s="31" t="n">
        <v>-8.08</v>
      </c>
      <c r="V305" s="31" t="n">
        <v>-4.48</v>
      </c>
      <c r="W305" s="31" t="n">
        <v>3.24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Tailwind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Yes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0 to 20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2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Less than 12%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Yes</t>
        </is>
      </c>
      <c r="BS305" s="30">
        <f>IF(BR305="NO",5,0)</f>
        <v/>
      </c>
      <c r="BT305" s="30" t="inlineStr">
        <is>
          <t>Above 2</t>
        </is>
      </c>
      <c r="BU305" s="30">
        <f>IF(BT305="Above 2",0,IF(BT305="Between 1.5 to 2",5,IF(BT305="Less than 1.5",10,0)))</f>
        <v/>
      </c>
      <c r="BV305" s="30" t="inlineStr">
        <is>
          <t>Above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IF(B306=0,"",RANK(B306,$B$2:$B$400,0))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2" t="inlineStr">
        <is>
          <t>VSSL</t>
        </is>
      </c>
      <c r="D306" s="32" t="inlineStr">
        <is>
          <t>Vardhman Special Steels Limited</t>
        </is>
      </c>
      <c r="E306" s="30" t="inlineStr">
        <is>
          <t>metals &amp; mining</t>
        </is>
      </c>
      <c r="F306" s="30" t="inlineStr">
        <is>
          <t>steel - medium / small</t>
        </is>
      </c>
      <c r="G306" s="30" t="inlineStr">
        <is>
          <t>smallcap</t>
        </is>
      </c>
      <c r="H306" s="31" t="n">
        <v>2791.32</v>
      </c>
      <c r="I306" s="31" t="n">
        <v>283.2</v>
      </c>
      <c r="J306" s="31" t="n">
        <v>-1.91</v>
      </c>
      <c r="K306" s="31" t="n">
        <v>24002</v>
      </c>
      <c r="L306" s="30" t="n">
        <v>30</v>
      </c>
      <c r="M306" s="30" t="inlineStr">
        <is>
          <t>Underperforming</t>
        </is>
      </c>
      <c r="N306" s="31">
        <f>IF(M306="Underperforming",-5,IF(L306&gt;=95,15,IF(L306&gt;=90,10,IF(L306&gt;=80,5,0))))</f>
        <v/>
      </c>
      <c r="O306" s="31" t="n">
        <v>58.84</v>
      </c>
      <c r="P306" s="31" t="n">
        <v>21.41</v>
      </c>
      <c r="Q306" s="31" t="n">
        <v>222.06</v>
      </c>
      <c r="R306" s="30" t="inlineStr">
        <is>
          <t>Earnings / Momentum Support</t>
        </is>
      </c>
      <c r="S306" s="30" t="inlineStr">
        <is>
          <t>Nifty Metal</t>
        </is>
      </c>
      <c r="T306" s="31" t="n">
        <v>42.37</v>
      </c>
      <c r="U306" s="31" t="n">
        <v>13.89</v>
      </c>
      <c r="V306" s="31" t="n">
        <v>-20</v>
      </c>
      <c r="W306" s="31" t="n">
        <v>8.029999999999999</v>
      </c>
      <c r="X306" s="30" t="inlineStr">
        <is>
          <t>Cyclical in an Upturn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Cyclical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Volatile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No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20 to 40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2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More than 20%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No</t>
        </is>
      </c>
      <c r="BS306" s="30">
        <f>IF(BR306="NO",5,0)</f>
        <v/>
      </c>
      <c r="BT306" s="30" t="inlineStr">
        <is>
          <t>Less than 1.5</t>
        </is>
      </c>
      <c r="BU306" s="30">
        <f>IF(BT306="Above 2",0,IF(BT306="Between 1.5 to 2",5,IF(BT306="Less than 1.5",10,0)))</f>
        <v/>
      </c>
      <c r="BV306" s="30" t="inlineStr">
        <is>
          <t>Between 50% to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Less than 0.7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IF(B307=0,"",RANK(B307,$B$2:$B$400,0))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0" t="inlineStr">
        <is>
          <t>PANSARI</t>
        </is>
      </c>
      <c r="D307" s="30" t="inlineStr">
        <is>
          <t>Pansari Developers Ltd</t>
        </is>
      </c>
      <c r="E307" s="30" t="inlineStr">
        <is>
          <t>realty</t>
        </is>
      </c>
      <c r="F307" s="30" t="inlineStr">
        <is>
          <t>construction</t>
        </is>
      </c>
      <c r="G307" s="30" t="inlineStr">
        <is>
          <t>smallcap</t>
        </is>
      </c>
      <c r="H307" s="31" t="n">
        <v>540.33</v>
      </c>
      <c r="I307" s="31" t="n">
        <v>303</v>
      </c>
      <c r="J307" s="31" t="n">
        <v>-2.16</v>
      </c>
      <c r="K307" s="31" t="n">
        <v>11574</v>
      </c>
      <c r="L307" s="30" t="n">
        <v>28</v>
      </c>
      <c r="M307" s="30" t="inlineStr">
        <is>
          <t>Outperforming</t>
        </is>
      </c>
      <c r="N307" s="31">
        <f>IF(M307="Underperforming",-5,IF(L307&gt;=95,15,IF(L307&gt;=90,10,IF(L307&gt;=80,5,0))))</f>
        <v/>
      </c>
      <c r="O307" s="31" t="n">
        <v>54.07</v>
      </c>
      <c r="P307" s="31" t="n">
        <v>19.33</v>
      </c>
      <c r="Q307" s="31" t="n">
        <v>211.19</v>
      </c>
      <c r="R307" s="30" t="inlineStr">
        <is>
          <t>Volume Spike / Accumulation</t>
        </is>
      </c>
      <c r="S307" s="30" t="inlineStr">
        <is>
          <t>Nifty Realty</t>
        </is>
      </c>
      <c r="T307" s="31" t="n">
        <v>-19.08</v>
      </c>
      <c r="U307" s="31" t="n">
        <v>30.07</v>
      </c>
      <c r="V307" s="31" t="n">
        <v>60.75</v>
      </c>
      <c r="W307" s="31" t="n">
        <v>7.72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Headwind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Yes</t>
        </is>
      </c>
      <c r="AQ307" s="30">
        <f>IF(AP307="Yes",10,0)</f>
        <v/>
      </c>
      <c r="AR307" s="30" t="inlineStr">
        <is>
          <t>Higher One Time, Lower Annuity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0 to 20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More than 20%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No</t>
        </is>
      </c>
      <c r="BS307" s="30">
        <f>IF(BR307="NO",5,0)</f>
        <v/>
      </c>
      <c r="BT307" s="30" t="inlineStr">
        <is>
          <t>Less than 1.5</t>
        </is>
      </c>
      <c r="BU307" s="30">
        <f>IF(BT307="Above 2",0,IF(BT307="Between 1.5 to 2",5,IF(BT307="Less than 1.5",10,0)))</f>
        <v/>
      </c>
      <c r="BV307" s="30" t="inlineStr">
        <is>
          <t>Negative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IF(B308=0,"",RANK(B308,$B$2:$B$400,0))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0" t="inlineStr">
        <is>
          <t>INDSWFTLAB</t>
        </is>
      </c>
      <c r="D308" s="30" t="inlineStr">
        <is>
          <t>Ind-swift Laboratories Limited</t>
        </is>
      </c>
      <c r="E308" s="30" t="inlineStr">
        <is>
          <t>healthcare</t>
        </is>
      </c>
      <c r="F308" s="30" t="inlineStr">
        <is>
          <t>pharmaceuticals - indian - bulk drugs &amp; formln</t>
        </is>
      </c>
      <c r="G308" s="30" t="inlineStr">
        <is>
          <t>smallcap</t>
        </is>
      </c>
      <c r="H308" s="31" t="n">
        <v>1410.92</v>
      </c>
      <c r="I308" s="31" t="n">
        <v>168.68</v>
      </c>
      <c r="J308" s="31" t="n">
        <v>3.82</v>
      </c>
      <c r="K308" s="31" t="n">
        <v>1521339</v>
      </c>
      <c r="L308" s="30" t="n">
        <v>60</v>
      </c>
      <c r="M308" s="30" t="inlineStr">
        <is>
          <t>Outperforming</t>
        </is>
      </c>
      <c r="N308" s="31">
        <f>IF(M308="Underperforming",-5,IF(L308&gt;=95,15,IF(L308&gt;=90,10,IF(L308&gt;=80,5,0))))</f>
        <v/>
      </c>
      <c r="O308" s="31" t="n">
        <v>75.12</v>
      </c>
      <c r="P308" s="31" t="n">
        <v>35.11</v>
      </c>
      <c r="Q308" s="31" t="n">
        <v>123.26</v>
      </c>
      <c r="R308" s="30" t="inlineStr">
        <is>
          <t>Near 52W High Breakout</t>
        </is>
      </c>
      <c r="S308" s="30" t="inlineStr">
        <is>
          <t>Nifty Pharma</t>
        </is>
      </c>
      <c r="T308" s="31" t="n">
        <v>12.35</v>
      </c>
      <c r="U308" s="31" t="n">
        <v>58.38</v>
      </c>
      <c r="V308" s="31" t="n">
        <v>40.97</v>
      </c>
      <c r="W308" s="31" t="n">
        <v>15.47</v>
      </c>
      <c r="X308" s="30" t="inlineStr">
        <is>
          <t>Growing Industry</t>
        </is>
      </c>
      <c r="Y308" s="30">
        <f>IF(X308="Growing Industry",10,IF(X308="Cyclical in an Upturn",5,0))</f>
        <v/>
      </c>
      <c r="Z308" s="30" t="inlineStr">
        <is>
          <t>Too Many Players with High ROCE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Yes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Yes</t>
        </is>
      </c>
      <c r="AQ308" s="30">
        <f>IF(AP308="Yes",10,0)</f>
        <v/>
      </c>
      <c r="AR308" s="30" t="inlineStr">
        <is>
          <t>Higher Annuity, Lower One Time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20 to 40</t>
        </is>
      </c>
      <c r="AY308" s="30">
        <f>IF(AX308="Above 40",20,IF(AX308="20 to 40",10,IF(AX308="0 to 20",-5,0)))</f>
        <v/>
      </c>
      <c r="AZ308" s="30" t="inlineStr">
        <is>
          <t>Above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Blue sky scenario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Less than 12%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No</t>
        </is>
      </c>
      <c r="BS308" s="30">
        <f>IF(BR308="NO",5,0)</f>
        <v/>
      </c>
      <c r="BT308" s="30" t="inlineStr">
        <is>
          <t>Above 2</t>
        </is>
      </c>
      <c r="BU308" s="30">
        <f>IF(BT308="Above 2",0,IF(BT308="Between 1.5 to 2",5,IF(BT308="Less than 1.5",10,0)))</f>
        <v/>
      </c>
      <c r="BV308" s="30" t="inlineStr">
        <is>
          <t>Negative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Less than 0.7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IF(B309=0,"",RANK(B309,$B$2:$B$400,0))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2" t="inlineStr">
        <is>
          <t>SUNPHARMA</t>
        </is>
      </c>
      <c r="D309" s="32" t="inlineStr">
        <is>
          <t>Sun Pharmaceuticals Industries Limited</t>
        </is>
      </c>
      <c r="E309" s="30" t="inlineStr">
        <is>
          <t>healthcare</t>
        </is>
      </c>
      <c r="F309" s="30" t="inlineStr">
        <is>
          <t>pharmaceuticals - indian - bulk drugs &amp; formln</t>
        </is>
      </c>
      <c r="G309" s="30" t="inlineStr">
        <is>
          <t>largecap</t>
        </is>
      </c>
      <c r="H309" s="31" t="n">
        <v>436774.94</v>
      </c>
      <c r="I309" s="31" t="n">
        <v>1824.8</v>
      </c>
      <c r="J309" s="31" t="n">
        <v>0.24</v>
      </c>
      <c r="K309" s="31" t="n">
        <v>2054738</v>
      </c>
      <c r="L309" s="30" t="n">
        <v>5</v>
      </c>
      <c r="M309" s="30" t="inlineStr">
        <is>
          <t>Underperforming</t>
        </is>
      </c>
      <c r="N309" s="31">
        <f>IF(M309="Underperforming",-5,IF(L309&gt;=95,15,IF(L309&gt;=90,10,IF(L309&gt;=80,5,0))))</f>
        <v/>
      </c>
      <c r="O309" s="31" t="n">
        <v>56.78</v>
      </c>
      <c r="P309" s="31" t="n">
        <v>13.84</v>
      </c>
      <c r="Q309" s="31" t="n">
        <v>1642.53</v>
      </c>
      <c r="R309" s="30" t="inlineStr">
        <is>
          <t>Near 52W High Breakout</t>
        </is>
      </c>
      <c r="S309" s="30" t="inlineStr">
        <is>
          <t>Nifty Pharma</t>
        </is>
      </c>
      <c r="T309" s="31" t="n">
        <v>12.35</v>
      </c>
      <c r="U309" s="31" t="n">
        <v>10.67</v>
      </c>
      <c r="V309" s="31" t="n">
        <v>-1.5</v>
      </c>
      <c r="W309" s="31" t="n">
        <v>2.6</v>
      </c>
      <c r="X309" s="30" t="inlineStr">
        <is>
          <t>Growing Industry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Yes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Structural (10 Years Consistency)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Stable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Yes</t>
        </is>
      </c>
      <c r="AQ309" s="30">
        <f>IF(AP309="Yes",10,0)</f>
        <v/>
      </c>
      <c r="AR309" s="30" t="inlineStr">
        <is>
          <t>Higher Annuity, Lower One Time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0 to 20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2</t>
        </is>
      </c>
      <c r="BC309" s="30">
        <f>IF(BB309="Stage 2",20,IF(BB309="Stage 1",0,IF(BB309="Stage 3",5,IF(BB309="Stage 4",-5,0))))</f>
        <v/>
      </c>
      <c r="BD309" s="30" t="inlineStr">
        <is>
          <t>Negative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Blue sky scenario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More than 20%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No</t>
        </is>
      </c>
      <c r="BS309" s="30">
        <f>IF(BR309="NO",5,0)</f>
        <v/>
      </c>
      <c r="BT309" s="30" t="inlineStr">
        <is>
          <t>Less than 1.5</t>
        </is>
      </c>
      <c r="BU309" s="30">
        <f>IF(BT309="Above 2",0,IF(BT309="Between 1.5 to 2",5,IF(BT309="Less than 1.5",10,0)))</f>
        <v/>
      </c>
      <c r="BV309" s="30" t="inlineStr">
        <is>
          <t>Above 70%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IF(B310=0,"",RANK(B310,$B$2:$B$400,0))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0" t="inlineStr">
        <is>
          <t>KIMS</t>
        </is>
      </c>
      <c r="D310" s="30" t="inlineStr">
        <is>
          <t>Krishna Institute of Medical Sciences Ltd</t>
        </is>
      </c>
      <c r="E310" s="30" t="inlineStr">
        <is>
          <t>healthcare</t>
        </is>
      </c>
      <c r="F310" s="30" t="inlineStr">
        <is>
          <t>healthcare</t>
        </is>
      </c>
      <c r="G310" s="30" t="inlineStr">
        <is>
          <t>largecap</t>
        </is>
      </c>
      <c r="H310" s="31" t="n">
        <v>31867.06</v>
      </c>
      <c r="I310" s="31" t="n">
        <v>789.75</v>
      </c>
      <c r="J310" s="31" t="n">
        <v>-0.84</v>
      </c>
      <c r="K310" s="31" t="n">
        <v>453927</v>
      </c>
      <c r="L310" s="30" t="n">
        <v>39</v>
      </c>
      <c r="M310" s="30" t="inlineStr">
        <is>
          <t>Outperforming</t>
        </is>
      </c>
      <c r="N310" s="31">
        <f>IF(M310="Underperforming",-5,IF(L310&gt;=95,15,IF(L310&gt;=90,10,IF(L310&gt;=80,5,0))))</f>
        <v/>
      </c>
      <c r="O310" s="31" t="n">
        <v>64.61</v>
      </c>
      <c r="P310" s="31" t="n">
        <v>23.36</v>
      </c>
      <c r="Q310" s="31" t="n">
        <v>633.6</v>
      </c>
      <c r="R310" s="30" t="inlineStr">
        <is>
          <t>Near 52W High Breakout</t>
        </is>
      </c>
      <c r="S310" s="30" t="inlineStr">
        <is>
          <t>Nifty Pharma</t>
        </is>
      </c>
      <c r="T310" s="31" t="n">
        <v>12.35</v>
      </c>
      <c r="U310" s="31" t="n">
        <v>24.85</v>
      </c>
      <c r="V310" s="31" t="n">
        <v>11.13</v>
      </c>
      <c r="W310" s="31" t="n">
        <v>9.869999999999999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Yes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Yes</t>
        </is>
      </c>
      <c r="AQ310" s="30">
        <f>IF(AP310="Yes",10,0)</f>
        <v/>
      </c>
      <c r="AR310" s="30" t="inlineStr">
        <is>
          <t>Higher Annuity, Lower One Time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20 to 40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Positive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Blue sky scenario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Less than 12%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Yes</t>
        </is>
      </c>
      <c r="BS310" s="30">
        <f>IF(BR310="NO",5,0)</f>
        <v/>
      </c>
      <c r="BT310" s="30" t="inlineStr">
        <is>
          <t>Above 2</t>
        </is>
      </c>
      <c r="BU310" s="30">
        <f>IF(BT310="Above 2",0,IF(BT310="Between 1.5 to 2",5,IF(BT310="Less than 1.5",10,0)))</f>
        <v/>
      </c>
      <c r="BV310" s="30" t="inlineStr">
        <is>
          <t>Between 50% to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More than 1.2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IF(B311=0,"",RANK(B311,$B$2:$B$400,0))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0" t="inlineStr">
        <is>
          <t>RAMCOSYS</t>
        </is>
      </c>
      <c r="D311" s="30" t="inlineStr">
        <is>
          <t>Ramco Systems Limited</t>
        </is>
      </c>
      <c r="E311" s="30" t="inlineStr">
        <is>
          <t>i.t</t>
        </is>
      </c>
      <c r="F311" s="30" t="inlineStr">
        <is>
          <t>computers - software - medium / small</t>
        </is>
      </c>
      <c r="G311" s="30" t="inlineStr">
        <is>
          <t>smallcap</t>
        </is>
      </c>
      <c r="H311" s="31" t="n">
        <v>2133.6</v>
      </c>
      <c r="I311" s="31" t="n">
        <v>560.75</v>
      </c>
      <c r="J311" s="31" t="n">
        <v>-1.67</v>
      </c>
      <c r="K311" s="31" t="n">
        <v>106268</v>
      </c>
      <c r="L311" s="30" t="n">
        <v>71</v>
      </c>
      <c r="M311" s="30" t="inlineStr">
        <is>
          <t>Outperforming</t>
        </is>
      </c>
      <c r="N311" s="31">
        <f>IF(M311="Underperforming",-5,IF(L311&gt;=95,15,IF(L311&gt;=90,10,IF(L311&gt;=80,5,0))))</f>
        <v/>
      </c>
      <c r="O311" s="31" t="n">
        <v>61</v>
      </c>
      <c r="P311" s="31" t="n">
        <v>17.02</v>
      </c>
      <c r="Q311" s="31" t="n">
        <v>385.01</v>
      </c>
      <c r="R311" s="30" t="inlineStr">
        <is>
          <t>Earnings / Momentum Support</t>
        </is>
      </c>
      <c r="S311" s="30" t="inlineStr">
        <is>
          <t>Nifty IT</t>
        </is>
      </c>
      <c r="T311" s="31" t="n">
        <v>-26.99</v>
      </c>
      <c r="U311" s="31" t="n">
        <v>45.9</v>
      </c>
      <c r="V311" s="31" t="n">
        <v>99.84</v>
      </c>
      <c r="W311" s="31" t="n">
        <v>20.02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Headwind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No</t>
        </is>
      </c>
      <c r="AQ311" s="30">
        <f>IF(AP311="Yes",10,0)</f>
        <v/>
      </c>
      <c r="AR311" s="30" t="inlineStr">
        <is>
          <t>Higher Annuity, Lower One Time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2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More than 20%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Yes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Above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Less than 0.7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IF(B312=0,"",RANK(B312,$B$2:$B$400,0))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2" t="inlineStr">
        <is>
          <t>GANDHAR</t>
        </is>
      </c>
      <c r="D312" s="32" t="inlineStr">
        <is>
          <t>Gandhar Oil Refinery (India) Ltd</t>
        </is>
      </c>
      <c r="E312" s="30" t="inlineStr">
        <is>
          <t>energy</t>
        </is>
      </c>
      <c r="F312" s="30" t="inlineStr">
        <is>
          <t>refineries</t>
        </is>
      </c>
      <c r="G312" s="30" t="inlineStr">
        <is>
          <t>smallcap</t>
        </is>
      </c>
      <c r="H312" s="31" t="n">
        <v>1528.39</v>
      </c>
      <c r="I312" s="31" t="n">
        <v>174.11</v>
      </c>
      <c r="J312" s="31" t="n">
        <v>11.5</v>
      </c>
      <c r="K312" s="31" t="n">
        <v>10986216</v>
      </c>
      <c r="L312" s="30" t="n">
        <v>30</v>
      </c>
      <c r="M312" s="30" t="inlineStr">
        <is>
          <t>Underperforming</t>
        </is>
      </c>
      <c r="N312" s="31">
        <f>IF(M312="Underperforming",-5,IF(L312&gt;=95,15,IF(L312&gt;=90,10,IF(L312&gt;=80,5,0))))</f>
        <v/>
      </c>
      <c r="O312" s="31" t="n">
        <v>63.89</v>
      </c>
      <c r="P312" s="31" t="n">
        <v>27.28</v>
      </c>
      <c r="Q312" s="31" t="n">
        <v>128.21</v>
      </c>
      <c r="R312" s="30" t="inlineStr">
        <is>
          <t>Volume Spike &amp; Near 52W High Breakout</t>
        </is>
      </c>
      <c r="S312" s="30" t="inlineStr">
        <is>
          <t>Nifty Energy</t>
        </is>
      </c>
      <c r="T312" s="31" t="n">
        <v>13.64</v>
      </c>
      <c r="U312" s="31" t="n">
        <v>3.04</v>
      </c>
      <c r="V312" s="31" t="n">
        <v>-9.33</v>
      </c>
      <c r="W312" s="31" t="n">
        <v>8</v>
      </c>
      <c r="X312" s="30" t="inlineStr">
        <is>
          <t>Cyclical in an Upturn</t>
        </is>
      </c>
      <c r="Y312" s="30">
        <f>IF(X312="Growing Industry",10,IF(X312="Cyclical in an Upturn",5,0))</f>
        <v/>
      </c>
      <c r="Z312" s="30" t="inlineStr">
        <is>
          <t>Oligopoly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Yes</t>
        </is>
      </c>
      <c r="AC312" s="30">
        <f>IF(AB312="No",5,0)</f>
        <v/>
      </c>
      <c r="AD312" s="30" t="inlineStr">
        <is>
          <t>Tailwind</t>
        </is>
      </c>
      <c r="AE312" s="30">
        <f>IF(AD312="Tailwind",10,0)</f>
        <v/>
      </c>
      <c r="AF312" s="30" t="inlineStr">
        <is>
          <t>Cyclical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Volatile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Yes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20 to 40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2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More than 20%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No</t>
        </is>
      </c>
      <c r="BS312" s="30">
        <f>IF(BR312="NO",5,0)</f>
        <v/>
      </c>
      <c r="BT312" s="30" t="inlineStr">
        <is>
          <t>Above 2</t>
        </is>
      </c>
      <c r="BU312" s="30">
        <f>IF(BT312="Above 2",0,IF(BT312="Between 1.5 to 2",5,IF(BT312="Less than 1.5",10,0)))</f>
        <v/>
      </c>
      <c r="BV312" s="30" t="inlineStr">
        <is>
          <t>Between 50% to 70%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IF(B313=0,"",RANK(B313,$B$2:$B$400,0))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0" t="inlineStr">
        <is>
          <t>SBC</t>
        </is>
      </c>
      <c r="D313" s="30" t="inlineStr">
        <is>
          <t>SBC Exports Ltd</t>
        </is>
      </c>
      <c r="E313" s="30" t="inlineStr">
        <is>
          <t>textiles</t>
        </is>
      </c>
      <c r="F313" s="30" t="inlineStr">
        <is>
          <t>textiles - products</t>
        </is>
      </c>
      <c r="G313" s="30" t="inlineStr">
        <is>
          <t>smallcap</t>
        </is>
      </c>
      <c r="H313" s="31" t="n">
        <v>1785.71</v>
      </c>
      <c r="I313" s="31" t="n">
        <v>39.88</v>
      </c>
      <c r="J313" s="31" t="n">
        <v>6.35</v>
      </c>
      <c r="K313" s="31" t="n">
        <v>31767547</v>
      </c>
      <c r="L313" s="30" t="n">
        <v>85</v>
      </c>
      <c r="M313" s="30" t="inlineStr">
        <is>
          <t>Outperforming</t>
        </is>
      </c>
      <c r="N313" s="31">
        <f>IF(M313="Underperforming",-5,IF(L313&gt;=95,15,IF(L313&gt;=90,10,IF(L313&gt;=80,5,0))))</f>
        <v/>
      </c>
      <c r="O313" s="31" t="n">
        <v>76.03</v>
      </c>
      <c r="P313" s="31" t="n">
        <v>24.99</v>
      </c>
      <c r="Q313" s="31" t="n">
        <v>33</v>
      </c>
      <c r="R313" s="30" t="inlineStr">
        <is>
          <t>Near 52W High Breakout</t>
        </is>
      </c>
      <c r="S313" s="30" t="inlineStr">
        <is>
          <t>Nifty 50</t>
        </is>
      </c>
      <c r="T313" s="31" t="n">
        <v>-3.76</v>
      </c>
      <c r="U313" s="31" t="n">
        <v>174.09</v>
      </c>
      <c r="V313" s="31" t="n">
        <v>184.8</v>
      </c>
      <c r="W313" s="31" t="n">
        <v>28.66</v>
      </c>
      <c r="X313" s="30" t="inlineStr">
        <is>
          <t>Growing Industry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Tailwind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Yes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20 to 40</t>
        </is>
      </c>
      <c r="AY313" s="30">
        <f>IF(AX313="Above 40",20,IF(AX313="20 to 40",10,IF(AX313="0 to 20",-5,0)))</f>
        <v/>
      </c>
      <c r="AZ313" s="30" t="inlineStr">
        <is>
          <t>Above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Positive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Blue sky scenario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More than 20%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Yes</t>
        </is>
      </c>
      <c r="BS313" s="30">
        <f>IF(BR313="NO",5,0)</f>
        <v/>
      </c>
      <c r="BT313" s="30" t="inlineStr">
        <is>
          <t>Between 1.5 to 2</t>
        </is>
      </c>
      <c r="BU313" s="30">
        <f>IF(BT313="Above 2",0,IF(BT313="Between 1.5 to 2",5,IF(BT313="Less than 1.5",10,0)))</f>
        <v/>
      </c>
      <c r="BV313" s="30" t="inlineStr">
        <is>
          <t>Negative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More than 1.2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IF(B314=0,"",RANK(B314,$B$2:$B$400,0))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2" t="inlineStr">
        <is>
          <t>VMART</t>
        </is>
      </c>
      <c r="D314" s="32" t="inlineStr">
        <is>
          <t>V-mart Retail Limited</t>
        </is>
      </c>
      <c r="E314" s="30" t="inlineStr">
        <is>
          <t>consumer discretionary</t>
        </is>
      </c>
      <c r="F314" s="30" t="inlineStr">
        <is>
          <t>trading</t>
        </is>
      </c>
      <c r="G314" s="30" t="inlineStr">
        <is>
          <t>midcap</t>
        </is>
      </c>
      <c r="H314" s="31" t="n">
        <v>6070.22</v>
      </c>
      <c r="I314" s="31" t="n">
        <v>789.2</v>
      </c>
      <c r="J314" s="31" t="n">
        <v>3.31</v>
      </c>
      <c r="K314" s="31" t="n">
        <v>374651</v>
      </c>
      <c r="L314" s="30" t="n">
        <v>48</v>
      </c>
      <c r="M314" s="30" t="inlineStr">
        <is>
          <t>Underperforming</t>
        </is>
      </c>
      <c r="N314" s="31">
        <f>IF(M314="Underperforming",-5,IF(L314&gt;=95,15,IF(L314&gt;=90,10,IF(L314&gt;=80,5,0))))</f>
        <v/>
      </c>
      <c r="O314" s="31" t="n">
        <v>67.25</v>
      </c>
      <c r="P314" s="31" t="n">
        <v>20.85</v>
      </c>
      <c r="Q314" s="31" t="n">
        <v>615.53</v>
      </c>
      <c r="R314" s="30" t="inlineStr">
        <is>
          <t>Earnings / Momentum Support</t>
        </is>
      </c>
      <c r="S314" s="30" t="inlineStr">
        <is>
          <t>Nifty 50</t>
        </is>
      </c>
      <c r="T314" s="31" t="n">
        <v>-3.76</v>
      </c>
      <c r="U314" s="31" t="n">
        <v>-11.24</v>
      </c>
      <c r="V314" s="31" t="n">
        <v>-7.77</v>
      </c>
      <c r="W314" s="31" t="n">
        <v>12.3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No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20 to 40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2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Less than 12%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Yes</t>
        </is>
      </c>
      <c r="BS314" s="30">
        <f>IF(BR314="NO",5,0)</f>
        <v/>
      </c>
      <c r="BT314" s="30" t="inlineStr">
        <is>
          <t>Above 2</t>
        </is>
      </c>
      <c r="BU314" s="30">
        <f>IF(BT314="Above 2",0,IF(BT314="Between 1.5 to 2",5,IF(BT314="Less than 1.5",10,0)))</f>
        <v/>
      </c>
      <c r="BV314" s="30" t="inlineStr">
        <is>
          <t>Above 70%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Between 0.7 to 1.2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IF(B315=0,"",RANK(B315,$B$2:$B$400,0))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2" t="inlineStr">
        <is>
          <t>IRISDOREME</t>
        </is>
      </c>
      <c r="D315" s="32" t="inlineStr">
        <is>
          <t>Iris Clothings Ltd</t>
        </is>
      </c>
      <c r="E315" s="30" t="inlineStr">
        <is>
          <t>consumer discretionary</t>
        </is>
      </c>
      <c r="F315" s="30" t="inlineStr">
        <is>
          <t>textiles - products</t>
        </is>
      </c>
      <c r="G315" s="30" t="inlineStr">
        <is>
          <t>smallcap</t>
        </is>
      </c>
      <c r="H315" s="31" t="n">
        <v>736.39</v>
      </c>
      <c r="I315" s="31" t="n">
        <v>39.93</v>
      </c>
      <c r="J315" s="31" t="n">
        <v>3.21</v>
      </c>
      <c r="K315" s="31" t="n">
        <v>1459841</v>
      </c>
      <c r="L315" s="30" t="n">
        <v>9</v>
      </c>
      <c r="M315" s="30" t="inlineStr">
        <is>
          <t>Underperforming</t>
        </is>
      </c>
      <c r="N315" s="31">
        <f>IF(M315="Underperforming",-5,IF(L315&gt;=95,15,IF(L315&gt;=90,10,IF(L315&gt;=80,5,0))))</f>
        <v/>
      </c>
      <c r="O315" s="31" t="n">
        <v>63.57</v>
      </c>
      <c r="P315" s="31" t="n">
        <v>17.06</v>
      </c>
      <c r="Q315" s="31" t="n">
        <v>28.73</v>
      </c>
      <c r="R315" s="30" t="inlineStr">
        <is>
          <t>Volume Spike / Accumulation</t>
        </is>
      </c>
      <c r="S315" s="30" t="inlineStr">
        <is>
          <t>Nifty 50</t>
        </is>
      </c>
      <c r="T315" s="31" t="n">
        <v>-3.76</v>
      </c>
      <c r="U315" s="31" t="n">
        <v>-35.05</v>
      </c>
      <c r="V315" s="31" t="n">
        <v>-32.51</v>
      </c>
      <c r="W315" s="31" t="n">
        <v>3.52</v>
      </c>
      <c r="X315" s="30" t="inlineStr">
        <is>
          <t>Growing Industry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Structural (10 Years Consistency)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Stable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Yes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0 to 20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More than 20%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Yes</t>
        </is>
      </c>
      <c r="BS315" s="30">
        <f>IF(BR315="NO",5,0)</f>
        <v/>
      </c>
      <c r="BT315" s="30" t="inlineStr">
        <is>
          <t>Between 1.5 to 2</t>
        </is>
      </c>
      <c r="BU315" s="30">
        <f>IF(BT315="Above 2",0,IF(BT315="Between 1.5 to 2",5,IF(BT315="Less than 1.5",10,0)))</f>
        <v/>
      </c>
      <c r="BV315" s="30" t="inlineStr">
        <is>
          <t>Negative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Less than 0.7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IF(B316=0,"",RANK(B316,$B$2:$B$400,0))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0" t="inlineStr">
        <is>
          <t>TVSSRICHAK</t>
        </is>
      </c>
      <c r="D316" s="30" t="inlineStr">
        <is>
          <t>Tvs Srichakra Limited</t>
        </is>
      </c>
      <c r="E316" s="30" t="inlineStr">
        <is>
          <t>auto</t>
        </is>
      </c>
      <c r="F316" s="30" t="inlineStr">
        <is>
          <t>tyres</t>
        </is>
      </c>
      <c r="G316" s="30" t="inlineStr">
        <is>
          <t>smallcap</t>
        </is>
      </c>
      <c r="H316" s="31" t="n">
        <v>3069.48</v>
      </c>
      <c r="I316" s="31" t="n">
        <v>4101.8</v>
      </c>
      <c r="J316" s="31" t="n">
        <v>2.32</v>
      </c>
      <c r="K316" s="31" t="n">
        <v>7651</v>
      </c>
      <c r="L316" s="30" t="n">
        <v>42</v>
      </c>
      <c r="M316" s="30" t="inlineStr">
        <is>
          <t>Outperforming</t>
        </is>
      </c>
      <c r="N316" s="31">
        <f>IF(M316="Underperforming",-5,IF(L316&gt;=95,15,IF(L316&gt;=90,10,IF(L316&gt;=80,5,0))))</f>
        <v/>
      </c>
      <c r="O316" s="31" t="n">
        <v>56.55</v>
      </c>
      <c r="P316" s="31" t="n">
        <v>11.47</v>
      </c>
      <c r="Q316" s="31" t="n">
        <v>3157.81</v>
      </c>
      <c r="R316" s="30" t="inlineStr">
        <is>
          <t>Earnings / Momentum Support</t>
        </is>
      </c>
      <c r="S316" s="30" t="inlineStr">
        <is>
          <t>Nifty Auto</t>
        </is>
      </c>
      <c r="T316" s="31" t="n">
        <v>12.95</v>
      </c>
      <c r="U316" s="31" t="n">
        <v>38.75</v>
      </c>
      <c r="V316" s="31" t="n">
        <v>22.84</v>
      </c>
      <c r="W316" s="31" t="n">
        <v>10.96</v>
      </c>
      <c r="X316" s="30" t="inlineStr">
        <is>
          <t>Growing Industry</t>
        </is>
      </c>
      <c r="Y316" s="30">
        <f>IF(X316="Growing Industry",10,IF(X316="Cyclical in an Upturn",5,0))</f>
        <v/>
      </c>
      <c r="Z316" s="30" t="inlineStr">
        <is>
          <t>Too Many Players with High ROCE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Headwind</t>
        </is>
      </c>
      <c r="AE316" s="30">
        <f>IF(AD316="Tailwind",10,0)</f>
        <v/>
      </c>
      <c r="AF316" s="30" t="inlineStr">
        <is>
          <t>Structural (10 Years Consistency)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No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0 to 20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2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Close to 52 week high or retracement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More than 20%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Yes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Above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Less than 0.7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IF(B317=0,"",RANK(B317,$B$2:$B$400,0))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0" t="inlineStr">
        <is>
          <t>ROSSTECH</t>
        </is>
      </c>
      <c r="D317" s="30" t="inlineStr">
        <is>
          <t>Rossell Techsys Ltd</t>
        </is>
      </c>
      <c r="E317" s="30" t="inlineStr">
        <is>
          <t>aerospace &amp; defence</t>
        </is>
      </c>
      <c r="F317" s="30" t="inlineStr">
        <is>
          <t>engineering</t>
        </is>
      </c>
      <c r="G317" s="30" t="inlineStr">
        <is>
          <t>smallcap</t>
        </is>
      </c>
      <c r="H317" s="31" t="n">
        <v>3846.55</v>
      </c>
      <c r="I317" s="31" t="n">
        <v>1042.3</v>
      </c>
      <c r="J317" s="31" t="n">
        <v>2.15</v>
      </c>
      <c r="K317" s="31" t="n">
        <v>463626</v>
      </c>
      <c r="L317" s="30" t="n">
        <v>90</v>
      </c>
      <c r="M317" s="30" t="inlineStr">
        <is>
          <t>Outperforming</t>
        </is>
      </c>
      <c r="N317" s="31">
        <f>IF(M317="Underperforming",-5,IF(L317&gt;=95,15,IF(L317&gt;=90,10,IF(L317&gt;=80,5,0))))</f>
        <v/>
      </c>
      <c r="O317" s="31" t="n">
        <v>65.14</v>
      </c>
      <c r="P317" s="31" t="n">
        <v>39.38</v>
      </c>
      <c r="Q317" s="31" t="n">
        <v>725.54</v>
      </c>
      <c r="R317" s="30" t="inlineStr">
        <is>
          <t>Near 52W High Breakout</t>
        </is>
      </c>
      <c r="S317" s="30" t="inlineStr">
        <is>
          <t>Nifty Infra</t>
        </is>
      </c>
      <c r="T317" s="31" t="n">
        <v>4.04</v>
      </c>
      <c r="U317" s="31" t="n">
        <v>159.74</v>
      </c>
      <c r="V317" s="31" t="n">
        <v>149.64</v>
      </c>
      <c r="W317" s="31" t="n">
        <v>34.83</v>
      </c>
      <c r="X317" s="30" t="inlineStr">
        <is>
          <t>Growing Industry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No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Yes</t>
        </is>
      </c>
      <c r="AQ317" s="30">
        <f>IF(AP317="Yes",10,0)</f>
        <v/>
      </c>
      <c r="AR317" s="30" t="inlineStr">
        <is>
          <t>Higher One Time, Lower Annuity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20 to 40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2</t>
        </is>
      </c>
      <c r="BC317" s="30">
        <f>IF(BB317="Stage 2",20,IF(BB317="Stage 1",0,IF(BB317="Stage 3",5,IF(BB317="Stage 4",-5,0))))</f>
        <v/>
      </c>
      <c r="BD317" s="30" t="inlineStr">
        <is>
          <t>Positive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Blue sky scenario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Less than 12%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Yes</t>
        </is>
      </c>
      <c r="BS317" s="30">
        <f>IF(BR317="NO",5,0)</f>
        <v/>
      </c>
      <c r="BT317" s="30" t="inlineStr">
        <is>
          <t>Above 2</t>
        </is>
      </c>
      <c r="BU317" s="30">
        <f>IF(BT317="Above 2",0,IF(BT317="Between 1.5 to 2",5,IF(BT317="Less than 1.5",10,0)))</f>
        <v/>
      </c>
      <c r="BV317" s="30" t="inlineStr">
        <is>
          <t>Negative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More than 1.2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IF(B318=0,"",RANK(B318,$B$2:$B$400,0))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0" t="inlineStr">
        <is>
          <t>SVLL</t>
        </is>
      </c>
      <c r="D318" s="30" t="inlineStr">
        <is>
          <t>Shree Vasu Logistics Ltd</t>
        </is>
      </c>
      <c r="E318" s="30" t="inlineStr">
        <is>
          <t>transportation</t>
        </is>
      </c>
      <c r="F318" s="30" t="inlineStr">
        <is>
          <t>miscellaneous</t>
        </is>
      </c>
      <c r="G318" s="30" t="inlineStr">
        <is>
          <t>smallcap</t>
        </is>
      </c>
      <c r="H318" s="31" t="n">
        <v>816.4</v>
      </c>
      <c r="I318" s="31" t="n">
        <v>720</v>
      </c>
      <c r="J318" s="31" t="n">
        <v>1.37</v>
      </c>
      <c r="K318" s="31" t="n">
        <v>903</v>
      </c>
      <c r="L318" s="30" t="n">
        <v>42</v>
      </c>
      <c r="M318" s="30" t="inlineStr">
        <is>
          <t>Outperforming</t>
        </is>
      </c>
      <c r="N318" s="31">
        <f>IF(M318="Underperforming",-5,IF(L318&gt;=95,15,IF(L318&gt;=90,10,IF(L318&gt;=80,5,0))))</f>
        <v/>
      </c>
      <c r="O318" s="31" t="n">
        <v>59.89</v>
      </c>
      <c r="P318" s="31" t="n">
        <v>29.21</v>
      </c>
      <c r="Q318" s="31" t="n">
        <v>472.09</v>
      </c>
      <c r="R318" s="30" t="inlineStr">
        <is>
          <t>Earnings / Momentum Support</t>
        </is>
      </c>
      <c r="S318" s="30" t="inlineStr">
        <is>
          <t>Nifty 50</t>
        </is>
      </c>
      <c r="T318" s="31" t="n">
        <v>-3.76</v>
      </c>
      <c r="U318" s="31" t="n">
        <v>-2.34</v>
      </c>
      <c r="V318" s="31" t="n">
        <v>1.48</v>
      </c>
      <c r="W318" s="31" t="n">
        <v>10.57</v>
      </c>
      <c r="X318" s="30" t="inlineStr">
        <is>
          <t>Growing Industry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No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Structural (10 Years Consistency)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No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20 to 40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2</t>
        </is>
      </c>
      <c r="BC318" s="30">
        <f>IF(BB318="Stage 2",20,IF(BB318="Stage 1",0,IF(BB318="Stage 3",5,IF(BB318="Stage 4",-5,0))))</f>
        <v/>
      </c>
      <c r="BD318" s="30" t="inlineStr">
        <is>
          <t>Positive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More than 20%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Yes</t>
        </is>
      </c>
      <c r="BS318" s="30">
        <f>IF(BR318="NO",5,0)</f>
        <v/>
      </c>
      <c r="BT318" s="30" t="inlineStr">
        <is>
          <t>Above 2</t>
        </is>
      </c>
      <c r="BU318" s="30">
        <f>IF(BT318="Above 2",0,IF(BT318="Between 1.5 to 2",5,IF(BT318="Less than 1.5",10,0)))</f>
        <v/>
      </c>
      <c r="BV318" s="30" t="inlineStr">
        <is>
          <t>Between 50% to 70%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More than 1.2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IF(B319=0,"",RANK(B319,$B$2:$B$400,0))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0" t="inlineStr">
        <is>
          <t>LOKESHMACH</t>
        </is>
      </c>
      <c r="D319" s="30" t="inlineStr">
        <is>
          <t>Lokesh Machines Limited</t>
        </is>
      </c>
      <c r="E319" s="30" t="inlineStr">
        <is>
          <t>industrials</t>
        </is>
      </c>
      <c r="F319" s="30" t="inlineStr">
        <is>
          <t>engineering</t>
        </is>
      </c>
      <c r="G319" s="30" t="inlineStr">
        <is>
          <t>smallcap</t>
        </is>
      </c>
      <c r="H319" s="31" t="n">
        <v>581.83</v>
      </c>
      <c r="I319" s="31" t="n">
        <v>275</v>
      </c>
      <c r="J319" s="31" t="n">
        <v>0.66</v>
      </c>
      <c r="K319" s="31" t="n">
        <v>17993</v>
      </c>
      <c r="L319" s="30" t="n">
        <v>69</v>
      </c>
      <c r="M319" s="30" t="inlineStr">
        <is>
          <t>Outperforming</t>
        </is>
      </c>
      <c r="N319" s="31">
        <f>IF(M319="Underperforming",-5,IF(L319&gt;=95,15,IF(L319&gt;=90,10,IF(L319&gt;=80,5,0))))</f>
        <v/>
      </c>
      <c r="O319" s="31" t="n">
        <v>64.53</v>
      </c>
      <c r="P319" s="31" t="n">
        <v>38.39</v>
      </c>
      <c r="Q319" s="31" t="n">
        <v>195.45</v>
      </c>
      <c r="R319" s="30" t="inlineStr">
        <is>
          <t>Near 52W High Breakout</t>
        </is>
      </c>
      <c r="S319" s="30" t="inlineStr">
        <is>
          <t>Nifty 50</t>
        </is>
      </c>
      <c r="T319" s="31" t="n">
        <v>-3.76</v>
      </c>
      <c r="U319" s="31" t="n">
        <v>65.36</v>
      </c>
      <c r="V319" s="31" t="n">
        <v>71.83</v>
      </c>
      <c r="W319" s="31" t="n">
        <v>19.39</v>
      </c>
      <c r="X319" s="30" t="inlineStr">
        <is>
          <t>Cyclical in an Upturn</t>
        </is>
      </c>
      <c r="Y319" s="30">
        <f>IF(X319="Growing Industry",10,IF(X319="Cyclical in an Upturn",5,0))</f>
        <v/>
      </c>
      <c r="Z319" s="30" t="inlineStr">
        <is>
          <t>Too Many Players with High ROCE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No</t>
        </is>
      </c>
      <c r="AC319" s="30">
        <f>IF(AB319="No",5,0)</f>
        <v/>
      </c>
      <c r="AD319" s="30" t="inlineStr">
        <is>
          <t>Tailwind</t>
        </is>
      </c>
      <c r="AE319" s="30">
        <f>IF(AD319="Tailwind",10,0)</f>
        <v/>
      </c>
      <c r="AF319" s="30" t="inlineStr">
        <is>
          <t>Structural (10 Years Consistency)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Stable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Yes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20 to 40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2</t>
        </is>
      </c>
      <c r="BC319" s="30">
        <f>IF(BB319="Stage 2",20,IF(BB319="Stage 1",0,IF(BB319="Stage 3",5,IF(BB319="Stage 4",-5,0))))</f>
        <v/>
      </c>
      <c r="BD319" s="30" t="inlineStr">
        <is>
          <t>Positive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More than 20%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Yes</t>
        </is>
      </c>
      <c r="BS319" s="30">
        <f>IF(BR319="NO",5,0)</f>
        <v/>
      </c>
      <c r="BT319" s="30" t="inlineStr">
        <is>
          <t>Above 2</t>
        </is>
      </c>
      <c r="BU319" s="30">
        <f>IF(BT319="Above 2",0,IF(BT319="Between 1.5 to 2",5,IF(BT319="Less than 1.5",10,0)))</f>
        <v/>
      </c>
      <c r="BV319" s="30" t="inlineStr">
        <is>
          <t>Negative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Between 0.7 to 1.2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IF(B320=0,"",RANK(B320,$B$2:$B$400,0))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0" t="inlineStr">
        <is>
          <t>TVSSCS</t>
        </is>
      </c>
      <c r="D320" s="30" t="inlineStr">
        <is>
          <t>TVS Supply Chain Solutions Ltd</t>
        </is>
      </c>
      <c r="E320" s="30" t="inlineStr">
        <is>
          <t>transportation</t>
        </is>
      </c>
      <c r="F320" s="30" t="inlineStr">
        <is>
          <t>miscellaneous</t>
        </is>
      </c>
      <c r="G320" s="30" t="inlineStr">
        <is>
          <t>midcap</t>
        </is>
      </c>
      <c r="H320" s="31" t="n">
        <v>5978.43</v>
      </c>
      <c r="I320" s="31" t="n">
        <v>136.12</v>
      </c>
      <c r="J320" s="31" t="n">
        <v>0.45</v>
      </c>
      <c r="K320" s="31" t="n">
        <v>848930</v>
      </c>
      <c r="L320" s="30" t="n">
        <v>37</v>
      </c>
      <c r="M320" s="30" t="inlineStr">
        <is>
          <t>Outperforming</t>
        </is>
      </c>
      <c r="N320" s="31">
        <f>IF(M320="Underperforming",-5,IF(L320&gt;=95,15,IF(L320&gt;=90,10,IF(L320&gt;=80,5,0))))</f>
        <v/>
      </c>
      <c r="O320" s="31" t="n">
        <v>61.13</v>
      </c>
      <c r="P320" s="31" t="n">
        <v>12.18</v>
      </c>
      <c r="Q320" s="31" t="n">
        <v>102.34</v>
      </c>
      <c r="R320" s="30" t="inlineStr">
        <is>
          <t>Volume Spike &amp; Near 52W High Breakout</t>
        </is>
      </c>
      <c r="S320" s="30" t="inlineStr">
        <is>
          <t>Nifty 50</t>
        </is>
      </c>
      <c r="T320" s="31" t="n">
        <v>-3.76</v>
      </c>
      <c r="U320" s="31" t="n">
        <v>3.72</v>
      </c>
      <c r="V320" s="31" t="n">
        <v>7.77</v>
      </c>
      <c r="W320" s="31" t="n">
        <v>9.289999999999999</v>
      </c>
      <c r="X320" s="30" t="inlineStr">
        <is>
          <t>Growing Industry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No</t>
        </is>
      </c>
      <c r="AC320" s="30">
        <f>IF(AB320="No",5,0)</f>
        <v/>
      </c>
      <c r="AD320" s="30" t="inlineStr">
        <is>
          <t>Tailwind</t>
        </is>
      </c>
      <c r="AE320" s="30">
        <f>IF(AD320="Tailwind",10,0)</f>
        <v/>
      </c>
      <c r="AF320" s="30" t="inlineStr">
        <is>
          <t>Structural (10 Years Consistency)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Stable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Yes</t>
        </is>
      </c>
      <c r="AQ320" s="30">
        <f>IF(AP320="Yes",10,0)</f>
        <v/>
      </c>
      <c r="AR320" s="30" t="inlineStr">
        <is>
          <t>Higher One Time, Lower Annuity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0 to 20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2</t>
        </is>
      </c>
      <c r="BC320" s="30">
        <f>IF(BB320="Stage 2",20,IF(BB320="Stage 1",0,IF(BB320="Stage 3",5,IF(BB320="Stage 4",-5,0))))</f>
        <v/>
      </c>
      <c r="BD320" s="30" t="inlineStr">
        <is>
          <t>Positive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More than 20%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Yes</t>
        </is>
      </c>
      <c r="BS320" s="30">
        <f>IF(BR320="NO",5,0)</f>
        <v/>
      </c>
      <c r="BT320" s="30" t="inlineStr">
        <is>
          <t>Above 2</t>
        </is>
      </c>
      <c r="BU320" s="30">
        <f>IF(BT320="Above 2",0,IF(BT320="Between 1.5 to 2",5,IF(BT320="Less than 1.5",10,0)))</f>
        <v/>
      </c>
      <c r="BV320" s="30" t="inlineStr">
        <is>
          <t>Above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More than 1.2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IF(B321=0,"",RANK(B321,$B$2:$B$400,0))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0" t="inlineStr">
        <is>
          <t>TITAN</t>
        </is>
      </c>
      <c r="D321" s="30" t="inlineStr">
        <is>
          <t>Titan Company Limited</t>
        </is>
      </c>
      <c r="E321" s="30" t="inlineStr">
        <is>
          <t>consumer discretionary</t>
        </is>
      </c>
      <c r="F321" s="30" t="inlineStr">
        <is>
          <t>diamond cutting / jewellery</t>
        </is>
      </c>
      <c r="G321" s="30" t="inlineStr">
        <is>
          <t>largecap</t>
        </is>
      </c>
      <c r="H321" s="31" t="n">
        <v>388894.73</v>
      </c>
      <c r="I321" s="31" t="n">
        <v>4387.9</v>
      </c>
      <c r="J321" s="31" t="n">
        <v>0.17</v>
      </c>
      <c r="K321" s="31" t="n">
        <v>562833</v>
      </c>
      <c r="L321" s="30" t="n">
        <v>20</v>
      </c>
      <c r="M321" s="30" t="inlineStr">
        <is>
          <t>Outperforming</t>
        </is>
      </c>
      <c r="N321" s="31">
        <f>IF(M321="Underperforming",-5,IF(L321&gt;=95,15,IF(L321&gt;=90,10,IF(L321&gt;=80,5,0))))</f>
        <v/>
      </c>
      <c r="O321" s="31" t="n">
        <v>57.72</v>
      </c>
      <c r="P321" s="31" t="n">
        <v>12.08</v>
      </c>
      <c r="Q321" s="31" t="n">
        <v>3839.71</v>
      </c>
      <c r="R321" s="30" t="inlineStr">
        <is>
          <t>Near 52W High Breakout</t>
        </is>
      </c>
      <c r="S321" s="30" t="inlineStr">
        <is>
          <t>Nifty 50</t>
        </is>
      </c>
      <c r="T321" s="31" t="n">
        <v>-3.76</v>
      </c>
      <c r="U321" s="31" t="n">
        <v>25.07</v>
      </c>
      <c r="V321" s="31" t="n">
        <v>29.95</v>
      </c>
      <c r="W321" s="31" t="n">
        <v>6.07</v>
      </c>
      <c r="X321" s="30" t="inlineStr">
        <is>
          <t>Growing Industry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Yes</t>
        </is>
      </c>
      <c r="AQ321" s="30">
        <f>IF(AP321="Yes",10,0)</f>
        <v/>
      </c>
      <c r="AR321" s="30" t="inlineStr">
        <is>
          <t>Higher One Time, Lower Annuity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0 to 20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Positive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Blue sky scenario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More than 20%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Yes</t>
        </is>
      </c>
      <c r="BS321" s="30">
        <f>IF(BR321="NO",5,0)</f>
        <v/>
      </c>
      <c r="BT321" s="30" t="inlineStr">
        <is>
          <t>Above 2</t>
        </is>
      </c>
      <c r="BU321" s="30">
        <f>IF(BT321="Above 2",0,IF(BT321="Between 1.5 to 2",5,IF(BT321="Less than 1.5",10,0)))</f>
        <v/>
      </c>
      <c r="BV321" s="30" t="inlineStr">
        <is>
          <t>Between 50% to 70%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More than 1.2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IF(B322=0,"",RANK(B322,$B$2:$B$400,0))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0" t="inlineStr">
        <is>
          <t>MSTCLTD</t>
        </is>
      </c>
      <c r="D322" s="30" t="inlineStr">
        <is>
          <t>MSTC Ltd</t>
        </is>
      </c>
      <c r="E322" s="30" t="inlineStr">
        <is>
          <t>i.t</t>
        </is>
      </c>
      <c r="F322" s="30" t="inlineStr">
        <is>
          <t>trading</t>
        </is>
      </c>
      <c r="G322" s="30" t="inlineStr">
        <is>
          <t>smallcap</t>
        </is>
      </c>
      <c r="H322" s="31" t="n">
        <v>4842.11</v>
      </c>
      <c r="I322" s="31" t="n">
        <v>687.6</v>
      </c>
      <c r="J322" s="31" t="n">
        <v>-0.03</v>
      </c>
      <c r="K322" s="31" t="n">
        <v>1885483</v>
      </c>
      <c r="L322" s="30" t="n">
        <v>77</v>
      </c>
      <c r="M322" s="30" t="inlineStr">
        <is>
          <t>Outperforming</t>
        </is>
      </c>
      <c r="N322" s="31">
        <f>IF(M322="Underperforming",-5,IF(L322&gt;=95,15,IF(L322&gt;=90,10,IF(L322&gt;=80,5,0))))</f>
        <v/>
      </c>
      <c r="O322" s="31" t="n">
        <v>75.09999999999999</v>
      </c>
      <c r="P322" s="31" t="n">
        <v>20.4</v>
      </c>
      <c r="Q322" s="31" t="n">
        <v>530.71</v>
      </c>
      <c r="R322" s="30" t="inlineStr">
        <is>
          <t>Volume Spike &amp; Near 52W High Breakout</t>
        </is>
      </c>
      <c r="S322" s="30" t="inlineStr">
        <is>
          <t>Nifty IT</t>
        </is>
      </c>
      <c r="T322" s="31" t="n">
        <v>-26.99</v>
      </c>
      <c r="U322" s="31" t="n">
        <v>39</v>
      </c>
      <c r="V322" s="31" t="n">
        <v>90.40000000000001</v>
      </c>
      <c r="W322" s="31" t="n">
        <v>22.92</v>
      </c>
      <c r="X322" s="30" t="inlineStr">
        <is>
          <t>Growing Industry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Tailwind</t>
        </is>
      </c>
      <c r="AE322" s="30">
        <f>IF(AD322="Tailwind",10,0)</f>
        <v/>
      </c>
      <c r="AF322" s="30" t="inlineStr">
        <is>
          <t>Structural (10 Years Consistency)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Yes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20 to 40</t>
        </is>
      </c>
      <c r="AY322" s="30">
        <f>IF(AX322="Above 40",20,IF(AX322="20 to 40",10,IF(AX322="0 to 20",-5,0)))</f>
        <v/>
      </c>
      <c r="AZ322" s="30" t="inlineStr">
        <is>
          <t>Above 75</t>
        </is>
      </c>
      <c r="BA322" s="30">
        <f>IF(AZ322="Between 50 to 75",10,IF(AZ322="Above 75",0,0))</f>
        <v/>
      </c>
      <c r="BB322" s="30" t="inlineStr">
        <is>
          <t>Stage 2</t>
        </is>
      </c>
      <c r="BC322" s="30">
        <f>IF(BB322="Stage 2",20,IF(BB322="Stage 1",0,IF(BB322="Stage 3",5,IF(BB322="Stage 4",-5,0))))</f>
        <v/>
      </c>
      <c r="BD322" s="30" t="inlineStr">
        <is>
          <t>Positive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Less than 12%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No</t>
        </is>
      </c>
      <c r="BS322" s="30">
        <f>IF(BR322="NO",5,0)</f>
        <v/>
      </c>
      <c r="BT322" s="30" t="inlineStr">
        <is>
          <t>Above 2</t>
        </is>
      </c>
      <c r="BU322" s="30">
        <f>IF(BT322="Above 2",0,IF(BT322="Between 1.5 to 2",5,IF(BT322="Less than 1.5",10,0)))</f>
        <v/>
      </c>
      <c r="BV322" s="30" t="inlineStr">
        <is>
          <t>Negative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IF(B323=0,"",RANK(B323,$B$2:$B$400,0))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2" t="inlineStr">
        <is>
          <t>TIINDIA</t>
        </is>
      </c>
      <c r="D323" s="32" t="inlineStr">
        <is>
          <t>Tube Investments of India Ltd</t>
        </is>
      </c>
      <c r="E323" s="30" t="inlineStr">
        <is>
          <t>industrials</t>
        </is>
      </c>
      <c r="F323" s="30" t="inlineStr">
        <is>
          <t>steel - large</t>
        </is>
      </c>
      <c r="G323" s="30" t="inlineStr">
        <is>
          <t>largecap</t>
        </is>
      </c>
      <c r="H323" s="31" t="n">
        <v>63247.27</v>
      </c>
      <c r="I323" s="31" t="n">
        <v>3256.5</v>
      </c>
      <c r="J323" s="31" t="n">
        <v>-0.34</v>
      </c>
      <c r="K323" s="31" t="n">
        <v>107196</v>
      </c>
      <c r="L323" s="30" t="n">
        <v>36</v>
      </c>
      <c r="M323" s="30" t="inlineStr">
        <is>
          <t>Underperforming</t>
        </is>
      </c>
      <c r="N323" s="31">
        <f>IF(M323="Underperforming",-5,IF(L323&gt;=95,15,IF(L323&gt;=90,10,IF(L323&gt;=80,5,0))))</f>
        <v/>
      </c>
      <c r="O323" s="31" t="n">
        <v>65.62</v>
      </c>
      <c r="P323" s="31" t="n">
        <v>19.57</v>
      </c>
      <c r="Q323" s="31" t="n">
        <v>2579.4</v>
      </c>
      <c r="R323" s="30" t="inlineStr">
        <is>
          <t>Near 52W High Breakout</t>
        </is>
      </c>
      <c r="S323" s="30" t="inlineStr">
        <is>
          <t>Nifty Metal</t>
        </is>
      </c>
      <c r="T323" s="31" t="n">
        <v>42.37</v>
      </c>
      <c r="U323" s="31" t="n">
        <v>11.44</v>
      </c>
      <c r="V323" s="31" t="n">
        <v>-21.73</v>
      </c>
      <c r="W323" s="31" t="n">
        <v>9.210000000000001</v>
      </c>
      <c r="X323" s="30" t="inlineStr">
        <is>
          <t>Cyclical in an Upturn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Structural (10 Years Consistency)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Stable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Yes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0 to 20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2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Less than 12%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Yes</t>
        </is>
      </c>
      <c r="BS323" s="30">
        <f>IF(BR323="NO",5,0)</f>
        <v/>
      </c>
      <c r="BT323" s="30" t="inlineStr">
        <is>
          <t>Above 2</t>
        </is>
      </c>
      <c r="BU323" s="30">
        <f>IF(BT323="Above 2",0,IF(BT323="Between 1.5 to 2",5,IF(BT323="Less than 1.5",10,0)))</f>
        <v/>
      </c>
      <c r="BV323" s="30" t="inlineStr">
        <is>
          <t>Above 70%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Less than 0.7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IF(B324=0,"",RANK(B324,$B$2:$B$400,0))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0" t="inlineStr">
        <is>
          <t>LT</t>
        </is>
      </c>
      <c r="D324" s="30" t="inlineStr">
        <is>
          <t>Larsen &amp; Toubro Limited</t>
        </is>
      </c>
      <c r="E324" s="30" t="inlineStr">
        <is>
          <t>realty</t>
        </is>
      </c>
      <c r="F324" s="30" t="inlineStr">
        <is>
          <t>engineering - turnkey services</t>
        </is>
      </c>
      <c r="G324" s="30" t="inlineStr">
        <is>
          <t>largecap</t>
        </is>
      </c>
      <c r="H324" s="31" t="n">
        <v>578824.76</v>
      </c>
      <c r="I324" s="31" t="n">
        <v>4190</v>
      </c>
      <c r="J324" s="31" t="n">
        <v>-0.42</v>
      </c>
      <c r="K324" s="31" t="n">
        <v>1485427</v>
      </c>
      <c r="L324" s="30" t="n">
        <v>32</v>
      </c>
      <c r="M324" s="30" t="inlineStr">
        <is>
          <t>Outperforming</t>
        </is>
      </c>
      <c r="N324" s="31">
        <f>IF(M324="Underperforming",-5,IF(L324&gt;=95,15,IF(L324&gt;=90,10,IF(L324&gt;=80,5,0))))</f>
        <v/>
      </c>
      <c r="O324" s="31" t="n">
        <v>59.19</v>
      </c>
      <c r="P324" s="31" t="n">
        <v>9.73</v>
      </c>
      <c r="Q324" s="31" t="n">
        <v>3531.07</v>
      </c>
      <c r="R324" s="30" t="inlineStr">
        <is>
          <t>Near 52W High Breakout</t>
        </is>
      </c>
      <c r="S324" s="30" t="inlineStr">
        <is>
          <t>Nifty Realty</t>
        </is>
      </c>
      <c r="T324" s="31" t="n">
        <v>-19.08</v>
      </c>
      <c r="U324" s="31" t="n">
        <v>15.54</v>
      </c>
      <c r="V324" s="31" t="n">
        <v>42.79</v>
      </c>
      <c r="W324" s="31" t="n">
        <v>8.369999999999999</v>
      </c>
      <c r="X324" s="30" t="inlineStr">
        <is>
          <t>Growing Industry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Structural (10 Years Consistency)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Stable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Yes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0 to 20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2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Blue sky scenario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Less than 12%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No</t>
        </is>
      </c>
      <c r="BS324" s="30">
        <f>IF(BR324="NO",5,0)</f>
        <v/>
      </c>
      <c r="BT324" s="30" t="inlineStr">
        <is>
          <t>Above 2</t>
        </is>
      </c>
      <c r="BU324" s="30">
        <f>IF(BT324="Above 2",0,IF(BT324="Between 1.5 to 2",5,IF(BT324="Less than 1.5",10,0)))</f>
        <v/>
      </c>
      <c r="BV324" s="30" t="inlineStr">
        <is>
          <t>Less than 50%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Between 0.7 to 1.2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IF(B325=0,"",RANK(B325,$B$2:$B$400,0))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2" t="inlineStr">
        <is>
          <t>SUZLON</t>
        </is>
      </c>
      <c r="D325" s="32" t="inlineStr">
        <is>
          <t>Suzlon Energy Limited</t>
        </is>
      </c>
      <c r="E325" s="30" t="inlineStr">
        <is>
          <t>industrials</t>
        </is>
      </c>
      <c r="F325" s="30" t="inlineStr">
        <is>
          <t>electric equipment</t>
        </is>
      </c>
      <c r="G325" s="30" t="inlineStr">
        <is>
          <t>largecap</t>
        </is>
      </c>
      <c r="H325" s="31" t="n">
        <v>81286.92</v>
      </c>
      <c r="I325" s="31" t="n">
        <v>58.44</v>
      </c>
      <c r="J325" s="31" t="n">
        <v>-1.4</v>
      </c>
      <c r="K325" s="31" t="n">
        <v>82275577</v>
      </c>
      <c r="L325" s="30" t="n">
        <v>31</v>
      </c>
      <c r="M325" s="30" t="inlineStr">
        <is>
          <t>Underperforming</t>
        </is>
      </c>
      <c r="N325" s="31">
        <f>IF(M325="Underperforming",-5,IF(L325&gt;=95,15,IF(L325&gt;=90,10,IF(L325&gt;=80,5,0))))</f>
        <v/>
      </c>
      <c r="O325" s="31" t="n">
        <v>63.13</v>
      </c>
      <c r="P325" s="31" t="n">
        <v>26.98</v>
      </c>
      <c r="Q325" s="31" t="n">
        <v>46.53</v>
      </c>
      <c r="R325" s="30" t="inlineStr">
        <is>
          <t>Earnings / Momentum Support</t>
        </is>
      </c>
      <c r="S325" s="30" t="inlineStr">
        <is>
          <t>Nifty 50</t>
        </is>
      </c>
      <c r="T325" s="31" t="n">
        <v>-3.76</v>
      </c>
      <c r="U325" s="31" t="n">
        <v>-7.58</v>
      </c>
      <c r="V325" s="31" t="n">
        <v>-3.96</v>
      </c>
      <c r="W325" s="31" t="n">
        <v>8.199999999999999</v>
      </c>
      <c r="X325" s="30" t="inlineStr">
        <is>
          <t>Cyclical in an Upturn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No</t>
        </is>
      </c>
      <c r="AC325" s="30">
        <f>IF(AB325="No",5,0)</f>
        <v/>
      </c>
      <c r="AD325" s="30" t="inlineStr">
        <is>
          <t>Tailwind</t>
        </is>
      </c>
      <c r="AE325" s="30">
        <f>IF(AD325="Tailwind",10,0)</f>
        <v/>
      </c>
      <c r="AF325" s="30" t="inlineStr">
        <is>
          <t>Structural (10 Years Consistency)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Stable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No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20 to 40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2</t>
        </is>
      </c>
      <c r="BC325" s="30">
        <f>IF(BB325="Stage 2",20,IF(BB325="Stage 1",0,IF(BB325="Stage 3",5,IF(BB325="Stage 4",-5,0))))</f>
        <v/>
      </c>
      <c r="BD325" s="30" t="inlineStr">
        <is>
          <t>Positive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Less than 12%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No</t>
        </is>
      </c>
      <c r="BS325" s="30">
        <f>IF(BR325="NO",5,0)</f>
        <v/>
      </c>
      <c r="BT325" s="30" t="inlineStr">
        <is>
          <t>Above 2</t>
        </is>
      </c>
      <c r="BU325" s="30">
        <f>IF(BT325="Above 2",0,IF(BT325="Between 1.5 to 2",5,IF(BT325="Less than 1.5",10,0)))</f>
        <v/>
      </c>
      <c r="BV325" s="30" t="inlineStr">
        <is>
          <t>Less than 50%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IF(B326=0,"",RANK(B326,$B$2:$B$400,0))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2" t="inlineStr">
        <is>
          <t>FACT</t>
        </is>
      </c>
      <c r="D326" s="32" t="inlineStr">
        <is>
          <t>Fertilizers And Chemicals Travancore Limited</t>
        </is>
      </c>
      <c r="E326" s="30" t="inlineStr">
        <is>
          <t>chemicals</t>
        </is>
      </c>
      <c r="F326" s="30" t="inlineStr">
        <is>
          <t>fertilizers</t>
        </is>
      </c>
      <c r="G326" s="30" t="inlineStr">
        <is>
          <t>largecap</t>
        </is>
      </c>
      <c r="H326" s="31" t="n">
        <v>62610.68</v>
      </c>
      <c r="I326" s="31" t="n">
        <v>953.45</v>
      </c>
      <c r="J326" s="31" t="n">
        <v>-1.46</v>
      </c>
      <c r="K326" s="31" t="n">
        <v>386522</v>
      </c>
      <c r="L326" s="30" t="n">
        <v>8</v>
      </c>
      <c r="M326" s="30" t="inlineStr">
        <is>
          <t>Underperforming</t>
        </is>
      </c>
      <c r="N326" s="31">
        <f>IF(M326="Underperforming",-5,IF(L326&gt;=95,15,IF(L326&gt;=90,10,IF(L326&gt;=80,5,0))))</f>
        <v/>
      </c>
      <c r="O326" s="31" t="n">
        <v>61.42</v>
      </c>
      <c r="P326" s="31" t="n">
        <v>16.68</v>
      </c>
      <c r="Q326" s="31" t="n">
        <v>719.48</v>
      </c>
      <c r="R326" s="30" t="inlineStr">
        <is>
          <t>Volume Spike / Accumulation</t>
        </is>
      </c>
      <c r="S326" s="30" t="inlineStr">
        <is>
          <t>Nifty 50</t>
        </is>
      </c>
      <c r="T326" s="31" t="n">
        <v>-3.76</v>
      </c>
      <c r="U326" s="31" t="n">
        <v>-6.62</v>
      </c>
      <c r="V326" s="31" t="n">
        <v>-2.98</v>
      </c>
      <c r="W326" s="31" t="n">
        <v>3.38</v>
      </c>
      <c r="X326" s="30" t="inlineStr">
        <is>
          <t>Growing Industry</t>
        </is>
      </c>
      <c r="Y326" s="30">
        <f>IF(X326="Growing Industry",10,IF(X326="Cyclical in an Upturn",5,0))</f>
        <v/>
      </c>
      <c r="Z326" s="30" t="inlineStr">
        <is>
          <t>Too Many Players with High ROCE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No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Structural (10 Years Consistency)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Stable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Yes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0 to 20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2</t>
        </is>
      </c>
      <c r="BC326" s="30">
        <f>IF(BB326="Stage 2",20,IF(BB326="Stage 1",0,IF(BB326="Stage 3",5,IF(BB326="Stage 4",-5,0))))</f>
        <v/>
      </c>
      <c r="BD326" s="30" t="inlineStr">
        <is>
          <t>Positive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Close to 52 week high or retracement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Less than 12%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No</t>
        </is>
      </c>
      <c r="BS326" s="30">
        <f>IF(BR326="NO",5,0)</f>
        <v/>
      </c>
      <c r="BT326" s="30" t="inlineStr">
        <is>
          <t>Less than 1.5</t>
        </is>
      </c>
      <c r="BU326" s="30">
        <f>IF(BT326="Above 2",0,IF(BT326="Between 1.5 to 2",5,IF(BT326="Less than 1.5",10,0)))</f>
        <v/>
      </c>
      <c r="BV326" s="30" t="inlineStr">
        <is>
          <t>Above 70%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More than 1.2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IF(B327=0,"",RANK(B327,$B$2:$B$400,0))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0" t="inlineStr">
        <is>
          <t>DEEPAKFERT</t>
        </is>
      </c>
      <c r="D327" s="30" t="inlineStr">
        <is>
          <t>Deepak Fertilizers And Petrochemicals Corporation Limited</t>
        </is>
      </c>
      <c r="E327" s="30" t="inlineStr">
        <is>
          <t>chemicals</t>
        </is>
      </c>
      <c r="F327" s="30" t="inlineStr">
        <is>
          <t>chemicals</t>
        </is>
      </c>
      <c r="G327" s="30" t="inlineStr">
        <is>
          <t>midcap</t>
        </is>
      </c>
      <c r="H327" s="31" t="n">
        <v>19573.17</v>
      </c>
      <c r="I327" s="31" t="n">
        <v>1525.7</v>
      </c>
      <c r="J327" s="31" t="n">
        <v>-1.6</v>
      </c>
      <c r="K327" s="31" t="n">
        <v>220879</v>
      </c>
      <c r="L327" s="30" t="n">
        <v>66</v>
      </c>
      <c r="M327" s="30" t="inlineStr">
        <is>
          <t>Outperforming</t>
        </is>
      </c>
      <c r="N327" s="31">
        <f>IF(M327="Underperforming",-5,IF(L327&gt;=95,15,IF(L327&gt;=90,10,IF(L327&gt;=80,5,0))))</f>
        <v/>
      </c>
      <c r="O327" s="31" t="n">
        <v>66.79000000000001</v>
      </c>
      <c r="P327" s="31" t="n">
        <v>32.11</v>
      </c>
      <c r="Q327" s="31" t="n">
        <v>1189.88</v>
      </c>
      <c r="R327" s="30" t="inlineStr">
        <is>
          <t>Earnings / Momentum Support</t>
        </is>
      </c>
      <c r="S327" s="30" t="inlineStr">
        <is>
          <t>Nifty 50</t>
        </is>
      </c>
      <c r="T327" s="31" t="n">
        <v>-3.76</v>
      </c>
      <c r="U327" s="31" t="n">
        <v>0.15</v>
      </c>
      <c r="V327" s="31" t="n">
        <v>4.07</v>
      </c>
      <c r="W327" s="31" t="n">
        <v>17.92</v>
      </c>
      <c r="X327" s="30" t="inlineStr">
        <is>
          <t>Growing Industry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No</t>
        </is>
      </c>
      <c r="AC327" s="30">
        <f>IF(AB327="No",5,0)</f>
        <v/>
      </c>
      <c r="AD327" s="30" t="inlineStr">
        <is>
          <t>Tailwind</t>
        </is>
      </c>
      <c r="AE327" s="30">
        <f>IF(AD327="Tailwind",10,0)</f>
        <v/>
      </c>
      <c r="AF327" s="30" t="inlineStr">
        <is>
          <t>Structural (10 Years Consistency)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Stable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No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20 to 40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2</t>
        </is>
      </c>
      <c r="BC327" s="30">
        <f>IF(BB327="Stage 2",20,IF(BB327="Stage 1",0,IF(BB327="Stage 3",5,IF(BB327="Stage 4",-5,0))))</f>
        <v/>
      </c>
      <c r="BD327" s="30" t="inlineStr">
        <is>
          <t>Positive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Less than 12%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No</t>
        </is>
      </c>
      <c r="BS327" s="30">
        <f>IF(BR327="NO",5,0)</f>
        <v/>
      </c>
      <c r="BT327" s="30" t="inlineStr">
        <is>
          <t>Above 2</t>
        </is>
      </c>
      <c r="BU327" s="30">
        <f>IF(BT327="Above 2",0,IF(BT327="Between 1.5 to 2",5,IF(BT327="Less than 1.5",10,0)))</f>
        <v/>
      </c>
      <c r="BV327" s="30" t="inlineStr">
        <is>
          <t>Less than 50%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Between 0.7 to 1.2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IF(B328=0,"",RANK(B328,$B$2:$B$400,0))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0" t="inlineStr">
        <is>
          <t>DEEDEV</t>
        </is>
      </c>
      <c r="D328" s="30" t="inlineStr">
        <is>
          <t>DEE Development Engineers Ltd</t>
        </is>
      </c>
      <c r="E328" s="30" t="inlineStr">
        <is>
          <t>metals &amp; mining</t>
        </is>
      </c>
      <c r="F328" s="30" t="inlineStr">
        <is>
          <t>steel - medium / small</t>
        </is>
      </c>
      <c r="G328" s="30" t="inlineStr">
        <is>
          <t>midcap</t>
        </is>
      </c>
      <c r="H328" s="31" t="n">
        <v>5116.83</v>
      </c>
      <c r="I328" s="31" t="n">
        <v>714</v>
      </c>
      <c r="J328" s="31" t="n">
        <v>-3.35</v>
      </c>
      <c r="K328" s="31" t="n">
        <v>128733</v>
      </c>
      <c r="L328" s="30" t="n">
        <v>97</v>
      </c>
      <c r="M328" s="30" t="inlineStr">
        <is>
          <t>Outperforming</t>
        </is>
      </c>
      <c r="N328" s="31">
        <f>IF(M328="Underperforming",-5,IF(L328&gt;=95,15,IF(L328&gt;=90,10,IF(L328&gt;=80,5,0))))</f>
        <v/>
      </c>
      <c r="O328" s="31" t="n">
        <v>86.43000000000001</v>
      </c>
      <c r="P328" s="31" t="n">
        <v>62.24</v>
      </c>
      <c r="Q328" s="31" t="n">
        <v>543.88</v>
      </c>
      <c r="R328" s="30" t="inlineStr">
        <is>
          <t>Near 52W High Breakout</t>
        </is>
      </c>
      <c r="S328" s="30" t="inlineStr">
        <is>
          <t>Nifty Metal</t>
        </is>
      </c>
      <c r="T328" s="31" t="n">
        <v>42.37</v>
      </c>
      <c r="U328" s="31" t="n">
        <v>130.55</v>
      </c>
      <c r="V328" s="31" t="n">
        <v>61.94</v>
      </c>
      <c r="W328" s="31" t="n">
        <v>65.18000000000001</v>
      </c>
      <c r="X328" s="30" t="inlineStr">
        <is>
          <t>Cyclical in an Upturn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Cyclical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Volatile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Yes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Above 40</t>
        </is>
      </c>
      <c r="AY328" s="30">
        <f>IF(AX328="Above 40",20,IF(AX328="20 to 40",10,IF(AX328="0 to 20",-5,0)))</f>
        <v/>
      </c>
      <c r="AZ328" s="30" t="inlineStr">
        <is>
          <t>Above 75</t>
        </is>
      </c>
      <c r="BA328" s="30">
        <f>IF(AZ328="Between 50 to 75",10,IF(AZ328="Above 75",0,0))</f>
        <v/>
      </c>
      <c r="BB328" s="30" t="inlineStr">
        <is>
          <t>Stage 2</t>
        </is>
      </c>
      <c r="BC328" s="30">
        <f>IF(BB328="Stage 2",20,IF(BB328="Stage 1",0,IF(BB328="Stage 3",5,IF(BB328="Stage 4",-5,0))))</f>
        <v/>
      </c>
      <c r="BD328" s="30" t="inlineStr">
        <is>
          <t>Positive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Blue sky scenario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Less than 12%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Yes</t>
        </is>
      </c>
      <c r="BS328" s="30">
        <f>IF(BR328="NO",5,0)</f>
        <v/>
      </c>
      <c r="BT328" s="30" t="inlineStr">
        <is>
          <t>Above 2</t>
        </is>
      </c>
      <c r="BU328" s="30">
        <f>IF(BT328="Above 2",0,IF(BT328="Between 1.5 to 2",5,IF(BT328="Less than 1.5",10,0)))</f>
        <v/>
      </c>
      <c r="BV328" s="30" t="inlineStr">
        <is>
          <t>Less than 50%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Between 0.7 to 1.2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IF(B329=0,"",RANK(B329,$B$2:$B$400,0))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2" t="inlineStr">
        <is>
          <t>ELECTHERM</t>
        </is>
      </c>
      <c r="D329" s="32" t="inlineStr">
        <is>
          <t>Electrotherm (india) Limited</t>
        </is>
      </c>
      <c r="E329" s="30" t="inlineStr">
        <is>
          <t>metals &amp; mining</t>
        </is>
      </c>
      <c r="F329" s="30" t="inlineStr">
        <is>
          <t>steel - medium / small</t>
        </is>
      </c>
      <c r="G329" s="30" t="inlineStr">
        <is>
          <t>smallcap</t>
        </is>
      </c>
      <c r="H329" s="31" t="n">
        <v>1427</v>
      </c>
      <c r="I329" s="31" t="n">
        <v>1081.5</v>
      </c>
      <c r="J329" s="31" t="n">
        <v>-3.42</v>
      </c>
      <c r="K329" s="31" t="n">
        <v>25478</v>
      </c>
      <c r="L329" s="30" t="n">
        <v>59</v>
      </c>
      <c r="M329" s="30" t="inlineStr">
        <is>
          <t>Underperforming</t>
        </is>
      </c>
      <c r="N329" s="31">
        <f>IF(M329="Underperforming",-5,IF(L329&gt;=95,15,IF(L329&gt;=90,10,IF(L329&gt;=80,5,0))))</f>
        <v/>
      </c>
      <c r="O329" s="31" t="n">
        <v>62.61</v>
      </c>
      <c r="P329" s="31" t="n">
        <v>28.46</v>
      </c>
      <c r="Q329" s="31" t="n">
        <v>764.54</v>
      </c>
      <c r="R329" s="30" t="inlineStr">
        <is>
          <t>Earnings / Momentum Support</t>
        </is>
      </c>
      <c r="S329" s="30" t="inlineStr">
        <is>
          <t>Nifty Metal</t>
        </is>
      </c>
      <c r="T329" s="31" t="n">
        <v>42.37</v>
      </c>
      <c r="U329" s="31" t="n">
        <v>-10.3</v>
      </c>
      <c r="V329" s="31" t="n">
        <v>-36.99</v>
      </c>
      <c r="W329" s="31" t="n">
        <v>14.99</v>
      </c>
      <c r="X329" s="30" t="inlineStr">
        <is>
          <t>Cyclical in an Upturn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Tailwind</t>
        </is>
      </c>
      <c r="AE329" s="30">
        <f>IF(AD329="Tailwind",10,0)</f>
        <v/>
      </c>
      <c r="AF329" s="30" t="inlineStr">
        <is>
          <t>Cyclical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Volatile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No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20 to 40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2</t>
        </is>
      </c>
      <c r="BC329" s="30">
        <f>IF(BB329="Stage 2",20,IF(BB329="Stage 1",0,IF(BB329="Stage 3",5,IF(BB329="Stage 4",-5,0))))</f>
        <v/>
      </c>
      <c r="BD329" s="30" t="inlineStr">
        <is>
          <t>Positive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Close to 52 week high or retracement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Less than 12%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No</t>
        </is>
      </c>
      <c r="BS329" s="30">
        <f>IF(BR329="NO",5,0)</f>
        <v/>
      </c>
      <c r="BT329" s="30" t="inlineStr">
        <is>
          <t>Less than 1.5</t>
        </is>
      </c>
      <c r="BU329" s="30">
        <f>IF(BT329="Above 2",0,IF(BT329="Between 1.5 to 2",5,IF(BT329="Less than 1.5",10,0)))</f>
        <v/>
      </c>
      <c r="BV329" s="30" t="inlineStr">
        <is>
          <t>Above 70%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Less than 0.7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IF(B330=0,"",RANK(B330,$B$2:$B$400,0))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0" t="inlineStr">
        <is>
          <t>YATHARTH</t>
        </is>
      </c>
      <c r="D330" s="30" t="inlineStr">
        <is>
          <t>Yatharth Hospital &amp; Trauma Care Services Ltd</t>
        </is>
      </c>
      <c r="E330" s="30" t="inlineStr">
        <is>
          <t>healthcare</t>
        </is>
      </c>
      <c r="F330" s="30" t="inlineStr">
        <is>
          <t>healthcare</t>
        </is>
      </c>
      <c r="G330" s="30" t="inlineStr">
        <is>
          <t>midcap</t>
        </is>
      </c>
      <c r="H330" s="31" t="n">
        <v>7914.55</v>
      </c>
      <c r="I330" s="31" t="n">
        <v>845.15</v>
      </c>
      <c r="J330" s="31" t="n">
        <v>2.89</v>
      </c>
      <c r="K330" s="31" t="n">
        <v>450521</v>
      </c>
      <c r="L330" s="30" t="n">
        <v>69</v>
      </c>
      <c r="M330" s="30" t="inlineStr">
        <is>
          <t>Outperforming</t>
        </is>
      </c>
      <c r="N330" s="31">
        <f>IF(M330="Underperforming",-5,IF(L330&gt;=95,15,IF(L330&gt;=90,10,IF(L330&gt;=80,5,0))))</f>
        <v/>
      </c>
      <c r="O330" s="31" t="n">
        <v>60.57</v>
      </c>
      <c r="P330" s="31" t="n">
        <v>26.76</v>
      </c>
      <c r="Q330" s="31" t="n">
        <v>670.84</v>
      </c>
      <c r="R330" s="30" t="inlineStr">
        <is>
          <t>Near 52W High Breakout</t>
        </is>
      </c>
      <c r="S330" s="30" t="inlineStr">
        <is>
          <t>Nifty Pharma</t>
        </is>
      </c>
      <c r="T330" s="31" t="n">
        <v>12.35</v>
      </c>
      <c r="U330" s="31" t="n">
        <v>64.39</v>
      </c>
      <c r="V330" s="31" t="n">
        <v>46.32</v>
      </c>
      <c r="W330" s="31" t="n">
        <v>19.36</v>
      </c>
      <c r="X330" s="30" t="inlineStr">
        <is>
          <t>Growing Industry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Yes</t>
        </is>
      </c>
      <c r="AC330" s="30">
        <f>IF(AB330="No",5,0)</f>
        <v/>
      </c>
      <c r="AD330" s="30" t="inlineStr">
        <is>
          <t>Tailwind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Yes</t>
        </is>
      </c>
      <c r="AQ330" s="30">
        <f>IF(AP330="Yes",10,0)</f>
        <v/>
      </c>
      <c r="AR330" s="30" t="inlineStr">
        <is>
          <t>Higher Annuity, Lower One Time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20 to 40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2</t>
        </is>
      </c>
      <c r="BC330" s="30">
        <f>IF(BB330="Stage 2",20,IF(BB330="Stage 1",0,IF(BB330="Stage 3",5,IF(BB330="Stage 4",-5,0))))</f>
        <v/>
      </c>
      <c r="BD330" s="30" t="inlineStr">
        <is>
          <t>Negative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Blue sky scenario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Between 12 to 20%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Yes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Between 50% to 70%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Less than 0.7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IF(B331=0,"",RANK(B331,$B$2:$B$400,0))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0" t="inlineStr">
        <is>
          <t>STEELXIND</t>
        </is>
      </c>
      <c r="D331" s="30" t="inlineStr">
        <is>
          <t>Steel Exchange India Ltd</t>
        </is>
      </c>
      <c r="E331" s="30" t="inlineStr">
        <is>
          <t>metals &amp; mining</t>
        </is>
      </c>
      <c r="F331" s="30" t="inlineStr">
        <is>
          <t>steel - medium / small</t>
        </is>
      </c>
      <c r="G331" s="30" t="inlineStr">
        <is>
          <t>smallcap</t>
        </is>
      </c>
      <c r="H331" s="31" t="n">
        <v>1603.33</v>
      </c>
      <c r="I331" s="31" t="n">
        <v>13.05</v>
      </c>
      <c r="J331" s="31" t="n">
        <v>3.82</v>
      </c>
      <c r="K331" s="31" t="n">
        <v>18871988</v>
      </c>
      <c r="L331" s="30" t="n">
        <v>87</v>
      </c>
      <c r="M331" s="30" t="inlineStr">
        <is>
          <t>Outperforming</t>
        </is>
      </c>
      <c r="N331" s="31">
        <f>IF(M331="Underperforming",-5,IF(L331&gt;=95,15,IF(L331&gt;=90,10,IF(L331&gt;=80,5,0))))</f>
        <v/>
      </c>
      <c r="O331" s="31" t="n">
        <v>69</v>
      </c>
      <c r="P331" s="31" t="n">
        <v>24.29</v>
      </c>
      <c r="Q331" s="31" t="n">
        <v>8.94</v>
      </c>
      <c r="R331" s="30" t="inlineStr">
        <is>
          <t>Volume Spike &amp; Near 52W High Breakout</t>
        </is>
      </c>
      <c r="S331" s="30" t="inlineStr">
        <is>
          <t>Nifty Metal</t>
        </is>
      </c>
      <c r="T331" s="31" t="n">
        <v>42.37</v>
      </c>
      <c r="U331" s="31" t="n">
        <v>60.91</v>
      </c>
      <c r="V331" s="31" t="n">
        <v>13.03</v>
      </c>
      <c r="W331" s="31" t="n">
        <v>30.25</v>
      </c>
      <c r="X331" s="30" t="inlineStr">
        <is>
          <t>Cyclical in an Upturn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Tailwind</t>
        </is>
      </c>
      <c r="AE331" s="30">
        <f>IF(AD331="Tailwind",10,0)</f>
        <v/>
      </c>
      <c r="AF331" s="30" t="inlineStr">
        <is>
          <t>Cyclical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Volatile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Yes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20 to 40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2</t>
        </is>
      </c>
      <c r="BC331" s="30">
        <f>IF(BB331="Stage 2",20,IF(BB331="Stage 1",0,IF(BB331="Stage 3",5,IF(BB331="Stage 4",-5,0))))</f>
        <v/>
      </c>
      <c r="BD331" s="30" t="inlineStr">
        <is>
          <t>Positive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More than 20%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Yes</t>
        </is>
      </c>
      <c r="BS331" s="30">
        <f>IF(BR331="NO",5,0)</f>
        <v/>
      </c>
      <c r="BT331" s="30" t="inlineStr">
        <is>
          <t>Above 2</t>
        </is>
      </c>
      <c r="BU331" s="30">
        <f>IF(BT331="Above 2",0,IF(BT331="Between 1.5 to 2",5,IF(BT331="Less than 1.5",10,0)))</f>
        <v/>
      </c>
      <c r="BV331" s="30" t="inlineStr">
        <is>
          <t>Negative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Less than 0.7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IF(B332=0,"",RANK(B332,$B$2:$B$400,0))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0" t="inlineStr">
        <is>
          <t>ATGL</t>
        </is>
      </c>
      <c r="D332" s="30" t="inlineStr">
        <is>
          <t>Adani Total Gas Ltd</t>
        </is>
      </c>
      <c r="E332" s="30" t="inlineStr">
        <is>
          <t>energy</t>
        </is>
      </c>
      <c r="F332" s="30" t="inlineStr">
        <is>
          <t>miscellaneous</t>
        </is>
      </c>
      <c r="G332" s="30" t="inlineStr">
        <is>
          <t>largecap</t>
        </is>
      </c>
      <c r="H332" s="31" t="n">
        <v>77278.16</v>
      </c>
      <c r="I332" s="31" t="n">
        <v>724.35</v>
      </c>
      <c r="J332" s="31" t="n">
        <v>3.09</v>
      </c>
      <c r="K332" s="31" t="n">
        <v>5131265</v>
      </c>
      <c r="L332" s="30" t="n">
        <v>42</v>
      </c>
      <c r="M332" s="30" t="inlineStr">
        <is>
          <t>Outperforming</t>
        </is>
      </c>
      <c r="N332" s="31">
        <f>IF(M332="Underperforming",-5,IF(L332&gt;=95,15,IF(L332&gt;=90,10,IF(L332&gt;=80,5,0))))</f>
        <v/>
      </c>
      <c r="O332" s="31" t="n">
        <v>64.13</v>
      </c>
      <c r="P332" s="31" t="n">
        <v>50.06</v>
      </c>
      <c r="Q332" s="31" t="n">
        <v>574.6900000000001</v>
      </c>
      <c r="R332" s="30" t="inlineStr">
        <is>
          <t>Earnings / Momentum Support</t>
        </is>
      </c>
      <c r="S332" s="30" t="inlineStr">
        <is>
          <t>Nifty Energy</t>
        </is>
      </c>
      <c r="T332" s="31" t="n">
        <v>13.64</v>
      </c>
      <c r="U332" s="31" t="n">
        <v>17.42</v>
      </c>
      <c r="V332" s="31" t="n">
        <v>3.32</v>
      </c>
      <c r="W332" s="31" t="n">
        <v>10.5</v>
      </c>
      <c r="X332" s="30" t="inlineStr">
        <is>
          <t>Cyclical in an Upturn</t>
        </is>
      </c>
      <c r="Y332" s="30">
        <f>IF(X332="Growing Industry",10,IF(X332="Cyclical in an Upturn",5,0))</f>
        <v/>
      </c>
      <c r="Z332" s="30" t="inlineStr">
        <is>
          <t>Oligopoly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Yes</t>
        </is>
      </c>
      <c r="AC332" s="30">
        <f>IF(AB332="No",5,0)</f>
        <v/>
      </c>
      <c r="AD332" s="30" t="inlineStr">
        <is>
          <t>Tailwind</t>
        </is>
      </c>
      <c r="AE332" s="30">
        <f>IF(AD332="Tailwind",10,0)</f>
        <v/>
      </c>
      <c r="AF332" s="30" t="inlineStr">
        <is>
          <t>Cyclical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Volatile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No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Above 40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2</t>
        </is>
      </c>
      <c r="BC332" s="30">
        <f>IF(BB332="Stage 2",20,IF(BB332="Stage 1",0,IF(BB332="Stage 3",5,IF(BB332="Stage 4",-5,0))))</f>
        <v/>
      </c>
      <c r="BD332" s="30" t="inlineStr">
        <is>
          <t>Positive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Close to 52 week high or retracement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Less than 12%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Yes</t>
        </is>
      </c>
      <c r="BS332" s="30">
        <f>IF(BR332="NO",5,0)</f>
        <v/>
      </c>
      <c r="BT332" s="30" t="inlineStr">
        <is>
          <t>Above 2</t>
        </is>
      </c>
      <c r="BU332" s="30">
        <f>IF(BT332="Above 2",0,IF(BT332="Between 1.5 to 2",5,IF(BT332="Less than 1.5",10,0)))</f>
        <v/>
      </c>
      <c r="BV332" s="30" t="inlineStr">
        <is>
          <t>Above 70%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Less than 0.7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IF(B333=0,"",RANK(B333,$B$2:$B$400,0))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2" t="inlineStr">
        <is>
          <t>MANALIPETC</t>
        </is>
      </c>
      <c r="D333" s="32" t="inlineStr">
        <is>
          <t>Manali Petrochemicals Limited</t>
        </is>
      </c>
      <c r="E333" s="30" t="inlineStr">
        <is>
          <t>energy</t>
        </is>
      </c>
      <c r="F333" s="30" t="inlineStr">
        <is>
          <t>petrochemicals</t>
        </is>
      </c>
      <c r="G333" s="30" t="inlineStr">
        <is>
          <t>smallcap</t>
        </is>
      </c>
      <c r="H333" s="31" t="n">
        <v>1145.34</v>
      </c>
      <c r="I333" s="31" t="n">
        <v>66.55</v>
      </c>
      <c r="J333" s="31" t="n">
        <v>-0.06</v>
      </c>
      <c r="K333" s="31" t="n">
        <v>441678</v>
      </c>
      <c r="L333" s="30" t="n">
        <v>47</v>
      </c>
      <c r="M333" s="30" t="inlineStr">
        <is>
          <t>Underperforming</t>
        </is>
      </c>
      <c r="N333" s="31">
        <f>IF(M333="Underperforming",-5,IF(L333&gt;=95,15,IF(L333&gt;=90,10,IF(L333&gt;=80,5,0))))</f>
        <v/>
      </c>
      <c r="O333" s="31" t="n">
        <v>61.1</v>
      </c>
      <c r="P333" s="31" t="n">
        <v>22.12</v>
      </c>
      <c r="Q333" s="31" t="n">
        <v>47.9</v>
      </c>
      <c r="R333" s="30" t="inlineStr">
        <is>
          <t>Earnings / Momentum Support</t>
        </is>
      </c>
      <c r="S333" s="30" t="inlineStr">
        <is>
          <t>Nifty Energy</t>
        </is>
      </c>
      <c r="T333" s="31" t="n">
        <v>13.64</v>
      </c>
      <c r="U333" s="31" t="n">
        <v>1.25</v>
      </c>
      <c r="V333" s="31" t="n">
        <v>-10.91</v>
      </c>
      <c r="W333" s="31" t="n">
        <v>12.07</v>
      </c>
      <c r="X333" s="30" t="inlineStr">
        <is>
          <t>Cyclical in an Upturn</t>
        </is>
      </c>
      <c r="Y333" s="30">
        <f>IF(X333="Growing Industry",10,IF(X333="Cyclical in an Upturn",5,0))</f>
        <v/>
      </c>
      <c r="Z333" s="30" t="inlineStr">
        <is>
          <t>Oligopoly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Yes</t>
        </is>
      </c>
      <c r="AC333" s="30">
        <f>IF(AB333="No",5,0)</f>
        <v/>
      </c>
      <c r="AD333" s="30" t="inlineStr">
        <is>
          <t>Tailwind</t>
        </is>
      </c>
      <c r="AE333" s="30">
        <f>IF(AD333="Tailwind",10,0)</f>
        <v/>
      </c>
      <c r="AF333" s="30" t="inlineStr">
        <is>
          <t>Cyclical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Volatile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No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20 to 40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2</t>
        </is>
      </c>
      <c r="BC333" s="30">
        <f>IF(BB333="Stage 2",20,IF(BB333="Stage 1",0,IF(BB333="Stage 3",5,IF(BB333="Stage 4",-5,0))))</f>
        <v/>
      </c>
      <c r="BD333" s="30" t="inlineStr">
        <is>
          <t>Positive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More than 20%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No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Above 70%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Less than 0.7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IF(B334=0,"",RANK(B334,$B$2:$B$400,0))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0" t="inlineStr">
        <is>
          <t>KMEW</t>
        </is>
      </c>
      <c r="D334" s="30" t="inlineStr">
        <is>
          <t>Knowledge Marine &amp; Engineering Works Ltd</t>
        </is>
      </c>
      <c r="E334" s="30" t="inlineStr">
        <is>
          <t>transportation</t>
        </is>
      </c>
      <c r="F334" s="30" t="inlineStr">
        <is>
          <t>miscellaneous</t>
        </is>
      </c>
      <c r="G334" s="30" t="inlineStr">
        <is>
          <t>midcap</t>
        </is>
      </c>
      <c r="H334" s="31" t="n">
        <v>5074.35</v>
      </c>
      <c r="I334" s="31" t="n">
        <v>2054.3</v>
      </c>
      <c r="J334" s="31" t="n">
        <v>-1.04</v>
      </c>
      <c r="K334" s="31" t="n">
        <v>66186</v>
      </c>
      <c r="L334" s="30" t="n">
        <v>84</v>
      </c>
      <c r="M334" s="30" t="inlineStr">
        <is>
          <t>Outperforming</t>
        </is>
      </c>
      <c r="N334" s="31">
        <f>IF(M334="Underperforming",-5,IF(L334&gt;=95,15,IF(L334&gt;=90,10,IF(L334&gt;=80,5,0))))</f>
        <v/>
      </c>
      <c r="O334" s="31" t="n">
        <v>62.24</v>
      </c>
      <c r="P334" s="31" t="n">
        <v>33.02</v>
      </c>
      <c r="Q334" s="31" t="n">
        <v>1457.18</v>
      </c>
      <c r="R334" s="30" t="inlineStr">
        <is>
          <t>Near 52W High Breakout</t>
        </is>
      </c>
      <c r="S334" s="30" t="inlineStr">
        <is>
          <t>Nifty 50</t>
        </is>
      </c>
      <c r="T334" s="31" t="n">
        <v>-3.76</v>
      </c>
      <c r="U334" s="31" t="n">
        <v>144.21</v>
      </c>
      <c r="V334" s="31" t="n">
        <v>153.75</v>
      </c>
      <c r="W334" s="31" t="n">
        <v>27.96</v>
      </c>
      <c r="X334" s="30" t="inlineStr">
        <is>
          <t>Growing Industry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Tailwind</t>
        </is>
      </c>
      <c r="AE334" s="30">
        <f>IF(AD334="Tailwind",10,0)</f>
        <v/>
      </c>
      <c r="AF334" s="30" t="inlineStr">
        <is>
          <t>Structural (10 Years Consistency)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Stable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Yes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20 to 40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2</t>
        </is>
      </c>
      <c r="BC334" s="30">
        <f>IF(BB334="Stage 2",20,IF(BB334="Stage 1",0,IF(BB334="Stage 3",5,IF(BB334="Stage 4",-5,0))))</f>
        <v/>
      </c>
      <c r="BD334" s="30" t="inlineStr">
        <is>
          <t>Negative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Blue sky scenario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More than 20%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Yes</t>
        </is>
      </c>
      <c r="BS334" s="30">
        <f>IF(BR334="NO",5,0)</f>
        <v/>
      </c>
      <c r="BT334" s="30" t="inlineStr">
        <is>
          <t>Above 2</t>
        </is>
      </c>
      <c r="BU334" s="30">
        <f>IF(BT334="Above 2",0,IF(BT334="Between 1.5 to 2",5,IF(BT334="Less than 1.5",10,0)))</f>
        <v/>
      </c>
      <c r="BV334" s="30" t="inlineStr">
        <is>
          <t>Negative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Less than 0.7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IF(B335=0,"",RANK(B335,$B$2:$B$400,0))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2" t="inlineStr">
        <is>
          <t>NCLIND</t>
        </is>
      </c>
      <c r="D335" s="32" t="inlineStr">
        <is>
          <t>Ncl Industries Limited</t>
        </is>
      </c>
      <c r="E335" s="30" t="inlineStr">
        <is>
          <t>building materials</t>
        </is>
      </c>
      <c r="F335" s="30" t="inlineStr">
        <is>
          <t>cement - south india</t>
        </is>
      </c>
      <c r="G335" s="30" t="inlineStr">
        <is>
          <t>smallcap</t>
        </is>
      </c>
      <c r="H335" s="31" t="n">
        <v>883.67</v>
      </c>
      <c r="I335" s="31" t="n">
        <v>192.36</v>
      </c>
      <c r="J335" s="31" t="n">
        <v>-1.54</v>
      </c>
      <c r="K335" s="31" t="n">
        <v>60885</v>
      </c>
      <c r="L335" s="30" t="n">
        <v>1</v>
      </c>
      <c r="M335" s="30" t="inlineStr">
        <is>
          <t>Underperforming</t>
        </is>
      </c>
      <c r="N335" s="31">
        <f>IF(M335="Underperforming",-5,IF(L335&gt;=95,15,IF(L335&gt;=90,10,IF(L335&gt;=80,5,0))))</f>
        <v/>
      </c>
      <c r="O335" s="31" t="n">
        <v>55.92</v>
      </c>
      <c r="P335" s="31" t="n">
        <v>18.52</v>
      </c>
      <c r="Q335" s="31" t="n">
        <v>151.79</v>
      </c>
      <c r="R335" s="30" t="inlineStr">
        <is>
          <t>Volume Spike / Accumulation</t>
        </is>
      </c>
      <c r="S335" s="30" t="inlineStr">
        <is>
          <t>Nifty Infra</t>
        </is>
      </c>
      <c r="T335" s="31" t="n">
        <v>4.04</v>
      </c>
      <c r="U335" s="31" t="n">
        <v>-10.11</v>
      </c>
      <c r="V335" s="31" t="n">
        <v>-13.6</v>
      </c>
      <c r="W335" s="31" t="n">
        <v>0.93</v>
      </c>
      <c r="X335" s="30" t="inlineStr">
        <is>
          <t>Growing Industry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Headwind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Yes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0 to 20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1</t>
        </is>
      </c>
      <c r="BC335" s="30">
        <f>IF(BB335="Stage 2",20,IF(BB335="Stage 1",0,IF(BB335="Stage 3",5,IF(BB335="Stage 4",-5,0))))</f>
        <v/>
      </c>
      <c r="BD335" s="30" t="inlineStr">
        <is>
          <t>Positive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More than 20%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No</t>
        </is>
      </c>
      <c r="BS335" s="30">
        <f>IF(BR335="NO",5,0)</f>
        <v/>
      </c>
      <c r="BT335" s="30" t="inlineStr">
        <is>
          <t>Less than 1.5</t>
        </is>
      </c>
      <c r="BU335" s="30">
        <f>IF(BT335="Above 2",0,IF(BT335="Between 1.5 to 2",5,IF(BT335="Less than 1.5",10,0)))</f>
        <v/>
      </c>
      <c r="BV335" s="30" t="inlineStr">
        <is>
          <t>Between 50% to 70%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Less than 0.7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IF(B336=0,"",RANK(B336,$B$2:$B$400,0))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0" t="inlineStr">
        <is>
          <t>VINCOFE</t>
        </is>
      </c>
      <c r="D336" s="30" t="inlineStr">
        <is>
          <t>Vintage Coffee &amp; Beverages Ltd</t>
        </is>
      </c>
      <c r="E336" s="30" t="inlineStr">
        <is>
          <t>consumer discretionary</t>
        </is>
      </c>
      <c r="F336" s="30" t="inlineStr">
        <is>
          <t>trading</t>
        </is>
      </c>
      <c r="G336" s="30" t="inlineStr">
        <is>
          <t>smallcap</t>
        </is>
      </c>
      <c r="H336" s="31" t="n">
        <v>2246.37</v>
      </c>
      <c r="I336" s="31" t="n">
        <v>151.27</v>
      </c>
      <c r="J336" s="31" t="n">
        <v>-1.89</v>
      </c>
      <c r="K336" s="31" t="n">
        <v>1248605</v>
      </c>
      <c r="L336" s="30" t="n">
        <v>34</v>
      </c>
      <c r="M336" s="30" t="inlineStr">
        <is>
          <t>Outperforming</t>
        </is>
      </c>
      <c r="N336" s="31">
        <f>IF(M336="Underperforming",-5,IF(L336&gt;=95,15,IF(L336&gt;=90,10,IF(L336&gt;=80,5,0))))</f>
        <v/>
      </c>
      <c r="O336" s="31" t="n">
        <v>55.09</v>
      </c>
      <c r="P336" s="31" t="n">
        <v>13.94</v>
      </c>
      <c r="Q336" s="31" t="n">
        <v>118.78</v>
      </c>
      <c r="R336" s="30" t="inlineStr">
        <is>
          <t>Earnings / Momentum Support</t>
        </is>
      </c>
      <c r="S336" s="30" t="inlineStr">
        <is>
          <t>Nifty 50</t>
        </is>
      </c>
      <c r="T336" s="31" t="n">
        <v>-3.76</v>
      </c>
      <c r="U336" s="31" t="n">
        <v>26.41</v>
      </c>
      <c r="V336" s="31" t="n">
        <v>31.35</v>
      </c>
      <c r="W336" s="31" t="n">
        <v>8.69</v>
      </c>
      <c r="X336" s="30" t="inlineStr">
        <is>
          <t>Growing Industry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Headwind</t>
        </is>
      </c>
      <c r="AE336" s="30">
        <f>IF(AD336="Tailwind",10,0)</f>
        <v/>
      </c>
      <c r="AF336" s="30" t="inlineStr">
        <is>
          <t>Structural (10 Years Consistency)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Stable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No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0 to 20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2</t>
        </is>
      </c>
      <c r="BC336" s="30">
        <f>IF(BB336="Stage 2",20,IF(BB336="Stage 1",0,IF(BB336="Stage 3",5,IF(BB336="Stage 4",-5,0))))</f>
        <v/>
      </c>
      <c r="BD336" s="30" t="inlineStr">
        <is>
          <t>Positive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Between 12 to 20%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No</t>
        </is>
      </c>
      <c r="BS336" s="30">
        <f>IF(BR336="NO",5,0)</f>
        <v/>
      </c>
      <c r="BT336" s="30" t="inlineStr">
        <is>
          <t>Between 1.5 to 2</t>
        </is>
      </c>
      <c r="BU336" s="30">
        <f>IF(BT336="Above 2",0,IF(BT336="Between 1.5 to 2",5,IF(BT336="Less than 1.5",10,0)))</f>
        <v/>
      </c>
      <c r="BV336" s="30" t="inlineStr">
        <is>
          <t>Less than 50%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IF(B337=0,"",RANK(B337,$B$2:$B$400,0))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2" t="inlineStr">
        <is>
          <t>MANKIND</t>
        </is>
      </c>
      <c r="D337" s="32" t="inlineStr">
        <is>
          <t>Mankind Pharma Ltd</t>
        </is>
      </c>
      <c r="E337" s="30" t="inlineStr">
        <is>
          <t>healthcare</t>
        </is>
      </c>
      <c r="F337" s="30" t="inlineStr">
        <is>
          <t>pharmaceuticals - indian - bulk drugs &amp; formln</t>
        </is>
      </c>
      <c r="G337" s="30" t="inlineStr">
        <is>
          <t>largecap</t>
        </is>
      </c>
      <c r="H337" s="31" t="n">
        <v>97596.75</v>
      </c>
      <c r="I337" s="31" t="n">
        <v>2406</v>
      </c>
      <c r="J337" s="31" t="n">
        <v>1.77</v>
      </c>
      <c r="K337" s="31" t="n">
        <v>492332</v>
      </c>
      <c r="L337" s="30" t="n">
        <v>20</v>
      </c>
      <c r="M337" s="30" t="inlineStr">
        <is>
          <t>Underperforming</t>
        </is>
      </c>
      <c r="N337" s="31">
        <f>IF(M337="Underperforming",-5,IF(L337&gt;=95,15,IF(L337&gt;=90,10,IF(L337&gt;=80,5,0))))</f>
        <v/>
      </c>
      <c r="O337" s="31" t="n">
        <v>57.78</v>
      </c>
      <c r="P337" s="31" t="n">
        <v>20.87</v>
      </c>
      <c r="Q337" s="31" t="n">
        <v>2096.46</v>
      </c>
      <c r="R337" s="30" t="inlineStr">
        <is>
          <t>Earnings / Momentum Support</t>
        </is>
      </c>
      <c r="S337" s="30" t="inlineStr">
        <is>
          <t>Nifty Pharma</t>
        </is>
      </c>
      <c r="T337" s="31" t="n">
        <v>12.35</v>
      </c>
      <c r="U337" s="31" t="n">
        <v>5.16</v>
      </c>
      <c r="V337" s="31" t="n">
        <v>-6.4</v>
      </c>
      <c r="W337" s="31" t="n">
        <v>6.12</v>
      </c>
      <c r="X337" s="30" t="inlineStr">
        <is>
          <t>Growing Industry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Yes</t>
        </is>
      </c>
      <c r="AC337" s="30">
        <f>IF(AB337="No",5,0)</f>
        <v/>
      </c>
      <c r="AD337" s="30" t="inlineStr">
        <is>
          <t>Tailwind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No</t>
        </is>
      </c>
      <c r="AQ337" s="30">
        <f>IF(AP337="Yes",10,0)</f>
        <v/>
      </c>
      <c r="AR337" s="30" t="inlineStr">
        <is>
          <t>Higher Annuity, Lower One Time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20 to 40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2</t>
        </is>
      </c>
      <c r="BC337" s="30">
        <f>IF(BB337="Stage 2",20,IF(BB337="Stage 1",0,IF(BB337="Stage 3",5,IF(BB337="Stage 4",-5,0))))</f>
        <v/>
      </c>
      <c r="BD337" s="30" t="inlineStr">
        <is>
          <t>Negative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More than 20%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Yes</t>
        </is>
      </c>
      <c r="BS337" s="30">
        <f>IF(BR337="NO",5,0)</f>
        <v/>
      </c>
      <c r="BT337" s="30" t="inlineStr">
        <is>
          <t>Between 1.5 to 2</t>
        </is>
      </c>
      <c r="BU337" s="30">
        <f>IF(BT337="Above 2",0,IF(BT337="Between 1.5 to 2",5,IF(BT337="Less than 1.5",10,0)))</f>
        <v/>
      </c>
      <c r="BV337" s="30" t="inlineStr">
        <is>
          <t>Above 70%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Less than 0.7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IF(B338=0,"",RANK(B338,$B$2:$B$400,0))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0" t="inlineStr">
        <is>
          <t>TRIVENI</t>
        </is>
      </c>
      <c r="D338" s="30" t="inlineStr">
        <is>
          <t>Triveni Engineering &amp; Industries Limited</t>
        </is>
      </c>
      <c r="E338" s="30" t="inlineStr">
        <is>
          <t>fmcg</t>
        </is>
      </c>
      <c r="F338" s="30" t="inlineStr">
        <is>
          <t>sugar</t>
        </is>
      </c>
      <c r="G338" s="30" t="inlineStr">
        <is>
          <t>midcap</t>
        </is>
      </c>
      <c r="H338" s="31" t="n">
        <v>8876.309999999999</v>
      </c>
      <c r="I338" s="31" t="n">
        <v>405.55</v>
      </c>
      <c r="J338" s="31" t="n">
        <v>0.01</v>
      </c>
      <c r="K338" s="31" t="n">
        <v>452814</v>
      </c>
      <c r="L338" s="30" t="n">
        <v>9</v>
      </c>
      <c r="M338" s="30" t="inlineStr">
        <is>
          <t>Outperforming</t>
        </is>
      </c>
      <c r="N338" s="31">
        <f>IF(M338="Underperforming",-5,IF(L338&gt;=95,15,IF(L338&gt;=90,10,IF(L338&gt;=80,5,0))))</f>
        <v/>
      </c>
      <c r="O338" s="31" t="n">
        <v>57.37</v>
      </c>
      <c r="P338" s="31" t="n">
        <v>17.74</v>
      </c>
      <c r="Q338" s="31" t="n">
        <v>328.88</v>
      </c>
      <c r="R338" s="30" t="inlineStr">
        <is>
          <t>Near 52W High Breakout</t>
        </is>
      </c>
      <c r="S338" s="30" t="inlineStr">
        <is>
          <t>Nifty FMCG</t>
        </is>
      </c>
      <c r="T338" s="31" t="n">
        <v>-9.109999999999999</v>
      </c>
      <c r="U338" s="31" t="n">
        <v>4.48</v>
      </c>
      <c r="V338" s="31" t="n">
        <v>14.95</v>
      </c>
      <c r="W338" s="31" t="n">
        <v>3.66</v>
      </c>
      <c r="X338" s="30" t="inlineStr">
        <is>
          <t>Growing Industry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Tailwind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B2C</t>
        </is>
      </c>
      <c r="AO338" s="30">
        <f>IF(AN338="B2C",10,IF(AN338="B2B",5,0))</f>
        <v/>
      </c>
      <c r="AP338" s="30" t="inlineStr">
        <is>
          <t>Yes</t>
        </is>
      </c>
      <c r="AQ338" s="30">
        <f>IF(AP338="Yes",10,0)</f>
        <v/>
      </c>
      <c r="AR338" s="30" t="inlineStr">
        <is>
          <t>Higher Annuity, Lower One Time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1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Less than 12%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No</t>
        </is>
      </c>
      <c r="BS338" s="30">
        <f>IF(BR338="NO",5,0)</f>
        <v/>
      </c>
      <c r="BT338" s="30" t="inlineStr">
        <is>
          <t>Above 2</t>
        </is>
      </c>
      <c r="BU338" s="30">
        <f>IF(BT338="Above 2",0,IF(BT338="Between 1.5 to 2",5,IF(BT338="Less than 1.5",10,0)))</f>
        <v/>
      </c>
      <c r="BV338" s="30" t="inlineStr">
        <is>
          <t>Less than 50%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Less than 0.7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IF(B339=0,"",RANK(B339,$B$2:$B$400,0))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2" t="inlineStr">
        <is>
          <t>POKARNA</t>
        </is>
      </c>
      <c r="D339" s="32" t="inlineStr">
        <is>
          <t>Pokarna Limited</t>
        </is>
      </c>
      <c r="E339" s="30" t="inlineStr">
        <is>
          <t>consumer discretionary</t>
        </is>
      </c>
      <c r="F339" s="30" t="inlineStr">
        <is>
          <t>miscellaneous</t>
        </is>
      </c>
      <c r="G339" s="30" t="inlineStr">
        <is>
          <t>smallcap</t>
        </is>
      </c>
      <c r="H339" s="31" t="n">
        <v>2808.03</v>
      </c>
      <c r="I339" s="31" t="n">
        <v>944.05</v>
      </c>
      <c r="J339" s="31" t="n">
        <v>4.23</v>
      </c>
      <c r="K339" s="31" t="n">
        <v>161817</v>
      </c>
      <c r="L339" s="30" t="n">
        <v>2</v>
      </c>
      <c r="M339" s="30" t="inlineStr">
        <is>
          <t>Underperforming</t>
        </is>
      </c>
      <c r="N339" s="31">
        <f>IF(M339="Underperforming",-5,IF(L339&gt;=95,15,IF(L339&gt;=90,10,IF(L339&gt;=80,5,0))))</f>
        <v/>
      </c>
      <c r="O339" s="31" t="n">
        <v>55.97</v>
      </c>
      <c r="P339" s="31" t="n">
        <v>9.449999999999999</v>
      </c>
      <c r="Q339" s="31" t="n">
        <v>666.78</v>
      </c>
      <c r="R339" s="30" t="inlineStr">
        <is>
          <t>Volume Spike / Accumulation</t>
        </is>
      </c>
      <c r="S339" s="30" t="inlineStr">
        <is>
          <t>Nifty 50</t>
        </is>
      </c>
      <c r="T339" s="31" t="n">
        <v>-3.76</v>
      </c>
      <c r="U339" s="31" t="n">
        <v>-8.98</v>
      </c>
      <c r="V339" s="31" t="n">
        <v>-5.42</v>
      </c>
      <c r="W339" s="31" t="n">
        <v>1.39</v>
      </c>
      <c r="X339" s="30" t="inlineStr">
        <is>
          <t>Growing Industry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No</t>
        </is>
      </c>
      <c r="AC339" s="30">
        <f>IF(AB339="No",5,0)</f>
        <v/>
      </c>
      <c r="AD339" s="30" t="inlineStr">
        <is>
          <t>Tailwind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Yes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0 to 20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1</t>
        </is>
      </c>
      <c r="BC339" s="30">
        <f>IF(BB339="Stage 2",20,IF(BB339="Stage 1",0,IF(BB339="Stage 3",5,IF(BB339="Stage 4",-5,0))))</f>
        <v/>
      </c>
      <c r="BD339" s="30" t="inlineStr">
        <is>
          <t>Positive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Less than 12%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No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Above 70%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Less than 0.7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IF(B340=0,"",RANK(B340,$B$2:$B$400,0))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0" t="inlineStr">
        <is>
          <t>AMBER</t>
        </is>
      </c>
      <c r="D340" s="30" t="inlineStr">
        <is>
          <t>Amber Enterprises India Ltd</t>
        </is>
      </c>
      <c r="E340" s="30" t="inlineStr">
        <is>
          <t>consumer discretionary</t>
        </is>
      </c>
      <c r="F340" s="30" t="inlineStr">
        <is>
          <t>air-conditioners</t>
        </is>
      </c>
      <c r="G340" s="30" t="inlineStr">
        <is>
          <t>largecap</t>
        </is>
      </c>
      <c r="H340" s="31" t="n">
        <v>27674.73</v>
      </c>
      <c r="I340" s="31" t="n">
        <v>7965.5</v>
      </c>
      <c r="J340" s="31" t="n">
        <v>1.29</v>
      </c>
      <c r="K340" s="31" t="n">
        <v>444820</v>
      </c>
      <c r="L340" s="30" t="n">
        <v>37</v>
      </c>
      <c r="M340" s="30" t="inlineStr">
        <is>
          <t>Outperforming</t>
        </is>
      </c>
      <c r="N340" s="31">
        <f>IF(M340="Underperforming",-5,IF(L340&gt;=95,15,IF(L340&gt;=90,10,IF(L340&gt;=80,5,0))))</f>
        <v/>
      </c>
      <c r="O340" s="31" t="n">
        <v>54.55</v>
      </c>
      <c r="P340" s="31" t="n">
        <v>11.64</v>
      </c>
      <c r="Q340" s="31" t="n">
        <v>6693.65</v>
      </c>
      <c r="R340" s="30" t="inlineStr">
        <is>
          <t>Earnings / Momentum Support</t>
        </is>
      </c>
      <c r="S340" s="30" t="inlineStr">
        <is>
          <t>Nifty 50</t>
        </is>
      </c>
      <c r="T340" s="31" t="n">
        <v>-3.76</v>
      </c>
      <c r="U340" s="31" t="n">
        <v>22.19</v>
      </c>
      <c r="V340" s="31" t="n">
        <v>26.96</v>
      </c>
      <c r="W340" s="31" t="n">
        <v>9.35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No</t>
        </is>
      </c>
      <c r="AC340" s="30">
        <f>IF(AB340="No",5,0)</f>
        <v/>
      </c>
      <c r="AD340" s="30" t="inlineStr">
        <is>
          <t>Tailwind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No</t>
        </is>
      </c>
      <c r="AQ340" s="30">
        <f>IF(AP340="Yes",10,0)</f>
        <v/>
      </c>
      <c r="AR340" s="30" t="inlineStr">
        <is>
          <t>Higher One Time, Lower Annuity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0 to 20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2</t>
        </is>
      </c>
      <c r="BC340" s="30">
        <f>IF(BB340="Stage 2",20,IF(BB340="Stage 1",0,IF(BB340="Stage 3",5,IF(BB340="Stage 4",-5,0))))</f>
        <v/>
      </c>
      <c r="BD340" s="30" t="inlineStr">
        <is>
          <t>Positive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Less than 12%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Yes</t>
        </is>
      </c>
      <c r="BS340" s="30">
        <f>IF(BR340="NO",5,0)</f>
        <v/>
      </c>
      <c r="BT340" s="30" t="inlineStr">
        <is>
          <t>Above 2</t>
        </is>
      </c>
      <c r="BU340" s="30">
        <f>IF(BT340="Above 2",0,IF(BT340="Between 1.5 to 2",5,IF(BT340="Less than 1.5",10,0)))</f>
        <v/>
      </c>
      <c r="BV340" s="30" t="inlineStr">
        <is>
          <t>Less than 50%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Less than 0.7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IF(B341=0,"",RANK(B341,$B$2:$B$400,0))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2" t="inlineStr">
        <is>
          <t>RKFORGE</t>
        </is>
      </c>
      <c r="D341" s="32" t="inlineStr">
        <is>
          <t>Ramkrishna Forgings Limited</t>
        </is>
      </c>
      <c r="E341" s="30" t="inlineStr">
        <is>
          <t>industrials</t>
        </is>
      </c>
      <c r="F341" s="30" t="inlineStr">
        <is>
          <t>castings &amp; forgings</t>
        </is>
      </c>
      <c r="G341" s="30" t="inlineStr">
        <is>
          <t>midcap</t>
        </is>
      </c>
      <c r="H341" s="31" t="n">
        <v>10609.56</v>
      </c>
      <c r="I341" s="31" t="n">
        <v>589.2</v>
      </c>
      <c r="J341" s="31" t="n">
        <v>0.89</v>
      </c>
      <c r="K341" s="31" t="n">
        <v>188272</v>
      </c>
      <c r="L341" s="30" t="n">
        <v>6</v>
      </c>
      <c r="M341" s="30" t="inlineStr">
        <is>
          <t>Underperforming</t>
        </is>
      </c>
      <c r="N341" s="31">
        <f>IF(M341="Underperforming",-5,IF(L341&gt;=95,15,IF(L341&gt;=90,10,IF(L341&gt;=80,5,0))))</f>
        <v/>
      </c>
      <c r="O341" s="31" t="n">
        <v>55.82</v>
      </c>
      <c r="P341" s="31" t="n">
        <v>15.07</v>
      </c>
      <c r="Q341" s="31" t="n">
        <v>475.63</v>
      </c>
      <c r="R341" s="30" t="inlineStr">
        <is>
          <t>Earnings / Momentum Support</t>
        </is>
      </c>
      <c r="S341" s="30" t="inlineStr">
        <is>
          <t>Nifty 50</t>
        </is>
      </c>
      <c r="T341" s="31" t="n">
        <v>-3.76</v>
      </c>
      <c r="U341" s="31" t="n">
        <v>-5.9</v>
      </c>
      <c r="V341" s="31" t="n">
        <v>-2.22</v>
      </c>
      <c r="W341" s="31" t="n">
        <v>3.1</v>
      </c>
      <c r="X341" s="30" t="inlineStr">
        <is>
          <t>Cyclical in an Upturn</t>
        </is>
      </c>
      <c r="Y341" s="30">
        <f>IF(X341="Growing Industry",10,IF(X341="Cyclical in an Upturn",5,0))</f>
        <v/>
      </c>
      <c r="Z341" s="30" t="inlineStr">
        <is>
          <t>Too Many Players with High ROCE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No</t>
        </is>
      </c>
      <c r="AC341" s="30">
        <f>IF(AB341="No",5,0)</f>
        <v/>
      </c>
      <c r="AD341" s="30" t="inlineStr">
        <is>
          <t>Tailwind</t>
        </is>
      </c>
      <c r="AE341" s="30">
        <f>IF(AD341="Tailwind",10,0)</f>
        <v/>
      </c>
      <c r="AF341" s="30" t="inlineStr">
        <is>
          <t>Structural (10 Years Consistency)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Stable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No</t>
        </is>
      </c>
      <c r="AQ341" s="30">
        <f>IF(AP341="Yes",10,0)</f>
        <v/>
      </c>
      <c r="AR341" s="30" t="inlineStr">
        <is>
          <t>Higher One Time, Lower Annuity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0 to 20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2</t>
        </is>
      </c>
      <c r="BC341" s="30">
        <f>IF(BB341="Stage 2",20,IF(BB341="Stage 1",0,IF(BB341="Stage 3",5,IF(BB341="Stage 4",-5,0))))</f>
        <v/>
      </c>
      <c r="BD341" s="30" t="inlineStr">
        <is>
          <t>Positive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More than 20%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Yes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Above 70%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Between 0.7 to 1.2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IF(B342=0,"",RANK(B342,$B$2:$B$400,0))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0" t="inlineStr">
        <is>
          <t>JSWENERGY</t>
        </is>
      </c>
      <c r="D342" s="30" t="inlineStr">
        <is>
          <t>Jsw Energy Limited</t>
        </is>
      </c>
      <c r="E342" s="30" t="inlineStr">
        <is>
          <t>power &amp; utilities</t>
        </is>
      </c>
      <c r="F342" s="30" t="inlineStr">
        <is>
          <t>power generation and supply</t>
        </is>
      </c>
      <c r="G342" s="30" t="inlineStr">
        <is>
          <t>largecap</t>
        </is>
      </c>
      <c r="H342" s="31" t="n">
        <v>104875.21</v>
      </c>
      <c r="I342" s="31" t="n">
        <v>575.55</v>
      </c>
      <c r="J342" s="31" t="n">
        <v>0.62</v>
      </c>
      <c r="K342" s="31" t="n">
        <v>3495488</v>
      </c>
      <c r="L342" s="30" t="n">
        <v>20</v>
      </c>
      <c r="M342" s="30" t="inlineStr">
        <is>
          <t>Outperforming</t>
        </is>
      </c>
      <c r="N342" s="31">
        <f>IF(M342="Underperforming",-5,IF(L342&gt;=95,15,IF(L342&gt;=90,10,IF(L342&gt;=80,5,0))))</f>
        <v/>
      </c>
      <c r="O342" s="31" t="n">
        <v>58.82</v>
      </c>
      <c r="P342" s="31" t="n">
        <v>14.3</v>
      </c>
      <c r="Q342" s="31" t="n">
        <v>478.75</v>
      </c>
      <c r="R342" s="30" t="inlineStr">
        <is>
          <t>Near 52W High Breakout</t>
        </is>
      </c>
      <c r="S342" s="30" t="inlineStr">
        <is>
          <t>Nifty IT</t>
        </is>
      </c>
      <c r="T342" s="31" t="n">
        <v>-26.99</v>
      </c>
      <c r="U342" s="31" t="n">
        <v>15.66</v>
      </c>
      <c r="V342" s="31" t="n">
        <v>58.43</v>
      </c>
      <c r="W342" s="31" t="n">
        <v>6.15</v>
      </c>
      <c r="X342" s="30" t="inlineStr">
        <is>
          <t>Growing Industry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Tailwind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Yes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0 to 20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2</t>
        </is>
      </c>
      <c r="BC342" s="30">
        <f>IF(BB342="Stage 2",20,IF(BB342="Stage 1",0,IF(BB342="Stage 3",5,IF(BB342="Stage 4",-5,0))))</f>
        <v/>
      </c>
      <c r="BD342" s="30" t="inlineStr">
        <is>
          <t>Positive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Less than 12%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Yes</t>
        </is>
      </c>
      <c r="BS342" s="30">
        <f>IF(BR342="NO",5,0)</f>
        <v/>
      </c>
      <c r="BT342" s="30" t="inlineStr">
        <is>
          <t>Above 2</t>
        </is>
      </c>
      <c r="BU342" s="30">
        <f>IF(BT342="Above 2",0,IF(BT342="Between 1.5 to 2",5,IF(BT342="Less than 1.5",10,0)))</f>
        <v/>
      </c>
      <c r="BV342" s="30" t="inlineStr">
        <is>
          <t>Above 70%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More than 1.2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IF(B343=0,"",RANK(B343,$B$2:$B$400,0))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0" t="inlineStr">
        <is>
          <t>SIMPLEXINF</t>
        </is>
      </c>
      <c r="D343" s="30" t="inlineStr">
        <is>
          <t>Simplex Infrastructures Limited</t>
        </is>
      </c>
      <c r="E343" s="30" t="inlineStr">
        <is>
          <t>realty</t>
        </is>
      </c>
      <c r="F343" s="30" t="inlineStr">
        <is>
          <t>construction</t>
        </is>
      </c>
      <c r="G343" s="30" t="inlineStr">
        <is>
          <t>smallcap</t>
        </is>
      </c>
      <c r="H343" s="31" t="n">
        <v>2229.3</v>
      </c>
      <c r="I343" s="31" t="n">
        <v>282</v>
      </c>
      <c r="J343" s="31" t="n">
        <v>0.05</v>
      </c>
      <c r="K343" s="31" t="n">
        <v>512152</v>
      </c>
      <c r="L343" s="30" t="n">
        <v>72</v>
      </c>
      <c r="M343" s="30" t="inlineStr">
        <is>
          <t>Outperforming</t>
        </is>
      </c>
      <c r="N343" s="31">
        <f>IF(M343="Underperforming",-5,IF(L343&gt;=95,15,IF(L343&gt;=90,10,IF(L343&gt;=80,5,0))))</f>
        <v/>
      </c>
      <c r="O343" s="31" t="n">
        <v>61.75</v>
      </c>
      <c r="P343" s="31" t="n">
        <v>19.86</v>
      </c>
      <c r="Q343" s="31" t="n">
        <v>189.43</v>
      </c>
      <c r="R343" s="30" t="inlineStr">
        <is>
          <t>Volume Spike / Accumulation</t>
        </is>
      </c>
      <c r="S343" s="30" t="inlineStr">
        <is>
          <t>Nifty Realty</t>
        </is>
      </c>
      <c r="T343" s="31" t="n">
        <v>-19.08</v>
      </c>
      <c r="U343" s="31" t="n">
        <v>4.81</v>
      </c>
      <c r="V343" s="31" t="n">
        <v>29.53</v>
      </c>
      <c r="W343" s="31" t="n">
        <v>20.72</v>
      </c>
      <c r="X343" s="30" t="inlineStr">
        <is>
          <t>Growing Industry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No</t>
        </is>
      </c>
      <c r="AC343" s="30">
        <f>IF(AB343="No",5,0)</f>
        <v/>
      </c>
      <c r="AD343" s="30" t="inlineStr">
        <is>
          <t>Tailwind</t>
        </is>
      </c>
      <c r="AE343" s="30">
        <f>IF(AD343="Tailwind",10,0)</f>
        <v/>
      </c>
      <c r="AF343" s="30" t="inlineStr">
        <is>
          <t>Structural (10 Years Consistency)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Stable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Yes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0 to 20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2</t>
        </is>
      </c>
      <c r="BC343" s="30">
        <f>IF(BB343="Stage 2",20,IF(BB343="Stage 1",0,IF(BB343="Stage 3",5,IF(BB343="Stage 4",-5,0))))</f>
        <v/>
      </c>
      <c r="BD343" s="30" t="inlineStr">
        <is>
          <t>Positive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Less than 12%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Yes</t>
        </is>
      </c>
      <c r="BS343" s="30">
        <f>IF(BR343="NO",5,0)</f>
        <v/>
      </c>
      <c r="BT343" s="30" t="inlineStr">
        <is>
          <t>Above 2</t>
        </is>
      </c>
      <c r="BU343" s="30">
        <f>IF(BT343="Above 2",0,IF(BT343="Between 1.5 to 2",5,IF(BT343="Less than 1.5",10,0)))</f>
        <v/>
      </c>
      <c r="BV343" s="30" t="inlineStr">
        <is>
          <t>Above 70%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More than 1.2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IF(B344=0,"",RANK(B344,$B$2:$B$400,0))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0" t="inlineStr">
        <is>
          <t>ACMESOLAR</t>
        </is>
      </c>
      <c r="D344" s="30" t="inlineStr">
        <is>
          <t>ACME Solar Holdings Ltd</t>
        </is>
      </c>
      <c r="E344" s="30" t="inlineStr">
        <is>
          <t>realty</t>
        </is>
      </c>
      <c r="F344" s="30" t="inlineStr">
        <is>
          <t>engineering - turnkey services</t>
        </is>
      </c>
      <c r="G344" s="30" t="inlineStr">
        <is>
          <t>largecap</t>
        </is>
      </c>
      <c r="H344" s="31" t="n">
        <v>23430.08</v>
      </c>
      <c r="I344" s="31" t="n">
        <v>331.9</v>
      </c>
      <c r="J344" s="31" t="n">
        <v>0.03</v>
      </c>
      <c r="K344" s="31" t="n">
        <v>1091315</v>
      </c>
      <c r="L344" s="30" t="n">
        <v>58</v>
      </c>
      <c r="M344" s="30" t="inlineStr">
        <is>
          <t>Outperforming</t>
        </is>
      </c>
      <c r="N344" s="31">
        <f>IF(M344="Underperforming",-5,IF(L344&gt;=95,15,IF(L344&gt;=90,10,IF(L344&gt;=80,5,0))))</f>
        <v/>
      </c>
      <c r="O344" s="31" t="n">
        <v>63.68</v>
      </c>
      <c r="P344" s="31" t="n">
        <v>22.45</v>
      </c>
      <c r="Q344" s="31" t="n">
        <v>274.85</v>
      </c>
      <c r="R344" s="30" t="inlineStr">
        <is>
          <t>Earnings / Momentum Support</t>
        </is>
      </c>
      <c r="S344" s="30" t="inlineStr">
        <is>
          <t>Nifty Realty</t>
        </is>
      </c>
      <c r="T344" s="31" t="n">
        <v>-19.08</v>
      </c>
      <c r="U344" s="31" t="n">
        <v>34.14</v>
      </c>
      <c r="V344" s="31" t="n">
        <v>65.78</v>
      </c>
      <c r="W344" s="31" t="n">
        <v>14.68</v>
      </c>
      <c r="X344" s="30" t="inlineStr">
        <is>
          <t>Growing Industry</t>
        </is>
      </c>
      <c r="Y344" s="30">
        <f>IF(X344="Growing Industry",10,IF(X344="Cyclical in an Upturn",5,0))</f>
        <v/>
      </c>
      <c r="Z344" s="30" t="inlineStr">
        <is>
          <t>Too Many Players with High ROCE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No</t>
        </is>
      </c>
      <c r="AC344" s="30">
        <f>IF(AB344="No",5,0)</f>
        <v/>
      </c>
      <c r="AD344" s="30" t="inlineStr">
        <is>
          <t>Tailwind</t>
        </is>
      </c>
      <c r="AE344" s="30">
        <f>IF(AD344="Tailwind",10,0)</f>
        <v/>
      </c>
      <c r="AF344" s="30" t="inlineStr">
        <is>
          <t>Structural (10 Years Consistency)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No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20 to 40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2</t>
        </is>
      </c>
      <c r="BC344" s="30">
        <f>IF(BB344="Stage 2",20,IF(BB344="Stage 1",0,IF(BB344="Stage 3",5,IF(BB344="Stage 4",-5,0))))</f>
        <v/>
      </c>
      <c r="BD344" s="30" t="inlineStr">
        <is>
          <t>Positive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Less than 12%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Yes</t>
        </is>
      </c>
      <c r="BS344" s="30">
        <f>IF(BR344="NO",5,0)</f>
        <v/>
      </c>
      <c r="BT344" s="30" t="inlineStr">
        <is>
          <t>Above 2</t>
        </is>
      </c>
      <c r="BU344" s="30">
        <f>IF(BT344="Above 2",0,IF(BT344="Between 1.5 to 2",5,IF(BT344="Less than 1.5",10,0)))</f>
        <v/>
      </c>
      <c r="BV344" s="30" t="inlineStr">
        <is>
          <t>Between 50% to 70%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More than 1.2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IF(B345=0,"",RANK(B345,$B$2:$B$400,0))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2" t="inlineStr">
        <is>
          <t>PITTIENG</t>
        </is>
      </c>
      <c r="D345" s="32" t="inlineStr">
        <is>
          <t>Pitti Engineering Ltd</t>
        </is>
      </c>
      <c r="E345" s="30" t="inlineStr">
        <is>
          <t>industrials</t>
        </is>
      </c>
      <c r="F345" s="30" t="inlineStr">
        <is>
          <t>engineering</t>
        </is>
      </c>
      <c r="G345" s="30" t="inlineStr">
        <is>
          <t>smallcap</t>
        </is>
      </c>
      <c r="H345" s="31" t="n">
        <v>3735.8</v>
      </c>
      <c r="I345" s="31" t="n">
        <v>991.65</v>
      </c>
      <c r="J345" s="31" t="n">
        <v>-0.05</v>
      </c>
      <c r="K345" s="31" t="n">
        <v>15813</v>
      </c>
      <c r="L345" s="30" t="n">
        <v>26</v>
      </c>
      <c r="M345" s="30" t="inlineStr">
        <is>
          <t>Underperforming</t>
        </is>
      </c>
      <c r="N345" s="31">
        <f>IF(M345="Underperforming",-5,IF(L345&gt;=95,15,IF(L345&gt;=90,10,IF(L345&gt;=80,5,0))))</f>
        <v/>
      </c>
      <c r="O345" s="31" t="n">
        <v>59.51</v>
      </c>
      <c r="P345" s="31" t="n">
        <v>11.99</v>
      </c>
      <c r="Q345" s="31" t="n">
        <v>749.08</v>
      </c>
      <c r="R345" s="30" t="inlineStr">
        <is>
          <t>Near 52W High Breakout</t>
        </is>
      </c>
      <c r="S345" s="30" t="inlineStr">
        <is>
          <t>Nifty Infra</t>
        </is>
      </c>
      <c r="T345" s="31" t="n">
        <v>4.04</v>
      </c>
      <c r="U345" s="31" t="n">
        <v>3.16</v>
      </c>
      <c r="V345" s="31" t="n">
        <v>-0.85</v>
      </c>
      <c r="W345" s="31" t="n">
        <v>7.38</v>
      </c>
      <c r="X345" s="30" t="inlineStr">
        <is>
          <t>Cyclical in an Upturn</t>
        </is>
      </c>
      <c r="Y345" s="30">
        <f>IF(X345="Growing Industry",10,IF(X345="Cyclical in an Upturn",5,0))</f>
        <v/>
      </c>
      <c r="Z345" s="30" t="inlineStr">
        <is>
          <t>Too Many Players with High ROCE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No</t>
        </is>
      </c>
      <c r="AC345" s="30">
        <f>IF(AB345="No",5,0)</f>
        <v/>
      </c>
      <c r="AD345" s="30" t="inlineStr">
        <is>
          <t>Tailwind</t>
        </is>
      </c>
      <c r="AE345" s="30">
        <f>IF(AD345="Tailwind",10,0)</f>
        <v/>
      </c>
      <c r="AF345" s="30" t="inlineStr">
        <is>
          <t>Structural (10 Years Consistency)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Stable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Yes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0 to 20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2</t>
        </is>
      </c>
      <c r="BC345" s="30">
        <f>IF(BB345="Stage 2",20,IF(BB345="Stage 1",0,IF(BB345="Stage 3",5,IF(BB345="Stage 4",-5,0))))</f>
        <v/>
      </c>
      <c r="BD345" s="30" t="inlineStr">
        <is>
          <t>Positive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Close to 52 week high or retracement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Less than 12%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No</t>
        </is>
      </c>
      <c r="BS345" s="30">
        <f>IF(BR345="NO",5,0)</f>
        <v/>
      </c>
      <c r="BT345" s="30" t="inlineStr">
        <is>
          <t>Above 2</t>
        </is>
      </c>
      <c r="BU345" s="30">
        <f>IF(BT345="Above 2",0,IF(BT345="Between 1.5 to 2",5,IF(BT345="Less than 1.5",10,0)))</f>
        <v/>
      </c>
      <c r="BV345" s="30" t="inlineStr">
        <is>
          <t>Between 50% to 70%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Between 0.7 to 1.2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IF(B346=0,"",RANK(B346,$B$2:$B$400,0))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2" t="inlineStr">
        <is>
          <t>TEJASNET</t>
        </is>
      </c>
      <c r="D346" s="32" t="inlineStr">
        <is>
          <t>Tejas Networks Ltd</t>
        </is>
      </c>
      <c r="E346" s="30" t="inlineStr">
        <is>
          <t>telecom</t>
        </is>
      </c>
      <c r="F346" s="30" t="inlineStr">
        <is>
          <t>telecommunications - equipment</t>
        </is>
      </c>
      <c r="G346" s="30" t="inlineStr">
        <is>
          <t>midcap</t>
        </is>
      </c>
      <c r="H346" s="31" t="n">
        <v>10700.06</v>
      </c>
      <c r="I346" s="31" t="n">
        <v>600.15</v>
      </c>
      <c r="J346" s="31" t="n">
        <v>-0.31</v>
      </c>
      <c r="K346" s="31" t="n">
        <v>9633517</v>
      </c>
      <c r="L346" s="30" t="n">
        <v>22</v>
      </c>
      <c r="M346" s="30" t="inlineStr">
        <is>
          <t>Underperforming</t>
        </is>
      </c>
      <c r="N346" s="31">
        <f>IF(M346="Underperforming",-5,IF(L346&gt;=95,15,IF(L346&gt;=90,10,IF(L346&gt;=80,5,0))))</f>
        <v/>
      </c>
      <c r="O346" s="31" t="n">
        <v>64.26000000000001</v>
      </c>
      <c r="P346" s="31" t="n">
        <v>20.4</v>
      </c>
      <c r="Q346" s="31" t="n">
        <v>417.99</v>
      </c>
      <c r="R346" s="30" t="inlineStr">
        <is>
          <t>Earnings / Momentum Support</t>
        </is>
      </c>
      <c r="S346" s="30" t="inlineStr">
        <is>
          <t>Nifty 50</t>
        </is>
      </c>
      <c r="T346" s="31" t="n">
        <v>-3.76</v>
      </c>
      <c r="U346" s="31" t="n">
        <v>-14.14</v>
      </c>
      <c r="V346" s="31" t="n">
        <v>-10.78</v>
      </c>
      <c r="W346" s="31" t="n">
        <v>6.66</v>
      </c>
      <c r="X346" s="30" t="inlineStr">
        <is>
          <t>Growing Industry</t>
        </is>
      </c>
      <c r="Y346" s="30">
        <f>IF(X346="Growing Industry",10,IF(X346="Cyclical in an Upturn",5,0))</f>
        <v/>
      </c>
      <c r="Z346" s="30" t="inlineStr">
        <is>
          <t>Oligopoly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Yes</t>
        </is>
      </c>
      <c r="AC346" s="30">
        <f>IF(AB346="No",5,0)</f>
        <v/>
      </c>
      <c r="AD346" s="30" t="inlineStr">
        <is>
          <t>Tailwind</t>
        </is>
      </c>
      <c r="AE346" s="30">
        <f>IF(AD346="Tailwind",10,0)</f>
        <v/>
      </c>
      <c r="AF346" s="30" t="inlineStr">
        <is>
          <t>Structural (10 Years Consistency)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Stable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No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20 to 40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2</t>
        </is>
      </c>
      <c r="BC346" s="30">
        <f>IF(BB346="Stage 2",20,IF(BB346="Stage 1",0,IF(BB346="Stage 3",5,IF(BB346="Stage 4",-5,0))))</f>
        <v/>
      </c>
      <c r="BD346" s="30" t="inlineStr">
        <is>
          <t>Positive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Close to 52 week high or retracement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More than 20%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No</t>
        </is>
      </c>
      <c r="BS346" s="30">
        <f>IF(BR346="NO",5,0)</f>
        <v/>
      </c>
      <c r="BT346" s="30" t="inlineStr">
        <is>
          <t>Less than 1.5</t>
        </is>
      </c>
      <c r="BU346" s="30">
        <f>IF(BT346="Above 2",0,IF(BT346="Between 1.5 to 2",5,IF(BT346="Less than 1.5",10,0)))</f>
        <v/>
      </c>
      <c r="BV346" s="30" t="inlineStr">
        <is>
          <t>Negative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More than 1.2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IF(B347=0,"",RANK(B347,$B$2:$B$400,0))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2" t="inlineStr">
        <is>
          <t>MAXHEALTH</t>
        </is>
      </c>
      <c r="D347" s="32" t="inlineStr">
        <is>
          <t>Max Healthcare Institute Ltd</t>
        </is>
      </c>
      <c r="E347" s="30" t="inlineStr">
        <is>
          <t>healthcare</t>
        </is>
      </c>
      <c r="F347" s="30" t="inlineStr">
        <is>
          <t>healthcare</t>
        </is>
      </c>
      <c r="G347" s="30" t="inlineStr">
        <is>
          <t>largecap</t>
        </is>
      </c>
      <c r="H347" s="31" t="n">
        <v>99858.25</v>
      </c>
      <c r="I347" s="31" t="n">
        <v>1090.45</v>
      </c>
      <c r="J347" s="31" t="n">
        <v>6.27</v>
      </c>
      <c r="K347" s="31" t="n">
        <v>6871544</v>
      </c>
      <c r="L347" s="30" t="n">
        <v>1</v>
      </c>
      <c r="M347" s="30" t="inlineStr">
        <is>
          <t>Underperforming</t>
        </is>
      </c>
      <c r="N347" s="31">
        <f>IF(M347="Underperforming",-5,IF(L347&gt;=95,15,IF(L347&gt;=90,10,IF(L347&gt;=80,5,0))))</f>
        <v/>
      </c>
      <c r="O347" s="31" t="n">
        <v>56.83</v>
      </c>
      <c r="P347" s="31" t="n">
        <v>26</v>
      </c>
      <c r="Q347" s="31" t="n">
        <v>894.74</v>
      </c>
      <c r="R347" s="30" t="inlineStr">
        <is>
          <t>Earnings / Momentum Support</t>
        </is>
      </c>
      <c r="S347" s="30" t="inlineStr">
        <is>
          <t>Nifty Pharma</t>
        </is>
      </c>
      <c r="T347" s="31" t="n">
        <v>12.35</v>
      </c>
      <c r="U347" s="31" t="n">
        <v>-10.06</v>
      </c>
      <c r="V347" s="31" t="n">
        <v>-19.95</v>
      </c>
      <c r="W347" s="31" t="n">
        <v>0.83</v>
      </c>
      <c r="X347" s="30" t="inlineStr">
        <is>
          <t>Growing Industry</t>
        </is>
      </c>
      <c r="Y347" s="30">
        <f>IF(X347="Growing Industry",10,IF(X347="Cyclical in an Upturn",5,0))</f>
        <v/>
      </c>
      <c r="Z347" s="30" t="inlineStr">
        <is>
          <t>Too Many Players with High ROCE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Yes</t>
        </is>
      </c>
      <c r="AC347" s="30">
        <f>IF(AB347="No",5,0)</f>
        <v/>
      </c>
      <c r="AD347" s="30" t="inlineStr">
        <is>
          <t>Tailwind</t>
        </is>
      </c>
      <c r="AE347" s="30">
        <f>IF(AD347="Tailwind",10,0)</f>
        <v/>
      </c>
      <c r="AF347" s="30" t="inlineStr">
        <is>
          <t>Structural (10 Years Consistency)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Stable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No</t>
        </is>
      </c>
      <c r="AQ347" s="30">
        <f>IF(AP347="Yes",10,0)</f>
        <v/>
      </c>
      <c r="AR347" s="30" t="inlineStr">
        <is>
          <t>Higher Annuity, Lower One Time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20 to 40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1</t>
        </is>
      </c>
      <c r="BC347" s="30">
        <f>IF(BB347="Stage 2",20,IF(BB347="Stage 1",0,IF(BB347="Stage 3",5,IF(BB347="Stage 4",-5,0))))</f>
        <v/>
      </c>
      <c r="BD347" s="30" t="inlineStr">
        <is>
          <t>Positive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Less than 12%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Yes</t>
        </is>
      </c>
      <c r="BS347" s="30">
        <f>IF(BR347="NO",5,0)</f>
        <v/>
      </c>
      <c r="BT347" s="30" t="inlineStr">
        <is>
          <t>Above 2</t>
        </is>
      </c>
      <c r="BU347" s="30">
        <f>IF(BT347="Above 2",0,IF(BT347="Between 1.5 to 2",5,IF(BT347="Less than 1.5",10,0)))</f>
        <v/>
      </c>
      <c r="BV347" s="30" t="inlineStr">
        <is>
          <t>Above 70%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Less than 0.7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IF(B348=0,"",RANK(B348,$B$2:$B$400,0))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2" t="inlineStr">
        <is>
          <t>KOVAI</t>
        </is>
      </c>
      <c r="D348" s="32" t="inlineStr">
        <is>
          <t>Kovai Medical Center &amp; Hospital Ltd</t>
        </is>
      </c>
      <c r="E348" s="30" t="inlineStr">
        <is>
          <t>healthcare</t>
        </is>
      </c>
      <c r="F348" s="30" t="inlineStr">
        <is>
          <t>healthcare</t>
        </is>
      </c>
      <c r="G348" s="30" t="inlineStr">
        <is>
          <t>midcap</t>
        </is>
      </c>
      <c r="H348" s="31" t="n">
        <v>6383.17</v>
      </c>
      <c r="I348" s="31" t="n">
        <v>5867.5</v>
      </c>
      <c r="J348" s="31" t="n">
        <v>0.58</v>
      </c>
      <c r="K348" s="31" t="n">
        <v>4180</v>
      </c>
      <c r="L348" s="30" t="n">
        <v>8</v>
      </c>
      <c r="M348" s="30" t="inlineStr">
        <is>
          <t>Underperforming</t>
        </is>
      </c>
      <c r="N348" s="31">
        <f>IF(M348="Underperforming",-5,IF(L348&gt;=95,15,IF(L348&gt;=90,10,IF(L348&gt;=80,5,0))))</f>
        <v/>
      </c>
      <c r="O348" s="31" t="n">
        <v>59.68</v>
      </c>
      <c r="P348" s="31" t="n">
        <v>18.2</v>
      </c>
      <c r="Q348" s="31" t="n">
        <v>4876.4</v>
      </c>
      <c r="R348" s="30" t="inlineStr">
        <is>
          <t>Earnings / Momentum Support</t>
        </is>
      </c>
      <c r="S348" s="30" t="inlineStr">
        <is>
          <t>Nifty Pharma</t>
        </is>
      </c>
      <c r="T348" s="31" t="n">
        <v>12.35</v>
      </c>
      <c r="U348" s="31" t="n">
        <v>3.73</v>
      </c>
      <c r="V348" s="31" t="n">
        <v>-7.68</v>
      </c>
      <c r="W348" s="31" t="n">
        <v>3.37</v>
      </c>
      <c r="X348" s="30" t="inlineStr">
        <is>
          <t>Growing Industry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Yes</t>
        </is>
      </c>
      <c r="AC348" s="30">
        <f>IF(AB348="No",5,0)</f>
        <v/>
      </c>
      <c r="AD348" s="30" t="inlineStr">
        <is>
          <t>Tailwind</t>
        </is>
      </c>
      <c r="AE348" s="30">
        <f>IF(AD348="Tailwind",10,0)</f>
        <v/>
      </c>
      <c r="AF348" s="30" t="inlineStr">
        <is>
          <t>Structural (10 Years Consistency)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Stable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No</t>
        </is>
      </c>
      <c r="AQ348" s="30">
        <f>IF(AP348="Yes",10,0)</f>
        <v/>
      </c>
      <c r="AR348" s="30" t="inlineStr">
        <is>
          <t>Higher Annuity, Lower One Time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0 to 20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1</t>
        </is>
      </c>
      <c r="BC348" s="30">
        <f>IF(BB348="Stage 2",20,IF(BB348="Stage 1",0,IF(BB348="Stage 3",5,IF(BB348="Stage 4",-5,0))))</f>
        <v/>
      </c>
      <c r="BD348" s="30" t="inlineStr">
        <is>
          <t>Positive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Close to 52 week high or retracement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Between 12 to 20%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No</t>
        </is>
      </c>
      <c r="BS348" s="30">
        <f>IF(BR348="NO",5,0)</f>
        <v/>
      </c>
      <c r="BT348" s="30" t="inlineStr">
        <is>
          <t>Between 1.5 to 2</t>
        </is>
      </c>
      <c r="BU348" s="30">
        <f>IF(BT348="Above 2",0,IF(BT348="Between 1.5 to 2",5,IF(BT348="Less than 1.5",10,0)))</f>
        <v/>
      </c>
      <c r="BV348" s="30" t="inlineStr">
        <is>
          <t>Above 70%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Less than 0.7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IF(B349=0,"",RANK(B349,$B$2:$B$400,0))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2" t="inlineStr">
        <is>
          <t>KIRLFER</t>
        </is>
      </c>
      <c r="D349" s="32" t="inlineStr">
        <is>
          <t>Kirloskar Ferrous Industries Ltd</t>
        </is>
      </c>
      <c r="E349" s="30" t="inlineStr">
        <is>
          <t>metals &amp; mining</t>
        </is>
      </c>
      <c r="F349" s="30" t="inlineStr">
        <is>
          <t>steel - large</t>
        </is>
      </c>
      <c r="G349" s="30" t="inlineStr">
        <is>
          <t>midcap</t>
        </is>
      </c>
      <c r="H349" s="31" t="n">
        <v>7327.47</v>
      </c>
      <c r="I349" s="31" t="n">
        <v>473.7</v>
      </c>
      <c r="J349" s="31" t="n">
        <v>6.62</v>
      </c>
      <c r="K349" s="31" t="n">
        <v>5934501</v>
      </c>
      <c r="L349" s="30" t="n">
        <v>12</v>
      </c>
      <c r="M349" s="30" t="inlineStr">
        <is>
          <t>Underperforming</t>
        </is>
      </c>
      <c r="N349" s="31">
        <f>IF(M349="Underperforming",-5,IF(L349&gt;=95,15,IF(L349&gt;=90,10,IF(L349&gt;=80,5,0))))</f>
        <v/>
      </c>
      <c r="O349" s="31" t="n">
        <v>58.15</v>
      </c>
      <c r="P349" s="31" t="n">
        <v>17.63</v>
      </c>
      <c r="Q349" s="31" t="n">
        <v>353.73</v>
      </c>
      <c r="R349" s="30" t="inlineStr">
        <is>
          <t>Volume Spike / Accumulation</t>
        </is>
      </c>
      <c r="S349" s="30" t="inlineStr">
        <is>
          <t>Nifty Metal</t>
        </is>
      </c>
      <c r="T349" s="31" t="n">
        <v>42.37</v>
      </c>
      <c r="U349" s="31" t="n">
        <v>-17.27</v>
      </c>
      <c r="V349" s="31" t="n">
        <v>-41.89</v>
      </c>
      <c r="W349" s="31" t="n">
        <v>4.21</v>
      </c>
      <c r="X349" s="30" t="inlineStr">
        <is>
          <t>Cyclical in an Upturn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No</t>
        </is>
      </c>
      <c r="AC349" s="30">
        <f>IF(AB349="No",5,0)</f>
        <v/>
      </c>
      <c r="AD349" s="30" t="inlineStr">
        <is>
          <t>Tailwind</t>
        </is>
      </c>
      <c r="AE349" s="30">
        <f>IF(AD349="Tailwind",10,0)</f>
        <v/>
      </c>
      <c r="AF349" s="30" t="inlineStr">
        <is>
          <t>Cyclical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Volatile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Yes</t>
        </is>
      </c>
      <c r="AQ349" s="30">
        <f>IF(AP349="Yes",10,0)</f>
        <v/>
      </c>
      <c r="AR349" s="30" t="inlineStr">
        <is>
          <t>Higher One Time, Lower Annuity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0 to 20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1</t>
        </is>
      </c>
      <c r="BC349" s="30">
        <f>IF(BB349="Stage 2",20,IF(BB349="Stage 1",0,IF(BB349="Stage 3",5,IF(BB349="Stage 4",-5,0))))</f>
        <v/>
      </c>
      <c r="BD349" s="30" t="inlineStr">
        <is>
          <t>Positive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More than 20%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No</t>
        </is>
      </c>
      <c r="BS349" s="30">
        <f>IF(BR349="NO",5,0)</f>
        <v/>
      </c>
      <c r="BT349" s="30" t="inlineStr">
        <is>
          <t>Less than 1.5</t>
        </is>
      </c>
      <c r="BU349" s="30">
        <f>IF(BT349="Above 2",0,IF(BT349="Between 1.5 to 2",5,IF(BT349="Less than 1.5",10,0)))</f>
        <v/>
      </c>
      <c r="BV349" s="30" t="inlineStr">
        <is>
          <t>Above 70%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Less than 0.7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IF(B350=0,"",RANK(B350,$B$2:$B$400,0))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0" t="inlineStr">
        <is>
          <t>AVANTEL</t>
        </is>
      </c>
      <c r="D350" s="30" t="inlineStr">
        <is>
          <t>Avantel Ltd</t>
        </is>
      </c>
      <c r="E350" s="30" t="inlineStr">
        <is>
          <t>aerospace &amp; defence</t>
        </is>
      </c>
      <c r="F350" s="30" t="inlineStr">
        <is>
          <t>telecommunications - equipment</t>
        </is>
      </c>
      <c r="G350" s="30" t="inlineStr">
        <is>
          <t>smallcap</t>
        </is>
      </c>
      <c r="H350" s="31" t="n">
        <v>4644.89</v>
      </c>
      <c r="I350" s="31" t="n">
        <v>179.79</v>
      </c>
      <c r="J350" s="31" t="n">
        <v>2.85</v>
      </c>
      <c r="K350" s="31" t="n">
        <v>5617602</v>
      </c>
      <c r="L350" s="30" t="n">
        <v>52</v>
      </c>
      <c r="M350" s="30" t="inlineStr">
        <is>
          <t>Outperforming</t>
        </is>
      </c>
      <c r="N350" s="31">
        <f>IF(M350="Underperforming",-5,IF(L350&gt;=95,15,IF(L350&gt;=90,10,IF(L350&gt;=80,5,0))))</f>
        <v/>
      </c>
      <c r="O350" s="31" t="n">
        <v>60.14</v>
      </c>
      <c r="P350" s="31" t="n">
        <v>13.88</v>
      </c>
      <c r="Q350" s="31" t="n">
        <v>128.28</v>
      </c>
      <c r="R350" s="30" t="inlineStr">
        <is>
          <t>Earnings / Momentum Support</t>
        </is>
      </c>
      <c r="S350" s="30" t="inlineStr">
        <is>
          <t>Nifty Infra</t>
        </is>
      </c>
      <c r="T350" s="31" t="n">
        <v>4.04</v>
      </c>
      <c r="U350" s="31" t="n">
        <v>16.19</v>
      </c>
      <c r="V350" s="31" t="n">
        <v>11.68</v>
      </c>
      <c r="W350" s="31" t="n">
        <v>13.56</v>
      </c>
      <c r="X350" s="30" t="inlineStr">
        <is>
          <t>Growing Industry</t>
        </is>
      </c>
      <c r="Y350" s="30">
        <f>IF(X350="Growing Industry",10,IF(X350="Cyclical in an Upturn",5,0))</f>
        <v/>
      </c>
      <c r="Z350" s="30" t="inlineStr">
        <is>
          <t>Oligopoly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Yes</t>
        </is>
      </c>
      <c r="AC350" s="30">
        <f>IF(AB350="No",5,0)</f>
        <v/>
      </c>
      <c r="AD350" s="30" t="inlineStr">
        <is>
          <t>Tailwind</t>
        </is>
      </c>
      <c r="AE350" s="30">
        <f>IF(AD350="Tailwind",10,0)</f>
        <v/>
      </c>
      <c r="AF350" s="30" t="inlineStr">
        <is>
          <t>Structural (10 Years Consistency)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Stable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No</t>
        </is>
      </c>
      <c r="AQ350" s="30">
        <f>IF(AP350="Yes",10,0)</f>
        <v/>
      </c>
      <c r="AR350" s="30" t="inlineStr">
        <is>
          <t>Higher One Time, Lower Annuity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0 to 20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2</t>
        </is>
      </c>
      <c r="BC350" s="30">
        <f>IF(BB350="Stage 2",20,IF(BB350="Stage 1",0,IF(BB350="Stage 3",5,IF(BB350="Stage 4",-5,0))))</f>
        <v/>
      </c>
      <c r="BD350" s="30" t="inlineStr">
        <is>
          <t>Positive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Less than 12%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Yes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Less than 50%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Less than 0.7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IF(B351=0,"",RANK(B351,$B$2:$B$400,0))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0" t="inlineStr">
        <is>
          <t>AEGISVOPAK</t>
        </is>
      </c>
      <c r="D351" s="30" t="inlineStr">
        <is>
          <t>Aegis Vopak Terminals Ltd</t>
        </is>
      </c>
      <c r="E351" s="30" t="inlineStr">
        <is>
          <t>transportation</t>
        </is>
      </c>
      <c r="F351" s="30" t="inlineStr">
        <is>
          <t>miscellaneous</t>
        </is>
      </c>
      <c r="G351" s="30" t="inlineStr">
        <is>
          <t>largecap</t>
        </is>
      </c>
      <c r="H351" s="31" t="n">
        <v>26379.06</v>
      </c>
      <c r="I351" s="31" t="n">
        <v>243.1</v>
      </c>
      <c r="J351" s="31" t="n">
        <v>2.11</v>
      </c>
      <c r="K351" s="31" t="n">
        <v>1377512</v>
      </c>
      <c r="L351" s="30" t="n">
        <v>38</v>
      </c>
      <c r="M351" s="30" t="inlineStr">
        <is>
          <t>Outperforming</t>
        </is>
      </c>
      <c r="N351" s="31">
        <f>IF(M351="Underperforming",-5,IF(L351&gt;=95,15,IF(L351&gt;=90,10,IF(L351&gt;=80,5,0))))</f>
        <v/>
      </c>
      <c r="O351" s="31" t="n">
        <v>57.01</v>
      </c>
      <c r="P351" s="31" t="n">
        <v>16.49</v>
      </c>
      <c r="Q351" s="31" t="n">
        <v>171.5</v>
      </c>
      <c r="R351" s="30" t="inlineStr">
        <is>
          <t>Volume Spike / Accumulation</t>
        </is>
      </c>
      <c r="S351" s="30" t="inlineStr">
        <is>
          <t>Nifty 50</t>
        </is>
      </c>
      <c r="T351" s="31" t="n">
        <v>-3.76</v>
      </c>
      <c r="U351" s="31" t="n">
        <v>-0.83</v>
      </c>
      <c r="V351" s="31" t="n">
        <v>3.05</v>
      </c>
      <c r="W351" s="31" t="n">
        <v>9.460000000000001</v>
      </c>
      <c r="X351" s="30" t="inlineStr">
        <is>
          <t>Growing Industry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No</t>
        </is>
      </c>
      <c r="AC351" s="30">
        <f>IF(AB351="No",5,0)</f>
        <v/>
      </c>
      <c r="AD351" s="30" t="inlineStr">
        <is>
          <t>Headwind</t>
        </is>
      </c>
      <c r="AE351" s="30">
        <f>IF(AD351="Tailwind",10,0)</f>
        <v/>
      </c>
      <c r="AF351" s="30" t="inlineStr">
        <is>
          <t>Structural (10 Years Consistency)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Stable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Yes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0 to 20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1</t>
        </is>
      </c>
      <c r="BC351" s="30">
        <f>IF(BB351="Stage 2",20,IF(BB351="Stage 1",0,IF(BB351="Stage 3",5,IF(BB351="Stage 4",-5,0))))</f>
        <v/>
      </c>
      <c r="BD351" s="30" t="inlineStr">
        <is>
          <t>Positive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More than 20%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Yes</t>
        </is>
      </c>
      <c r="BS351" s="30">
        <f>IF(BR351="NO",5,0)</f>
        <v/>
      </c>
      <c r="BT351" s="30" t="inlineStr">
        <is>
          <t>Between 1.5 to 2</t>
        </is>
      </c>
      <c r="BU351" s="30">
        <f>IF(BT351="Above 2",0,IF(BT351="Between 1.5 to 2",5,IF(BT351="Less than 1.5",10,0)))</f>
        <v/>
      </c>
      <c r="BV351" s="30" t="inlineStr">
        <is>
          <t>Above 70%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Between 0.7 to 1.2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IF(B352=0,"",RANK(B352,$B$2:$B$400,0))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0" t="inlineStr">
        <is>
          <t>KAPSTON</t>
        </is>
      </c>
      <c r="D352" s="30" t="inlineStr">
        <is>
          <t>Kapston Services Ltd</t>
        </is>
      </c>
      <c r="E352" s="30" t="inlineStr">
        <is>
          <t>miscellaneous</t>
        </is>
      </c>
      <c r="F352" s="30" t="inlineStr">
        <is>
          <t>miscellaneous</t>
        </is>
      </c>
      <c r="G352" s="30" t="inlineStr">
        <is>
          <t>smallcap</t>
        </is>
      </c>
      <c r="H352" s="31" t="n">
        <v>1049.91</v>
      </c>
      <c r="I352" s="31" t="n">
        <v>350.45</v>
      </c>
      <c r="J352" s="31" t="n">
        <v>1.58</v>
      </c>
      <c r="K352" s="31" t="n">
        <v>33276</v>
      </c>
      <c r="L352" s="30" t="n">
        <v>51</v>
      </c>
      <c r="M352" s="30" t="inlineStr">
        <is>
          <t>Outperforming</t>
        </is>
      </c>
      <c r="N352" s="31">
        <f>IF(M352="Underperforming",-5,IF(L352&gt;=95,15,IF(L352&gt;=90,10,IF(L352&gt;=80,5,0))))</f>
        <v/>
      </c>
      <c r="O352" s="31" t="n">
        <v>56.75</v>
      </c>
      <c r="P352" s="31" t="n">
        <v>11.37</v>
      </c>
      <c r="Q352" s="31" t="n">
        <v>254.08</v>
      </c>
      <c r="R352" s="30" t="inlineStr">
        <is>
          <t>Earnings / Momentum Support</t>
        </is>
      </c>
      <c r="S352" s="30" t="inlineStr">
        <is>
          <t>Nifty 50</t>
        </is>
      </c>
      <c r="T352" s="31" t="n">
        <v>-3.76</v>
      </c>
      <c r="U352" s="31" t="n">
        <v>44.8</v>
      </c>
      <c r="V352" s="31" t="n">
        <v>50.45</v>
      </c>
      <c r="W352" s="31" t="n">
        <v>13.15</v>
      </c>
      <c r="X352" s="30" t="inlineStr">
        <is>
          <t>Growing Industry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Tailwind</t>
        </is>
      </c>
      <c r="AE352" s="30">
        <f>IF(AD352="Tailwind",10,0)</f>
        <v/>
      </c>
      <c r="AF352" s="30" t="inlineStr">
        <is>
          <t>Structural (10 Years Consistency)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Stable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No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0 to 20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2</t>
        </is>
      </c>
      <c r="BC352" s="30">
        <f>IF(BB352="Stage 2",20,IF(BB352="Stage 1",0,IF(BB352="Stage 3",5,IF(BB352="Stage 4",-5,0))))</f>
        <v/>
      </c>
      <c r="BD352" s="30" t="inlineStr">
        <is>
          <t>Positive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More than 20%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No</t>
        </is>
      </c>
      <c r="BS352" s="30">
        <f>IF(BR352="NO",5,0)</f>
        <v/>
      </c>
      <c r="BT352" s="30" t="inlineStr">
        <is>
          <t>Between 1.5 to 2</t>
        </is>
      </c>
      <c r="BU352" s="30">
        <f>IF(BT352="Above 2",0,IF(BT352="Between 1.5 to 2",5,IF(BT352="Less than 1.5",10,0)))</f>
        <v/>
      </c>
      <c r="BV352" s="30" t="inlineStr">
        <is>
          <t>Less than 50% and Borrowings are increasing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More than 1.2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IF(B353=0,"",RANK(B353,$B$2:$B$400,0))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2" t="inlineStr">
        <is>
          <t>ASKAUTOLTD</t>
        </is>
      </c>
      <c r="D353" s="32" t="inlineStr">
        <is>
          <t>ASK Automotive Ltd</t>
        </is>
      </c>
      <c r="E353" s="30" t="inlineStr">
        <is>
          <t>auto</t>
        </is>
      </c>
      <c r="F353" s="30" t="inlineStr">
        <is>
          <t>auto ancillaries</t>
        </is>
      </c>
      <c r="G353" s="30" t="inlineStr">
        <is>
          <t>midcap</t>
        </is>
      </c>
      <c r="H353" s="31" t="n">
        <v>8993.65</v>
      </c>
      <c r="I353" s="31" t="n">
        <v>463.25</v>
      </c>
      <c r="J353" s="31" t="n">
        <v>1.55</v>
      </c>
      <c r="K353" s="31" t="n">
        <v>158970</v>
      </c>
      <c r="L353" s="30" t="n">
        <v>6</v>
      </c>
      <c r="M353" s="30" t="inlineStr">
        <is>
          <t>Underperforming</t>
        </is>
      </c>
      <c r="N353" s="31">
        <f>IF(M353="Underperforming",-5,IF(L353&gt;=95,15,IF(L353&gt;=90,10,IF(L353&gt;=80,5,0))))</f>
        <v/>
      </c>
      <c r="O353" s="31" t="n">
        <v>54.45</v>
      </c>
      <c r="P353" s="31" t="n">
        <v>9.51</v>
      </c>
      <c r="Q353" s="31" t="n">
        <v>370.18</v>
      </c>
      <c r="R353" s="30" t="inlineStr">
        <is>
          <t>Earnings / Momentum Support</t>
        </is>
      </c>
      <c r="S353" s="30" t="inlineStr">
        <is>
          <t>Nifty Auto</t>
        </is>
      </c>
      <c r="T353" s="31" t="n">
        <v>12.95</v>
      </c>
      <c r="U353" s="31" t="n">
        <v>-1.43</v>
      </c>
      <c r="V353" s="31" t="n">
        <v>-12.74</v>
      </c>
      <c r="W353" s="31" t="n">
        <v>2.94</v>
      </c>
      <c r="X353" s="30" t="inlineStr">
        <is>
          <t>Growing Industry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No</t>
        </is>
      </c>
      <c r="AC353" s="30">
        <f>IF(AB353="No",5,0)</f>
        <v/>
      </c>
      <c r="AD353" s="30" t="inlineStr">
        <is>
          <t>Headwind</t>
        </is>
      </c>
      <c r="AE353" s="30">
        <f>IF(AD353="Tailwind",10,0)</f>
        <v/>
      </c>
      <c r="AF353" s="30" t="inlineStr">
        <is>
          <t>Structural (10 Years Consistency)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Stable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B2B</t>
        </is>
      </c>
      <c r="AO353" s="30">
        <f>IF(AN353="B2C",10,IF(AN353="B2B",5,0))</f>
        <v/>
      </c>
      <c r="AP353" s="30" t="inlineStr">
        <is>
          <t>No</t>
        </is>
      </c>
      <c r="AQ353" s="30">
        <f>IF(AP353="Yes",10,0)</f>
        <v/>
      </c>
      <c r="AR353" s="30" t="inlineStr">
        <is>
          <t>Higher One Time, Lower Annuity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0 to 20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1</t>
        </is>
      </c>
      <c r="BC353" s="30">
        <f>IF(BB353="Stage 2",20,IF(BB353="Stage 1",0,IF(BB353="Stage 3",5,IF(BB353="Stage 4",-5,0))))</f>
        <v/>
      </c>
      <c r="BD353" s="30" t="inlineStr">
        <is>
          <t>Positive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Close to 52 week high or retracement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More than 20%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No</t>
        </is>
      </c>
      <c r="BS353" s="30">
        <f>IF(BR353="NO",5,0)</f>
        <v/>
      </c>
      <c r="BT353" s="30" t="inlineStr">
        <is>
          <t>Less than 1.5</t>
        </is>
      </c>
      <c r="BU353" s="30">
        <f>IF(BT353="Above 2",0,IF(BT353="Between 1.5 to 2",5,IF(BT353="Less than 1.5",10,0)))</f>
        <v/>
      </c>
      <c r="BV353" s="30" t="inlineStr">
        <is>
          <t>Between 50% to 70%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Less than 0.7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IF(B354=0,"",RANK(B354,$B$2:$B$400,0))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2" t="inlineStr">
        <is>
          <t>MAITHANALL</t>
        </is>
      </c>
      <c r="D354" s="32" t="inlineStr">
        <is>
          <t>Maithan Alloys Limited</t>
        </is>
      </c>
      <c r="E354" s="30" t="inlineStr">
        <is>
          <t>metals &amp; mining</t>
        </is>
      </c>
      <c r="F354" s="30" t="inlineStr">
        <is>
          <t>mining / minerals / metals</t>
        </is>
      </c>
      <c r="G354" s="30" t="inlineStr">
        <is>
          <t>smallcap</t>
        </is>
      </c>
      <c r="H354" s="31" t="n">
        <v>3286.99</v>
      </c>
      <c r="I354" s="31" t="n">
        <v>1136.2</v>
      </c>
      <c r="J354" s="31" t="n">
        <v>0.63</v>
      </c>
      <c r="K354" s="31" t="n">
        <v>483972</v>
      </c>
      <c r="L354" s="30" t="n">
        <v>18</v>
      </c>
      <c r="M354" s="30" t="inlineStr">
        <is>
          <t>Underperforming</t>
        </is>
      </c>
      <c r="N354" s="31">
        <f>IF(M354="Underperforming",-5,IF(L354&gt;=95,15,IF(L354&gt;=90,10,IF(L354&gt;=80,5,0))))</f>
        <v/>
      </c>
      <c r="O354" s="31" t="n">
        <v>61.45</v>
      </c>
      <c r="P354" s="31" t="n">
        <v>16.53</v>
      </c>
      <c r="Q354" s="31" t="n">
        <v>874.24</v>
      </c>
      <c r="R354" s="30" t="inlineStr">
        <is>
          <t>Volume Spike / Accumulation</t>
        </is>
      </c>
      <c r="S354" s="30" t="inlineStr">
        <is>
          <t>Nifty Metal</t>
        </is>
      </c>
      <c r="T354" s="31" t="n">
        <v>42.37</v>
      </c>
      <c r="U354" s="31" t="n">
        <v>1.41</v>
      </c>
      <c r="V354" s="31" t="n">
        <v>-28.77</v>
      </c>
      <c r="W354" s="31" t="n">
        <v>5.75</v>
      </c>
      <c r="X354" s="30" t="inlineStr">
        <is>
          <t>Cyclical in an Upturn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No</t>
        </is>
      </c>
      <c r="AC354" s="30">
        <f>IF(AB354="No",5,0)</f>
        <v/>
      </c>
      <c r="AD354" s="30" t="inlineStr">
        <is>
          <t>Tailwind</t>
        </is>
      </c>
      <c r="AE354" s="30">
        <f>IF(AD354="Tailwind",10,0)</f>
        <v/>
      </c>
      <c r="AF354" s="30" t="inlineStr">
        <is>
          <t>Cyclical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Volatile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B2B</t>
        </is>
      </c>
      <c r="AO354" s="30">
        <f>IF(AN354="B2C",10,IF(AN354="B2B",5,0))</f>
        <v/>
      </c>
      <c r="AP354" s="30" t="inlineStr">
        <is>
          <t>Yes</t>
        </is>
      </c>
      <c r="AQ354" s="30">
        <f>IF(AP354="Yes",10,0)</f>
        <v/>
      </c>
      <c r="AR354" s="30" t="inlineStr">
        <is>
          <t>Higher One Time, Lower Annuity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0 to 20</t>
        </is>
      </c>
      <c r="AY354" s="30">
        <f>IF(AX354="Above 40",20,IF(AX354="20 to 40",10,IF(AX354="0 to 20",-5,0)))</f>
        <v/>
      </c>
      <c r="AZ354" s="30" t="inlineStr">
        <is>
          <t>Between 50 to 75</t>
        </is>
      </c>
      <c r="BA354" s="30">
        <f>IF(AZ354="Between 50 to 75",10,IF(AZ354="Above 75",0,0))</f>
        <v/>
      </c>
      <c r="BB354" s="30" t="inlineStr">
        <is>
          <t>Stage 2</t>
        </is>
      </c>
      <c r="BC354" s="30">
        <f>IF(BB354="Stage 2",20,IF(BB354="Stage 1",0,IF(BB354="Stage 3",5,IF(BB354="Stage 4",-5,0))))</f>
        <v/>
      </c>
      <c r="BD354" s="30" t="inlineStr">
        <is>
          <t>Positive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Close to 52 week high or retracement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Less than 12%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No</t>
        </is>
      </c>
      <c r="BS354" s="30">
        <f>IF(BR354="NO",5,0)</f>
        <v/>
      </c>
      <c r="BT354" s="30" t="inlineStr">
        <is>
          <t>Above 2</t>
        </is>
      </c>
      <c r="BU354" s="30">
        <f>IF(BT354="Above 2",0,IF(BT354="Between 1.5 to 2",5,IF(BT354="Less than 1.5",10,0)))</f>
        <v/>
      </c>
      <c r="BV354" s="30" t="inlineStr">
        <is>
          <t>Above 70%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Less than 0.7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IF(B355=0,"",RANK(B355,$B$2:$B$400,0))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0" t="inlineStr">
        <is>
          <t>KRYSTAL</t>
        </is>
      </c>
      <c r="D355" s="30" t="inlineStr">
        <is>
          <t>Krystal Integrated Services Ltd</t>
        </is>
      </c>
      <c r="E355" s="30" t="inlineStr">
        <is>
          <t>miscellaneous</t>
        </is>
      </c>
      <c r="F355" s="30" t="inlineStr">
        <is>
          <t>miscellaneous</t>
        </is>
      </c>
      <c r="G355" s="30" t="inlineStr">
        <is>
          <t>smallcap</t>
        </is>
      </c>
      <c r="H355" s="31" t="n">
        <v>838.74</v>
      </c>
      <c r="I355" s="31" t="n">
        <v>601.65</v>
      </c>
      <c r="J355" s="31" t="n">
        <v>0.22</v>
      </c>
      <c r="K355" s="31" t="n">
        <v>11773</v>
      </c>
      <c r="L355" s="30" t="n">
        <v>5</v>
      </c>
      <c r="M355" s="30" t="inlineStr">
        <is>
          <t>Outperforming</t>
        </is>
      </c>
      <c r="N355" s="31">
        <f>IF(M355="Underperforming",-5,IF(L355&gt;=95,15,IF(L355&gt;=90,10,IF(L355&gt;=80,5,0))))</f>
        <v/>
      </c>
      <c r="O355" s="31" t="n">
        <v>54.26</v>
      </c>
      <c r="P355" s="31" t="n">
        <v>14.93</v>
      </c>
      <c r="Q355" s="31" t="n">
        <v>479.15</v>
      </c>
      <c r="R355" s="30" t="inlineStr">
        <is>
          <t>Earnings / Momentum Support</t>
        </is>
      </c>
      <c r="S355" s="30" t="inlineStr">
        <is>
          <t>Nifty 50</t>
        </is>
      </c>
      <c r="T355" s="31" t="n">
        <v>-3.76</v>
      </c>
      <c r="U355" s="31" t="n">
        <v>2.01</v>
      </c>
      <c r="V355" s="31" t="n">
        <v>6</v>
      </c>
      <c r="W355" s="31" t="n">
        <v>2.82</v>
      </c>
      <c r="X355" s="30" t="inlineStr">
        <is>
          <t>Growing Industry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Tailwind</t>
        </is>
      </c>
      <c r="AE355" s="30">
        <f>IF(AD355="Tailwind",10,0)</f>
        <v/>
      </c>
      <c r="AF355" s="30" t="inlineStr">
        <is>
          <t>Structural (10 Years Consistency)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Stable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B2B</t>
        </is>
      </c>
      <c r="AO355" s="30">
        <f>IF(AN355="B2C",10,IF(AN355="B2B",5,0))</f>
        <v/>
      </c>
      <c r="AP355" s="30" t="inlineStr">
        <is>
          <t>No</t>
        </is>
      </c>
      <c r="AQ355" s="30">
        <f>IF(AP355="Yes",10,0)</f>
        <v/>
      </c>
      <c r="AR355" s="30" t="inlineStr">
        <is>
          <t>Higher One Time, Lower Annuity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0 to 20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1</t>
        </is>
      </c>
      <c r="BC355" s="30">
        <f>IF(BB355="Stage 2",20,IF(BB355="Stage 1",0,IF(BB355="Stage 3",5,IF(BB355="Stage 4",-5,0))))</f>
        <v/>
      </c>
      <c r="BD355" s="30" t="inlineStr">
        <is>
          <t>Positive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Less than 12%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No</t>
        </is>
      </c>
      <c r="BS355" s="30">
        <f>IF(BR355="NO",5,0)</f>
        <v/>
      </c>
      <c r="BT355" s="30" t="inlineStr">
        <is>
          <t>Less than 1.5</t>
        </is>
      </c>
      <c r="BU355" s="30">
        <f>IF(BT355="Above 2",0,IF(BT355="Between 1.5 to 2",5,IF(BT355="Less than 1.5",10,0)))</f>
        <v/>
      </c>
      <c r="BV355" s="30" t="inlineStr">
        <is>
          <t>Less than 50%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Less than 0.7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IF(B356=0,"",RANK(B356,$B$2:$B$400,0))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0" t="inlineStr">
        <is>
          <t>NEOGEN</t>
        </is>
      </c>
      <c r="D356" s="30" t="inlineStr">
        <is>
          <t>Neogen Chemicals Ltd</t>
        </is>
      </c>
      <c r="E356" s="30" t="inlineStr">
        <is>
          <t>chemicals</t>
        </is>
      </c>
      <c r="F356" s="30" t="inlineStr">
        <is>
          <t>chemicals</t>
        </is>
      </c>
      <c r="G356" s="30" t="inlineStr">
        <is>
          <t>midcap</t>
        </is>
      </c>
      <c r="H356" s="31" t="n">
        <v>5294.79</v>
      </c>
      <c r="I356" s="31" t="n">
        <v>1929.5</v>
      </c>
      <c r="J356" s="31" t="n">
        <v>-0.22</v>
      </c>
      <c r="K356" s="31" t="n">
        <v>84251</v>
      </c>
      <c r="L356" s="30" t="n">
        <v>62</v>
      </c>
      <c r="M356" s="30" t="inlineStr">
        <is>
          <t>Outperforming</t>
        </is>
      </c>
      <c r="N356" s="31">
        <f>IF(M356="Underperforming",-5,IF(L356&gt;=95,15,IF(L356&gt;=90,10,IF(L356&gt;=80,5,0))))</f>
        <v/>
      </c>
      <c r="O356" s="31" t="n">
        <v>65.56</v>
      </c>
      <c r="P356" s="31" t="n">
        <v>34.62</v>
      </c>
      <c r="Q356" s="31" t="n">
        <v>1509.62</v>
      </c>
      <c r="R356" s="30" t="inlineStr">
        <is>
          <t>Earnings / Momentum Support</t>
        </is>
      </c>
      <c r="S356" s="30" t="inlineStr">
        <is>
          <t>Nifty 50</t>
        </is>
      </c>
      <c r="T356" s="31" t="n">
        <v>-3.76</v>
      </c>
      <c r="U356" s="31" t="n">
        <v>21.02</v>
      </c>
      <c r="V356" s="31" t="n">
        <v>25.75</v>
      </c>
      <c r="W356" s="31" t="n">
        <v>16.01</v>
      </c>
      <c r="X356" s="30" t="inlineStr">
        <is>
          <t>Growing Industry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No</t>
        </is>
      </c>
      <c r="AC356" s="30">
        <f>IF(AB356="No",5,0)</f>
        <v/>
      </c>
      <c r="AD356" s="30" t="inlineStr">
        <is>
          <t>Tailwind</t>
        </is>
      </c>
      <c r="AE356" s="30">
        <f>IF(AD356="Tailwind",10,0)</f>
        <v/>
      </c>
      <c r="AF356" s="30" t="inlineStr">
        <is>
          <t>Structural (10 Years Consistency)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Stable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B2B</t>
        </is>
      </c>
      <c r="AO356" s="30">
        <f>IF(AN356="B2C",10,IF(AN356="B2B",5,0))</f>
        <v/>
      </c>
      <c r="AP356" s="30" t="inlineStr">
        <is>
          <t>No</t>
        </is>
      </c>
      <c r="AQ356" s="30">
        <f>IF(AP356="Yes",10,0)</f>
        <v/>
      </c>
      <c r="AR356" s="30" t="inlineStr">
        <is>
          <t>Higher One Time, Lower Annuity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20 to 40</t>
        </is>
      </c>
      <c r="AY356" s="30">
        <f>IF(AX356="Above 40",20,IF(AX356="20 to 40",10,IF(AX356="0 to 20",-5,0)))</f>
        <v/>
      </c>
      <c r="AZ356" s="30" t="inlineStr">
        <is>
          <t>Between 50 to 75</t>
        </is>
      </c>
      <c r="BA356" s="30">
        <f>IF(AZ356="Between 50 to 75",10,IF(AZ356="Above 75",0,0))</f>
        <v/>
      </c>
      <c r="BB356" s="30" t="inlineStr">
        <is>
          <t>Stage 2</t>
        </is>
      </c>
      <c r="BC356" s="30">
        <f>IF(BB356="Stage 2",20,IF(BB356="Stage 1",0,IF(BB356="Stage 3",5,IF(BB356="Stage 4",-5,0))))</f>
        <v/>
      </c>
      <c r="BD356" s="30" t="inlineStr">
        <is>
          <t>Positive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Close to 52 week high or retracement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More than 20%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Yes</t>
        </is>
      </c>
      <c r="BS356" s="30">
        <f>IF(BR356="NO",5,0)</f>
        <v/>
      </c>
      <c r="BT356" s="30" t="inlineStr">
        <is>
          <t>Above 2</t>
        </is>
      </c>
      <c r="BU356" s="30">
        <f>IF(BT356="Above 2",0,IF(BT356="Between 1.5 to 2",5,IF(BT356="Less than 1.5",10,0)))</f>
        <v/>
      </c>
      <c r="BV356" s="30" t="inlineStr">
        <is>
          <t>Negative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More than 1.2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IF(B357=0,"",RANK(B357,$B$2:$B$400,0))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0" t="inlineStr">
        <is>
          <t>TEGA</t>
        </is>
      </c>
      <c r="D357" s="30" t="inlineStr">
        <is>
          <t>Tega Industries Ltd</t>
        </is>
      </c>
      <c r="E357" s="30" t="inlineStr">
        <is>
          <t>industrials</t>
        </is>
      </c>
      <c r="F357" s="30" t="inlineStr">
        <is>
          <t>engineering</t>
        </is>
      </c>
      <c r="G357" s="30" t="inlineStr">
        <is>
          <t>midcap</t>
        </is>
      </c>
      <c r="H357" s="31" t="n">
        <v>13774.66</v>
      </c>
      <c r="I357" s="31" t="n">
        <v>1819.7</v>
      </c>
      <c r="J357" s="31" t="n">
        <v>-0.75</v>
      </c>
      <c r="K357" s="31" t="n">
        <v>39518</v>
      </c>
      <c r="L357" s="30" t="n">
        <v>19</v>
      </c>
      <c r="M357" s="30" t="inlineStr">
        <is>
          <t>Outperforming</t>
        </is>
      </c>
      <c r="N357" s="31">
        <f>IF(M357="Underperforming",-5,IF(L357&gt;=95,15,IF(L357&gt;=90,10,IF(L357&gt;=80,5,0))))</f>
        <v/>
      </c>
      <c r="O357" s="31" t="n">
        <v>54.49</v>
      </c>
      <c r="P357" s="31" t="n">
        <v>9.31</v>
      </c>
      <c r="Q357" s="31" t="n">
        <v>1444.17</v>
      </c>
      <c r="R357" s="30" t="inlineStr">
        <is>
          <t>Earnings / Momentum Support</t>
        </is>
      </c>
      <c r="S357" s="30" t="inlineStr">
        <is>
          <t>Nifty 50</t>
        </is>
      </c>
      <c r="T357" s="31" t="n">
        <v>-3.76</v>
      </c>
      <c r="U357" s="31" t="n">
        <v>20.72</v>
      </c>
      <c r="V357" s="31" t="n">
        <v>25.44</v>
      </c>
      <c r="W357" s="31" t="n">
        <v>5.98</v>
      </c>
      <c r="X357" s="30" t="inlineStr">
        <is>
          <t>Cyclical in an Upturn</t>
        </is>
      </c>
      <c r="Y357" s="30">
        <f>IF(X357="Growing Industry",10,IF(X357="Cyclical in an Upturn",5,0))</f>
        <v/>
      </c>
      <c r="Z357" s="30" t="inlineStr">
        <is>
          <t>Too Many Players with High ROCE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No</t>
        </is>
      </c>
      <c r="AC357" s="30">
        <f>IF(AB357="No",5,0)</f>
        <v/>
      </c>
      <c r="AD357" s="30" t="inlineStr">
        <is>
          <t>Headwind</t>
        </is>
      </c>
      <c r="AE357" s="30">
        <f>IF(AD357="Tailwind",10,0)</f>
        <v/>
      </c>
      <c r="AF357" s="30" t="inlineStr">
        <is>
          <t>Structural (10 Years Consistency)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Stable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B2B</t>
        </is>
      </c>
      <c r="AO357" s="30">
        <f>IF(AN357="B2C",10,IF(AN357="B2B",5,0))</f>
        <v/>
      </c>
      <c r="AP357" s="30" t="inlineStr">
        <is>
          <t>No</t>
        </is>
      </c>
      <c r="AQ357" s="30">
        <f>IF(AP357="Yes",10,0)</f>
        <v/>
      </c>
      <c r="AR357" s="30" t="inlineStr">
        <is>
          <t>Higher One Time, Lower Annuity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0 to 20</t>
        </is>
      </c>
      <c r="AY357" s="30">
        <f>IF(AX357="Above 40",20,IF(AX357="20 to 40",10,IF(AX357="0 to 20",-5,0)))</f>
        <v/>
      </c>
      <c r="AZ357" s="30" t="inlineStr">
        <is>
          <t>Between 50 to 75</t>
        </is>
      </c>
      <c r="BA357" s="30">
        <f>IF(AZ357="Between 50 to 75",10,IF(AZ357="Above 75",0,0))</f>
        <v/>
      </c>
      <c r="BB357" s="30" t="inlineStr">
        <is>
          <t>Stage 2</t>
        </is>
      </c>
      <c r="BC357" s="30">
        <f>IF(BB357="Stage 2",20,IF(BB357="Stage 1",0,IF(BB357="Stage 3",5,IF(BB357="Stage 4",-5,0))))</f>
        <v/>
      </c>
      <c r="BD357" s="30" t="inlineStr">
        <is>
          <t>Positive Trend</t>
        </is>
      </c>
      <c r="BE357" s="30">
        <f>IF(BD357="Positive Trend",20,IF(BD357="Negative Trend",-10,0))</f>
        <v/>
      </c>
      <c r="BF357" s="30" t="inlineStr">
        <is>
          <t>Uptrend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Close to 52 week high or retracement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Yes</t>
        </is>
      </c>
      <c r="BM357" s="30">
        <f>IF(BL357="Yes",10,0)</f>
        <v/>
      </c>
      <c r="BN357" s="30" t="inlineStr">
        <is>
          <t>Less than 12%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Yes</t>
        </is>
      </c>
      <c r="BS357" s="30">
        <f>IF(BR357="NO",5,0)</f>
        <v/>
      </c>
      <c r="BT357" s="30" t="inlineStr">
        <is>
          <t>Above 2</t>
        </is>
      </c>
      <c r="BU357" s="30">
        <f>IF(BT357="Above 2",0,IF(BT357="Between 1.5 to 2",5,IF(BT357="Less than 1.5",10,0)))</f>
        <v/>
      </c>
      <c r="BV357" s="30" t="inlineStr">
        <is>
          <t>Above 70%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Less than 0.7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IF(B358=0,"",RANK(B358,$B$2:$B$400,0))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0" t="inlineStr">
        <is>
          <t>UNITDSPR</t>
        </is>
      </c>
      <c r="D358" s="30" t="inlineStr">
        <is>
          <t>United Spirits Ltd</t>
        </is>
      </c>
      <c r="E358" s="30" t="inlineStr">
        <is>
          <t>fmcg</t>
        </is>
      </c>
      <c r="F358" s="30" t="inlineStr">
        <is>
          <t>breweries &amp; distilleries</t>
        </is>
      </c>
      <c r="G358" s="30" t="inlineStr">
        <is>
          <t>largecap</t>
        </is>
      </c>
      <c r="H358" s="31" t="n">
        <v>95137.49000000001</v>
      </c>
      <c r="I358" s="31" t="n">
        <v>1350.3</v>
      </c>
      <c r="J358" s="31" t="n">
        <v>3.23</v>
      </c>
      <c r="K358" s="31" t="n">
        <v>2744272</v>
      </c>
      <c r="L358" s="30" t="n">
        <v>1</v>
      </c>
      <c r="M358" s="30" t="inlineStr">
        <is>
          <t>Outperforming</t>
        </is>
      </c>
      <c r="N358" s="31">
        <f>IF(M358="Underperforming",-5,IF(L358&gt;=95,15,IF(L358&gt;=90,10,IF(L358&gt;=80,5,0))))</f>
        <v/>
      </c>
      <c r="O358" s="31" t="n">
        <v>52.91</v>
      </c>
      <c r="P358" s="31" t="n">
        <v>18.2</v>
      </c>
      <c r="Q358" s="31" t="n">
        <v>1175.94</v>
      </c>
      <c r="R358" s="30" t="inlineStr">
        <is>
          <t>Earnings / Momentum Support</t>
        </is>
      </c>
      <c r="S358" s="30" t="inlineStr">
        <is>
          <t>Nifty FMCG</t>
        </is>
      </c>
      <c r="T358" s="31" t="n">
        <v>-9.109999999999999</v>
      </c>
      <c r="U358" s="31" t="n">
        <v>-6.47</v>
      </c>
      <c r="V358" s="31" t="n">
        <v>2.91</v>
      </c>
      <c r="W358" s="31" t="n">
        <v>-0.39</v>
      </c>
      <c r="X358" s="30" t="inlineStr">
        <is>
          <t>Growing Industry</t>
        </is>
      </c>
      <c r="Y358" s="30">
        <f>IF(X358="Growing Industry",10,IF(X358="Cyclical in an Upturn",5,0))</f>
        <v/>
      </c>
      <c r="Z358" s="30" t="inlineStr">
        <is>
          <t>Too Many Players with High ROCE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No</t>
        </is>
      </c>
      <c r="AC358" s="30">
        <f>IF(AB358="No",5,0)</f>
        <v/>
      </c>
      <c r="AD358" s="30" t="inlineStr">
        <is>
          <t>Headwind</t>
        </is>
      </c>
      <c r="AE358" s="30">
        <f>IF(AD358="Tailwind",10,0)</f>
        <v/>
      </c>
      <c r="AF358" s="30" t="inlineStr">
        <is>
          <t>Structural (10 Years Consistency)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Stable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B2C</t>
        </is>
      </c>
      <c r="AO358" s="30">
        <f>IF(AN358="B2C",10,IF(AN358="B2B",5,0))</f>
        <v/>
      </c>
      <c r="AP358" s="30" t="inlineStr">
        <is>
          <t>No</t>
        </is>
      </c>
      <c r="AQ358" s="30">
        <f>IF(AP358="Yes",10,0)</f>
        <v/>
      </c>
      <c r="AR358" s="30" t="inlineStr">
        <is>
          <t>Higher Annuity, Lower One Time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0 to 20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1</t>
        </is>
      </c>
      <c r="BC358" s="30">
        <f>IF(BB358="Stage 2",20,IF(BB358="Stage 1",0,IF(BB358="Stage 3",5,IF(BB358="Stage 4",-5,0))))</f>
        <v/>
      </c>
      <c r="BD358" s="30" t="inlineStr">
        <is>
          <t>Positive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Close to 52 week high or retracement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More than 20%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Yes</t>
        </is>
      </c>
      <c r="BS358" s="30">
        <f>IF(BR358="NO",5,0)</f>
        <v/>
      </c>
      <c r="BT358" s="30" t="inlineStr">
        <is>
          <t>Above 2</t>
        </is>
      </c>
      <c r="BU358" s="30">
        <f>IF(BT358="Above 2",0,IF(BT358="Between 1.5 to 2",5,IF(BT358="Less than 1.5",10,0)))</f>
        <v/>
      </c>
      <c r="BV358" s="30" t="inlineStr">
        <is>
          <t>Between 50% to 70%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Less than 0.7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IF(B359=0,"",RANK(B359,$B$2:$B$400,0))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2" t="inlineStr">
        <is>
          <t>DIVISLAB</t>
        </is>
      </c>
      <c r="D359" s="32" t="inlineStr">
        <is>
          <t>Divi's Laboratories Limited</t>
        </is>
      </c>
      <c r="E359" s="30" t="inlineStr">
        <is>
          <t>healthcare</t>
        </is>
      </c>
      <c r="F359" s="30" t="inlineStr">
        <is>
          <t>pharmaceuticals - indian - bulk drugs</t>
        </is>
      </c>
      <c r="G359" s="30" t="inlineStr">
        <is>
          <t>largecap</t>
        </is>
      </c>
      <c r="H359" s="31" t="n">
        <v>176894.99</v>
      </c>
      <c r="I359" s="31" t="n">
        <v>6767</v>
      </c>
      <c r="J359" s="31" t="n">
        <v>1.55</v>
      </c>
      <c r="K359" s="31" t="n">
        <v>411896</v>
      </c>
      <c r="L359" s="30" t="n">
        <v>6</v>
      </c>
      <c r="M359" s="30" t="inlineStr">
        <is>
          <t>Underperforming</t>
        </is>
      </c>
      <c r="N359" s="31">
        <f>IF(M359="Underperforming",-5,IF(L359&gt;=95,15,IF(L359&gt;=90,10,IF(L359&gt;=80,5,0))))</f>
        <v/>
      </c>
      <c r="O359" s="31" t="n">
        <v>60.04</v>
      </c>
      <c r="P359" s="31" t="n">
        <v>13.96</v>
      </c>
      <c r="Q359" s="31" t="n">
        <v>5949.68</v>
      </c>
      <c r="R359" s="30" t="inlineStr">
        <is>
          <t>Near 52W High Breakout</t>
        </is>
      </c>
      <c r="S359" s="30" t="inlineStr">
        <is>
          <t>Nifty Pharma</t>
        </is>
      </c>
      <c r="T359" s="31" t="n">
        <v>12.35</v>
      </c>
      <c r="U359" s="31" t="n">
        <v>3.12</v>
      </c>
      <c r="V359" s="31" t="n">
        <v>-8.210000000000001</v>
      </c>
      <c r="W359" s="31" t="n">
        <v>3</v>
      </c>
      <c r="X359" s="30" t="inlineStr">
        <is>
          <t>Growing Industry</t>
        </is>
      </c>
      <c r="Y359" s="30">
        <f>IF(X359="Growing Industry",10,IF(X359="Cyclical in an Upturn",5,0))</f>
        <v/>
      </c>
      <c r="Z359" s="30" t="inlineStr">
        <is>
          <t>Too Many Players with High ROCE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Yes</t>
        </is>
      </c>
      <c r="AC359" s="30">
        <f>IF(AB359="No",5,0)</f>
        <v/>
      </c>
      <c r="AD359" s="30" t="inlineStr">
        <is>
          <t>Tailwind</t>
        </is>
      </c>
      <c r="AE359" s="30">
        <f>IF(AD359="Tailwind",10,0)</f>
        <v/>
      </c>
      <c r="AF359" s="30" t="inlineStr">
        <is>
          <t>Structural (10 Years Consistency)</t>
        </is>
      </c>
      <c r="AG359" s="30">
        <f>IF(AF359="Structural (10 Years Consistency)",10,IF(AF359="Shallow Cyclical (2 to 3 years growth)",5,0))</f>
        <v/>
      </c>
      <c r="AH359" s="30" t="inlineStr">
        <is>
          <t>No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Stable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Yes</t>
        </is>
      </c>
      <c r="AQ359" s="30">
        <f>IF(AP359="Yes",10,0)</f>
        <v/>
      </c>
      <c r="AR359" s="30" t="inlineStr">
        <is>
          <t>Higher Annuity, Lower One Time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Good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0 to 20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2</t>
        </is>
      </c>
      <c r="BC359" s="30">
        <f>IF(BB359="Stage 2",20,IF(BB359="Stage 1",0,IF(BB359="Stage 3",5,IF(BB359="Stage 4",-5,0))))</f>
        <v/>
      </c>
      <c r="BD359" s="30" t="inlineStr">
        <is>
          <t>Negative Trend</t>
        </is>
      </c>
      <c r="BE359" s="30">
        <f>IF(BD359="Positive Trend",20,IF(BD359="Negative Trend",-10,0))</f>
        <v/>
      </c>
      <c r="BF359" s="30" t="inlineStr">
        <is>
          <t>Uptrend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Blue sky scenario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Between 12 to 20%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Yes</t>
        </is>
      </c>
      <c r="BS359" s="30">
        <f>IF(BR359="NO",5,0)</f>
        <v/>
      </c>
      <c r="BT359" s="30" t="inlineStr">
        <is>
          <t>Above 2</t>
        </is>
      </c>
      <c r="BU359" s="30">
        <f>IF(BT359="Above 2",0,IF(BT359="Between 1.5 to 2",5,IF(BT359="Less than 1.5",10,0)))</f>
        <v/>
      </c>
      <c r="BV359" s="30" t="inlineStr">
        <is>
          <t>Above 70%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Less than 0.7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Less than 15%</t>
        </is>
      </c>
      <c r="CC359" s="30">
        <f>IF(CB359="More than 15%",-10,IF(CB359="Less than 15%",10,0))</f>
        <v/>
      </c>
      <c r="CD359" s="30" t="inlineStr">
        <is>
          <t>No</t>
        </is>
      </c>
      <c r="CE359" s="30">
        <f>IF(CD359="Yes, more than 10%",-10,IF(CD359="No",10,0))</f>
        <v/>
      </c>
    </row>
    <row r="360">
      <c r="A360" s="30">
        <f>IF(B360=0,"",RANK(B360,$B$2:$B$400,0))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2" t="inlineStr">
        <is>
          <t>REDINGTON</t>
        </is>
      </c>
      <c r="D360" s="32" t="inlineStr">
        <is>
          <t>Redington (india) Limited</t>
        </is>
      </c>
      <c r="E360" s="30" t="inlineStr">
        <is>
          <t>services</t>
        </is>
      </c>
      <c r="F360" s="30" t="inlineStr">
        <is>
          <t>trading</t>
        </is>
      </c>
      <c r="G360" s="30" t="inlineStr">
        <is>
          <t>midcap</t>
        </is>
      </c>
      <c r="H360" s="31" t="n">
        <v>19459.93</v>
      </c>
      <c r="I360" s="31" t="n">
        <v>271.95</v>
      </c>
      <c r="J360" s="31" t="n">
        <v>9.25</v>
      </c>
      <c r="K360" s="31" t="n">
        <v>41965202</v>
      </c>
      <c r="L360" s="30" t="n">
        <v>15</v>
      </c>
      <c r="M360" s="30" t="inlineStr">
        <is>
          <t>Underperforming</t>
        </is>
      </c>
      <c r="N360" s="31">
        <f>IF(M360="Underperforming",-5,IF(L360&gt;=95,15,IF(L360&gt;=90,10,IF(L360&gt;=80,5,0))))</f>
        <v/>
      </c>
      <c r="O360" s="31" t="n">
        <v>59.96</v>
      </c>
      <c r="P360" s="31" t="n">
        <v>10.18</v>
      </c>
      <c r="Q360" s="31" t="n">
        <v>203.5</v>
      </c>
      <c r="R360" s="30" t="inlineStr">
        <is>
          <t>Volume Spike / Accumulation</t>
        </is>
      </c>
      <c r="S360" s="30" t="inlineStr">
        <is>
          <t>Nifty 50</t>
        </is>
      </c>
      <c r="T360" s="31" t="n">
        <v>-3.76</v>
      </c>
      <c r="U360" s="31" t="n">
        <v>-5.18</v>
      </c>
      <c r="V360" s="31" t="n">
        <v>-1.48</v>
      </c>
      <c r="W360" s="31" t="n">
        <v>5.08</v>
      </c>
      <c r="X360" s="30" t="inlineStr">
        <is>
          <t>Growing Industry</t>
        </is>
      </c>
      <c r="Y360" s="30">
        <f>IF(X360="Growing Industry",10,IF(X360="Cyclical in an Upturn",5,0))</f>
        <v/>
      </c>
      <c r="Z360" s="30" t="inlineStr">
        <is>
          <t>Too Many Players with High ROCE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No</t>
        </is>
      </c>
      <c r="AC360" s="30">
        <f>IF(AB360="No",5,0)</f>
        <v/>
      </c>
      <c r="AD360" s="30" t="inlineStr">
        <is>
          <t>Tailwind</t>
        </is>
      </c>
      <c r="AE360" s="30">
        <f>IF(AD360="Tailwind",10,0)</f>
        <v/>
      </c>
      <c r="AF360" s="30" t="inlineStr">
        <is>
          <t>Structural (10 Years Consistency)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Stable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Yes</t>
        </is>
      </c>
      <c r="AQ360" s="30">
        <f>IF(AP360="Yes",10,0)</f>
        <v/>
      </c>
      <c r="AR360" s="30" t="inlineStr">
        <is>
          <t>Higher One Time, Lower Annuity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0 to 20</t>
        </is>
      </c>
      <c r="AY360" s="30">
        <f>IF(AX360="Above 40",20,IF(AX360="20 to 40",10,IF(AX360="0 to 20",-5,0)))</f>
        <v/>
      </c>
      <c r="AZ360" s="30" t="inlineStr">
        <is>
          <t>Between 50 to 75</t>
        </is>
      </c>
      <c r="BA360" s="30">
        <f>IF(AZ360="Between 50 to 75",10,IF(AZ360="Above 75",0,0))</f>
        <v/>
      </c>
      <c r="BB360" s="30" t="inlineStr">
        <is>
          <t>Stage 1</t>
        </is>
      </c>
      <c r="BC360" s="30">
        <f>IF(BB360="Stage 2",20,IF(BB360="Stage 1",0,IF(BB360="Stage 3",5,IF(BB360="Stage 4",-5,0))))</f>
        <v/>
      </c>
      <c r="BD360" s="30" t="inlineStr">
        <is>
          <t>Positive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Close to 52 week high or retracement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Less than 12%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No</t>
        </is>
      </c>
      <c r="BS360" s="30">
        <f>IF(BR360="NO",5,0)</f>
        <v/>
      </c>
      <c r="BT360" s="30" t="inlineStr">
        <is>
          <t>Above 2</t>
        </is>
      </c>
      <c r="BU360" s="30">
        <f>IF(BT360="Above 2",0,IF(BT360="Between 1.5 to 2",5,IF(BT360="Less than 1.5",10,0)))</f>
        <v/>
      </c>
      <c r="BV360" s="30" t="inlineStr">
        <is>
          <t>Less than 50%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Less than 0.7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IF(B361=0,"",RANK(B361,$B$2:$B$400,0))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2" t="inlineStr">
        <is>
          <t>MMP</t>
        </is>
      </c>
      <c r="D361" s="32" t="inlineStr">
        <is>
          <t>MMP Industries Ltd</t>
        </is>
      </c>
      <c r="E361" s="30" t="inlineStr">
        <is>
          <t>metals &amp; mining</t>
        </is>
      </c>
      <c r="F361" s="30" t="inlineStr">
        <is>
          <t>aluminium and aluminium products</t>
        </is>
      </c>
      <c r="G361" s="30" t="inlineStr">
        <is>
          <t>smallcap</t>
        </is>
      </c>
      <c r="H361" s="31" t="n">
        <v>677.36</v>
      </c>
      <c r="I361" s="31" t="n">
        <v>276.3</v>
      </c>
      <c r="J361" s="31" t="n">
        <v>3.62</v>
      </c>
      <c r="K361" s="31" t="n">
        <v>36886</v>
      </c>
      <c r="L361" s="30" t="n">
        <v>27</v>
      </c>
      <c r="M361" s="30" t="inlineStr">
        <is>
          <t>Underperforming</t>
        </is>
      </c>
      <c r="N361" s="31">
        <f>IF(M361="Underperforming",-5,IF(L361&gt;=95,15,IF(L361&gt;=90,10,IF(L361&gt;=80,5,0))))</f>
        <v/>
      </c>
      <c r="O361" s="31" t="n">
        <v>55.83</v>
      </c>
      <c r="P361" s="31" t="n">
        <v>24.43</v>
      </c>
      <c r="Q361" s="31" t="n">
        <v>210.5</v>
      </c>
      <c r="R361" s="30" t="inlineStr">
        <is>
          <t>Earnings / Momentum Support</t>
        </is>
      </c>
      <c r="S361" s="30" t="inlineStr">
        <is>
          <t>Nifty Metal</t>
        </is>
      </c>
      <c r="T361" s="31" t="n">
        <v>42.37</v>
      </c>
      <c r="U361" s="31" t="n">
        <v>6.53</v>
      </c>
      <c r="V361" s="31" t="n">
        <v>-25.17</v>
      </c>
      <c r="W361" s="31" t="n">
        <v>7.58</v>
      </c>
      <c r="X361" s="30" t="inlineStr">
        <is>
          <t>Cyclical in an Upturn</t>
        </is>
      </c>
      <c r="Y361" s="30">
        <f>IF(X361="Growing Industry",10,IF(X361="Cyclical in an Upturn",5,0))</f>
        <v/>
      </c>
      <c r="Z361" s="30" t="inlineStr">
        <is>
          <t>Too Many Players with High ROCE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No</t>
        </is>
      </c>
      <c r="AC361" s="30">
        <f>IF(AB361="No",5,0)</f>
        <v/>
      </c>
      <c r="AD361" s="30" t="inlineStr">
        <is>
          <t>Tailwind</t>
        </is>
      </c>
      <c r="AE361" s="30">
        <f>IF(AD361="Tailwind",10,0)</f>
        <v/>
      </c>
      <c r="AF361" s="30" t="inlineStr">
        <is>
          <t>Cyclical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Volatile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No</t>
        </is>
      </c>
      <c r="AQ361" s="30">
        <f>IF(AP361="Yes",10,0)</f>
        <v/>
      </c>
      <c r="AR361" s="30" t="inlineStr">
        <is>
          <t>Higher One Time, Lower Annuity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20 to 40</t>
        </is>
      </c>
      <c r="AY361" s="30">
        <f>IF(AX361="Above 40",20,IF(AX361="20 to 40",10,IF(AX361="0 to 20",-5,0)))</f>
        <v/>
      </c>
      <c r="AZ361" s="30" t="inlineStr">
        <is>
          <t>Between 50 to 75</t>
        </is>
      </c>
      <c r="BA361" s="30">
        <f>IF(AZ361="Between 50 to 75",10,IF(AZ361="Above 75",0,0))</f>
        <v/>
      </c>
      <c r="BB361" s="30" t="inlineStr">
        <is>
          <t>Stage 2</t>
        </is>
      </c>
      <c r="BC361" s="30">
        <f>IF(BB361="Stage 2",20,IF(BB361="Stage 1",0,IF(BB361="Stage 3",5,IF(BB361="Stage 4",-5,0))))</f>
        <v/>
      </c>
      <c r="BD361" s="30" t="inlineStr">
        <is>
          <t>Negative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Close to 52 week high or retracement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More than 20%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No</t>
        </is>
      </c>
      <c r="BS361" s="30">
        <f>IF(BR361="NO",5,0)</f>
        <v/>
      </c>
      <c r="BT361" s="30" t="inlineStr">
        <is>
          <t>Less than 1.5</t>
        </is>
      </c>
      <c r="BU361" s="30">
        <f>IF(BT361="Above 2",0,IF(BT361="Between 1.5 to 2",5,IF(BT361="Less than 1.5",10,0)))</f>
        <v/>
      </c>
      <c r="BV361" s="30" t="inlineStr">
        <is>
          <t>Above 70%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Less than 0.7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  <row r="362">
      <c r="A362" s="30">
        <f>IF(B362=0,"",RANK(B362,$B$2:$B$400,0))</f>
        <v/>
      </c>
      <c r="B362" s="31">
        <f>SUM(N362,Y362,AA362,AC362,AE362,AG362,AI362,AK362,AM362,AO362,AQ362,AS362,AU362,AW362,AY362,BA362,BC362,BE362,BG362,BI362,BK362,BM362,BO362,BQ362,BS362,BU362,BW362,BY362,CA362,CC362,CE362)</f>
        <v/>
      </c>
      <c r="C362" s="30" t="inlineStr">
        <is>
          <t>SCHNEIDER</t>
        </is>
      </c>
      <c r="D362" s="30" t="inlineStr">
        <is>
          <t>Schneider Electric Infrastructure Limited</t>
        </is>
      </c>
      <c r="E362" s="30" t="inlineStr">
        <is>
          <t>industrials</t>
        </is>
      </c>
      <c r="F362" s="30" t="inlineStr">
        <is>
          <t>electric equipment</t>
        </is>
      </c>
      <c r="G362" s="30" t="inlineStr">
        <is>
          <t>largecap</t>
        </is>
      </c>
      <c r="H362" s="31" t="n">
        <v>30284.92</v>
      </c>
      <c r="I362" s="31" t="n">
        <v>1301</v>
      </c>
      <c r="J362" s="31" t="n">
        <v>2.72</v>
      </c>
      <c r="K362" s="31" t="n">
        <v>623107</v>
      </c>
      <c r="L362" s="30" t="n">
        <v>77</v>
      </c>
      <c r="M362" s="30" t="inlineStr">
        <is>
          <t>Outperforming</t>
        </is>
      </c>
      <c r="N362" s="31">
        <f>IF(M362="Underperforming",-5,IF(L362&gt;=95,15,IF(L362&gt;=90,10,IF(L362&gt;=80,5,0))))</f>
        <v/>
      </c>
      <c r="O362" s="31" t="n">
        <v>65.56999999999999</v>
      </c>
      <c r="P362" s="31" t="n">
        <v>39.76</v>
      </c>
      <c r="Q362" s="31" t="n">
        <v>986.67</v>
      </c>
      <c r="R362" s="30" t="inlineStr">
        <is>
          <t>Volume Spike &amp; Near 52W High Breakout</t>
        </is>
      </c>
      <c r="S362" s="30" t="inlineStr">
        <is>
          <t>Nifty 50</t>
        </is>
      </c>
      <c r="T362" s="31" t="n">
        <v>-3.76</v>
      </c>
      <c r="U362" s="31" t="n">
        <v>72.23</v>
      </c>
      <c r="V362" s="31" t="n">
        <v>78.95999999999999</v>
      </c>
      <c r="W362" s="31" t="n">
        <v>22.87</v>
      </c>
      <c r="X362" s="30" t="inlineStr">
        <is>
          <t>Cyclical in an Upturn</t>
        </is>
      </c>
      <c r="Y362" s="30">
        <f>IF(X362="Growing Industry",10,IF(X362="Cyclical in an Upturn",5,0))</f>
        <v/>
      </c>
      <c r="Z362" s="30" t="inlineStr">
        <is>
          <t>Too Many Players with High ROCE</t>
        </is>
      </c>
      <c r="AA362" s="30">
        <f>IF(Z362="Monopoly",10,IF(Z362="Oligopoly",5,IF(Z362="Duopoly that cooperate",10,IF(Z362="Duopoly that compete",5,IF(Z362="Too many players with High ROCE",5,0)))))</f>
        <v/>
      </c>
      <c r="AB362" s="30" t="inlineStr">
        <is>
          <t>No</t>
        </is>
      </c>
      <c r="AC362" s="30">
        <f>IF(AB362="No",5,0)</f>
        <v/>
      </c>
      <c r="AD362" s="30" t="inlineStr">
        <is>
          <t>Tailwind</t>
        </is>
      </c>
      <c r="AE362" s="30">
        <f>IF(AD362="Tailwind",10,0)</f>
        <v/>
      </c>
      <c r="AF362" s="30" t="inlineStr">
        <is>
          <t>Structural (10 Years Consistency)</t>
        </is>
      </c>
      <c r="AG362" s="30">
        <f>IF(AF362="Structural (10 Years Consistency)",10,IF(AF362="Shallow Cyclical (2 to 3 years growth)",5,0))</f>
        <v/>
      </c>
      <c r="AH362" s="30" t="inlineStr">
        <is>
          <t>No</t>
        </is>
      </c>
      <c r="AI362" s="30">
        <f>IF(AH362="Yes due to Product Mix change or Operating Leverage",10,IF(AH362="Yes, these are peak margins",-5,IF(AH362="No",5,0)))</f>
        <v/>
      </c>
      <c r="AJ362" s="30" t="inlineStr">
        <is>
          <t>Stable</t>
        </is>
      </c>
      <c r="AK362" s="30">
        <f>IF(AJ362="Stable",10,0)</f>
        <v/>
      </c>
      <c r="AL362" s="30" t="inlineStr">
        <is>
          <t>Yes</t>
        </is>
      </c>
      <c r="AM362" s="30">
        <f>IF(AL362="Yes",10,0)</f>
        <v/>
      </c>
      <c r="AN362" s="30" t="inlineStr">
        <is>
          <t>B2B</t>
        </is>
      </c>
      <c r="AO362" s="30">
        <f>IF(AN362="B2C",10,IF(AN362="B2B",5,0))</f>
        <v/>
      </c>
      <c r="AP362" s="30" t="inlineStr">
        <is>
          <t>Yes</t>
        </is>
      </c>
      <c r="AQ362" s="30">
        <f>IF(AP362="Yes",10,0)</f>
        <v/>
      </c>
      <c r="AR362" s="30" t="inlineStr">
        <is>
          <t>Higher One Time, Lower Annuity</t>
        </is>
      </c>
      <c r="AS362" s="30">
        <f>IF(AR362="Fully Annuity",10,IF(AR362="Higher Annuity, Lower One Time",5,IF(AR362="Higher One Time, Lower Annuity",3,0)))</f>
        <v/>
      </c>
      <c r="AT362" s="30" t="inlineStr">
        <is>
          <t>Good</t>
        </is>
      </c>
      <c r="AU362" s="30">
        <f>IF(AT362="Good",10,0)</f>
        <v/>
      </c>
      <c r="AV362" s="30" t="inlineStr">
        <is>
          <t>Yes for more than 2 years</t>
        </is>
      </c>
      <c r="AW362" s="30">
        <f>IF(AV362="Yes for more than 2 years",10,IF(AV362="Yes only for next 1 to 2 years",5,0))</f>
        <v/>
      </c>
      <c r="AX362" s="30" t="inlineStr">
        <is>
          <t>20 to 40</t>
        </is>
      </c>
      <c r="AY362" s="30">
        <f>IF(AX362="Above 40",20,IF(AX362="20 to 40",10,IF(AX362="0 to 20",-5,0)))</f>
        <v/>
      </c>
      <c r="AZ362" s="30" t="inlineStr">
        <is>
          <t>Between 50 to 75</t>
        </is>
      </c>
      <c r="BA362" s="30">
        <f>IF(AZ362="Between 50 to 75",10,IF(AZ362="Above 75",0,0))</f>
        <v/>
      </c>
      <c r="BB362" s="30" t="inlineStr">
        <is>
          <t>Stage 2</t>
        </is>
      </c>
      <c r="BC362" s="30">
        <f>IF(BB362="Stage 2",20,IF(BB362="Stage 1",0,IF(BB362="Stage 3",5,IF(BB362="Stage 4",-5,0))))</f>
        <v/>
      </c>
      <c r="BD362" s="30" t="inlineStr">
        <is>
          <t>Negative Trend</t>
        </is>
      </c>
      <c r="BE362" s="30">
        <f>IF(BD362="Positive Trend",20,IF(BD362="Negative Trend",-10,0))</f>
        <v/>
      </c>
      <c r="BF362" s="30" t="inlineStr">
        <is>
          <t>Uptrend</t>
        </is>
      </c>
      <c r="BG362" s="30">
        <f>IF(BF362="Uptrend",10,IF(BF362="Sideways",5,0))</f>
        <v/>
      </c>
      <c r="BH362" s="30" t="inlineStr">
        <is>
          <t>Uptrend</t>
        </is>
      </c>
      <c r="BI362" s="30">
        <f>IF(BH362="Uptrend",10,IF(BH362="Sideways",5,0))</f>
        <v/>
      </c>
      <c r="BJ362" s="30" t="inlineStr">
        <is>
          <t>Blue sky scenario</t>
        </is>
      </c>
      <c r="BK362" s="30">
        <f>IF(BJ362="Overhead supply in last 2 years in last 2 years",-5,IF(BJ362="Close to 52 week high or retracement",5,IF(BJ362="Blue sky scenario",10,IF(BJ362="Long term Downtrend",-10,0))))</f>
        <v/>
      </c>
      <c r="BL362" s="30" t="inlineStr">
        <is>
          <t>Yes</t>
        </is>
      </c>
      <c r="BM362" s="30">
        <f>IF(BL362="Yes",10,0)</f>
        <v/>
      </c>
      <c r="BN362" s="30" t="inlineStr">
        <is>
          <t>Less than 12%</t>
        </is>
      </c>
      <c r="BO362" s="30">
        <f>IF(BN362="More than 20%",10,IF(BN362="Between 12 to 20%",5,IF(BN362="Less than 12%",0,0)))</f>
        <v/>
      </c>
      <c r="BP362" s="30" t="inlineStr">
        <is>
          <t>No</t>
        </is>
      </c>
      <c r="BQ362" s="30">
        <f>IF(BP362="No",10,0)</f>
        <v/>
      </c>
      <c r="BR362" s="30" t="inlineStr">
        <is>
          <t>Yes</t>
        </is>
      </c>
      <c r="BS362" s="30">
        <f>IF(BR362="NO",5,0)</f>
        <v/>
      </c>
      <c r="BT362" s="30" t="inlineStr">
        <is>
          <t>Above 2</t>
        </is>
      </c>
      <c r="BU362" s="30">
        <f>IF(BT362="Above 2",0,IF(BT362="Between 1.5 to 2",5,IF(BT362="Less than 1.5",10,0)))</f>
        <v/>
      </c>
      <c r="BV362" s="30" t="inlineStr">
        <is>
          <t>Between 50% to 70%</t>
        </is>
      </c>
      <c r="BW362" s="30">
        <f>IF(BV362="Above 70%",10,IF(BV362="Between 50% to 70%",5,IF(BV362="Less than 50%",0,IF(BV362="Negative",-10,IF(BV362="Less than 50% and Borrowings are increasing",-5,0)))))</f>
        <v/>
      </c>
      <c r="BX362" s="30" t="inlineStr">
        <is>
          <t>Between 0.7 to 1.2</t>
        </is>
      </c>
      <c r="BY362" s="30">
        <f>IF(BX362="More than 1.2",-10,IF(BX362="Between 0.7 to 1.2",0,IF(BX362="Less than 0.7",10,0)))</f>
        <v/>
      </c>
      <c r="BZ362" s="30" t="inlineStr">
        <is>
          <t>No</t>
        </is>
      </c>
      <c r="CA362" s="30">
        <f>IF(BZ362="Yes",-10,0)</f>
        <v/>
      </c>
      <c r="CB362" s="30" t="inlineStr">
        <is>
          <t>Less than 15%</t>
        </is>
      </c>
      <c r="CC362" s="30">
        <f>IF(CB362="More than 15%",-10,IF(CB362="Less than 15%",10,0))</f>
        <v/>
      </c>
      <c r="CD362" s="30" t="inlineStr">
        <is>
          <t>No</t>
        </is>
      </c>
      <c r="CE362" s="30">
        <f>IF(CD362="Yes, more than 10%",-10,IF(CD362="No",10,0))</f>
        <v/>
      </c>
    </row>
    <row r="363">
      <c r="A363" s="30">
        <f>IF(B363=0,"",RANK(B363,$B$2:$B$400,0))</f>
        <v/>
      </c>
      <c r="B363" s="31">
        <f>SUM(N363,Y363,AA363,AC363,AE363,AG363,AI363,AK363,AM363,AO363,AQ363,AS363,AU363,AW363,AY363,BA363,BC363,BE363,BG363,BI363,BK363,BM363,BO363,BQ363,BS363,BU363,BW363,BY363,CA363,CC363,CE363)</f>
        <v/>
      </c>
      <c r="C363" s="30" t="inlineStr">
        <is>
          <t>SOBHA</t>
        </is>
      </c>
      <c r="D363" s="30" t="inlineStr">
        <is>
          <t>Sobha Limited</t>
        </is>
      </c>
      <c r="E363" s="30" t="inlineStr">
        <is>
          <t>realty</t>
        </is>
      </c>
      <c r="F363" s="30" t="inlineStr">
        <is>
          <t>construction</t>
        </is>
      </c>
      <c r="G363" s="30" t="inlineStr">
        <is>
          <t>midcap</t>
        </is>
      </c>
      <c r="H363" s="31" t="n">
        <v>15136.11</v>
      </c>
      <c r="I363" s="31" t="n">
        <v>1426.9</v>
      </c>
      <c r="J363" s="31" t="n">
        <v>0.83</v>
      </c>
      <c r="K363" s="31" t="n">
        <v>85317</v>
      </c>
      <c r="L363" s="30" t="n">
        <v>4</v>
      </c>
      <c r="M363" s="30" t="inlineStr">
        <is>
          <t>Outperforming</t>
        </is>
      </c>
      <c r="N363" s="31">
        <f>IF(M363="Underperforming",-5,IF(L363&gt;=95,15,IF(L363&gt;=90,10,IF(L363&gt;=80,5,0))))</f>
        <v/>
      </c>
      <c r="O363" s="31" t="n">
        <v>52.04</v>
      </c>
      <c r="P363" s="31" t="n">
        <v>15.5</v>
      </c>
      <c r="Q363" s="31" t="n">
        <v>1127.58</v>
      </c>
      <c r="R363" s="30" t="inlineStr">
        <is>
          <t>Earnings / Momentum Support</t>
        </is>
      </c>
      <c r="S363" s="30" t="inlineStr">
        <is>
          <t>Nifty Realty</t>
        </is>
      </c>
      <c r="T363" s="31" t="n">
        <v>-19.08</v>
      </c>
      <c r="U363" s="31" t="n">
        <v>-3.96</v>
      </c>
      <c r="V363" s="31" t="n">
        <v>18.69</v>
      </c>
      <c r="W363" s="31" t="n">
        <v>2.18</v>
      </c>
      <c r="X363" s="30" t="inlineStr">
        <is>
          <t>Growing Industry</t>
        </is>
      </c>
      <c r="Y363" s="30">
        <f>IF(X363="Growing Industry",10,IF(X363="Cyclical in an Upturn",5,0))</f>
        <v/>
      </c>
      <c r="Z363" s="30" t="inlineStr">
        <is>
          <t>Too Many Players with High ROCE</t>
        </is>
      </c>
      <c r="AA363" s="30">
        <f>IF(Z363="Monopoly",10,IF(Z363="Oligopoly",5,IF(Z363="Duopoly that cooperate",10,IF(Z363="Duopoly that compete",5,IF(Z363="Too many players with High ROCE",5,0)))))</f>
        <v/>
      </c>
      <c r="AB363" s="30" t="inlineStr">
        <is>
          <t>No</t>
        </is>
      </c>
      <c r="AC363" s="30">
        <f>IF(AB363="No",5,0)</f>
        <v/>
      </c>
      <c r="AD363" s="30" t="inlineStr">
        <is>
          <t>Headwind</t>
        </is>
      </c>
      <c r="AE363" s="30">
        <f>IF(AD363="Tailwind",10,0)</f>
        <v/>
      </c>
      <c r="AF363" s="30" t="inlineStr">
        <is>
          <t>Structural (10 Years Consistency)</t>
        </is>
      </c>
      <c r="AG363" s="30">
        <f>IF(AF363="Structural (10 Years Consistency)",10,IF(AF363="Shallow Cyclical (2 to 3 years growth)",5,0))</f>
        <v/>
      </c>
      <c r="AH363" s="30" t="inlineStr">
        <is>
          <t>No</t>
        </is>
      </c>
      <c r="AI363" s="30">
        <f>IF(AH363="Yes due to Product Mix change or Operating Leverage",10,IF(AH363="Yes, these are peak margins",-5,IF(AH363="No",5,0)))</f>
        <v/>
      </c>
      <c r="AJ363" s="30" t="inlineStr">
        <is>
          <t>Stable</t>
        </is>
      </c>
      <c r="AK363" s="30">
        <f>IF(AJ363="Stable",10,0)</f>
        <v/>
      </c>
      <c r="AL363" s="30" t="inlineStr">
        <is>
          <t>Yes</t>
        </is>
      </c>
      <c r="AM363" s="30">
        <f>IF(AL363="Yes",10,0)</f>
        <v/>
      </c>
      <c r="AN363" s="30" t="inlineStr">
        <is>
          <t>B2B</t>
        </is>
      </c>
      <c r="AO363" s="30">
        <f>IF(AN363="B2C",10,IF(AN363="B2B",5,0))</f>
        <v/>
      </c>
      <c r="AP363" s="30" t="inlineStr">
        <is>
          <t>No</t>
        </is>
      </c>
      <c r="AQ363" s="30">
        <f>IF(AP363="Yes",10,0)</f>
        <v/>
      </c>
      <c r="AR363" s="30" t="inlineStr">
        <is>
          <t>Higher One Time, Lower Annuity</t>
        </is>
      </c>
      <c r="AS363" s="30">
        <f>IF(AR363="Fully Annuity",10,IF(AR363="Higher Annuity, Lower One Time",5,IF(AR363="Higher One Time, Lower Annuity",3,0)))</f>
        <v/>
      </c>
      <c r="AT363" s="30" t="inlineStr">
        <is>
          <t>Good</t>
        </is>
      </c>
      <c r="AU363" s="30">
        <f>IF(AT363="Good",10,0)</f>
        <v/>
      </c>
      <c r="AV363" s="30" t="inlineStr">
        <is>
          <t>Yes for more than 2 years</t>
        </is>
      </c>
      <c r="AW363" s="30">
        <f>IF(AV363="Yes for more than 2 years",10,IF(AV363="Yes only for next 1 to 2 years",5,0))</f>
        <v/>
      </c>
      <c r="AX363" s="30" t="inlineStr">
        <is>
          <t>0 to 20</t>
        </is>
      </c>
      <c r="AY363" s="30">
        <f>IF(AX363="Above 40",20,IF(AX363="20 to 40",10,IF(AX363="0 to 20",-5,0)))</f>
        <v/>
      </c>
      <c r="AZ363" s="30" t="inlineStr">
        <is>
          <t>Between 50 to 75</t>
        </is>
      </c>
      <c r="BA363" s="30">
        <f>IF(AZ363="Between 50 to 75",10,IF(AZ363="Above 75",0,0))</f>
        <v/>
      </c>
      <c r="BB363" s="30" t="inlineStr">
        <is>
          <t>Stage 1</t>
        </is>
      </c>
      <c r="BC363" s="30">
        <f>IF(BB363="Stage 2",20,IF(BB363="Stage 1",0,IF(BB363="Stage 3",5,IF(BB363="Stage 4",-5,0))))</f>
        <v/>
      </c>
      <c r="BD363" s="30" t="inlineStr">
        <is>
          <t>Positive Trend</t>
        </is>
      </c>
      <c r="BE363" s="30">
        <f>IF(BD363="Positive Trend",20,IF(BD363="Negative Trend",-10,0))</f>
        <v/>
      </c>
      <c r="BF363" s="30" t="inlineStr">
        <is>
          <t>Uptrend</t>
        </is>
      </c>
      <c r="BG363" s="30">
        <f>IF(BF363="Uptrend",10,IF(BF363="Sideways",5,0))</f>
        <v/>
      </c>
      <c r="BH363" s="30" t="inlineStr">
        <is>
          <t>Uptrend</t>
        </is>
      </c>
      <c r="BI363" s="30">
        <f>IF(BH363="Uptrend",10,IF(BH363="Sideways",5,0))</f>
        <v/>
      </c>
      <c r="BJ363" s="30" t="inlineStr">
        <is>
          <t>Close to 52 week high or retracement</t>
        </is>
      </c>
      <c r="BK363" s="30">
        <f>IF(BJ363="Overhead supply in last 2 years in last 2 years",-5,IF(BJ363="Close to 52 week high or retracement",5,IF(BJ363="Blue sky scenario",10,IF(BJ363="Long term Downtrend",-10,0))))</f>
        <v/>
      </c>
      <c r="BL363" s="30" t="inlineStr">
        <is>
          <t>Yes</t>
        </is>
      </c>
      <c r="BM363" s="30">
        <f>IF(BL363="Yes",10,0)</f>
        <v/>
      </c>
      <c r="BN363" s="30" t="inlineStr">
        <is>
          <t>More than 20%</t>
        </is>
      </c>
      <c r="BO363" s="30">
        <f>IF(BN363="More than 20%",10,IF(BN363="Between 12 to 20%",5,IF(BN363="Less than 12%",0,0)))</f>
        <v/>
      </c>
      <c r="BP363" s="30" t="inlineStr">
        <is>
          <t>No</t>
        </is>
      </c>
      <c r="BQ363" s="30">
        <f>IF(BP363="No",10,0)</f>
        <v/>
      </c>
      <c r="BR363" s="30" t="inlineStr">
        <is>
          <t>Yes</t>
        </is>
      </c>
      <c r="BS363" s="30">
        <f>IF(BR363="NO",5,0)</f>
        <v/>
      </c>
      <c r="BT363" s="30" t="inlineStr">
        <is>
          <t>Above 2</t>
        </is>
      </c>
      <c r="BU363" s="30">
        <f>IF(BT363="Above 2",0,IF(BT363="Between 1.5 to 2",5,IF(BT363="Less than 1.5",10,0)))</f>
        <v/>
      </c>
      <c r="BV363" s="30" t="inlineStr">
        <is>
          <t>Above 70%</t>
        </is>
      </c>
      <c r="BW363" s="30">
        <f>IF(BV363="Above 70%",10,IF(BV363="Between 50% to 70%",5,IF(BV363="Less than 50%",0,IF(BV363="Negative",-10,IF(BV363="Less than 50% and Borrowings are increasing",-5,0)))))</f>
        <v/>
      </c>
      <c r="BX363" s="30" t="inlineStr">
        <is>
          <t>Less than 0.7</t>
        </is>
      </c>
      <c r="BY363" s="30">
        <f>IF(BX363="More than 1.2",-10,IF(BX363="Between 0.7 to 1.2",0,IF(BX363="Less than 0.7",10,0)))</f>
        <v/>
      </c>
      <c r="BZ363" s="30" t="inlineStr">
        <is>
          <t>No</t>
        </is>
      </c>
      <c r="CA363" s="30">
        <f>IF(BZ363="Yes",-10,0)</f>
        <v/>
      </c>
      <c r="CB363" s="30" t="inlineStr">
        <is>
          <t>Less than 15%</t>
        </is>
      </c>
      <c r="CC363" s="30">
        <f>IF(CB363="More than 15%",-10,IF(CB363="Less than 15%",10,0))</f>
        <v/>
      </c>
      <c r="CD363" s="30" t="inlineStr">
        <is>
          <t>No</t>
        </is>
      </c>
      <c r="CE363" s="30">
        <f>IF(CD363="Yes, more than 10%",-10,IF(CD363="No",10,0))</f>
        <v/>
      </c>
    </row>
    <row r="364">
      <c r="A364" s="30">
        <f>IF(B364=0,"",RANK(B364,$B$2:$B$400,0))</f>
        <v/>
      </c>
      <c r="B364" s="31">
        <f>SUM(N364,Y364,AA364,AC364,AE364,AG364,AI364,AK364,AM364,AO364,AQ364,AS364,AU364,AW364,AY364,BA364,BC364,BE364,BG364,BI364,BK364,BM364,BO364,BQ364,BS364,BU364,BW364,BY364,CA364,CC364,CE364)</f>
        <v/>
      </c>
      <c r="C364" s="30" t="inlineStr">
        <is>
          <t>MSPL</t>
        </is>
      </c>
      <c r="D364" s="30" t="inlineStr">
        <is>
          <t>Msp Steel &amp; Power Limited</t>
        </is>
      </c>
      <c r="E364" s="30" t="inlineStr">
        <is>
          <t>metals &amp; mining</t>
        </is>
      </c>
      <c r="F364" s="30" t="inlineStr">
        <is>
          <t>steel - medium / small</t>
        </is>
      </c>
      <c r="G364" s="30" t="inlineStr">
        <is>
          <t>smallcap</t>
        </is>
      </c>
      <c r="H364" s="31" t="n">
        <v>2379.41</v>
      </c>
      <c r="I364" s="31" t="n">
        <v>42.21</v>
      </c>
      <c r="J364" s="31" t="n">
        <v>0.55</v>
      </c>
      <c r="K364" s="31" t="n">
        <v>5707929</v>
      </c>
      <c r="L364" s="30" t="n">
        <v>71</v>
      </c>
      <c r="M364" s="30" t="inlineStr">
        <is>
          <t>Outperforming</t>
        </is>
      </c>
      <c r="N364" s="31">
        <f>IF(M364="Underperforming",-5,IF(L364&gt;=95,15,IF(L364&gt;=90,10,IF(L364&gt;=80,5,0))))</f>
        <v/>
      </c>
      <c r="O364" s="31" t="n">
        <v>64.41</v>
      </c>
      <c r="P364" s="31" t="n">
        <v>22.17</v>
      </c>
      <c r="Q364" s="31" t="n">
        <v>32.43</v>
      </c>
      <c r="R364" s="30" t="inlineStr">
        <is>
          <t>Volume Spike &amp; Near 52W High Breakout</t>
        </is>
      </c>
      <c r="S364" s="30" t="inlineStr">
        <is>
          <t>Nifty Metal</t>
        </is>
      </c>
      <c r="T364" s="31" t="n">
        <v>42.37</v>
      </c>
      <c r="U364" s="31" t="n">
        <v>55.99</v>
      </c>
      <c r="V364" s="31" t="n">
        <v>9.57</v>
      </c>
      <c r="W364" s="31" t="n">
        <v>19.97</v>
      </c>
      <c r="X364" s="30" t="inlineStr">
        <is>
          <t>Cyclical in an Upturn</t>
        </is>
      </c>
      <c r="Y364" s="30">
        <f>IF(X364="Growing Industry",10,IF(X364="Cyclical in an Upturn",5,0))</f>
        <v/>
      </c>
      <c r="Z364" s="30" t="inlineStr">
        <is>
          <t>Too Many Players with High ROCE</t>
        </is>
      </c>
      <c r="AA364" s="30">
        <f>IF(Z364="Monopoly",10,IF(Z364="Oligopoly",5,IF(Z364="Duopoly that cooperate",10,IF(Z364="Duopoly that compete",5,IF(Z364="Too many players with High ROCE",5,0)))))</f>
        <v/>
      </c>
      <c r="AB364" s="30" t="inlineStr">
        <is>
          <t>No</t>
        </is>
      </c>
      <c r="AC364" s="30">
        <f>IF(AB364="No",5,0)</f>
        <v/>
      </c>
      <c r="AD364" s="30" t="inlineStr">
        <is>
          <t>Tailwind</t>
        </is>
      </c>
      <c r="AE364" s="30">
        <f>IF(AD364="Tailwind",10,0)</f>
        <v/>
      </c>
      <c r="AF364" s="30" t="inlineStr">
        <is>
          <t>Cyclical</t>
        </is>
      </c>
      <c r="AG364" s="30">
        <f>IF(AF364="Structural (10 Years Consistency)",10,IF(AF364="Shallow Cyclical (2 to 3 years growth)",5,0))</f>
        <v/>
      </c>
      <c r="AH364" s="30" t="inlineStr">
        <is>
          <t>No</t>
        </is>
      </c>
      <c r="AI364" s="30">
        <f>IF(AH364="Yes due to Product Mix change or Operating Leverage",10,IF(AH364="Yes, these are peak margins",-5,IF(AH364="No",5,0)))</f>
        <v/>
      </c>
      <c r="AJ364" s="30" t="inlineStr">
        <is>
          <t>Volatile</t>
        </is>
      </c>
      <c r="AK364" s="30">
        <f>IF(AJ364="Stable",10,0)</f>
        <v/>
      </c>
      <c r="AL364" s="30" t="inlineStr">
        <is>
          <t>Yes</t>
        </is>
      </c>
      <c r="AM364" s="30">
        <f>IF(AL364="Yes",10,0)</f>
        <v/>
      </c>
      <c r="AN364" s="30" t="inlineStr">
        <is>
          <t>B2B</t>
        </is>
      </c>
      <c r="AO364" s="30">
        <f>IF(AN364="B2C",10,IF(AN364="B2B",5,0))</f>
        <v/>
      </c>
      <c r="AP364" s="30" t="inlineStr">
        <is>
          <t>Yes</t>
        </is>
      </c>
      <c r="AQ364" s="30">
        <f>IF(AP364="Yes",10,0)</f>
        <v/>
      </c>
      <c r="AR364" s="30" t="inlineStr">
        <is>
          <t>Higher One Time, Lower Annuity</t>
        </is>
      </c>
      <c r="AS364" s="30">
        <f>IF(AR364="Fully Annuity",10,IF(AR364="Higher Annuity, Lower One Time",5,IF(AR364="Higher One Time, Lower Annuity",3,0)))</f>
        <v/>
      </c>
      <c r="AT364" s="30" t="inlineStr">
        <is>
          <t>Good</t>
        </is>
      </c>
      <c r="AU364" s="30">
        <f>IF(AT364="Good",10,0)</f>
        <v/>
      </c>
      <c r="AV364" s="30" t="inlineStr">
        <is>
          <t>Yes for more than 2 years</t>
        </is>
      </c>
      <c r="AW364" s="30">
        <f>IF(AV364="Yes for more than 2 years",10,IF(AV364="Yes only for next 1 to 2 years",5,0))</f>
        <v/>
      </c>
      <c r="AX364" s="30" t="inlineStr">
        <is>
          <t>20 to 40</t>
        </is>
      </c>
      <c r="AY364" s="30">
        <f>IF(AX364="Above 40",20,IF(AX364="20 to 40",10,IF(AX364="0 to 20",-5,0)))</f>
        <v/>
      </c>
      <c r="AZ364" s="30" t="inlineStr">
        <is>
          <t>Between 50 to 75</t>
        </is>
      </c>
      <c r="BA364" s="30">
        <f>IF(AZ364="Between 50 to 75",10,IF(AZ364="Above 75",0,0))</f>
        <v/>
      </c>
      <c r="BB364" s="30" t="inlineStr">
        <is>
          <t>Stage 2</t>
        </is>
      </c>
      <c r="BC364" s="30">
        <f>IF(BB364="Stage 2",20,IF(BB364="Stage 1",0,IF(BB364="Stage 3",5,IF(BB364="Stage 4",-5,0))))</f>
        <v/>
      </c>
      <c r="BD364" s="30" t="inlineStr">
        <is>
          <t>Negative Trend</t>
        </is>
      </c>
      <c r="BE364" s="30">
        <f>IF(BD364="Positive Trend",20,IF(BD364="Negative Trend",-10,0))</f>
        <v/>
      </c>
      <c r="BF364" s="30" t="inlineStr">
        <is>
          <t>Uptrend</t>
        </is>
      </c>
      <c r="BG364" s="30">
        <f>IF(BF364="Uptrend",10,IF(BF364="Sideways",5,0))</f>
        <v/>
      </c>
      <c r="BH364" s="30" t="inlineStr">
        <is>
          <t>Uptrend</t>
        </is>
      </c>
      <c r="BI364" s="30">
        <f>IF(BH364="Uptrend",10,IF(BH364="Sideways",5,0))</f>
        <v/>
      </c>
      <c r="BJ364" s="30" t="inlineStr">
        <is>
          <t>Close to 52 week high or retracement</t>
        </is>
      </c>
      <c r="BK364" s="30">
        <f>IF(BJ364="Overhead supply in last 2 years in last 2 years",-5,IF(BJ364="Close to 52 week high or retracement",5,IF(BJ364="Blue sky scenario",10,IF(BJ364="Long term Downtrend",-10,0))))</f>
        <v/>
      </c>
      <c r="BL364" s="30" t="inlineStr">
        <is>
          <t>Yes</t>
        </is>
      </c>
      <c r="BM364" s="30">
        <f>IF(BL364="Yes",10,0)</f>
        <v/>
      </c>
      <c r="BN364" s="30" t="inlineStr">
        <is>
          <t>More than 20%</t>
        </is>
      </c>
      <c r="BO364" s="30">
        <f>IF(BN364="More than 20%",10,IF(BN364="Between 12 to 20%",5,IF(BN364="Less than 12%",0,0)))</f>
        <v/>
      </c>
      <c r="BP364" s="30" t="inlineStr">
        <is>
          <t>No</t>
        </is>
      </c>
      <c r="BQ364" s="30">
        <f>IF(BP364="No",10,0)</f>
        <v/>
      </c>
      <c r="BR364" s="30" t="inlineStr">
        <is>
          <t>Yes</t>
        </is>
      </c>
      <c r="BS364" s="30">
        <f>IF(BR364="NO",5,0)</f>
        <v/>
      </c>
      <c r="BT364" s="30" t="inlineStr">
        <is>
          <t>Above 2</t>
        </is>
      </c>
      <c r="BU364" s="30">
        <f>IF(BT364="Above 2",0,IF(BT364="Between 1.5 to 2",5,IF(BT364="Less than 1.5",10,0)))</f>
        <v/>
      </c>
      <c r="BV364" s="30" t="inlineStr">
        <is>
          <t>Above 70%</t>
        </is>
      </c>
      <c r="BW364" s="30">
        <f>IF(BV364="Above 70%",10,IF(BV364="Between 50% to 70%",5,IF(BV364="Less than 50%",0,IF(BV364="Negative",-10,IF(BV364="Less than 50% and Borrowings are increasing",-5,0)))))</f>
        <v/>
      </c>
      <c r="BX364" s="30" t="inlineStr">
        <is>
          <t>Less than 0.7</t>
        </is>
      </c>
      <c r="BY364" s="30">
        <f>IF(BX364="More than 1.2",-10,IF(BX364="Between 0.7 to 1.2",0,IF(BX364="Less than 0.7",10,0)))</f>
        <v/>
      </c>
      <c r="BZ364" s="30" t="inlineStr">
        <is>
          <t>No</t>
        </is>
      </c>
      <c r="CA364" s="30">
        <f>IF(BZ364="Yes",-10,0)</f>
        <v/>
      </c>
      <c r="CB364" s="30" t="inlineStr">
        <is>
          <t>Less than 15%</t>
        </is>
      </c>
      <c r="CC364" s="30">
        <f>IF(CB364="More than 15%",-10,IF(CB364="Less than 15%",10,0))</f>
        <v/>
      </c>
      <c r="CD364" s="30" t="inlineStr">
        <is>
          <t>No</t>
        </is>
      </c>
      <c r="CE364" s="30">
        <f>IF(CD364="Yes, more than 10%",-10,IF(CD364="No",10,0))</f>
        <v/>
      </c>
    </row>
    <row r="365">
      <c r="A365" s="30">
        <f>IF(B365=0,"",RANK(B365,$B$2:$B$400,0))</f>
        <v/>
      </c>
      <c r="B365" s="31">
        <f>SUM(N365,Y365,AA365,AC365,AE365,AG365,AI365,AK365,AM365,AO365,AQ365,AS365,AU365,AW365,AY365,BA365,BC365,BE365,BG365,BI365,BK365,BM365,BO365,BQ365,BS365,BU365,BW365,BY365,CA365,CC365,CE365)</f>
        <v/>
      </c>
      <c r="C365" s="30" t="inlineStr">
        <is>
          <t>GRASIM</t>
        </is>
      </c>
      <c r="D365" s="30" t="inlineStr">
        <is>
          <t>Grasim Industries Limited</t>
        </is>
      </c>
      <c r="E365" s="30" t="inlineStr">
        <is>
          <t>textiles</t>
        </is>
      </c>
      <c r="F365" s="30" t="inlineStr">
        <is>
          <t>textiles - manmade</t>
        </is>
      </c>
      <c r="G365" s="30" t="inlineStr">
        <is>
          <t>largecap</t>
        </is>
      </c>
      <c r="H365" s="31" t="n">
        <v>214410.1</v>
      </c>
      <c r="I365" s="31" t="n">
        <v>3145.1</v>
      </c>
      <c r="J365" s="31" t="n">
        <v>-0.17</v>
      </c>
      <c r="K365" s="31" t="n">
        <v>667101</v>
      </c>
      <c r="L365" s="30" t="n">
        <v>27</v>
      </c>
      <c r="M365" s="30" t="inlineStr">
        <is>
          <t>Outperforming</t>
        </is>
      </c>
      <c r="N365" s="31">
        <f>IF(M365="Underperforming",-5,IF(L365&gt;=95,15,IF(L365&gt;=90,10,IF(L365&gt;=80,5,0))))</f>
        <v/>
      </c>
      <c r="O365" s="31" t="n">
        <v>66.09999999999999</v>
      </c>
      <c r="P365" s="31" t="n">
        <v>24.12</v>
      </c>
      <c r="Q365" s="31" t="n">
        <v>2751.06</v>
      </c>
      <c r="R365" s="30" t="inlineStr">
        <is>
          <t>Near 52W High Breakout</t>
        </is>
      </c>
      <c r="S365" s="30" t="inlineStr">
        <is>
          <t>Nifty 50</t>
        </is>
      </c>
      <c r="T365" s="31" t="n">
        <v>-3.76</v>
      </c>
      <c r="U365" s="31" t="n">
        <v>16.37</v>
      </c>
      <c r="V365" s="31" t="n">
        <v>20.91</v>
      </c>
      <c r="W365" s="31" t="n">
        <v>7.53</v>
      </c>
      <c r="X365" s="30" t="inlineStr">
        <is>
          <t>Growing Industry</t>
        </is>
      </c>
      <c r="Y365" s="30">
        <f>IF(X365="Growing Industry",10,IF(X365="Cyclical in an Upturn",5,0))</f>
        <v/>
      </c>
      <c r="Z365" s="30" t="inlineStr">
        <is>
          <t>Too Many Players with High ROCE</t>
        </is>
      </c>
      <c r="AA365" s="30">
        <f>IF(Z365="Monopoly",10,IF(Z365="Oligopoly",5,IF(Z365="Duopoly that cooperate",10,IF(Z365="Duopoly that compete",5,IF(Z365="Too many players with High ROCE",5,0)))))</f>
        <v/>
      </c>
      <c r="AB365" s="30" t="inlineStr">
        <is>
          <t>No</t>
        </is>
      </c>
      <c r="AC365" s="30">
        <f>IF(AB365="No",5,0)</f>
        <v/>
      </c>
      <c r="AD365" s="30" t="inlineStr">
        <is>
          <t>Tailwind</t>
        </is>
      </c>
      <c r="AE365" s="30">
        <f>IF(AD365="Tailwind",10,0)</f>
        <v/>
      </c>
      <c r="AF365" s="30" t="inlineStr">
        <is>
          <t>Structural (10 Years Consistency)</t>
        </is>
      </c>
      <c r="AG365" s="30">
        <f>IF(AF365="Structural (10 Years Consistency)",10,IF(AF365="Shallow Cyclical (2 to 3 years growth)",5,0))</f>
        <v/>
      </c>
      <c r="AH365" s="30" t="inlineStr">
        <is>
          <t>No</t>
        </is>
      </c>
      <c r="AI365" s="30">
        <f>IF(AH365="Yes due to Product Mix change or Operating Leverage",10,IF(AH365="Yes, these are peak margins",-5,IF(AH365="No",5,0)))</f>
        <v/>
      </c>
      <c r="AJ365" s="30" t="inlineStr">
        <is>
          <t>Stable</t>
        </is>
      </c>
      <c r="AK365" s="30">
        <f>IF(AJ365="Stable",10,0)</f>
        <v/>
      </c>
      <c r="AL365" s="30" t="inlineStr">
        <is>
          <t>Yes</t>
        </is>
      </c>
      <c r="AM365" s="30">
        <f>IF(AL365="Yes",10,0)</f>
        <v/>
      </c>
      <c r="AN365" s="30" t="inlineStr">
        <is>
          <t>B2B</t>
        </is>
      </c>
      <c r="AO365" s="30">
        <f>IF(AN365="B2C",10,IF(AN365="B2B",5,0))</f>
        <v/>
      </c>
      <c r="AP365" s="30" t="inlineStr">
        <is>
          <t>Yes</t>
        </is>
      </c>
      <c r="AQ365" s="30">
        <f>IF(AP365="Yes",10,0)</f>
        <v/>
      </c>
      <c r="AR365" s="30" t="inlineStr">
        <is>
          <t>Higher One Time, Lower Annuity</t>
        </is>
      </c>
      <c r="AS365" s="30">
        <f>IF(AR365="Fully Annuity",10,IF(AR365="Higher Annuity, Lower One Time",5,IF(AR365="Higher One Time, Lower Annuity",3,0)))</f>
        <v/>
      </c>
      <c r="AT365" s="30" t="inlineStr">
        <is>
          <t>Good</t>
        </is>
      </c>
      <c r="AU365" s="30">
        <f>IF(AT365="Good",10,0)</f>
        <v/>
      </c>
      <c r="AV365" s="30" t="inlineStr">
        <is>
          <t>Yes for more than 2 years</t>
        </is>
      </c>
      <c r="AW365" s="30">
        <f>IF(AV365="Yes for more than 2 years",10,IF(AV365="Yes only for next 1 to 2 years",5,0))</f>
        <v/>
      </c>
      <c r="AX365" s="30" t="inlineStr">
        <is>
          <t>20 to 40</t>
        </is>
      </c>
      <c r="AY365" s="30">
        <f>IF(AX365="Above 40",20,IF(AX365="20 to 40",10,IF(AX365="0 to 20",-5,0)))</f>
        <v/>
      </c>
      <c r="AZ365" s="30" t="inlineStr">
        <is>
          <t>Between 50 to 75</t>
        </is>
      </c>
      <c r="BA365" s="30">
        <f>IF(AZ365="Between 50 to 75",10,IF(AZ365="Above 75",0,0))</f>
        <v/>
      </c>
      <c r="BB365" s="30" t="inlineStr">
        <is>
          <t>Stage 2</t>
        </is>
      </c>
      <c r="BC365" s="30">
        <f>IF(BB365="Stage 2",20,IF(BB365="Stage 1",0,IF(BB365="Stage 3",5,IF(BB365="Stage 4",-5,0))))</f>
        <v/>
      </c>
      <c r="BD365" s="30" t="inlineStr">
        <is>
          <t>Negative Trend</t>
        </is>
      </c>
      <c r="BE365" s="30">
        <f>IF(BD365="Positive Trend",20,IF(BD365="Negative Trend",-10,0))</f>
        <v/>
      </c>
      <c r="BF365" s="30" t="inlineStr">
        <is>
          <t>Uptrend</t>
        </is>
      </c>
      <c r="BG365" s="30">
        <f>IF(BF365="Uptrend",10,IF(BF365="Sideways",5,0))</f>
        <v/>
      </c>
      <c r="BH365" s="30" t="inlineStr">
        <is>
          <t>Uptrend</t>
        </is>
      </c>
      <c r="BI365" s="30">
        <f>IF(BH365="Uptrend",10,IF(BH365="Sideways",5,0))</f>
        <v/>
      </c>
      <c r="BJ365" s="30" t="inlineStr">
        <is>
          <t>Blue sky scenario</t>
        </is>
      </c>
      <c r="BK365" s="30">
        <f>IF(BJ365="Overhead supply in last 2 years in last 2 years",-5,IF(BJ365="Close to 52 week high or retracement",5,IF(BJ365="Blue sky scenario",10,IF(BJ365="Long term Downtrend",-10,0))))</f>
        <v/>
      </c>
      <c r="BL365" s="30" t="inlineStr">
        <is>
          <t>Yes</t>
        </is>
      </c>
      <c r="BM365" s="30">
        <f>IF(BL365="Yes",10,0)</f>
        <v/>
      </c>
      <c r="BN365" s="30" t="inlineStr">
        <is>
          <t>More than 20%</t>
        </is>
      </c>
      <c r="BO365" s="30">
        <f>IF(BN365="More than 20%",10,IF(BN365="Between 12 to 20%",5,IF(BN365="Less than 12%",0,0)))</f>
        <v/>
      </c>
      <c r="BP365" s="30" t="inlineStr">
        <is>
          <t>No</t>
        </is>
      </c>
      <c r="BQ365" s="30">
        <f>IF(BP365="No",10,0)</f>
        <v/>
      </c>
      <c r="BR365" s="30" t="inlineStr">
        <is>
          <t>Yes</t>
        </is>
      </c>
      <c r="BS365" s="30">
        <f>IF(BR365="NO",5,0)</f>
        <v/>
      </c>
      <c r="BT365" s="30" t="inlineStr">
        <is>
          <t>Less than 1.5</t>
        </is>
      </c>
      <c r="BU365" s="30">
        <f>IF(BT365="Above 2",0,IF(BT365="Between 1.5 to 2",5,IF(BT365="Less than 1.5",10,0)))</f>
        <v/>
      </c>
      <c r="BV365" s="30" t="inlineStr">
        <is>
          <t>Negative</t>
        </is>
      </c>
      <c r="BW365" s="30">
        <f>IF(BV365="Above 70%",10,IF(BV365="Between 50% to 70%",5,IF(BV365="Less than 50%",0,IF(BV365="Negative",-10,IF(BV365="Less than 50% and Borrowings are increasing",-5,0)))))</f>
        <v/>
      </c>
      <c r="BX365" s="30" t="inlineStr">
        <is>
          <t>More than 1.2</t>
        </is>
      </c>
      <c r="BY365" s="30">
        <f>IF(BX365="More than 1.2",-10,IF(BX365="Between 0.7 to 1.2",0,IF(BX365="Less than 0.7",10,0)))</f>
        <v/>
      </c>
      <c r="BZ365" s="30" t="inlineStr">
        <is>
          <t>No</t>
        </is>
      </c>
      <c r="CA365" s="30">
        <f>IF(BZ365="Yes",-10,0)</f>
        <v/>
      </c>
      <c r="CB365" s="30" t="inlineStr">
        <is>
          <t>Less than 15%</t>
        </is>
      </c>
      <c r="CC365" s="30">
        <f>IF(CB365="More than 15%",-10,IF(CB365="Less than 15%",10,0))</f>
        <v/>
      </c>
      <c r="CD365" s="30" t="inlineStr">
        <is>
          <t>No</t>
        </is>
      </c>
      <c r="CE365" s="30">
        <f>IF(CD365="Yes, more than 10%",-10,IF(CD365="No",10,0))</f>
        <v/>
      </c>
    </row>
    <row r="366">
      <c r="A366" s="30">
        <f>IF(B366=0,"",RANK(B366,$B$2:$B$400,0))</f>
        <v/>
      </c>
      <c r="B366" s="31">
        <f>SUM(N366,Y366,AA366,AC366,AE366,AG366,AI366,AK366,AM366,AO366,AQ366,AS366,AU366,AW366,AY366,BA366,BC366,BE366,BG366,BI366,BK366,BM366,BO366,BQ366,BS366,BU366,BW366,BY366,CA366,CC366,CE366)</f>
        <v/>
      </c>
      <c r="C366" s="32" t="inlineStr">
        <is>
          <t>HAL</t>
        </is>
      </c>
      <c r="D366" s="32" t="inlineStr">
        <is>
          <t>Hindustan Aeronautics Ltd</t>
        </is>
      </c>
      <c r="E366" s="30" t="inlineStr">
        <is>
          <t>aerospace &amp; defence</t>
        </is>
      </c>
      <c r="F366" s="30" t="inlineStr">
        <is>
          <t>engineering</t>
        </is>
      </c>
      <c r="G366" s="30" t="inlineStr">
        <is>
          <t>largecap</t>
        </is>
      </c>
      <c r="H366" s="31" t="n">
        <v>298307.09</v>
      </c>
      <c r="I366" s="31" t="n">
        <v>4411.5</v>
      </c>
      <c r="J366" s="31" t="n">
        <v>-1.1</v>
      </c>
      <c r="K366" s="31" t="n">
        <v>851920</v>
      </c>
      <c r="L366" s="30" t="n">
        <v>3</v>
      </c>
      <c r="M366" s="30" t="inlineStr">
        <is>
          <t>Underperforming</t>
        </is>
      </c>
      <c r="N366" s="31">
        <f>IF(M366="Underperforming",-5,IF(L366&gt;=95,15,IF(L366&gt;=90,10,IF(L366&gt;=80,5,0))))</f>
        <v/>
      </c>
      <c r="O366" s="31" t="n">
        <v>53.5</v>
      </c>
      <c r="P366" s="31" t="n">
        <v>19.08</v>
      </c>
      <c r="Q366" s="31" t="n">
        <v>3989.71</v>
      </c>
      <c r="R366" s="30" t="inlineStr">
        <is>
          <t>Earnings / Momentum Support</t>
        </is>
      </c>
      <c r="S366" s="30" t="inlineStr">
        <is>
          <t>Nifty 50</t>
        </is>
      </c>
      <c r="T366" s="31" t="n">
        <v>-3.76</v>
      </c>
      <c r="U366" s="31" t="n">
        <v>-10.25</v>
      </c>
      <c r="V366" s="31" t="n">
        <v>-6.75</v>
      </c>
      <c r="W366" s="31" t="n">
        <v>1.72</v>
      </c>
      <c r="X366" s="30" t="inlineStr">
        <is>
          <t>Growing Industry</t>
        </is>
      </c>
      <c r="Y366" s="30">
        <f>IF(X366="Growing Industry",10,IF(X366="Cyclical in an Upturn",5,0))</f>
        <v/>
      </c>
      <c r="Z366" s="30" t="inlineStr">
        <is>
          <t>Too Many Players with High ROCE</t>
        </is>
      </c>
      <c r="AA366" s="30">
        <f>IF(Z366="Monopoly",10,IF(Z366="Oligopoly",5,IF(Z366="Duopoly that cooperate",10,IF(Z366="Duopoly that compete",5,IF(Z366="Too many players with High ROCE",5,0)))))</f>
        <v/>
      </c>
      <c r="AB366" s="30" t="inlineStr">
        <is>
          <t>No</t>
        </is>
      </c>
      <c r="AC366" s="30">
        <f>IF(AB366="No",5,0)</f>
        <v/>
      </c>
      <c r="AD366" s="30" t="inlineStr">
        <is>
          <t>Tailwind</t>
        </is>
      </c>
      <c r="AE366" s="30">
        <f>IF(AD366="Tailwind",10,0)</f>
        <v/>
      </c>
      <c r="AF366" s="30" t="inlineStr">
        <is>
          <t>Structural (10 Years Consistency)</t>
        </is>
      </c>
      <c r="AG366" s="30">
        <f>IF(AF366="Structural (10 Years Consistency)",10,IF(AF366="Shallow Cyclical (2 to 3 years growth)",5,0))</f>
        <v/>
      </c>
      <c r="AH366" s="30" t="inlineStr">
        <is>
          <t>No</t>
        </is>
      </c>
      <c r="AI366" s="30">
        <f>IF(AH366="Yes due to Product Mix change or Operating Leverage",10,IF(AH366="Yes, these are peak margins",-5,IF(AH366="No",5,0)))</f>
        <v/>
      </c>
      <c r="AJ366" s="30" t="inlineStr">
        <is>
          <t>Stable</t>
        </is>
      </c>
      <c r="AK366" s="30">
        <f>IF(AJ366="Stable",10,0)</f>
        <v/>
      </c>
      <c r="AL366" s="30" t="inlineStr">
        <is>
          <t>Yes</t>
        </is>
      </c>
      <c r="AM366" s="30">
        <f>IF(AL366="Yes",10,0)</f>
        <v/>
      </c>
      <c r="AN366" s="30" t="inlineStr">
        <is>
          <t>B2B</t>
        </is>
      </c>
      <c r="AO366" s="30">
        <f>IF(AN366="B2C",10,IF(AN366="B2B",5,0))</f>
        <v/>
      </c>
      <c r="AP366" s="30" t="inlineStr">
        <is>
          <t>No</t>
        </is>
      </c>
      <c r="AQ366" s="30">
        <f>IF(AP366="Yes",10,0)</f>
        <v/>
      </c>
      <c r="AR366" s="30" t="inlineStr">
        <is>
          <t>Higher One Time, Lower Annuity</t>
        </is>
      </c>
      <c r="AS366" s="30">
        <f>IF(AR366="Fully Annuity",10,IF(AR366="Higher Annuity, Lower One Time",5,IF(AR366="Higher One Time, Lower Annuity",3,0)))</f>
        <v/>
      </c>
      <c r="AT366" s="30" t="inlineStr">
        <is>
          <t>Good</t>
        </is>
      </c>
      <c r="AU366" s="30">
        <f>IF(AT366="Good",10,0)</f>
        <v/>
      </c>
      <c r="AV366" s="30" t="inlineStr">
        <is>
          <t>Yes for more than 2 years</t>
        </is>
      </c>
      <c r="AW366" s="30">
        <f>IF(AV366="Yes for more than 2 years",10,IF(AV366="Yes only for next 1 to 2 years",5,0))</f>
        <v/>
      </c>
      <c r="AX366" s="30" t="inlineStr">
        <is>
          <t>0 to 20</t>
        </is>
      </c>
      <c r="AY366" s="30">
        <f>IF(AX366="Above 40",20,IF(AX366="20 to 40",10,IF(AX366="0 to 20",-5,0)))</f>
        <v/>
      </c>
      <c r="AZ366" s="30" t="inlineStr">
        <is>
          <t>Between 50 to 75</t>
        </is>
      </c>
      <c r="BA366" s="30">
        <f>IF(AZ366="Between 50 to 75",10,IF(AZ366="Above 75",0,0))</f>
        <v/>
      </c>
      <c r="BB366" s="30" t="inlineStr">
        <is>
          <t>Stage 1</t>
        </is>
      </c>
      <c r="BC366" s="30">
        <f>IF(BB366="Stage 2",20,IF(BB366="Stage 1",0,IF(BB366="Stage 3",5,IF(BB366="Stage 4",-5,0))))</f>
        <v/>
      </c>
      <c r="BD366" s="30" t="inlineStr">
        <is>
          <t>Positive Trend</t>
        </is>
      </c>
      <c r="BE366" s="30">
        <f>IF(BD366="Positive Trend",20,IF(BD366="Negative Trend",-10,0))</f>
        <v/>
      </c>
      <c r="BF366" s="30" t="inlineStr">
        <is>
          <t>Uptrend</t>
        </is>
      </c>
      <c r="BG366" s="30">
        <f>IF(BF366="Uptrend",10,IF(BF366="Sideways",5,0))</f>
        <v/>
      </c>
      <c r="BH366" s="30" t="inlineStr">
        <is>
          <t>Uptrend</t>
        </is>
      </c>
      <c r="BI366" s="30">
        <f>IF(BH366="Uptrend",10,IF(BH366="Sideways",5,0))</f>
        <v/>
      </c>
      <c r="BJ366" s="30" t="inlineStr">
        <is>
          <t>Close to 52 week high or retracement</t>
        </is>
      </c>
      <c r="BK366" s="30">
        <f>IF(BJ366="Overhead supply in last 2 years in last 2 years",-5,IF(BJ366="Close to 52 week high or retracement",5,IF(BJ366="Blue sky scenario",10,IF(BJ366="Long term Downtrend",-10,0))))</f>
        <v/>
      </c>
      <c r="BL366" s="30" t="inlineStr">
        <is>
          <t>Yes</t>
        </is>
      </c>
      <c r="BM366" s="30">
        <f>IF(BL366="Yes",10,0)</f>
        <v/>
      </c>
      <c r="BN366" s="30" t="inlineStr">
        <is>
          <t>Less than 12%</t>
        </is>
      </c>
      <c r="BO366" s="30">
        <f>IF(BN366="More than 20%",10,IF(BN366="Between 12 to 20%",5,IF(BN366="Less than 12%",0,0)))</f>
        <v/>
      </c>
      <c r="BP366" s="30" t="inlineStr">
        <is>
          <t>No</t>
        </is>
      </c>
      <c r="BQ366" s="30">
        <f>IF(BP366="No",10,0)</f>
        <v/>
      </c>
      <c r="BR366" s="30" t="inlineStr">
        <is>
          <t>No</t>
        </is>
      </c>
      <c r="BS366" s="30">
        <f>IF(BR366="NO",5,0)</f>
        <v/>
      </c>
      <c r="BT366" s="30" t="inlineStr">
        <is>
          <t>Above 2</t>
        </is>
      </c>
      <c r="BU366" s="30">
        <f>IF(BT366="Above 2",0,IF(BT366="Between 1.5 to 2",5,IF(BT366="Less than 1.5",10,0)))</f>
        <v/>
      </c>
      <c r="BV366" s="30" t="inlineStr">
        <is>
          <t>Above 70%</t>
        </is>
      </c>
      <c r="BW366" s="30">
        <f>IF(BV366="Above 70%",10,IF(BV366="Between 50% to 70%",5,IF(BV366="Less than 50%",0,IF(BV366="Negative",-10,IF(BV366="Less than 50% and Borrowings are increasing",-5,0)))))</f>
        <v/>
      </c>
      <c r="BX366" s="30" t="inlineStr">
        <is>
          <t>Less than 0.7</t>
        </is>
      </c>
      <c r="BY366" s="30">
        <f>IF(BX366="More than 1.2",-10,IF(BX366="Between 0.7 to 1.2",0,IF(BX366="Less than 0.7",10,0)))</f>
        <v/>
      </c>
      <c r="BZ366" s="30" t="inlineStr">
        <is>
          <t>No</t>
        </is>
      </c>
      <c r="CA366" s="30">
        <f>IF(BZ366="Yes",-10,0)</f>
        <v/>
      </c>
      <c r="CB366" s="30" t="inlineStr">
        <is>
          <t>Less than 15%</t>
        </is>
      </c>
      <c r="CC366" s="30">
        <f>IF(CB366="More than 15%",-10,IF(CB366="Less than 15%",10,0))</f>
        <v/>
      </c>
      <c r="CD366" s="30" t="inlineStr">
        <is>
          <t>No</t>
        </is>
      </c>
      <c r="CE366" s="30">
        <f>IF(CD366="Yes, more than 10%",-10,IF(CD366="No",10,0))</f>
        <v/>
      </c>
    </row>
    <row r="367">
      <c r="A367" s="30">
        <f>IF(B367=0,"",RANK(B367,$B$2:$B$400,0))</f>
        <v/>
      </c>
      <c r="B367" s="31">
        <f>SUM(N367,Y367,AA367,AC367,AE367,AG367,AI367,AK367,AM367,AO367,AQ367,AS367,AU367,AW367,AY367,BA367,BC367,BE367,BG367,BI367,BK367,BM367,BO367,BQ367,BS367,BU367,BW367,BY367,CA367,CC367,CE367)</f>
        <v/>
      </c>
      <c r="C367" s="32" t="inlineStr">
        <is>
          <t>KAMDHENU</t>
        </is>
      </c>
      <c r="D367" s="32" t="inlineStr">
        <is>
          <t>Kamdhenu Limited</t>
        </is>
      </c>
      <c r="E367" s="30" t="inlineStr">
        <is>
          <t>metals &amp; mining</t>
        </is>
      </c>
      <c r="F367" s="30" t="inlineStr">
        <is>
          <t>steel - medium / small</t>
        </is>
      </c>
      <c r="G367" s="30" t="inlineStr">
        <is>
          <t>smallcap</t>
        </is>
      </c>
      <c r="H367" s="31" t="n">
        <v>854.95</v>
      </c>
      <c r="I367" s="31" t="n">
        <v>29.76</v>
      </c>
      <c r="J367" s="31" t="n">
        <v>-1.88</v>
      </c>
      <c r="K367" s="31" t="n">
        <v>1409344</v>
      </c>
      <c r="L367" s="30" t="n">
        <v>38</v>
      </c>
      <c r="M367" s="30" t="inlineStr">
        <is>
          <t>Underperforming</t>
        </is>
      </c>
      <c r="N367" s="31">
        <f>IF(M367="Underperforming",-5,IF(L367&gt;=95,15,IF(L367&gt;=90,10,IF(L367&gt;=80,5,0))))</f>
        <v/>
      </c>
      <c r="O367" s="31" t="n">
        <v>64.52</v>
      </c>
      <c r="P367" s="31" t="n">
        <v>19.78</v>
      </c>
      <c r="Q367" s="31" t="n">
        <v>21.16</v>
      </c>
      <c r="R367" s="30" t="inlineStr">
        <is>
          <t>Near 52W High Breakout</t>
        </is>
      </c>
      <c r="S367" s="30" t="inlineStr">
        <is>
          <t>Nifty Metal</t>
        </is>
      </c>
      <c r="T367" s="31" t="n">
        <v>42.37</v>
      </c>
      <c r="U367" s="31" t="n">
        <v>-3.17</v>
      </c>
      <c r="V367" s="31" t="n">
        <v>-31.99</v>
      </c>
      <c r="W367" s="31" t="n">
        <v>9.49</v>
      </c>
      <c r="X367" s="30" t="inlineStr">
        <is>
          <t>Cyclical in an Upturn</t>
        </is>
      </c>
      <c r="Y367" s="30">
        <f>IF(X367="Growing Industry",10,IF(X367="Cyclical in an Upturn",5,0))</f>
        <v/>
      </c>
      <c r="Z367" s="30" t="inlineStr">
        <is>
          <t>Too Many Players with High ROCE</t>
        </is>
      </c>
      <c r="AA367" s="30">
        <f>IF(Z367="Monopoly",10,IF(Z367="Oligopoly",5,IF(Z367="Duopoly that cooperate",10,IF(Z367="Duopoly that compete",5,IF(Z367="Too many players with High ROCE",5,0)))))</f>
        <v/>
      </c>
      <c r="AB367" s="30" t="inlineStr">
        <is>
          <t>No</t>
        </is>
      </c>
      <c r="AC367" s="30">
        <f>IF(AB367="No",5,0)</f>
        <v/>
      </c>
      <c r="AD367" s="30" t="inlineStr">
        <is>
          <t>Tailwind</t>
        </is>
      </c>
      <c r="AE367" s="30">
        <f>IF(AD367="Tailwind",10,0)</f>
        <v/>
      </c>
      <c r="AF367" s="30" t="inlineStr">
        <is>
          <t>Cyclical</t>
        </is>
      </c>
      <c r="AG367" s="30">
        <f>IF(AF367="Structural (10 Years Consistency)",10,IF(AF367="Shallow Cyclical (2 to 3 years growth)",5,0))</f>
        <v/>
      </c>
      <c r="AH367" s="30" t="inlineStr">
        <is>
          <t>No</t>
        </is>
      </c>
      <c r="AI367" s="30">
        <f>IF(AH367="Yes due to Product Mix change or Operating Leverage",10,IF(AH367="Yes, these are peak margins",-5,IF(AH367="No",5,0)))</f>
        <v/>
      </c>
      <c r="AJ367" s="30" t="inlineStr">
        <is>
          <t>Volatile</t>
        </is>
      </c>
      <c r="AK367" s="30">
        <f>IF(AJ367="Stable",10,0)</f>
        <v/>
      </c>
      <c r="AL367" s="30" t="inlineStr">
        <is>
          <t>Yes</t>
        </is>
      </c>
      <c r="AM367" s="30">
        <f>IF(AL367="Yes",10,0)</f>
        <v/>
      </c>
      <c r="AN367" s="30" t="inlineStr">
        <is>
          <t>B2B</t>
        </is>
      </c>
      <c r="AO367" s="30">
        <f>IF(AN367="B2C",10,IF(AN367="B2B",5,0))</f>
        <v/>
      </c>
      <c r="AP367" s="30" t="inlineStr">
        <is>
          <t>Yes</t>
        </is>
      </c>
      <c r="AQ367" s="30">
        <f>IF(AP367="Yes",10,0)</f>
        <v/>
      </c>
      <c r="AR367" s="30" t="inlineStr">
        <is>
          <t>Higher One Time, Lower Annuity</t>
        </is>
      </c>
      <c r="AS367" s="30">
        <f>IF(AR367="Fully Annuity",10,IF(AR367="Higher Annuity, Lower One Time",5,IF(AR367="Higher One Time, Lower Annuity",3,0)))</f>
        <v/>
      </c>
      <c r="AT367" s="30" t="inlineStr">
        <is>
          <t>Good</t>
        </is>
      </c>
      <c r="AU367" s="30">
        <f>IF(AT367="Good",10,0)</f>
        <v/>
      </c>
      <c r="AV367" s="30" t="inlineStr">
        <is>
          <t>Yes for more than 2 years</t>
        </is>
      </c>
      <c r="AW367" s="30">
        <f>IF(AV367="Yes for more than 2 years",10,IF(AV367="Yes only for next 1 to 2 years",5,0))</f>
        <v/>
      </c>
      <c r="AX367" s="30" t="inlineStr">
        <is>
          <t>0 to 20</t>
        </is>
      </c>
      <c r="AY367" s="30">
        <f>IF(AX367="Above 40",20,IF(AX367="20 to 40",10,IF(AX367="0 to 20",-5,0)))</f>
        <v/>
      </c>
      <c r="AZ367" s="30" t="inlineStr">
        <is>
          <t>Between 50 to 75</t>
        </is>
      </c>
      <c r="BA367" s="30">
        <f>IF(AZ367="Between 50 to 75",10,IF(AZ367="Above 75",0,0))</f>
        <v/>
      </c>
      <c r="BB367" s="30" t="inlineStr">
        <is>
          <t>Stage 2</t>
        </is>
      </c>
      <c r="BC367" s="30">
        <f>IF(BB367="Stage 2",20,IF(BB367="Stage 1",0,IF(BB367="Stage 3",5,IF(BB367="Stage 4",-5,0))))</f>
        <v/>
      </c>
      <c r="BD367" s="30" t="inlineStr">
        <is>
          <t>Positive Trend</t>
        </is>
      </c>
      <c r="BE367" s="30">
        <f>IF(BD367="Positive Trend",20,IF(BD367="Negative Trend",-10,0))</f>
        <v/>
      </c>
      <c r="BF367" s="30" t="inlineStr">
        <is>
          <t>Uptrend</t>
        </is>
      </c>
      <c r="BG367" s="30">
        <f>IF(BF367="Uptrend",10,IF(BF367="Sideways",5,0))</f>
        <v/>
      </c>
      <c r="BH367" s="30" t="inlineStr">
        <is>
          <t>Uptrend</t>
        </is>
      </c>
      <c r="BI367" s="30">
        <f>IF(BH367="Uptrend",10,IF(BH367="Sideways",5,0))</f>
        <v/>
      </c>
      <c r="BJ367" s="30" t="inlineStr">
        <is>
          <t>Close to 52 week high or retracement</t>
        </is>
      </c>
      <c r="BK367" s="30">
        <f>IF(BJ367="Overhead supply in last 2 years in last 2 years",-5,IF(BJ367="Close to 52 week high or retracement",5,IF(BJ367="Blue sky scenario",10,IF(BJ367="Long term Downtrend",-10,0))))</f>
        <v/>
      </c>
      <c r="BL367" s="30" t="inlineStr">
        <is>
          <t>Yes</t>
        </is>
      </c>
      <c r="BM367" s="30">
        <f>IF(BL367="Yes",10,0)</f>
        <v/>
      </c>
      <c r="BN367" s="30" t="inlineStr">
        <is>
          <t>Less than 12%</t>
        </is>
      </c>
      <c r="BO367" s="30">
        <f>IF(BN367="More than 20%",10,IF(BN367="Between 12 to 20%",5,IF(BN367="Less than 12%",0,0)))</f>
        <v/>
      </c>
      <c r="BP367" s="30" t="inlineStr">
        <is>
          <t>No</t>
        </is>
      </c>
      <c r="BQ367" s="30">
        <f>IF(BP367="No",10,0)</f>
        <v/>
      </c>
      <c r="BR367" s="30" t="inlineStr">
        <is>
          <t>No</t>
        </is>
      </c>
      <c r="BS367" s="30">
        <f>IF(BR367="NO",5,0)</f>
        <v/>
      </c>
      <c r="BT367" s="30" t="inlineStr">
        <is>
          <t>Above 2</t>
        </is>
      </c>
      <c r="BU367" s="30">
        <f>IF(BT367="Above 2",0,IF(BT367="Between 1.5 to 2",5,IF(BT367="Less than 1.5",10,0)))</f>
        <v/>
      </c>
      <c r="BV367" s="30" t="inlineStr">
        <is>
          <t>Between 50% to 70%</t>
        </is>
      </c>
      <c r="BW367" s="30">
        <f>IF(BV367="Above 70%",10,IF(BV367="Between 50% to 70%",5,IF(BV367="Less than 50%",0,IF(BV367="Negative",-10,IF(BV367="Less than 50% and Borrowings are increasing",-5,0)))))</f>
        <v/>
      </c>
      <c r="BX367" s="30" t="inlineStr">
        <is>
          <t>Less than 0.7</t>
        </is>
      </c>
      <c r="BY367" s="30">
        <f>IF(BX367="More than 1.2",-10,IF(BX367="Between 0.7 to 1.2",0,IF(BX367="Less than 0.7",10,0)))</f>
        <v/>
      </c>
      <c r="BZ367" s="30" t="inlineStr">
        <is>
          <t>No</t>
        </is>
      </c>
      <c r="CA367" s="30">
        <f>IF(BZ367="Yes",-10,0)</f>
        <v/>
      </c>
      <c r="CB367" s="30" t="inlineStr">
        <is>
          <t>Less than 15%</t>
        </is>
      </c>
      <c r="CC367" s="30">
        <f>IF(CB367="More than 15%",-10,IF(CB367="Less than 15%",10,0))</f>
        <v/>
      </c>
      <c r="CD367" s="30" t="inlineStr">
        <is>
          <t>No</t>
        </is>
      </c>
      <c r="CE367" s="30">
        <f>IF(CD367="Yes, more than 10%",-10,IF(CD367="No",10,0))</f>
        <v/>
      </c>
    </row>
    <row r="368">
      <c r="A368" s="30">
        <f>IF(B368=0,"",RANK(B368,$B$2:$B$400,0))</f>
        <v/>
      </c>
      <c r="B368" s="31">
        <f>SUM(N368,Y368,AA368,AC368,AE368,AG368,AI368,AK368,AM368,AO368,AQ368,AS368,AU368,AW368,AY368,BA368,BC368,BE368,BG368,BI368,BK368,BM368,BO368,BQ368,BS368,BU368,BW368,BY368,CA368,CC368,CE368)</f>
        <v/>
      </c>
      <c r="C368" s="32" t="inlineStr">
        <is>
          <t>GOKEX</t>
        </is>
      </c>
      <c r="D368" s="32" t="inlineStr">
        <is>
          <t>Gokaldas Exports Limited</t>
        </is>
      </c>
      <c r="E368" s="30" t="inlineStr">
        <is>
          <t>consumer discretionary</t>
        </is>
      </c>
      <c r="F368" s="30" t="inlineStr">
        <is>
          <t>textiles - products</t>
        </is>
      </c>
      <c r="G368" s="30" t="inlineStr">
        <is>
          <t>midcap</t>
        </is>
      </c>
      <c r="H368" s="31" t="n">
        <v>5345.95</v>
      </c>
      <c r="I368" s="31" t="n">
        <v>784.1</v>
      </c>
      <c r="J368" s="31" t="n">
        <v>7.43</v>
      </c>
      <c r="K368" s="31" t="n">
        <v>3559622</v>
      </c>
      <c r="L368" s="30" t="n">
        <v>23</v>
      </c>
      <c r="M368" s="30" t="inlineStr">
        <is>
          <t>Underperforming</t>
        </is>
      </c>
      <c r="N368" s="31">
        <f>IF(M368="Underperforming",-5,IF(L368&gt;=95,15,IF(L368&gt;=90,10,IF(L368&gt;=80,5,0))))</f>
        <v/>
      </c>
      <c r="O368" s="31" t="n">
        <v>57.02</v>
      </c>
      <c r="P368" s="31" t="n">
        <v>10.94</v>
      </c>
      <c r="Q368" s="31" t="n">
        <v>549.66</v>
      </c>
      <c r="R368" s="30" t="inlineStr">
        <is>
          <t>Volume Spike / Accumulation</t>
        </is>
      </c>
      <c r="S368" s="30" t="inlineStr">
        <is>
          <t>Nifty 50</t>
        </is>
      </c>
      <c r="T368" s="31" t="n">
        <v>-3.76</v>
      </c>
      <c r="U368" s="31" t="n">
        <v>-9.619999999999999</v>
      </c>
      <c r="V368" s="31" t="n">
        <v>-6.09</v>
      </c>
      <c r="W368" s="31" t="n">
        <v>6.86</v>
      </c>
      <c r="X368" s="30" t="inlineStr">
        <is>
          <t>Growing Industry</t>
        </is>
      </c>
      <c r="Y368" s="30">
        <f>IF(X368="Growing Industry",10,IF(X368="Cyclical in an Upturn",5,0))</f>
        <v/>
      </c>
      <c r="Z368" s="30" t="inlineStr">
        <is>
          <t>Too Many Players with High ROCE</t>
        </is>
      </c>
      <c r="AA368" s="30">
        <f>IF(Z368="Monopoly",10,IF(Z368="Oligopoly",5,IF(Z368="Duopoly that cooperate",10,IF(Z368="Duopoly that compete",5,IF(Z368="Too many players with High ROCE",5,0)))))</f>
        <v/>
      </c>
      <c r="AB368" s="30" t="inlineStr">
        <is>
          <t>No</t>
        </is>
      </c>
      <c r="AC368" s="30">
        <f>IF(AB368="No",5,0)</f>
        <v/>
      </c>
      <c r="AD368" s="30" t="inlineStr">
        <is>
          <t>Tailwind</t>
        </is>
      </c>
      <c r="AE368" s="30">
        <f>IF(AD368="Tailwind",10,0)</f>
        <v/>
      </c>
      <c r="AF368" s="30" t="inlineStr">
        <is>
          <t>Structural (10 Years Consistency)</t>
        </is>
      </c>
      <c r="AG368" s="30">
        <f>IF(AF368="Structural (10 Years Consistency)",10,IF(AF368="Shallow Cyclical (2 to 3 years growth)",5,0))</f>
        <v/>
      </c>
      <c r="AH368" s="30" t="inlineStr">
        <is>
          <t>No</t>
        </is>
      </c>
      <c r="AI368" s="30">
        <f>IF(AH368="Yes due to Product Mix change or Operating Leverage",10,IF(AH368="Yes, these are peak margins",-5,IF(AH368="No",5,0)))</f>
        <v/>
      </c>
      <c r="AJ368" s="30" t="inlineStr">
        <is>
          <t>Stable</t>
        </is>
      </c>
      <c r="AK368" s="30">
        <f>IF(AJ368="Stable",10,0)</f>
        <v/>
      </c>
      <c r="AL368" s="30" t="inlineStr">
        <is>
          <t>Yes</t>
        </is>
      </c>
      <c r="AM368" s="30">
        <f>IF(AL368="Yes",10,0)</f>
        <v/>
      </c>
      <c r="AN368" s="30" t="inlineStr">
        <is>
          <t>B2B</t>
        </is>
      </c>
      <c r="AO368" s="30">
        <f>IF(AN368="B2C",10,IF(AN368="B2B",5,0))</f>
        <v/>
      </c>
      <c r="AP368" s="30" t="inlineStr">
        <is>
          <t>Yes</t>
        </is>
      </c>
      <c r="AQ368" s="30">
        <f>IF(AP368="Yes",10,0)</f>
        <v/>
      </c>
      <c r="AR368" s="30" t="inlineStr">
        <is>
          <t>Higher One Time, Lower Annuity</t>
        </is>
      </c>
      <c r="AS368" s="30">
        <f>IF(AR368="Fully Annuity",10,IF(AR368="Higher Annuity, Lower One Time",5,IF(AR368="Higher One Time, Lower Annuity",3,0)))</f>
        <v/>
      </c>
      <c r="AT368" s="30" t="inlineStr">
        <is>
          <t>Good</t>
        </is>
      </c>
      <c r="AU368" s="30">
        <f>IF(AT368="Good",10,0)</f>
        <v/>
      </c>
      <c r="AV368" s="30" t="inlineStr">
        <is>
          <t>Yes for more than 2 years</t>
        </is>
      </c>
      <c r="AW368" s="30">
        <f>IF(AV368="Yes for more than 2 years",10,IF(AV368="Yes only for next 1 to 2 years",5,0))</f>
        <v/>
      </c>
      <c r="AX368" s="30" t="inlineStr">
        <is>
          <t>0 to 20</t>
        </is>
      </c>
      <c r="AY368" s="30">
        <f>IF(AX368="Above 40",20,IF(AX368="20 to 40",10,IF(AX368="0 to 20",-5,0)))</f>
        <v/>
      </c>
      <c r="AZ368" s="30" t="inlineStr">
        <is>
          <t>Between 50 to 75</t>
        </is>
      </c>
      <c r="BA368" s="30">
        <f>IF(AZ368="Between 50 to 75",10,IF(AZ368="Above 75",0,0))</f>
        <v/>
      </c>
      <c r="BB368" s="30" t="inlineStr">
        <is>
          <t>Stage 1</t>
        </is>
      </c>
      <c r="BC368" s="30">
        <f>IF(BB368="Stage 2",20,IF(BB368="Stage 1",0,IF(BB368="Stage 3",5,IF(BB368="Stage 4",-5,0))))</f>
        <v/>
      </c>
      <c r="BD368" s="30" t="inlineStr">
        <is>
          <t>Positive Trend</t>
        </is>
      </c>
      <c r="BE368" s="30">
        <f>IF(BD368="Positive Trend",20,IF(BD368="Negative Trend",-10,0))</f>
        <v/>
      </c>
      <c r="BF368" s="30" t="inlineStr">
        <is>
          <t>Uptrend</t>
        </is>
      </c>
      <c r="BG368" s="30">
        <f>IF(BF368="Uptrend",10,IF(BF368="Sideways",5,0))</f>
        <v/>
      </c>
      <c r="BH368" s="30" t="inlineStr">
        <is>
          <t>Uptrend</t>
        </is>
      </c>
      <c r="BI368" s="30">
        <f>IF(BH368="Uptrend",10,IF(BH368="Sideways",5,0))</f>
        <v/>
      </c>
      <c r="BJ368" s="30" t="inlineStr">
        <is>
          <t>Close to 52 week high or retracement</t>
        </is>
      </c>
      <c r="BK368" s="30">
        <f>IF(BJ368="Overhead supply in last 2 years in last 2 years",-5,IF(BJ368="Close to 52 week high or retracement",5,IF(BJ368="Blue sky scenario",10,IF(BJ368="Long term Downtrend",-10,0))))</f>
        <v/>
      </c>
      <c r="BL368" s="30" t="inlineStr">
        <is>
          <t>Yes</t>
        </is>
      </c>
      <c r="BM368" s="30">
        <f>IF(BL368="Yes",10,0)</f>
        <v/>
      </c>
      <c r="BN368" s="30" t="inlineStr">
        <is>
          <t>Less than 12%</t>
        </is>
      </c>
      <c r="BO368" s="30">
        <f>IF(BN368="More than 20%",10,IF(BN368="Between 12 to 20%",5,IF(BN368="Less than 12%",0,0)))</f>
        <v/>
      </c>
      <c r="BP368" s="30" t="inlineStr">
        <is>
          <t>No</t>
        </is>
      </c>
      <c r="BQ368" s="30">
        <f>IF(BP368="No",10,0)</f>
        <v/>
      </c>
      <c r="BR368" s="30" t="inlineStr">
        <is>
          <t>Yes</t>
        </is>
      </c>
      <c r="BS368" s="30">
        <f>IF(BR368="NO",5,0)</f>
        <v/>
      </c>
      <c r="BT368" s="30" t="inlineStr">
        <is>
          <t>Above 2</t>
        </is>
      </c>
      <c r="BU368" s="30">
        <f>IF(BT368="Above 2",0,IF(BT368="Between 1.5 to 2",5,IF(BT368="Less than 1.5",10,0)))</f>
        <v/>
      </c>
      <c r="BV368" s="30" t="inlineStr">
        <is>
          <t>Less than 50%</t>
        </is>
      </c>
      <c r="BW368" s="30">
        <f>IF(BV368="Above 70%",10,IF(BV368="Between 50% to 70%",5,IF(BV368="Less than 50%",0,IF(BV368="Negative",-10,IF(BV368="Less than 50% and Borrowings are increasing",-5,0)))))</f>
        <v/>
      </c>
      <c r="BX368" s="30" t="inlineStr">
        <is>
          <t>Less than 0.7</t>
        </is>
      </c>
      <c r="BY368" s="30">
        <f>IF(BX368="More than 1.2",-10,IF(BX368="Between 0.7 to 1.2",0,IF(BX368="Less than 0.7",10,0)))</f>
        <v/>
      </c>
      <c r="BZ368" s="30" t="inlineStr">
        <is>
          <t>No</t>
        </is>
      </c>
      <c r="CA368" s="30">
        <f>IF(BZ368="Yes",-10,0)</f>
        <v/>
      </c>
      <c r="CB368" s="30" t="inlineStr">
        <is>
          <t>Less than 15%</t>
        </is>
      </c>
      <c r="CC368" s="30">
        <f>IF(CB368="More than 15%",-10,IF(CB368="Less than 15%",10,0))</f>
        <v/>
      </c>
      <c r="CD368" s="30" t="inlineStr">
        <is>
          <t>No</t>
        </is>
      </c>
      <c r="CE368" s="30">
        <f>IF(CD368="Yes, more than 10%",-10,IF(CD368="No",10,0))</f>
        <v/>
      </c>
    </row>
    <row r="369">
      <c r="A369" s="30">
        <f>IF(B369=0,"",RANK(B369,$B$2:$B$400,0))</f>
        <v/>
      </c>
      <c r="B369" s="31">
        <f>SUM(N369,Y369,AA369,AC369,AE369,AG369,AI369,AK369,AM369,AO369,AQ369,AS369,AU369,AW369,AY369,BA369,BC369,BE369,BG369,BI369,BK369,BM369,BO369,BQ369,BS369,BU369,BW369,BY369,CA369,CC369,CE369)</f>
        <v/>
      </c>
      <c r="C369" s="30" t="inlineStr">
        <is>
          <t>ITI</t>
        </is>
      </c>
      <c r="D369" s="30" t="inlineStr">
        <is>
          <t>Iti Limited</t>
        </is>
      </c>
      <c r="E369" s="30" t="inlineStr">
        <is>
          <t>aerospace &amp; defence</t>
        </is>
      </c>
      <c r="F369" s="30" t="inlineStr">
        <is>
          <t>telecommunications - equipment</t>
        </is>
      </c>
      <c r="G369" s="30" t="inlineStr">
        <is>
          <t>largecap</t>
        </is>
      </c>
      <c r="H369" s="31" t="n">
        <v>29482.53</v>
      </c>
      <c r="I369" s="31" t="n">
        <v>311.15</v>
      </c>
      <c r="J369" s="31" t="n">
        <v>1.62</v>
      </c>
      <c r="K369" s="31" t="n">
        <v>1654990</v>
      </c>
      <c r="L369" s="30" t="n">
        <v>9</v>
      </c>
      <c r="M369" s="30" t="inlineStr">
        <is>
          <t>Outperforming</t>
        </is>
      </c>
      <c r="N369" s="31">
        <f>IF(M369="Underperforming",-5,IF(L369&gt;=95,15,IF(L369&gt;=90,10,IF(L369&gt;=80,5,0))))</f>
        <v/>
      </c>
      <c r="O369" s="31" t="n">
        <v>57.83</v>
      </c>
      <c r="P369" s="31" t="n">
        <v>17.14</v>
      </c>
      <c r="Q369" s="31" t="n">
        <v>240.6</v>
      </c>
      <c r="R369" s="30" t="inlineStr">
        <is>
          <t>Earnings / Momentum Support</t>
        </is>
      </c>
      <c r="S369" s="30" t="inlineStr">
        <is>
          <t>Nifty 50</t>
        </is>
      </c>
      <c r="T369" s="31" t="n">
        <v>-3.76</v>
      </c>
      <c r="U369" s="31" t="n">
        <v>0.48</v>
      </c>
      <c r="V369" s="31" t="n">
        <v>4.41</v>
      </c>
      <c r="W369" s="31" t="n">
        <v>3.52</v>
      </c>
      <c r="X369" s="30" t="inlineStr">
        <is>
          <t>Growing Industry</t>
        </is>
      </c>
      <c r="Y369" s="30">
        <f>IF(X369="Growing Industry",10,IF(X369="Cyclical in an Upturn",5,0))</f>
        <v/>
      </c>
      <c r="Z369" s="30" t="inlineStr">
        <is>
          <t>Oligopoly</t>
        </is>
      </c>
      <c r="AA369" s="30">
        <f>IF(Z369="Monopoly",10,IF(Z369="Oligopoly",5,IF(Z369="Duopoly that cooperate",10,IF(Z369="Duopoly that compete",5,IF(Z369="Too many players with High ROCE",5,0)))))</f>
        <v/>
      </c>
      <c r="AB369" s="30" t="inlineStr">
        <is>
          <t>Yes</t>
        </is>
      </c>
      <c r="AC369" s="30">
        <f>IF(AB369="No",5,0)</f>
        <v/>
      </c>
      <c r="AD369" s="30" t="inlineStr">
        <is>
          <t>Headwind</t>
        </is>
      </c>
      <c r="AE369" s="30">
        <f>IF(AD369="Tailwind",10,0)</f>
        <v/>
      </c>
      <c r="AF369" s="30" t="inlineStr">
        <is>
          <t>Structural (10 Years Consistency)</t>
        </is>
      </c>
      <c r="AG369" s="30">
        <f>IF(AF369="Structural (10 Years Consistency)",10,IF(AF369="Shallow Cyclical (2 to 3 years growth)",5,0))</f>
        <v/>
      </c>
      <c r="AH369" s="30" t="inlineStr">
        <is>
          <t>No</t>
        </is>
      </c>
      <c r="AI369" s="30">
        <f>IF(AH369="Yes due to Product Mix change or Operating Leverage",10,IF(AH369="Yes, these are peak margins",-5,IF(AH369="No",5,0)))</f>
        <v/>
      </c>
      <c r="AJ369" s="30" t="inlineStr">
        <is>
          <t>Stable</t>
        </is>
      </c>
      <c r="AK369" s="30">
        <f>IF(AJ369="Stable",10,0)</f>
        <v/>
      </c>
      <c r="AL369" s="30" t="inlineStr">
        <is>
          <t>Yes</t>
        </is>
      </c>
      <c r="AM369" s="30">
        <f>IF(AL369="Yes",10,0)</f>
        <v/>
      </c>
      <c r="AN369" s="30" t="inlineStr">
        <is>
          <t>B2B</t>
        </is>
      </c>
      <c r="AO369" s="30">
        <f>IF(AN369="B2C",10,IF(AN369="B2B",5,0))</f>
        <v/>
      </c>
      <c r="AP369" s="30" t="inlineStr">
        <is>
          <t>No</t>
        </is>
      </c>
      <c r="AQ369" s="30">
        <f>IF(AP369="Yes",10,0)</f>
        <v/>
      </c>
      <c r="AR369" s="30" t="inlineStr">
        <is>
          <t>Higher One Time, Lower Annuity</t>
        </is>
      </c>
      <c r="AS369" s="30">
        <f>IF(AR369="Fully Annuity",10,IF(AR369="Higher Annuity, Lower One Time",5,IF(AR369="Higher One Time, Lower Annuity",3,0)))</f>
        <v/>
      </c>
      <c r="AT369" s="30" t="inlineStr">
        <is>
          <t>Good</t>
        </is>
      </c>
      <c r="AU369" s="30">
        <f>IF(AT369="Good",10,0)</f>
        <v/>
      </c>
      <c r="AV369" s="30" t="inlineStr">
        <is>
          <t>Yes for more than 2 years</t>
        </is>
      </c>
      <c r="AW369" s="30">
        <f>IF(AV369="Yes for more than 2 years",10,IF(AV369="Yes only for next 1 to 2 years",5,0))</f>
        <v/>
      </c>
      <c r="AX369" s="30" t="inlineStr">
        <is>
          <t>0 to 20</t>
        </is>
      </c>
      <c r="AY369" s="30">
        <f>IF(AX369="Above 40",20,IF(AX369="20 to 40",10,IF(AX369="0 to 20",-5,0)))</f>
        <v/>
      </c>
      <c r="AZ369" s="30" t="inlineStr">
        <is>
          <t>Between 50 to 75</t>
        </is>
      </c>
      <c r="BA369" s="30">
        <f>IF(AZ369="Between 50 to 75",10,IF(AZ369="Above 75",0,0))</f>
        <v/>
      </c>
      <c r="BB369" s="30" t="inlineStr">
        <is>
          <t>Stage 2</t>
        </is>
      </c>
      <c r="BC369" s="30">
        <f>IF(BB369="Stage 2",20,IF(BB369="Stage 1",0,IF(BB369="Stage 3",5,IF(BB369="Stage 4",-5,0))))</f>
        <v/>
      </c>
      <c r="BD369" s="30" t="inlineStr">
        <is>
          <t>Positive Trend</t>
        </is>
      </c>
      <c r="BE369" s="30">
        <f>IF(BD369="Positive Trend",20,IF(BD369="Negative Trend",-10,0))</f>
        <v/>
      </c>
      <c r="BF369" s="30" t="inlineStr">
        <is>
          <t>Uptrend</t>
        </is>
      </c>
      <c r="BG369" s="30">
        <f>IF(BF369="Uptrend",10,IF(BF369="Sideways",5,0))</f>
        <v/>
      </c>
      <c r="BH369" s="30" t="inlineStr">
        <is>
          <t>Uptrend</t>
        </is>
      </c>
      <c r="BI369" s="30">
        <f>IF(BH369="Uptrend",10,IF(BH369="Sideways",5,0))</f>
        <v/>
      </c>
      <c r="BJ369" s="30" t="inlineStr">
        <is>
          <t>Close to 52 week high or retracement</t>
        </is>
      </c>
      <c r="BK369" s="30">
        <f>IF(BJ369="Overhead supply in last 2 years in last 2 years",-5,IF(BJ369="Close to 52 week high or retracement",5,IF(BJ369="Blue sky scenario",10,IF(BJ369="Long term Downtrend",-10,0))))</f>
        <v/>
      </c>
      <c r="BL369" s="30" t="inlineStr">
        <is>
          <t>Yes</t>
        </is>
      </c>
      <c r="BM369" s="30">
        <f>IF(BL369="Yes",10,0)</f>
        <v/>
      </c>
      <c r="BN369" s="30" t="inlineStr">
        <is>
          <t>More than 20%</t>
        </is>
      </c>
      <c r="BO369" s="30">
        <f>IF(BN369="More than 20%",10,IF(BN369="Between 12 to 20%",5,IF(BN369="Less than 12%",0,0)))</f>
        <v/>
      </c>
      <c r="BP369" s="30" t="inlineStr">
        <is>
          <t>No</t>
        </is>
      </c>
      <c r="BQ369" s="30">
        <f>IF(BP369="No",10,0)</f>
        <v/>
      </c>
      <c r="BR369" s="30" t="inlineStr">
        <is>
          <t>Yes</t>
        </is>
      </c>
      <c r="BS369" s="30">
        <f>IF(BR369="NO",5,0)</f>
        <v/>
      </c>
      <c r="BT369" s="30" t="inlineStr">
        <is>
          <t>Above 2</t>
        </is>
      </c>
      <c r="BU369" s="30">
        <f>IF(BT369="Above 2",0,IF(BT369="Between 1.5 to 2",5,IF(BT369="Less than 1.5",10,0)))</f>
        <v/>
      </c>
      <c r="BV369" s="30" t="inlineStr">
        <is>
          <t>Negative</t>
        </is>
      </c>
      <c r="BW369" s="30">
        <f>IF(BV369="Above 70%",10,IF(BV369="Between 50% to 70%",5,IF(BV369="Less than 50%",0,IF(BV369="Negative",-10,IF(BV369="Less than 50% and Borrowings are increasing",-5,0)))))</f>
        <v/>
      </c>
      <c r="BX369" s="30" t="inlineStr">
        <is>
          <t>Less than 0.7</t>
        </is>
      </c>
      <c r="BY369" s="30">
        <f>IF(BX369="More than 1.2",-10,IF(BX369="Between 0.7 to 1.2",0,IF(BX369="Less than 0.7",10,0)))</f>
        <v/>
      </c>
      <c r="BZ369" s="30" t="inlineStr">
        <is>
          <t>No</t>
        </is>
      </c>
      <c r="CA369" s="30">
        <f>IF(BZ369="Yes",-10,0)</f>
        <v/>
      </c>
      <c r="CB369" s="30" t="inlineStr">
        <is>
          <t>Less than 15%</t>
        </is>
      </c>
      <c r="CC369" s="30">
        <f>IF(CB369="More than 15%",-10,IF(CB369="Less than 15%",10,0))</f>
        <v/>
      </c>
      <c r="CD369" s="30" t="inlineStr">
        <is>
          <t>No</t>
        </is>
      </c>
      <c r="CE369" s="30">
        <f>IF(CD369="Yes, more than 10%",-10,IF(CD369="No",10,0))</f>
        <v/>
      </c>
    </row>
    <row r="370">
      <c r="A370" s="30">
        <f>IF(B370=0,"",RANK(B370,$B$2:$B$400,0))</f>
        <v/>
      </c>
      <c r="B370" s="31">
        <f>SUM(N370,Y370,AA370,AC370,AE370,AG370,AI370,AK370,AM370,AO370,AQ370,AS370,AU370,AW370,AY370,BA370,BC370,BE370,BG370,BI370,BK370,BM370,BO370,BQ370,BS370,BU370,BW370,BY370,CA370,CC370,CE370)</f>
        <v/>
      </c>
      <c r="C370" s="32" t="inlineStr">
        <is>
          <t>ENDURANCE</t>
        </is>
      </c>
      <c r="D370" s="32" t="inlineStr">
        <is>
          <t>Endurance Technologies Limited</t>
        </is>
      </c>
      <c r="E370" s="30" t="inlineStr">
        <is>
          <t>auto</t>
        </is>
      </c>
      <c r="F370" s="30" t="inlineStr">
        <is>
          <t>auto ancillaries</t>
        </is>
      </c>
      <c r="G370" s="30" t="inlineStr">
        <is>
          <t>largecap</t>
        </is>
      </c>
      <c r="H370" s="31" t="n">
        <v>36355.72</v>
      </c>
      <c r="I370" s="31" t="n">
        <v>2623.3</v>
      </c>
      <c r="J370" s="31" t="n">
        <v>1.5</v>
      </c>
      <c r="K370" s="31" t="n">
        <v>76493</v>
      </c>
      <c r="L370" s="30" t="n">
        <v>11</v>
      </c>
      <c r="M370" s="30" t="inlineStr">
        <is>
          <t>Underperforming</t>
        </is>
      </c>
      <c r="N370" s="31">
        <f>IF(M370="Underperforming",-5,IF(L370&gt;=95,15,IF(L370&gt;=90,10,IF(L370&gt;=80,5,0))))</f>
        <v/>
      </c>
      <c r="O370" s="31" t="n">
        <v>54.57</v>
      </c>
      <c r="P370" s="31" t="n">
        <v>13.86</v>
      </c>
      <c r="Q370" s="31" t="n">
        <v>2167.28</v>
      </c>
      <c r="R370" s="30" t="inlineStr">
        <is>
          <t>Earnings / Momentum Support</t>
        </is>
      </c>
      <c r="S370" s="30" t="inlineStr">
        <is>
          <t>Nifty Auto</t>
        </is>
      </c>
      <c r="T370" s="31" t="n">
        <v>12.95</v>
      </c>
      <c r="U370" s="31" t="n">
        <v>2.24</v>
      </c>
      <c r="V370" s="31" t="n">
        <v>-9.49</v>
      </c>
      <c r="W370" s="31" t="n">
        <v>4.1</v>
      </c>
      <c r="X370" s="30" t="inlineStr">
        <is>
          <t>Growing Industry</t>
        </is>
      </c>
      <c r="Y370" s="30">
        <f>IF(X370="Growing Industry",10,IF(X370="Cyclical in an Upturn",5,0))</f>
        <v/>
      </c>
      <c r="Z370" s="30" t="inlineStr">
        <is>
          <t>Too Many Players with High ROCE</t>
        </is>
      </c>
      <c r="AA370" s="30">
        <f>IF(Z370="Monopoly",10,IF(Z370="Oligopoly",5,IF(Z370="Duopoly that cooperate",10,IF(Z370="Duopoly that compete",5,IF(Z370="Too many players with High ROCE",5,0)))))</f>
        <v/>
      </c>
      <c r="AB370" s="30" t="inlineStr">
        <is>
          <t>No</t>
        </is>
      </c>
      <c r="AC370" s="30">
        <f>IF(AB370="No",5,0)</f>
        <v/>
      </c>
      <c r="AD370" s="30" t="inlineStr">
        <is>
          <t>Tailwind</t>
        </is>
      </c>
      <c r="AE370" s="30">
        <f>IF(AD370="Tailwind",10,0)</f>
        <v/>
      </c>
      <c r="AF370" s="30" t="inlineStr">
        <is>
          <t>Structural (10 Years Consistency)</t>
        </is>
      </c>
      <c r="AG370" s="30">
        <f>IF(AF370="Structural (10 Years Consistency)",10,IF(AF370="Shallow Cyclical (2 to 3 years growth)",5,0))</f>
        <v/>
      </c>
      <c r="AH370" s="30" t="inlineStr">
        <is>
          <t>No</t>
        </is>
      </c>
      <c r="AI370" s="30">
        <f>IF(AH370="Yes due to Product Mix change or Operating Leverage",10,IF(AH370="Yes, these are peak margins",-5,IF(AH370="No",5,0)))</f>
        <v/>
      </c>
      <c r="AJ370" s="30" t="inlineStr">
        <is>
          <t>Stable</t>
        </is>
      </c>
      <c r="AK370" s="30">
        <f>IF(AJ370="Stable",10,0)</f>
        <v/>
      </c>
      <c r="AL370" s="30" t="inlineStr">
        <is>
          <t>Yes</t>
        </is>
      </c>
      <c r="AM370" s="30">
        <f>IF(AL370="Yes",10,0)</f>
        <v/>
      </c>
      <c r="AN370" s="30" t="inlineStr">
        <is>
          <t>B2B</t>
        </is>
      </c>
      <c r="AO370" s="30">
        <f>IF(AN370="B2C",10,IF(AN370="B2B",5,0))</f>
        <v/>
      </c>
      <c r="AP370" s="30" t="inlineStr">
        <is>
          <t>No</t>
        </is>
      </c>
      <c r="AQ370" s="30">
        <f>IF(AP370="Yes",10,0)</f>
        <v/>
      </c>
      <c r="AR370" s="30" t="inlineStr">
        <is>
          <t>Higher One Time, Lower Annuity</t>
        </is>
      </c>
      <c r="AS370" s="30">
        <f>IF(AR370="Fully Annuity",10,IF(AR370="Higher Annuity, Lower One Time",5,IF(AR370="Higher One Time, Lower Annuity",3,0)))</f>
        <v/>
      </c>
      <c r="AT370" s="30" t="inlineStr">
        <is>
          <t>Good</t>
        </is>
      </c>
      <c r="AU370" s="30">
        <f>IF(AT370="Good",10,0)</f>
        <v/>
      </c>
      <c r="AV370" s="30" t="inlineStr">
        <is>
          <t>Yes for more than 2 years</t>
        </is>
      </c>
      <c r="AW370" s="30">
        <f>IF(AV370="Yes for more than 2 years",10,IF(AV370="Yes only for next 1 to 2 years",5,0))</f>
        <v/>
      </c>
      <c r="AX370" s="30" t="inlineStr">
        <is>
          <t>0 to 20</t>
        </is>
      </c>
      <c r="AY370" s="30">
        <f>IF(AX370="Above 40",20,IF(AX370="20 to 40",10,IF(AX370="0 to 20",-5,0)))</f>
        <v/>
      </c>
      <c r="AZ370" s="30" t="inlineStr">
        <is>
          <t>Between 50 to 75</t>
        </is>
      </c>
      <c r="BA370" s="30">
        <f>IF(AZ370="Between 50 to 75",10,IF(AZ370="Above 75",0,0))</f>
        <v/>
      </c>
      <c r="BB370" s="30" t="inlineStr">
        <is>
          <t>Stage 2</t>
        </is>
      </c>
      <c r="BC370" s="30">
        <f>IF(BB370="Stage 2",20,IF(BB370="Stage 1",0,IF(BB370="Stage 3",5,IF(BB370="Stage 4",-5,0))))</f>
        <v/>
      </c>
      <c r="BD370" s="30" t="inlineStr">
        <is>
          <t>Negative Trend</t>
        </is>
      </c>
      <c r="BE370" s="30">
        <f>IF(BD370="Positive Trend",20,IF(BD370="Negative Trend",-10,0))</f>
        <v/>
      </c>
      <c r="BF370" s="30" t="inlineStr">
        <is>
          <t>Uptrend</t>
        </is>
      </c>
      <c r="BG370" s="30">
        <f>IF(BF370="Uptrend",10,IF(BF370="Sideways",5,0))</f>
        <v/>
      </c>
      <c r="BH370" s="30" t="inlineStr">
        <is>
          <t>Uptrend</t>
        </is>
      </c>
      <c r="BI370" s="30">
        <f>IF(BH370="Uptrend",10,IF(BH370="Sideways",5,0))</f>
        <v/>
      </c>
      <c r="BJ370" s="30" t="inlineStr">
        <is>
          <t>Close to 52 week high or retracement</t>
        </is>
      </c>
      <c r="BK370" s="30">
        <f>IF(BJ370="Overhead supply in last 2 years in last 2 years",-5,IF(BJ370="Close to 52 week high or retracement",5,IF(BJ370="Blue sky scenario",10,IF(BJ370="Long term Downtrend",-10,0))))</f>
        <v/>
      </c>
      <c r="BL370" s="30" t="inlineStr">
        <is>
          <t>Yes</t>
        </is>
      </c>
      <c r="BM370" s="30">
        <f>IF(BL370="Yes",10,0)</f>
        <v/>
      </c>
      <c r="BN370" s="30" t="inlineStr">
        <is>
          <t>Between 12 to 20%</t>
        </is>
      </c>
      <c r="BO370" s="30">
        <f>IF(BN370="More than 20%",10,IF(BN370="Between 12 to 20%",5,IF(BN370="Less than 12%",0,0)))</f>
        <v/>
      </c>
      <c r="BP370" s="30" t="inlineStr">
        <is>
          <t>No</t>
        </is>
      </c>
      <c r="BQ370" s="30">
        <f>IF(BP370="No",10,0)</f>
        <v/>
      </c>
      <c r="BR370" s="30" t="inlineStr">
        <is>
          <t>No</t>
        </is>
      </c>
      <c r="BS370" s="30">
        <f>IF(BR370="NO",5,0)</f>
        <v/>
      </c>
      <c r="BT370" s="30" t="inlineStr">
        <is>
          <t>Above 2</t>
        </is>
      </c>
      <c r="BU370" s="30">
        <f>IF(BT370="Above 2",0,IF(BT370="Between 1.5 to 2",5,IF(BT370="Less than 1.5",10,0)))</f>
        <v/>
      </c>
      <c r="BV370" s="30" t="inlineStr">
        <is>
          <t>Above 70%</t>
        </is>
      </c>
      <c r="BW370" s="30">
        <f>IF(BV370="Above 70%",10,IF(BV370="Between 50% to 70%",5,IF(BV370="Less than 50%",0,IF(BV370="Negative",-10,IF(BV370="Less than 50% and Borrowings are increasing",-5,0)))))</f>
        <v/>
      </c>
      <c r="BX370" s="30" t="inlineStr">
        <is>
          <t>Less than 0.7</t>
        </is>
      </c>
      <c r="BY370" s="30">
        <f>IF(BX370="More than 1.2",-10,IF(BX370="Between 0.7 to 1.2",0,IF(BX370="Less than 0.7",10,0)))</f>
        <v/>
      </c>
      <c r="BZ370" s="30" t="inlineStr">
        <is>
          <t>No</t>
        </is>
      </c>
      <c r="CA370" s="30">
        <f>IF(BZ370="Yes",-10,0)</f>
        <v/>
      </c>
      <c r="CB370" s="30" t="inlineStr">
        <is>
          <t>Less than 15%</t>
        </is>
      </c>
      <c r="CC370" s="30">
        <f>IF(CB370="More than 15%",-10,IF(CB370="Less than 15%",10,0))</f>
        <v/>
      </c>
      <c r="CD370" s="30" t="inlineStr">
        <is>
          <t>No</t>
        </is>
      </c>
      <c r="CE370" s="30">
        <f>IF(CD370="Yes, more than 10%",-10,IF(CD370="No",10,0))</f>
        <v/>
      </c>
    </row>
    <row r="371">
      <c r="A371" s="30">
        <f>IF(B371=0,"",RANK(B371,$B$2:$B$400,0))</f>
        <v/>
      </c>
      <c r="B371" s="31">
        <f>SUM(N371,Y371,AA371,AC371,AE371,AG371,AI371,AK371,AM371,AO371,AQ371,AS371,AU371,AW371,AY371,BA371,BC371,BE371,BG371,BI371,BK371,BM371,BO371,BQ371,BS371,BU371,BW371,BY371,CA371,CC371,CE371)</f>
        <v/>
      </c>
      <c r="C371" s="32" t="inlineStr">
        <is>
          <t>DMART</t>
        </is>
      </c>
      <c r="D371" s="32" t="inlineStr">
        <is>
          <t>Avenue Supermarts Ltd</t>
        </is>
      </c>
      <c r="E371" s="30" t="inlineStr">
        <is>
          <t>consumer discretionary</t>
        </is>
      </c>
      <c r="F371" s="30" t="inlineStr">
        <is>
          <t>trading</t>
        </is>
      </c>
      <c r="G371" s="30" t="inlineStr">
        <is>
          <t>largecap</t>
        </is>
      </c>
      <c r="H371" s="31" t="n">
        <v>279527.47</v>
      </c>
      <c r="I371" s="31" t="n">
        <v>4306.7</v>
      </c>
      <c r="J371" s="31" t="n">
        <v>0.45</v>
      </c>
      <c r="K371" s="31" t="n">
        <v>433140</v>
      </c>
      <c r="L371" s="30" t="n">
        <v>9</v>
      </c>
      <c r="M371" s="30" t="inlineStr">
        <is>
          <t>Underperforming</t>
        </is>
      </c>
      <c r="N371" s="31">
        <f>IF(M371="Underperforming",-5,IF(L371&gt;=95,15,IF(L371&gt;=90,10,IF(L371&gt;=80,5,0))))</f>
        <v/>
      </c>
      <c r="O371" s="31" t="n">
        <v>54.69</v>
      </c>
      <c r="P371" s="31" t="n">
        <v>13.9</v>
      </c>
      <c r="Q371" s="31" t="n">
        <v>3914.61</v>
      </c>
      <c r="R371" s="30" t="inlineStr">
        <is>
          <t>Earnings / Momentum Support</t>
        </is>
      </c>
      <c r="S371" s="30" t="inlineStr">
        <is>
          <t>Nifty 500</t>
        </is>
      </c>
      <c r="T371" s="31" t="n">
        <v>0.72</v>
      </c>
      <c r="U371" s="31" t="n">
        <v>0.15</v>
      </c>
      <c r="V371" s="31" t="n">
        <v>-0.5600000000000001</v>
      </c>
      <c r="W371" s="31" t="n">
        <v>3.64</v>
      </c>
      <c r="X371" s="30" t="inlineStr">
        <is>
          <t>Growing Industry</t>
        </is>
      </c>
      <c r="Y371" s="30">
        <f>IF(X371="Growing Industry",10,IF(X371="Cyclical in an Upturn",5,0))</f>
        <v/>
      </c>
      <c r="Z371" s="30" t="inlineStr">
        <is>
          <t>Too Many Players with High ROCE</t>
        </is>
      </c>
      <c r="AA371" s="30">
        <f>IF(Z371="Monopoly",10,IF(Z371="Oligopoly",5,IF(Z371="Duopoly that cooperate",10,IF(Z371="Duopoly that compete",5,IF(Z371="Too many players with High ROCE",5,0)))))</f>
        <v/>
      </c>
      <c r="AB371" s="30" t="inlineStr">
        <is>
          <t>No</t>
        </is>
      </c>
      <c r="AC371" s="30">
        <f>IF(AB371="No",5,0)</f>
        <v/>
      </c>
      <c r="AD371" s="30" t="inlineStr">
        <is>
          <t>Tailwind</t>
        </is>
      </c>
      <c r="AE371" s="30">
        <f>IF(AD371="Tailwind",10,0)</f>
        <v/>
      </c>
      <c r="AF371" s="30" t="inlineStr">
        <is>
          <t>Structural (10 Years Consistency)</t>
        </is>
      </c>
      <c r="AG371" s="30">
        <f>IF(AF371="Structural (10 Years Consistency)",10,IF(AF371="Shallow Cyclical (2 to 3 years growth)",5,0))</f>
        <v/>
      </c>
      <c r="AH371" s="30" t="inlineStr">
        <is>
          <t>No</t>
        </is>
      </c>
      <c r="AI371" s="30">
        <f>IF(AH371="Yes due to Product Mix change or Operating Leverage",10,IF(AH371="Yes, these are peak margins",-5,IF(AH371="No",5,0)))</f>
        <v/>
      </c>
      <c r="AJ371" s="30" t="inlineStr">
        <is>
          <t>Stable</t>
        </is>
      </c>
      <c r="AK371" s="30">
        <f>IF(AJ371="Stable",10,0)</f>
        <v/>
      </c>
      <c r="AL371" s="30" t="inlineStr">
        <is>
          <t>Yes</t>
        </is>
      </c>
      <c r="AM371" s="30">
        <f>IF(AL371="Yes",10,0)</f>
        <v/>
      </c>
      <c r="AN371" s="30" t="inlineStr">
        <is>
          <t>B2B</t>
        </is>
      </c>
      <c r="AO371" s="30">
        <f>IF(AN371="B2C",10,IF(AN371="B2B",5,0))</f>
        <v/>
      </c>
      <c r="AP371" s="30" t="inlineStr">
        <is>
          <t>No</t>
        </is>
      </c>
      <c r="AQ371" s="30">
        <f>IF(AP371="Yes",10,0)</f>
        <v/>
      </c>
      <c r="AR371" s="30" t="inlineStr">
        <is>
          <t>Higher One Time, Lower Annuity</t>
        </is>
      </c>
      <c r="AS371" s="30">
        <f>IF(AR371="Fully Annuity",10,IF(AR371="Higher Annuity, Lower One Time",5,IF(AR371="Higher One Time, Lower Annuity",3,0)))</f>
        <v/>
      </c>
      <c r="AT371" s="30" t="inlineStr">
        <is>
          <t>Good</t>
        </is>
      </c>
      <c r="AU371" s="30">
        <f>IF(AT371="Good",10,0)</f>
        <v/>
      </c>
      <c r="AV371" s="30" t="inlineStr">
        <is>
          <t>Yes for more than 2 years</t>
        </is>
      </c>
      <c r="AW371" s="30">
        <f>IF(AV371="Yes for more than 2 years",10,IF(AV371="Yes only for next 1 to 2 years",5,0))</f>
        <v/>
      </c>
      <c r="AX371" s="30" t="inlineStr">
        <is>
          <t>0 to 20</t>
        </is>
      </c>
      <c r="AY371" s="30">
        <f>IF(AX371="Above 40",20,IF(AX371="20 to 40",10,IF(AX371="0 to 20",-5,0)))</f>
        <v/>
      </c>
      <c r="AZ371" s="30" t="inlineStr">
        <is>
          <t>Between 50 to 75</t>
        </is>
      </c>
      <c r="BA371" s="30">
        <f>IF(AZ371="Between 50 to 75",10,IF(AZ371="Above 75",0,0))</f>
        <v/>
      </c>
      <c r="BB371" s="30" t="inlineStr">
        <is>
          <t>Stage 1</t>
        </is>
      </c>
      <c r="BC371" s="30">
        <f>IF(BB371="Stage 2",20,IF(BB371="Stage 1",0,IF(BB371="Stage 3",5,IF(BB371="Stage 4",-5,0))))</f>
        <v/>
      </c>
      <c r="BD371" s="30" t="inlineStr">
        <is>
          <t>Positive Trend</t>
        </is>
      </c>
      <c r="BE371" s="30">
        <f>IF(BD371="Positive Trend",20,IF(BD371="Negative Trend",-10,0))</f>
        <v/>
      </c>
      <c r="BF371" s="30" t="inlineStr">
        <is>
          <t>Uptrend</t>
        </is>
      </c>
      <c r="BG371" s="30">
        <f>IF(BF371="Uptrend",10,IF(BF371="Sideways",5,0))</f>
        <v/>
      </c>
      <c r="BH371" s="30" t="inlineStr">
        <is>
          <t>Uptrend</t>
        </is>
      </c>
      <c r="BI371" s="30">
        <f>IF(BH371="Uptrend",10,IF(BH371="Sideways",5,0))</f>
        <v/>
      </c>
      <c r="BJ371" s="30" t="inlineStr">
        <is>
          <t>Close to 52 week high or retracement</t>
        </is>
      </c>
      <c r="BK371" s="30">
        <f>IF(BJ371="Overhead supply in last 2 years in last 2 years",-5,IF(BJ371="Close to 52 week high or retracement",5,IF(BJ371="Blue sky scenario",10,IF(BJ371="Long term Downtrend",-10,0))))</f>
        <v/>
      </c>
      <c r="BL371" s="30" t="inlineStr">
        <is>
          <t>Yes</t>
        </is>
      </c>
      <c r="BM371" s="30">
        <f>IF(BL371="Yes",10,0)</f>
        <v/>
      </c>
      <c r="BN371" s="30" t="inlineStr">
        <is>
          <t>Between 12 to 20%</t>
        </is>
      </c>
      <c r="BO371" s="30">
        <f>IF(BN371="More than 20%",10,IF(BN371="Between 12 to 20%",5,IF(BN371="Less than 12%",0,0)))</f>
        <v/>
      </c>
      <c r="BP371" s="30" t="inlineStr">
        <is>
          <t>No</t>
        </is>
      </c>
      <c r="BQ371" s="30">
        <f>IF(BP371="No",10,0)</f>
        <v/>
      </c>
      <c r="BR371" s="30" t="inlineStr">
        <is>
          <t>Yes</t>
        </is>
      </c>
      <c r="BS371" s="30">
        <f>IF(BR371="NO",5,0)</f>
        <v/>
      </c>
      <c r="BT371" s="30" t="inlineStr">
        <is>
          <t>Above 2</t>
        </is>
      </c>
      <c r="BU371" s="30">
        <f>IF(BT371="Above 2",0,IF(BT371="Between 1.5 to 2",5,IF(BT371="Less than 1.5",10,0)))</f>
        <v/>
      </c>
      <c r="BV371" s="30" t="inlineStr">
        <is>
          <t>Between 50% to 70%</t>
        </is>
      </c>
      <c r="BW371" s="30">
        <f>IF(BV371="Above 70%",10,IF(BV371="Between 50% to 70%",5,IF(BV371="Less than 50%",0,IF(BV371="Negative",-10,IF(BV371="Less than 50% and Borrowings are increasing",-5,0)))))</f>
        <v/>
      </c>
      <c r="BX371" s="30" t="inlineStr">
        <is>
          <t>Less than 0.7</t>
        </is>
      </c>
      <c r="BY371" s="30">
        <f>IF(BX371="More than 1.2",-10,IF(BX371="Between 0.7 to 1.2",0,IF(BX371="Less than 0.7",10,0)))</f>
        <v/>
      </c>
      <c r="BZ371" s="30" t="inlineStr">
        <is>
          <t>No</t>
        </is>
      </c>
      <c r="CA371" s="30">
        <f>IF(BZ371="Yes",-10,0)</f>
        <v/>
      </c>
      <c r="CB371" s="30" t="inlineStr">
        <is>
          <t>Less than 15%</t>
        </is>
      </c>
      <c r="CC371" s="30">
        <f>IF(CB371="More than 15%",-10,IF(CB371="Less than 15%",10,0))</f>
        <v/>
      </c>
      <c r="CD371" s="30" t="inlineStr">
        <is>
          <t>No</t>
        </is>
      </c>
      <c r="CE371" s="30">
        <f>IF(CD371="Yes, more than 10%",-10,IF(CD371="No",10,0))</f>
        <v/>
      </c>
    </row>
    <row r="372">
      <c r="A372" s="30">
        <f>IF(B372=0,"",RANK(B372,$B$2:$B$400,0))</f>
        <v/>
      </c>
      <c r="B372" s="31">
        <f>SUM(N372,Y372,AA372,AC372,AE372,AG372,AI372,AK372,AM372,AO372,AQ372,AS372,AU372,AW372,AY372,BA372,BC372,BE372,BG372,BI372,BK372,BM372,BO372,BQ372,BS372,BU372,BW372,BY372,CA372,CC372,CE372)</f>
        <v/>
      </c>
      <c r="C372" s="30" t="inlineStr">
        <is>
          <t>SGIL</t>
        </is>
      </c>
      <c r="D372" s="30" t="inlineStr">
        <is>
          <t>Synergy Green Industries Ltd</t>
        </is>
      </c>
      <c r="E372" s="30" t="inlineStr">
        <is>
          <t>industrials</t>
        </is>
      </c>
      <c r="F372" s="30" t="inlineStr">
        <is>
          <t>castings &amp; forgings</t>
        </is>
      </c>
      <c r="G372" s="30" t="inlineStr">
        <is>
          <t>smallcap</t>
        </is>
      </c>
      <c r="H372" s="31" t="n">
        <v>913.62</v>
      </c>
      <c r="I372" s="31" t="n">
        <v>589.95</v>
      </c>
      <c r="J372" s="31" t="n">
        <v>0.37</v>
      </c>
      <c r="K372" s="31" t="n">
        <v>6196</v>
      </c>
      <c r="L372" s="30" t="n">
        <v>16</v>
      </c>
      <c r="M372" s="30" t="inlineStr">
        <is>
          <t>Outperforming</t>
        </is>
      </c>
      <c r="N372" s="31">
        <f>IF(M372="Underperforming",-5,IF(L372&gt;=95,15,IF(L372&gt;=90,10,IF(L372&gt;=80,5,0))))</f>
        <v/>
      </c>
      <c r="O372" s="31" t="n">
        <v>60.11</v>
      </c>
      <c r="P372" s="31" t="n">
        <v>19.86</v>
      </c>
      <c r="Q372" s="31" t="n">
        <v>440.54</v>
      </c>
      <c r="R372" s="30" t="inlineStr">
        <is>
          <t>Near 52W High Breakout</t>
        </is>
      </c>
      <c r="S372" s="30" t="inlineStr">
        <is>
          <t>Nifty 50</t>
        </is>
      </c>
      <c r="T372" s="31" t="n">
        <v>-3.76</v>
      </c>
      <c r="U372" s="31" t="n">
        <v>6.6</v>
      </c>
      <c r="V372" s="31" t="n">
        <v>10.76</v>
      </c>
      <c r="W372" s="31" t="n">
        <v>5.18</v>
      </c>
      <c r="X372" s="30" t="inlineStr">
        <is>
          <t>Cyclical in an Upturn</t>
        </is>
      </c>
      <c r="Y372" s="30">
        <f>IF(X372="Growing Industry",10,IF(X372="Cyclical in an Upturn",5,0))</f>
        <v/>
      </c>
      <c r="Z372" s="30" t="inlineStr">
        <is>
          <t>Too Many Players with High ROCE</t>
        </is>
      </c>
      <c r="AA372" s="30">
        <f>IF(Z372="Monopoly",10,IF(Z372="Oligopoly",5,IF(Z372="Duopoly that cooperate",10,IF(Z372="Duopoly that compete",5,IF(Z372="Too many players with High ROCE",5,0)))))</f>
        <v/>
      </c>
      <c r="AB372" s="30" t="inlineStr">
        <is>
          <t>No</t>
        </is>
      </c>
      <c r="AC372" s="30">
        <f>IF(AB372="No",5,0)</f>
        <v/>
      </c>
      <c r="AD372" s="30" t="inlineStr">
        <is>
          <t>Tailwind</t>
        </is>
      </c>
      <c r="AE372" s="30">
        <f>IF(AD372="Tailwind",10,0)</f>
        <v/>
      </c>
      <c r="AF372" s="30" t="inlineStr">
        <is>
          <t>Structural (10 Years Consistency)</t>
        </is>
      </c>
      <c r="AG372" s="30">
        <f>IF(AF372="Structural (10 Years Consistency)",10,IF(AF372="Shallow Cyclical (2 to 3 years growth)",5,0))</f>
        <v/>
      </c>
      <c r="AH372" s="30" t="inlineStr">
        <is>
          <t>No</t>
        </is>
      </c>
      <c r="AI372" s="30">
        <f>IF(AH372="Yes due to Product Mix change or Operating Leverage",10,IF(AH372="Yes, these are peak margins",-5,IF(AH372="No",5,0)))</f>
        <v/>
      </c>
      <c r="AJ372" s="30" t="inlineStr">
        <is>
          <t>Stable</t>
        </is>
      </c>
      <c r="AK372" s="30">
        <f>IF(AJ372="Stable",10,0)</f>
        <v/>
      </c>
      <c r="AL372" s="30" t="inlineStr">
        <is>
          <t>Yes</t>
        </is>
      </c>
      <c r="AM372" s="30">
        <f>IF(AL372="Yes",10,0)</f>
        <v/>
      </c>
      <c r="AN372" s="30" t="inlineStr">
        <is>
          <t>B2B</t>
        </is>
      </c>
      <c r="AO372" s="30">
        <f>IF(AN372="B2C",10,IF(AN372="B2B",5,0))</f>
        <v/>
      </c>
      <c r="AP372" s="30" t="inlineStr">
        <is>
          <t>Yes</t>
        </is>
      </c>
      <c r="AQ372" s="30">
        <f>IF(AP372="Yes",10,0)</f>
        <v/>
      </c>
      <c r="AR372" s="30" t="inlineStr">
        <is>
          <t>Higher One Time, Lower Annuity</t>
        </is>
      </c>
      <c r="AS372" s="30">
        <f>IF(AR372="Fully Annuity",10,IF(AR372="Higher Annuity, Lower One Time",5,IF(AR372="Higher One Time, Lower Annuity",3,0)))</f>
        <v/>
      </c>
      <c r="AT372" s="30" t="inlineStr">
        <is>
          <t>Good</t>
        </is>
      </c>
      <c r="AU372" s="30">
        <f>IF(AT372="Good",10,0)</f>
        <v/>
      </c>
      <c r="AV372" s="30" t="inlineStr">
        <is>
          <t>Yes for more than 2 years</t>
        </is>
      </c>
      <c r="AW372" s="30">
        <f>IF(AV372="Yes for more than 2 years",10,IF(AV372="Yes only for next 1 to 2 years",5,0))</f>
        <v/>
      </c>
      <c r="AX372" s="30" t="inlineStr">
        <is>
          <t>0 to 20</t>
        </is>
      </c>
      <c r="AY372" s="30">
        <f>IF(AX372="Above 40",20,IF(AX372="20 to 40",10,IF(AX372="0 to 20",-5,0)))</f>
        <v/>
      </c>
      <c r="AZ372" s="30" t="inlineStr">
        <is>
          <t>Between 50 to 75</t>
        </is>
      </c>
      <c r="BA372" s="30">
        <f>IF(AZ372="Between 50 to 75",10,IF(AZ372="Above 75",0,0))</f>
        <v/>
      </c>
      <c r="BB372" s="30" t="inlineStr">
        <is>
          <t>Stage 2</t>
        </is>
      </c>
      <c r="BC372" s="30">
        <f>IF(BB372="Stage 2",20,IF(BB372="Stage 1",0,IF(BB372="Stage 3",5,IF(BB372="Stage 4",-5,0))))</f>
        <v/>
      </c>
      <c r="BD372" s="30" t="inlineStr">
        <is>
          <t>Positive Trend</t>
        </is>
      </c>
      <c r="BE372" s="30">
        <f>IF(BD372="Positive Trend",20,IF(BD372="Negative Trend",-10,0))</f>
        <v/>
      </c>
      <c r="BF372" s="30" t="inlineStr">
        <is>
          <t>Uptrend</t>
        </is>
      </c>
      <c r="BG372" s="30">
        <f>IF(BF372="Uptrend",10,IF(BF372="Sideways",5,0))</f>
        <v/>
      </c>
      <c r="BH372" s="30" t="inlineStr">
        <is>
          <t>Uptrend</t>
        </is>
      </c>
      <c r="BI372" s="30">
        <f>IF(BH372="Uptrend",10,IF(BH372="Sideways",5,0))</f>
        <v/>
      </c>
      <c r="BJ372" s="30" t="inlineStr">
        <is>
          <t>Blue sky scenario</t>
        </is>
      </c>
      <c r="BK372" s="30">
        <f>IF(BJ372="Overhead supply in last 2 years in last 2 years",-5,IF(BJ372="Close to 52 week high or retracement",5,IF(BJ372="Blue sky scenario",10,IF(BJ372="Long term Downtrend",-10,0))))</f>
        <v/>
      </c>
      <c r="BL372" s="30" t="inlineStr">
        <is>
          <t>Yes</t>
        </is>
      </c>
      <c r="BM372" s="30">
        <f>IF(BL372="Yes",10,0)</f>
        <v/>
      </c>
      <c r="BN372" s="30" t="inlineStr">
        <is>
          <t>Less than 12%</t>
        </is>
      </c>
      <c r="BO372" s="30">
        <f>IF(BN372="More than 20%",10,IF(BN372="Between 12 to 20%",5,IF(BN372="Less than 12%",0,0)))</f>
        <v/>
      </c>
      <c r="BP372" s="30" t="inlineStr">
        <is>
          <t>No</t>
        </is>
      </c>
      <c r="BQ372" s="30">
        <f>IF(BP372="No",10,0)</f>
        <v/>
      </c>
      <c r="BR372" s="30" t="inlineStr">
        <is>
          <t>Yes</t>
        </is>
      </c>
      <c r="BS372" s="30">
        <f>IF(BR372="NO",5,0)</f>
        <v/>
      </c>
      <c r="BT372" s="30" t="inlineStr">
        <is>
          <t>Above 2</t>
        </is>
      </c>
      <c r="BU372" s="30">
        <f>IF(BT372="Above 2",0,IF(BT372="Between 1.5 to 2",5,IF(BT372="Less than 1.5",10,0)))</f>
        <v/>
      </c>
      <c r="BV372" s="30" t="inlineStr">
        <is>
          <t>Less than 50% and Borrowings are increasing</t>
        </is>
      </c>
      <c r="BW372" s="30">
        <f>IF(BV372="Above 70%",10,IF(BV372="Between 50% to 70%",5,IF(BV372="Less than 50%",0,IF(BV372="Negative",-10,IF(BV372="Less than 50% and Borrowings are increasing",-5,0)))))</f>
        <v/>
      </c>
      <c r="BX372" s="30" t="inlineStr">
        <is>
          <t>More than 1.2</t>
        </is>
      </c>
      <c r="BY372" s="30">
        <f>IF(BX372="More than 1.2",-10,IF(BX372="Between 0.7 to 1.2",0,IF(BX372="Less than 0.7",10,0)))</f>
        <v/>
      </c>
      <c r="BZ372" s="30" t="inlineStr">
        <is>
          <t>No</t>
        </is>
      </c>
      <c r="CA372" s="30">
        <f>IF(BZ372="Yes",-10,0)</f>
        <v/>
      </c>
      <c r="CB372" s="30" t="inlineStr">
        <is>
          <t>Less than 15%</t>
        </is>
      </c>
      <c r="CC372" s="30">
        <f>IF(CB372="More than 15%",-10,IF(CB372="Less than 15%",10,0))</f>
        <v/>
      </c>
      <c r="CD372" s="30" t="inlineStr">
        <is>
          <t>No</t>
        </is>
      </c>
      <c r="CE372" s="30">
        <f>IF(CD372="Yes, more than 10%",-10,IF(CD372="No",10,0))</f>
        <v/>
      </c>
    </row>
    <row r="373">
      <c r="A373" s="30">
        <f>IF(B373=0,"",RANK(B373,$B$2:$B$400,0))</f>
        <v/>
      </c>
      <c r="B373" s="31">
        <f>SUM(N373,Y373,AA373,AC373,AE373,AG373,AI373,AK373,AM373,AO373,AQ373,AS373,AU373,AW373,AY373,BA373,BC373,BE373,BG373,BI373,BK373,BM373,BO373,BQ373,BS373,BU373,BW373,BY373,CA373,CC373,CE373)</f>
        <v/>
      </c>
      <c r="C373" s="32" t="inlineStr">
        <is>
          <t>SILVERTUC</t>
        </is>
      </c>
      <c r="D373" s="32" t="inlineStr">
        <is>
          <t>Silver Touch Technologies Ltd</t>
        </is>
      </c>
      <c r="E373" s="30" t="inlineStr">
        <is>
          <t>i.t</t>
        </is>
      </c>
      <c r="F373" s="30" t="inlineStr">
        <is>
          <t>computers - software - medium / small</t>
        </is>
      </c>
      <c r="G373" s="30" t="inlineStr">
        <is>
          <t>smallcap</t>
        </is>
      </c>
      <c r="H373" s="31" t="n">
        <v>2477.23</v>
      </c>
      <c r="I373" s="31" t="n">
        <v>185.69</v>
      </c>
      <c r="J373" s="31" t="n">
        <v>-4.95</v>
      </c>
      <c r="K373" s="31" t="n">
        <v>411592</v>
      </c>
      <c r="L373" s="30" t="n">
        <v>18</v>
      </c>
      <c r="M373" s="30" t="inlineStr">
        <is>
          <t>Underperforming</t>
        </is>
      </c>
      <c r="N373" s="31">
        <f>IF(M373="Underperforming",-5,IF(L373&gt;=95,15,IF(L373&gt;=90,10,IF(L373&gt;=80,5,0))))</f>
        <v/>
      </c>
      <c r="O373" s="31" t="n">
        <v>39.93</v>
      </c>
      <c r="P373" s="31" t="n">
        <v>39.89</v>
      </c>
      <c r="Q373" s="31" t="n">
        <v>80.87</v>
      </c>
      <c r="R373" s="30" t="inlineStr">
        <is>
          <t>Earnings / Momentum Support</t>
        </is>
      </c>
      <c r="S373" s="30" t="inlineStr">
        <is>
          <t>Nifty IT</t>
        </is>
      </c>
      <c r="T373" s="31" t="n">
        <v>-26.99</v>
      </c>
      <c r="U373" s="31" t="n">
        <v>-75.73</v>
      </c>
      <c r="V373" s="31" t="n">
        <v>-66.75</v>
      </c>
      <c r="W373" s="31" t="n">
        <v>5.67</v>
      </c>
      <c r="X373" s="30" t="inlineStr">
        <is>
          <t>Growing Industry</t>
        </is>
      </c>
      <c r="Y373" s="30">
        <f>IF(X373="Growing Industry",10,IF(X373="Cyclical in an Upturn",5,0))</f>
        <v/>
      </c>
      <c r="Z373" s="30" t="inlineStr">
        <is>
          <t>Too Many Players with High ROCE</t>
        </is>
      </c>
      <c r="AA373" s="30">
        <f>IF(Z373="Monopoly",10,IF(Z373="Oligopoly",5,IF(Z373="Duopoly that cooperate",10,IF(Z373="Duopoly that compete",5,IF(Z373="Too many players with High ROCE",5,0)))))</f>
        <v/>
      </c>
      <c r="AB373" s="30" t="inlineStr">
        <is>
          <t>No</t>
        </is>
      </c>
      <c r="AC373" s="30">
        <f>IF(AB373="No",5,0)</f>
        <v/>
      </c>
      <c r="AD373" s="30" t="inlineStr">
        <is>
          <t>Headwind</t>
        </is>
      </c>
      <c r="AE373" s="30">
        <f>IF(AD373="Tailwind",10,0)</f>
        <v/>
      </c>
      <c r="AF373" s="30" t="inlineStr">
        <is>
          <t>Structural (10 Years Consistency)</t>
        </is>
      </c>
      <c r="AG373" s="30">
        <f>IF(AF373="Structural (10 Years Consistency)",10,IF(AF373="Shallow Cyclical (2 to 3 years growth)",5,0))</f>
        <v/>
      </c>
      <c r="AH373" s="30" t="inlineStr">
        <is>
          <t>No</t>
        </is>
      </c>
      <c r="AI373" s="30">
        <f>IF(AH373="Yes due to Product Mix change or Operating Leverage",10,IF(AH373="Yes, these are peak margins",-5,IF(AH373="No",5,0)))</f>
        <v/>
      </c>
      <c r="AJ373" s="30" t="inlineStr">
        <is>
          <t>Stable</t>
        </is>
      </c>
      <c r="AK373" s="30">
        <f>IF(AJ373="Stable",10,0)</f>
        <v/>
      </c>
      <c r="AL373" s="30" t="inlineStr">
        <is>
          <t>Yes</t>
        </is>
      </c>
      <c r="AM373" s="30">
        <f>IF(AL373="Yes",10,0)</f>
        <v/>
      </c>
      <c r="AN373" s="30" t="inlineStr">
        <is>
          <t>B2B</t>
        </is>
      </c>
      <c r="AO373" s="30">
        <f>IF(AN373="B2C",10,IF(AN373="B2B",5,0))</f>
        <v/>
      </c>
      <c r="AP373" s="30" t="inlineStr">
        <is>
          <t>No</t>
        </is>
      </c>
      <c r="AQ373" s="30">
        <f>IF(AP373="Yes",10,0)</f>
        <v/>
      </c>
      <c r="AR373" s="30" t="inlineStr">
        <is>
          <t>Higher Annuity, Lower One Time</t>
        </is>
      </c>
      <c r="AS373" s="30">
        <f>IF(AR373="Fully Annuity",10,IF(AR373="Higher Annuity, Lower One Time",5,IF(AR373="Higher One Time, Lower Annuity",3,0)))</f>
        <v/>
      </c>
      <c r="AT373" s="30" t="inlineStr">
        <is>
          <t>Good</t>
        </is>
      </c>
      <c r="AU373" s="30">
        <f>IF(AT373="Good",10,0)</f>
        <v/>
      </c>
      <c r="AV373" s="30" t="inlineStr">
        <is>
          <t>Yes for more than 2 years</t>
        </is>
      </c>
      <c r="AW373" s="30">
        <f>IF(AV373="Yes for more than 2 years",10,IF(AV373="Yes only for next 1 to 2 years",5,0))</f>
        <v/>
      </c>
      <c r="AX373" s="30" t="inlineStr">
        <is>
          <t>20 to 40</t>
        </is>
      </c>
      <c r="AY373" s="30">
        <f>IF(AX373="Above 40",20,IF(AX373="20 to 40",10,IF(AX373="0 to 20",-5,0)))</f>
        <v/>
      </c>
      <c r="AZ373" s="30" t="inlineStr">
        <is>
          <t>Below 45</t>
        </is>
      </c>
      <c r="BA373" s="30">
        <f>IF(AZ373="Between 50 to 75",10,IF(AZ373="Above 75",0,0))</f>
        <v/>
      </c>
      <c r="BB373" s="30" t="inlineStr">
        <is>
          <t>Stage 4</t>
        </is>
      </c>
      <c r="BC373" s="30">
        <f>IF(BB373="Stage 2",20,IF(BB373="Stage 1",0,IF(BB373="Stage 3",5,IF(BB373="Stage 4",-5,0))))</f>
        <v/>
      </c>
      <c r="BD373" s="30" t="inlineStr">
        <is>
          <t>Positive Trend</t>
        </is>
      </c>
      <c r="BE373" s="30">
        <f>IF(BD373="Positive Trend",20,IF(BD373="Negative Trend",-10,0))</f>
        <v/>
      </c>
      <c r="BF373" s="30" t="inlineStr">
        <is>
          <t>Uptrend</t>
        </is>
      </c>
      <c r="BG373" s="30">
        <f>IF(BF373="Uptrend",10,IF(BF373="Sideways",5,0))</f>
        <v/>
      </c>
      <c r="BH373" s="30" t="inlineStr">
        <is>
          <t>Uptrend</t>
        </is>
      </c>
      <c r="BI373" s="30">
        <f>IF(BH373="Uptrend",10,IF(BH373="Sideways",5,0))</f>
        <v/>
      </c>
      <c r="BJ373" s="30" t="inlineStr">
        <is>
          <t>Close to 52 week high or retracement</t>
        </is>
      </c>
      <c r="BK373" s="30">
        <f>IF(BJ373="Overhead supply in last 2 years in last 2 years",-5,IF(BJ373="Close to 52 week high or retracement",5,IF(BJ373="Blue sky scenario",10,IF(BJ373="Long term Downtrend",-10,0))))</f>
        <v/>
      </c>
      <c r="BL373" s="30" t="inlineStr">
        <is>
          <t>Yes</t>
        </is>
      </c>
      <c r="BM373" s="30">
        <f>IF(BL373="Yes",10,0)</f>
        <v/>
      </c>
      <c r="BN373" s="30" t="inlineStr">
        <is>
          <t>More than 20%</t>
        </is>
      </c>
      <c r="BO373" s="30">
        <f>IF(BN373="More than 20%",10,IF(BN373="Between 12 to 20%",5,IF(BN373="Less than 12%",0,0)))</f>
        <v/>
      </c>
      <c r="BP373" s="30" t="inlineStr">
        <is>
          <t>No</t>
        </is>
      </c>
      <c r="BQ373" s="30">
        <f>IF(BP373="No",10,0)</f>
        <v/>
      </c>
      <c r="BR373" s="30" t="inlineStr">
        <is>
          <t>Yes</t>
        </is>
      </c>
      <c r="BS373" s="30">
        <f>IF(BR373="NO",5,0)</f>
        <v/>
      </c>
      <c r="BT373" s="30" t="inlineStr">
        <is>
          <t>Between 1.5 to 2</t>
        </is>
      </c>
      <c r="BU373" s="30">
        <f>IF(BT373="Above 2",0,IF(BT373="Between 1.5 to 2",5,IF(BT373="Less than 1.5",10,0)))</f>
        <v/>
      </c>
      <c r="BV373" s="30" t="inlineStr">
        <is>
          <t>Less than 50%</t>
        </is>
      </c>
      <c r="BW373" s="30">
        <f>IF(BV373="Above 70%",10,IF(BV373="Between 50% to 70%",5,IF(BV373="Less than 50%",0,IF(BV373="Negative",-10,IF(BV373="Less than 50% and Borrowings are increasing",-5,0)))))</f>
        <v/>
      </c>
      <c r="BX373" s="30" t="inlineStr">
        <is>
          <t>Less than 0.7</t>
        </is>
      </c>
      <c r="BY373" s="30">
        <f>IF(BX373="More than 1.2",-10,IF(BX373="Between 0.7 to 1.2",0,IF(BX373="Less than 0.7",10,0)))</f>
        <v/>
      </c>
      <c r="BZ373" s="30" t="inlineStr">
        <is>
          <t>No</t>
        </is>
      </c>
      <c r="CA373" s="30">
        <f>IF(BZ373="Yes",-10,0)</f>
        <v/>
      </c>
      <c r="CB373" s="30" t="inlineStr">
        <is>
          <t>Less than 15%</t>
        </is>
      </c>
      <c r="CC373" s="30">
        <f>IF(CB373="More than 15%",-10,IF(CB373="Less than 15%",10,0))</f>
        <v/>
      </c>
      <c r="CD373" s="30" t="inlineStr">
        <is>
          <t>No</t>
        </is>
      </c>
      <c r="CE373" s="30">
        <f>IF(CD373="Yes, more than 10%",-10,IF(CD373="No",10,0))</f>
        <v/>
      </c>
    </row>
    <row r="374">
      <c r="A374" s="30">
        <f>IF(B374=0,"",RANK(B374,$B$2:$B$400,0))</f>
        <v/>
      </c>
      <c r="B374" s="31">
        <f>SUM(N374,Y374,AA374,AC374,AE374,AG374,AI374,AK374,AM374,AO374,AQ374,AS374,AU374,AW374,AY374,BA374,BC374,BE374,BG374,BI374,BK374,BM374,BO374,BQ374,BS374,BU374,BW374,BY374,CA374,CC374,CE374)</f>
        <v/>
      </c>
      <c r="C374" s="32" t="inlineStr">
        <is>
          <t>VENUSPIPES</t>
        </is>
      </c>
      <c r="D374" s="32" t="inlineStr">
        <is>
          <t>Venus Pipes &amp; Tubes Ltd</t>
        </is>
      </c>
      <c r="E374" s="30" t="inlineStr">
        <is>
          <t>metals &amp; mining</t>
        </is>
      </c>
      <c r="F374" s="30" t="inlineStr">
        <is>
          <t>steel - medium / small</t>
        </is>
      </c>
      <c r="G374" s="30" t="inlineStr">
        <is>
          <t>smallcap</t>
        </is>
      </c>
      <c r="H374" s="31" t="n">
        <v>2966.13</v>
      </c>
      <c r="I374" s="31" t="n">
        <v>1482.4</v>
      </c>
      <c r="J374" s="31" t="n">
        <v>3.53</v>
      </c>
      <c r="K374" s="31" t="n">
        <v>105809</v>
      </c>
      <c r="L374" s="30" t="n">
        <v>63</v>
      </c>
      <c r="M374" s="30" t="inlineStr">
        <is>
          <t>Underperforming</t>
        </is>
      </c>
      <c r="N374" s="31">
        <f>IF(M374="Underperforming",-5,IF(L374&gt;=95,15,IF(L374&gt;=90,10,IF(L374&gt;=80,5,0))))</f>
        <v/>
      </c>
      <c r="O374" s="31" t="n">
        <v>63.29</v>
      </c>
      <c r="P374" s="31" t="n">
        <v>19.48</v>
      </c>
      <c r="Q374" s="31" t="n">
        <v>1103.63</v>
      </c>
      <c r="R374" s="30" t="inlineStr">
        <is>
          <t>Earnings / Momentum Support</t>
        </is>
      </c>
      <c r="S374" s="30" t="inlineStr">
        <is>
          <t>Nifty Metal</t>
        </is>
      </c>
      <c r="T374" s="31" t="n">
        <v>42.37</v>
      </c>
      <c r="U374" s="31" t="n">
        <v>10.3</v>
      </c>
      <c r="V374" s="31" t="n">
        <v>-22.53</v>
      </c>
      <c r="W374" s="31" t="n">
        <v>16.23</v>
      </c>
      <c r="X374" s="30" t="inlineStr">
        <is>
          <t>Cyclical in an Upturn</t>
        </is>
      </c>
      <c r="Y374" s="30">
        <f>IF(X374="Growing Industry",10,IF(X374="Cyclical in an Upturn",5,0))</f>
        <v/>
      </c>
      <c r="Z374" s="30" t="inlineStr">
        <is>
          <t>Too Many Players with High ROCE</t>
        </is>
      </c>
      <c r="AA374" s="30">
        <f>IF(Z374="Monopoly",10,IF(Z374="Oligopoly",5,IF(Z374="Duopoly that cooperate",10,IF(Z374="Duopoly that compete",5,IF(Z374="Too many players with High ROCE",5,0)))))</f>
        <v/>
      </c>
      <c r="AB374" s="30" t="inlineStr">
        <is>
          <t>No</t>
        </is>
      </c>
      <c r="AC374" s="30">
        <f>IF(AB374="No",5,0)</f>
        <v/>
      </c>
      <c r="AD374" s="30" t="inlineStr">
        <is>
          <t>Tailwind</t>
        </is>
      </c>
      <c r="AE374" s="30">
        <f>IF(AD374="Tailwind",10,0)</f>
        <v/>
      </c>
      <c r="AF374" s="30" t="inlineStr">
        <is>
          <t>Cyclical</t>
        </is>
      </c>
      <c r="AG374" s="30">
        <f>IF(AF374="Structural (10 Years Consistency)",10,IF(AF374="Shallow Cyclical (2 to 3 years growth)",5,0))</f>
        <v/>
      </c>
      <c r="AH374" s="30" t="inlineStr">
        <is>
          <t>No</t>
        </is>
      </c>
      <c r="AI374" s="30">
        <f>IF(AH374="Yes due to Product Mix change or Operating Leverage",10,IF(AH374="Yes, these are peak margins",-5,IF(AH374="No",5,0)))</f>
        <v/>
      </c>
      <c r="AJ374" s="30" t="inlineStr">
        <is>
          <t>Volatile</t>
        </is>
      </c>
      <c r="AK374" s="30">
        <f>IF(AJ374="Stable",10,0)</f>
        <v/>
      </c>
      <c r="AL374" s="30" t="inlineStr">
        <is>
          <t>Yes</t>
        </is>
      </c>
      <c r="AM374" s="30">
        <f>IF(AL374="Yes",10,0)</f>
        <v/>
      </c>
      <c r="AN374" s="30" t="inlineStr">
        <is>
          <t>B2B</t>
        </is>
      </c>
      <c r="AO374" s="30">
        <f>IF(AN374="B2C",10,IF(AN374="B2B",5,0))</f>
        <v/>
      </c>
      <c r="AP374" s="30" t="inlineStr">
        <is>
          <t>No</t>
        </is>
      </c>
      <c r="AQ374" s="30">
        <f>IF(AP374="Yes",10,0)</f>
        <v/>
      </c>
      <c r="AR374" s="30" t="inlineStr">
        <is>
          <t>Higher One Time, Lower Annuity</t>
        </is>
      </c>
      <c r="AS374" s="30">
        <f>IF(AR374="Fully Annuity",10,IF(AR374="Higher Annuity, Lower One Time",5,IF(AR374="Higher One Time, Lower Annuity",3,0)))</f>
        <v/>
      </c>
      <c r="AT374" s="30" t="inlineStr">
        <is>
          <t>Good</t>
        </is>
      </c>
      <c r="AU374" s="30">
        <f>IF(AT374="Good",10,0)</f>
        <v/>
      </c>
      <c r="AV374" s="30" t="inlineStr">
        <is>
          <t>Yes for more than 2 years</t>
        </is>
      </c>
      <c r="AW374" s="30">
        <f>IF(AV374="Yes for more than 2 years",10,IF(AV374="Yes only for next 1 to 2 years",5,0))</f>
        <v/>
      </c>
      <c r="AX374" s="30" t="inlineStr">
        <is>
          <t>0 to 20</t>
        </is>
      </c>
      <c r="AY374" s="30">
        <f>IF(AX374="Above 40",20,IF(AX374="20 to 40",10,IF(AX374="0 to 20",-5,0)))</f>
        <v/>
      </c>
      <c r="AZ374" s="30" t="inlineStr">
        <is>
          <t>Between 50 to 75</t>
        </is>
      </c>
      <c r="BA374" s="30">
        <f>IF(AZ374="Between 50 to 75",10,IF(AZ374="Above 75",0,0))</f>
        <v/>
      </c>
      <c r="BB374" s="30" t="inlineStr">
        <is>
          <t>Stage 2</t>
        </is>
      </c>
      <c r="BC374" s="30">
        <f>IF(BB374="Stage 2",20,IF(BB374="Stage 1",0,IF(BB374="Stage 3",5,IF(BB374="Stage 4",-5,0))))</f>
        <v/>
      </c>
      <c r="BD374" s="30" t="inlineStr">
        <is>
          <t>Positive Trend</t>
        </is>
      </c>
      <c r="BE374" s="30">
        <f>IF(BD374="Positive Trend",20,IF(BD374="Negative Trend",-10,0))</f>
        <v/>
      </c>
      <c r="BF374" s="30" t="inlineStr">
        <is>
          <t>Uptrend</t>
        </is>
      </c>
      <c r="BG374" s="30">
        <f>IF(BF374="Uptrend",10,IF(BF374="Sideways",5,0))</f>
        <v/>
      </c>
      <c r="BH374" s="30" t="inlineStr">
        <is>
          <t>Uptrend</t>
        </is>
      </c>
      <c r="BI374" s="30">
        <f>IF(BH374="Uptrend",10,IF(BH374="Sideways",5,0))</f>
        <v/>
      </c>
      <c r="BJ374" s="30" t="inlineStr">
        <is>
          <t>Close to 52 week high or retracement</t>
        </is>
      </c>
      <c r="BK374" s="30">
        <f>IF(BJ374="Overhead supply in last 2 years in last 2 years",-5,IF(BJ374="Close to 52 week high or retracement",5,IF(BJ374="Blue sky scenario",10,IF(BJ374="Long term Downtrend",-10,0))))</f>
        <v/>
      </c>
      <c r="BL374" s="30" t="inlineStr">
        <is>
          <t>Yes</t>
        </is>
      </c>
      <c r="BM374" s="30">
        <f>IF(BL374="Yes",10,0)</f>
        <v/>
      </c>
      <c r="BN374" s="30" t="inlineStr">
        <is>
          <t>Less than 12%</t>
        </is>
      </c>
      <c r="BO374" s="30">
        <f>IF(BN374="More than 20%",10,IF(BN374="Between 12 to 20%",5,IF(BN374="Less than 12%",0,0)))</f>
        <v/>
      </c>
      <c r="BP374" s="30" t="inlineStr">
        <is>
          <t>No</t>
        </is>
      </c>
      <c r="BQ374" s="30">
        <f>IF(BP374="No",10,0)</f>
        <v/>
      </c>
      <c r="BR374" s="30" t="inlineStr">
        <is>
          <t>No</t>
        </is>
      </c>
      <c r="BS374" s="30">
        <f>IF(BR374="NO",5,0)</f>
        <v/>
      </c>
      <c r="BT374" s="30" t="inlineStr">
        <is>
          <t>Above 2</t>
        </is>
      </c>
      <c r="BU374" s="30">
        <f>IF(BT374="Above 2",0,IF(BT374="Between 1.5 to 2",5,IF(BT374="Less than 1.5",10,0)))</f>
        <v/>
      </c>
      <c r="BV374" s="30" t="inlineStr">
        <is>
          <t>Between 50% to 70%</t>
        </is>
      </c>
      <c r="BW374" s="30">
        <f>IF(BV374="Above 70%",10,IF(BV374="Between 50% to 70%",5,IF(BV374="Less than 50%",0,IF(BV374="Negative",-10,IF(BV374="Less than 50% and Borrowings are increasing",-5,0)))))</f>
        <v/>
      </c>
      <c r="BX374" s="30" t="inlineStr">
        <is>
          <t>Less than 0.7</t>
        </is>
      </c>
      <c r="BY374" s="30">
        <f>IF(BX374="More than 1.2",-10,IF(BX374="Between 0.7 to 1.2",0,IF(BX374="Less than 0.7",10,0)))</f>
        <v/>
      </c>
      <c r="BZ374" s="30" t="inlineStr">
        <is>
          <t>No</t>
        </is>
      </c>
      <c r="CA374" s="30">
        <f>IF(BZ374="Yes",-10,0)</f>
        <v/>
      </c>
      <c r="CB374" s="30" t="inlineStr">
        <is>
          <t>Less than 15%</t>
        </is>
      </c>
      <c r="CC374" s="30">
        <f>IF(CB374="More than 15%",-10,IF(CB374="Less than 15%",10,0))</f>
        <v/>
      </c>
      <c r="CD374" s="30" t="inlineStr">
        <is>
          <t>No</t>
        </is>
      </c>
      <c r="CE374" s="30">
        <f>IF(CD374="Yes, more than 10%",-10,IF(CD374="No",10,0))</f>
        <v/>
      </c>
    </row>
    <row r="375">
      <c r="A375" s="30">
        <f>IF(B375=0,"",RANK(B375,$B$2:$B$400,0))</f>
        <v/>
      </c>
      <c r="B375" s="31">
        <f>SUM(N375,Y375,AA375,AC375,AE375,AG375,AI375,AK375,AM375,AO375,AQ375,AS375,AU375,AW375,AY375,BA375,BC375,BE375,BG375,BI375,BK375,BM375,BO375,BQ375,BS375,BU375,BW375,BY375,CA375,CC375,CE375)</f>
        <v/>
      </c>
      <c r="C375" s="30" t="inlineStr">
        <is>
          <t>TATACOMM</t>
        </is>
      </c>
      <c r="D375" s="30" t="inlineStr">
        <is>
          <t>Tata Communications Limited</t>
        </is>
      </c>
      <c r="E375" s="30" t="inlineStr">
        <is>
          <t>telecom-service</t>
        </is>
      </c>
      <c r="F375" s="30" t="inlineStr">
        <is>
          <t>telecommunications - service provider</t>
        </is>
      </c>
      <c r="G375" s="30" t="inlineStr">
        <is>
          <t>largecap</t>
        </is>
      </c>
      <c r="H375" s="31" t="n">
        <v>54144.3</v>
      </c>
      <c r="I375" s="31" t="n">
        <v>1942</v>
      </c>
      <c r="J375" s="31" t="n">
        <v>2.22</v>
      </c>
      <c r="K375" s="31" t="n">
        <v>801616</v>
      </c>
      <c r="L375" s="30" t="n">
        <v>51</v>
      </c>
      <c r="M375" s="30" t="inlineStr">
        <is>
          <t>Outperforming</t>
        </is>
      </c>
      <c r="N375" s="31">
        <f>IF(M375="Underperforming",-5,IF(L375&gt;=95,15,IF(L375&gt;=90,10,IF(L375&gt;=80,5,0))))</f>
        <v/>
      </c>
      <c r="O375" s="31" t="n">
        <v>66.43000000000001</v>
      </c>
      <c r="P375" s="31" t="n">
        <v>28.19</v>
      </c>
      <c r="Q375" s="31" t="n">
        <v>1562.61</v>
      </c>
      <c r="R375" s="30" t="inlineStr">
        <is>
          <t>Near 52W High Breakout</t>
        </is>
      </c>
      <c r="S375" s="30" t="inlineStr">
        <is>
          <t>Nifty 50</t>
        </is>
      </c>
      <c r="T375" s="31" t="n">
        <v>-3.76</v>
      </c>
      <c r="U375" s="31" t="n">
        <v>19.13</v>
      </c>
      <c r="V375" s="31" t="n">
        <v>23.78</v>
      </c>
      <c r="W375" s="31" t="n">
        <v>12.69</v>
      </c>
      <c r="X375" s="30" t="inlineStr">
        <is>
          <t>Growing Industry</t>
        </is>
      </c>
      <c r="Y375" s="30">
        <f>IF(X375="Growing Industry",10,IF(X375="Cyclical in an Upturn",5,0))</f>
        <v/>
      </c>
      <c r="Z375" s="30" t="inlineStr">
        <is>
          <t>Oligopoly</t>
        </is>
      </c>
      <c r="AA375" s="30">
        <f>IF(Z375="Monopoly",10,IF(Z375="Oligopoly",5,IF(Z375="Duopoly that cooperate",10,IF(Z375="Duopoly that compete",5,IF(Z375="Too many players with High ROCE",5,0)))))</f>
        <v/>
      </c>
      <c r="AB375" s="30" t="inlineStr">
        <is>
          <t>Yes</t>
        </is>
      </c>
      <c r="AC375" s="30">
        <f>IF(AB375="No",5,0)</f>
        <v/>
      </c>
      <c r="AD375" s="30" t="inlineStr">
        <is>
          <t>Tailwind</t>
        </is>
      </c>
      <c r="AE375" s="30">
        <f>IF(AD375="Tailwind",10,0)</f>
        <v/>
      </c>
      <c r="AF375" s="30" t="inlineStr">
        <is>
          <t>Structural (10 Years Consistency)</t>
        </is>
      </c>
      <c r="AG375" s="30">
        <f>IF(AF375="Structural (10 Years Consistency)",10,IF(AF375="Shallow Cyclical (2 to 3 years growth)",5,0))</f>
        <v/>
      </c>
      <c r="AH375" s="30" t="inlineStr">
        <is>
          <t>No</t>
        </is>
      </c>
      <c r="AI375" s="30">
        <f>IF(AH375="Yes due to Product Mix change or Operating Leverage",10,IF(AH375="Yes, these are peak margins",-5,IF(AH375="No",5,0)))</f>
        <v/>
      </c>
      <c r="AJ375" s="30" t="inlineStr">
        <is>
          <t>Stable</t>
        </is>
      </c>
      <c r="AK375" s="30">
        <f>IF(AJ375="Stable",10,0)</f>
        <v/>
      </c>
      <c r="AL375" s="30" t="inlineStr">
        <is>
          <t>Yes</t>
        </is>
      </c>
      <c r="AM375" s="30">
        <f>IF(AL375="Yes",10,0)</f>
        <v/>
      </c>
      <c r="AN375" s="30" t="inlineStr">
        <is>
          <t>B2B</t>
        </is>
      </c>
      <c r="AO375" s="30">
        <f>IF(AN375="B2C",10,IF(AN375="B2B",5,0))</f>
        <v/>
      </c>
      <c r="AP375" s="30" t="inlineStr">
        <is>
          <t>Yes</t>
        </is>
      </c>
      <c r="AQ375" s="30">
        <f>IF(AP375="Yes",10,0)</f>
        <v/>
      </c>
      <c r="AR375" s="30" t="inlineStr">
        <is>
          <t>Higher One Time, Lower Annuity</t>
        </is>
      </c>
      <c r="AS375" s="30">
        <f>IF(AR375="Fully Annuity",10,IF(AR375="Higher Annuity, Lower One Time",5,IF(AR375="Higher One Time, Lower Annuity",3,0)))</f>
        <v/>
      </c>
      <c r="AT375" s="30" t="inlineStr">
        <is>
          <t>Good</t>
        </is>
      </c>
      <c r="AU375" s="30">
        <f>IF(AT375="Good",10,0)</f>
        <v/>
      </c>
      <c r="AV375" s="30" t="inlineStr">
        <is>
          <t>Yes for more than 2 years</t>
        </is>
      </c>
      <c r="AW375" s="30">
        <f>IF(AV375="Yes for more than 2 years",10,IF(AV375="Yes only for next 1 to 2 years",5,0))</f>
        <v/>
      </c>
      <c r="AX375" s="30" t="inlineStr">
        <is>
          <t>20 to 40</t>
        </is>
      </c>
      <c r="AY375" s="30">
        <f>IF(AX375="Above 40",20,IF(AX375="20 to 40",10,IF(AX375="0 to 20",-5,0)))</f>
        <v/>
      </c>
      <c r="AZ375" s="30" t="inlineStr">
        <is>
          <t>Between 50 to 75</t>
        </is>
      </c>
      <c r="BA375" s="30">
        <f>IF(AZ375="Between 50 to 75",10,IF(AZ375="Above 75",0,0))</f>
        <v/>
      </c>
      <c r="BB375" s="30" t="inlineStr">
        <is>
          <t>Stage 2</t>
        </is>
      </c>
      <c r="BC375" s="30">
        <f>IF(BB375="Stage 2",20,IF(BB375="Stage 1",0,IF(BB375="Stage 3",5,IF(BB375="Stage 4",-5,0))))</f>
        <v/>
      </c>
      <c r="BD375" s="30" t="inlineStr">
        <is>
          <t>Negative Trend</t>
        </is>
      </c>
      <c r="BE375" s="30">
        <f>IF(BD375="Positive Trend",20,IF(BD375="Negative Trend",-10,0))</f>
        <v/>
      </c>
      <c r="BF375" s="30" t="inlineStr">
        <is>
          <t>Uptrend</t>
        </is>
      </c>
      <c r="BG375" s="30">
        <f>IF(BF375="Uptrend",10,IF(BF375="Sideways",5,0))</f>
        <v/>
      </c>
      <c r="BH375" s="30" t="inlineStr">
        <is>
          <t>Uptrend</t>
        </is>
      </c>
      <c r="BI375" s="30">
        <f>IF(BH375="Uptrend",10,IF(BH375="Sideways",5,0))</f>
        <v/>
      </c>
      <c r="BJ375" s="30" t="inlineStr">
        <is>
          <t>Close to 52 week high or retracement</t>
        </is>
      </c>
      <c r="BK375" s="30">
        <f>IF(BJ375="Overhead supply in last 2 years in last 2 years",-5,IF(BJ375="Close to 52 week high or retracement",5,IF(BJ375="Blue sky scenario",10,IF(BJ375="Long term Downtrend",-10,0))))</f>
        <v/>
      </c>
      <c r="BL375" s="30" t="inlineStr">
        <is>
          <t>Yes</t>
        </is>
      </c>
      <c r="BM375" s="30">
        <f>IF(BL375="Yes",10,0)</f>
        <v/>
      </c>
      <c r="BN375" s="30" t="inlineStr">
        <is>
          <t>Less than 12%</t>
        </is>
      </c>
      <c r="BO375" s="30">
        <f>IF(BN375="More than 20%",10,IF(BN375="Between 12 to 20%",5,IF(BN375="Less than 12%",0,0)))</f>
        <v/>
      </c>
      <c r="BP375" s="30" t="inlineStr">
        <is>
          <t>No</t>
        </is>
      </c>
      <c r="BQ375" s="30">
        <f>IF(BP375="No",10,0)</f>
        <v/>
      </c>
      <c r="BR375" s="30" t="inlineStr">
        <is>
          <t>Yes</t>
        </is>
      </c>
      <c r="BS375" s="30">
        <f>IF(BR375="NO",5,0)</f>
        <v/>
      </c>
      <c r="BT375" s="30" t="inlineStr">
        <is>
          <t>Above 2</t>
        </is>
      </c>
      <c r="BU375" s="30">
        <f>IF(BT375="Above 2",0,IF(BT375="Between 1.5 to 2",5,IF(BT375="Less than 1.5",10,0)))</f>
        <v/>
      </c>
      <c r="BV375" s="30" t="inlineStr">
        <is>
          <t>Above 70%</t>
        </is>
      </c>
      <c r="BW375" s="30">
        <f>IF(BV375="Above 70%",10,IF(BV375="Between 50% to 70%",5,IF(BV375="Less than 50%",0,IF(BV375="Negative",-10,IF(BV375="Less than 50% and Borrowings are increasing",-5,0)))))</f>
        <v/>
      </c>
      <c r="BX375" s="30" t="inlineStr">
        <is>
          <t>More than 1.2</t>
        </is>
      </c>
      <c r="BY375" s="30">
        <f>IF(BX375="More than 1.2",-10,IF(BX375="Between 0.7 to 1.2",0,IF(BX375="Less than 0.7",10,0)))</f>
        <v/>
      </c>
      <c r="BZ375" s="30" t="inlineStr">
        <is>
          <t>No</t>
        </is>
      </c>
      <c r="CA375" s="30">
        <f>IF(BZ375="Yes",-10,0)</f>
        <v/>
      </c>
      <c r="CB375" s="30" t="inlineStr">
        <is>
          <t>Less than 15%</t>
        </is>
      </c>
      <c r="CC375" s="30">
        <f>IF(CB375="More than 15%",-10,IF(CB375="Less than 15%",10,0))</f>
        <v/>
      </c>
      <c r="CD375" s="30" t="inlineStr">
        <is>
          <t>No</t>
        </is>
      </c>
      <c r="CE375" s="30">
        <f>IF(CD375="Yes, more than 10%",-10,IF(CD375="No",10,0))</f>
        <v/>
      </c>
    </row>
    <row r="376">
      <c r="A376" s="30">
        <f>IF(B376=0,"",RANK(B376,$B$2:$B$400,0))</f>
        <v/>
      </c>
      <c r="B376" s="31">
        <f>SUM(N376,Y376,AA376,AC376,AE376,AG376,AI376,AK376,AM376,AO376,AQ376,AS376,AU376,AW376,AY376,BA376,BC376,BE376,BG376,BI376,BK376,BM376,BO376,BQ376,BS376,BU376,BW376,BY376,CA376,CC376,CE376)</f>
        <v/>
      </c>
      <c r="C376" s="30" t="inlineStr">
        <is>
          <t>BEL</t>
        </is>
      </c>
      <c r="D376" s="30" t="inlineStr">
        <is>
          <t>Bharat Electronics Limited</t>
        </is>
      </c>
      <c r="E376" s="30" t="inlineStr">
        <is>
          <t>aerospace &amp; defence</t>
        </is>
      </c>
      <c r="F376" s="30" t="inlineStr">
        <is>
          <t>electronics - components</t>
        </is>
      </c>
      <c r="G376" s="30" t="inlineStr">
        <is>
          <t>largecap</t>
        </is>
      </c>
      <c r="H376" s="31" t="n">
        <v>306901.06</v>
      </c>
      <c r="I376" s="31" t="n">
        <v>428.6</v>
      </c>
      <c r="J376" s="31" t="n">
        <v>2.08</v>
      </c>
      <c r="K376" s="31" t="n">
        <v>23598062</v>
      </c>
      <c r="L376" s="30" t="n">
        <v>2</v>
      </c>
      <c r="M376" s="30" t="inlineStr">
        <is>
          <t>Outperforming</t>
        </is>
      </c>
      <c r="N376" s="31">
        <f>IF(M376="Underperforming",-5,IF(L376&gt;=95,15,IF(L376&gt;=90,10,IF(L376&gt;=80,5,0))))</f>
        <v/>
      </c>
      <c r="O376" s="31" t="n">
        <v>52.59</v>
      </c>
      <c r="P376" s="31" t="n">
        <v>16.28</v>
      </c>
      <c r="Q376" s="31" t="n">
        <v>394.88</v>
      </c>
      <c r="R376" s="30" t="inlineStr">
        <is>
          <t>Earnings / Momentum Support</t>
        </is>
      </c>
      <c r="S376" s="30" t="inlineStr">
        <is>
          <t>Nifty 50</t>
        </is>
      </c>
      <c r="T376" s="31" t="n">
        <v>-3.76</v>
      </c>
      <c r="U376" s="31" t="n">
        <v>5.68</v>
      </c>
      <c r="V376" s="31" t="n">
        <v>9.81</v>
      </c>
      <c r="W376" s="31" t="n">
        <v>1.31</v>
      </c>
      <c r="X376" s="30" t="inlineStr">
        <is>
          <t>Growing Industry</t>
        </is>
      </c>
      <c r="Y376" s="30">
        <f>IF(X376="Growing Industry",10,IF(X376="Cyclical in an Upturn",5,0))</f>
        <v/>
      </c>
      <c r="Z376" s="30" t="inlineStr">
        <is>
          <t>Too Many Players with High ROCE</t>
        </is>
      </c>
      <c r="AA376" s="30">
        <f>IF(Z376="Monopoly",10,IF(Z376="Oligopoly",5,IF(Z376="Duopoly that cooperate",10,IF(Z376="Duopoly that compete",5,IF(Z376="Too many players with High ROCE",5,0)))))</f>
        <v/>
      </c>
      <c r="AB376" s="30" t="inlineStr">
        <is>
          <t>No</t>
        </is>
      </c>
      <c r="AC376" s="30">
        <f>IF(AB376="No",5,0)</f>
        <v/>
      </c>
      <c r="AD376" s="30" t="inlineStr">
        <is>
          <t>Tailwind</t>
        </is>
      </c>
      <c r="AE376" s="30">
        <f>IF(AD376="Tailwind",10,0)</f>
        <v/>
      </c>
      <c r="AF376" s="30" t="inlineStr">
        <is>
          <t>Structural (10 Years Consistency)</t>
        </is>
      </c>
      <c r="AG376" s="30">
        <f>IF(AF376="Structural (10 Years Consistency)",10,IF(AF376="Shallow Cyclical (2 to 3 years growth)",5,0))</f>
        <v/>
      </c>
      <c r="AH376" s="30" t="inlineStr">
        <is>
          <t>No</t>
        </is>
      </c>
      <c r="AI376" s="30">
        <f>IF(AH376="Yes due to Product Mix change or Operating Leverage",10,IF(AH376="Yes, these are peak margins",-5,IF(AH376="No",5,0)))</f>
        <v/>
      </c>
      <c r="AJ376" s="30" t="inlineStr">
        <is>
          <t>Stable</t>
        </is>
      </c>
      <c r="AK376" s="30">
        <f>IF(AJ376="Stable",10,0)</f>
        <v/>
      </c>
      <c r="AL376" s="30" t="inlineStr">
        <is>
          <t>Yes</t>
        </is>
      </c>
      <c r="AM376" s="30">
        <f>IF(AL376="Yes",10,0)</f>
        <v/>
      </c>
      <c r="AN376" s="30" t="inlineStr">
        <is>
          <t>B2B</t>
        </is>
      </c>
      <c r="AO376" s="30">
        <f>IF(AN376="B2C",10,IF(AN376="B2B",5,0))</f>
        <v/>
      </c>
      <c r="AP376" s="30" t="inlineStr">
        <is>
          <t>No</t>
        </is>
      </c>
      <c r="AQ376" s="30">
        <f>IF(AP376="Yes",10,0)</f>
        <v/>
      </c>
      <c r="AR376" s="30" t="inlineStr">
        <is>
          <t>Higher One Time, Lower Annuity</t>
        </is>
      </c>
      <c r="AS376" s="30">
        <f>IF(AR376="Fully Annuity",10,IF(AR376="Higher Annuity, Lower One Time",5,IF(AR376="Higher One Time, Lower Annuity",3,0)))</f>
        <v/>
      </c>
      <c r="AT376" s="30" t="inlineStr">
        <is>
          <t>Good</t>
        </is>
      </c>
      <c r="AU376" s="30">
        <f>IF(AT376="Good",10,0)</f>
        <v/>
      </c>
      <c r="AV376" s="30" t="inlineStr">
        <is>
          <t>Yes for more than 2 years</t>
        </is>
      </c>
      <c r="AW376" s="30">
        <f>IF(AV376="Yes for more than 2 years",10,IF(AV376="Yes only for next 1 to 2 years",5,0))</f>
        <v/>
      </c>
      <c r="AX376" s="30" t="inlineStr">
        <is>
          <t>0 to 20</t>
        </is>
      </c>
      <c r="AY376" s="30">
        <f>IF(AX376="Above 40",20,IF(AX376="20 to 40",10,IF(AX376="0 to 20",-5,0)))</f>
        <v/>
      </c>
      <c r="AZ376" s="30" t="inlineStr">
        <is>
          <t>Between 50 to 75</t>
        </is>
      </c>
      <c r="BA376" s="30">
        <f>IF(AZ376="Between 50 to 75",10,IF(AZ376="Above 75",0,0))</f>
        <v/>
      </c>
      <c r="BB376" s="30" t="inlineStr">
        <is>
          <t>Stage 1</t>
        </is>
      </c>
      <c r="BC376" s="30">
        <f>IF(BB376="Stage 2",20,IF(BB376="Stage 1",0,IF(BB376="Stage 3",5,IF(BB376="Stage 4",-5,0))))</f>
        <v/>
      </c>
      <c r="BD376" s="30" t="inlineStr">
        <is>
          <t>Positive Trend</t>
        </is>
      </c>
      <c r="BE376" s="30">
        <f>IF(BD376="Positive Trend",20,IF(BD376="Negative Trend",-10,0))</f>
        <v/>
      </c>
      <c r="BF376" s="30" t="inlineStr">
        <is>
          <t>Uptrend</t>
        </is>
      </c>
      <c r="BG376" s="30">
        <f>IF(BF376="Uptrend",10,IF(BF376="Sideways",5,0))</f>
        <v/>
      </c>
      <c r="BH376" s="30" t="inlineStr">
        <is>
          <t>Uptrend</t>
        </is>
      </c>
      <c r="BI376" s="30">
        <f>IF(BH376="Uptrend",10,IF(BH376="Sideways",5,0))</f>
        <v/>
      </c>
      <c r="BJ376" s="30" t="inlineStr">
        <is>
          <t>Close to 52 week high or retracement</t>
        </is>
      </c>
      <c r="BK376" s="30">
        <f>IF(BJ376="Overhead supply in last 2 years in last 2 years",-5,IF(BJ376="Close to 52 week high or retracement",5,IF(BJ376="Blue sky scenario",10,IF(BJ376="Long term Downtrend",-10,0))))</f>
        <v/>
      </c>
      <c r="BL376" s="30" t="inlineStr">
        <is>
          <t>Yes</t>
        </is>
      </c>
      <c r="BM376" s="30">
        <f>IF(BL376="Yes",10,0)</f>
        <v/>
      </c>
      <c r="BN376" s="30" t="inlineStr">
        <is>
          <t>Less than 12%</t>
        </is>
      </c>
      <c r="BO376" s="30">
        <f>IF(BN376="More than 20%",10,IF(BN376="Between 12 to 20%",5,IF(BN376="Less than 12%",0,0)))</f>
        <v/>
      </c>
      <c r="BP376" s="30" t="inlineStr">
        <is>
          <t>No</t>
        </is>
      </c>
      <c r="BQ376" s="30">
        <f>IF(BP376="No",10,0)</f>
        <v/>
      </c>
      <c r="BR376" s="30" t="inlineStr">
        <is>
          <t>Yes</t>
        </is>
      </c>
      <c r="BS376" s="30">
        <f>IF(BR376="NO",5,0)</f>
        <v/>
      </c>
      <c r="BT376" s="30" t="inlineStr">
        <is>
          <t>Above 2</t>
        </is>
      </c>
      <c r="BU376" s="30">
        <f>IF(BT376="Above 2",0,IF(BT376="Between 1.5 to 2",5,IF(BT376="Less than 1.5",10,0)))</f>
        <v/>
      </c>
      <c r="BV376" s="30" t="inlineStr">
        <is>
          <t>Less than 50%</t>
        </is>
      </c>
      <c r="BW376" s="30">
        <f>IF(BV376="Above 70%",10,IF(BV376="Between 50% to 70%",5,IF(BV376="Less than 50%",0,IF(BV376="Negative",-10,IF(BV376="Less than 50% and Borrowings are increasing",-5,0)))))</f>
        <v/>
      </c>
      <c r="BX376" s="30" t="inlineStr">
        <is>
          <t>Less than 0.7</t>
        </is>
      </c>
      <c r="BY376" s="30">
        <f>IF(BX376="More than 1.2",-10,IF(BX376="Between 0.7 to 1.2",0,IF(BX376="Less than 0.7",10,0)))</f>
        <v/>
      </c>
      <c r="BZ376" s="30" t="inlineStr">
        <is>
          <t>No</t>
        </is>
      </c>
      <c r="CA376" s="30">
        <f>IF(BZ376="Yes",-10,0)</f>
        <v/>
      </c>
      <c r="CB376" s="30" t="inlineStr">
        <is>
          <t>Less than 15%</t>
        </is>
      </c>
      <c r="CC376" s="30">
        <f>IF(CB376="More than 15%",-10,IF(CB376="Less than 15%",10,0))</f>
        <v/>
      </c>
      <c r="CD376" s="30" t="inlineStr">
        <is>
          <t>No</t>
        </is>
      </c>
      <c r="CE376" s="30">
        <f>IF(CD376="Yes, more than 10%",-10,IF(CD376="No",10,0))</f>
        <v/>
      </c>
    </row>
    <row r="377">
      <c r="A377" s="30">
        <f>IF(B377=0,"",RANK(B377,$B$2:$B$400,0))</f>
        <v/>
      </c>
      <c r="B377" s="31">
        <f>SUM(N377,Y377,AA377,AC377,AE377,AG377,AI377,AK377,AM377,AO377,AQ377,AS377,AU377,AW377,AY377,BA377,BC377,BE377,BG377,BI377,BK377,BM377,BO377,BQ377,BS377,BU377,BW377,BY377,CA377,CC377,CE377)</f>
        <v/>
      </c>
      <c r="C377" s="32" t="inlineStr">
        <is>
          <t>INDHOTEL</t>
        </is>
      </c>
      <c r="D377" s="32" t="inlineStr">
        <is>
          <t>The Indian Hotels Company Limited</t>
        </is>
      </c>
      <c r="E377" s="30" t="inlineStr">
        <is>
          <t>services</t>
        </is>
      </c>
      <c r="F377" s="30" t="inlineStr">
        <is>
          <t>hotels</t>
        </is>
      </c>
      <c r="G377" s="30" t="inlineStr">
        <is>
          <t>largecap</t>
        </is>
      </c>
      <c r="H377" s="31" t="n">
        <v>99512.14999999999</v>
      </c>
      <c r="I377" s="31" t="n">
        <v>710.45</v>
      </c>
      <c r="J377" s="31" t="n">
        <v>1.62</v>
      </c>
      <c r="K377" s="31" t="n">
        <v>2181354</v>
      </c>
      <c r="L377" s="30" t="n">
        <v>4</v>
      </c>
      <c r="M377" s="30" t="inlineStr">
        <is>
          <t>Underperforming</t>
        </is>
      </c>
      <c r="N377" s="31">
        <f>IF(M377="Underperforming",-5,IF(L377&gt;=95,15,IF(L377&gt;=90,10,IF(L377&gt;=80,5,0))))</f>
        <v/>
      </c>
      <c r="O377" s="31" t="n">
        <v>58.23</v>
      </c>
      <c r="P377" s="31" t="n">
        <v>17.66</v>
      </c>
      <c r="Q377" s="31" t="n">
        <v>596.7</v>
      </c>
      <c r="R377" s="30" t="inlineStr">
        <is>
          <t>Earnings / Momentum Support</t>
        </is>
      </c>
      <c r="S377" s="30" t="inlineStr">
        <is>
          <t>Nifty 500</t>
        </is>
      </c>
      <c r="T377" s="31" t="n">
        <v>0.72</v>
      </c>
      <c r="U377" s="31" t="n">
        <v>-6.94</v>
      </c>
      <c r="V377" s="31" t="n">
        <v>-7.6</v>
      </c>
      <c r="W377" s="31" t="n">
        <v>2.18</v>
      </c>
      <c r="X377" s="30" t="inlineStr">
        <is>
          <t>Growing Industry</t>
        </is>
      </c>
      <c r="Y377" s="30">
        <f>IF(X377="Growing Industry",10,IF(X377="Cyclical in an Upturn",5,0))</f>
        <v/>
      </c>
      <c r="Z377" s="30" t="inlineStr">
        <is>
          <t>Too Many Players with High ROCE</t>
        </is>
      </c>
      <c r="AA377" s="30">
        <f>IF(Z377="Monopoly",10,IF(Z377="Oligopoly",5,IF(Z377="Duopoly that cooperate",10,IF(Z377="Duopoly that compete",5,IF(Z377="Too many players with High ROCE",5,0)))))</f>
        <v/>
      </c>
      <c r="AB377" s="30" t="inlineStr">
        <is>
          <t>No</t>
        </is>
      </c>
      <c r="AC377" s="30">
        <f>IF(AB377="No",5,0)</f>
        <v/>
      </c>
      <c r="AD377" s="30" t="inlineStr">
        <is>
          <t>Headwind</t>
        </is>
      </c>
      <c r="AE377" s="30">
        <f>IF(AD377="Tailwind",10,0)</f>
        <v/>
      </c>
      <c r="AF377" s="30" t="inlineStr">
        <is>
          <t>Structural (10 Years Consistency)</t>
        </is>
      </c>
      <c r="AG377" s="30">
        <f>IF(AF377="Structural (10 Years Consistency)",10,IF(AF377="Shallow Cyclical (2 to 3 years growth)",5,0))</f>
        <v/>
      </c>
      <c r="AH377" s="30" t="inlineStr">
        <is>
          <t>No</t>
        </is>
      </c>
      <c r="AI377" s="30">
        <f>IF(AH377="Yes due to Product Mix change or Operating Leverage",10,IF(AH377="Yes, these are peak margins",-5,IF(AH377="No",5,0)))</f>
        <v/>
      </c>
      <c r="AJ377" s="30" t="inlineStr">
        <is>
          <t>Stable</t>
        </is>
      </c>
      <c r="AK377" s="30">
        <f>IF(AJ377="Stable",10,0)</f>
        <v/>
      </c>
      <c r="AL377" s="30" t="inlineStr">
        <is>
          <t>Yes</t>
        </is>
      </c>
      <c r="AM377" s="30">
        <f>IF(AL377="Yes",10,0)</f>
        <v/>
      </c>
      <c r="AN377" s="30" t="inlineStr">
        <is>
          <t>B2B</t>
        </is>
      </c>
      <c r="AO377" s="30">
        <f>IF(AN377="B2C",10,IF(AN377="B2B",5,0))</f>
        <v/>
      </c>
      <c r="AP377" s="30" t="inlineStr">
        <is>
          <t>No</t>
        </is>
      </c>
      <c r="AQ377" s="30">
        <f>IF(AP377="Yes",10,0)</f>
        <v/>
      </c>
      <c r="AR377" s="30" t="inlineStr">
        <is>
          <t>Higher One Time, Lower Annuity</t>
        </is>
      </c>
      <c r="AS377" s="30">
        <f>IF(AR377="Fully Annuity",10,IF(AR377="Higher Annuity, Lower One Time",5,IF(AR377="Higher One Time, Lower Annuity",3,0)))</f>
        <v/>
      </c>
      <c r="AT377" s="30" t="inlineStr">
        <is>
          <t>Good</t>
        </is>
      </c>
      <c r="AU377" s="30">
        <f>IF(AT377="Good",10,0)</f>
        <v/>
      </c>
      <c r="AV377" s="30" t="inlineStr">
        <is>
          <t>Yes for more than 2 years</t>
        </is>
      </c>
      <c r="AW377" s="30">
        <f>IF(AV377="Yes for more than 2 years",10,IF(AV377="Yes only for next 1 to 2 years",5,0))</f>
        <v/>
      </c>
      <c r="AX377" s="30" t="inlineStr">
        <is>
          <t>0 to 20</t>
        </is>
      </c>
      <c r="AY377" s="30">
        <f>IF(AX377="Above 40",20,IF(AX377="20 to 40",10,IF(AX377="0 to 20",-5,0)))</f>
        <v/>
      </c>
      <c r="AZ377" s="30" t="inlineStr">
        <is>
          <t>Between 50 to 75</t>
        </is>
      </c>
      <c r="BA377" s="30">
        <f>IF(AZ377="Between 50 to 75",10,IF(AZ377="Above 75",0,0))</f>
        <v/>
      </c>
      <c r="BB377" s="30" t="inlineStr">
        <is>
          <t>Stage 1</t>
        </is>
      </c>
      <c r="BC377" s="30">
        <f>IF(BB377="Stage 2",20,IF(BB377="Stage 1",0,IF(BB377="Stage 3",5,IF(BB377="Stage 4",-5,0))))</f>
        <v/>
      </c>
      <c r="BD377" s="30" t="inlineStr">
        <is>
          <t>Positive Trend</t>
        </is>
      </c>
      <c r="BE377" s="30">
        <f>IF(BD377="Positive Trend",20,IF(BD377="Negative Trend",-10,0))</f>
        <v/>
      </c>
      <c r="BF377" s="30" t="inlineStr">
        <is>
          <t>Uptrend</t>
        </is>
      </c>
      <c r="BG377" s="30">
        <f>IF(BF377="Uptrend",10,IF(BF377="Sideways",5,0))</f>
        <v/>
      </c>
      <c r="BH377" s="30" t="inlineStr">
        <is>
          <t>Uptrend</t>
        </is>
      </c>
      <c r="BI377" s="30">
        <f>IF(BH377="Uptrend",10,IF(BH377="Sideways",5,0))</f>
        <v/>
      </c>
      <c r="BJ377" s="30" t="inlineStr">
        <is>
          <t>Close to 52 week high or retracement</t>
        </is>
      </c>
      <c r="BK377" s="30">
        <f>IF(BJ377="Overhead supply in last 2 years in last 2 years",-5,IF(BJ377="Close to 52 week high or retracement",5,IF(BJ377="Blue sky scenario",10,IF(BJ377="Long term Downtrend",-10,0))))</f>
        <v/>
      </c>
      <c r="BL377" s="30" t="inlineStr">
        <is>
          <t>Yes</t>
        </is>
      </c>
      <c r="BM377" s="30">
        <f>IF(BL377="Yes",10,0)</f>
        <v/>
      </c>
      <c r="BN377" s="30" t="inlineStr">
        <is>
          <t>Between 12 to 20%</t>
        </is>
      </c>
      <c r="BO377" s="30">
        <f>IF(BN377="More than 20%",10,IF(BN377="Between 12 to 20%",5,IF(BN377="Less than 12%",0,0)))</f>
        <v/>
      </c>
      <c r="BP377" s="30" t="inlineStr">
        <is>
          <t>No</t>
        </is>
      </c>
      <c r="BQ377" s="30">
        <f>IF(BP377="No",10,0)</f>
        <v/>
      </c>
      <c r="BR377" s="30" t="inlineStr">
        <is>
          <t>Yes</t>
        </is>
      </c>
      <c r="BS377" s="30">
        <f>IF(BR377="NO",5,0)</f>
        <v/>
      </c>
      <c r="BT377" s="30" t="inlineStr">
        <is>
          <t>Above 2</t>
        </is>
      </c>
      <c r="BU377" s="30">
        <f>IF(BT377="Above 2",0,IF(BT377="Between 1.5 to 2",5,IF(BT377="Less than 1.5",10,0)))</f>
        <v/>
      </c>
      <c r="BV377" s="30" t="inlineStr">
        <is>
          <t>Above 70%</t>
        </is>
      </c>
      <c r="BW377" s="30">
        <f>IF(BV377="Above 70%",10,IF(BV377="Between 50% to 70%",5,IF(BV377="Less than 50%",0,IF(BV377="Negative",-10,IF(BV377="Less than 50% and Borrowings are increasing",-5,0)))))</f>
        <v/>
      </c>
      <c r="BX377" s="30" t="inlineStr">
        <is>
          <t>Less than 0.7</t>
        </is>
      </c>
      <c r="BY377" s="30">
        <f>IF(BX377="More than 1.2",-10,IF(BX377="Between 0.7 to 1.2",0,IF(BX377="Less than 0.7",10,0)))</f>
        <v/>
      </c>
      <c r="BZ377" s="30" t="inlineStr">
        <is>
          <t>No</t>
        </is>
      </c>
      <c r="CA377" s="30">
        <f>IF(BZ377="Yes",-10,0)</f>
        <v/>
      </c>
      <c r="CB377" s="30" t="inlineStr">
        <is>
          <t>Less than 15%</t>
        </is>
      </c>
      <c r="CC377" s="30">
        <f>IF(CB377="More than 15%",-10,IF(CB377="Less than 15%",10,0))</f>
        <v/>
      </c>
      <c r="CD377" s="30" t="inlineStr">
        <is>
          <t>No</t>
        </is>
      </c>
      <c r="CE377" s="30">
        <f>IF(CD377="Yes, more than 10%",-10,IF(CD377="No",10,0))</f>
        <v/>
      </c>
    </row>
    <row r="378">
      <c r="A378" s="30">
        <f>IF(B378=0,"",RANK(B378,$B$2:$B$400,0))</f>
        <v/>
      </c>
      <c r="B378" s="31">
        <f>SUM(N378,Y378,AA378,AC378,AE378,AG378,AI378,AK378,AM378,AO378,AQ378,AS378,AU378,AW378,AY378,BA378,BC378,BE378,BG378,BI378,BK378,BM378,BO378,BQ378,BS378,BU378,BW378,BY378,CA378,CC378,CE378)</f>
        <v/>
      </c>
      <c r="C378" s="32" t="inlineStr">
        <is>
          <t>GAIL</t>
        </is>
      </c>
      <c r="D378" s="32" t="inlineStr">
        <is>
          <t>Gail (india) Limited</t>
        </is>
      </c>
      <c r="E378" s="30" t="inlineStr">
        <is>
          <t>energy</t>
        </is>
      </c>
      <c r="F378" s="30" t="inlineStr">
        <is>
          <t>miscellaneous</t>
        </is>
      </c>
      <c r="G378" s="30" t="inlineStr">
        <is>
          <t>largecap</t>
        </is>
      </c>
      <c r="H378" s="31" t="n">
        <v>115083.97</v>
      </c>
      <c r="I378" s="31" t="n">
        <v>176.44</v>
      </c>
      <c r="J378" s="31" t="n">
        <v>0.8100000000000001</v>
      </c>
      <c r="K378" s="31" t="n">
        <v>6440199</v>
      </c>
      <c r="L378" s="30" t="n">
        <v>17</v>
      </c>
      <c r="M378" s="30" t="inlineStr">
        <is>
          <t>Underperforming</t>
        </is>
      </c>
      <c r="N378" s="31">
        <f>IF(M378="Underperforming",-5,IF(L378&gt;=95,15,IF(L378&gt;=90,10,IF(L378&gt;=80,5,0))))</f>
        <v/>
      </c>
      <c r="O378" s="31" t="n">
        <v>61.46</v>
      </c>
      <c r="P378" s="31" t="n">
        <v>12.81</v>
      </c>
      <c r="Q378" s="31" t="n">
        <v>149.66</v>
      </c>
      <c r="R378" s="30" t="inlineStr">
        <is>
          <t>Earnings / Momentum Support</t>
        </is>
      </c>
      <c r="S378" s="30" t="inlineStr">
        <is>
          <t>Nifty Energy</t>
        </is>
      </c>
      <c r="T378" s="31" t="n">
        <v>13.64</v>
      </c>
      <c r="U378" s="31" t="n">
        <v>0.63</v>
      </c>
      <c r="V378" s="31" t="n">
        <v>-11.45</v>
      </c>
      <c r="W378" s="31" t="n">
        <v>5.54</v>
      </c>
      <c r="X378" s="30" t="inlineStr">
        <is>
          <t>Cyclical in an Upturn</t>
        </is>
      </c>
      <c r="Y378" s="30">
        <f>IF(X378="Growing Industry",10,IF(X378="Cyclical in an Upturn",5,0))</f>
        <v/>
      </c>
      <c r="Z378" s="30" t="inlineStr">
        <is>
          <t>Oligopoly</t>
        </is>
      </c>
      <c r="AA378" s="30">
        <f>IF(Z378="Monopoly",10,IF(Z378="Oligopoly",5,IF(Z378="Duopoly that cooperate",10,IF(Z378="Duopoly that compete",5,IF(Z378="Too many players with High ROCE",5,0)))))</f>
        <v/>
      </c>
      <c r="AB378" s="30" t="inlineStr">
        <is>
          <t>Yes</t>
        </is>
      </c>
      <c r="AC378" s="30">
        <f>IF(AB378="No",5,0)</f>
        <v/>
      </c>
      <c r="AD378" s="30" t="inlineStr">
        <is>
          <t>Tailwind</t>
        </is>
      </c>
      <c r="AE378" s="30">
        <f>IF(AD378="Tailwind",10,0)</f>
        <v/>
      </c>
      <c r="AF378" s="30" t="inlineStr">
        <is>
          <t>Cyclical</t>
        </is>
      </c>
      <c r="AG378" s="30">
        <f>IF(AF378="Structural (10 Years Consistency)",10,IF(AF378="Shallow Cyclical (2 to 3 years growth)",5,0))</f>
        <v/>
      </c>
      <c r="AH378" s="30" t="inlineStr">
        <is>
          <t>No</t>
        </is>
      </c>
      <c r="AI378" s="30">
        <f>IF(AH378="Yes due to Product Mix change or Operating Leverage",10,IF(AH378="Yes, these are peak margins",-5,IF(AH378="No",5,0)))</f>
        <v/>
      </c>
      <c r="AJ378" s="30" t="inlineStr">
        <is>
          <t>Volatile</t>
        </is>
      </c>
      <c r="AK378" s="30">
        <f>IF(AJ378="Stable",10,0)</f>
        <v/>
      </c>
      <c r="AL378" s="30" t="inlineStr">
        <is>
          <t>Yes</t>
        </is>
      </c>
      <c r="AM378" s="30">
        <f>IF(AL378="Yes",10,0)</f>
        <v/>
      </c>
      <c r="AN378" s="30" t="inlineStr">
        <is>
          <t>B2B</t>
        </is>
      </c>
      <c r="AO378" s="30">
        <f>IF(AN378="B2C",10,IF(AN378="B2B",5,0))</f>
        <v/>
      </c>
      <c r="AP378" s="30" t="inlineStr">
        <is>
          <t>No</t>
        </is>
      </c>
      <c r="AQ378" s="30">
        <f>IF(AP378="Yes",10,0)</f>
        <v/>
      </c>
      <c r="AR378" s="30" t="inlineStr">
        <is>
          <t>Higher One Time, Lower Annuity</t>
        </is>
      </c>
      <c r="AS378" s="30">
        <f>IF(AR378="Fully Annuity",10,IF(AR378="Higher Annuity, Lower One Time",5,IF(AR378="Higher One Time, Lower Annuity",3,0)))</f>
        <v/>
      </c>
      <c r="AT378" s="30" t="inlineStr">
        <is>
          <t>Good</t>
        </is>
      </c>
      <c r="AU378" s="30">
        <f>IF(AT378="Good",10,0)</f>
        <v/>
      </c>
      <c r="AV378" s="30" t="inlineStr">
        <is>
          <t>Yes for more than 2 years</t>
        </is>
      </c>
      <c r="AW378" s="30">
        <f>IF(AV378="Yes for more than 2 years",10,IF(AV378="Yes only for next 1 to 2 years",5,0))</f>
        <v/>
      </c>
      <c r="AX378" s="30" t="inlineStr">
        <is>
          <t>0 to 20</t>
        </is>
      </c>
      <c r="AY378" s="30">
        <f>IF(AX378="Above 40",20,IF(AX378="20 to 40",10,IF(AX378="0 to 20",-5,0)))</f>
        <v/>
      </c>
      <c r="AZ378" s="30" t="inlineStr">
        <is>
          <t>Between 50 to 75</t>
        </is>
      </c>
      <c r="BA378" s="30">
        <f>IF(AZ378="Between 50 to 75",10,IF(AZ378="Above 75",0,0))</f>
        <v/>
      </c>
      <c r="BB378" s="30" t="inlineStr">
        <is>
          <t>Stage 2</t>
        </is>
      </c>
      <c r="BC378" s="30">
        <f>IF(BB378="Stage 2",20,IF(BB378="Stage 1",0,IF(BB378="Stage 3",5,IF(BB378="Stage 4",-5,0))))</f>
        <v/>
      </c>
      <c r="BD378" s="30" t="inlineStr">
        <is>
          <t>Positive Trend</t>
        </is>
      </c>
      <c r="BE378" s="30">
        <f>IF(BD378="Positive Trend",20,IF(BD378="Negative Trend",-10,0))</f>
        <v/>
      </c>
      <c r="BF378" s="30" t="inlineStr">
        <is>
          <t>Uptrend</t>
        </is>
      </c>
      <c r="BG378" s="30">
        <f>IF(BF378="Uptrend",10,IF(BF378="Sideways",5,0))</f>
        <v/>
      </c>
      <c r="BH378" s="30" t="inlineStr">
        <is>
          <t>Uptrend</t>
        </is>
      </c>
      <c r="BI378" s="30">
        <f>IF(BH378="Uptrend",10,IF(BH378="Sideways",5,0))</f>
        <v/>
      </c>
      <c r="BJ378" s="30" t="inlineStr">
        <is>
          <t>Close to 52 week high or retracement</t>
        </is>
      </c>
      <c r="BK378" s="30">
        <f>IF(BJ378="Overhead supply in last 2 years in last 2 years",-5,IF(BJ378="Close to 52 week high or retracement",5,IF(BJ378="Blue sky scenario",10,IF(BJ378="Long term Downtrend",-10,0))))</f>
        <v/>
      </c>
      <c r="BL378" s="30" t="inlineStr">
        <is>
          <t>Yes</t>
        </is>
      </c>
      <c r="BM378" s="30">
        <f>IF(BL378="Yes",10,0)</f>
        <v/>
      </c>
      <c r="BN378" s="30" t="inlineStr">
        <is>
          <t>Less than 12%</t>
        </is>
      </c>
      <c r="BO378" s="30">
        <f>IF(BN378="More than 20%",10,IF(BN378="Between 12 to 20%",5,IF(BN378="Less than 12%",0,0)))</f>
        <v/>
      </c>
      <c r="BP378" s="30" t="inlineStr">
        <is>
          <t>No</t>
        </is>
      </c>
      <c r="BQ378" s="30">
        <f>IF(BP378="No",10,0)</f>
        <v/>
      </c>
      <c r="BR378" s="30" t="inlineStr">
        <is>
          <t>No</t>
        </is>
      </c>
      <c r="BS378" s="30">
        <f>IF(BR378="NO",5,0)</f>
        <v/>
      </c>
      <c r="BT378" s="30" t="inlineStr">
        <is>
          <t>Above 2</t>
        </is>
      </c>
      <c r="BU378" s="30">
        <f>IF(BT378="Above 2",0,IF(BT378="Between 1.5 to 2",5,IF(BT378="Less than 1.5",10,0)))</f>
        <v/>
      </c>
      <c r="BV378" s="30" t="inlineStr">
        <is>
          <t>Above 70%</t>
        </is>
      </c>
      <c r="BW378" s="30">
        <f>IF(BV378="Above 70%",10,IF(BV378="Between 50% to 70%",5,IF(BV378="Less than 50%",0,IF(BV378="Negative",-10,IF(BV378="Less than 50% and Borrowings are increasing",-5,0)))))</f>
        <v/>
      </c>
      <c r="BX378" s="30" t="inlineStr">
        <is>
          <t>Less than 0.7</t>
        </is>
      </c>
      <c r="BY378" s="30">
        <f>IF(BX378="More than 1.2",-10,IF(BX378="Between 0.7 to 1.2",0,IF(BX378="Less than 0.7",10,0)))</f>
        <v/>
      </c>
      <c r="BZ378" s="30" t="inlineStr">
        <is>
          <t>No</t>
        </is>
      </c>
      <c r="CA378" s="30">
        <f>IF(BZ378="Yes",-10,0)</f>
        <v/>
      </c>
      <c r="CB378" s="30" t="inlineStr">
        <is>
          <t>Less than 15%</t>
        </is>
      </c>
      <c r="CC378" s="30">
        <f>IF(CB378="More than 15%",-10,IF(CB378="Less than 15%",10,0))</f>
        <v/>
      </c>
      <c r="CD378" s="30" t="inlineStr">
        <is>
          <t>No</t>
        </is>
      </c>
      <c r="CE378" s="30">
        <f>IF(CD378="Yes, more than 10%",-10,IF(CD378="No",10,0))</f>
        <v/>
      </c>
    </row>
    <row r="379">
      <c r="A379" s="30">
        <f>IF(B379=0,"",RANK(B379,$B$2:$B$400,0))</f>
        <v/>
      </c>
      <c r="B379" s="31">
        <f>SUM(N379,Y379,AA379,AC379,AE379,AG379,AI379,AK379,AM379,AO379,AQ379,AS379,AU379,AW379,AY379,BA379,BC379,BE379,BG379,BI379,BK379,BM379,BO379,BQ379,BS379,BU379,BW379,BY379,CA379,CC379,CE379)</f>
        <v/>
      </c>
      <c r="C379" s="30" t="inlineStr">
        <is>
          <t>SIEMENS</t>
        </is>
      </c>
      <c r="D379" s="30" t="inlineStr">
        <is>
          <t>Siemens Limited</t>
        </is>
      </c>
      <c r="E379" s="30" t="inlineStr">
        <is>
          <t>industrials</t>
        </is>
      </c>
      <c r="F379" s="30" t="inlineStr">
        <is>
          <t>electric equipment</t>
        </is>
      </c>
      <c r="G379" s="30" t="inlineStr">
        <is>
          <t>largecap</t>
        </is>
      </c>
      <c r="H379" s="31" t="n">
        <v>132669.13</v>
      </c>
      <c r="I379" s="31" t="n">
        <v>3746.2</v>
      </c>
      <c r="J379" s="31" t="n">
        <v>0.5600000000000001</v>
      </c>
      <c r="K379" s="31" t="n">
        <v>342772</v>
      </c>
      <c r="L379" s="30" t="n">
        <v>26</v>
      </c>
      <c r="M379" s="30" t="inlineStr">
        <is>
          <t>Outperforming</t>
        </is>
      </c>
      <c r="N379" s="31">
        <f>IF(M379="Underperforming",-5,IF(L379&gt;=95,15,IF(L379&gt;=90,10,IF(L379&gt;=80,5,0))))</f>
        <v/>
      </c>
      <c r="O379" s="31" t="n">
        <v>59.12</v>
      </c>
      <c r="P379" s="31" t="n">
        <v>24.23</v>
      </c>
      <c r="Q379" s="31" t="n">
        <v>3125.71</v>
      </c>
      <c r="R379" s="30" t="inlineStr">
        <is>
          <t>Near 52W High Breakout</t>
        </is>
      </c>
      <c r="S379" s="30" t="inlineStr">
        <is>
          <t>Nifty 50</t>
        </is>
      </c>
      <c r="T379" s="31" t="n">
        <v>-3.76</v>
      </c>
      <c r="U379" s="31" t="n">
        <v>16.55</v>
      </c>
      <c r="V379" s="31" t="n">
        <v>21.11</v>
      </c>
      <c r="W379" s="31" t="n">
        <v>7.4</v>
      </c>
      <c r="X379" s="30" t="inlineStr">
        <is>
          <t>Cyclical in an Upturn</t>
        </is>
      </c>
      <c r="Y379" s="30">
        <f>IF(X379="Growing Industry",10,IF(X379="Cyclical in an Upturn",5,0))</f>
        <v/>
      </c>
      <c r="Z379" s="30" t="inlineStr">
        <is>
          <t>Too Many Players with High ROCE</t>
        </is>
      </c>
      <c r="AA379" s="30">
        <f>IF(Z379="Monopoly",10,IF(Z379="Oligopoly",5,IF(Z379="Duopoly that cooperate",10,IF(Z379="Duopoly that compete",5,IF(Z379="Too many players with High ROCE",5,0)))))</f>
        <v/>
      </c>
      <c r="AB379" s="30" t="inlineStr">
        <is>
          <t>No</t>
        </is>
      </c>
      <c r="AC379" s="30">
        <f>IF(AB379="No",5,0)</f>
        <v/>
      </c>
      <c r="AD379" s="30" t="inlineStr">
        <is>
          <t>Tailwind</t>
        </is>
      </c>
      <c r="AE379" s="30">
        <f>IF(AD379="Tailwind",10,0)</f>
        <v/>
      </c>
      <c r="AF379" s="30" t="inlineStr">
        <is>
          <t>Structural (10 Years Consistency)</t>
        </is>
      </c>
      <c r="AG379" s="30">
        <f>IF(AF379="Structural (10 Years Consistency)",10,IF(AF379="Shallow Cyclical (2 to 3 years growth)",5,0))</f>
        <v/>
      </c>
      <c r="AH379" s="30" t="inlineStr">
        <is>
          <t>No</t>
        </is>
      </c>
      <c r="AI379" s="30">
        <f>IF(AH379="Yes due to Product Mix change or Operating Leverage",10,IF(AH379="Yes, these are peak margins",-5,IF(AH379="No",5,0)))</f>
        <v/>
      </c>
      <c r="AJ379" s="30" t="inlineStr">
        <is>
          <t>Stable</t>
        </is>
      </c>
      <c r="AK379" s="30">
        <f>IF(AJ379="Stable",10,0)</f>
        <v/>
      </c>
      <c r="AL379" s="30" t="inlineStr">
        <is>
          <t>Yes</t>
        </is>
      </c>
      <c r="AM379" s="30">
        <f>IF(AL379="Yes",10,0)</f>
        <v/>
      </c>
      <c r="AN379" s="30" t="inlineStr">
        <is>
          <t>B2B</t>
        </is>
      </c>
      <c r="AO379" s="30">
        <f>IF(AN379="B2C",10,IF(AN379="B2B",5,0))</f>
        <v/>
      </c>
      <c r="AP379" s="30" t="inlineStr">
        <is>
          <t>Yes</t>
        </is>
      </c>
      <c r="AQ379" s="30">
        <f>IF(AP379="Yes",10,0)</f>
        <v/>
      </c>
      <c r="AR379" s="30" t="inlineStr">
        <is>
          <t>Higher One Time, Lower Annuity</t>
        </is>
      </c>
      <c r="AS379" s="30">
        <f>IF(AR379="Fully Annuity",10,IF(AR379="Higher Annuity, Lower One Time",5,IF(AR379="Higher One Time, Lower Annuity",3,0)))</f>
        <v/>
      </c>
      <c r="AT379" s="30" t="inlineStr">
        <is>
          <t>Good</t>
        </is>
      </c>
      <c r="AU379" s="30">
        <f>IF(AT379="Good",10,0)</f>
        <v/>
      </c>
      <c r="AV379" s="30" t="inlineStr">
        <is>
          <t>Yes for more than 2 years</t>
        </is>
      </c>
      <c r="AW379" s="30">
        <f>IF(AV379="Yes for more than 2 years",10,IF(AV379="Yes only for next 1 to 2 years",5,0))</f>
        <v/>
      </c>
      <c r="AX379" s="30" t="inlineStr">
        <is>
          <t>20 to 40</t>
        </is>
      </c>
      <c r="AY379" s="30">
        <f>IF(AX379="Above 40",20,IF(AX379="20 to 40",10,IF(AX379="0 to 20",-5,0)))</f>
        <v/>
      </c>
      <c r="AZ379" s="30" t="inlineStr">
        <is>
          <t>Between 50 to 75</t>
        </is>
      </c>
      <c r="BA379" s="30">
        <f>IF(AZ379="Between 50 to 75",10,IF(AZ379="Above 75",0,0))</f>
        <v/>
      </c>
      <c r="BB379" s="30" t="inlineStr">
        <is>
          <t>Stage 2</t>
        </is>
      </c>
      <c r="BC379" s="30">
        <f>IF(BB379="Stage 2",20,IF(BB379="Stage 1",0,IF(BB379="Stage 3",5,IF(BB379="Stage 4",-5,0))))</f>
        <v/>
      </c>
      <c r="BD379" s="30" t="inlineStr">
        <is>
          <t>Negative Trend</t>
        </is>
      </c>
      <c r="BE379" s="30">
        <f>IF(BD379="Positive Trend",20,IF(BD379="Negative Trend",-10,0))</f>
        <v/>
      </c>
      <c r="BF379" s="30" t="inlineStr">
        <is>
          <t>Uptrend</t>
        </is>
      </c>
      <c r="BG379" s="30">
        <f>IF(BF379="Uptrend",10,IF(BF379="Sideways",5,0))</f>
        <v/>
      </c>
      <c r="BH379" s="30" t="inlineStr">
        <is>
          <t>Uptrend</t>
        </is>
      </c>
      <c r="BI379" s="30">
        <f>IF(BH379="Uptrend",10,IF(BH379="Sideways",5,0))</f>
        <v/>
      </c>
      <c r="BJ379" s="30" t="inlineStr">
        <is>
          <t>Close to 52 week high or retracement</t>
        </is>
      </c>
      <c r="BK379" s="30">
        <f>IF(BJ379="Overhead supply in last 2 years in last 2 years",-5,IF(BJ379="Close to 52 week high or retracement",5,IF(BJ379="Blue sky scenario",10,IF(BJ379="Long term Downtrend",-10,0))))</f>
        <v/>
      </c>
      <c r="BL379" s="30" t="inlineStr">
        <is>
          <t>Yes</t>
        </is>
      </c>
      <c r="BM379" s="30">
        <f>IF(BL379="Yes",10,0)</f>
        <v/>
      </c>
      <c r="BN379" s="30" t="inlineStr">
        <is>
          <t>Less than 12%</t>
        </is>
      </c>
      <c r="BO379" s="30">
        <f>IF(BN379="More than 20%",10,IF(BN379="Between 12 to 20%",5,IF(BN379="Less than 12%",0,0)))</f>
        <v/>
      </c>
      <c r="BP379" s="30" t="inlineStr">
        <is>
          <t>No</t>
        </is>
      </c>
      <c r="BQ379" s="30">
        <f>IF(BP379="No",10,0)</f>
        <v/>
      </c>
      <c r="BR379" s="30" t="inlineStr">
        <is>
          <t>Yes</t>
        </is>
      </c>
      <c r="BS379" s="30">
        <f>IF(BR379="NO",5,0)</f>
        <v/>
      </c>
      <c r="BT379" s="30" t="inlineStr">
        <is>
          <t>Above 2</t>
        </is>
      </c>
      <c r="BU379" s="30">
        <f>IF(BT379="Above 2",0,IF(BT379="Between 1.5 to 2",5,IF(BT379="Less than 1.5",10,0)))</f>
        <v/>
      </c>
      <c r="BV379" s="30" t="inlineStr">
        <is>
          <t>Negative</t>
        </is>
      </c>
      <c r="BW379" s="30">
        <f>IF(BV379="Above 70%",10,IF(BV379="Between 50% to 70%",5,IF(BV379="Less than 50%",0,IF(BV379="Negative",-10,IF(BV379="Less than 50% and Borrowings are increasing",-5,0)))))</f>
        <v/>
      </c>
      <c r="BX379" s="30" t="inlineStr">
        <is>
          <t>Less than 0.7</t>
        </is>
      </c>
      <c r="BY379" s="30">
        <f>IF(BX379="More than 1.2",-10,IF(BX379="Between 0.7 to 1.2",0,IF(BX379="Less than 0.7",10,0)))</f>
        <v/>
      </c>
      <c r="BZ379" s="30" t="inlineStr">
        <is>
          <t>No</t>
        </is>
      </c>
      <c r="CA379" s="30">
        <f>IF(BZ379="Yes",-10,0)</f>
        <v/>
      </c>
      <c r="CB379" s="30" t="inlineStr">
        <is>
          <t>Less than 15%</t>
        </is>
      </c>
      <c r="CC379" s="30">
        <f>IF(CB379="More than 15%",-10,IF(CB379="Less than 15%",10,0))</f>
        <v/>
      </c>
      <c r="CD379" s="30" t="inlineStr">
        <is>
          <t>No</t>
        </is>
      </c>
      <c r="CE379" s="30">
        <f>IF(CD379="Yes, more than 10%",-10,IF(CD379="No",10,0))</f>
        <v/>
      </c>
    </row>
    <row r="380">
      <c r="A380" s="30">
        <f>IF(B380=0,"",RANK(B380,$B$2:$B$400,0))</f>
        <v/>
      </c>
      <c r="B380" s="31">
        <f>SUM(N380,Y380,AA380,AC380,AE380,AG380,AI380,AK380,AM380,AO380,AQ380,AS380,AU380,AW380,AY380,BA380,BC380,BE380,BG380,BI380,BK380,BM380,BO380,BQ380,BS380,BU380,BW380,BY380,CA380,CC380,CE380)</f>
        <v/>
      </c>
      <c r="C380" s="30" t="inlineStr">
        <is>
          <t>PRESTIGE</t>
        </is>
      </c>
      <c r="D380" s="30" t="inlineStr">
        <is>
          <t>Prestige Estates Projects Limited</t>
        </is>
      </c>
      <c r="E380" s="30" t="inlineStr">
        <is>
          <t>realty</t>
        </is>
      </c>
      <c r="F380" s="30" t="inlineStr">
        <is>
          <t>construction</t>
        </is>
      </c>
      <c r="G380" s="30" t="inlineStr">
        <is>
          <t>largecap</t>
        </is>
      </c>
      <c r="H380" s="31" t="n">
        <v>65535.6</v>
      </c>
      <c r="I380" s="31" t="n">
        <v>1527.7</v>
      </c>
      <c r="J380" s="31" t="n">
        <v>0.41</v>
      </c>
      <c r="K380" s="31" t="n">
        <v>1015957</v>
      </c>
      <c r="L380" s="30" t="n">
        <v>7</v>
      </c>
      <c r="M380" s="30" t="inlineStr">
        <is>
          <t>Outperforming</t>
        </is>
      </c>
      <c r="N380" s="31">
        <f>IF(M380="Underperforming",-5,IF(L380&gt;=95,15,IF(L380&gt;=90,10,IF(L380&gt;=80,5,0))))</f>
        <v/>
      </c>
      <c r="O380" s="31" t="n">
        <v>56.39</v>
      </c>
      <c r="P380" s="31" t="n">
        <v>17.35</v>
      </c>
      <c r="Q380" s="31" t="n">
        <v>1192.85</v>
      </c>
      <c r="R380" s="30" t="inlineStr">
        <is>
          <t>Earnings / Momentum Support</t>
        </is>
      </c>
      <c r="S380" s="30" t="inlineStr">
        <is>
          <t>Nifty Realty</t>
        </is>
      </c>
      <c r="T380" s="31" t="n">
        <v>-19.08</v>
      </c>
      <c r="U380" s="31" t="n">
        <v>-10.89</v>
      </c>
      <c r="V380" s="31" t="n">
        <v>10.13</v>
      </c>
      <c r="W380" s="31" t="n">
        <v>3.28</v>
      </c>
      <c r="X380" s="30" t="inlineStr">
        <is>
          <t>Growing Industry</t>
        </is>
      </c>
      <c r="Y380" s="30">
        <f>IF(X380="Growing Industry",10,IF(X380="Cyclical in an Upturn",5,0))</f>
        <v/>
      </c>
      <c r="Z380" s="30" t="inlineStr">
        <is>
          <t>Too Many Players with High ROCE</t>
        </is>
      </c>
      <c r="AA380" s="30">
        <f>IF(Z380="Monopoly",10,IF(Z380="Oligopoly",5,IF(Z380="Duopoly that cooperate",10,IF(Z380="Duopoly that compete",5,IF(Z380="Too many players with High ROCE",5,0)))))</f>
        <v/>
      </c>
      <c r="AB380" s="30" t="inlineStr">
        <is>
          <t>No</t>
        </is>
      </c>
      <c r="AC380" s="30">
        <f>IF(AB380="No",5,0)</f>
        <v/>
      </c>
      <c r="AD380" s="30" t="inlineStr">
        <is>
          <t>Headwind</t>
        </is>
      </c>
      <c r="AE380" s="30">
        <f>IF(AD380="Tailwind",10,0)</f>
        <v/>
      </c>
      <c r="AF380" s="30" t="inlineStr">
        <is>
          <t>Structural (10 Years Consistency)</t>
        </is>
      </c>
      <c r="AG380" s="30">
        <f>IF(AF380="Structural (10 Years Consistency)",10,IF(AF380="Shallow Cyclical (2 to 3 years growth)",5,0))</f>
        <v/>
      </c>
      <c r="AH380" s="30" t="inlineStr">
        <is>
          <t>No</t>
        </is>
      </c>
      <c r="AI380" s="30">
        <f>IF(AH380="Yes due to Product Mix change or Operating Leverage",10,IF(AH380="Yes, these are peak margins",-5,IF(AH380="No",5,0)))</f>
        <v/>
      </c>
      <c r="AJ380" s="30" t="inlineStr">
        <is>
          <t>Stable</t>
        </is>
      </c>
      <c r="AK380" s="30">
        <f>IF(AJ380="Stable",10,0)</f>
        <v/>
      </c>
      <c r="AL380" s="30" t="inlineStr">
        <is>
          <t>Yes</t>
        </is>
      </c>
      <c r="AM380" s="30">
        <f>IF(AL380="Yes",10,0)</f>
        <v/>
      </c>
      <c r="AN380" s="30" t="inlineStr">
        <is>
          <t>B2B</t>
        </is>
      </c>
      <c r="AO380" s="30">
        <f>IF(AN380="B2C",10,IF(AN380="B2B",5,0))</f>
        <v/>
      </c>
      <c r="AP380" s="30" t="inlineStr">
        <is>
          <t>No</t>
        </is>
      </c>
      <c r="AQ380" s="30">
        <f>IF(AP380="Yes",10,0)</f>
        <v/>
      </c>
      <c r="AR380" s="30" t="inlineStr">
        <is>
          <t>Higher One Time, Lower Annuity</t>
        </is>
      </c>
      <c r="AS380" s="30">
        <f>IF(AR380="Fully Annuity",10,IF(AR380="Higher Annuity, Lower One Time",5,IF(AR380="Higher One Time, Lower Annuity",3,0)))</f>
        <v/>
      </c>
      <c r="AT380" s="30" t="inlineStr">
        <is>
          <t>Good</t>
        </is>
      </c>
      <c r="AU380" s="30">
        <f>IF(AT380="Good",10,0)</f>
        <v/>
      </c>
      <c r="AV380" s="30" t="inlineStr">
        <is>
          <t>Yes for more than 2 years</t>
        </is>
      </c>
      <c r="AW380" s="30">
        <f>IF(AV380="Yes for more than 2 years",10,IF(AV380="Yes only for next 1 to 2 years",5,0))</f>
        <v/>
      </c>
      <c r="AX380" s="30" t="inlineStr">
        <is>
          <t>0 to 20</t>
        </is>
      </c>
      <c r="AY380" s="30">
        <f>IF(AX380="Above 40",20,IF(AX380="20 to 40",10,IF(AX380="0 to 20",-5,0)))</f>
        <v/>
      </c>
      <c r="AZ380" s="30" t="inlineStr">
        <is>
          <t>Between 50 to 75</t>
        </is>
      </c>
      <c r="BA380" s="30">
        <f>IF(AZ380="Between 50 to 75",10,IF(AZ380="Above 75",0,0))</f>
        <v/>
      </c>
      <c r="BB380" s="30" t="inlineStr">
        <is>
          <t>Stage 1</t>
        </is>
      </c>
      <c r="BC380" s="30">
        <f>IF(BB380="Stage 2",20,IF(BB380="Stage 1",0,IF(BB380="Stage 3",5,IF(BB380="Stage 4",-5,0))))</f>
        <v/>
      </c>
      <c r="BD380" s="30" t="inlineStr">
        <is>
          <t>Positive Trend</t>
        </is>
      </c>
      <c r="BE380" s="30">
        <f>IF(BD380="Positive Trend",20,IF(BD380="Negative Trend",-10,0))</f>
        <v/>
      </c>
      <c r="BF380" s="30" t="inlineStr">
        <is>
          <t>Uptrend</t>
        </is>
      </c>
      <c r="BG380" s="30">
        <f>IF(BF380="Uptrend",10,IF(BF380="Sideways",5,0))</f>
        <v/>
      </c>
      <c r="BH380" s="30" t="inlineStr">
        <is>
          <t>Uptrend</t>
        </is>
      </c>
      <c r="BI380" s="30">
        <f>IF(BH380="Uptrend",10,IF(BH380="Sideways",5,0))</f>
        <v/>
      </c>
      <c r="BJ380" s="30" t="inlineStr">
        <is>
          <t>Close to 52 week high or retracement</t>
        </is>
      </c>
      <c r="BK380" s="30">
        <f>IF(BJ380="Overhead supply in last 2 years in last 2 years",-5,IF(BJ380="Close to 52 week high or retracement",5,IF(BJ380="Blue sky scenario",10,IF(BJ380="Long term Downtrend",-10,0))))</f>
        <v/>
      </c>
      <c r="BL380" s="30" t="inlineStr">
        <is>
          <t>Yes</t>
        </is>
      </c>
      <c r="BM380" s="30">
        <f>IF(BL380="Yes",10,0)</f>
        <v/>
      </c>
      <c r="BN380" s="30" t="inlineStr">
        <is>
          <t>More than 20%</t>
        </is>
      </c>
      <c r="BO380" s="30">
        <f>IF(BN380="More than 20%",10,IF(BN380="Between 12 to 20%",5,IF(BN380="Less than 12%",0,0)))</f>
        <v/>
      </c>
      <c r="BP380" s="30" t="inlineStr">
        <is>
          <t>No</t>
        </is>
      </c>
      <c r="BQ380" s="30">
        <f>IF(BP380="No",10,0)</f>
        <v/>
      </c>
      <c r="BR380" s="30" t="inlineStr">
        <is>
          <t>Yes</t>
        </is>
      </c>
      <c r="BS380" s="30">
        <f>IF(BR380="NO",5,0)</f>
        <v/>
      </c>
      <c r="BT380" s="30" t="inlineStr">
        <is>
          <t>Above 2</t>
        </is>
      </c>
      <c r="BU380" s="30">
        <f>IF(BT380="Above 2",0,IF(BT380="Between 1.5 to 2",5,IF(BT380="Less than 1.5",10,0)))</f>
        <v/>
      </c>
      <c r="BV380" s="30" t="inlineStr">
        <is>
          <t>Above 70%</t>
        </is>
      </c>
      <c r="BW380" s="30">
        <f>IF(BV380="Above 70%",10,IF(BV380="Between 50% to 70%",5,IF(BV380="Less than 50%",0,IF(BV380="Negative",-10,IF(BV380="Less than 50% and Borrowings are increasing",-5,0)))))</f>
        <v/>
      </c>
      <c r="BX380" s="30" t="inlineStr">
        <is>
          <t>Between 0.7 to 1.2</t>
        </is>
      </c>
      <c r="BY380" s="30">
        <f>IF(BX380="More than 1.2",-10,IF(BX380="Between 0.7 to 1.2",0,IF(BX380="Less than 0.7",10,0)))</f>
        <v/>
      </c>
      <c r="BZ380" s="30" t="inlineStr">
        <is>
          <t>No</t>
        </is>
      </c>
      <c r="CA380" s="30">
        <f>IF(BZ380="Yes",-10,0)</f>
        <v/>
      </c>
      <c r="CB380" s="30" t="inlineStr">
        <is>
          <t>Less than 15%</t>
        </is>
      </c>
      <c r="CC380" s="30">
        <f>IF(CB380="More than 15%",-10,IF(CB380="Less than 15%",10,0))</f>
        <v/>
      </c>
      <c r="CD380" s="30" t="inlineStr">
        <is>
          <t>No</t>
        </is>
      </c>
      <c r="CE380" s="30">
        <f>IF(CD380="Yes, more than 10%",-10,IF(CD380="No",10,0))</f>
        <v/>
      </c>
    </row>
    <row r="381">
      <c r="A381" s="30">
        <f>IF(B381=0,"",RANK(B381,$B$2:$B$400,0))</f>
        <v/>
      </c>
      <c r="B381" s="31">
        <f>SUM(N381,Y381,AA381,AC381,AE381,AG381,AI381,AK381,AM381,AO381,AQ381,AS381,AU381,AW381,AY381,BA381,BC381,BE381,BG381,BI381,BK381,BM381,BO381,BQ381,BS381,BU381,BW381,BY381,CA381,CC381,CE381)</f>
        <v/>
      </c>
      <c r="C381" s="30" t="inlineStr">
        <is>
          <t>TRITURBINE</t>
        </is>
      </c>
      <c r="D381" s="30" t="inlineStr">
        <is>
          <t>Triveni Turbine Limited</t>
        </is>
      </c>
      <c r="E381" s="30" t="inlineStr">
        <is>
          <t>industrials</t>
        </is>
      </c>
      <c r="F381" s="30" t="inlineStr">
        <is>
          <t>electric equipment</t>
        </is>
      </c>
      <c r="G381" s="30" t="inlineStr">
        <is>
          <t>largecap</t>
        </is>
      </c>
      <c r="H381" s="31" t="n">
        <v>21534.21</v>
      </c>
      <c r="I381" s="31" t="n">
        <v>674.15</v>
      </c>
      <c r="J381" s="31" t="n">
        <v>-0.48</v>
      </c>
      <c r="K381" s="31" t="n">
        <v>529334</v>
      </c>
      <c r="L381" s="30" t="n">
        <v>55</v>
      </c>
      <c r="M381" s="30" t="inlineStr">
        <is>
          <t>Outperforming</t>
        </is>
      </c>
      <c r="N381" s="31">
        <f>IF(M381="Underperforming",-5,IF(L381&gt;=95,15,IF(L381&gt;=90,10,IF(L381&gt;=80,5,0))))</f>
        <v/>
      </c>
      <c r="O381" s="31" t="n">
        <v>66.14</v>
      </c>
      <c r="P381" s="31" t="n">
        <v>34.37</v>
      </c>
      <c r="Q381" s="31" t="n">
        <v>574.11</v>
      </c>
      <c r="R381" s="30" t="inlineStr">
        <is>
          <t>Earnings / Momentum Support</t>
        </is>
      </c>
      <c r="S381" s="30" t="inlineStr">
        <is>
          <t>Nifty 50</t>
        </is>
      </c>
      <c r="T381" s="31" t="n">
        <v>-3.76</v>
      </c>
      <c r="U381" s="31" t="n">
        <v>12.89</v>
      </c>
      <c r="V381" s="31" t="n">
        <v>17.3</v>
      </c>
      <c r="W381" s="31" t="n">
        <v>14.05</v>
      </c>
      <c r="X381" s="30" t="inlineStr">
        <is>
          <t>Cyclical in an Upturn</t>
        </is>
      </c>
      <c r="Y381" s="30">
        <f>IF(X381="Growing Industry",10,IF(X381="Cyclical in an Upturn",5,0))</f>
        <v/>
      </c>
      <c r="Z381" s="30" t="inlineStr">
        <is>
          <t>Too Many Players with High ROCE</t>
        </is>
      </c>
      <c r="AA381" s="30">
        <f>IF(Z381="Monopoly",10,IF(Z381="Oligopoly",5,IF(Z381="Duopoly that cooperate",10,IF(Z381="Duopoly that compete",5,IF(Z381="Too many players with High ROCE",5,0)))))</f>
        <v/>
      </c>
      <c r="AB381" s="30" t="inlineStr">
        <is>
          <t>No</t>
        </is>
      </c>
      <c r="AC381" s="30">
        <f>IF(AB381="No",5,0)</f>
        <v/>
      </c>
      <c r="AD381" s="30" t="inlineStr">
        <is>
          <t>Tailwind</t>
        </is>
      </c>
      <c r="AE381" s="30">
        <f>IF(AD381="Tailwind",10,0)</f>
        <v/>
      </c>
      <c r="AF381" s="30" t="inlineStr">
        <is>
          <t>Structural (10 Years Consistency)</t>
        </is>
      </c>
      <c r="AG381" s="30">
        <f>IF(AF381="Structural (10 Years Consistency)",10,IF(AF381="Shallow Cyclical (2 to 3 years growth)",5,0))</f>
        <v/>
      </c>
      <c r="AH381" s="30" t="inlineStr">
        <is>
          <t>No</t>
        </is>
      </c>
      <c r="AI381" s="30">
        <f>IF(AH381="Yes due to Product Mix change or Operating Leverage",10,IF(AH381="Yes, these are peak margins",-5,IF(AH381="No",5,0)))</f>
        <v/>
      </c>
      <c r="AJ381" s="30" t="inlineStr">
        <is>
          <t>Stable</t>
        </is>
      </c>
      <c r="AK381" s="30">
        <f>IF(AJ381="Stable",10,0)</f>
        <v/>
      </c>
      <c r="AL381" s="30" t="inlineStr">
        <is>
          <t>Yes</t>
        </is>
      </c>
      <c r="AM381" s="30">
        <f>IF(AL381="Yes",10,0)</f>
        <v/>
      </c>
      <c r="AN381" s="30" t="inlineStr">
        <is>
          <t>B2B</t>
        </is>
      </c>
      <c r="AO381" s="30">
        <f>IF(AN381="B2C",10,IF(AN381="B2B",5,0))</f>
        <v/>
      </c>
      <c r="AP381" s="30" t="inlineStr">
        <is>
          <t>No</t>
        </is>
      </c>
      <c r="AQ381" s="30">
        <f>IF(AP381="Yes",10,0)</f>
        <v/>
      </c>
      <c r="AR381" s="30" t="inlineStr">
        <is>
          <t>Higher One Time, Lower Annuity</t>
        </is>
      </c>
      <c r="AS381" s="30">
        <f>IF(AR381="Fully Annuity",10,IF(AR381="Higher Annuity, Lower One Time",5,IF(AR381="Higher One Time, Lower Annuity",3,0)))</f>
        <v/>
      </c>
      <c r="AT381" s="30" t="inlineStr">
        <is>
          <t>Good</t>
        </is>
      </c>
      <c r="AU381" s="30">
        <f>IF(AT381="Good",10,0)</f>
        <v/>
      </c>
      <c r="AV381" s="30" t="inlineStr">
        <is>
          <t>Yes for more than 2 years</t>
        </is>
      </c>
      <c r="AW381" s="30">
        <f>IF(AV381="Yes for more than 2 years",10,IF(AV381="Yes only for next 1 to 2 years",5,0))</f>
        <v/>
      </c>
      <c r="AX381" s="30" t="inlineStr">
        <is>
          <t>20 to 40</t>
        </is>
      </c>
      <c r="AY381" s="30">
        <f>IF(AX381="Above 40",20,IF(AX381="20 to 40",10,IF(AX381="0 to 20",-5,0)))</f>
        <v/>
      </c>
      <c r="AZ381" s="30" t="inlineStr">
        <is>
          <t>Between 50 to 75</t>
        </is>
      </c>
      <c r="BA381" s="30">
        <f>IF(AZ381="Between 50 to 75",10,IF(AZ381="Above 75",0,0))</f>
        <v/>
      </c>
      <c r="BB381" s="30" t="inlineStr">
        <is>
          <t>Stage 2</t>
        </is>
      </c>
      <c r="BC381" s="30">
        <f>IF(BB381="Stage 2",20,IF(BB381="Stage 1",0,IF(BB381="Stage 3",5,IF(BB381="Stage 4",-5,0))))</f>
        <v/>
      </c>
      <c r="BD381" s="30" t="inlineStr">
        <is>
          <t>Negative Trend</t>
        </is>
      </c>
      <c r="BE381" s="30">
        <f>IF(BD381="Positive Trend",20,IF(BD381="Negative Trend",-10,0))</f>
        <v/>
      </c>
      <c r="BF381" s="30" t="inlineStr">
        <is>
          <t>Uptrend</t>
        </is>
      </c>
      <c r="BG381" s="30">
        <f>IF(BF381="Uptrend",10,IF(BF381="Sideways",5,0))</f>
        <v/>
      </c>
      <c r="BH381" s="30" t="inlineStr">
        <is>
          <t>Uptrend</t>
        </is>
      </c>
      <c r="BI381" s="30">
        <f>IF(BH381="Uptrend",10,IF(BH381="Sideways",5,0))</f>
        <v/>
      </c>
      <c r="BJ381" s="30" t="inlineStr">
        <is>
          <t>Close to 52 week high or retracement</t>
        </is>
      </c>
      <c r="BK381" s="30">
        <f>IF(BJ381="Overhead supply in last 2 years in last 2 years",-5,IF(BJ381="Close to 52 week high or retracement",5,IF(BJ381="Blue sky scenario",10,IF(BJ381="Long term Downtrend",-10,0))))</f>
        <v/>
      </c>
      <c r="BL381" s="30" t="inlineStr">
        <is>
          <t>Yes</t>
        </is>
      </c>
      <c r="BM381" s="30">
        <f>IF(BL381="Yes",10,0)</f>
        <v/>
      </c>
      <c r="BN381" s="30" t="inlineStr">
        <is>
          <t>Less than 12%</t>
        </is>
      </c>
      <c r="BO381" s="30">
        <f>IF(BN381="More than 20%",10,IF(BN381="Between 12 to 20%",5,IF(BN381="Less than 12%",0,0)))</f>
        <v/>
      </c>
      <c r="BP381" s="30" t="inlineStr">
        <is>
          <t>No</t>
        </is>
      </c>
      <c r="BQ381" s="30">
        <f>IF(BP381="No",10,0)</f>
        <v/>
      </c>
      <c r="BR381" s="30" t="inlineStr">
        <is>
          <t>Yes</t>
        </is>
      </c>
      <c r="BS381" s="30">
        <f>IF(BR381="NO",5,0)</f>
        <v/>
      </c>
      <c r="BT381" s="30" t="inlineStr">
        <is>
          <t>Above 2</t>
        </is>
      </c>
      <c r="BU381" s="30">
        <f>IF(BT381="Above 2",0,IF(BT381="Between 1.5 to 2",5,IF(BT381="Less than 1.5",10,0)))</f>
        <v/>
      </c>
      <c r="BV381" s="30" t="inlineStr">
        <is>
          <t>Less than 50%</t>
        </is>
      </c>
      <c r="BW381" s="30">
        <f>IF(BV381="Above 70%",10,IF(BV381="Between 50% to 70%",5,IF(BV381="Less than 50%",0,IF(BV381="Negative",-10,IF(BV381="Less than 50% and Borrowings are increasing",-5,0)))))</f>
        <v/>
      </c>
      <c r="BX381" s="30" t="inlineStr">
        <is>
          <t>Less than 0.7</t>
        </is>
      </c>
      <c r="BY381" s="30">
        <f>IF(BX381="More than 1.2",-10,IF(BX381="Between 0.7 to 1.2",0,IF(BX381="Less than 0.7",10,0)))</f>
        <v/>
      </c>
      <c r="BZ381" s="30" t="inlineStr">
        <is>
          <t>No</t>
        </is>
      </c>
      <c r="CA381" s="30">
        <f>IF(BZ381="Yes",-10,0)</f>
        <v/>
      </c>
      <c r="CB381" s="30" t="inlineStr">
        <is>
          <t>Less than 15%</t>
        </is>
      </c>
      <c r="CC381" s="30">
        <f>IF(CB381="More than 15%",-10,IF(CB381="Less than 15%",10,0))</f>
        <v/>
      </c>
      <c r="CD381" s="30" t="inlineStr">
        <is>
          <t>No</t>
        </is>
      </c>
      <c r="CE381" s="30">
        <f>IF(CD381="Yes, more than 10%",-10,IF(CD381="No",10,0))</f>
        <v/>
      </c>
    </row>
    <row r="382">
      <c r="A382" s="30">
        <f>IF(B382=0,"",RANK(B382,$B$2:$B$400,0))</f>
        <v/>
      </c>
      <c r="B382" s="31">
        <f>SUM(N382,Y382,AA382,AC382,AE382,AG382,AI382,AK382,AM382,AO382,AQ382,AS382,AU382,AW382,AY382,BA382,BC382,BE382,BG382,BI382,BK382,BM382,BO382,BQ382,BS382,BU382,BW382,BY382,CA382,CC382,CE382)</f>
        <v/>
      </c>
      <c r="C382" s="32" t="inlineStr">
        <is>
          <t>PETRONET</t>
        </is>
      </c>
      <c r="D382" s="32" t="inlineStr">
        <is>
          <t>Petronet Lng Limited</t>
        </is>
      </c>
      <c r="E382" s="30" t="inlineStr">
        <is>
          <t>energy</t>
        </is>
      </c>
      <c r="F382" s="30" t="inlineStr">
        <is>
          <t>miscellaneous</t>
        </is>
      </c>
      <c r="G382" s="30" t="inlineStr">
        <is>
          <t>largecap</t>
        </is>
      </c>
      <c r="H382" s="31" t="n">
        <v>43800</v>
      </c>
      <c r="I382" s="31" t="n">
        <v>288.25</v>
      </c>
      <c r="J382" s="31" t="n">
        <v>-1.28</v>
      </c>
      <c r="K382" s="31" t="n">
        <v>3730101</v>
      </c>
      <c r="L382" s="30" t="n">
        <v>7</v>
      </c>
      <c r="M382" s="30" t="inlineStr">
        <is>
          <t>Underperforming</t>
        </is>
      </c>
      <c r="N382" s="31">
        <f>IF(M382="Underperforming",-5,IF(L382&gt;=95,15,IF(L382&gt;=90,10,IF(L382&gt;=80,5,0))))</f>
        <v/>
      </c>
      <c r="O382" s="31" t="n">
        <v>56.35</v>
      </c>
      <c r="P382" s="31" t="n">
        <v>7.57</v>
      </c>
      <c r="Q382" s="31" t="n">
        <v>233.47</v>
      </c>
      <c r="R382" s="30" t="inlineStr">
        <is>
          <t>Earnings / Momentum Support</t>
        </is>
      </c>
      <c r="S382" s="30" t="inlineStr">
        <is>
          <t>Nifty Energy</t>
        </is>
      </c>
      <c r="T382" s="31" t="n">
        <v>13.64</v>
      </c>
      <c r="U382" s="31" t="n">
        <v>2.27</v>
      </c>
      <c r="V382" s="31" t="n">
        <v>-10.01</v>
      </c>
      <c r="W382" s="31" t="n">
        <v>3.3</v>
      </c>
      <c r="X382" s="30" t="inlineStr">
        <is>
          <t>Cyclical in an Upturn</t>
        </is>
      </c>
      <c r="Y382" s="30">
        <f>IF(X382="Growing Industry",10,IF(X382="Cyclical in an Upturn",5,0))</f>
        <v/>
      </c>
      <c r="Z382" s="30" t="inlineStr">
        <is>
          <t>Oligopoly</t>
        </is>
      </c>
      <c r="AA382" s="30">
        <f>IF(Z382="Monopoly",10,IF(Z382="Oligopoly",5,IF(Z382="Duopoly that cooperate",10,IF(Z382="Duopoly that compete",5,IF(Z382="Too many players with High ROCE",5,0)))))</f>
        <v/>
      </c>
      <c r="AB382" s="30" t="inlineStr">
        <is>
          <t>Yes</t>
        </is>
      </c>
      <c r="AC382" s="30">
        <f>IF(AB382="No",5,0)</f>
        <v/>
      </c>
      <c r="AD382" s="30" t="inlineStr">
        <is>
          <t>Tailwind</t>
        </is>
      </c>
      <c r="AE382" s="30">
        <f>IF(AD382="Tailwind",10,0)</f>
        <v/>
      </c>
      <c r="AF382" s="30" t="inlineStr">
        <is>
          <t>Cyclical</t>
        </is>
      </c>
      <c r="AG382" s="30">
        <f>IF(AF382="Structural (10 Years Consistency)",10,IF(AF382="Shallow Cyclical (2 to 3 years growth)",5,0))</f>
        <v/>
      </c>
      <c r="AH382" s="30" t="inlineStr">
        <is>
          <t>No</t>
        </is>
      </c>
      <c r="AI382" s="30">
        <f>IF(AH382="Yes due to Product Mix change or Operating Leverage",10,IF(AH382="Yes, these are peak margins",-5,IF(AH382="No",5,0)))</f>
        <v/>
      </c>
      <c r="AJ382" s="30" t="inlineStr">
        <is>
          <t>Volatile</t>
        </is>
      </c>
      <c r="AK382" s="30">
        <f>IF(AJ382="Stable",10,0)</f>
        <v/>
      </c>
      <c r="AL382" s="30" t="inlineStr">
        <is>
          <t>Yes</t>
        </is>
      </c>
      <c r="AM382" s="30">
        <f>IF(AL382="Yes",10,0)</f>
        <v/>
      </c>
      <c r="AN382" s="30" t="inlineStr">
        <is>
          <t>B2B</t>
        </is>
      </c>
      <c r="AO382" s="30">
        <f>IF(AN382="B2C",10,IF(AN382="B2B",5,0))</f>
        <v/>
      </c>
      <c r="AP382" s="30" t="inlineStr">
        <is>
          <t>No</t>
        </is>
      </c>
      <c r="AQ382" s="30">
        <f>IF(AP382="Yes",10,0)</f>
        <v/>
      </c>
      <c r="AR382" s="30" t="inlineStr">
        <is>
          <t>Higher One Time, Lower Annuity</t>
        </is>
      </c>
      <c r="AS382" s="30">
        <f>IF(AR382="Fully Annuity",10,IF(AR382="Higher Annuity, Lower One Time",5,IF(AR382="Higher One Time, Lower Annuity",3,0)))</f>
        <v/>
      </c>
      <c r="AT382" s="30" t="inlineStr">
        <is>
          <t>Good</t>
        </is>
      </c>
      <c r="AU382" s="30">
        <f>IF(AT382="Good",10,0)</f>
        <v/>
      </c>
      <c r="AV382" s="30" t="inlineStr">
        <is>
          <t>Yes for more than 2 years</t>
        </is>
      </c>
      <c r="AW382" s="30">
        <f>IF(AV382="Yes for more than 2 years",10,IF(AV382="Yes only for next 1 to 2 years",5,0))</f>
        <v/>
      </c>
      <c r="AX382" s="30" t="inlineStr">
        <is>
          <t>0 to 20</t>
        </is>
      </c>
      <c r="AY382" s="30">
        <f>IF(AX382="Above 40",20,IF(AX382="20 to 40",10,IF(AX382="0 to 20",-5,0)))</f>
        <v/>
      </c>
      <c r="AZ382" s="30" t="inlineStr">
        <is>
          <t>Between 50 to 75</t>
        </is>
      </c>
      <c r="BA382" s="30">
        <f>IF(AZ382="Between 50 to 75",10,IF(AZ382="Above 75",0,0))</f>
        <v/>
      </c>
      <c r="BB382" s="30" t="inlineStr">
        <is>
          <t>Stage 1</t>
        </is>
      </c>
      <c r="BC382" s="30">
        <f>IF(BB382="Stage 2",20,IF(BB382="Stage 1",0,IF(BB382="Stage 3",5,IF(BB382="Stage 4",-5,0))))</f>
        <v/>
      </c>
      <c r="BD382" s="30" t="inlineStr">
        <is>
          <t>Positive Trend</t>
        </is>
      </c>
      <c r="BE382" s="30">
        <f>IF(BD382="Positive Trend",20,IF(BD382="Negative Trend",-10,0))</f>
        <v/>
      </c>
      <c r="BF382" s="30" t="inlineStr">
        <is>
          <t>Uptrend</t>
        </is>
      </c>
      <c r="BG382" s="30">
        <f>IF(BF382="Uptrend",10,IF(BF382="Sideways",5,0))</f>
        <v/>
      </c>
      <c r="BH382" s="30" t="inlineStr">
        <is>
          <t>Uptrend</t>
        </is>
      </c>
      <c r="BI382" s="30">
        <f>IF(BH382="Uptrend",10,IF(BH382="Sideways",5,0))</f>
        <v/>
      </c>
      <c r="BJ382" s="30" t="inlineStr">
        <is>
          <t>Close to 52 week high or retracement</t>
        </is>
      </c>
      <c r="BK382" s="30">
        <f>IF(BJ382="Overhead supply in last 2 years in last 2 years",-5,IF(BJ382="Close to 52 week high or retracement",5,IF(BJ382="Blue sky scenario",10,IF(BJ382="Long term Downtrend",-10,0))))</f>
        <v/>
      </c>
      <c r="BL382" s="30" t="inlineStr">
        <is>
          <t>Yes</t>
        </is>
      </c>
      <c r="BM382" s="30">
        <f>IF(BL382="Yes",10,0)</f>
        <v/>
      </c>
      <c r="BN382" s="30" t="inlineStr">
        <is>
          <t>More than 20%</t>
        </is>
      </c>
      <c r="BO382" s="30">
        <f>IF(BN382="More than 20%",10,IF(BN382="Between 12 to 20%",5,IF(BN382="Less than 12%",0,0)))</f>
        <v/>
      </c>
      <c r="BP382" s="30" t="inlineStr">
        <is>
          <t>No</t>
        </is>
      </c>
      <c r="BQ382" s="30">
        <f>IF(BP382="No",10,0)</f>
        <v/>
      </c>
      <c r="BR382" s="30" t="inlineStr">
        <is>
          <t>No</t>
        </is>
      </c>
      <c r="BS382" s="30">
        <f>IF(BR382="NO",5,0)</f>
        <v/>
      </c>
      <c r="BT382" s="30" t="inlineStr">
        <is>
          <t>Less than 1.5</t>
        </is>
      </c>
      <c r="BU382" s="30">
        <f>IF(BT382="Above 2",0,IF(BT382="Between 1.5 to 2",5,IF(BT382="Less than 1.5",10,0)))</f>
        <v/>
      </c>
      <c r="BV382" s="30" t="inlineStr">
        <is>
          <t>Above 70%</t>
        </is>
      </c>
      <c r="BW382" s="30">
        <f>IF(BV382="Above 70%",10,IF(BV382="Between 50% to 70%",5,IF(BV382="Less than 50%",0,IF(BV382="Negative",-10,IF(BV382="Less than 50% and Borrowings are increasing",-5,0)))))</f>
        <v/>
      </c>
      <c r="BX382" s="30" t="inlineStr">
        <is>
          <t>Less than 0.7</t>
        </is>
      </c>
      <c r="BY382" s="30">
        <f>IF(BX382="More than 1.2",-10,IF(BX382="Between 0.7 to 1.2",0,IF(BX382="Less than 0.7",10,0)))</f>
        <v/>
      </c>
      <c r="BZ382" s="30" t="inlineStr">
        <is>
          <t>No</t>
        </is>
      </c>
      <c r="CA382" s="30">
        <f>IF(BZ382="Yes",-10,0)</f>
        <v/>
      </c>
      <c r="CB382" s="30" t="inlineStr">
        <is>
          <t>Less than 15%</t>
        </is>
      </c>
      <c r="CC382" s="30">
        <f>IF(CB382="More than 15%",-10,IF(CB382="Less than 15%",10,0))</f>
        <v/>
      </c>
      <c r="CD382" s="30" t="inlineStr">
        <is>
          <t>No</t>
        </is>
      </c>
      <c r="CE382" s="30">
        <f>IF(CD382="Yes, more than 10%",-10,IF(CD382="No",10,0))</f>
        <v/>
      </c>
    </row>
    <row r="383">
      <c r="A383" s="30">
        <f>IF(B383=0,"",RANK(B383,$B$2:$B$400,0))</f>
        <v/>
      </c>
      <c r="B383" s="31">
        <f>SUM(N383,Y383,AA383,AC383,AE383,AG383,AI383,AK383,AM383,AO383,AQ383,AS383,AU383,AW383,AY383,BA383,BC383,BE383,BG383,BI383,BK383,BM383,BO383,BQ383,BS383,BU383,BW383,BY383,CA383,CC383,CE383)</f>
        <v/>
      </c>
      <c r="C383" s="30" t="inlineStr">
        <is>
          <t>MAXESTATES</t>
        </is>
      </c>
      <c r="D383" s="30" t="inlineStr">
        <is>
          <t>Max Estates Ltd</t>
        </is>
      </c>
      <c r="E383" s="30" t="inlineStr">
        <is>
          <t>realty</t>
        </is>
      </c>
      <c r="F383" s="30" t="inlineStr">
        <is>
          <t>construction</t>
        </is>
      </c>
      <c r="G383" s="30" t="inlineStr">
        <is>
          <t>midcap</t>
        </is>
      </c>
      <c r="H383" s="31" t="n">
        <v>7526.66</v>
      </c>
      <c r="I383" s="31" t="n">
        <v>454.15</v>
      </c>
      <c r="J383" s="31" t="n">
        <v>-1.38</v>
      </c>
      <c r="K383" s="31" t="n">
        <v>41477</v>
      </c>
      <c r="L383" s="30" t="n">
        <v>9</v>
      </c>
      <c r="M383" s="30" t="inlineStr">
        <is>
          <t>Outperforming</t>
        </is>
      </c>
      <c r="N383" s="31">
        <f>IF(M383="Underperforming",-5,IF(L383&gt;=95,15,IF(L383&gt;=90,10,IF(L383&gt;=80,5,0))))</f>
        <v/>
      </c>
      <c r="O383" s="31" t="n">
        <v>59.62</v>
      </c>
      <c r="P383" s="31" t="n">
        <v>14.33</v>
      </c>
      <c r="Q383" s="31" t="n">
        <v>350.12</v>
      </c>
      <c r="R383" s="30" t="inlineStr">
        <is>
          <t>Earnings / Momentum Support</t>
        </is>
      </c>
      <c r="S383" s="30" t="inlineStr">
        <is>
          <t>Nifty Realty</t>
        </is>
      </c>
      <c r="T383" s="31" t="n">
        <v>-19.08</v>
      </c>
      <c r="U383" s="31" t="n">
        <v>-9.34</v>
      </c>
      <c r="V383" s="31" t="n">
        <v>12.04</v>
      </c>
      <c r="W383" s="31" t="n">
        <v>3.57</v>
      </c>
      <c r="X383" s="30" t="inlineStr">
        <is>
          <t>Growing Industry</t>
        </is>
      </c>
      <c r="Y383" s="30">
        <f>IF(X383="Growing Industry",10,IF(X383="Cyclical in an Upturn",5,0))</f>
        <v/>
      </c>
      <c r="Z383" s="30" t="inlineStr">
        <is>
          <t>Too Many Players with High ROCE</t>
        </is>
      </c>
      <c r="AA383" s="30">
        <f>IF(Z383="Monopoly",10,IF(Z383="Oligopoly",5,IF(Z383="Duopoly that cooperate",10,IF(Z383="Duopoly that compete",5,IF(Z383="Too many players with High ROCE",5,0)))))</f>
        <v/>
      </c>
      <c r="AB383" s="30" t="inlineStr">
        <is>
          <t>No</t>
        </is>
      </c>
      <c r="AC383" s="30">
        <f>IF(AB383="No",5,0)</f>
        <v/>
      </c>
      <c r="AD383" s="30" t="inlineStr">
        <is>
          <t>Headwind</t>
        </is>
      </c>
      <c r="AE383" s="30">
        <f>IF(AD383="Tailwind",10,0)</f>
        <v/>
      </c>
      <c r="AF383" s="30" t="inlineStr">
        <is>
          <t>Structural (10 Years Consistency)</t>
        </is>
      </c>
      <c r="AG383" s="30">
        <f>IF(AF383="Structural (10 Years Consistency)",10,IF(AF383="Shallow Cyclical (2 to 3 years growth)",5,0))</f>
        <v/>
      </c>
      <c r="AH383" s="30" t="inlineStr">
        <is>
          <t>No</t>
        </is>
      </c>
      <c r="AI383" s="30">
        <f>IF(AH383="Yes due to Product Mix change or Operating Leverage",10,IF(AH383="Yes, these are peak margins",-5,IF(AH383="No",5,0)))</f>
        <v/>
      </c>
      <c r="AJ383" s="30" t="inlineStr">
        <is>
          <t>Stable</t>
        </is>
      </c>
      <c r="AK383" s="30">
        <f>IF(AJ383="Stable",10,0)</f>
        <v/>
      </c>
      <c r="AL383" s="30" t="inlineStr">
        <is>
          <t>Yes</t>
        </is>
      </c>
      <c r="AM383" s="30">
        <f>IF(AL383="Yes",10,0)</f>
        <v/>
      </c>
      <c r="AN383" s="30" t="inlineStr">
        <is>
          <t>B2B</t>
        </is>
      </c>
      <c r="AO383" s="30">
        <f>IF(AN383="B2C",10,IF(AN383="B2B",5,0))</f>
        <v/>
      </c>
      <c r="AP383" s="30" t="inlineStr">
        <is>
          <t>No</t>
        </is>
      </c>
      <c r="AQ383" s="30">
        <f>IF(AP383="Yes",10,0)</f>
        <v/>
      </c>
      <c r="AR383" s="30" t="inlineStr">
        <is>
          <t>Higher One Time, Lower Annuity</t>
        </is>
      </c>
      <c r="AS383" s="30">
        <f>IF(AR383="Fully Annuity",10,IF(AR383="Higher Annuity, Lower One Time",5,IF(AR383="Higher One Time, Lower Annuity",3,0)))</f>
        <v/>
      </c>
      <c r="AT383" s="30" t="inlineStr">
        <is>
          <t>Good</t>
        </is>
      </c>
      <c r="AU383" s="30">
        <f>IF(AT383="Good",10,0)</f>
        <v/>
      </c>
      <c r="AV383" s="30" t="inlineStr">
        <is>
          <t>Yes for more than 2 years</t>
        </is>
      </c>
      <c r="AW383" s="30">
        <f>IF(AV383="Yes for more than 2 years",10,IF(AV383="Yes only for next 1 to 2 years",5,0))</f>
        <v/>
      </c>
      <c r="AX383" s="30" t="inlineStr">
        <is>
          <t>0 to 20</t>
        </is>
      </c>
      <c r="AY383" s="30">
        <f>IF(AX383="Above 40",20,IF(AX383="20 to 40",10,IF(AX383="0 to 20",-5,0)))</f>
        <v/>
      </c>
      <c r="AZ383" s="30" t="inlineStr">
        <is>
          <t>Between 50 to 75</t>
        </is>
      </c>
      <c r="BA383" s="30">
        <f>IF(AZ383="Between 50 to 75",10,IF(AZ383="Above 75",0,0))</f>
        <v/>
      </c>
      <c r="BB383" s="30" t="inlineStr">
        <is>
          <t>Stage 2</t>
        </is>
      </c>
      <c r="BC383" s="30">
        <f>IF(BB383="Stage 2",20,IF(BB383="Stage 1",0,IF(BB383="Stage 3",5,IF(BB383="Stage 4",-5,0))))</f>
        <v/>
      </c>
      <c r="BD383" s="30" t="inlineStr">
        <is>
          <t>Positive Trend</t>
        </is>
      </c>
      <c r="BE383" s="30">
        <f>IF(BD383="Positive Trend",20,IF(BD383="Negative Trend",-10,0))</f>
        <v/>
      </c>
      <c r="BF383" s="30" t="inlineStr">
        <is>
          <t>Uptrend</t>
        </is>
      </c>
      <c r="BG383" s="30">
        <f>IF(BF383="Uptrend",10,IF(BF383="Sideways",5,0))</f>
        <v/>
      </c>
      <c r="BH383" s="30" t="inlineStr">
        <is>
          <t>Uptrend</t>
        </is>
      </c>
      <c r="BI383" s="30">
        <f>IF(BH383="Uptrend",10,IF(BH383="Sideways",5,0))</f>
        <v/>
      </c>
      <c r="BJ383" s="30" t="inlineStr">
        <is>
          <t>Close to 52 week high or retracement</t>
        </is>
      </c>
      <c r="BK383" s="30">
        <f>IF(BJ383="Overhead supply in last 2 years in last 2 years",-5,IF(BJ383="Close to 52 week high or retracement",5,IF(BJ383="Blue sky scenario",10,IF(BJ383="Long term Downtrend",-10,0))))</f>
        <v/>
      </c>
      <c r="BL383" s="30" t="inlineStr">
        <is>
          <t>Yes</t>
        </is>
      </c>
      <c r="BM383" s="30">
        <f>IF(BL383="Yes",10,0)</f>
        <v/>
      </c>
      <c r="BN383" s="30" t="inlineStr">
        <is>
          <t>More than 20%</t>
        </is>
      </c>
      <c r="BO383" s="30">
        <f>IF(BN383="More than 20%",10,IF(BN383="Between 12 to 20%",5,IF(BN383="Less than 12%",0,0)))</f>
        <v/>
      </c>
      <c r="BP383" s="30" t="inlineStr">
        <is>
          <t>No</t>
        </is>
      </c>
      <c r="BQ383" s="30">
        <f>IF(BP383="No",10,0)</f>
        <v/>
      </c>
      <c r="BR383" s="30" t="inlineStr">
        <is>
          <t>Yes</t>
        </is>
      </c>
      <c r="BS383" s="30">
        <f>IF(BR383="NO",5,0)</f>
        <v/>
      </c>
      <c r="BT383" s="30" t="inlineStr">
        <is>
          <t>Above 2</t>
        </is>
      </c>
      <c r="BU383" s="30">
        <f>IF(BT383="Above 2",0,IF(BT383="Between 1.5 to 2",5,IF(BT383="Less than 1.5",10,0)))</f>
        <v/>
      </c>
      <c r="BV383" s="30" t="inlineStr">
        <is>
          <t>Negative</t>
        </is>
      </c>
      <c r="BW383" s="30">
        <f>IF(BV383="Above 70%",10,IF(BV383="Between 50% to 70%",5,IF(BV383="Less than 50%",0,IF(BV383="Negative",-10,IF(BV383="Less than 50% and Borrowings are increasing",-5,0)))))</f>
        <v/>
      </c>
      <c r="BX383" s="30" t="inlineStr">
        <is>
          <t>Between 0.7 to 1.2</t>
        </is>
      </c>
      <c r="BY383" s="30">
        <f>IF(BX383="More than 1.2",-10,IF(BX383="Between 0.7 to 1.2",0,IF(BX383="Less than 0.7",10,0)))</f>
        <v/>
      </c>
      <c r="BZ383" s="30" t="inlineStr">
        <is>
          <t>No</t>
        </is>
      </c>
      <c r="CA383" s="30">
        <f>IF(BZ383="Yes",-10,0)</f>
        <v/>
      </c>
      <c r="CB383" s="30" t="inlineStr">
        <is>
          <t>Less than 15%</t>
        </is>
      </c>
      <c r="CC383" s="30">
        <f>IF(CB383="More than 15%",-10,IF(CB383="Less than 15%",10,0))</f>
        <v/>
      </c>
      <c r="CD383" s="30" t="inlineStr">
        <is>
          <t>No</t>
        </is>
      </c>
      <c r="CE383" s="30">
        <f>IF(CD383="Yes, more than 10%",-10,IF(CD383="No",10,0))</f>
        <v/>
      </c>
    </row>
    <row r="384">
      <c r="A384" s="30">
        <f>IF(B384=0,"",RANK(B384,$B$2:$B$400,0))</f>
        <v/>
      </c>
      <c r="B384" s="31">
        <f>SUM(N384,Y384,AA384,AC384,AE384,AG384,AI384,AK384,AM384,AO384,AQ384,AS384,AU384,AW384,AY384,BA384,BC384,BE384,BG384,BI384,BK384,BM384,BO384,BQ384,BS384,BU384,BW384,BY384,CA384,CC384,CE384)</f>
        <v/>
      </c>
      <c r="C384" s="32" t="inlineStr">
        <is>
          <t>INDIGO</t>
        </is>
      </c>
      <c r="D384" s="32" t="inlineStr">
        <is>
          <t>Interglobe Aviation Limited</t>
        </is>
      </c>
      <c r="E384" s="30" t="inlineStr">
        <is>
          <t>transportation</t>
        </is>
      </c>
      <c r="F384" s="30" t="inlineStr">
        <is>
          <t>transport - airlines</t>
        </is>
      </c>
      <c r="G384" s="30" t="inlineStr">
        <is>
          <t>largecap</t>
        </is>
      </c>
      <c r="H384" s="31" t="n">
        <v>188605.28</v>
      </c>
      <c r="I384" s="31" t="n">
        <v>5011.8</v>
      </c>
      <c r="J384" s="31" t="n">
        <v>2.73</v>
      </c>
      <c r="K384" s="31" t="n">
        <v>1129087</v>
      </c>
      <c r="L384" s="30" t="n">
        <v>9</v>
      </c>
      <c r="M384" s="30" t="inlineStr">
        <is>
          <t>Underperforming</t>
        </is>
      </c>
      <c r="N384" s="31">
        <f>IF(M384="Underperforming",-5,IF(L384&gt;=95,15,IF(L384&gt;=90,10,IF(L384&gt;=80,5,0))))</f>
        <v/>
      </c>
      <c r="O384" s="31" t="n">
        <v>57.38</v>
      </c>
      <c r="P384" s="31" t="n">
        <v>34.36</v>
      </c>
      <c r="Q384" s="31" t="n">
        <v>4013.6</v>
      </c>
      <c r="R384" s="30" t="inlineStr">
        <is>
          <t>Earnings / Momentum Support</t>
        </is>
      </c>
      <c r="S384" s="30" t="inlineStr">
        <is>
          <t>Nifty 50</t>
        </is>
      </c>
      <c r="T384" s="31" t="n">
        <v>-3.76</v>
      </c>
      <c r="U384" s="31" t="n">
        <v>-6.86</v>
      </c>
      <c r="V384" s="31" t="n">
        <v>-3.22</v>
      </c>
      <c r="W384" s="31" t="n">
        <v>3.68</v>
      </c>
      <c r="X384" s="30" t="inlineStr">
        <is>
          <t>Growing Industry</t>
        </is>
      </c>
      <c r="Y384" s="30">
        <f>IF(X384="Growing Industry",10,IF(X384="Cyclical in an Upturn",5,0))</f>
        <v/>
      </c>
      <c r="Z384" s="30" t="inlineStr">
        <is>
          <t>Too Many Players with High ROCE</t>
        </is>
      </c>
      <c r="AA384" s="30">
        <f>IF(Z384="Monopoly",10,IF(Z384="Oligopoly",5,IF(Z384="Duopoly that cooperate",10,IF(Z384="Duopoly that compete",5,IF(Z384="Too many players with High ROCE",5,0)))))</f>
        <v/>
      </c>
      <c r="AB384" s="30" t="inlineStr">
        <is>
          <t>No</t>
        </is>
      </c>
      <c r="AC384" s="30">
        <f>IF(AB384="No",5,0)</f>
        <v/>
      </c>
      <c r="AD384" s="30" t="inlineStr">
        <is>
          <t>Headwind</t>
        </is>
      </c>
      <c r="AE384" s="30">
        <f>IF(AD384="Tailwind",10,0)</f>
        <v/>
      </c>
      <c r="AF384" s="30" t="inlineStr">
        <is>
          <t>Structural (10 Years Consistency)</t>
        </is>
      </c>
      <c r="AG384" s="30">
        <f>IF(AF384="Structural (10 Years Consistency)",10,IF(AF384="Shallow Cyclical (2 to 3 years growth)",5,0))</f>
        <v/>
      </c>
      <c r="AH384" s="30" t="inlineStr">
        <is>
          <t>No</t>
        </is>
      </c>
      <c r="AI384" s="30">
        <f>IF(AH384="Yes due to Product Mix change or Operating Leverage",10,IF(AH384="Yes, these are peak margins",-5,IF(AH384="No",5,0)))</f>
        <v/>
      </c>
      <c r="AJ384" s="30" t="inlineStr">
        <is>
          <t>Stable</t>
        </is>
      </c>
      <c r="AK384" s="30">
        <f>IF(AJ384="Stable",10,0)</f>
        <v/>
      </c>
      <c r="AL384" s="30" t="inlineStr">
        <is>
          <t>Yes</t>
        </is>
      </c>
      <c r="AM384" s="30">
        <f>IF(AL384="Yes",10,0)</f>
        <v/>
      </c>
      <c r="AN384" s="30" t="inlineStr">
        <is>
          <t>B2B</t>
        </is>
      </c>
      <c r="AO384" s="30">
        <f>IF(AN384="B2C",10,IF(AN384="B2B",5,0))</f>
        <v/>
      </c>
      <c r="AP384" s="30" t="inlineStr">
        <is>
          <t>No</t>
        </is>
      </c>
      <c r="AQ384" s="30">
        <f>IF(AP384="Yes",10,0)</f>
        <v/>
      </c>
      <c r="AR384" s="30" t="inlineStr">
        <is>
          <t>Higher One Time, Lower Annuity</t>
        </is>
      </c>
      <c r="AS384" s="30">
        <f>IF(AR384="Fully Annuity",10,IF(AR384="Higher Annuity, Lower One Time",5,IF(AR384="Higher One Time, Lower Annuity",3,0)))</f>
        <v/>
      </c>
      <c r="AT384" s="30" t="inlineStr">
        <is>
          <t>Good</t>
        </is>
      </c>
      <c r="AU384" s="30">
        <f>IF(AT384="Good",10,0)</f>
        <v/>
      </c>
      <c r="AV384" s="30" t="inlineStr">
        <is>
          <t>Yes for more than 2 years</t>
        </is>
      </c>
      <c r="AW384" s="30">
        <f>IF(AV384="Yes for more than 2 years",10,IF(AV384="Yes only for next 1 to 2 years",5,0))</f>
        <v/>
      </c>
      <c r="AX384" s="30" t="inlineStr">
        <is>
          <t>20 to 40</t>
        </is>
      </c>
      <c r="AY384" s="30">
        <f>IF(AX384="Above 40",20,IF(AX384="20 to 40",10,IF(AX384="0 to 20",-5,0)))</f>
        <v/>
      </c>
      <c r="AZ384" s="30" t="inlineStr">
        <is>
          <t>Between 50 to 75</t>
        </is>
      </c>
      <c r="BA384" s="30">
        <f>IF(AZ384="Between 50 to 75",10,IF(AZ384="Above 75",0,0))</f>
        <v/>
      </c>
      <c r="BB384" s="30" t="inlineStr">
        <is>
          <t>Stage 1</t>
        </is>
      </c>
      <c r="BC384" s="30">
        <f>IF(BB384="Stage 2",20,IF(BB384="Stage 1",0,IF(BB384="Stage 3",5,IF(BB384="Stage 4",-5,0))))</f>
        <v/>
      </c>
      <c r="BD384" s="30" t="inlineStr">
        <is>
          <t>Positive Trend</t>
        </is>
      </c>
      <c r="BE384" s="30">
        <f>IF(BD384="Positive Trend",20,IF(BD384="Negative Trend",-10,0))</f>
        <v/>
      </c>
      <c r="BF384" s="30" t="inlineStr">
        <is>
          <t>Uptrend</t>
        </is>
      </c>
      <c r="BG384" s="30">
        <f>IF(BF384="Uptrend",10,IF(BF384="Sideways",5,0))</f>
        <v/>
      </c>
      <c r="BH384" s="30" t="inlineStr">
        <is>
          <t>Uptrend</t>
        </is>
      </c>
      <c r="BI384" s="30">
        <f>IF(BH384="Uptrend",10,IF(BH384="Sideways",5,0))</f>
        <v/>
      </c>
      <c r="BJ384" s="30" t="inlineStr">
        <is>
          <t>Close to 52 week high or retracement</t>
        </is>
      </c>
      <c r="BK384" s="30">
        <f>IF(BJ384="Overhead supply in last 2 years in last 2 years",-5,IF(BJ384="Close to 52 week high or retracement",5,IF(BJ384="Blue sky scenario",10,IF(BJ384="Long term Downtrend",-10,0))))</f>
        <v/>
      </c>
      <c r="BL384" s="30" t="inlineStr">
        <is>
          <t>Yes</t>
        </is>
      </c>
      <c r="BM384" s="30">
        <f>IF(BL384="Yes",10,0)</f>
        <v/>
      </c>
      <c r="BN384" s="30" t="inlineStr">
        <is>
          <t>Less than 12%</t>
        </is>
      </c>
      <c r="BO384" s="30">
        <f>IF(BN384="More than 20%",10,IF(BN384="Between 12 to 20%",5,IF(BN384="Less than 12%",0,0)))</f>
        <v/>
      </c>
      <c r="BP384" s="30" t="inlineStr">
        <is>
          <t>No</t>
        </is>
      </c>
      <c r="BQ384" s="30">
        <f>IF(BP384="No",10,0)</f>
        <v/>
      </c>
      <c r="BR384" s="30" t="inlineStr">
        <is>
          <t>No</t>
        </is>
      </c>
      <c r="BS384" s="30">
        <f>IF(BR384="NO",5,0)</f>
        <v/>
      </c>
      <c r="BT384" s="30" t="inlineStr">
        <is>
          <t>Above 2</t>
        </is>
      </c>
      <c r="BU384" s="30">
        <f>IF(BT384="Above 2",0,IF(BT384="Between 1.5 to 2",5,IF(BT384="Less than 1.5",10,0)))</f>
        <v/>
      </c>
      <c r="BV384" s="30" t="inlineStr">
        <is>
          <t>Above 70%</t>
        </is>
      </c>
      <c r="BW384" s="30">
        <f>IF(BV384="Above 70%",10,IF(BV384="Between 50% to 70%",5,IF(BV384="Less than 50%",0,IF(BV384="Negative",-10,IF(BV384="Less than 50% and Borrowings are increasing",-5,0)))))</f>
        <v/>
      </c>
      <c r="BX384" s="30" t="inlineStr">
        <is>
          <t>More than 1.2</t>
        </is>
      </c>
      <c r="BY384" s="30">
        <f>IF(BX384="More than 1.2",-10,IF(BX384="Between 0.7 to 1.2",0,IF(BX384="Less than 0.7",10,0)))</f>
        <v/>
      </c>
      <c r="BZ384" s="30" t="inlineStr">
        <is>
          <t>No</t>
        </is>
      </c>
      <c r="CA384" s="30">
        <f>IF(BZ384="Yes",-10,0)</f>
        <v/>
      </c>
      <c r="CB384" s="30" t="inlineStr">
        <is>
          <t>Less than 15%</t>
        </is>
      </c>
      <c r="CC384" s="30">
        <f>IF(CB384="More than 15%",-10,IF(CB384="Less than 15%",10,0))</f>
        <v/>
      </c>
      <c r="CD384" s="30" t="inlineStr">
        <is>
          <t>No</t>
        </is>
      </c>
      <c r="CE384" s="30">
        <f>IF(CD384="Yes, more than 10%",-10,IF(CD384="No",10,0))</f>
        <v/>
      </c>
    </row>
    <row r="385">
      <c r="A385" s="30">
        <f>IF(B385=0,"",RANK(B385,$B$2:$B$400,0))</f>
        <v/>
      </c>
      <c r="B385" s="31">
        <f>SUM(N385,Y385,AA385,AC385,AE385,AG385,AI385,AK385,AM385,AO385,AQ385,AS385,AU385,AW385,AY385,BA385,BC385,BE385,BG385,BI385,BK385,BM385,BO385,BQ385,BS385,BU385,BW385,BY385,CA385,CC385,CE385)</f>
        <v/>
      </c>
      <c r="C385" s="32" t="inlineStr">
        <is>
          <t>JBMA</t>
        </is>
      </c>
      <c r="D385" s="32" t="inlineStr">
        <is>
          <t>Jbm Auto Limited</t>
        </is>
      </c>
      <c r="E385" s="30" t="inlineStr">
        <is>
          <t>auto</t>
        </is>
      </c>
      <c r="F385" s="30" t="inlineStr">
        <is>
          <t>auto ancillaries</t>
        </is>
      </c>
      <c r="G385" s="30" t="inlineStr">
        <is>
          <t>midcap</t>
        </is>
      </c>
      <c r="H385" s="31" t="n">
        <v>16386.69</v>
      </c>
      <c r="I385" s="31" t="n">
        <v>706.5</v>
      </c>
      <c r="J385" s="31" t="n">
        <v>1.96</v>
      </c>
      <c r="K385" s="31" t="n">
        <v>2762500</v>
      </c>
      <c r="L385" s="30" t="n">
        <v>28</v>
      </c>
      <c r="M385" s="30" t="inlineStr">
        <is>
          <t>Underperforming</t>
        </is>
      </c>
      <c r="N385" s="31">
        <f>IF(M385="Underperforming",-5,IF(L385&gt;=95,15,IF(L385&gt;=90,10,IF(L385&gt;=80,5,0))))</f>
        <v/>
      </c>
      <c r="O385" s="31" t="n">
        <v>63.86</v>
      </c>
      <c r="P385" s="31" t="n">
        <v>16.01</v>
      </c>
      <c r="Q385" s="31" t="n">
        <v>540.01</v>
      </c>
      <c r="R385" s="30" t="inlineStr">
        <is>
          <t>Near 52W High Breakout</t>
        </is>
      </c>
      <c r="S385" s="30" t="inlineStr">
        <is>
          <t>Nifty Auto</t>
        </is>
      </c>
      <c r="T385" s="31" t="n">
        <v>12.95</v>
      </c>
      <c r="U385" s="31" t="n">
        <v>8.26</v>
      </c>
      <c r="V385" s="31" t="n">
        <v>-4.15</v>
      </c>
      <c r="W385" s="31" t="n">
        <v>7.66</v>
      </c>
      <c r="X385" s="30" t="inlineStr">
        <is>
          <t>Growing Industry</t>
        </is>
      </c>
      <c r="Y385" s="30">
        <f>IF(X385="Growing Industry",10,IF(X385="Cyclical in an Upturn",5,0))</f>
        <v/>
      </c>
      <c r="Z385" s="30" t="inlineStr">
        <is>
          <t>Too Many Players with High ROCE</t>
        </is>
      </c>
      <c r="AA385" s="30">
        <f>IF(Z385="Monopoly",10,IF(Z385="Oligopoly",5,IF(Z385="Duopoly that cooperate",10,IF(Z385="Duopoly that compete",5,IF(Z385="Too many players with High ROCE",5,0)))))</f>
        <v/>
      </c>
      <c r="AB385" s="30" t="inlineStr">
        <is>
          <t>No</t>
        </is>
      </c>
      <c r="AC385" s="30">
        <f>IF(AB385="No",5,0)</f>
        <v/>
      </c>
      <c r="AD385" s="30" t="inlineStr">
        <is>
          <t>Tailwind</t>
        </is>
      </c>
      <c r="AE385" s="30">
        <f>IF(AD385="Tailwind",10,0)</f>
        <v/>
      </c>
      <c r="AF385" s="30" t="inlineStr">
        <is>
          <t>Structural (10 Years Consistency)</t>
        </is>
      </c>
      <c r="AG385" s="30">
        <f>IF(AF385="Structural (10 Years Consistency)",10,IF(AF385="Shallow Cyclical (2 to 3 years growth)",5,0))</f>
        <v/>
      </c>
      <c r="AH385" s="30" t="inlineStr">
        <is>
          <t>No</t>
        </is>
      </c>
      <c r="AI385" s="30">
        <f>IF(AH385="Yes due to Product Mix change or Operating Leverage",10,IF(AH385="Yes, these are peak margins",-5,IF(AH385="No",5,0)))</f>
        <v/>
      </c>
      <c r="AJ385" s="30" t="inlineStr">
        <is>
          <t>Stable</t>
        </is>
      </c>
      <c r="AK385" s="30">
        <f>IF(AJ385="Stable",10,0)</f>
        <v/>
      </c>
      <c r="AL385" s="30" t="inlineStr">
        <is>
          <t>Yes</t>
        </is>
      </c>
      <c r="AM385" s="30">
        <f>IF(AL385="Yes",10,0)</f>
        <v/>
      </c>
      <c r="AN385" s="30" t="inlineStr">
        <is>
          <t>B2B</t>
        </is>
      </c>
      <c r="AO385" s="30">
        <f>IF(AN385="B2C",10,IF(AN385="B2B",5,0))</f>
        <v/>
      </c>
      <c r="AP385" s="30" t="inlineStr">
        <is>
          <t>Yes</t>
        </is>
      </c>
      <c r="AQ385" s="30">
        <f>IF(AP385="Yes",10,0)</f>
        <v/>
      </c>
      <c r="AR385" s="30" t="inlineStr">
        <is>
          <t>Higher One Time, Lower Annuity</t>
        </is>
      </c>
      <c r="AS385" s="30">
        <f>IF(AR385="Fully Annuity",10,IF(AR385="Higher Annuity, Lower One Time",5,IF(AR385="Higher One Time, Lower Annuity",3,0)))</f>
        <v/>
      </c>
      <c r="AT385" s="30" t="inlineStr">
        <is>
          <t>Good</t>
        </is>
      </c>
      <c r="AU385" s="30">
        <f>IF(AT385="Good",10,0)</f>
        <v/>
      </c>
      <c r="AV385" s="30" t="inlineStr">
        <is>
          <t>Yes for more than 2 years</t>
        </is>
      </c>
      <c r="AW385" s="30">
        <f>IF(AV385="Yes for more than 2 years",10,IF(AV385="Yes only for next 1 to 2 years",5,0))</f>
        <v/>
      </c>
      <c r="AX385" s="30" t="inlineStr">
        <is>
          <t>0 to 20</t>
        </is>
      </c>
      <c r="AY385" s="30">
        <f>IF(AX385="Above 40",20,IF(AX385="20 to 40",10,IF(AX385="0 to 20",-5,0)))</f>
        <v/>
      </c>
      <c r="AZ385" s="30" t="inlineStr">
        <is>
          <t>Between 50 to 75</t>
        </is>
      </c>
      <c r="BA385" s="30">
        <f>IF(AZ385="Between 50 to 75",10,IF(AZ385="Above 75",0,0))</f>
        <v/>
      </c>
      <c r="BB385" s="30" t="inlineStr">
        <is>
          <t>Stage 2</t>
        </is>
      </c>
      <c r="BC385" s="30">
        <f>IF(BB385="Stage 2",20,IF(BB385="Stage 1",0,IF(BB385="Stage 3",5,IF(BB385="Stage 4",-5,0))))</f>
        <v/>
      </c>
      <c r="BD385" s="30" t="inlineStr">
        <is>
          <t>Positive Trend</t>
        </is>
      </c>
      <c r="BE385" s="30">
        <f>IF(BD385="Positive Trend",20,IF(BD385="Negative Trend",-10,0))</f>
        <v/>
      </c>
      <c r="BF385" s="30" t="inlineStr">
        <is>
          <t>Uptrend</t>
        </is>
      </c>
      <c r="BG385" s="30">
        <f>IF(BF385="Uptrend",10,IF(BF385="Sideways",5,0))</f>
        <v/>
      </c>
      <c r="BH385" s="30" t="inlineStr">
        <is>
          <t>Uptrend</t>
        </is>
      </c>
      <c r="BI385" s="30">
        <f>IF(BH385="Uptrend",10,IF(BH385="Sideways",5,0))</f>
        <v/>
      </c>
      <c r="BJ385" s="30" t="inlineStr">
        <is>
          <t>Close to 52 week high or retracement</t>
        </is>
      </c>
      <c r="BK385" s="30">
        <f>IF(BJ385="Overhead supply in last 2 years in last 2 years",-5,IF(BJ385="Close to 52 week high or retracement",5,IF(BJ385="Blue sky scenario",10,IF(BJ385="Long term Downtrend",-10,0))))</f>
        <v/>
      </c>
      <c r="BL385" s="30" t="inlineStr">
        <is>
          <t>Yes</t>
        </is>
      </c>
      <c r="BM385" s="30">
        <f>IF(BL385="Yes",10,0)</f>
        <v/>
      </c>
      <c r="BN385" s="30" t="inlineStr">
        <is>
          <t>Less than 12%</t>
        </is>
      </c>
      <c r="BO385" s="30">
        <f>IF(BN385="More than 20%",10,IF(BN385="Between 12 to 20%",5,IF(BN385="Less than 12%",0,0)))</f>
        <v/>
      </c>
      <c r="BP385" s="30" t="inlineStr">
        <is>
          <t>No</t>
        </is>
      </c>
      <c r="BQ385" s="30">
        <f>IF(BP385="No",10,0)</f>
        <v/>
      </c>
      <c r="BR385" s="30" t="inlineStr">
        <is>
          <t>Yes</t>
        </is>
      </c>
      <c r="BS385" s="30">
        <f>IF(BR385="NO",5,0)</f>
        <v/>
      </c>
      <c r="BT385" s="30" t="inlineStr">
        <is>
          <t>Above 2</t>
        </is>
      </c>
      <c r="BU385" s="30">
        <f>IF(BT385="Above 2",0,IF(BT385="Between 1.5 to 2",5,IF(BT385="Less than 1.5",10,0)))</f>
        <v/>
      </c>
      <c r="BV385" s="30" t="inlineStr">
        <is>
          <t>Negative</t>
        </is>
      </c>
      <c r="BW385" s="30">
        <f>IF(BV385="Above 70%",10,IF(BV385="Between 50% to 70%",5,IF(BV385="Less than 50%",0,IF(BV385="Negative",-10,IF(BV385="Less than 50% and Borrowings are increasing",-5,0)))))</f>
        <v/>
      </c>
      <c r="BX385" s="30" t="inlineStr">
        <is>
          <t>More than 1.2</t>
        </is>
      </c>
      <c r="BY385" s="30">
        <f>IF(BX385="More than 1.2",-10,IF(BX385="Between 0.7 to 1.2",0,IF(BX385="Less than 0.7",10,0)))</f>
        <v/>
      </c>
      <c r="BZ385" s="30" t="inlineStr">
        <is>
          <t>No</t>
        </is>
      </c>
      <c r="CA385" s="30">
        <f>IF(BZ385="Yes",-10,0)</f>
        <v/>
      </c>
      <c r="CB385" s="30" t="inlineStr">
        <is>
          <t>Less than 15%</t>
        </is>
      </c>
      <c r="CC385" s="30">
        <f>IF(CB385="More than 15%",-10,IF(CB385="Less than 15%",10,0))</f>
        <v/>
      </c>
      <c r="CD385" s="30" t="inlineStr">
        <is>
          <t>No</t>
        </is>
      </c>
      <c r="CE385" s="30">
        <f>IF(CD385="Yes, more than 10%",-10,IF(CD385="No",10,0))</f>
        <v/>
      </c>
    </row>
    <row r="386">
      <c r="A386" s="30">
        <f>IF(B386=0,"",RANK(B386,$B$2:$B$400,0))</f>
        <v/>
      </c>
      <c r="B386" s="31">
        <f>SUM(N386,Y386,AA386,AC386,AE386,AG386,AI386,AK386,AM386,AO386,AQ386,AS386,AU386,AW386,AY386,BA386,BC386,BE386,BG386,BI386,BK386,BM386,BO386,BQ386,BS386,BU386,BW386,BY386,CA386,CC386,CE386)</f>
        <v/>
      </c>
      <c r="C386" s="32" t="inlineStr">
        <is>
          <t>JTLIND</t>
        </is>
      </c>
      <c r="D386" s="32" t="inlineStr">
        <is>
          <t>JTL Industries Ltd</t>
        </is>
      </c>
      <c r="E386" s="30" t="inlineStr">
        <is>
          <t>metals &amp; mining</t>
        </is>
      </c>
      <c r="F386" s="30" t="inlineStr">
        <is>
          <t>steel - medium / small</t>
        </is>
      </c>
      <c r="G386" s="30" t="inlineStr">
        <is>
          <t>smallcap</t>
        </is>
      </c>
      <c r="H386" s="31" t="n">
        <v>2994.1</v>
      </c>
      <c r="I386" s="31" t="n">
        <v>75.28</v>
      </c>
      <c r="J386" s="31" t="n">
        <v>-1.17</v>
      </c>
      <c r="K386" s="31" t="n">
        <v>1758387</v>
      </c>
      <c r="L386" s="30" t="n">
        <v>43</v>
      </c>
      <c r="M386" s="30" t="inlineStr">
        <is>
          <t>Underperforming</t>
        </is>
      </c>
      <c r="N386" s="31">
        <f>IF(M386="Underperforming",-5,IF(L386&gt;=95,15,IF(L386&gt;=90,10,IF(L386&gt;=80,5,0))))</f>
        <v/>
      </c>
      <c r="O386" s="31" t="n">
        <v>56.33</v>
      </c>
      <c r="P386" s="31" t="n">
        <v>13.79</v>
      </c>
      <c r="Q386" s="31" t="n">
        <v>56.01</v>
      </c>
      <c r="R386" s="30" t="inlineStr">
        <is>
          <t>Earnings / Momentum Support</t>
        </is>
      </c>
      <c r="S386" s="30" t="inlineStr">
        <is>
          <t>Nifty Metal</t>
        </is>
      </c>
      <c r="T386" s="31" t="n">
        <v>42.37</v>
      </c>
      <c r="U386" s="31" t="n">
        <v>0.19</v>
      </c>
      <c r="V386" s="31" t="n">
        <v>-29.63</v>
      </c>
      <c r="W386" s="31" t="n">
        <v>11.2</v>
      </c>
      <c r="X386" s="30" t="inlineStr">
        <is>
          <t>Cyclical in an Upturn</t>
        </is>
      </c>
      <c r="Y386" s="30">
        <f>IF(X386="Growing Industry",10,IF(X386="Cyclical in an Upturn",5,0))</f>
        <v/>
      </c>
      <c r="Z386" s="30" t="inlineStr">
        <is>
          <t>Too Many Players with High ROCE</t>
        </is>
      </c>
      <c r="AA386" s="30">
        <f>IF(Z386="Monopoly",10,IF(Z386="Oligopoly",5,IF(Z386="Duopoly that cooperate",10,IF(Z386="Duopoly that compete",5,IF(Z386="Too many players with High ROCE",5,0)))))</f>
        <v/>
      </c>
      <c r="AB386" s="30" t="inlineStr">
        <is>
          <t>No</t>
        </is>
      </c>
      <c r="AC386" s="30">
        <f>IF(AB386="No",5,0)</f>
        <v/>
      </c>
      <c r="AD386" s="30" t="inlineStr">
        <is>
          <t>Tailwind</t>
        </is>
      </c>
      <c r="AE386" s="30">
        <f>IF(AD386="Tailwind",10,0)</f>
        <v/>
      </c>
      <c r="AF386" s="30" t="inlineStr">
        <is>
          <t>Cyclical</t>
        </is>
      </c>
      <c r="AG386" s="30">
        <f>IF(AF386="Structural (10 Years Consistency)",10,IF(AF386="Shallow Cyclical (2 to 3 years growth)",5,0))</f>
        <v/>
      </c>
      <c r="AH386" s="30" t="inlineStr">
        <is>
          <t>No</t>
        </is>
      </c>
      <c r="AI386" s="30">
        <f>IF(AH386="Yes due to Product Mix change or Operating Leverage",10,IF(AH386="Yes, these are peak margins",-5,IF(AH386="No",5,0)))</f>
        <v/>
      </c>
      <c r="AJ386" s="30" t="inlineStr">
        <is>
          <t>Volatile</t>
        </is>
      </c>
      <c r="AK386" s="30">
        <f>IF(AJ386="Stable",10,0)</f>
        <v/>
      </c>
      <c r="AL386" s="30" t="inlineStr">
        <is>
          <t>Yes</t>
        </is>
      </c>
      <c r="AM386" s="30">
        <f>IF(AL386="Yes",10,0)</f>
        <v/>
      </c>
      <c r="AN386" s="30" t="inlineStr">
        <is>
          <t>B2B</t>
        </is>
      </c>
      <c r="AO386" s="30">
        <f>IF(AN386="B2C",10,IF(AN386="B2B",5,0))</f>
        <v/>
      </c>
      <c r="AP386" s="30" t="inlineStr">
        <is>
          <t>No</t>
        </is>
      </c>
      <c r="AQ386" s="30">
        <f>IF(AP386="Yes",10,0)</f>
        <v/>
      </c>
      <c r="AR386" s="30" t="inlineStr">
        <is>
          <t>Higher One Time, Lower Annuity</t>
        </is>
      </c>
      <c r="AS386" s="30">
        <f>IF(AR386="Fully Annuity",10,IF(AR386="Higher Annuity, Lower One Time",5,IF(AR386="Higher One Time, Lower Annuity",3,0)))</f>
        <v/>
      </c>
      <c r="AT386" s="30" t="inlineStr">
        <is>
          <t>Good</t>
        </is>
      </c>
      <c r="AU386" s="30">
        <f>IF(AT386="Good",10,0)</f>
        <v/>
      </c>
      <c r="AV386" s="30" t="inlineStr">
        <is>
          <t>Yes for more than 2 years</t>
        </is>
      </c>
      <c r="AW386" s="30">
        <f>IF(AV386="Yes for more than 2 years",10,IF(AV386="Yes only for next 1 to 2 years",5,0))</f>
        <v/>
      </c>
      <c r="AX386" s="30" t="inlineStr">
        <is>
          <t>0 to 20</t>
        </is>
      </c>
      <c r="AY386" s="30">
        <f>IF(AX386="Above 40",20,IF(AX386="20 to 40",10,IF(AX386="0 to 20",-5,0)))</f>
        <v/>
      </c>
      <c r="AZ386" s="30" t="inlineStr">
        <is>
          <t>Between 50 to 75</t>
        </is>
      </c>
      <c r="BA386" s="30">
        <f>IF(AZ386="Between 50 to 75",10,IF(AZ386="Above 75",0,0))</f>
        <v/>
      </c>
      <c r="BB386" s="30" t="inlineStr">
        <is>
          <t>Stage 2</t>
        </is>
      </c>
      <c r="BC386" s="30">
        <f>IF(BB386="Stage 2",20,IF(BB386="Stage 1",0,IF(BB386="Stage 3",5,IF(BB386="Stage 4",-5,0))))</f>
        <v/>
      </c>
      <c r="BD386" s="30" t="inlineStr">
        <is>
          <t>Positive Trend</t>
        </is>
      </c>
      <c r="BE386" s="30">
        <f>IF(BD386="Positive Trend",20,IF(BD386="Negative Trend",-10,0))</f>
        <v/>
      </c>
      <c r="BF386" s="30" t="inlineStr">
        <is>
          <t>Uptrend</t>
        </is>
      </c>
      <c r="BG386" s="30">
        <f>IF(BF386="Uptrend",10,IF(BF386="Sideways",5,0))</f>
        <v/>
      </c>
      <c r="BH386" s="30" t="inlineStr">
        <is>
          <t>Uptrend</t>
        </is>
      </c>
      <c r="BI386" s="30">
        <f>IF(BH386="Uptrend",10,IF(BH386="Sideways",5,0))</f>
        <v/>
      </c>
      <c r="BJ386" s="30" t="inlineStr">
        <is>
          <t>Close to 52 week high or retracement</t>
        </is>
      </c>
      <c r="BK386" s="30">
        <f>IF(BJ386="Overhead supply in last 2 years in last 2 years",-5,IF(BJ386="Close to 52 week high or retracement",5,IF(BJ386="Blue sky scenario",10,IF(BJ386="Long term Downtrend",-10,0))))</f>
        <v/>
      </c>
      <c r="BL386" s="30" t="inlineStr">
        <is>
          <t>Yes</t>
        </is>
      </c>
      <c r="BM386" s="30">
        <f>IF(BL386="Yes",10,0)</f>
        <v/>
      </c>
      <c r="BN386" s="30" t="inlineStr">
        <is>
          <t>More than 20%</t>
        </is>
      </c>
      <c r="BO386" s="30">
        <f>IF(BN386="More than 20%",10,IF(BN386="Between 12 to 20%",5,IF(BN386="Less than 12%",0,0)))</f>
        <v/>
      </c>
      <c r="BP386" s="30" t="inlineStr">
        <is>
          <t>No</t>
        </is>
      </c>
      <c r="BQ386" s="30">
        <f>IF(BP386="No",10,0)</f>
        <v/>
      </c>
      <c r="BR386" s="30" t="inlineStr">
        <is>
          <t>No</t>
        </is>
      </c>
      <c r="BS386" s="30">
        <f>IF(BR386="NO",5,0)</f>
        <v/>
      </c>
      <c r="BT386" s="30" t="inlineStr">
        <is>
          <t>Above 2</t>
        </is>
      </c>
      <c r="BU386" s="30">
        <f>IF(BT386="Above 2",0,IF(BT386="Between 1.5 to 2",5,IF(BT386="Less than 1.5",10,0)))</f>
        <v/>
      </c>
      <c r="BV386" s="30" t="inlineStr">
        <is>
          <t>Negative</t>
        </is>
      </c>
      <c r="BW386" s="30">
        <f>IF(BV386="Above 70%",10,IF(BV386="Between 50% to 70%",5,IF(BV386="Less than 50%",0,IF(BV386="Negative",-10,IF(BV386="Less than 50% and Borrowings are increasing",-5,0)))))</f>
        <v/>
      </c>
      <c r="BX386" s="30" t="inlineStr">
        <is>
          <t>Less than 0.7</t>
        </is>
      </c>
      <c r="BY386" s="30">
        <f>IF(BX386="More than 1.2",-10,IF(BX386="Between 0.7 to 1.2",0,IF(BX386="Less than 0.7",10,0)))</f>
        <v/>
      </c>
      <c r="BZ386" s="30" t="inlineStr">
        <is>
          <t>No</t>
        </is>
      </c>
      <c r="CA386" s="30">
        <f>IF(BZ386="Yes",-10,0)</f>
        <v/>
      </c>
      <c r="CB386" s="30" t="inlineStr">
        <is>
          <t>Less than 15%</t>
        </is>
      </c>
      <c r="CC386" s="30">
        <f>IF(CB386="More than 15%",-10,IF(CB386="Less than 15%",10,0))</f>
        <v/>
      </c>
      <c r="CD386" s="30" t="inlineStr">
        <is>
          <t>No</t>
        </is>
      </c>
      <c r="CE386" s="30">
        <f>IF(CD386="Yes, more than 10%",-10,IF(CD386="No",10,0))</f>
        <v/>
      </c>
    </row>
    <row r="387">
      <c r="A387" s="30">
        <f>IF(B387=0,"",RANK(B387,$B$2:$B$400,0))</f>
        <v/>
      </c>
      <c r="B387" s="31">
        <f>SUM(N387,Y387,AA387,AC387,AE387,AG387,AI387,AK387,AM387,AO387,AQ387,AS387,AU387,AW387,AY387,BA387,BC387,BE387,BG387,BI387,BK387,BM387,BO387,BQ387,BS387,BU387,BW387,BY387,CA387,CC387,CE387)</f>
        <v/>
      </c>
      <c r="C387" s="30" t="inlineStr">
        <is>
          <t>ARVINDFASN</t>
        </is>
      </c>
      <c r="D387" s="30" t="inlineStr">
        <is>
          <t>Arvind Fashions Ltd</t>
        </is>
      </c>
      <c r="E387" s="30" t="inlineStr">
        <is>
          <t>consumer discretionary</t>
        </is>
      </c>
      <c r="F387" s="30" t="inlineStr">
        <is>
          <t>trading</t>
        </is>
      </c>
      <c r="G387" s="30" t="inlineStr">
        <is>
          <t>midcap</t>
        </is>
      </c>
      <c r="H387" s="31" t="n">
        <v>6472.91</v>
      </c>
      <c r="I387" s="31" t="n">
        <v>478.1</v>
      </c>
      <c r="J387" s="31" t="n">
        <v>-1.28</v>
      </c>
      <c r="K387" s="31" t="n">
        <v>247657</v>
      </c>
      <c r="L387" s="30" t="n">
        <v>15</v>
      </c>
      <c r="M387" s="30" t="inlineStr">
        <is>
          <t>Outperforming</t>
        </is>
      </c>
      <c r="N387" s="31">
        <f>IF(M387="Underperforming",-5,IF(L387&gt;=95,15,IF(L387&gt;=90,10,IF(L387&gt;=80,5,0))))</f>
        <v/>
      </c>
      <c r="O387" s="31" t="n">
        <v>53.64</v>
      </c>
      <c r="P387" s="31" t="n">
        <v>10.5</v>
      </c>
      <c r="Q387" s="31" t="n">
        <v>362.22</v>
      </c>
      <c r="R387" s="30" t="inlineStr">
        <is>
          <t>Earnings / Momentum Support</t>
        </is>
      </c>
      <c r="S387" s="30" t="inlineStr">
        <is>
          <t>Nifty 50</t>
        </is>
      </c>
      <c r="T387" s="31" t="n">
        <v>-3.76</v>
      </c>
      <c r="U387" s="31" t="n">
        <v>-2.29</v>
      </c>
      <c r="V387" s="31" t="n">
        <v>1.53</v>
      </c>
      <c r="W387" s="31" t="n">
        <v>4.92</v>
      </c>
      <c r="X387" s="30" t="inlineStr">
        <is>
          <t>Growing Industry</t>
        </is>
      </c>
      <c r="Y387" s="30">
        <f>IF(X387="Growing Industry",10,IF(X387="Cyclical in an Upturn",5,0))</f>
        <v/>
      </c>
      <c r="Z387" s="30" t="inlineStr">
        <is>
          <t>Too Many Players with High ROCE</t>
        </is>
      </c>
      <c r="AA387" s="30">
        <f>IF(Z387="Monopoly",10,IF(Z387="Oligopoly",5,IF(Z387="Duopoly that cooperate",10,IF(Z387="Duopoly that compete",5,IF(Z387="Too many players with High ROCE",5,0)))))</f>
        <v/>
      </c>
      <c r="AB387" s="30" t="inlineStr">
        <is>
          <t>No</t>
        </is>
      </c>
      <c r="AC387" s="30">
        <f>IF(AB387="No",5,0)</f>
        <v/>
      </c>
      <c r="AD387" s="30" t="inlineStr">
        <is>
          <t>Headwind</t>
        </is>
      </c>
      <c r="AE387" s="30">
        <f>IF(AD387="Tailwind",10,0)</f>
        <v/>
      </c>
      <c r="AF387" s="30" t="inlineStr">
        <is>
          <t>Structural (10 Years Consistency)</t>
        </is>
      </c>
      <c r="AG387" s="30">
        <f>IF(AF387="Structural (10 Years Consistency)",10,IF(AF387="Shallow Cyclical (2 to 3 years growth)",5,0))</f>
        <v/>
      </c>
      <c r="AH387" s="30" t="inlineStr">
        <is>
          <t>No</t>
        </is>
      </c>
      <c r="AI387" s="30">
        <f>IF(AH387="Yes due to Product Mix change or Operating Leverage",10,IF(AH387="Yes, these are peak margins",-5,IF(AH387="No",5,0)))</f>
        <v/>
      </c>
      <c r="AJ387" s="30" t="inlineStr">
        <is>
          <t>Stable</t>
        </is>
      </c>
      <c r="AK387" s="30">
        <f>IF(AJ387="Stable",10,0)</f>
        <v/>
      </c>
      <c r="AL387" s="30" t="inlineStr">
        <is>
          <t>Yes</t>
        </is>
      </c>
      <c r="AM387" s="30">
        <f>IF(AL387="Yes",10,0)</f>
        <v/>
      </c>
      <c r="AN387" s="30" t="inlineStr">
        <is>
          <t>B2B</t>
        </is>
      </c>
      <c r="AO387" s="30">
        <f>IF(AN387="B2C",10,IF(AN387="B2B",5,0))</f>
        <v/>
      </c>
      <c r="AP387" s="30" t="inlineStr">
        <is>
          <t>No</t>
        </is>
      </c>
      <c r="AQ387" s="30">
        <f>IF(AP387="Yes",10,0)</f>
        <v/>
      </c>
      <c r="AR387" s="30" t="inlineStr">
        <is>
          <t>Higher One Time, Lower Annuity</t>
        </is>
      </c>
      <c r="AS387" s="30">
        <f>IF(AR387="Fully Annuity",10,IF(AR387="Higher Annuity, Lower One Time",5,IF(AR387="Higher One Time, Lower Annuity",3,0)))</f>
        <v/>
      </c>
      <c r="AT387" s="30" t="inlineStr">
        <is>
          <t>Good</t>
        </is>
      </c>
      <c r="AU387" s="30">
        <f>IF(AT387="Good",10,0)</f>
        <v/>
      </c>
      <c r="AV387" s="30" t="inlineStr">
        <is>
          <t>Yes for more than 2 years</t>
        </is>
      </c>
      <c r="AW387" s="30">
        <f>IF(AV387="Yes for more than 2 years",10,IF(AV387="Yes only for next 1 to 2 years",5,0))</f>
        <v/>
      </c>
      <c r="AX387" s="30" t="inlineStr">
        <is>
          <t>0 to 20</t>
        </is>
      </c>
      <c r="AY387" s="30">
        <f>IF(AX387="Above 40",20,IF(AX387="20 to 40",10,IF(AX387="0 to 20",-5,0)))</f>
        <v/>
      </c>
      <c r="AZ387" s="30" t="inlineStr">
        <is>
          <t>Between 50 to 75</t>
        </is>
      </c>
      <c r="BA387" s="30">
        <f>IF(AZ387="Between 50 to 75",10,IF(AZ387="Above 75",0,0))</f>
        <v/>
      </c>
      <c r="BB387" s="30" t="inlineStr">
        <is>
          <t>Stage 1</t>
        </is>
      </c>
      <c r="BC387" s="30">
        <f>IF(BB387="Stage 2",20,IF(BB387="Stage 1",0,IF(BB387="Stage 3",5,IF(BB387="Stage 4",-5,0))))</f>
        <v/>
      </c>
      <c r="BD387" s="30" t="inlineStr">
        <is>
          <t>Positive Trend</t>
        </is>
      </c>
      <c r="BE387" s="30">
        <f>IF(BD387="Positive Trend",20,IF(BD387="Negative Trend",-10,0))</f>
        <v/>
      </c>
      <c r="BF387" s="30" t="inlineStr">
        <is>
          <t>Uptrend</t>
        </is>
      </c>
      <c r="BG387" s="30">
        <f>IF(BF387="Uptrend",10,IF(BF387="Sideways",5,0))</f>
        <v/>
      </c>
      <c r="BH387" s="30" t="inlineStr">
        <is>
          <t>Uptrend</t>
        </is>
      </c>
      <c r="BI387" s="30">
        <f>IF(BH387="Uptrend",10,IF(BH387="Sideways",5,0))</f>
        <v/>
      </c>
      <c r="BJ387" s="30" t="inlineStr">
        <is>
          <t>Close to 52 week high or retracement</t>
        </is>
      </c>
      <c r="BK387" s="30">
        <f>IF(BJ387="Overhead supply in last 2 years in last 2 years",-5,IF(BJ387="Close to 52 week high or retracement",5,IF(BJ387="Blue sky scenario",10,IF(BJ387="Long term Downtrend",-10,0))))</f>
        <v/>
      </c>
      <c r="BL387" s="30" t="inlineStr">
        <is>
          <t>Yes</t>
        </is>
      </c>
      <c r="BM387" s="30">
        <f>IF(BL387="Yes",10,0)</f>
        <v/>
      </c>
      <c r="BN387" s="30" t="inlineStr">
        <is>
          <t>More than 20%</t>
        </is>
      </c>
      <c r="BO387" s="30">
        <f>IF(BN387="More than 20%",10,IF(BN387="Between 12 to 20%",5,IF(BN387="Less than 12%",0,0)))</f>
        <v/>
      </c>
      <c r="BP387" s="30" t="inlineStr">
        <is>
          <t>No</t>
        </is>
      </c>
      <c r="BQ387" s="30">
        <f>IF(BP387="No",10,0)</f>
        <v/>
      </c>
      <c r="BR387" s="30" t="inlineStr">
        <is>
          <t>Yes</t>
        </is>
      </c>
      <c r="BS387" s="30">
        <f>IF(BR387="NO",5,0)</f>
        <v/>
      </c>
      <c r="BT387" s="30" t="inlineStr">
        <is>
          <t>Above 2</t>
        </is>
      </c>
      <c r="BU387" s="30">
        <f>IF(BT387="Above 2",0,IF(BT387="Between 1.5 to 2",5,IF(BT387="Less than 1.5",10,0)))</f>
        <v/>
      </c>
      <c r="BV387" s="30" t="inlineStr">
        <is>
          <t>Between 50% to 70%</t>
        </is>
      </c>
      <c r="BW387" s="30">
        <f>IF(BV387="Above 70%",10,IF(BV387="Between 50% to 70%",5,IF(BV387="Less than 50%",0,IF(BV387="Negative",-10,IF(BV387="Less than 50% and Borrowings are increasing",-5,0)))))</f>
        <v/>
      </c>
      <c r="BX387" s="30" t="inlineStr">
        <is>
          <t>Between 0.7 to 1.2</t>
        </is>
      </c>
      <c r="BY387" s="30">
        <f>IF(BX387="More than 1.2",-10,IF(BX387="Between 0.7 to 1.2",0,IF(BX387="Less than 0.7",10,0)))</f>
        <v/>
      </c>
      <c r="BZ387" s="30" t="inlineStr">
        <is>
          <t>No</t>
        </is>
      </c>
      <c r="CA387" s="30">
        <f>IF(BZ387="Yes",-10,0)</f>
        <v/>
      </c>
      <c r="CB387" s="30" t="inlineStr">
        <is>
          <t>Less than 15%</t>
        </is>
      </c>
      <c r="CC387" s="30">
        <f>IF(CB387="More than 15%",-10,IF(CB387="Less than 15%",10,0))</f>
        <v/>
      </c>
      <c r="CD387" s="30" t="inlineStr">
        <is>
          <t>No</t>
        </is>
      </c>
      <c r="CE387" s="30">
        <f>IF(CD387="Yes, more than 10%",-10,IF(CD387="No",10,0))</f>
        <v/>
      </c>
    </row>
    <row r="388">
      <c r="A388" s="30">
        <f>IF(B388=0,"",RANK(B388,$B$2:$B$400,0))</f>
        <v/>
      </c>
      <c r="B388" s="31">
        <f>SUM(N388,Y388,AA388,AC388,AE388,AG388,AI388,AK388,AM388,AO388,AQ388,AS388,AU388,AW388,AY388,BA388,BC388,BE388,BG388,BI388,BK388,BM388,BO388,BQ388,BS388,BU388,BW388,BY388,CA388,CC388,CE388)</f>
        <v/>
      </c>
      <c r="C388" s="32" t="inlineStr">
        <is>
          <t>RPGLIFE</t>
        </is>
      </c>
      <c r="D388" s="32" t="inlineStr">
        <is>
          <t>Rpg Life Sciences Limited</t>
        </is>
      </c>
      <c r="E388" s="30" t="inlineStr">
        <is>
          <t>healthcare</t>
        </is>
      </c>
      <c r="F388" s="30" t="inlineStr">
        <is>
          <t>pharmaceuticals - indian - bulk drugs &amp; formln</t>
        </is>
      </c>
      <c r="G388" s="30" t="inlineStr">
        <is>
          <t>smallcap</t>
        </is>
      </c>
      <c r="H388" s="31" t="n">
        <v>3807.28</v>
      </c>
      <c r="I388" s="31" t="n">
        <v>2278.1</v>
      </c>
      <c r="J388" s="31" t="n">
        <v>-1.04</v>
      </c>
      <c r="K388" s="31" t="n">
        <v>5366</v>
      </c>
      <c r="L388" s="30" t="n">
        <v>12</v>
      </c>
      <c r="M388" s="30" t="inlineStr">
        <is>
          <t>Underperforming</t>
        </is>
      </c>
      <c r="N388" s="31">
        <f>IF(M388="Underperforming",-5,IF(L388&gt;=95,15,IF(L388&gt;=90,10,IF(L388&gt;=80,5,0))))</f>
        <v/>
      </c>
      <c r="O388" s="31" t="n">
        <v>56.36</v>
      </c>
      <c r="P388" s="31" t="n">
        <v>23.7</v>
      </c>
      <c r="Q388" s="31" t="n">
        <v>1978</v>
      </c>
      <c r="R388" s="30" t="inlineStr">
        <is>
          <t>Earnings / Momentum Support</t>
        </is>
      </c>
      <c r="S388" s="30" t="inlineStr">
        <is>
          <t>Nifty Pharma</t>
        </is>
      </c>
      <c r="T388" s="31" t="n">
        <v>12.35</v>
      </c>
      <c r="U388" s="31" t="n">
        <v>-3.39</v>
      </c>
      <c r="V388" s="31" t="n">
        <v>-14.01</v>
      </c>
      <c r="W388" s="31" t="n">
        <v>4.42</v>
      </c>
      <c r="X388" s="30" t="inlineStr">
        <is>
          <t>Growing Industry</t>
        </is>
      </c>
      <c r="Y388" s="30">
        <f>IF(X388="Growing Industry",10,IF(X388="Cyclical in an Upturn",5,0))</f>
        <v/>
      </c>
      <c r="Z388" s="30" t="inlineStr">
        <is>
          <t>Too Many Players with High ROCE</t>
        </is>
      </c>
      <c r="AA388" s="30">
        <f>IF(Z388="Monopoly",10,IF(Z388="Oligopoly",5,IF(Z388="Duopoly that cooperate",10,IF(Z388="Duopoly that compete",5,IF(Z388="Too many players with High ROCE",5,0)))))</f>
        <v/>
      </c>
      <c r="AB388" s="30" t="inlineStr">
        <is>
          <t>Yes</t>
        </is>
      </c>
      <c r="AC388" s="30">
        <f>IF(AB388="No",5,0)</f>
        <v/>
      </c>
      <c r="AD388" s="30" t="inlineStr">
        <is>
          <t>Headwind</t>
        </is>
      </c>
      <c r="AE388" s="30">
        <f>IF(AD388="Tailwind",10,0)</f>
        <v/>
      </c>
      <c r="AF388" s="30" t="inlineStr">
        <is>
          <t>Structural (10 Years Consistency)</t>
        </is>
      </c>
      <c r="AG388" s="30">
        <f>IF(AF388="Structural (10 Years Consistency)",10,IF(AF388="Shallow Cyclical (2 to 3 years growth)",5,0))</f>
        <v/>
      </c>
      <c r="AH388" s="30" t="inlineStr">
        <is>
          <t>No</t>
        </is>
      </c>
      <c r="AI388" s="30">
        <f>IF(AH388="Yes due to Product Mix change or Operating Leverage",10,IF(AH388="Yes, these are peak margins",-5,IF(AH388="No",5,0)))</f>
        <v/>
      </c>
      <c r="AJ388" s="30" t="inlineStr">
        <is>
          <t>Stable</t>
        </is>
      </c>
      <c r="AK388" s="30">
        <f>IF(AJ388="Stable",10,0)</f>
        <v/>
      </c>
      <c r="AL388" s="30" t="inlineStr">
        <is>
          <t>Yes</t>
        </is>
      </c>
      <c r="AM388" s="30">
        <f>IF(AL388="Yes",10,0)</f>
        <v/>
      </c>
      <c r="AN388" s="30" t="inlineStr">
        <is>
          <t>B2B</t>
        </is>
      </c>
      <c r="AO388" s="30">
        <f>IF(AN388="B2C",10,IF(AN388="B2B",5,0))</f>
        <v/>
      </c>
      <c r="AP388" s="30" t="inlineStr">
        <is>
          <t>No</t>
        </is>
      </c>
      <c r="AQ388" s="30">
        <f>IF(AP388="Yes",10,0)</f>
        <v/>
      </c>
      <c r="AR388" s="30" t="inlineStr">
        <is>
          <t>Higher Annuity, Lower One Time</t>
        </is>
      </c>
      <c r="AS388" s="30">
        <f>IF(AR388="Fully Annuity",10,IF(AR388="Higher Annuity, Lower One Time",5,IF(AR388="Higher One Time, Lower Annuity",3,0)))</f>
        <v/>
      </c>
      <c r="AT388" s="30" t="inlineStr">
        <is>
          <t>Good</t>
        </is>
      </c>
      <c r="AU388" s="30">
        <f>IF(AT388="Good",10,0)</f>
        <v/>
      </c>
      <c r="AV388" s="30" t="inlineStr">
        <is>
          <t>Yes for more than 2 years</t>
        </is>
      </c>
      <c r="AW388" s="30">
        <f>IF(AV388="Yes for more than 2 years",10,IF(AV388="Yes only for next 1 to 2 years",5,0))</f>
        <v/>
      </c>
      <c r="AX388" s="30" t="inlineStr">
        <is>
          <t>20 to 40</t>
        </is>
      </c>
      <c r="AY388" s="30">
        <f>IF(AX388="Above 40",20,IF(AX388="20 to 40",10,IF(AX388="0 to 20",-5,0)))</f>
        <v/>
      </c>
      <c r="AZ388" s="30" t="inlineStr">
        <is>
          <t>Between 50 to 75</t>
        </is>
      </c>
      <c r="BA388" s="30">
        <f>IF(AZ388="Between 50 to 75",10,IF(AZ388="Above 75",0,0))</f>
        <v/>
      </c>
      <c r="BB388" s="30" t="inlineStr">
        <is>
          <t>Stage 2</t>
        </is>
      </c>
      <c r="BC388" s="30">
        <f>IF(BB388="Stage 2",20,IF(BB388="Stage 1",0,IF(BB388="Stage 3",5,IF(BB388="Stage 4",-5,0))))</f>
        <v/>
      </c>
      <c r="BD388" s="30" t="inlineStr">
        <is>
          <t>Negative Trend</t>
        </is>
      </c>
      <c r="BE388" s="30">
        <f>IF(BD388="Positive Trend",20,IF(BD388="Negative Trend",-10,0))</f>
        <v/>
      </c>
      <c r="BF388" s="30" t="inlineStr">
        <is>
          <t>Uptrend</t>
        </is>
      </c>
      <c r="BG388" s="30">
        <f>IF(BF388="Uptrend",10,IF(BF388="Sideways",5,0))</f>
        <v/>
      </c>
      <c r="BH388" s="30" t="inlineStr">
        <is>
          <t>Uptrend</t>
        </is>
      </c>
      <c r="BI388" s="30">
        <f>IF(BH388="Uptrend",10,IF(BH388="Sideways",5,0))</f>
        <v/>
      </c>
      <c r="BJ388" s="30" t="inlineStr">
        <is>
          <t>Close to 52 week high or retracement</t>
        </is>
      </c>
      <c r="BK388" s="30">
        <f>IF(BJ388="Overhead supply in last 2 years in last 2 years",-5,IF(BJ388="Close to 52 week high or retracement",5,IF(BJ388="Blue sky scenario",10,IF(BJ388="Long term Downtrend",-10,0))))</f>
        <v/>
      </c>
      <c r="BL388" s="30" t="inlineStr">
        <is>
          <t>Yes</t>
        </is>
      </c>
      <c r="BM388" s="30">
        <f>IF(BL388="Yes",10,0)</f>
        <v/>
      </c>
      <c r="BN388" s="30" t="inlineStr">
        <is>
          <t>Less than 12%</t>
        </is>
      </c>
      <c r="BO388" s="30">
        <f>IF(BN388="More than 20%",10,IF(BN388="Between 12 to 20%",5,IF(BN388="Less than 12%",0,0)))</f>
        <v/>
      </c>
      <c r="BP388" s="30" t="inlineStr">
        <is>
          <t>No</t>
        </is>
      </c>
      <c r="BQ388" s="30">
        <f>IF(BP388="No",10,0)</f>
        <v/>
      </c>
      <c r="BR388" s="30" t="inlineStr">
        <is>
          <t>No</t>
        </is>
      </c>
      <c r="BS388" s="30">
        <f>IF(BR388="NO",5,0)</f>
        <v/>
      </c>
      <c r="BT388" s="30" t="inlineStr">
        <is>
          <t>Above 2</t>
        </is>
      </c>
      <c r="BU388" s="30">
        <f>IF(BT388="Above 2",0,IF(BT388="Between 1.5 to 2",5,IF(BT388="Less than 1.5",10,0)))</f>
        <v/>
      </c>
      <c r="BV388" s="30" t="inlineStr">
        <is>
          <t>Less than 50%</t>
        </is>
      </c>
      <c r="BW388" s="30">
        <f>IF(BV388="Above 70%",10,IF(BV388="Between 50% to 70%",5,IF(BV388="Less than 50%",0,IF(BV388="Negative",-10,IF(BV388="Less than 50% and Borrowings are increasing",-5,0)))))</f>
        <v/>
      </c>
      <c r="BX388" s="30" t="inlineStr">
        <is>
          <t>Less than 0.7</t>
        </is>
      </c>
      <c r="BY388" s="30">
        <f>IF(BX388="More than 1.2",-10,IF(BX388="Between 0.7 to 1.2",0,IF(BX388="Less than 0.7",10,0)))</f>
        <v/>
      </c>
      <c r="BZ388" s="30" t="inlineStr">
        <is>
          <t>No</t>
        </is>
      </c>
      <c r="CA388" s="30">
        <f>IF(BZ388="Yes",-10,0)</f>
        <v/>
      </c>
      <c r="CB388" s="30" t="inlineStr">
        <is>
          <t>Less than 15%</t>
        </is>
      </c>
      <c r="CC388" s="30">
        <f>IF(CB388="More than 15%",-10,IF(CB388="Less than 15%",10,0))</f>
        <v/>
      </c>
      <c r="CD388" s="30" t="inlineStr">
        <is>
          <t>No</t>
        </is>
      </c>
      <c r="CE388" s="30">
        <f>IF(CD388="Yes, more than 10%",-10,IF(CD388="No",10,0))</f>
        <v/>
      </c>
    </row>
    <row r="389">
      <c r="A389" s="30">
        <f>IF(B389=0,"",RANK(B389,$B$2:$B$400,0))</f>
        <v/>
      </c>
      <c r="B389" s="31">
        <f>SUM(N389,Y389,AA389,AC389,AE389,AG389,AI389,AK389,AM389,AO389,AQ389,AS389,AU389,AW389,AY389,BA389,BC389,BE389,BG389,BI389,BK389,BM389,BO389,BQ389,BS389,BU389,BW389,BY389,CA389,CC389,CE389)</f>
        <v/>
      </c>
      <c r="C389" s="30" t="inlineStr">
        <is>
          <t>TEXINFRA</t>
        </is>
      </c>
      <c r="D389" s="30" t="inlineStr">
        <is>
          <t>Texmaco Infrastructure &amp; Holdings Limited</t>
        </is>
      </c>
      <c r="E389" s="30" t="inlineStr">
        <is>
          <t>realty</t>
        </is>
      </c>
      <c r="F389" s="30" t="inlineStr">
        <is>
          <t>construction</t>
        </is>
      </c>
      <c r="G389" s="30" t="inlineStr">
        <is>
          <t>smallcap</t>
        </is>
      </c>
      <c r="H389" s="31" t="n">
        <v>1291.34</v>
      </c>
      <c r="I389" s="31" t="n">
        <v>102.23</v>
      </c>
      <c r="J389" s="31" t="n">
        <v>0.88</v>
      </c>
      <c r="K389" s="31" t="n">
        <v>82576</v>
      </c>
      <c r="L389" s="30" t="n">
        <v>10</v>
      </c>
      <c r="M389" s="30" t="inlineStr">
        <is>
          <t>Outperforming</t>
        </is>
      </c>
      <c r="N389" s="31">
        <f>IF(M389="Underperforming",-5,IF(L389&gt;=95,15,IF(L389&gt;=90,10,IF(L389&gt;=80,5,0))))</f>
        <v/>
      </c>
      <c r="O389" s="31" t="n">
        <v>56.19</v>
      </c>
      <c r="P389" s="31" t="n">
        <v>15.67</v>
      </c>
      <c r="Q389" s="31" t="n">
        <v>82.7</v>
      </c>
      <c r="R389" s="30" t="inlineStr">
        <is>
          <t>Near 52W High Breakout</t>
        </is>
      </c>
      <c r="S389" s="30" t="inlineStr">
        <is>
          <t>Nifty Realty</t>
        </is>
      </c>
      <c r="T389" s="31" t="n">
        <v>-19.08</v>
      </c>
      <c r="U389" s="31" t="n">
        <v>2.04</v>
      </c>
      <c r="V389" s="31" t="n">
        <v>26.1</v>
      </c>
      <c r="W389" s="31" t="n">
        <v>3.88</v>
      </c>
      <c r="X389" s="30" t="inlineStr">
        <is>
          <t>Growing Industry</t>
        </is>
      </c>
      <c r="Y389" s="30">
        <f>IF(X389="Growing Industry",10,IF(X389="Cyclical in an Upturn",5,0))</f>
        <v/>
      </c>
      <c r="Z389" s="30" t="inlineStr">
        <is>
          <t>Too Many Players with High ROCE</t>
        </is>
      </c>
      <c r="AA389" s="30">
        <f>IF(Z389="Monopoly",10,IF(Z389="Oligopoly",5,IF(Z389="Duopoly that cooperate",10,IF(Z389="Duopoly that compete",5,IF(Z389="Too many players with High ROCE",5,0)))))</f>
        <v/>
      </c>
      <c r="AB389" s="30" t="inlineStr">
        <is>
          <t>No</t>
        </is>
      </c>
      <c r="AC389" s="30">
        <f>IF(AB389="No",5,0)</f>
        <v/>
      </c>
      <c r="AD389" s="30" t="inlineStr">
        <is>
          <t>Headwind</t>
        </is>
      </c>
      <c r="AE389" s="30">
        <f>IF(AD389="Tailwind",10,0)</f>
        <v/>
      </c>
      <c r="AF389" s="30" t="inlineStr">
        <is>
          <t>Structural (10 Years Consistency)</t>
        </is>
      </c>
      <c r="AG389" s="30">
        <f>IF(AF389="Structural (10 Years Consistency)",10,IF(AF389="Shallow Cyclical (2 to 3 years growth)",5,0))</f>
        <v/>
      </c>
      <c r="AH389" s="30" t="inlineStr">
        <is>
          <t>No</t>
        </is>
      </c>
      <c r="AI389" s="30">
        <f>IF(AH389="Yes due to Product Mix change or Operating Leverage",10,IF(AH389="Yes, these are peak margins",-5,IF(AH389="No",5,0)))</f>
        <v/>
      </c>
      <c r="AJ389" s="30" t="inlineStr">
        <is>
          <t>Stable</t>
        </is>
      </c>
      <c r="AK389" s="30">
        <f>IF(AJ389="Stable",10,0)</f>
        <v/>
      </c>
      <c r="AL389" s="30" t="inlineStr">
        <is>
          <t>Yes</t>
        </is>
      </c>
      <c r="AM389" s="30">
        <f>IF(AL389="Yes",10,0)</f>
        <v/>
      </c>
      <c r="AN389" s="30" t="inlineStr">
        <is>
          <t>B2B</t>
        </is>
      </c>
      <c r="AO389" s="30">
        <f>IF(AN389="B2C",10,IF(AN389="B2B",5,0))</f>
        <v/>
      </c>
      <c r="AP389" s="30" t="inlineStr">
        <is>
          <t>Yes</t>
        </is>
      </c>
      <c r="AQ389" s="30">
        <f>IF(AP389="Yes",10,0)</f>
        <v/>
      </c>
      <c r="AR389" s="30" t="inlineStr">
        <is>
          <t>Higher One Time, Lower Annuity</t>
        </is>
      </c>
      <c r="AS389" s="30">
        <f>IF(AR389="Fully Annuity",10,IF(AR389="Higher Annuity, Lower One Time",5,IF(AR389="Higher One Time, Lower Annuity",3,0)))</f>
        <v/>
      </c>
      <c r="AT389" s="30" t="inlineStr">
        <is>
          <t>Good</t>
        </is>
      </c>
      <c r="AU389" s="30">
        <f>IF(AT389="Good",10,0)</f>
        <v/>
      </c>
      <c r="AV389" s="30" t="inlineStr">
        <is>
          <t>Yes for more than 2 years</t>
        </is>
      </c>
      <c r="AW389" s="30">
        <f>IF(AV389="Yes for more than 2 years",10,IF(AV389="Yes only for next 1 to 2 years",5,0))</f>
        <v/>
      </c>
      <c r="AX389" s="30" t="inlineStr">
        <is>
          <t>0 to 20</t>
        </is>
      </c>
      <c r="AY389" s="30">
        <f>IF(AX389="Above 40",20,IF(AX389="20 to 40",10,IF(AX389="0 to 20",-5,0)))</f>
        <v/>
      </c>
      <c r="AZ389" s="30" t="inlineStr">
        <is>
          <t>Between 50 to 75</t>
        </is>
      </c>
      <c r="BA389" s="30">
        <f>IF(AZ389="Between 50 to 75",10,IF(AZ389="Above 75",0,0))</f>
        <v/>
      </c>
      <c r="BB389" s="30" t="inlineStr">
        <is>
          <t>Stage 1</t>
        </is>
      </c>
      <c r="BC389" s="30">
        <f>IF(BB389="Stage 2",20,IF(BB389="Stage 1",0,IF(BB389="Stage 3",5,IF(BB389="Stage 4",-5,0))))</f>
        <v/>
      </c>
      <c r="BD389" s="30" t="inlineStr">
        <is>
          <t>Positive Trend</t>
        </is>
      </c>
      <c r="BE389" s="30">
        <f>IF(BD389="Positive Trend",20,IF(BD389="Negative Trend",-10,0))</f>
        <v/>
      </c>
      <c r="BF389" s="30" t="inlineStr">
        <is>
          <t>Uptrend</t>
        </is>
      </c>
      <c r="BG389" s="30">
        <f>IF(BF389="Uptrend",10,IF(BF389="Sideways",5,0))</f>
        <v/>
      </c>
      <c r="BH389" s="30" t="inlineStr">
        <is>
          <t>Uptrend</t>
        </is>
      </c>
      <c r="BI389" s="30">
        <f>IF(BH389="Uptrend",10,IF(BH389="Sideways",5,0))</f>
        <v/>
      </c>
      <c r="BJ389" s="30" t="inlineStr">
        <is>
          <t>Close to 52 week high or retracement</t>
        </is>
      </c>
      <c r="BK389" s="30">
        <f>IF(BJ389="Overhead supply in last 2 years in last 2 years",-5,IF(BJ389="Close to 52 week high or retracement",5,IF(BJ389="Blue sky scenario",10,IF(BJ389="Long term Downtrend",-10,0))))</f>
        <v/>
      </c>
      <c r="BL389" s="30" t="inlineStr">
        <is>
          <t>Yes</t>
        </is>
      </c>
      <c r="BM389" s="30">
        <f>IF(BL389="Yes",10,0)</f>
        <v/>
      </c>
      <c r="BN389" s="30" t="inlineStr">
        <is>
          <t>Less than 12%</t>
        </is>
      </c>
      <c r="BO389" s="30">
        <f>IF(BN389="More than 20%",10,IF(BN389="Between 12 to 20%",5,IF(BN389="Less than 12%",0,0)))</f>
        <v/>
      </c>
      <c r="BP389" s="30" t="inlineStr">
        <is>
          <t>No</t>
        </is>
      </c>
      <c r="BQ389" s="30">
        <f>IF(BP389="No",10,0)</f>
        <v/>
      </c>
      <c r="BR389" s="30" t="inlineStr">
        <is>
          <t>Yes</t>
        </is>
      </c>
      <c r="BS389" s="30">
        <f>IF(BR389="NO",5,0)</f>
        <v/>
      </c>
      <c r="BT389" s="30" t="inlineStr">
        <is>
          <t>Above 2</t>
        </is>
      </c>
      <c r="BU389" s="30">
        <f>IF(BT389="Above 2",0,IF(BT389="Between 1.5 to 2",5,IF(BT389="Less than 1.5",10,0)))</f>
        <v/>
      </c>
      <c r="BV389" s="30" t="inlineStr">
        <is>
          <t>Negative</t>
        </is>
      </c>
      <c r="BW389" s="30">
        <f>IF(BV389="Above 70%",10,IF(BV389="Between 50% to 70%",5,IF(BV389="Less than 50%",0,IF(BV389="Negative",-10,IF(BV389="Less than 50% and Borrowings are increasing",-5,0)))))</f>
        <v/>
      </c>
      <c r="BX389" s="30" t="inlineStr">
        <is>
          <t>Less than 0.7</t>
        </is>
      </c>
      <c r="BY389" s="30">
        <f>IF(BX389="More than 1.2",-10,IF(BX389="Between 0.7 to 1.2",0,IF(BX389="Less than 0.7",10,0)))</f>
        <v/>
      </c>
      <c r="BZ389" s="30" t="inlineStr">
        <is>
          <t>No</t>
        </is>
      </c>
      <c r="CA389" s="30">
        <f>IF(BZ389="Yes",-10,0)</f>
        <v/>
      </c>
      <c r="CB389" s="30" t="inlineStr">
        <is>
          <t>Less than 15%</t>
        </is>
      </c>
      <c r="CC389" s="30">
        <f>IF(CB389="More than 15%",-10,IF(CB389="Less than 15%",10,0))</f>
        <v/>
      </c>
      <c r="CD389" s="30" t="inlineStr">
        <is>
          <t>No</t>
        </is>
      </c>
      <c r="CE389" s="30">
        <f>IF(CD389="Yes, more than 10%",-10,IF(CD389="No",10,0))</f>
        <v/>
      </c>
    </row>
    <row r="390">
      <c r="A390" s="30">
        <f>IF(B390=0,"",RANK(B390,$B$2:$B$400,0))</f>
        <v/>
      </c>
      <c r="B390" s="31">
        <f>SUM(N390,Y390,AA390,AC390,AE390,AG390,AI390,AK390,AM390,AO390,AQ390,AS390,AU390,AW390,AY390,BA390,BC390,BE390,BG390,BI390,BK390,BM390,BO390,BQ390,BS390,BU390,BW390,BY390,CA390,CC390,CE390)</f>
        <v/>
      </c>
      <c r="C390" s="30" t="inlineStr">
        <is>
          <t>TBOTEK</t>
        </is>
      </c>
      <c r="D390" s="30" t="inlineStr">
        <is>
          <t>TBO Tek Ltd</t>
        </is>
      </c>
      <c r="E390" s="30" t="inlineStr">
        <is>
          <t>i.t</t>
        </is>
      </c>
      <c r="F390" s="30" t="inlineStr">
        <is>
          <t>travel agencies</t>
        </is>
      </c>
      <c r="G390" s="30" t="inlineStr">
        <is>
          <t>midcap</t>
        </is>
      </c>
      <c r="H390" s="31" t="n">
        <v>15806.04</v>
      </c>
      <c r="I390" s="31" t="n">
        <v>1465.2</v>
      </c>
      <c r="J390" s="31" t="n">
        <v>0.66</v>
      </c>
      <c r="K390" s="31" t="n">
        <v>133054</v>
      </c>
      <c r="L390" s="30" t="n">
        <v>56</v>
      </c>
      <c r="M390" s="30" t="inlineStr">
        <is>
          <t>Outperforming</t>
        </is>
      </c>
      <c r="N390" s="31">
        <f>IF(M390="Underperforming",-5,IF(L390&gt;=95,15,IF(L390&gt;=90,10,IF(L390&gt;=80,5,0))))</f>
        <v/>
      </c>
      <c r="O390" s="31" t="n">
        <v>59.29</v>
      </c>
      <c r="P390" s="31" t="n">
        <v>17.69</v>
      </c>
      <c r="Q390" s="31" t="n">
        <v>1089.79</v>
      </c>
      <c r="R390" s="30" t="inlineStr">
        <is>
          <t>Volume Spike / Accumulation</t>
        </is>
      </c>
      <c r="S390" s="30" t="inlineStr">
        <is>
          <t>Nifty IT</t>
        </is>
      </c>
      <c r="T390" s="31" t="n">
        <v>-26.99</v>
      </c>
      <c r="U390" s="31" t="n">
        <v>16.22</v>
      </c>
      <c r="V390" s="31" t="n">
        <v>59.19</v>
      </c>
      <c r="W390" s="31" t="n">
        <v>14.15</v>
      </c>
      <c r="X390" s="30" t="inlineStr">
        <is>
          <t>Growing Industry</t>
        </is>
      </c>
      <c r="Y390" s="30">
        <f>IF(X390="Growing Industry",10,IF(X390="Cyclical in an Upturn",5,0))</f>
        <v/>
      </c>
      <c r="Z390" s="30" t="inlineStr">
        <is>
          <t>Too Many Players with High ROCE</t>
        </is>
      </c>
      <c r="AA390" s="30">
        <f>IF(Z390="Monopoly",10,IF(Z390="Oligopoly",5,IF(Z390="Duopoly that cooperate",10,IF(Z390="Duopoly that compete",5,IF(Z390="Too many players with High ROCE",5,0)))))</f>
        <v/>
      </c>
      <c r="AB390" s="30" t="inlineStr">
        <is>
          <t>No</t>
        </is>
      </c>
      <c r="AC390" s="30">
        <f>IF(AB390="No",5,0)</f>
        <v/>
      </c>
      <c r="AD390" s="30" t="inlineStr">
        <is>
          <t>Headwind</t>
        </is>
      </c>
      <c r="AE390" s="30">
        <f>IF(AD390="Tailwind",10,0)</f>
        <v/>
      </c>
      <c r="AF390" s="30" t="inlineStr">
        <is>
          <t>Structural (10 Years Consistency)</t>
        </is>
      </c>
      <c r="AG390" s="30">
        <f>IF(AF390="Structural (10 Years Consistency)",10,IF(AF390="Shallow Cyclical (2 to 3 years growth)",5,0))</f>
        <v/>
      </c>
      <c r="AH390" s="30" t="inlineStr">
        <is>
          <t>No</t>
        </is>
      </c>
      <c r="AI390" s="30">
        <f>IF(AH390="Yes due to Product Mix change or Operating Leverage",10,IF(AH390="Yes, these are peak margins",-5,IF(AH390="No",5,0)))</f>
        <v/>
      </c>
      <c r="AJ390" s="30" t="inlineStr">
        <is>
          <t>Stable</t>
        </is>
      </c>
      <c r="AK390" s="30">
        <f>IF(AJ390="Stable",10,0)</f>
        <v/>
      </c>
      <c r="AL390" s="30" t="inlineStr">
        <is>
          <t>Yes</t>
        </is>
      </c>
      <c r="AM390" s="30">
        <f>IF(AL390="Yes",10,0)</f>
        <v/>
      </c>
      <c r="AN390" s="30" t="inlineStr">
        <is>
          <t>B2B</t>
        </is>
      </c>
      <c r="AO390" s="30">
        <f>IF(AN390="B2C",10,IF(AN390="B2B",5,0))</f>
        <v/>
      </c>
      <c r="AP390" s="30" t="inlineStr">
        <is>
          <t>Yes</t>
        </is>
      </c>
      <c r="AQ390" s="30">
        <f>IF(AP390="Yes",10,0)</f>
        <v/>
      </c>
      <c r="AR390" s="30" t="inlineStr">
        <is>
          <t>Higher One Time, Lower Annuity</t>
        </is>
      </c>
      <c r="AS390" s="30">
        <f>IF(AR390="Fully Annuity",10,IF(AR390="Higher Annuity, Lower One Time",5,IF(AR390="Higher One Time, Lower Annuity",3,0)))</f>
        <v/>
      </c>
      <c r="AT390" s="30" t="inlineStr">
        <is>
          <t>Good</t>
        </is>
      </c>
      <c r="AU390" s="30">
        <f>IF(AT390="Good",10,0)</f>
        <v/>
      </c>
      <c r="AV390" s="30" t="inlineStr">
        <is>
          <t>Yes for more than 2 years</t>
        </is>
      </c>
      <c r="AW390" s="30">
        <f>IF(AV390="Yes for more than 2 years",10,IF(AV390="Yes only for next 1 to 2 years",5,0))</f>
        <v/>
      </c>
      <c r="AX390" s="30" t="inlineStr">
        <is>
          <t>0 to 20</t>
        </is>
      </c>
      <c r="AY390" s="30">
        <f>IF(AX390="Above 40",20,IF(AX390="20 to 40",10,IF(AX390="0 to 20",-5,0)))</f>
        <v/>
      </c>
      <c r="AZ390" s="30" t="inlineStr">
        <is>
          <t>Between 50 to 75</t>
        </is>
      </c>
      <c r="BA390" s="30">
        <f>IF(AZ390="Between 50 to 75",10,IF(AZ390="Above 75",0,0))</f>
        <v/>
      </c>
      <c r="BB390" s="30" t="inlineStr">
        <is>
          <t>Stage 1</t>
        </is>
      </c>
      <c r="BC390" s="30">
        <f>IF(BB390="Stage 2",20,IF(BB390="Stage 1",0,IF(BB390="Stage 3",5,IF(BB390="Stage 4",-5,0))))</f>
        <v/>
      </c>
      <c r="BD390" s="30" t="inlineStr">
        <is>
          <t>Positive Trend</t>
        </is>
      </c>
      <c r="BE390" s="30">
        <f>IF(BD390="Positive Trend",20,IF(BD390="Negative Trend",-10,0))</f>
        <v/>
      </c>
      <c r="BF390" s="30" t="inlineStr">
        <is>
          <t>Uptrend</t>
        </is>
      </c>
      <c r="BG390" s="30">
        <f>IF(BF390="Uptrend",10,IF(BF390="Sideways",5,0))</f>
        <v/>
      </c>
      <c r="BH390" s="30" t="inlineStr">
        <is>
          <t>Uptrend</t>
        </is>
      </c>
      <c r="BI390" s="30">
        <f>IF(BH390="Uptrend",10,IF(BH390="Sideways",5,0))</f>
        <v/>
      </c>
      <c r="BJ390" s="30" t="inlineStr">
        <is>
          <t>Close to 52 week high or retracement</t>
        </is>
      </c>
      <c r="BK390" s="30">
        <f>IF(BJ390="Overhead supply in last 2 years in last 2 years",-5,IF(BJ390="Close to 52 week high or retracement",5,IF(BJ390="Blue sky scenario",10,IF(BJ390="Long term Downtrend",-10,0))))</f>
        <v/>
      </c>
      <c r="BL390" s="30" t="inlineStr">
        <is>
          <t>Yes</t>
        </is>
      </c>
      <c r="BM390" s="30">
        <f>IF(BL390="Yes",10,0)</f>
        <v/>
      </c>
      <c r="BN390" s="30" t="inlineStr">
        <is>
          <t>Less than 12%</t>
        </is>
      </c>
      <c r="BO390" s="30">
        <f>IF(BN390="More than 20%",10,IF(BN390="Between 12 to 20%",5,IF(BN390="Less than 12%",0,0)))</f>
        <v/>
      </c>
      <c r="BP390" s="30" t="inlineStr">
        <is>
          <t>No</t>
        </is>
      </c>
      <c r="BQ390" s="30">
        <f>IF(BP390="No",10,0)</f>
        <v/>
      </c>
      <c r="BR390" s="30" t="inlineStr">
        <is>
          <t>Yes</t>
        </is>
      </c>
      <c r="BS390" s="30">
        <f>IF(BR390="NO",5,0)</f>
        <v/>
      </c>
      <c r="BT390" s="30" t="inlineStr">
        <is>
          <t>Above 2</t>
        </is>
      </c>
      <c r="BU390" s="30">
        <f>IF(BT390="Above 2",0,IF(BT390="Between 1.5 to 2",5,IF(BT390="Less than 1.5",10,0)))</f>
        <v/>
      </c>
      <c r="BV390" s="30" t="inlineStr">
        <is>
          <t>Negative</t>
        </is>
      </c>
      <c r="BW390" s="30">
        <f>IF(BV390="Above 70%",10,IF(BV390="Between 50% to 70%",5,IF(BV390="Less than 50%",0,IF(BV390="Negative",-10,IF(BV390="Less than 50% and Borrowings are increasing",-5,0)))))</f>
        <v/>
      </c>
      <c r="BX390" s="30" t="inlineStr">
        <is>
          <t>Less than 0.7</t>
        </is>
      </c>
      <c r="BY390" s="30">
        <f>IF(BX390="More than 1.2",-10,IF(BX390="Between 0.7 to 1.2",0,IF(BX390="Less than 0.7",10,0)))</f>
        <v/>
      </c>
      <c r="BZ390" s="30" t="inlineStr">
        <is>
          <t>No</t>
        </is>
      </c>
      <c r="CA390" s="30">
        <f>IF(BZ390="Yes",-10,0)</f>
        <v/>
      </c>
      <c r="CB390" s="30" t="inlineStr">
        <is>
          <t>Less than 15%</t>
        </is>
      </c>
      <c r="CC390" s="30">
        <f>IF(CB390="More than 15%",-10,IF(CB390="Less than 15%",10,0))</f>
        <v/>
      </c>
      <c r="CD390" s="30" t="inlineStr">
        <is>
          <t>No</t>
        </is>
      </c>
      <c r="CE390" s="30">
        <f>IF(CD390="Yes, more than 10%",-10,IF(CD390="No",10,0))</f>
        <v/>
      </c>
    </row>
    <row r="391">
      <c r="A391" s="30">
        <f>IF(B391=0,"",RANK(B391,$B$2:$B$400,0))</f>
        <v/>
      </c>
      <c r="B391" s="31">
        <f>SUM(N391,Y391,AA391,AC391,AE391,AG391,AI391,AK391,AM391,AO391,AQ391,AS391,AU391,AW391,AY391,BA391,BC391,BE391,BG391,BI391,BK391,BM391,BO391,BQ391,BS391,BU391,BW391,BY391,CA391,CC391,CE391)</f>
        <v/>
      </c>
      <c r="C391" s="32" t="inlineStr">
        <is>
          <t>GOODLUCK</t>
        </is>
      </c>
      <c r="D391" s="32" t="inlineStr">
        <is>
          <t>Goodluck India Limited</t>
        </is>
      </c>
      <c r="E391" s="30" t="inlineStr">
        <is>
          <t>metals &amp; mining</t>
        </is>
      </c>
      <c r="F391" s="30" t="inlineStr">
        <is>
          <t>steel - medium / small</t>
        </is>
      </c>
      <c r="G391" s="30" t="inlineStr">
        <is>
          <t>smallcap</t>
        </is>
      </c>
      <c r="H391" s="31" t="n">
        <v>4489.19</v>
      </c>
      <c r="I391" s="31" t="n">
        <v>1354.8</v>
      </c>
      <c r="J391" s="31" t="n">
        <v>0.31</v>
      </c>
      <c r="K391" s="31" t="n">
        <v>60579</v>
      </c>
      <c r="L391" s="30" t="n">
        <v>47</v>
      </c>
      <c r="M391" s="30" t="inlineStr">
        <is>
          <t>Underperforming</t>
        </is>
      </c>
      <c r="N391" s="31">
        <f>IF(M391="Underperforming",-5,IF(L391&gt;=95,15,IF(L391&gt;=90,10,IF(L391&gt;=80,5,0))))</f>
        <v/>
      </c>
      <c r="O391" s="31" t="n">
        <v>58.27</v>
      </c>
      <c r="P391" s="31" t="n">
        <v>24.34</v>
      </c>
      <c r="Q391" s="31" t="n">
        <v>1078.13</v>
      </c>
      <c r="R391" s="30" t="inlineStr">
        <is>
          <t>Earnings / Momentum Support</t>
        </is>
      </c>
      <c r="S391" s="30" t="inlineStr">
        <is>
          <t>Nifty Metal</t>
        </is>
      </c>
      <c r="T391" s="31" t="n">
        <v>42.37</v>
      </c>
      <c r="U391" s="31" t="n">
        <v>25.3</v>
      </c>
      <c r="V391" s="31" t="n">
        <v>-11.99</v>
      </c>
      <c r="W391" s="31" t="n">
        <v>12.08</v>
      </c>
      <c r="X391" s="30" t="inlineStr">
        <is>
          <t>Cyclical in an Upturn</t>
        </is>
      </c>
      <c r="Y391" s="30">
        <f>IF(X391="Growing Industry",10,IF(X391="Cyclical in an Upturn",5,0))</f>
        <v/>
      </c>
      <c r="Z391" s="30" t="inlineStr">
        <is>
          <t>Too Many Players with High ROCE</t>
        </is>
      </c>
      <c r="AA391" s="30">
        <f>IF(Z391="Monopoly",10,IF(Z391="Oligopoly",5,IF(Z391="Duopoly that cooperate",10,IF(Z391="Duopoly that compete",5,IF(Z391="Too many players with High ROCE",5,0)))))</f>
        <v/>
      </c>
      <c r="AB391" s="30" t="inlineStr">
        <is>
          <t>No</t>
        </is>
      </c>
      <c r="AC391" s="30">
        <f>IF(AB391="No",5,0)</f>
        <v/>
      </c>
      <c r="AD391" s="30" t="inlineStr">
        <is>
          <t>Tailwind</t>
        </is>
      </c>
      <c r="AE391" s="30">
        <f>IF(AD391="Tailwind",10,0)</f>
        <v/>
      </c>
      <c r="AF391" s="30" t="inlineStr">
        <is>
          <t>Cyclical</t>
        </is>
      </c>
      <c r="AG391" s="30">
        <f>IF(AF391="Structural (10 Years Consistency)",10,IF(AF391="Shallow Cyclical (2 to 3 years growth)",5,0))</f>
        <v/>
      </c>
      <c r="AH391" s="30" t="inlineStr">
        <is>
          <t>No</t>
        </is>
      </c>
      <c r="AI391" s="30">
        <f>IF(AH391="Yes due to Product Mix change or Operating Leverage",10,IF(AH391="Yes, these are peak margins",-5,IF(AH391="No",5,0)))</f>
        <v/>
      </c>
      <c r="AJ391" s="30" t="inlineStr">
        <is>
          <t>Volatile</t>
        </is>
      </c>
      <c r="AK391" s="30">
        <f>IF(AJ391="Stable",10,0)</f>
        <v/>
      </c>
      <c r="AL391" s="30" t="inlineStr">
        <is>
          <t>Yes</t>
        </is>
      </c>
      <c r="AM391" s="30">
        <f>IF(AL391="Yes",10,0)</f>
        <v/>
      </c>
      <c r="AN391" s="30" t="inlineStr">
        <is>
          <t>B2B</t>
        </is>
      </c>
      <c r="AO391" s="30">
        <f>IF(AN391="B2C",10,IF(AN391="B2B",5,0))</f>
        <v/>
      </c>
      <c r="AP391" s="30" t="inlineStr">
        <is>
          <t>No</t>
        </is>
      </c>
      <c r="AQ391" s="30">
        <f>IF(AP391="Yes",10,0)</f>
        <v/>
      </c>
      <c r="AR391" s="30" t="inlineStr">
        <is>
          <t>Higher One Time, Lower Annuity</t>
        </is>
      </c>
      <c r="AS391" s="30">
        <f>IF(AR391="Fully Annuity",10,IF(AR391="Higher Annuity, Lower One Time",5,IF(AR391="Higher One Time, Lower Annuity",3,0)))</f>
        <v/>
      </c>
      <c r="AT391" s="30" t="inlineStr">
        <is>
          <t>Good</t>
        </is>
      </c>
      <c r="AU391" s="30">
        <f>IF(AT391="Good",10,0)</f>
        <v/>
      </c>
      <c r="AV391" s="30" t="inlineStr">
        <is>
          <t>Yes for more than 2 years</t>
        </is>
      </c>
      <c r="AW391" s="30">
        <f>IF(AV391="Yes for more than 2 years",10,IF(AV391="Yes only for next 1 to 2 years",5,0))</f>
        <v/>
      </c>
      <c r="AX391" s="30" t="inlineStr">
        <is>
          <t>20 to 40</t>
        </is>
      </c>
      <c r="AY391" s="30">
        <f>IF(AX391="Above 40",20,IF(AX391="20 to 40",10,IF(AX391="0 to 20",-5,0)))</f>
        <v/>
      </c>
      <c r="AZ391" s="30" t="inlineStr">
        <is>
          <t>Between 50 to 75</t>
        </is>
      </c>
      <c r="BA391" s="30">
        <f>IF(AZ391="Between 50 to 75",10,IF(AZ391="Above 75",0,0))</f>
        <v/>
      </c>
      <c r="BB391" s="30" t="inlineStr">
        <is>
          <t>Stage 2</t>
        </is>
      </c>
      <c r="BC391" s="30">
        <f>IF(BB391="Stage 2",20,IF(BB391="Stage 1",0,IF(BB391="Stage 3",5,IF(BB391="Stage 4",-5,0))))</f>
        <v/>
      </c>
      <c r="BD391" s="30" t="inlineStr">
        <is>
          <t>Negative Trend</t>
        </is>
      </c>
      <c r="BE391" s="30">
        <f>IF(BD391="Positive Trend",20,IF(BD391="Negative Trend",-10,0))</f>
        <v/>
      </c>
      <c r="BF391" s="30" t="inlineStr">
        <is>
          <t>Uptrend</t>
        </is>
      </c>
      <c r="BG391" s="30">
        <f>IF(BF391="Uptrend",10,IF(BF391="Sideways",5,0))</f>
        <v/>
      </c>
      <c r="BH391" s="30" t="inlineStr">
        <is>
          <t>Uptrend</t>
        </is>
      </c>
      <c r="BI391" s="30">
        <f>IF(BH391="Uptrend",10,IF(BH391="Sideways",5,0))</f>
        <v/>
      </c>
      <c r="BJ391" s="30" t="inlineStr">
        <is>
          <t>Close to 52 week high or retracement</t>
        </is>
      </c>
      <c r="BK391" s="30">
        <f>IF(BJ391="Overhead supply in last 2 years in last 2 years",-5,IF(BJ391="Close to 52 week high or retracement",5,IF(BJ391="Blue sky scenario",10,IF(BJ391="Long term Downtrend",-10,0))))</f>
        <v/>
      </c>
      <c r="BL391" s="30" t="inlineStr">
        <is>
          <t>Yes</t>
        </is>
      </c>
      <c r="BM391" s="30">
        <f>IF(BL391="Yes",10,0)</f>
        <v/>
      </c>
      <c r="BN391" s="30" t="inlineStr">
        <is>
          <t>More than 20%</t>
        </is>
      </c>
      <c r="BO391" s="30">
        <f>IF(BN391="More than 20%",10,IF(BN391="Between 12 to 20%",5,IF(BN391="Less than 12%",0,0)))</f>
        <v/>
      </c>
      <c r="BP391" s="30" t="inlineStr">
        <is>
          <t>No</t>
        </is>
      </c>
      <c r="BQ391" s="30">
        <f>IF(BP391="No",10,0)</f>
        <v/>
      </c>
      <c r="BR391" s="30" t="inlineStr">
        <is>
          <t>No</t>
        </is>
      </c>
      <c r="BS391" s="30">
        <f>IF(BR391="NO",5,0)</f>
        <v/>
      </c>
      <c r="BT391" s="30" t="inlineStr">
        <is>
          <t>Less than 1.5</t>
        </is>
      </c>
      <c r="BU391" s="30">
        <f>IF(BT391="Above 2",0,IF(BT391="Between 1.5 to 2",5,IF(BT391="Less than 1.5",10,0)))</f>
        <v/>
      </c>
      <c r="BV391" s="30" t="inlineStr">
        <is>
          <t>Less than 50%</t>
        </is>
      </c>
      <c r="BW391" s="30">
        <f>IF(BV391="Above 70%",10,IF(BV391="Between 50% to 70%",5,IF(BV391="Less than 50%",0,IF(BV391="Negative",-10,IF(BV391="Less than 50% and Borrowings are increasing",-5,0)))))</f>
        <v/>
      </c>
      <c r="BX391" s="30" t="inlineStr">
        <is>
          <t>Between 0.7 to 1.2</t>
        </is>
      </c>
      <c r="BY391" s="30">
        <f>IF(BX391="More than 1.2",-10,IF(BX391="Between 0.7 to 1.2",0,IF(BX391="Less than 0.7",10,0)))</f>
        <v/>
      </c>
      <c r="BZ391" s="30" t="inlineStr">
        <is>
          <t>No</t>
        </is>
      </c>
      <c r="CA391" s="30">
        <f>IF(BZ391="Yes",-10,0)</f>
        <v/>
      </c>
      <c r="CB391" s="30" t="inlineStr">
        <is>
          <t>Less than 15%</t>
        </is>
      </c>
      <c r="CC391" s="30">
        <f>IF(CB391="More than 15%",-10,IF(CB391="Less than 15%",10,0))</f>
        <v/>
      </c>
      <c r="CD391" s="30" t="inlineStr">
        <is>
          <t>No</t>
        </is>
      </c>
      <c r="CE391" s="30">
        <f>IF(CD391="Yes, more than 10%",-10,IF(CD391="No",10,0))</f>
        <v/>
      </c>
    </row>
    <row r="392">
      <c r="A392" s="30">
        <f>IF(B392=0,"",RANK(B392,$B$2:$B$400,0))</f>
        <v/>
      </c>
      <c r="B392" s="31">
        <f>SUM(N392,Y392,AA392,AC392,AE392,AG392,AI392,AK392,AM392,AO392,AQ392,AS392,AU392,AW392,AY392,BA392,BC392,BE392,BG392,BI392,BK392,BM392,BO392,BQ392,BS392,BU392,BW392,BY392,CA392,CC392,CE392)</f>
        <v/>
      </c>
      <c r="C392" s="32" t="inlineStr">
        <is>
          <t>RAJRATAN</t>
        </is>
      </c>
      <c r="D392" s="32" t="inlineStr">
        <is>
          <t>Rajratan Global Wire Ltd</t>
        </is>
      </c>
      <c r="E392" s="30" t="inlineStr">
        <is>
          <t>metals &amp; mining</t>
        </is>
      </c>
      <c r="F392" s="30" t="inlineStr">
        <is>
          <t>steel - medium / small</t>
        </is>
      </c>
      <c r="G392" s="30" t="inlineStr">
        <is>
          <t>smallcap</t>
        </is>
      </c>
      <c r="H392" s="31" t="n">
        <v>2304.75</v>
      </c>
      <c r="I392" s="31" t="n">
        <v>454.6</v>
      </c>
      <c r="J392" s="31" t="n">
        <v>0.14</v>
      </c>
      <c r="K392" s="31" t="n">
        <v>34882</v>
      </c>
      <c r="L392" s="30" t="n">
        <v>34</v>
      </c>
      <c r="M392" s="30" t="inlineStr">
        <is>
          <t>Underperforming</t>
        </is>
      </c>
      <c r="N392" s="31">
        <f>IF(M392="Underperforming",-5,IF(L392&gt;=95,15,IF(L392&gt;=90,10,IF(L392&gt;=80,5,0))))</f>
        <v/>
      </c>
      <c r="O392" s="31" t="n">
        <v>56.59</v>
      </c>
      <c r="P392" s="31" t="n">
        <v>8.970000000000001</v>
      </c>
      <c r="Q392" s="31" t="n">
        <v>333.17</v>
      </c>
      <c r="R392" s="30" t="inlineStr">
        <is>
          <t>Earnings / Momentum Support</t>
        </is>
      </c>
      <c r="S392" s="30" t="inlineStr">
        <is>
          <t>Nifty Metal</t>
        </is>
      </c>
      <c r="T392" s="31" t="n">
        <v>42.37</v>
      </c>
      <c r="U392" s="31" t="n">
        <v>12.81</v>
      </c>
      <c r="V392" s="31" t="n">
        <v>-20.76</v>
      </c>
      <c r="W392" s="31" t="n">
        <v>8.75</v>
      </c>
      <c r="X392" s="30" t="inlineStr">
        <is>
          <t>Cyclical in an Upturn</t>
        </is>
      </c>
      <c r="Y392" s="30">
        <f>IF(X392="Growing Industry",10,IF(X392="Cyclical in an Upturn",5,0))</f>
        <v/>
      </c>
      <c r="Z392" s="30" t="inlineStr">
        <is>
          <t>Too Many Players with High ROCE</t>
        </is>
      </c>
      <c r="AA392" s="30">
        <f>IF(Z392="Monopoly",10,IF(Z392="Oligopoly",5,IF(Z392="Duopoly that cooperate",10,IF(Z392="Duopoly that compete",5,IF(Z392="Too many players with High ROCE",5,0)))))</f>
        <v/>
      </c>
      <c r="AB392" s="30" t="inlineStr">
        <is>
          <t>No</t>
        </is>
      </c>
      <c r="AC392" s="30">
        <f>IF(AB392="No",5,0)</f>
        <v/>
      </c>
      <c r="AD392" s="30" t="inlineStr">
        <is>
          <t>Headwind</t>
        </is>
      </c>
      <c r="AE392" s="30">
        <f>IF(AD392="Tailwind",10,0)</f>
        <v/>
      </c>
      <c r="AF392" s="30" t="inlineStr">
        <is>
          <t>Cyclical</t>
        </is>
      </c>
      <c r="AG392" s="30">
        <f>IF(AF392="Structural (10 Years Consistency)",10,IF(AF392="Shallow Cyclical (2 to 3 years growth)",5,0))</f>
        <v/>
      </c>
      <c r="AH392" s="30" t="inlineStr">
        <is>
          <t>No</t>
        </is>
      </c>
      <c r="AI392" s="30">
        <f>IF(AH392="Yes due to Product Mix change or Operating Leverage",10,IF(AH392="Yes, these are peak margins",-5,IF(AH392="No",5,0)))</f>
        <v/>
      </c>
      <c r="AJ392" s="30" t="inlineStr">
        <is>
          <t>Volatile</t>
        </is>
      </c>
      <c r="AK392" s="30">
        <f>IF(AJ392="Stable",10,0)</f>
        <v/>
      </c>
      <c r="AL392" s="30" t="inlineStr">
        <is>
          <t>Yes</t>
        </is>
      </c>
      <c r="AM392" s="30">
        <f>IF(AL392="Yes",10,0)</f>
        <v/>
      </c>
      <c r="AN392" s="30" t="inlineStr">
        <is>
          <t>B2B</t>
        </is>
      </c>
      <c r="AO392" s="30">
        <f>IF(AN392="B2C",10,IF(AN392="B2B",5,0))</f>
        <v/>
      </c>
      <c r="AP392" s="30" t="inlineStr">
        <is>
          <t>No</t>
        </is>
      </c>
      <c r="AQ392" s="30">
        <f>IF(AP392="Yes",10,0)</f>
        <v/>
      </c>
      <c r="AR392" s="30" t="inlineStr">
        <is>
          <t>Higher One Time, Lower Annuity</t>
        </is>
      </c>
      <c r="AS392" s="30">
        <f>IF(AR392="Fully Annuity",10,IF(AR392="Higher Annuity, Lower One Time",5,IF(AR392="Higher One Time, Lower Annuity",3,0)))</f>
        <v/>
      </c>
      <c r="AT392" s="30" t="inlineStr">
        <is>
          <t>Good</t>
        </is>
      </c>
      <c r="AU392" s="30">
        <f>IF(AT392="Good",10,0)</f>
        <v/>
      </c>
      <c r="AV392" s="30" t="inlineStr">
        <is>
          <t>Yes for more than 2 years</t>
        </is>
      </c>
      <c r="AW392" s="30">
        <f>IF(AV392="Yes for more than 2 years",10,IF(AV392="Yes only for next 1 to 2 years",5,0))</f>
        <v/>
      </c>
      <c r="AX392" s="30" t="inlineStr">
        <is>
          <t>0 to 20</t>
        </is>
      </c>
      <c r="AY392" s="30">
        <f>IF(AX392="Above 40",20,IF(AX392="20 to 40",10,IF(AX392="0 to 20",-5,0)))</f>
        <v/>
      </c>
      <c r="AZ392" s="30" t="inlineStr">
        <is>
          <t>Between 50 to 75</t>
        </is>
      </c>
      <c r="BA392" s="30">
        <f>IF(AZ392="Between 50 to 75",10,IF(AZ392="Above 75",0,0))</f>
        <v/>
      </c>
      <c r="BB392" s="30" t="inlineStr">
        <is>
          <t>Stage 2</t>
        </is>
      </c>
      <c r="BC392" s="30">
        <f>IF(BB392="Stage 2",20,IF(BB392="Stage 1",0,IF(BB392="Stage 3",5,IF(BB392="Stage 4",-5,0))))</f>
        <v/>
      </c>
      <c r="BD392" s="30" t="inlineStr">
        <is>
          <t>Positive Trend</t>
        </is>
      </c>
      <c r="BE392" s="30">
        <f>IF(BD392="Positive Trend",20,IF(BD392="Negative Trend",-10,0))</f>
        <v/>
      </c>
      <c r="BF392" s="30" t="inlineStr">
        <is>
          <t>Uptrend</t>
        </is>
      </c>
      <c r="BG392" s="30">
        <f>IF(BF392="Uptrend",10,IF(BF392="Sideways",5,0))</f>
        <v/>
      </c>
      <c r="BH392" s="30" t="inlineStr">
        <is>
          <t>Uptrend</t>
        </is>
      </c>
      <c r="BI392" s="30">
        <f>IF(BH392="Uptrend",10,IF(BH392="Sideways",5,0))</f>
        <v/>
      </c>
      <c r="BJ392" s="30" t="inlineStr">
        <is>
          <t>Close to 52 week high or retracement</t>
        </is>
      </c>
      <c r="BK392" s="30">
        <f>IF(BJ392="Overhead supply in last 2 years in last 2 years",-5,IF(BJ392="Close to 52 week high or retracement",5,IF(BJ392="Blue sky scenario",10,IF(BJ392="Long term Downtrend",-10,0))))</f>
        <v/>
      </c>
      <c r="BL392" s="30" t="inlineStr">
        <is>
          <t>Yes</t>
        </is>
      </c>
      <c r="BM392" s="30">
        <f>IF(BL392="Yes",10,0)</f>
        <v/>
      </c>
      <c r="BN392" s="30" t="inlineStr">
        <is>
          <t>Less than 12%</t>
        </is>
      </c>
      <c r="BO392" s="30">
        <f>IF(BN392="More than 20%",10,IF(BN392="Between 12 to 20%",5,IF(BN392="Less than 12%",0,0)))</f>
        <v/>
      </c>
      <c r="BP392" s="30" t="inlineStr">
        <is>
          <t>No</t>
        </is>
      </c>
      <c r="BQ392" s="30">
        <f>IF(BP392="No",10,0)</f>
        <v/>
      </c>
      <c r="BR392" s="30" t="inlineStr">
        <is>
          <t>No</t>
        </is>
      </c>
      <c r="BS392" s="30">
        <f>IF(BR392="NO",5,0)</f>
        <v/>
      </c>
      <c r="BT392" s="30" t="inlineStr">
        <is>
          <t>Above 2</t>
        </is>
      </c>
      <c r="BU392" s="30">
        <f>IF(BT392="Above 2",0,IF(BT392="Between 1.5 to 2",5,IF(BT392="Less than 1.5",10,0)))</f>
        <v/>
      </c>
      <c r="BV392" s="30" t="inlineStr">
        <is>
          <t>Between 50% to 70%</t>
        </is>
      </c>
      <c r="BW392" s="30">
        <f>IF(BV392="Above 70%",10,IF(BV392="Between 50% to 70%",5,IF(BV392="Less than 50%",0,IF(BV392="Negative",-10,IF(BV392="Less than 50% and Borrowings are increasing",-5,0)))))</f>
        <v/>
      </c>
      <c r="BX392" s="30" t="inlineStr">
        <is>
          <t>Less than 0.7</t>
        </is>
      </c>
      <c r="BY392" s="30">
        <f>IF(BX392="More than 1.2",-10,IF(BX392="Between 0.7 to 1.2",0,IF(BX392="Less than 0.7",10,0)))</f>
        <v/>
      </c>
      <c r="BZ392" s="30" t="inlineStr">
        <is>
          <t>No</t>
        </is>
      </c>
      <c r="CA392" s="30">
        <f>IF(BZ392="Yes",-10,0)</f>
        <v/>
      </c>
      <c r="CB392" s="30" t="inlineStr">
        <is>
          <t>Less than 15%</t>
        </is>
      </c>
      <c r="CC392" s="30">
        <f>IF(CB392="More than 15%",-10,IF(CB392="Less than 15%",10,0))</f>
        <v/>
      </c>
      <c r="CD392" s="30" t="inlineStr">
        <is>
          <t>No</t>
        </is>
      </c>
      <c r="CE392" s="30">
        <f>IF(CD392="Yes, more than 10%",-10,IF(CD392="No",10,0))</f>
        <v/>
      </c>
    </row>
    <row r="393">
      <c r="A393" s="30">
        <f>IF(B393=0,"",RANK(B393,$B$2:$B$400,0))</f>
        <v/>
      </c>
      <c r="B393" s="31">
        <f>SUM(N393,Y393,AA393,AC393,AE393,AG393,AI393,AK393,AM393,AO393,AQ393,AS393,AU393,AW393,AY393,BA393,BC393,BE393,BG393,BI393,BK393,BM393,BO393,BQ393,BS393,BU393,BW393,BY393,CA393,CC393,CE393)</f>
        <v/>
      </c>
      <c r="C393" s="32" t="inlineStr">
        <is>
          <t>GODREJIND</t>
        </is>
      </c>
      <c r="D393" s="32" t="inlineStr">
        <is>
          <t>Godrej Industries Limited</t>
        </is>
      </c>
      <c r="E393" s="30" t="inlineStr">
        <is>
          <t>chemicals</t>
        </is>
      </c>
      <c r="F393" s="30" t="inlineStr">
        <is>
          <t>chemicals</t>
        </is>
      </c>
      <c r="G393" s="30" t="inlineStr">
        <is>
          <t>largecap</t>
        </is>
      </c>
      <c r="H393" s="31" t="n">
        <v>35438.61</v>
      </c>
      <c r="I393" s="31" t="n">
        <v>1111.2</v>
      </c>
      <c r="J393" s="31" t="n">
        <v>5.61</v>
      </c>
      <c r="K393" s="31" t="n">
        <v>510545</v>
      </c>
      <c r="L393" s="30" t="n">
        <v>13</v>
      </c>
      <c r="M393" s="30" t="inlineStr">
        <is>
          <t>Underperforming</t>
        </is>
      </c>
      <c r="N393" s="31">
        <f>IF(M393="Underperforming",-5,IF(L393&gt;=95,15,IF(L393&gt;=90,10,IF(L393&gt;=80,5,0))))</f>
        <v/>
      </c>
      <c r="O393" s="31" t="n">
        <v>56.42</v>
      </c>
      <c r="P393" s="31" t="n">
        <v>29.7</v>
      </c>
      <c r="Q393" s="31" t="n">
        <v>922.4</v>
      </c>
      <c r="R393" s="30" t="inlineStr">
        <is>
          <t>Earnings / Momentum Support</t>
        </is>
      </c>
      <c r="S393" s="30" t="inlineStr">
        <is>
          <t>Nifty 50</t>
        </is>
      </c>
      <c r="T393" s="31" t="n">
        <v>-3.76</v>
      </c>
      <c r="U393" s="31" t="n">
        <v>-17.6</v>
      </c>
      <c r="V393" s="31" t="n">
        <v>-14.38</v>
      </c>
      <c r="W393" s="31" t="n">
        <v>4.51</v>
      </c>
      <c r="X393" s="30" t="inlineStr">
        <is>
          <t>Growing Industry</t>
        </is>
      </c>
      <c r="Y393" s="30">
        <f>IF(X393="Growing Industry",10,IF(X393="Cyclical in an Upturn",5,0))</f>
        <v/>
      </c>
      <c r="Z393" s="30" t="inlineStr">
        <is>
          <t>Too Many Players with High ROCE</t>
        </is>
      </c>
      <c r="AA393" s="30">
        <f>IF(Z393="Monopoly",10,IF(Z393="Oligopoly",5,IF(Z393="Duopoly that cooperate",10,IF(Z393="Duopoly that compete",5,IF(Z393="Too many players with High ROCE",5,0)))))</f>
        <v/>
      </c>
      <c r="AB393" s="30" t="inlineStr">
        <is>
          <t>No</t>
        </is>
      </c>
      <c r="AC393" s="30">
        <f>IF(AB393="No",5,0)</f>
        <v/>
      </c>
      <c r="AD393" s="30" t="inlineStr">
        <is>
          <t>Tailwind</t>
        </is>
      </c>
      <c r="AE393" s="30">
        <f>IF(AD393="Tailwind",10,0)</f>
        <v/>
      </c>
      <c r="AF393" s="30" t="inlineStr">
        <is>
          <t>Structural (10 Years Consistency)</t>
        </is>
      </c>
      <c r="AG393" s="30">
        <f>IF(AF393="Structural (10 Years Consistency)",10,IF(AF393="Shallow Cyclical (2 to 3 years growth)",5,0))</f>
        <v/>
      </c>
      <c r="AH393" s="30" t="inlineStr">
        <is>
          <t>No</t>
        </is>
      </c>
      <c r="AI393" s="30">
        <f>IF(AH393="Yes due to Product Mix change or Operating Leverage",10,IF(AH393="Yes, these are peak margins",-5,IF(AH393="No",5,0)))</f>
        <v/>
      </c>
      <c r="AJ393" s="30" t="inlineStr">
        <is>
          <t>Stable</t>
        </is>
      </c>
      <c r="AK393" s="30">
        <f>IF(AJ393="Stable",10,0)</f>
        <v/>
      </c>
      <c r="AL393" s="30" t="inlineStr">
        <is>
          <t>Yes</t>
        </is>
      </c>
      <c r="AM393" s="30">
        <f>IF(AL393="Yes",10,0)</f>
        <v/>
      </c>
      <c r="AN393" s="30" t="inlineStr">
        <is>
          <t>B2B</t>
        </is>
      </c>
      <c r="AO393" s="30">
        <f>IF(AN393="B2C",10,IF(AN393="B2B",5,0))</f>
        <v/>
      </c>
      <c r="AP393" s="30" t="inlineStr">
        <is>
          <t>No</t>
        </is>
      </c>
      <c r="AQ393" s="30">
        <f>IF(AP393="Yes",10,0)</f>
        <v/>
      </c>
      <c r="AR393" s="30" t="inlineStr">
        <is>
          <t>Higher One Time, Lower Annuity</t>
        </is>
      </c>
      <c r="AS393" s="30">
        <f>IF(AR393="Fully Annuity",10,IF(AR393="Higher Annuity, Lower One Time",5,IF(AR393="Higher One Time, Lower Annuity",3,0)))</f>
        <v/>
      </c>
      <c r="AT393" s="30" t="inlineStr">
        <is>
          <t>Good</t>
        </is>
      </c>
      <c r="AU393" s="30">
        <f>IF(AT393="Good",10,0)</f>
        <v/>
      </c>
      <c r="AV393" s="30" t="inlineStr">
        <is>
          <t>Yes for more than 2 years</t>
        </is>
      </c>
      <c r="AW393" s="30">
        <f>IF(AV393="Yes for more than 2 years",10,IF(AV393="Yes only for next 1 to 2 years",5,0))</f>
        <v/>
      </c>
      <c r="AX393" s="30" t="inlineStr">
        <is>
          <t>20 to 40</t>
        </is>
      </c>
      <c r="AY393" s="30">
        <f>IF(AX393="Above 40",20,IF(AX393="20 to 40",10,IF(AX393="0 to 20",-5,0)))</f>
        <v/>
      </c>
      <c r="AZ393" s="30" t="inlineStr">
        <is>
          <t>Between 50 to 75</t>
        </is>
      </c>
      <c r="BA393" s="30">
        <f>IF(AZ393="Between 50 to 75",10,IF(AZ393="Above 75",0,0))</f>
        <v/>
      </c>
      <c r="BB393" s="30" t="inlineStr">
        <is>
          <t>Stage 2</t>
        </is>
      </c>
      <c r="BC393" s="30">
        <f>IF(BB393="Stage 2",20,IF(BB393="Stage 1",0,IF(BB393="Stage 3",5,IF(BB393="Stage 4",-5,0))))</f>
        <v/>
      </c>
      <c r="BD393" s="30" t="inlineStr">
        <is>
          <t>Negative Trend</t>
        </is>
      </c>
      <c r="BE393" s="30">
        <f>IF(BD393="Positive Trend",20,IF(BD393="Negative Trend",-10,0))</f>
        <v/>
      </c>
      <c r="BF393" s="30" t="inlineStr">
        <is>
          <t>Uptrend</t>
        </is>
      </c>
      <c r="BG393" s="30">
        <f>IF(BF393="Uptrend",10,IF(BF393="Sideways",5,0))</f>
        <v/>
      </c>
      <c r="BH393" s="30" t="inlineStr">
        <is>
          <t>Uptrend</t>
        </is>
      </c>
      <c r="BI393" s="30">
        <f>IF(BH393="Uptrend",10,IF(BH393="Sideways",5,0))</f>
        <v/>
      </c>
      <c r="BJ393" s="30" t="inlineStr">
        <is>
          <t>Close to 52 week high or retracement</t>
        </is>
      </c>
      <c r="BK393" s="30">
        <f>IF(BJ393="Overhead supply in last 2 years in last 2 years",-5,IF(BJ393="Close to 52 week high or retracement",5,IF(BJ393="Blue sky scenario",10,IF(BJ393="Long term Downtrend",-10,0))))</f>
        <v/>
      </c>
      <c r="BL393" s="30" t="inlineStr">
        <is>
          <t>Yes</t>
        </is>
      </c>
      <c r="BM393" s="30">
        <f>IF(BL393="Yes",10,0)</f>
        <v/>
      </c>
      <c r="BN393" s="30" t="inlineStr">
        <is>
          <t>More than 20%</t>
        </is>
      </c>
      <c r="BO393" s="30">
        <f>IF(BN393="More than 20%",10,IF(BN393="Between 12 to 20%",5,IF(BN393="Less than 12%",0,0)))</f>
        <v/>
      </c>
      <c r="BP393" s="30" t="inlineStr">
        <is>
          <t>No</t>
        </is>
      </c>
      <c r="BQ393" s="30">
        <f>IF(BP393="No",10,0)</f>
        <v/>
      </c>
      <c r="BR393" s="30" t="inlineStr">
        <is>
          <t>No</t>
        </is>
      </c>
      <c r="BS393" s="30">
        <f>IF(BR393="NO",5,0)</f>
        <v/>
      </c>
      <c r="BT393" s="30" t="inlineStr">
        <is>
          <t>Above 2</t>
        </is>
      </c>
      <c r="BU393" s="30">
        <f>IF(BT393="Above 2",0,IF(BT393="Between 1.5 to 2",5,IF(BT393="Less than 1.5",10,0)))</f>
        <v/>
      </c>
      <c r="BV393" s="30" t="inlineStr">
        <is>
          <t>Negative</t>
        </is>
      </c>
      <c r="BW393" s="30">
        <f>IF(BV393="Above 70%",10,IF(BV393="Between 50% to 70%",5,IF(BV393="Less than 50%",0,IF(BV393="Negative",-10,IF(BV393="Less than 50% and Borrowings are increasing",-5,0)))))</f>
        <v/>
      </c>
      <c r="BX393" s="30" t="inlineStr">
        <is>
          <t>More than 1.2</t>
        </is>
      </c>
      <c r="BY393" s="30">
        <f>IF(BX393="More than 1.2",-10,IF(BX393="Between 0.7 to 1.2",0,IF(BX393="Less than 0.7",10,0)))</f>
        <v/>
      </c>
      <c r="BZ393" s="30" t="inlineStr">
        <is>
          <t>No</t>
        </is>
      </c>
      <c r="CA393" s="30">
        <f>IF(BZ393="Yes",-10,0)</f>
        <v/>
      </c>
      <c r="CB393" s="30" t="inlineStr">
        <is>
          <t>Less than 15%</t>
        </is>
      </c>
      <c r="CC393" s="30">
        <f>IF(CB393="More than 15%",-10,IF(CB393="Less than 15%",10,0))</f>
        <v/>
      </c>
      <c r="CD393" s="30" t="inlineStr">
        <is>
          <t>No</t>
        </is>
      </c>
      <c r="CE393" s="30">
        <f>IF(CD393="Yes, more than 10%",-10,IF(CD393="No",10,0))</f>
        <v/>
      </c>
    </row>
    <row r="394">
      <c r="A394" s="30">
        <f>IF(B394=0,"",RANK(B394,$B$2:$B$400,0))</f>
        <v/>
      </c>
      <c r="B394" s="31">
        <f>SUM(N394,Y394,AA394,AC394,AE394,AG394,AI394,AK394,AM394,AO394,AQ394,AS394,AU394,AW394,AY394,BA394,BC394,BE394,BG394,BI394,BK394,BM394,BO394,BQ394,BS394,BU394,BW394,BY394,CA394,CC394,CE394)</f>
        <v/>
      </c>
      <c r="C394" s="30" t="inlineStr">
        <is>
          <t>BALAMINES</t>
        </is>
      </c>
      <c r="D394" s="30" t="inlineStr">
        <is>
          <t>Balaji Amines Limited</t>
        </is>
      </c>
      <c r="E394" s="30" t="inlineStr">
        <is>
          <t>chemicals</t>
        </is>
      </c>
      <c r="F394" s="30" t="inlineStr">
        <is>
          <t>chemicals</t>
        </is>
      </c>
      <c r="G394" s="30" t="inlineStr">
        <is>
          <t>midcap</t>
        </is>
      </c>
      <c r="H394" s="31" t="n">
        <v>6973.99</v>
      </c>
      <c r="I394" s="31" t="n">
        <v>2209.5</v>
      </c>
      <c r="J394" s="31" t="n">
        <v>2.65</v>
      </c>
      <c r="K394" s="31" t="n">
        <v>439344</v>
      </c>
      <c r="L394" s="30" t="n">
        <v>92</v>
      </c>
      <c r="M394" s="30" t="inlineStr">
        <is>
          <t>Outperforming</t>
        </is>
      </c>
      <c r="N394" s="31">
        <f>IF(M394="Underperforming",-5,IF(L394&gt;=95,15,IF(L394&gt;=90,10,IF(L394&gt;=80,5,0))))</f>
        <v/>
      </c>
      <c r="O394" s="31" t="n">
        <v>83.63</v>
      </c>
      <c r="P394" s="31" t="n">
        <v>42.48</v>
      </c>
      <c r="Q394" s="31" t="n">
        <v>1657.32</v>
      </c>
      <c r="R394" s="30" t="inlineStr">
        <is>
          <t>Near 52W High Breakout</t>
        </is>
      </c>
      <c r="S394" s="30" t="inlineStr">
        <is>
          <t>Nifty 50</t>
        </is>
      </c>
      <c r="T394" s="31" t="n">
        <v>-3.76</v>
      </c>
      <c r="U394" s="31" t="n">
        <v>60.34</v>
      </c>
      <c r="V394" s="31" t="n">
        <v>66.61</v>
      </c>
      <c r="W394" s="31" t="n">
        <v>38.52</v>
      </c>
      <c r="X394" s="30" t="inlineStr">
        <is>
          <t>Growing Industry</t>
        </is>
      </c>
      <c r="Y394" s="30">
        <f>IF(X394="Growing Industry",10,IF(X394="Cyclical in an Upturn",5,0))</f>
        <v/>
      </c>
      <c r="Z394" s="30" t="inlineStr">
        <is>
          <t>Duopoly That Cooperate</t>
        </is>
      </c>
      <c r="AA394" s="30">
        <f>IF(Z394="Monopoly",10,IF(Z394="Oligopoly",5,IF(Z394="Duopoly that cooperate",10,IF(Z394="Duopoly that compete",5,IF(Z394="Too many players with High ROCE",5,0)))))</f>
        <v/>
      </c>
      <c r="AB394" s="30" t="inlineStr">
        <is>
          <t>No</t>
        </is>
      </c>
      <c r="AC394" s="30">
        <f>IF(AB394="No",5,0)</f>
        <v/>
      </c>
      <c r="AD394" s="30" t="inlineStr">
        <is>
          <t>Headwind</t>
        </is>
      </c>
      <c r="AE394" s="30">
        <f>IF(AD394="Tailwind",10,0)</f>
        <v/>
      </c>
      <c r="AF394" s="30" t="inlineStr">
        <is>
          <t>Shallow Cyclical (2 to 3 Years Growth)</t>
        </is>
      </c>
      <c r="AG394" s="30">
        <f>IF(AF394="Structural (10 Years Consistency)",10,IF(AF394="Shallow Cyclical (2 to 3 years growth)",5,0))</f>
        <v/>
      </c>
      <c r="AH394" s="30" t="inlineStr">
        <is>
          <t>No</t>
        </is>
      </c>
      <c r="AI394" s="30">
        <f>IF(AH394="Yes due to Product Mix change or Operating Leverage",10,IF(AH394="Yes, these are peak margins",-5,IF(AH394="No",5,0)))</f>
        <v/>
      </c>
      <c r="AJ394" s="30" t="inlineStr">
        <is>
          <t>Stable</t>
        </is>
      </c>
      <c r="AK394" s="30">
        <f>IF(AJ394="Stable",10,0)</f>
        <v/>
      </c>
      <c r="AL394" s="30" t="inlineStr">
        <is>
          <t>Yes</t>
        </is>
      </c>
      <c r="AM394" s="30">
        <f>IF(AL394="Yes",10,0)</f>
        <v/>
      </c>
      <c r="AN394" s="30" t="inlineStr">
        <is>
          <t>B2B</t>
        </is>
      </c>
      <c r="AO394" s="30">
        <f>IF(AN394="B2C",10,IF(AN394="B2B",5,0))</f>
        <v/>
      </c>
      <c r="AP394" s="30" t="inlineStr">
        <is>
          <t>Yes</t>
        </is>
      </c>
      <c r="AQ394" s="30">
        <f>IF(AP394="Yes",10,0)</f>
        <v/>
      </c>
      <c r="AR394" s="30" t="inlineStr">
        <is>
          <t>Higher One Time, Lower Annuity</t>
        </is>
      </c>
      <c r="AS394" s="30">
        <f>IF(AR394="Fully Annuity",10,IF(AR394="Higher Annuity, Lower One Time",5,IF(AR394="Higher One Time, Lower Annuity",3,0)))</f>
        <v/>
      </c>
      <c r="AT394" s="30" t="inlineStr">
        <is>
          <t>Good</t>
        </is>
      </c>
      <c r="AU394" s="30">
        <f>IF(AT394="Good",10,0)</f>
        <v/>
      </c>
      <c r="AV394" s="30" t="inlineStr">
        <is>
          <t>Yes for more than 2 years</t>
        </is>
      </c>
      <c r="AW394" s="30">
        <f>IF(AV394="Yes for more than 2 years",10,IF(AV394="Yes only for next 1 to 2 years",5,0))</f>
        <v/>
      </c>
      <c r="AX394" s="30" t="inlineStr">
        <is>
          <t>20 to 40</t>
        </is>
      </c>
      <c r="AY394" s="30">
        <f>IF(AX394="Above 40",20,IF(AX394="20 to 40",10,IF(AX394="0 to 20",-5,0)))</f>
        <v/>
      </c>
      <c r="AZ394" s="30" t="inlineStr">
        <is>
          <t>Between 50 to 75</t>
        </is>
      </c>
      <c r="BA394" s="30">
        <f>IF(AZ394="Between 50 to 75",10,IF(AZ394="Above 75",0,0))</f>
        <v/>
      </c>
      <c r="BB394" s="30" t="inlineStr">
        <is>
          <t>Stage 4</t>
        </is>
      </c>
      <c r="BC394" s="30">
        <f>IF(BB394="Stage 2",20,IF(BB394="Stage 1",0,IF(BB394="Stage 3",5,IF(BB394="Stage 4",-5,0))))</f>
        <v/>
      </c>
      <c r="BD394" s="30" t="inlineStr">
        <is>
          <t>Negative Trend</t>
        </is>
      </c>
      <c r="BE394" s="30">
        <f>IF(BD394="Positive Trend",20,IF(BD394="Negative Trend",-10,0))</f>
        <v/>
      </c>
      <c r="BF394" s="30" t="inlineStr">
        <is>
          <t>Downtrend</t>
        </is>
      </c>
      <c r="BG394" s="30">
        <f>IF(BF394="Uptrend",10,IF(BF394="Sideways",5,0))</f>
        <v/>
      </c>
      <c r="BH394" s="30" t="inlineStr">
        <is>
          <t>Uptrend</t>
        </is>
      </c>
      <c r="BI394" s="30">
        <f>IF(BH394="Uptrend",10,IF(BH394="Sideways",5,0))</f>
        <v/>
      </c>
      <c r="BJ394" s="30" t="inlineStr">
        <is>
          <t>Overhead supply in last 2 years in last 2 years</t>
        </is>
      </c>
      <c r="BK394" s="30">
        <f>IF(BJ394="Overhead supply in last 2 years in last 2 years",-5,IF(BJ394="Close to 52 week high or retracement",5,IF(BJ394="Blue sky scenario",10,IF(BJ394="Long term Downtrend",-10,0))))</f>
        <v/>
      </c>
      <c r="BL394" s="30" t="inlineStr">
        <is>
          <t>No</t>
        </is>
      </c>
      <c r="BM394" s="30">
        <f>IF(BL394="Yes",10,0)</f>
        <v/>
      </c>
      <c r="BN394" s="30" t="inlineStr">
        <is>
          <t>More than 20%</t>
        </is>
      </c>
      <c r="BO394" s="30">
        <f>IF(BN394="More than 20%",10,IF(BN394="Between 12 to 20%",5,IF(BN394="Less than 12%",0,0)))</f>
        <v/>
      </c>
      <c r="BP394" s="30" t="inlineStr">
        <is>
          <t>No</t>
        </is>
      </c>
      <c r="BQ394" s="30">
        <f>IF(BP394="No",10,0)</f>
        <v/>
      </c>
      <c r="BR394" s="30" t="inlineStr">
        <is>
          <t>Yes</t>
        </is>
      </c>
      <c r="BS394" s="30">
        <f>IF(BR394="NO",5,0)</f>
        <v/>
      </c>
      <c r="BT394" s="30" t="inlineStr">
        <is>
          <t>Less than 1.5</t>
        </is>
      </c>
      <c r="BU394" s="30">
        <f>IF(BT394="Above 2",0,IF(BT394="Between 1.5 to 2",5,IF(BT394="Less than 1.5",10,0)))</f>
        <v/>
      </c>
      <c r="BV394" s="30" t="inlineStr">
        <is>
          <t>Between 50% to 70%</t>
        </is>
      </c>
      <c r="BW394" s="30">
        <f>IF(BV394="Above 70%",10,IF(BV394="Between 50% to 70%",5,IF(BV394="Less than 50%",0,IF(BV394="Negative",-10,IF(BV394="Less than 50% and Borrowings are increasing",-5,0)))))</f>
        <v/>
      </c>
      <c r="BX394" s="30" t="inlineStr">
        <is>
          <t>Less than 0.7</t>
        </is>
      </c>
      <c r="BY394" s="30">
        <f>IF(BX394="More than 1.2",-10,IF(BX394="Between 0.7 to 1.2",0,IF(BX394="Less than 0.7",10,0)))</f>
        <v/>
      </c>
      <c r="BZ394" s="30" t="inlineStr">
        <is>
          <t>No</t>
        </is>
      </c>
      <c r="CA394" s="30">
        <f>IF(BZ394="Yes",-10,0)</f>
        <v/>
      </c>
      <c r="CB394" s="30" t="inlineStr">
        <is>
          <t>Less than 15%</t>
        </is>
      </c>
      <c r="CC394" s="30">
        <f>IF(CB394="More than 15%",-10,IF(CB394="Less than 15%",10,0))</f>
        <v/>
      </c>
      <c r="CD394" s="30" t="inlineStr">
        <is>
          <t>No</t>
        </is>
      </c>
      <c r="CE394" s="30">
        <f>IF(CD394="Yes, more than 10%",-10,IF(CD394="No",10,0))</f>
        <v/>
      </c>
    </row>
    <row r="395">
      <c r="A395" s="30">
        <f>IF(B395=0,"",RANK(B395,$B$2:$B$400,0))</f>
        <v/>
      </c>
      <c r="B395" s="31">
        <f>SUM(N395,Y395,AA395,AC395,AE395,AG395,AI395,AK395,AM395,AO395,AQ395,AS395,AU395,AW395,AY395,BA395,BC395,BE395,BG395,BI395,BK395,BM395,BO395,BQ395,BS395,BU395,BW395,BY395,CA395,CC395,CE395)</f>
        <v/>
      </c>
      <c r="C395" s="30" t="inlineStr">
        <is>
          <t>ARVSMART</t>
        </is>
      </c>
      <c r="D395" s="30" t="inlineStr">
        <is>
          <t>Arvind Smartspaces Limited</t>
        </is>
      </c>
      <c r="E395" s="30" t="inlineStr">
        <is>
          <t>realty</t>
        </is>
      </c>
      <c r="F395" s="30" t="inlineStr">
        <is>
          <t>construction</t>
        </is>
      </c>
      <c r="G395" s="30" t="inlineStr">
        <is>
          <t>smallcap</t>
        </is>
      </c>
      <c r="H395" s="31" t="n">
        <v>2827.47</v>
      </c>
      <c r="I395" s="31" t="n">
        <v>609.65</v>
      </c>
      <c r="J395" s="31" t="n">
        <v>-1.1</v>
      </c>
      <c r="K395" s="31" t="n">
        <v>64823</v>
      </c>
      <c r="L395" s="30" t="n">
        <v>3</v>
      </c>
      <c r="M395" s="30" t="inlineStr">
        <is>
          <t>Outperforming</t>
        </is>
      </c>
      <c r="N395" s="31">
        <f>IF(M395="Underperforming",-5,IF(L395&gt;=95,15,IF(L395&gt;=90,10,IF(L395&gt;=80,5,0))))</f>
        <v/>
      </c>
      <c r="O395" s="31" t="n">
        <v>53.68</v>
      </c>
      <c r="P395" s="31" t="n">
        <v>16.98</v>
      </c>
      <c r="Q395" s="31" t="n">
        <v>486.87</v>
      </c>
      <c r="R395" s="30" t="inlineStr">
        <is>
          <t>Volume Spike / Accumulation</t>
        </is>
      </c>
      <c r="S395" s="30" t="inlineStr">
        <is>
          <t>Nifty Realty</t>
        </is>
      </c>
      <c r="T395" s="31" t="n">
        <v>-19.08</v>
      </c>
      <c r="U395" s="31" t="n">
        <v>-7.41</v>
      </c>
      <c r="V395" s="31" t="n">
        <v>14.42</v>
      </c>
      <c r="W395" s="31" t="n">
        <v>1.66</v>
      </c>
      <c r="X395" s="30" t="inlineStr">
        <is>
          <t>Growing Industry</t>
        </is>
      </c>
      <c r="Y395" s="30">
        <f>IF(X395="Growing Industry",10,IF(X395="Cyclical in an Upturn",5,0))</f>
        <v/>
      </c>
      <c r="Z395" s="30" t="inlineStr">
        <is>
          <t>Too Many Players with High ROCE</t>
        </is>
      </c>
      <c r="AA395" s="30">
        <f>IF(Z395="Monopoly",10,IF(Z395="Oligopoly",5,IF(Z395="Duopoly that cooperate",10,IF(Z395="Duopoly that compete",5,IF(Z395="Too many players with High ROCE",5,0)))))</f>
        <v/>
      </c>
      <c r="AB395" s="30" t="inlineStr">
        <is>
          <t>No</t>
        </is>
      </c>
      <c r="AC395" s="30">
        <f>IF(AB395="No",5,0)</f>
        <v/>
      </c>
      <c r="AD395" s="30" t="inlineStr">
        <is>
          <t>Tailwind</t>
        </is>
      </c>
      <c r="AE395" s="30">
        <f>IF(AD395="Tailwind",10,0)</f>
        <v/>
      </c>
      <c r="AF395" s="30" t="inlineStr">
        <is>
          <t>Structural (10 Years Consistency)</t>
        </is>
      </c>
      <c r="AG395" s="30">
        <f>IF(AF395="Structural (10 Years Consistency)",10,IF(AF395="Shallow Cyclical (2 to 3 years growth)",5,0))</f>
        <v/>
      </c>
      <c r="AH395" s="30" t="inlineStr">
        <is>
          <t>No</t>
        </is>
      </c>
      <c r="AI395" s="30">
        <f>IF(AH395="Yes due to Product Mix change or Operating Leverage",10,IF(AH395="Yes, these are peak margins",-5,IF(AH395="No",5,0)))</f>
        <v/>
      </c>
      <c r="AJ395" s="30" t="inlineStr">
        <is>
          <t>Stable</t>
        </is>
      </c>
      <c r="AK395" s="30">
        <f>IF(AJ395="Stable",10,0)</f>
        <v/>
      </c>
      <c r="AL395" s="30" t="inlineStr">
        <is>
          <t>Yes</t>
        </is>
      </c>
      <c r="AM395" s="30">
        <f>IF(AL395="Yes",10,0)</f>
        <v/>
      </c>
      <c r="AN395" s="30" t="inlineStr">
        <is>
          <t>B2B</t>
        </is>
      </c>
      <c r="AO395" s="30">
        <f>IF(AN395="B2C",10,IF(AN395="B2B",5,0))</f>
        <v/>
      </c>
      <c r="AP395" s="30" t="inlineStr">
        <is>
          <t>Yes</t>
        </is>
      </c>
      <c r="AQ395" s="30">
        <f>IF(AP395="Yes",10,0)</f>
        <v/>
      </c>
      <c r="AR395" s="30" t="inlineStr">
        <is>
          <t>Higher One Time, Lower Annuity</t>
        </is>
      </c>
      <c r="AS395" s="30">
        <f>IF(AR395="Fully Annuity",10,IF(AR395="Higher Annuity, Lower One Time",5,IF(AR395="Higher One Time, Lower Annuity",3,0)))</f>
        <v/>
      </c>
      <c r="AT395" s="30" t="inlineStr">
        <is>
          <t>Good</t>
        </is>
      </c>
      <c r="AU395" s="30">
        <f>IF(AT395="Good",10,0)</f>
        <v/>
      </c>
      <c r="AV395" s="30" t="inlineStr">
        <is>
          <t>Yes for more than 2 years</t>
        </is>
      </c>
      <c r="AW395" s="30">
        <f>IF(AV395="Yes for more than 2 years",10,IF(AV395="Yes only for next 1 to 2 years",5,0))</f>
        <v/>
      </c>
      <c r="AX395" s="30" t="inlineStr">
        <is>
          <t>0 to 20</t>
        </is>
      </c>
      <c r="AY395" s="30">
        <f>IF(AX395="Above 40",20,IF(AX395="20 to 40",10,IF(AX395="0 to 20",-5,0)))</f>
        <v/>
      </c>
      <c r="AZ395" s="30" t="inlineStr">
        <is>
          <t>Between 50 to 75</t>
        </is>
      </c>
      <c r="BA395" s="30">
        <f>IF(AZ395="Between 50 to 75",10,IF(AZ395="Above 75",0,0))</f>
        <v/>
      </c>
      <c r="BB395" s="30" t="inlineStr">
        <is>
          <t>Stage 1</t>
        </is>
      </c>
      <c r="BC395" s="30">
        <f>IF(BB395="Stage 2",20,IF(BB395="Stage 1",0,IF(BB395="Stage 3",5,IF(BB395="Stage 4",-5,0))))</f>
        <v/>
      </c>
      <c r="BD395" s="30" t="inlineStr">
        <is>
          <t>Negative Trend</t>
        </is>
      </c>
      <c r="BE395" s="30">
        <f>IF(BD395="Positive Trend",20,IF(BD395="Negative Trend",-10,0))</f>
        <v/>
      </c>
      <c r="BF395" s="30" t="inlineStr">
        <is>
          <t>Uptrend</t>
        </is>
      </c>
      <c r="BG395" s="30">
        <f>IF(BF395="Uptrend",10,IF(BF395="Sideways",5,0))</f>
        <v/>
      </c>
      <c r="BH395" s="30" t="inlineStr">
        <is>
          <t>Uptrend</t>
        </is>
      </c>
      <c r="BI395" s="30">
        <f>IF(BH395="Uptrend",10,IF(BH395="Sideways",5,0))</f>
        <v/>
      </c>
      <c r="BJ395" s="30" t="inlineStr">
        <is>
          <t>Close to 52 week high or retracement</t>
        </is>
      </c>
      <c r="BK395" s="30">
        <f>IF(BJ395="Overhead supply in last 2 years in last 2 years",-5,IF(BJ395="Close to 52 week high or retracement",5,IF(BJ395="Blue sky scenario",10,IF(BJ395="Long term Downtrend",-10,0))))</f>
        <v/>
      </c>
      <c r="BL395" s="30" t="inlineStr">
        <is>
          <t>Yes</t>
        </is>
      </c>
      <c r="BM395" s="30">
        <f>IF(BL395="Yes",10,0)</f>
        <v/>
      </c>
      <c r="BN395" s="30" t="inlineStr">
        <is>
          <t>More than 20%</t>
        </is>
      </c>
      <c r="BO395" s="30">
        <f>IF(BN395="More than 20%",10,IF(BN395="Between 12 to 20%",5,IF(BN395="Less than 12%",0,0)))</f>
        <v/>
      </c>
      <c r="BP395" s="30" t="inlineStr">
        <is>
          <t>No</t>
        </is>
      </c>
      <c r="BQ395" s="30">
        <f>IF(BP395="No",10,0)</f>
        <v/>
      </c>
      <c r="BR395" s="30" t="inlineStr">
        <is>
          <t>No</t>
        </is>
      </c>
      <c r="BS395" s="30">
        <f>IF(BR395="NO",5,0)</f>
        <v/>
      </c>
      <c r="BT395" s="30" t="inlineStr">
        <is>
          <t>Above 2</t>
        </is>
      </c>
      <c r="BU395" s="30">
        <f>IF(BT395="Above 2",0,IF(BT395="Between 1.5 to 2",5,IF(BT395="Less than 1.5",10,0)))</f>
        <v/>
      </c>
      <c r="BV395" s="30" t="inlineStr">
        <is>
          <t>Negative</t>
        </is>
      </c>
      <c r="BW395" s="30">
        <f>IF(BV395="Above 70%",10,IF(BV395="Between 50% to 70%",5,IF(BV395="Less than 50%",0,IF(BV395="Negative",-10,IF(BV395="Less than 50% and Borrowings are increasing",-5,0)))))</f>
        <v/>
      </c>
      <c r="BX395" s="30" t="inlineStr">
        <is>
          <t>Less than 0.7</t>
        </is>
      </c>
      <c r="BY395" s="30">
        <f>IF(BX395="More than 1.2",-10,IF(BX395="Between 0.7 to 1.2",0,IF(BX395="Less than 0.7",10,0)))</f>
        <v/>
      </c>
      <c r="BZ395" s="30" t="inlineStr">
        <is>
          <t>No</t>
        </is>
      </c>
      <c r="CA395" s="30">
        <f>IF(BZ395="Yes",-10,0)</f>
        <v/>
      </c>
      <c r="CB395" s="30" t="inlineStr">
        <is>
          <t>Less than 15%</t>
        </is>
      </c>
      <c r="CC395" s="30">
        <f>IF(CB395="More than 15%",-10,IF(CB395="Less than 15%",10,0))</f>
        <v/>
      </c>
      <c r="CD395" s="30" t="inlineStr">
        <is>
          <t>No</t>
        </is>
      </c>
      <c r="CE395" s="30">
        <f>IF(CD395="Yes, more than 10%",-10,IF(CD395="No",10,0))</f>
        <v/>
      </c>
    </row>
    <row r="396">
      <c r="A396" s="30">
        <f>IF(B396=0,"",RANK(B396,$B$2:$B$400,0))</f>
        <v/>
      </c>
      <c r="B396" s="31">
        <f>SUM(N396,Y396,AA396,AC396,AE396,AG396,AI396,AK396,AM396,AO396,AQ396,AS396,AU396,AW396,AY396,BA396,BC396,BE396,BG396,BI396,BK396,BM396,BO396,BQ396,BS396,BU396,BW396,BY396,CA396,CC396,CE396)</f>
        <v/>
      </c>
      <c r="C396" s="30" t="inlineStr">
        <is>
          <t>FLUOROCHEM</t>
        </is>
      </c>
      <c r="D396" s="30" t="inlineStr">
        <is>
          <t>Gujarat Fluorochemicals Ltd</t>
        </is>
      </c>
      <c r="E396" s="30" t="inlineStr">
        <is>
          <t>chemicals</t>
        </is>
      </c>
      <c r="F396" s="30" t="inlineStr">
        <is>
          <t>chemicals</t>
        </is>
      </c>
      <c r="G396" s="30" t="inlineStr">
        <is>
          <t>largecap</t>
        </is>
      </c>
      <c r="H396" s="31" t="n">
        <v>40378.66</v>
      </c>
      <c r="I396" s="31" t="n">
        <v>3837.5</v>
      </c>
      <c r="J396" s="31" t="n">
        <v>4.4</v>
      </c>
      <c r="K396" s="31" t="n">
        <v>382621</v>
      </c>
      <c r="L396" s="30" t="n">
        <v>25</v>
      </c>
      <c r="M396" s="30" t="inlineStr">
        <is>
          <t>Outperforming</t>
        </is>
      </c>
      <c r="N396" s="31">
        <f>IF(M396="Underperforming",-5,IF(L396&gt;=95,15,IF(L396&gt;=90,10,IF(L396&gt;=80,5,0))))</f>
        <v/>
      </c>
      <c r="O396" s="31" t="n">
        <v>59.88</v>
      </c>
      <c r="P396" s="31" t="n">
        <v>15.37</v>
      </c>
      <c r="Q396" s="31" t="n">
        <v>3089.36</v>
      </c>
      <c r="R396" s="30" t="inlineStr">
        <is>
          <t>Near 52W High Breakout</t>
        </is>
      </c>
      <c r="S396" s="30" t="inlineStr">
        <is>
          <t>Nifty 500</t>
        </is>
      </c>
      <c r="T396" s="31" t="n">
        <v>0.72</v>
      </c>
      <c r="U396" s="31" t="n">
        <v>13.51</v>
      </c>
      <c r="V396" s="31" t="n">
        <v>12.7</v>
      </c>
      <c r="W396" s="31" t="n">
        <v>7.33</v>
      </c>
      <c r="X396" s="30" t="inlineStr">
        <is>
          <t>Growing Industry</t>
        </is>
      </c>
      <c r="Y396" s="30">
        <f>IF(X396="Growing Industry",10,IF(X396="Cyclical in an Upturn",5,0))</f>
        <v/>
      </c>
      <c r="Z396" s="30" t="inlineStr">
        <is>
          <t>Oligopoly</t>
        </is>
      </c>
      <c r="AA396" s="30">
        <f>IF(Z396="Monopoly",10,IF(Z396="Oligopoly",5,IF(Z396="Duopoly that cooperate",10,IF(Z396="Duopoly that compete",5,IF(Z396="Too many players with High ROCE",5,0)))))</f>
        <v/>
      </c>
      <c r="AB396" s="30" t="inlineStr">
        <is>
          <t>No</t>
        </is>
      </c>
      <c r="AC396" s="30">
        <f>IF(AB396="No",5,0)</f>
        <v/>
      </c>
      <c r="AD396" s="30" t="inlineStr">
        <is>
          <t>Tailwind</t>
        </is>
      </c>
      <c r="AE396" s="30">
        <f>IF(AD396="Tailwind",10,0)</f>
        <v/>
      </c>
      <c r="AF396" s="30" t="inlineStr">
        <is>
          <t>Shallow Cyclical (2 to 3 Years Growth)</t>
        </is>
      </c>
      <c r="AG396" s="30">
        <f>IF(AF396="Structural (10 Years Consistency)",10,IF(AF396="Shallow Cyclical (2 to 3 years growth)",5,0))</f>
        <v/>
      </c>
      <c r="AH396" s="30" t="inlineStr">
        <is>
          <t>Yes due to Product Mix change or Operating Leverage</t>
        </is>
      </c>
      <c r="AI396" s="30">
        <f>IF(AH396="Yes due to Product Mix change or Operating Leverage",10,IF(AH396="Yes, these are peak margins",-5,IF(AH396="No",5,0)))</f>
        <v/>
      </c>
      <c r="AJ396" s="30" t="inlineStr">
        <is>
          <t>Volatile</t>
        </is>
      </c>
      <c r="AK396" s="30">
        <f>IF(AJ396="Stable",10,0)</f>
        <v/>
      </c>
      <c r="AL396" s="30" t="inlineStr">
        <is>
          <t>Yes</t>
        </is>
      </c>
      <c r="AM396" s="30">
        <f>IF(AL396="Yes",10,0)</f>
        <v/>
      </c>
      <c r="AN396" s="30" t="inlineStr">
        <is>
          <t>B2B</t>
        </is>
      </c>
      <c r="AO396" s="30">
        <f>IF(AN396="B2C",10,IF(AN396="B2B",5,0))</f>
        <v/>
      </c>
      <c r="AP396" s="30" t="inlineStr">
        <is>
          <t>Yes</t>
        </is>
      </c>
      <c r="AQ396" s="30">
        <f>IF(AP396="Yes",10,0)</f>
        <v/>
      </c>
      <c r="AR396" s="30" t="inlineStr">
        <is>
          <t>Higher One Time, Lower Annuity</t>
        </is>
      </c>
      <c r="AS396" s="30">
        <f>IF(AR396="Fully Annuity",10,IF(AR396="Higher Annuity, Lower One Time",5,IF(AR396="Higher One Time, Lower Annuity",3,0)))</f>
        <v/>
      </c>
      <c r="AT396" s="30" t="inlineStr">
        <is>
          <t>Allocated capital in Non-core Areas</t>
        </is>
      </c>
      <c r="AU396" s="30">
        <f>IF(AT396="Good",10,0)</f>
        <v/>
      </c>
      <c r="AV396" s="30" t="inlineStr">
        <is>
          <t>Yes for more than 2 years</t>
        </is>
      </c>
      <c r="AW396" s="30">
        <f>IF(AV396="Yes for more than 2 years",10,IF(AV396="Yes only for next 1 to 2 years",5,0))</f>
        <v/>
      </c>
      <c r="AX396" s="30" t="inlineStr">
        <is>
          <t>Above 40</t>
        </is>
      </c>
      <c r="AY396" s="30">
        <f>IF(AX396="Above 40",20,IF(AX396="20 to 40",10,IF(AX396="0 to 20",-5,0)))</f>
        <v/>
      </c>
      <c r="AZ396" s="30" t="inlineStr">
        <is>
          <t>Between 50 to 75</t>
        </is>
      </c>
      <c r="BA396" s="30">
        <f>IF(AZ396="Between 50 to 75",10,IF(AZ396="Above 75",0,0))</f>
        <v/>
      </c>
      <c r="BB396" s="30" t="inlineStr">
        <is>
          <t>Stage 3</t>
        </is>
      </c>
      <c r="BC396" s="30">
        <f>IF(BB396="Stage 2",20,IF(BB396="Stage 1",0,IF(BB396="Stage 3",5,IF(BB396="Stage 4",-5,0))))</f>
        <v/>
      </c>
      <c r="BD396" s="30" t="inlineStr">
        <is>
          <t>Negative Trend</t>
        </is>
      </c>
      <c r="BE396" s="30">
        <f>IF(BD396="Positive Trend",20,IF(BD396="Negative Trend",-10,0))</f>
        <v/>
      </c>
      <c r="BF396" s="30" t="inlineStr">
        <is>
          <t>Sideways</t>
        </is>
      </c>
      <c r="BG396" s="30">
        <f>IF(BF396="Uptrend",10,IF(BF396="Sideways",5,0))</f>
        <v/>
      </c>
      <c r="BH396" s="30" t="inlineStr">
        <is>
          <t>Uptrend</t>
        </is>
      </c>
      <c r="BI396" s="30">
        <f>IF(BH396="Uptrend",10,IF(BH396="Sideways",5,0))</f>
        <v/>
      </c>
      <c r="BJ396" s="30" t="inlineStr">
        <is>
          <t>Overhead supply in last 2 years in last 2 years</t>
        </is>
      </c>
      <c r="BK396" s="30">
        <f>IF(BJ396="Overhead supply in last 2 years in last 2 years",-5,IF(BJ396="Close to 52 week high or retracement",5,IF(BJ396="Blue sky scenario",10,IF(BJ396="Long term Downtrend",-10,0))))</f>
        <v/>
      </c>
      <c r="BL396" s="30" t="inlineStr">
        <is>
          <t>Yes</t>
        </is>
      </c>
      <c r="BM396" s="30">
        <f>IF(BL396="Yes",10,0)</f>
        <v/>
      </c>
      <c r="BN396" s="30" t="inlineStr">
        <is>
          <t>More than 20%</t>
        </is>
      </c>
      <c r="BO396" s="30">
        <f>IF(BN396="More than 20%",10,IF(BN396="Between 12 to 20%",5,IF(BN396="Less than 12%",0,0)))</f>
        <v/>
      </c>
      <c r="BP396" s="30" t="inlineStr">
        <is>
          <t>No</t>
        </is>
      </c>
      <c r="BQ396" s="30">
        <f>IF(BP396="No",10,0)</f>
        <v/>
      </c>
      <c r="BR396" s="30" t="inlineStr">
        <is>
          <t>No</t>
        </is>
      </c>
      <c r="BS396" s="30">
        <f>IF(BR396="NO",5,0)</f>
        <v/>
      </c>
      <c r="BT396" s="30" t="inlineStr">
        <is>
          <t>Less than 1.5</t>
        </is>
      </c>
      <c r="BU396" s="30">
        <f>IF(BT396="Above 2",0,IF(BT396="Between 1.5 to 2",5,IF(BT396="Less than 1.5",10,0)))</f>
        <v/>
      </c>
      <c r="BV396" s="30" t="inlineStr">
        <is>
          <t>Above 70%</t>
        </is>
      </c>
      <c r="BW396" s="30">
        <f>IF(BV396="Above 70%",10,IF(BV396="Between 50% to 70%",5,IF(BV396="Less than 50%",0,IF(BV396="Negative",-10,IF(BV396="Less than 50% and Borrowings are increasing",-5,0)))))</f>
        <v/>
      </c>
      <c r="BX396" s="30" t="inlineStr">
        <is>
          <t>Less than 0.7</t>
        </is>
      </c>
      <c r="BY396" s="30">
        <f>IF(BX396="More than 1.2",-10,IF(BX396="Between 0.7 to 1.2",0,IF(BX396="Less than 0.7",10,0)))</f>
        <v/>
      </c>
      <c r="BZ396" s="30" t="inlineStr">
        <is>
          <t>No</t>
        </is>
      </c>
      <c r="CA396" s="30">
        <f>IF(BZ396="Yes",-10,0)</f>
        <v/>
      </c>
      <c r="CB396" s="30" t="inlineStr">
        <is>
          <t>More than 15%</t>
        </is>
      </c>
      <c r="CC396" s="30">
        <f>IF(CB396="More than 15%",-10,IF(CB396="Less than 15%",10,0))</f>
        <v/>
      </c>
      <c r="CD396" s="30" t="inlineStr">
        <is>
          <t>Yes Upto 10%</t>
        </is>
      </c>
      <c r="CE396" s="30">
        <f>IF(CD396="Yes, more than 10%",-10,IF(CD396="No",10,0))</f>
        <v/>
      </c>
    </row>
    <row r="397">
      <c r="A397" s="30">
        <f>IF(B397=0,"",RANK(B397,$B$2:$B$400,0))</f>
        <v/>
      </c>
      <c r="B397" s="31">
        <f>SUM(N397,Y397,AA397,AC397,AE397,AG397,AI397,AK397,AM397,AO397,AQ397,AS397,AU397,AW397,AY397,BA397,BC397,BE397,BG397,BI397,BK397,BM397,BO397,BQ397,BS397,BU397,BW397,BY397,CA397,CC397,CE397)</f>
        <v/>
      </c>
      <c r="C397" s="30" t="inlineStr">
        <is>
          <t>GNFC</t>
        </is>
      </c>
      <c r="D397" s="30" t="inlineStr">
        <is>
          <t>Gujarat Narmada Valley Fertilizers And Chemicals Limited</t>
        </is>
      </c>
      <c r="E397" s="30" t="inlineStr">
        <is>
          <t>chemicals</t>
        </is>
      </c>
      <c r="F397" s="30" t="inlineStr">
        <is>
          <t>chemicals</t>
        </is>
      </c>
      <c r="G397" s="30" t="inlineStr">
        <is>
          <t>midcap</t>
        </is>
      </c>
      <c r="H397" s="31" t="n">
        <v>8217.66</v>
      </c>
      <c r="I397" s="31" t="n">
        <v>562.6</v>
      </c>
      <c r="J397" s="31" t="n">
        <v>0.6</v>
      </c>
      <c r="K397" s="31" t="n">
        <v>657205</v>
      </c>
      <c r="L397" s="30" t="n">
        <v>44</v>
      </c>
      <c r="M397" s="30" t="inlineStr">
        <is>
          <t>Outperforming</t>
        </is>
      </c>
      <c r="N397" s="31">
        <f>IF(M397="Underperforming",-5,IF(L397&gt;=95,15,IF(L397&gt;=90,10,IF(L397&gt;=80,5,0))))</f>
        <v/>
      </c>
      <c r="O397" s="31" t="n">
        <v>68.69</v>
      </c>
      <c r="P397" s="31" t="n">
        <v>28.86</v>
      </c>
      <c r="Q397" s="31" t="n">
        <v>457.89</v>
      </c>
      <c r="R397" s="30" t="inlineStr">
        <is>
          <t>Near 52W High Breakout</t>
        </is>
      </c>
      <c r="S397" s="30" t="inlineStr">
        <is>
          <t>Nifty 50</t>
        </is>
      </c>
      <c r="T397" s="31" t="n">
        <v>-3.76</v>
      </c>
      <c r="U397" s="31" t="n">
        <v>11.33</v>
      </c>
      <c r="V397" s="31" t="n">
        <v>15.68</v>
      </c>
      <c r="W397" s="31" t="n">
        <v>11.29</v>
      </c>
      <c r="X397" s="30" t="inlineStr">
        <is>
          <t>Growing Industry</t>
        </is>
      </c>
      <c r="Y397" s="30">
        <f>IF(X397="Growing Industry",10,IF(X397="Cyclical in an Upturn",5,0))</f>
        <v/>
      </c>
      <c r="Z397" s="30" t="inlineStr">
        <is>
          <t>Oligopoly</t>
        </is>
      </c>
      <c r="AA397" s="30">
        <f>IF(Z397="Monopoly",10,IF(Z397="Oligopoly",5,IF(Z397="Duopoly that cooperate",10,IF(Z397="Duopoly that compete",5,IF(Z397="Too many players with High ROCE",5,0)))))</f>
        <v/>
      </c>
      <c r="AB397" s="30" t="inlineStr">
        <is>
          <t>No</t>
        </is>
      </c>
      <c r="AC397" s="30">
        <f>IF(AB397="No",5,0)</f>
        <v/>
      </c>
      <c r="AD397" s="30" t="inlineStr">
        <is>
          <t>Tailwind</t>
        </is>
      </c>
      <c r="AE397" s="30">
        <f>IF(AD397="Tailwind",10,0)</f>
        <v/>
      </c>
      <c r="AF397" s="30" t="inlineStr">
        <is>
          <t>Shallow Cyclical (2 to 3 Years Growth)</t>
        </is>
      </c>
      <c r="AG397" s="30">
        <f>IF(AF397="Structural (10 Years Consistency)",10,IF(AF397="Shallow Cyclical (2 to 3 years growth)",5,0))</f>
        <v/>
      </c>
      <c r="AH397" s="30" t="inlineStr">
        <is>
          <t>Yes due to Product Mix change or Operating Leverage</t>
        </is>
      </c>
      <c r="AI397" s="30">
        <f>IF(AH397="Yes due to Product Mix change or Operating Leverage",10,IF(AH397="Yes, these are peak margins",-5,IF(AH397="No",5,0)))</f>
        <v/>
      </c>
      <c r="AJ397" s="30" t="inlineStr">
        <is>
          <t>Volatile</t>
        </is>
      </c>
      <c r="AK397" s="30">
        <f>IF(AJ397="Stable",10,0)</f>
        <v/>
      </c>
      <c r="AL397" s="30" t="inlineStr">
        <is>
          <t>Yes</t>
        </is>
      </c>
      <c r="AM397" s="30">
        <f>IF(AL397="Yes",10,0)</f>
        <v/>
      </c>
      <c r="AN397" s="30" t="inlineStr">
        <is>
          <t>B2B</t>
        </is>
      </c>
      <c r="AO397" s="30">
        <f>IF(AN397="B2C",10,IF(AN397="B2B",5,0))</f>
        <v/>
      </c>
      <c r="AP397" s="30" t="inlineStr">
        <is>
          <t>Yes</t>
        </is>
      </c>
      <c r="AQ397" s="30">
        <f>IF(AP397="Yes",10,0)</f>
        <v/>
      </c>
      <c r="AR397" s="30" t="inlineStr">
        <is>
          <t>Higher One Time, Lower Annuity</t>
        </is>
      </c>
      <c r="AS397" s="30">
        <f>IF(AR397="Fully Annuity",10,IF(AR397="Higher Annuity, Lower One Time",5,IF(AR397="Higher One Time, Lower Annuity",3,0)))</f>
        <v/>
      </c>
      <c r="AT397" s="30" t="inlineStr">
        <is>
          <t>Allocated capital in Non-core Areas</t>
        </is>
      </c>
      <c r="AU397" s="30">
        <f>IF(AT397="Good",10,0)</f>
        <v/>
      </c>
      <c r="AV397" s="30" t="inlineStr">
        <is>
          <t>Yes for more than 2 years</t>
        </is>
      </c>
      <c r="AW397" s="30">
        <f>IF(AV397="Yes for more than 2 years",10,IF(AV397="Yes only for next 1 to 2 years",5,0))</f>
        <v/>
      </c>
      <c r="AX397" s="30" t="inlineStr">
        <is>
          <t>Above 40</t>
        </is>
      </c>
      <c r="AY397" s="30">
        <f>IF(AX397="Above 40",20,IF(AX397="20 to 40",10,IF(AX397="0 to 20",-5,0)))</f>
        <v/>
      </c>
      <c r="AZ397" s="30" t="inlineStr">
        <is>
          <t>Between 50 to 75</t>
        </is>
      </c>
      <c r="BA397" s="30">
        <f>IF(AZ397="Between 50 to 75",10,IF(AZ397="Above 75",0,0))</f>
        <v/>
      </c>
      <c r="BB397" s="30" t="inlineStr">
        <is>
          <t>Stage 3</t>
        </is>
      </c>
      <c r="BC397" s="30">
        <f>IF(BB397="Stage 2",20,IF(BB397="Stage 1",0,IF(BB397="Stage 3",5,IF(BB397="Stage 4",-5,0))))</f>
        <v/>
      </c>
      <c r="BD397" s="30" t="inlineStr">
        <is>
          <t>Negative Trend</t>
        </is>
      </c>
      <c r="BE397" s="30">
        <f>IF(BD397="Positive Trend",20,IF(BD397="Negative Trend",-10,0))</f>
        <v/>
      </c>
      <c r="BF397" s="30" t="inlineStr">
        <is>
          <t>Sideways</t>
        </is>
      </c>
      <c r="BG397" s="30">
        <f>IF(BF397="Uptrend",10,IF(BF397="Sideways",5,0))</f>
        <v/>
      </c>
      <c r="BH397" s="30" t="inlineStr">
        <is>
          <t>Uptrend</t>
        </is>
      </c>
      <c r="BI397" s="30">
        <f>IF(BH397="Uptrend",10,IF(BH397="Sideways",5,0))</f>
        <v/>
      </c>
      <c r="BJ397" s="30" t="inlineStr">
        <is>
          <t>Overhead supply in last 2 years in last 2 years</t>
        </is>
      </c>
      <c r="BK397" s="30">
        <f>IF(BJ397="Overhead supply in last 2 years in last 2 years",-5,IF(BJ397="Close to 52 week high or retracement",5,IF(BJ397="Blue sky scenario",10,IF(BJ397="Long term Downtrend",-10,0))))</f>
        <v/>
      </c>
      <c r="BL397" s="30" t="inlineStr">
        <is>
          <t>Yes</t>
        </is>
      </c>
      <c r="BM397" s="30">
        <f>IF(BL397="Yes",10,0)</f>
        <v/>
      </c>
      <c r="BN397" s="30" t="inlineStr">
        <is>
          <t>More than 20%</t>
        </is>
      </c>
      <c r="BO397" s="30">
        <f>IF(BN397="More than 20%",10,IF(BN397="Between 12 to 20%",5,IF(BN397="Less than 12%",0,0)))</f>
        <v/>
      </c>
      <c r="BP397" s="30" t="inlineStr">
        <is>
          <t>No</t>
        </is>
      </c>
      <c r="BQ397" s="30">
        <f>IF(BP397="No",10,0)</f>
        <v/>
      </c>
      <c r="BR397" s="30" t="inlineStr">
        <is>
          <t>No</t>
        </is>
      </c>
      <c r="BS397" s="30">
        <f>IF(BR397="NO",5,0)</f>
        <v/>
      </c>
      <c r="BT397" s="30" t="inlineStr">
        <is>
          <t>Less than 1.5</t>
        </is>
      </c>
      <c r="BU397" s="30">
        <f>IF(BT397="Above 2",0,IF(BT397="Between 1.5 to 2",5,IF(BT397="Less than 1.5",10,0)))</f>
        <v/>
      </c>
      <c r="BV397" s="30" t="inlineStr">
        <is>
          <t>Above 70%</t>
        </is>
      </c>
      <c r="BW397" s="30">
        <f>IF(BV397="Above 70%",10,IF(BV397="Between 50% to 70%",5,IF(BV397="Less than 50%",0,IF(BV397="Negative",-10,IF(BV397="Less than 50% and Borrowings are increasing",-5,0)))))</f>
        <v/>
      </c>
      <c r="BX397" s="30" t="inlineStr">
        <is>
          <t>Less than 0.7</t>
        </is>
      </c>
      <c r="BY397" s="30">
        <f>IF(BX397="More than 1.2",-10,IF(BX397="Between 0.7 to 1.2",0,IF(BX397="Less than 0.7",10,0)))</f>
        <v/>
      </c>
      <c r="BZ397" s="30" t="inlineStr">
        <is>
          <t>No</t>
        </is>
      </c>
      <c r="CA397" s="30">
        <f>IF(BZ397="Yes",-10,0)</f>
        <v/>
      </c>
      <c r="CB397" s="30" t="inlineStr">
        <is>
          <t>More than 15%</t>
        </is>
      </c>
      <c r="CC397" s="30">
        <f>IF(CB397="More than 15%",-10,IF(CB397="Less than 15%",10,0))</f>
        <v/>
      </c>
      <c r="CD397" s="30" t="inlineStr">
        <is>
          <t>Yes Upto 10%</t>
        </is>
      </c>
      <c r="CE397" s="30">
        <f>IF(CD397="Yes, more than 10%",-10,IF(CD397="No",10,0))</f>
        <v/>
      </c>
    </row>
    <row r="398">
      <c r="A398" s="30">
        <f>IF(B398=0,"",RANK(B398,$B$2:$B$400,0))</f>
        <v/>
      </c>
      <c r="B398" s="31">
        <f>SUM(N398,Y398,AA398,AC398,AE398,AG398,AI398,AK398,AM398,AO398,AQ398,AS398,AU398,AW398,AY398,BA398,BC398,BE398,BG398,BI398,BK398,BM398,BO398,BQ398,BS398,BU398,BW398,BY398,CA398,CC398,CE398)</f>
        <v/>
      </c>
      <c r="C398" s="30" t="inlineStr">
        <is>
          <t>3MINDIA</t>
        </is>
      </c>
      <c r="D398" s="30" t="inlineStr">
        <is>
          <t>3m India Limited</t>
        </is>
      </c>
      <c r="E398" s="30" t="inlineStr">
        <is>
          <t>miscellaneous</t>
        </is>
      </c>
      <c r="F398" s="30" t="inlineStr">
        <is>
          <t>diversified - large</t>
        </is>
      </c>
      <c r="G398" s="30" t="inlineStr">
        <is>
          <t>largecap</t>
        </is>
      </c>
      <c r="H398" s="31" t="n">
        <v>37242.32</v>
      </c>
      <c r="I398" s="31" t="n">
        <v>33250</v>
      </c>
      <c r="J398" s="31" t="n">
        <v>0.57</v>
      </c>
      <c r="K398" s="31" t="n">
        <v>3182</v>
      </c>
      <c r="L398" s="30" t="n">
        <v>12</v>
      </c>
      <c r="M398" s="30" t="inlineStr">
        <is>
          <t>Outperforming</t>
        </is>
      </c>
      <c r="N398" s="31">
        <f>IF(M398="Underperforming",-5,IF(L398&gt;=95,15,IF(L398&gt;=90,10,IF(L398&gt;=80,5,0))))</f>
        <v/>
      </c>
      <c r="O398" s="31" t="n">
        <v>52.01</v>
      </c>
      <c r="P398" s="31" t="n">
        <v>10.7</v>
      </c>
      <c r="Q398" s="31" t="n">
        <v>27177.01</v>
      </c>
      <c r="R398" s="30" t="inlineStr">
        <is>
          <t>Earnings / Momentum Support</t>
        </is>
      </c>
      <c r="S398" s="30" t="inlineStr">
        <is>
          <t>Nifty 50</t>
        </is>
      </c>
      <c r="T398" s="31" t="n">
        <v>-3.76</v>
      </c>
      <c r="U398" s="31" t="n">
        <v>18.71</v>
      </c>
      <c r="V398" s="31" t="n">
        <v>23.35</v>
      </c>
      <c r="W398" s="31" t="n">
        <v>4.4</v>
      </c>
      <c r="X398" s="30" t="inlineStr">
        <is>
          <t>Growing Industry</t>
        </is>
      </c>
      <c r="Y398" s="30">
        <f>IF(X398="Growing Industry",10,IF(X398="Cyclical in an Upturn",5,0))</f>
        <v/>
      </c>
      <c r="Z398" s="30" t="inlineStr">
        <is>
          <t>Too Many Players with High ROCE</t>
        </is>
      </c>
      <c r="AA398" s="30">
        <f>IF(Z398="Monopoly",10,IF(Z398="Oligopoly",5,IF(Z398="Duopoly that cooperate",10,IF(Z398="Duopoly that compete",5,IF(Z398="Too many players with High ROCE",5,0)))))</f>
        <v/>
      </c>
      <c r="AB398" s="30" t="inlineStr">
        <is>
          <t>No</t>
        </is>
      </c>
      <c r="AC398" s="30">
        <f>IF(AB398="No",5,0)</f>
        <v/>
      </c>
      <c r="AD398" s="30" t="inlineStr">
        <is>
          <t>Headwind</t>
        </is>
      </c>
      <c r="AE398" s="30">
        <f>IF(AD398="Tailwind",10,0)</f>
        <v/>
      </c>
      <c r="AF398" s="30" t="inlineStr">
        <is>
          <t>Structural (10 Years Consistency)</t>
        </is>
      </c>
      <c r="AG398" s="30">
        <f>IF(AF398="Structural (10 Years Consistency)",10,IF(AF398="Shallow Cyclical (2 to 3 years growth)",5,0))</f>
        <v/>
      </c>
      <c r="AH398" s="30" t="inlineStr">
        <is>
          <t>No</t>
        </is>
      </c>
      <c r="AI398" s="30">
        <f>IF(AH398="Yes due to Product Mix change or Operating Leverage",10,IF(AH398="Yes, these are peak margins",-5,IF(AH398="No",5,0)))</f>
        <v/>
      </c>
      <c r="AJ398" s="30" t="inlineStr">
        <is>
          <t>Stable</t>
        </is>
      </c>
      <c r="AK398" s="30">
        <f>IF(AJ398="Stable",10,0)</f>
        <v/>
      </c>
      <c r="AL398" s="30" t="inlineStr">
        <is>
          <t>Yes</t>
        </is>
      </c>
      <c r="AM398" s="30">
        <f>IF(AL398="Yes",10,0)</f>
        <v/>
      </c>
      <c r="AN398" s="30" t="inlineStr">
        <is>
          <t>B2B</t>
        </is>
      </c>
      <c r="AO398" s="30">
        <f>IF(AN398="B2C",10,IF(AN398="B2B",5,0))</f>
        <v/>
      </c>
      <c r="AP398" s="30" t="inlineStr">
        <is>
          <t>No</t>
        </is>
      </c>
      <c r="AQ398" s="30">
        <f>IF(AP398="Yes",10,0)</f>
        <v/>
      </c>
      <c r="AR398" s="30" t="inlineStr">
        <is>
          <t>Higher One Time, Lower Annuity</t>
        </is>
      </c>
      <c r="AS398" s="30">
        <f>IF(AR398="Fully Annuity",10,IF(AR398="Higher Annuity, Lower One Time",5,IF(AR398="Higher One Time, Lower Annuity",3,0)))</f>
        <v/>
      </c>
      <c r="AT398" s="30" t="inlineStr">
        <is>
          <t>Good</t>
        </is>
      </c>
      <c r="AU398" s="30">
        <f>IF(AT398="Good",10,0)</f>
        <v/>
      </c>
      <c r="AV398" s="30" t="inlineStr">
        <is>
          <t>Yes for more than 2 years</t>
        </is>
      </c>
      <c r="AW398" s="30">
        <f>IF(AV398="Yes for more than 2 years",10,IF(AV398="Yes only for next 1 to 2 years",5,0))</f>
        <v/>
      </c>
      <c r="AX398" s="30" t="inlineStr">
        <is>
          <t>0 to 20</t>
        </is>
      </c>
      <c r="AY398" s="30">
        <f>IF(AX398="Above 40",20,IF(AX398="20 to 40",10,IF(AX398="0 to 20",-5,0)))</f>
        <v/>
      </c>
      <c r="AZ398" s="30" t="inlineStr">
        <is>
          <t>Between 50 to 75</t>
        </is>
      </c>
      <c r="BA398" s="30">
        <f>IF(AZ398="Between 50 to 75",10,IF(AZ398="Above 75",0,0))</f>
        <v/>
      </c>
      <c r="BB398" s="30" t="inlineStr">
        <is>
          <t>Stage 1</t>
        </is>
      </c>
      <c r="BC398" s="30">
        <f>IF(BB398="Stage 2",20,IF(BB398="Stage 1",0,IF(BB398="Stage 3",5,IF(BB398="Stage 4",-5,0))))</f>
        <v/>
      </c>
      <c r="BD398" s="30" t="inlineStr">
        <is>
          <t>Negative Trend</t>
        </is>
      </c>
      <c r="BE398" s="30">
        <f>IF(BD398="Positive Trend",20,IF(BD398="Negative Trend",-10,0))</f>
        <v/>
      </c>
      <c r="BF398" s="30" t="inlineStr">
        <is>
          <t>Uptrend</t>
        </is>
      </c>
      <c r="BG398" s="30">
        <f>IF(BF398="Uptrend",10,IF(BF398="Sideways",5,0))</f>
        <v/>
      </c>
      <c r="BH398" s="30" t="inlineStr">
        <is>
          <t>Uptrend</t>
        </is>
      </c>
      <c r="BI398" s="30">
        <f>IF(BH398="Uptrend",10,IF(BH398="Sideways",5,0))</f>
        <v/>
      </c>
      <c r="BJ398" s="30" t="inlineStr">
        <is>
          <t>Close to 52 week high or retracement</t>
        </is>
      </c>
      <c r="BK398" s="30">
        <f>IF(BJ398="Overhead supply in last 2 years in last 2 years",-5,IF(BJ398="Close to 52 week high or retracement",5,IF(BJ398="Blue sky scenario",10,IF(BJ398="Long term Downtrend",-10,0))))</f>
        <v/>
      </c>
      <c r="BL398" s="30" t="inlineStr">
        <is>
          <t>Yes</t>
        </is>
      </c>
      <c r="BM398" s="30">
        <f>IF(BL398="Yes",10,0)</f>
        <v/>
      </c>
      <c r="BN398" s="30" t="inlineStr">
        <is>
          <t>More than 20%</t>
        </is>
      </c>
      <c r="BO398" s="30">
        <f>IF(BN398="More than 20%",10,IF(BN398="Between 12 to 20%",5,IF(BN398="Less than 12%",0,0)))</f>
        <v/>
      </c>
      <c r="BP398" s="30" t="inlineStr">
        <is>
          <t>No</t>
        </is>
      </c>
      <c r="BQ398" s="30">
        <f>IF(BP398="No",10,0)</f>
        <v/>
      </c>
      <c r="BR398" s="30" t="inlineStr">
        <is>
          <t>Yes</t>
        </is>
      </c>
      <c r="BS398" s="30">
        <f>IF(BR398="NO",5,0)</f>
        <v/>
      </c>
      <c r="BT398" s="30" t="inlineStr">
        <is>
          <t>Above 2</t>
        </is>
      </c>
      <c r="BU398" s="30">
        <f>IF(BT398="Above 2",0,IF(BT398="Between 1.5 to 2",5,IF(BT398="Less than 1.5",10,0)))</f>
        <v/>
      </c>
      <c r="BV398" s="30" t="inlineStr">
        <is>
          <t>Between 50% to 70%</t>
        </is>
      </c>
      <c r="BW398" s="30">
        <f>IF(BV398="Above 70%",10,IF(BV398="Between 50% to 70%",5,IF(BV398="Less than 50%",0,IF(BV398="Negative",-10,IF(BV398="Less than 50% and Borrowings are increasing",-5,0)))))</f>
        <v/>
      </c>
      <c r="BX398" s="30" t="inlineStr">
        <is>
          <t>Less than 0.7</t>
        </is>
      </c>
      <c r="BY398" s="30">
        <f>IF(BX398="More than 1.2",-10,IF(BX398="Between 0.7 to 1.2",0,IF(BX398="Less than 0.7",10,0)))</f>
        <v/>
      </c>
      <c r="BZ398" s="30" t="inlineStr">
        <is>
          <t>No</t>
        </is>
      </c>
      <c r="CA398" s="30">
        <f>IF(BZ398="Yes",-10,0)</f>
        <v/>
      </c>
      <c r="CB398" s="30" t="inlineStr">
        <is>
          <t>Less than 15%</t>
        </is>
      </c>
      <c r="CC398" s="30">
        <f>IF(CB398="More than 15%",-10,IF(CB398="Less than 15%",10,0))</f>
        <v/>
      </c>
      <c r="CD398" s="30" t="inlineStr">
        <is>
          <t>No</t>
        </is>
      </c>
      <c r="CE398" s="30">
        <f>IF(CD398="Yes, more than 10%",-10,IF(CD398="No",10,0))</f>
        <v/>
      </c>
    </row>
    <row r="399">
      <c r="A399" s="30">
        <f>IF(B399=0,"",RANK(B399,$B$2:$B$400,0))</f>
        <v/>
      </c>
      <c r="B399" s="31">
        <f>SUM(N399,Y399,AA399,AC399,AE399,AG399,AI399,AK399,AM399,AO399,AQ399,AS399,AU399,AW399,AY399,BA399,BC399,BE399,BG399,BI399,BK399,BM399,BO399,BQ399,BS399,BU399,BW399,BY399,CA399,CC399,CE399)</f>
        <v/>
      </c>
      <c r="C399" s="32" t="inlineStr">
        <is>
          <t>GRAVITA</t>
        </is>
      </c>
      <c r="D399" s="32" t="inlineStr">
        <is>
          <t>Gravita India Limited</t>
        </is>
      </c>
      <c r="E399" s="30" t="inlineStr">
        <is>
          <t>metals &amp; mining</t>
        </is>
      </c>
      <c r="F399" s="30" t="inlineStr">
        <is>
          <t>mining / minerals / metals</t>
        </is>
      </c>
      <c r="G399" s="30" t="inlineStr">
        <is>
          <t>midcap</t>
        </is>
      </c>
      <c r="H399" s="31" t="n">
        <v>12317.89</v>
      </c>
      <c r="I399" s="31" t="n">
        <v>1726.4</v>
      </c>
      <c r="J399" s="31" t="n">
        <v>3.45</v>
      </c>
      <c r="K399" s="31" t="n">
        <v>287733</v>
      </c>
      <c r="L399" s="30" t="n">
        <v>21</v>
      </c>
      <c r="M399" s="30" t="inlineStr">
        <is>
          <t>Underperforming</t>
        </is>
      </c>
      <c r="N399" s="31">
        <f>IF(M399="Underperforming",-5,IF(L399&gt;=95,15,IF(L399&gt;=90,10,IF(L399&gt;=80,5,0))))</f>
        <v/>
      </c>
      <c r="O399" s="31" t="n">
        <v>55.36</v>
      </c>
      <c r="P399" s="31" t="n">
        <v>18.23</v>
      </c>
      <c r="Q399" s="31" t="n">
        <v>1356.42</v>
      </c>
      <c r="R399" s="30" t="inlineStr">
        <is>
          <t>Earnings / Momentum Support</t>
        </is>
      </c>
      <c r="S399" s="30" t="inlineStr">
        <is>
          <t>Nifty Metal</t>
        </is>
      </c>
      <c r="T399" s="31" t="n">
        <v>42.37</v>
      </c>
      <c r="U399" s="31" t="n">
        <v>3.09</v>
      </c>
      <c r="V399" s="31" t="n">
        <v>-27.59</v>
      </c>
      <c r="W399" s="31" t="n">
        <v>6.31</v>
      </c>
      <c r="X399" s="30" t="inlineStr">
        <is>
          <t>Cyclical in an Upturn</t>
        </is>
      </c>
      <c r="Y399" s="30">
        <f>IF(X399="Growing Industry",10,IF(X399="Cyclical in an Upturn",5,0))</f>
        <v/>
      </c>
      <c r="Z399" s="30" t="inlineStr">
        <is>
          <t>Too Many Players with High ROCE</t>
        </is>
      </c>
      <c r="AA399" s="30">
        <f>IF(Z399="Monopoly",10,IF(Z399="Oligopoly",5,IF(Z399="Duopoly that cooperate",10,IF(Z399="Duopoly that compete",5,IF(Z399="Too many players with High ROCE",5,0)))))</f>
        <v/>
      </c>
      <c r="AB399" s="30" t="inlineStr">
        <is>
          <t>No</t>
        </is>
      </c>
      <c r="AC399" s="30">
        <f>IF(AB399="No",5,0)</f>
        <v/>
      </c>
      <c r="AD399" s="30" t="inlineStr">
        <is>
          <t>Headwind</t>
        </is>
      </c>
      <c r="AE399" s="30">
        <f>IF(AD399="Tailwind",10,0)</f>
        <v/>
      </c>
      <c r="AF399" s="30" t="inlineStr">
        <is>
          <t>Cyclical</t>
        </is>
      </c>
      <c r="AG399" s="30">
        <f>IF(AF399="Structural (10 Years Consistency)",10,IF(AF399="Shallow Cyclical (2 to 3 years growth)",5,0))</f>
        <v/>
      </c>
      <c r="AH399" s="30" t="inlineStr">
        <is>
          <t>No</t>
        </is>
      </c>
      <c r="AI399" s="30">
        <f>IF(AH399="Yes due to Product Mix change or Operating Leverage",10,IF(AH399="Yes, these are peak margins",-5,IF(AH399="No",5,0)))</f>
        <v/>
      </c>
      <c r="AJ399" s="30" t="inlineStr">
        <is>
          <t>Volatile</t>
        </is>
      </c>
      <c r="AK399" s="30">
        <f>IF(AJ399="Stable",10,0)</f>
        <v/>
      </c>
      <c r="AL399" s="30" t="inlineStr">
        <is>
          <t>Yes</t>
        </is>
      </c>
      <c r="AM399" s="30">
        <f>IF(AL399="Yes",10,0)</f>
        <v/>
      </c>
      <c r="AN399" s="30" t="inlineStr">
        <is>
          <t>B2B</t>
        </is>
      </c>
      <c r="AO399" s="30">
        <f>IF(AN399="B2C",10,IF(AN399="B2B",5,0))</f>
        <v/>
      </c>
      <c r="AP399" s="30" t="inlineStr">
        <is>
          <t>No</t>
        </is>
      </c>
      <c r="AQ399" s="30">
        <f>IF(AP399="Yes",10,0)</f>
        <v/>
      </c>
      <c r="AR399" s="30" t="inlineStr">
        <is>
          <t>Higher One Time, Lower Annuity</t>
        </is>
      </c>
      <c r="AS399" s="30">
        <f>IF(AR399="Fully Annuity",10,IF(AR399="Higher Annuity, Lower One Time",5,IF(AR399="Higher One Time, Lower Annuity",3,0)))</f>
        <v/>
      </c>
      <c r="AT399" s="30" t="inlineStr">
        <is>
          <t>Good</t>
        </is>
      </c>
      <c r="AU399" s="30">
        <f>IF(AT399="Good",10,0)</f>
        <v/>
      </c>
      <c r="AV399" s="30" t="inlineStr">
        <is>
          <t>Yes for more than 2 years</t>
        </is>
      </c>
      <c r="AW399" s="30">
        <f>IF(AV399="Yes for more than 2 years",10,IF(AV399="Yes only for next 1 to 2 years",5,0))</f>
        <v/>
      </c>
      <c r="AX399" s="30" t="inlineStr">
        <is>
          <t>0 to 20</t>
        </is>
      </c>
      <c r="AY399" s="30">
        <f>IF(AX399="Above 40",20,IF(AX399="20 to 40",10,IF(AX399="0 to 20",-5,0)))</f>
        <v/>
      </c>
      <c r="AZ399" s="30" t="inlineStr">
        <is>
          <t>Between 50 to 75</t>
        </is>
      </c>
      <c r="BA399" s="30">
        <f>IF(AZ399="Between 50 to 75",10,IF(AZ399="Above 75",0,0))</f>
        <v/>
      </c>
      <c r="BB399" s="30" t="inlineStr">
        <is>
          <t>Stage 1</t>
        </is>
      </c>
      <c r="BC399" s="30">
        <f>IF(BB399="Stage 2",20,IF(BB399="Stage 1",0,IF(BB399="Stage 3",5,IF(BB399="Stage 4",-5,0))))</f>
        <v/>
      </c>
      <c r="BD399" s="30" t="inlineStr">
        <is>
          <t>Positive Trend</t>
        </is>
      </c>
      <c r="BE399" s="30">
        <f>IF(BD399="Positive Trend",20,IF(BD399="Negative Trend",-10,0))</f>
        <v/>
      </c>
      <c r="BF399" s="30" t="inlineStr">
        <is>
          <t>Uptrend</t>
        </is>
      </c>
      <c r="BG399" s="30">
        <f>IF(BF399="Uptrend",10,IF(BF399="Sideways",5,0))</f>
        <v/>
      </c>
      <c r="BH399" s="30" t="inlineStr">
        <is>
          <t>Uptrend</t>
        </is>
      </c>
      <c r="BI399" s="30">
        <f>IF(BH399="Uptrend",10,IF(BH399="Sideways",5,0))</f>
        <v/>
      </c>
      <c r="BJ399" s="30" t="inlineStr">
        <is>
          <t>Close to 52 week high or retracement</t>
        </is>
      </c>
      <c r="BK399" s="30">
        <f>IF(BJ399="Overhead supply in last 2 years in last 2 years",-5,IF(BJ399="Close to 52 week high or retracement",5,IF(BJ399="Blue sky scenario",10,IF(BJ399="Long term Downtrend",-10,0))))</f>
        <v/>
      </c>
      <c r="BL399" s="30" t="inlineStr">
        <is>
          <t>Yes</t>
        </is>
      </c>
      <c r="BM399" s="30">
        <f>IF(BL399="Yes",10,0)</f>
        <v/>
      </c>
      <c r="BN399" s="30" t="inlineStr">
        <is>
          <t>Less than 12%</t>
        </is>
      </c>
      <c r="BO399" s="30">
        <f>IF(BN399="More than 20%",10,IF(BN399="Between 12 to 20%",5,IF(BN399="Less than 12%",0,0)))</f>
        <v/>
      </c>
      <c r="BP399" s="30" t="inlineStr">
        <is>
          <t>No</t>
        </is>
      </c>
      <c r="BQ399" s="30">
        <f>IF(BP399="No",10,0)</f>
        <v/>
      </c>
      <c r="BR399" s="30" t="inlineStr">
        <is>
          <t>No</t>
        </is>
      </c>
      <c r="BS399" s="30">
        <f>IF(BR399="NO",5,0)</f>
        <v/>
      </c>
      <c r="BT399" s="30" t="inlineStr">
        <is>
          <t>Above 2</t>
        </is>
      </c>
      <c r="BU399" s="30">
        <f>IF(BT399="Above 2",0,IF(BT399="Between 1.5 to 2",5,IF(BT399="Less than 1.5",10,0)))</f>
        <v/>
      </c>
      <c r="BV399" s="30" t="inlineStr">
        <is>
          <t>Less than 50%</t>
        </is>
      </c>
      <c r="BW399" s="30">
        <f>IF(BV399="Above 70%",10,IF(BV399="Between 50% to 70%",5,IF(BV399="Less than 50%",0,IF(BV399="Negative",-10,IF(BV399="Less than 50% and Borrowings are increasing",-5,0)))))</f>
        <v/>
      </c>
      <c r="BX399" s="30" t="inlineStr">
        <is>
          <t>Less than 0.7</t>
        </is>
      </c>
      <c r="BY399" s="30">
        <f>IF(BX399="More than 1.2",-10,IF(BX399="Between 0.7 to 1.2",0,IF(BX399="Less than 0.7",10,0)))</f>
        <v/>
      </c>
      <c r="BZ399" s="30" t="inlineStr">
        <is>
          <t>No</t>
        </is>
      </c>
      <c r="CA399" s="30">
        <f>IF(BZ399="Yes",-10,0)</f>
        <v/>
      </c>
      <c r="CB399" s="30" t="inlineStr">
        <is>
          <t>Less than 15%</t>
        </is>
      </c>
      <c r="CC399" s="30">
        <f>IF(CB399="More than 15%",-10,IF(CB399="Less than 15%",10,0))</f>
        <v/>
      </c>
      <c r="CD399" s="30" t="inlineStr">
        <is>
          <t>No</t>
        </is>
      </c>
      <c r="CE399" s="30">
        <f>IF(CD399="Yes, more than 10%",-10,IF(CD399="No",10,0))</f>
        <v/>
      </c>
    </row>
    <row r="400">
      <c r="A400" s="30">
        <f>IF(B400=0,"",RANK(B400,$B$2:$B$400,0))</f>
        <v/>
      </c>
      <c r="B400" s="31">
        <f>SUM(N400,Y400,AA400,AC400,AE400,AG400,AI400,AK400,AM400,AO400,AQ400,AS400,AU400,AW400,AY400,BA400,BC400,BE400,BG400,BI400,BK400,BM400,BO400,BQ400,BS400,BU400,BW400,BY400,CA400,CC400,CE400)</f>
        <v/>
      </c>
      <c r="C400" s="32" t="inlineStr">
        <is>
          <t>RITCO</t>
        </is>
      </c>
      <c r="D400" s="32" t="inlineStr">
        <is>
          <t>Ritco Logistics Ltd</t>
        </is>
      </c>
      <c r="E400" s="30" t="inlineStr">
        <is>
          <t>transportation</t>
        </is>
      </c>
      <c r="F400" s="30" t="inlineStr">
        <is>
          <t>miscellaneous</t>
        </is>
      </c>
      <c r="G400" s="30" t="inlineStr">
        <is>
          <t>smallcap</t>
        </is>
      </c>
      <c r="H400" s="31" t="n">
        <v>716.5700000000001</v>
      </c>
      <c r="I400" s="31" t="n">
        <v>258.65</v>
      </c>
      <c r="J400" s="31" t="n">
        <v>3.32</v>
      </c>
      <c r="K400" s="31" t="n">
        <v>179174</v>
      </c>
      <c r="L400" s="30" t="n">
        <v>24</v>
      </c>
      <c r="M400" s="30" t="inlineStr">
        <is>
          <t>Underperforming</t>
        </is>
      </c>
      <c r="N400" s="31">
        <f>IF(M400="Underperforming",-5,IF(L400&gt;=95,15,IF(L400&gt;=90,10,IF(L400&gt;=80,5,0))))</f>
        <v/>
      </c>
      <c r="O400" s="31" t="n">
        <v>55.82</v>
      </c>
      <c r="P400" s="31" t="n">
        <v>26.41</v>
      </c>
      <c r="Q400" s="31" t="n">
        <v>194.78</v>
      </c>
      <c r="R400" s="30" t="inlineStr">
        <is>
          <t>Earnings / Momentum Support</t>
        </is>
      </c>
      <c r="S400" s="30" t="inlineStr">
        <is>
          <t>Nifty 50</t>
        </is>
      </c>
      <c r="T400" s="31" t="n">
        <v>-3.76</v>
      </c>
      <c r="U400" s="31" t="n">
        <v>-5.43</v>
      </c>
      <c r="V400" s="31" t="n">
        <v>-1.73</v>
      </c>
      <c r="W400" s="31" t="n">
        <v>7.06</v>
      </c>
      <c r="X400" s="30" t="inlineStr">
        <is>
          <t>Growing Industry</t>
        </is>
      </c>
      <c r="Y400" s="30">
        <f>IF(X400="Growing Industry",10,IF(X400="Cyclical in an Upturn",5,0))</f>
        <v/>
      </c>
      <c r="Z400" s="30" t="inlineStr">
        <is>
          <t>Too Many Players with High ROCE</t>
        </is>
      </c>
      <c r="AA400" s="30">
        <f>IF(Z400="Monopoly",10,IF(Z400="Oligopoly",5,IF(Z400="Duopoly that cooperate",10,IF(Z400="Duopoly that compete",5,IF(Z400="Too many players with High ROCE",5,0)))))</f>
        <v/>
      </c>
      <c r="AB400" s="30" t="inlineStr">
        <is>
          <t>No</t>
        </is>
      </c>
      <c r="AC400" s="30">
        <f>IF(AB400="No",5,0)</f>
        <v/>
      </c>
      <c r="AD400" s="30" t="inlineStr">
        <is>
          <t>Headwind</t>
        </is>
      </c>
      <c r="AE400" s="30">
        <f>IF(AD400="Tailwind",10,0)</f>
        <v/>
      </c>
      <c r="AF400" s="30" t="inlineStr">
        <is>
          <t>Structural (10 Years Consistency)</t>
        </is>
      </c>
      <c r="AG400" s="30">
        <f>IF(AF400="Structural (10 Years Consistency)",10,IF(AF400="Shallow Cyclical (2 to 3 years growth)",5,0))</f>
        <v/>
      </c>
      <c r="AH400" s="30" t="inlineStr">
        <is>
          <t>No</t>
        </is>
      </c>
      <c r="AI400" s="30">
        <f>IF(AH400="Yes due to Product Mix change or Operating Leverage",10,IF(AH400="Yes, these are peak margins",-5,IF(AH400="No",5,0)))</f>
        <v/>
      </c>
      <c r="AJ400" s="30" t="inlineStr">
        <is>
          <t>Stable</t>
        </is>
      </c>
      <c r="AK400" s="30">
        <f>IF(AJ400="Stable",10,0)</f>
        <v/>
      </c>
      <c r="AL400" s="30" t="inlineStr">
        <is>
          <t>Yes</t>
        </is>
      </c>
      <c r="AM400" s="30">
        <f>IF(AL400="Yes",10,0)</f>
        <v/>
      </c>
      <c r="AN400" s="30" t="inlineStr">
        <is>
          <t>B2B</t>
        </is>
      </c>
      <c r="AO400" s="30">
        <f>IF(AN400="B2C",10,IF(AN400="B2B",5,0))</f>
        <v/>
      </c>
      <c r="AP400" s="30" t="inlineStr">
        <is>
          <t>No</t>
        </is>
      </c>
      <c r="AQ400" s="30">
        <f>IF(AP400="Yes",10,0)</f>
        <v/>
      </c>
      <c r="AR400" s="30" t="inlineStr">
        <is>
          <t>Higher One Time, Lower Annuity</t>
        </is>
      </c>
      <c r="AS400" s="30">
        <f>IF(AR400="Fully Annuity",10,IF(AR400="Higher Annuity, Lower One Time",5,IF(AR400="Higher One Time, Lower Annuity",3,0)))</f>
        <v/>
      </c>
      <c r="AT400" s="30" t="inlineStr">
        <is>
          <t>Good</t>
        </is>
      </c>
      <c r="AU400" s="30">
        <f>IF(AT400="Good",10,0)</f>
        <v/>
      </c>
      <c r="AV400" s="30" t="inlineStr">
        <is>
          <t>Yes for more than 2 years</t>
        </is>
      </c>
      <c r="AW400" s="30">
        <f>IF(AV400="Yes for more than 2 years",10,IF(AV400="Yes only for next 1 to 2 years",5,0))</f>
        <v/>
      </c>
      <c r="AX400" s="30" t="inlineStr">
        <is>
          <t>20 to 40</t>
        </is>
      </c>
      <c r="AY400" s="30">
        <f>IF(AX400="Above 40",20,IF(AX400="20 to 40",10,IF(AX400="0 to 20",-5,0)))</f>
        <v/>
      </c>
      <c r="AZ400" s="30" t="inlineStr">
        <is>
          <t>Between 50 to 75</t>
        </is>
      </c>
      <c r="BA400" s="30">
        <f>IF(AZ400="Between 50 to 75",10,IF(AZ400="Above 75",0,0))</f>
        <v/>
      </c>
      <c r="BB400" s="30" t="inlineStr">
        <is>
          <t>Stage 2</t>
        </is>
      </c>
      <c r="BC400" s="30">
        <f>IF(BB400="Stage 2",20,IF(BB400="Stage 1",0,IF(BB400="Stage 3",5,IF(BB400="Stage 4",-5,0))))</f>
        <v/>
      </c>
      <c r="BD400" s="30" t="inlineStr">
        <is>
          <t>Negative Trend</t>
        </is>
      </c>
      <c r="BE400" s="30">
        <f>IF(BD400="Positive Trend",20,IF(BD400="Negative Trend",-10,0))</f>
        <v/>
      </c>
      <c r="BF400" s="30" t="inlineStr">
        <is>
          <t>Uptrend</t>
        </is>
      </c>
      <c r="BG400" s="30">
        <f>IF(BF400="Uptrend",10,IF(BF400="Sideways",5,0))</f>
        <v/>
      </c>
      <c r="BH400" s="30" t="inlineStr">
        <is>
          <t>Uptrend</t>
        </is>
      </c>
      <c r="BI400" s="30">
        <f>IF(BH400="Uptrend",10,IF(BH400="Sideways",5,0))</f>
        <v/>
      </c>
      <c r="BJ400" s="30" t="inlineStr">
        <is>
          <t>Close to 52 week high or retracement</t>
        </is>
      </c>
      <c r="BK400" s="30">
        <f>IF(BJ400="Overhead supply in last 2 years in last 2 years",-5,IF(BJ400="Close to 52 week high or retracement",5,IF(BJ400="Blue sky scenario",10,IF(BJ400="Long term Downtrend",-10,0))))</f>
        <v/>
      </c>
      <c r="BL400" s="30" t="inlineStr">
        <is>
          <t>Yes</t>
        </is>
      </c>
      <c r="BM400" s="30">
        <f>IF(BL400="Yes",10,0)</f>
        <v/>
      </c>
      <c r="BN400" s="30" t="inlineStr">
        <is>
          <t>Less than 12%</t>
        </is>
      </c>
      <c r="BO400" s="30">
        <f>IF(BN400="More than 20%",10,IF(BN400="Between 12 to 20%",5,IF(BN400="Less than 12%",0,0)))</f>
        <v/>
      </c>
      <c r="BP400" s="30" t="inlineStr">
        <is>
          <t>No</t>
        </is>
      </c>
      <c r="BQ400" s="30">
        <f>IF(BP400="No",10,0)</f>
        <v/>
      </c>
      <c r="BR400" s="30" t="inlineStr">
        <is>
          <t>No</t>
        </is>
      </c>
      <c r="BS400" s="30">
        <f>IF(BR400="NO",5,0)</f>
        <v/>
      </c>
      <c r="BT400" s="30" t="inlineStr">
        <is>
          <t>Above 2</t>
        </is>
      </c>
      <c r="BU400" s="30">
        <f>IF(BT400="Above 2",0,IF(BT400="Between 1.5 to 2",5,IF(BT400="Less than 1.5",10,0)))</f>
        <v/>
      </c>
      <c r="BV400" s="30" t="inlineStr">
        <is>
          <t>Negative</t>
        </is>
      </c>
      <c r="BW400" s="30">
        <f>IF(BV400="Above 70%",10,IF(BV400="Between 50% to 70%",5,IF(BV400="Less than 50%",0,IF(BV400="Negative",-10,IF(BV400="Less than 50% and Borrowings are increasing",-5,0)))))</f>
        <v/>
      </c>
      <c r="BX400" s="30" t="inlineStr">
        <is>
          <t>More than 1.2</t>
        </is>
      </c>
      <c r="BY400" s="30">
        <f>IF(BX400="More than 1.2",-10,IF(BX400="Between 0.7 to 1.2",0,IF(BX400="Less than 0.7",10,0)))</f>
        <v/>
      </c>
      <c r="BZ400" s="30" t="inlineStr">
        <is>
          <t>No</t>
        </is>
      </c>
      <c r="CA400" s="30">
        <f>IF(BZ400="Yes",-10,0)</f>
        <v/>
      </c>
      <c r="CB400" s="30" t="inlineStr">
        <is>
          <t>Less than 15%</t>
        </is>
      </c>
      <c r="CC400" s="30">
        <f>IF(CB400="More than 15%",-10,IF(CB400="Less than 15%",10,0))</f>
        <v/>
      </c>
      <c r="CD400" s="30" t="inlineStr">
        <is>
          <t>No</t>
        </is>
      </c>
      <c r="CE400" s="30">
        <f>IF(CD400="Yes, more than 10%",-10,IF(CD400="No",10,0))</f>
        <v/>
      </c>
    </row>
  </sheetData>
  <autoFilter ref="A1:CE400"/>
  <conditionalFormatting sqref="B2:B40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0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0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0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0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0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0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0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0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0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0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0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0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0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0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0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0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0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0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0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0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0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0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0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0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0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0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0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0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0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40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0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400">
    <cfRule type="cellIs" priority="36" operator="equal" dxfId="3" stopIfTrue="1">
      <formula>"Underperforming"</formula>
    </cfRule>
  </conditionalFormatting>
  <conditionalFormatting sqref="N2:N400">
    <cfRule type="cellIs" priority="37" operator="equal" dxfId="3" stopIfTrue="1">
      <formula>-5</formula>
    </cfRule>
  </conditionalFormatting>
  <conditionalFormatting sqref="Q2:Q40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400" showDropDown="0" showInputMessage="0" showErrorMessage="0" allowBlank="1" type="list">
      <formula1>"Growing Industry,Stagnant Industry,Cyclical in an Upturn"</formula1>
    </dataValidation>
    <dataValidation sqref="Z2:Z40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400" showDropDown="0" showInputMessage="0" showErrorMessage="0" allowBlank="1" type="list">
      <formula1>"Yes,No"</formula1>
    </dataValidation>
    <dataValidation sqref="AD2:AD400" showDropDown="0" showInputMessage="0" showErrorMessage="0" allowBlank="1" type="list">
      <formula1>"Tailwind,Headwind"</formula1>
    </dataValidation>
    <dataValidation sqref="AF2:AF400" showDropDown="0" showInputMessage="0" showErrorMessage="0" allowBlank="1" type="list">
      <formula1>"Structural (10 Years Consistency),Shallow Cyclical (2 to 3 Years Growth),Cyclical"</formula1>
    </dataValidation>
    <dataValidation sqref="AH2:AH400" showDropDown="0" showInputMessage="0" showErrorMessage="0" allowBlank="1" type="list">
      <formula1>"Yes due to Product Mix change or Operating Leverage,Yes, these are peak margins,No"</formula1>
    </dataValidation>
    <dataValidation sqref="AJ2:AJ400" showDropDown="0" showInputMessage="0" showErrorMessage="0" allowBlank="1" type="list">
      <formula1>"Stable,Volatile"</formula1>
    </dataValidation>
    <dataValidation sqref="AL2:AL400" showDropDown="0" showInputMessage="0" showErrorMessage="0" allowBlank="1" type="list">
      <formula1>"Yes,No"</formula1>
    </dataValidation>
    <dataValidation sqref="AN2:AN400" showDropDown="0" showInputMessage="0" showErrorMessage="0" allowBlank="1" type="list">
      <formula1>"B2C,B2B,B2G"</formula1>
    </dataValidation>
    <dataValidation sqref="AP2:AP400" showDropDown="0" showInputMessage="0" showErrorMessage="0" allowBlank="1" type="list">
      <formula1>"Yes,No"</formula1>
    </dataValidation>
    <dataValidation sqref="AR2:AR400" showDropDown="0" showInputMessage="0" showErrorMessage="0" allowBlank="1" type="list">
      <formula1>"Fully Annuity,Higher Annuity, Lower One time,Higher One Time, Lower Annuity,Fully One Time"</formula1>
    </dataValidation>
    <dataValidation sqref="AT2:AT400" showDropDown="0" showInputMessage="0" showErrorMessage="0" allowBlank="1" type="list">
      <formula1>"Good,Allocated capital in Non-core Areas"</formula1>
    </dataValidation>
    <dataValidation sqref="AV2:AV400" showDropDown="0" showInputMessage="0" showErrorMessage="0" allowBlank="1" type="list">
      <formula1>"Yes for more than 2 years,Yes only for next 1 to 2 years,No"</formula1>
    </dataValidation>
    <dataValidation sqref="AX2:AX400" showDropDown="0" showInputMessage="0" showErrorMessage="0" allowBlank="1" type="list">
      <formula1>"Above 40,20 to 40,0 to 20"</formula1>
    </dataValidation>
    <dataValidation sqref="AZ2:AZ400" showDropDown="0" showInputMessage="0" showErrorMessage="0" allowBlank="1" type="list">
      <formula1>"Between 50 to 75,Above 75,Below 45"</formula1>
    </dataValidation>
    <dataValidation sqref="BB2:BB400" showDropDown="0" showInputMessage="0" showErrorMessage="0" allowBlank="1" type="list">
      <formula1>"Stage 1,Stage 2,Stage 3,Stage 4"</formula1>
    </dataValidation>
    <dataValidation sqref="BD2:BD400" showDropDown="0" showInputMessage="0" showErrorMessage="0" allowBlank="1" type="list">
      <formula1>"Positive Trend,Negative Trend"</formula1>
    </dataValidation>
    <dataValidation sqref="BF2:BF400" showDropDown="0" showInputMessage="0" showErrorMessage="0" allowBlank="1" type="list">
      <formula1>"Uptrend,Sideways,Downtrend"</formula1>
    </dataValidation>
    <dataValidation sqref="BH2:BH400" showDropDown="0" showInputMessage="0" showErrorMessage="0" allowBlank="1" type="list">
      <formula1>"Uptrend,Sideways,Downtrend"</formula1>
    </dataValidation>
    <dataValidation sqref="BJ2:BJ40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400" showDropDown="0" showInputMessage="0" showErrorMessage="0" allowBlank="1" type="list">
      <formula1>"Yes,No"</formula1>
    </dataValidation>
    <dataValidation sqref="BN2:BN400" showDropDown="0" showInputMessage="0" showErrorMessage="0" allowBlank="1" type="list">
      <formula1>"More than 20%,Between 12 to 20%,Less than 12%"</formula1>
    </dataValidation>
    <dataValidation sqref="BP2:BP400" showDropDown="0" showInputMessage="0" showErrorMessage="0" allowBlank="1" type="list">
      <formula1>"Yes,No"</formula1>
    </dataValidation>
    <dataValidation sqref="BR2:BR400" showDropDown="0" showInputMessage="0" showErrorMessage="0" allowBlank="1" type="list">
      <formula1>"Yes,No"</formula1>
    </dataValidation>
    <dataValidation sqref="BT2:BT400" showDropDown="0" showInputMessage="0" showErrorMessage="0" allowBlank="1" type="list">
      <formula1>"Above 2,Between 1.5 to 2,Less than 1.5"</formula1>
    </dataValidation>
    <dataValidation sqref="BV2:BV400" showDropDown="0" showInputMessage="0" showErrorMessage="0" allowBlank="1" type="list">
      <formula1>"Above 70%,Between 50% to 70%,Less than 50%,Less than 50% and Borrowings are increasing,Negative"</formula1>
    </dataValidation>
    <dataValidation sqref="BX2:BX400" showDropDown="0" showInputMessage="0" showErrorMessage="0" allowBlank="1" type="list">
      <formula1>"More than 1.2,Between 0.7 to 1.2,Less than 0.7"</formula1>
    </dataValidation>
    <dataValidation sqref="BZ2:BZ400" showDropDown="0" showInputMessage="0" showErrorMessage="0" allowBlank="1" type="list">
      <formula1>"Yes,No"</formula1>
    </dataValidation>
    <dataValidation sqref="CB2:CB400" showDropDown="0" showInputMessage="0" showErrorMessage="0" allowBlank="1" type="list">
      <formula1>"More than 15%,Less than 15%"</formula1>
    </dataValidation>
    <dataValidation sqref="CD2:CD40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8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IF(B2=0,"",RANK(B2,$B$2:$B$81,0))</f>
        <v/>
      </c>
      <c r="B2" s="31">
        <f>SUM(N2,Y2,AA2,AC2,AE2,AG2,AI2,AK2,AM2,AO2,AQ2,AS2,AU2,AW2,AY2,BA2,BC2,BE2,BG2,BI2,BK2,BM2,BO2,BQ2,BS2,BU2,BW2,BY2,CA2)</f>
        <v/>
      </c>
      <c r="C2" s="30" t="inlineStr">
        <is>
          <t>KTKBANK</t>
        </is>
      </c>
      <c r="D2" s="30" t="inlineStr">
        <is>
          <t>The Karnataka Bank Limited</t>
        </is>
      </c>
      <c r="E2" s="30" t="inlineStr">
        <is>
          <t>bank</t>
        </is>
      </c>
      <c r="F2" s="30" t="inlineStr">
        <is>
          <t>banks - private sector</t>
        </is>
      </c>
      <c r="G2" s="30" t="inlineStr">
        <is>
          <t>midcap</t>
        </is>
      </c>
      <c r="H2" s="31" t="n">
        <v>10480.16</v>
      </c>
      <c r="I2" s="31" t="n">
        <v>277.9</v>
      </c>
      <c r="J2" s="31" t="n">
        <v>0.27</v>
      </c>
      <c r="K2" s="31" t="n">
        <v>2191512</v>
      </c>
      <c r="L2" s="30" t="n">
        <v>49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69.81</v>
      </c>
      <c r="P2" s="31" t="n">
        <v>54.63</v>
      </c>
      <c r="Q2" s="31" t="n">
        <v>222.85</v>
      </c>
      <c r="R2" s="30" t="inlineStr">
        <is>
          <t>Near 52W High Breakout</t>
        </is>
      </c>
      <c r="S2" s="30" t="inlineStr">
        <is>
          <t>Nifty Bank</t>
        </is>
      </c>
      <c r="T2" s="31" t="n">
        <v>3.04</v>
      </c>
      <c r="U2" s="31" t="n">
        <v>42.62</v>
      </c>
      <c r="V2" s="31" t="n">
        <v>38.41</v>
      </c>
      <c r="W2" s="31" t="n">
        <v>12.39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IF(B3=0,"",RANK(B3,$B$2:$B$81,0))</f>
        <v/>
      </c>
      <c r="B3" s="31">
        <f>SUM(N3,Y3,AA3,AC3,AE3,AG3,AI3,AK3,AM3,AO3,AQ3,AS3,AU3,AW3,AY3,BA3,BC3,BE3,BG3,BI3,BK3,BM3,BO3,BQ3,BS3,BU3,BW3,BY3,CA3)</f>
        <v/>
      </c>
      <c r="C3" s="30" t="inlineStr">
        <is>
          <t>MAHABANK</t>
        </is>
      </c>
      <c r="D3" s="30" t="inlineStr">
        <is>
          <t>Bank Of Maharashtra Ltd</t>
        </is>
      </c>
      <c r="E3" s="30" t="inlineStr">
        <is>
          <t>bank</t>
        </is>
      </c>
      <c r="F3" s="30" t="inlineStr">
        <is>
          <t>banks - public sector</t>
        </is>
      </c>
      <c r="G3" s="30" t="inlineStr">
        <is>
          <t>largecap</t>
        </is>
      </c>
      <c r="H3" s="31" t="n">
        <v>69331.67999999999</v>
      </c>
      <c r="I3" s="31" t="n">
        <v>89.5</v>
      </c>
      <c r="J3" s="31" t="n">
        <v>-0.71</v>
      </c>
      <c r="K3" s="31" t="n">
        <v>12053692</v>
      </c>
      <c r="L3" s="30" t="n">
        <v>71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72.83</v>
      </c>
      <c r="P3" s="31" t="n">
        <v>43.78</v>
      </c>
      <c r="Q3" s="31" t="n">
        <v>73.19</v>
      </c>
      <c r="R3" s="30" t="inlineStr">
        <is>
          <t>Near 52W High Breakout</t>
        </is>
      </c>
      <c r="S3" s="30" t="inlineStr">
        <is>
          <t>Nifty Bank</t>
        </is>
      </c>
      <c r="T3" s="31" t="n">
        <v>3.04</v>
      </c>
      <c r="U3" s="31" t="n">
        <v>71.23999999999999</v>
      </c>
      <c r="V3" s="31" t="n">
        <v>66.18000000000001</v>
      </c>
      <c r="W3" s="31" t="n">
        <v>19.98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IF(B4=0,"",RANK(B4,$B$2:$B$81,0))</f>
        <v/>
      </c>
      <c r="B4" s="31">
        <f>SUM(N4,Y4,AA4,AC4,AE4,AG4,AI4,AK4,AM4,AO4,AQ4,AS4,AU4,AW4,AY4,BA4,BC4,BE4,BG4,BI4,BK4,BM4,BO4,BQ4,BS4,BU4,BW4,BY4,CA4)</f>
        <v/>
      </c>
      <c r="C4" s="30" t="inlineStr">
        <is>
          <t>SATIN</t>
        </is>
      </c>
      <c r="D4" s="30" t="inlineStr">
        <is>
          <t>Satin Creditcare Network Limited</t>
        </is>
      </c>
      <c r="E4" s="30" t="inlineStr">
        <is>
          <t>financials</t>
        </is>
      </c>
      <c r="F4" s="30" t="inlineStr">
        <is>
          <t>finance &amp; investments</t>
        </is>
      </c>
      <c r="G4" s="30" t="inlineStr">
        <is>
          <t>smallcap</t>
        </is>
      </c>
      <c r="H4" s="31" t="n">
        <v>2602.59</v>
      </c>
      <c r="I4" s="31" t="n">
        <v>231.43</v>
      </c>
      <c r="J4" s="31" t="n">
        <v>-1.77</v>
      </c>
      <c r="K4" s="31" t="n">
        <v>190544</v>
      </c>
      <c r="L4" s="30" t="n">
        <v>78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69.77</v>
      </c>
      <c r="P4" s="31" t="n">
        <v>45.82</v>
      </c>
      <c r="Q4" s="31" t="n">
        <v>187.8</v>
      </c>
      <c r="R4" s="30" t="inlineStr">
        <is>
          <t>Near 52W High Breakout</t>
        </is>
      </c>
      <c r="S4" s="30" t="inlineStr">
        <is>
          <t>Nifty Bank</t>
        </is>
      </c>
      <c r="T4" s="31" t="n">
        <v>3.04</v>
      </c>
      <c r="U4" s="31" t="n">
        <v>52.64</v>
      </c>
      <c r="V4" s="31" t="n">
        <v>48.13</v>
      </c>
      <c r="W4" s="31" t="n">
        <v>22.94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IF(B5=0,"",RANK(B5,$B$2:$B$81,0))</f>
        <v/>
      </c>
      <c r="B5" s="31">
        <f>SUM(N5,Y5,AA5,AC5,AE5,AG5,AI5,AK5,AM5,AO5,AQ5,AS5,AU5,AW5,AY5,BA5,BC5,BE5,BG5,BI5,BK5,BM5,BO5,BQ5,BS5,BU5,BW5,BY5,CA5)</f>
        <v/>
      </c>
      <c r="C5" s="30" t="inlineStr">
        <is>
          <t>BANDHANBNK</t>
        </is>
      </c>
      <c r="D5" s="30" t="inlineStr">
        <is>
          <t>Bandhan Bank Ltd</t>
        </is>
      </c>
      <c r="E5" s="30" t="inlineStr">
        <is>
          <t>bank</t>
        </is>
      </c>
      <c r="F5" s="30" t="inlineStr">
        <is>
          <t>banks - private sector</t>
        </is>
      </c>
      <c r="G5" s="30" t="inlineStr">
        <is>
          <t>largecap</t>
        </is>
      </c>
      <c r="H5" s="31" t="n">
        <v>34436.14</v>
      </c>
      <c r="I5" s="31" t="n">
        <v>214.28</v>
      </c>
      <c r="J5" s="31" t="n">
        <v>0.24</v>
      </c>
      <c r="K5" s="31" t="n">
        <v>4553796</v>
      </c>
      <c r="L5" s="30" t="n">
        <v>46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67.44</v>
      </c>
      <c r="P5" s="31" t="n">
        <v>26.1</v>
      </c>
      <c r="Q5" s="31" t="n">
        <v>173.15</v>
      </c>
      <c r="R5" s="30" t="inlineStr">
        <is>
          <t>Near 52W High Breakout</t>
        </is>
      </c>
      <c r="S5" s="30" t="inlineStr">
        <is>
          <t>Nifty Bank</t>
        </is>
      </c>
      <c r="T5" s="31" t="n">
        <v>3.04</v>
      </c>
      <c r="U5" s="31" t="n">
        <v>20.1</v>
      </c>
      <c r="V5" s="31" t="n">
        <v>16.55</v>
      </c>
      <c r="W5" s="31" t="n">
        <v>11.91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IF(B6=0,"",RANK(B6,$B$2:$B$81,0))</f>
        <v/>
      </c>
      <c r="B6" s="31">
        <f>SUM(N6,Y6,AA6,AC6,AE6,AG6,AI6,AK6,AM6,AO6,AQ6,AS6,AU6,AW6,AY6,BA6,BC6,BE6,BG6,BI6,BK6,BM6,BO6,BQ6,BS6,BU6,BW6,BY6,CA6)</f>
        <v/>
      </c>
      <c r="C6" s="30" t="inlineStr">
        <is>
          <t>FEDFINA</t>
        </is>
      </c>
      <c r="D6" s="30" t="inlineStr">
        <is>
          <t>Fedbank Financial Services Ltd</t>
        </is>
      </c>
      <c r="E6" s="30" t="inlineStr">
        <is>
          <t>financials</t>
        </is>
      </c>
      <c r="F6" s="30" t="inlineStr">
        <is>
          <t>finance &amp; investments</t>
        </is>
      </c>
      <c r="G6" s="30" t="inlineStr">
        <is>
          <t>midcap</t>
        </is>
      </c>
      <c r="H6" s="31" t="n">
        <v>5973.83</v>
      </c>
      <c r="I6" s="31" t="n">
        <v>159.78</v>
      </c>
      <c r="J6" s="31" t="n">
        <v>0.09</v>
      </c>
      <c r="K6" s="31" t="n">
        <v>1107590</v>
      </c>
      <c r="L6" s="30" t="n">
        <v>44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61.17</v>
      </c>
      <c r="P6" s="31" t="n">
        <v>24.57</v>
      </c>
      <c r="Q6" s="31" t="n">
        <v>123.71</v>
      </c>
      <c r="R6" s="30" t="inlineStr">
        <is>
          <t>Near 52W High Breakout</t>
        </is>
      </c>
      <c r="S6" s="30" t="inlineStr">
        <is>
          <t>Nifty Bank</t>
        </is>
      </c>
      <c r="T6" s="31" t="n">
        <v>3.04</v>
      </c>
      <c r="U6" s="31" t="n">
        <v>38.64</v>
      </c>
      <c r="V6" s="31" t="n">
        <v>34.55</v>
      </c>
      <c r="W6" s="31" t="n">
        <v>11.4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IF(B7=0,"",RANK(B7,$B$2:$B$81,0))</f>
        <v/>
      </c>
      <c r="B7" s="31">
        <f>SUM(N7,Y7,AA7,AC7,AE7,AG7,AI7,AK7,AM7,AO7,AQ7,AS7,AU7,AW7,AY7,BA7,BC7,BE7,BG7,BI7,BK7,BM7,BO7,BQ7,BS7,BU7,BW7,BY7,CA7)</f>
        <v/>
      </c>
      <c r="C7" s="30" t="inlineStr">
        <is>
          <t>RBLBANK</t>
        </is>
      </c>
      <c r="D7" s="30" t="inlineStr">
        <is>
          <t>Rbl Bank Limited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largecap</t>
        </is>
      </c>
      <c r="H7" s="31" t="n">
        <v>22820.67</v>
      </c>
      <c r="I7" s="31" t="n">
        <v>369.25</v>
      </c>
      <c r="J7" s="31" t="n">
        <v>0.01</v>
      </c>
      <c r="K7" s="31" t="n">
        <v>5075765</v>
      </c>
      <c r="L7" s="30" t="n">
        <v>60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70.09</v>
      </c>
      <c r="P7" s="31" t="n">
        <v>31.52</v>
      </c>
      <c r="Q7" s="31" t="n">
        <v>308.83</v>
      </c>
      <c r="R7" s="30" t="inlineStr">
        <is>
          <t>Near 52W High Breakout</t>
        </is>
      </c>
      <c r="S7" s="30" t="inlineStr">
        <is>
          <t>Nifty Bank</t>
        </is>
      </c>
      <c r="T7" s="31" t="n">
        <v>3.04</v>
      </c>
      <c r="U7" s="31" t="n">
        <v>62.52</v>
      </c>
      <c r="V7" s="31" t="n">
        <v>57.72</v>
      </c>
      <c r="W7" s="31" t="n">
        <v>15.5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IF(B8=0,"",RANK(B8,$B$2:$B$81,0))</f>
        <v/>
      </c>
      <c r="B8" s="31">
        <f>SUM(N8,Y8,AA8,AC8,AE8,AG8,AI8,AK8,AM8,AO8,AQ8,AS8,AU8,AW8,AY8,BA8,BC8,BE8,BG8,BI8,BK8,BM8,BO8,BQ8,BS8,BU8,BW8,BY8,CA8)</f>
        <v/>
      </c>
      <c r="C8" s="30" t="inlineStr">
        <is>
          <t>TMB</t>
        </is>
      </c>
      <c r="D8" s="30" t="inlineStr">
        <is>
          <t>Tamilnad Mercantile Bank Ltd</t>
        </is>
      </c>
      <c r="E8" s="30" t="inlineStr">
        <is>
          <t>bank</t>
        </is>
      </c>
      <c r="F8" s="30" t="inlineStr">
        <is>
          <t>banks - private sector</t>
        </is>
      </c>
      <c r="G8" s="30" t="inlineStr">
        <is>
          <t>midcap</t>
        </is>
      </c>
      <c r="H8" s="31" t="n">
        <v>12380.71</v>
      </c>
      <c r="I8" s="31" t="n">
        <v>780.6</v>
      </c>
      <c r="J8" s="31" t="n">
        <v>-0.16</v>
      </c>
      <c r="K8" s="31" t="n">
        <v>152808</v>
      </c>
      <c r="L8" s="30" t="n">
        <v>72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70.2</v>
      </c>
      <c r="P8" s="31" t="n">
        <v>30.87</v>
      </c>
      <c r="Q8" s="31" t="n">
        <v>625.1799999999999</v>
      </c>
      <c r="R8" s="30" t="inlineStr">
        <is>
          <t>Near 52W High Breakout</t>
        </is>
      </c>
      <c r="S8" s="30" t="inlineStr">
        <is>
          <t>Nifty Bank</t>
        </is>
      </c>
      <c r="T8" s="31" t="n">
        <v>3.04</v>
      </c>
      <c r="U8" s="31" t="n">
        <v>84.31</v>
      </c>
      <c r="V8" s="31" t="n">
        <v>78.87</v>
      </c>
      <c r="W8" s="31" t="n">
        <v>20.13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IF(B9=0,"",RANK(B9,$B$2:$B$81,0))</f>
        <v/>
      </c>
      <c r="B9" s="31">
        <f>SUM(N9,Y9,AA9,AC9,AE9,AG9,AI9,AK9,AM9,AO9,AQ9,AS9,AU9,AW9,AY9,BA9,BC9,BE9,BG9,BI9,BK9,BM9,BO9,BQ9,BS9,BU9,BW9,BY9,CA9)</f>
        <v/>
      </c>
      <c r="C9" s="30" t="inlineStr">
        <is>
          <t>NORTHARC</t>
        </is>
      </c>
      <c r="D9" s="30" t="inlineStr">
        <is>
          <t>Northern ARC Capital Ltd</t>
        </is>
      </c>
      <c r="E9" s="30" t="inlineStr">
        <is>
          <t>financials</t>
        </is>
      </c>
      <c r="F9" s="30" t="inlineStr">
        <is>
          <t>finance &amp; investments</t>
        </is>
      </c>
      <c r="G9" s="30" t="inlineStr">
        <is>
          <t>smallcap</t>
        </is>
      </c>
      <c r="H9" s="31" t="n">
        <v>4777.68</v>
      </c>
      <c r="I9" s="31" t="n">
        <v>295.05</v>
      </c>
      <c r="J9" s="31" t="n">
        <v>-0.22</v>
      </c>
      <c r="K9" s="31" t="n">
        <v>491669</v>
      </c>
      <c r="L9" s="30" t="n">
        <v>53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63.27</v>
      </c>
      <c r="P9" s="31" t="n">
        <v>30.22</v>
      </c>
      <c r="Q9" s="31" t="n">
        <v>228.25</v>
      </c>
      <c r="R9" s="30" t="inlineStr">
        <is>
          <t>Near 52W High Breakout</t>
        </is>
      </c>
      <c r="S9" s="30" t="inlineStr">
        <is>
          <t>Nifty Bank</t>
        </is>
      </c>
      <c r="T9" s="31" t="n">
        <v>3.04</v>
      </c>
      <c r="U9" s="31" t="n">
        <v>41.59</v>
      </c>
      <c r="V9" s="31" t="n">
        <v>37.41</v>
      </c>
      <c r="W9" s="31" t="n">
        <v>13.76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IF(B10=0,"",RANK(B10,$B$2:$B$81,0))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DHANBANK</t>
        </is>
      </c>
      <c r="D10" s="30" t="inlineStr">
        <is>
          <t>Dhanlaxmi Bank Limited</t>
        </is>
      </c>
      <c r="E10" s="30" t="inlineStr">
        <is>
          <t>bank</t>
        </is>
      </c>
      <c r="F10" s="30" t="inlineStr">
        <is>
          <t>banks - private sector</t>
        </is>
      </c>
      <c r="G10" s="30" t="inlineStr">
        <is>
          <t>smallcap</t>
        </is>
      </c>
      <c r="H10" s="31" t="n">
        <v>1296.19</v>
      </c>
      <c r="I10" s="31" t="n">
        <v>34.06</v>
      </c>
      <c r="J10" s="31" t="n">
        <v>3.72</v>
      </c>
      <c r="K10" s="31" t="n">
        <v>2325033</v>
      </c>
      <c r="L10" s="30" t="n">
        <v>62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70.39</v>
      </c>
      <c r="P10" s="31" t="n">
        <v>31.69</v>
      </c>
      <c r="Q10" s="31" t="n">
        <v>26.03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3.04</v>
      </c>
      <c r="U10" s="31" t="n">
        <v>18.63</v>
      </c>
      <c r="V10" s="31" t="n">
        <v>15.13</v>
      </c>
      <c r="W10" s="31" t="n">
        <v>16.19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IF(B11=0,"",RANK(B11,$B$2:$B$81,0))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RANEHOLDIN</t>
        </is>
      </c>
      <c r="D11" s="30" t="inlineStr">
        <is>
          <t>Rane Holdings Limited</t>
        </is>
      </c>
      <c r="E11" s="30" t="inlineStr">
        <is>
          <t>financials</t>
        </is>
      </c>
      <c r="F11" s="30" t="inlineStr">
        <is>
          <t>finance &amp; investments</t>
        </is>
      </c>
      <c r="G11" s="30" t="inlineStr">
        <is>
          <t>smallcap</t>
        </is>
      </c>
      <c r="H11" s="31" t="n">
        <v>2299.58</v>
      </c>
      <c r="I11" s="31" t="n">
        <v>1654.3</v>
      </c>
      <c r="J11" s="31" t="n">
        <v>2.71</v>
      </c>
      <c r="K11" s="31" t="n">
        <v>27134</v>
      </c>
      <c r="L11" s="30" t="n">
        <v>62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70.11</v>
      </c>
      <c r="P11" s="31" t="n">
        <v>26.97</v>
      </c>
      <c r="Q11" s="31" t="n">
        <v>1248.42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3.04</v>
      </c>
      <c r="U11" s="31" t="n">
        <v>11.11</v>
      </c>
      <c r="V11" s="31" t="n">
        <v>7.83</v>
      </c>
      <c r="W11" s="31" t="n">
        <v>15.94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less than 2.5x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IF(B12=0,"",RANK(B12,$B$2:$B$81,0))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SURYODAY</t>
        </is>
      </c>
      <c r="D12" s="30" t="inlineStr">
        <is>
          <t>Suryoday Small Finance Bank Ltd</t>
        </is>
      </c>
      <c r="E12" s="30" t="inlineStr">
        <is>
          <t>bank</t>
        </is>
      </c>
      <c r="F12" s="30" t="inlineStr">
        <is>
          <t>banks - private sector</t>
        </is>
      </c>
      <c r="G12" s="30" t="inlineStr">
        <is>
          <t>smallcap</t>
        </is>
      </c>
      <c r="H12" s="31" t="n">
        <v>1812.67</v>
      </c>
      <c r="I12" s="31" t="n">
        <v>173.43</v>
      </c>
      <c r="J12" s="31" t="n">
        <v>1.69</v>
      </c>
      <c r="K12" s="31" t="n">
        <v>402453</v>
      </c>
      <c r="L12" s="30" t="n">
        <v>53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63.89</v>
      </c>
      <c r="P12" s="31" t="n">
        <v>30.75</v>
      </c>
      <c r="Q12" s="31" t="n">
        <v>138.77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3.04</v>
      </c>
      <c r="U12" s="31" t="n">
        <v>23.83</v>
      </c>
      <c r="V12" s="31" t="n">
        <v>20.18</v>
      </c>
      <c r="W12" s="31" t="n">
        <v>13.74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IF(B13=0,"",RANK(B13,$B$2:$B$81,0))</f>
        <v/>
      </c>
      <c r="B13" s="31">
        <f>SUM(N13,Y13,AA13,AC13,AE13,AG13,AI13,AK13,AM13,AO13,AQ13,AS13,AU13,AW13,AY13,BA13,BC13,BE13,BG13,BI13,BK13,BM13,BO13,BQ13,BS13,BU13,BW13,BY13,CA13)</f>
        <v/>
      </c>
      <c r="C13" s="32" t="inlineStr">
        <is>
          <t>ESAFSFB</t>
        </is>
      </c>
      <c r="D13" s="32" t="inlineStr">
        <is>
          <t>ESAF Small Finance Bank Ltd</t>
        </is>
      </c>
      <c r="E13" s="30" t="inlineStr">
        <is>
          <t>bank</t>
        </is>
      </c>
      <c r="F13" s="30" t="inlineStr">
        <is>
          <t>banks - private sector</t>
        </is>
      </c>
      <c r="G13" s="30" t="inlineStr">
        <is>
          <t>smallcap</t>
        </is>
      </c>
      <c r="H13" s="31" t="n">
        <v>1589.79</v>
      </c>
      <c r="I13" s="31" t="n">
        <v>32.02</v>
      </c>
      <c r="J13" s="31" t="n">
        <v>3.86</v>
      </c>
      <c r="K13" s="31" t="n">
        <v>3025012</v>
      </c>
      <c r="L13" s="30" t="n">
        <v>39</v>
      </c>
      <c r="M13" s="30" t="inlineStr">
        <is>
          <t>Underperforming</t>
        </is>
      </c>
      <c r="N13" s="31">
        <f>IF(M13="Underperforming",-5,IF(L13&gt;=95,15,IF(L13&gt;=90,10,IF(L13&gt;=80,5,0))))</f>
        <v/>
      </c>
      <c r="O13" s="31" t="n">
        <v>63.98</v>
      </c>
      <c r="P13" s="31" t="n">
        <v>25.17</v>
      </c>
      <c r="Q13" s="31" t="n">
        <v>24.26</v>
      </c>
      <c r="R13" s="30" t="inlineStr">
        <is>
          <t>Volume Spike / Accumulation</t>
        </is>
      </c>
      <c r="S13" s="30" t="inlineStr">
        <is>
          <t>Nifty Bank</t>
        </is>
      </c>
      <c r="T13" s="31" t="n">
        <v>3.04</v>
      </c>
      <c r="U13" s="31" t="n">
        <v>2.27</v>
      </c>
      <c r="V13" s="31" t="n">
        <v>-0.75</v>
      </c>
      <c r="W13" s="31" t="n">
        <v>9.800000000000001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less than 2.5x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IF(B14=0,"",RANK(B14,$B$2:$B$81,0))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AUBANK</t>
        </is>
      </c>
      <c r="D14" s="30" t="inlineStr">
        <is>
          <t>AU Small Finance Bank Ltd</t>
        </is>
      </c>
      <c r="E14" s="30" t="inlineStr">
        <is>
          <t>bank</t>
        </is>
      </c>
      <c r="F14" s="30" t="inlineStr">
        <is>
          <t>banks - private sector</t>
        </is>
      </c>
      <c r="G14" s="30" t="inlineStr">
        <is>
          <t>largecap</t>
        </is>
      </c>
      <c r="H14" s="31" t="n">
        <v>76386.85000000001</v>
      </c>
      <c r="I14" s="31" t="n">
        <v>1025.35</v>
      </c>
      <c r="J14" s="31" t="n">
        <v>0.44</v>
      </c>
      <c r="K14" s="31" t="n">
        <v>908553</v>
      </c>
      <c r="L14" s="30" t="n">
        <v>37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57.95</v>
      </c>
      <c r="P14" s="31" t="n">
        <v>21.83</v>
      </c>
      <c r="Q14" s="31" t="n">
        <v>884.04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3.04</v>
      </c>
      <c r="U14" s="31" t="n">
        <v>29.08</v>
      </c>
      <c r="V14" s="31" t="n">
        <v>25.27</v>
      </c>
      <c r="W14" s="31" t="n">
        <v>9.31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between 2.5x to 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Blue sky scenario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IF(B15=0,"",RANK(B15,$B$2:$B$81,0))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ABSLAMC</t>
        </is>
      </c>
      <c r="D15" s="30" t="inlineStr">
        <is>
          <t>Aditya Birla Sun Life AMC Ltd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largecap</t>
        </is>
      </c>
      <c r="H15" s="31" t="n">
        <v>31708.03</v>
      </c>
      <c r="I15" s="31" t="n">
        <v>1167.1</v>
      </c>
      <c r="J15" s="31" t="n">
        <v>6.3</v>
      </c>
      <c r="K15" s="31" t="n">
        <v>541723</v>
      </c>
      <c r="L15" s="30" t="n">
        <v>59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70.5</v>
      </c>
      <c r="P15" s="31" t="n">
        <v>42.03</v>
      </c>
      <c r="Q15" s="31" t="n">
        <v>936.24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3.04</v>
      </c>
      <c r="U15" s="31" t="n">
        <v>58.63</v>
      </c>
      <c r="V15" s="31" t="n">
        <v>53.95</v>
      </c>
      <c r="W15" s="31" t="n">
        <v>15.12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above 5x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Above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Blue sky scenario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IF(B16=0,"",RANK(B16,$B$2:$B$81,0))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STARHEALTH</t>
        </is>
      </c>
      <c r="D16" s="30" t="inlineStr">
        <is>
          <t>Star Health &amp; Allied Insurance Company Ltd</t>
        </is>
      </c>
      <c r="E16" s="30" t="inlineStr">
        <is>
          <t>financials</t>
        </is>
      </c>
      <c r="F16" s="30" t="inlineStr">
        <is>
          <t>finance &amp; investments</t>
        </is>
      </c>
      <c r="G16" s="30" t="inlineStr">
        <is>
          <t>largecap</t>
        </is>
      </c>
      <c r="H16" s="31" t="n">
        <v>31403.09</v>
      </c>
      <c r="I16" s="31" t="n">
        <v>565.65</v>
      </c>
      <c r="J16" s="31" t="n">
        <v>5.99</v>
      </c>
      <c r="K16" s="31" t="n">
        <v>7103329</v>
      </c>
      <c r="L16" s="30" t="n">
        <v>44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69.33</v>
      </c>
      <c r="P16" s="31" t="n">
        <v>28.64</v>
      </c>
      <c r="Q16" s="31" t="n">
        <v>467.59</v>
      </c>
      <c r="R16" s="30" t="inlineStr">
        <is>
          <t>Volume Spike &amp; Near 52W High Breakout</t>
        </is>
      </c>
      <c r="S16" s="30" t="inlineStr">
        <is>
          <t>Nifty Bank</t>
        </is>
      </c>
      <c r="T16" s="31" t="n">
        <v>3.04</v>
      </c>
      <c r="U16" s="31" t="n">
        <v>32.86</v>
      </c>
      <c r="V16" s="31" t="n">
        <v>28.94</v>
      </c>
      <c r="W16" s="31" t="n">
        <v>11.3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between 2.5x to 5x and Growth more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Close to 52 week high or retracement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IF(B17=0,"",RANK(B17,$B$2:$B$81,0))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NIVABUPA</t>
        </is>
      </c>
      <c r="D17" s="30" t="inlineStr">
        <is>
          <t>Niva Bupa Health Insurance Company Ltd</t>
        </is>
      </c>
      <c r="E17" s="30" t="inlineStr">
        <is>
          <t>financials</t>
        </is>
      </c>
      <c r="F17" s="30" t="inlineStr">
        <is>
          <t>finance &amp; investments</t>
        </is>
      </c>
      <c r="G17" s="30" t="inlineStr">
        <is>
          <t>midcap</t>
        </is>
      </c>
      <c r="H17" s="31" t="n">
        <v>15647.96</v>
      </c>
      <c r="I17" s="31" t="n">
        <v>87.09</v>
      </c>
      <c r="J17" s="31" t="n">
        <v>2.82</v>
      </c>
      <c r="K17" s="31" t="n">
        <v>8129379</v>
      </c>
      <c r="L17" s="30" t="n">
        <v>24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63.83</v>
      </c>
      <c r="P17" s="31" t="n">
        <v>24.56</v>
      </c>
      <c r="Q17" s="31" t="n">
        <v>71.56999999999999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3.04</v>
      </c>
      <c r="U17" s="31" t="n">
        <v>7.32</v>
      </c>
      <c r="V17" s="31" t="n">
        <v>4.15</v>
      </c>
      <c r="W17" s="31" t="n">
        <v>6.94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between 2.5x to 5x and Growth more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Close to 52 week high or retracement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IF(B18=0,"",RANK(B18,$B$2:$B$81,0))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YESBANK</t>
        </is>
      </c>
      <c r="D18" s="30" t="inlineStr">
        <is>
          <t>Yes Bank Limited</t>
        </is>
      </c>
      <c r="E18" s="30" t="inlineStr">
        <is>
          <t>bank</t>
        </is>
      </c>
      <c r="F18" s="30" t="inlineStr">
        <is>
          <t>banks - private sector</t>
        </is>
      </c>
      <c r="G18" s="30" t="inlineStr">
        <is>
          <t>largecap</t>
        </is>
      </c>
      <c r="H18" s="31" t="n">
        <v>78791.27</v>
      </c>
      <c r="I18" s="31" t="n">
        <v>25.48</v>
      </c>
      <c r="J18" s="31" t="n">
        <v>1.47</v>
      </c>
      <c r="K18" s="31" t="n">
        <v>232600629</v>
      </c>
      <c r="L18" s="30" t="n">
        <v>54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68.76000000000001</v>
      </c>
      <c r="P18" s="31" t="n">
        <v>24.57</v>
      </c>
      <c r="Q18" s="31" t="n">
        <v>21.14</v>
      </c>
      <c r="R18" s="30" t="inlineStr">
        <is>
          <t>Volume Spike &amp; Near 52W High Breakout</t>
        </is>
      </c>
      <c r="S18" s="30" t="inlineStr">
        <is>
          <t>Nifty Bank</t>
        </is>
      </c>
      <c r="T18" s="31" t="n">
        <v>3.04</v>
      </c>
      <c r="U18" s="31" t="n">
        <v>29.14</v>
      </c>
      <c r="V18" s="31" t="n">
        <v>25.33</v>
      </c>
      <c r="W18" s="31" t="n">
        <v>13.94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less than 2.5x and Growth less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Blue sky scenario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IF(B19=0,"",RANK(B19,$B$2:$B$81,0))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DCBBANK</t>
        </is>
      </c>
      <c r="D19" s="30" t="inlineStr">
        <is>
          <t>Dcb Bank Limited</t>
        </is>
      </c>
      <c r="E19" s="30" t="inlineStr">
        <is>
          <t>bank</t>
        </is>
      </c>
      <c r="F19" s="30" t="inlineStr">
        <is>
          <t>banks - private sector</t>
        </is>
      </c>
      <c r="G19" s="30" t="inlineStr">
        <is>
          <t>midcap</t>
        </is>
      </c>
      <c r="H19" s="31" t="n">
        <v>5955.5</v>
      </c>
      <c r="I19" s="31" t="n">
        <v>185.97</v>
      </c>
      <c r="J19" s="31" t="n">
        <v>0.52</v>
      </c>
      <c r="K19" s="31" t="n">
        <v>865184</v>
      </c>
      <c r="L19" s="30" t="n">
        <v>34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58.35</v>
      </c>
      <c r="P19" s="31" t="n">
        <v>20.01</v>
      </c>
      <c r="Q19" s="31" t="n">
        <v>152.51</v>
      </c>
      <c r="R19" s="30" t="inlineStr">
        <is>
          <t>Near 52W High Breakout</t>
        </is>
      </c>
      <c r="S19" s="30" t="inlineStr">
        <is>
          <t>Nifty Bank</t>
        </is>
      </c>
      <c r="T19" s="31" t="n">
        <v>3.04</v>
      </c>
      <c r="U19" s="31" t="n">
        <v>32.68</v>
      </c>
      <c r="V19" s="31" t="n">
        <v>28.77</v>
      </c>
      <c r="W19" s="31" t="n">
        <v>8.640000000000001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less than 2.5x and Growth less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Blue sky scenario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IF(B20=0,"",RANK(B20,$B$2:$B$81,0))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J&amp;KBANK</t>
        </is>
      </c>
      <c r="D20" s="30" t="inlineStr">
        <is>
          <t>The Jammu &amp; Kashmir Bank Limited</t>
        </is>
      </c>
      <c r="E20" s="30" t="inlineStr">
        <is>
          <t>bank</t>
        </is>
      </c>
      <c r="F20" s="30" t="inlineStr">
        <is>
          <t>banks - private sector</t>
        </is>
      </c>
      <c r="G20" s="30" t="inlineStr">
        <is>
          <t>midcap</t>
        </is>
      </c>
      <c r="H20" s="31" t="n">
        <v>17943.77</v>
      </c>
      <c r="I20" s="31" t="n">
        <v>162.9</v>
      </c>
      <c r="J20" s="31" t="n">
        <v>-0.03</v>
      </c>
      <c r="K20" s="31" t="n">
        <v>3378870</v>
      </c>
      <c r="L20" s="30" t="n">
        <v>67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75.33</v>
      </c>
      <c r="P20" s="31" t="n">
        <v>50.58</v>
      </c>
      <c r="Q20" s="31" t="n">
        <v>131.5</v>
      </c>
      <c r="R20" s="30" t="inlineStr">
        <is>
          <t>Near 52W High Breakout</t>
        </is>
      </c>
      <c r="S20" s="30" t="inlineStr">
        <is>
          <t>Nifty Bank</t>
        </is>
      </c>
      <c r="T20" s="31" t="n">
        <v>3.04</v>
      </c>
      <c r="U20" s="31" t="n">
        <v>59.36</v>
      </c>
      <c r="V20" s="31" t="n">
        <v>54.65</v>
      </c>
      <c r="W20" s="31" t="n">
        <v>18.28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less than 2.5x and Growth less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Above 40</t>
        </is>
      </c>
      <c r="BM20" s="30">
        <f>IF(BL20="Above 40",20,IF(BL20="20 to 40",10,IF(BL20="0 to 20",-5,0)))</f>
        <v/>
      </c>
      <c r="BN20" s="30" t="inlineStr">
        <is>
          <t>Above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Blue sky scenario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IF(B21=0,"",RANK(B21,$B$2:$B$81,0))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FEDERALBNK</t>
        </is>
      </c>
      <c r="D21" s="30" t="inlineStr">
        <is>
          <t>The Federal Bank  Limited</t>
        </is>
      </c>
      <c r="E21" s="30" t="inlineStr">
        <is>
          <t>bank</t>
        </is>
      </c>
      <c r="F21" s="30" t="inlineStr">
        <is>
          <t>banks - private sector</t>
        </is>
      </c>
      <c r="G21" s="30" t="inlineStr">
        <is>
          <t>largecap</t>
        </is>
      </c>
      <c r="H21" s="31" t="n">
        <v>79522.39</v>
      </c>
      <c r="I21" s="31" t="n">
        <v>320.45</v>
      </c>
      <c r="J21" s="31" t="n">
        <v>-0.7</v>
      </c>
      <c r="K21" s="31" t="n">
        <v>3885931</v>
      </c>
      <c r="L21" s="30" t="n">
        <v>56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69.15000000000001</v>
      </c>
      <c r="P21" s="31" t="n">
        <v>18.94</v>
      </c>
      <c r="Q21" s="31" t="n">
        <v>274.21</v>
      </c>
      <c r="R21" s="30" t="inlineStr">
        <is>
          <t>Near 52W High Breakout</t>
        </is>
      </c>
      <c r="S21" s="30" t="inlineStr">
        <is>
          <t>Nifty Bank</t>
        </is>
      </c>
      <c r="T21" s="31" t="n">
        <v>3.04</v>
      </c>
      <c r="U21" s="31" t="n">
        <v>55.36</v>
      </c>
      <c r="V21" s="31" t="n">
        <v>50.78</v>
      </c>
      <c r="W21" s="31" t="n">
        <v>14.19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less than 2.5x and Growth more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0 to 20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Blue sky scenario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IF(B22=0,"",RANK(B22,$B$2:$B$81,0))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IFCI</t>
        </is>
      </c>
      <c r="D22" s="30" t="inlineStr">
        <is>
          <t>Ifci Limited</t>
        </is>
      </c>
      <c r="E22" s="30" t="inlineStr">
        <is>
          <t>financials</t>
        </is>
      </c>
      <c r="F22" s="30" t="inlineStr">
        <is>
          <t>finance - term-lending institutions</t>
        </is>
      </c>
      <c r="G22" s="30" t="inlineStr">
        <is>
          <t>largecap</t>
        </is>
      </c>
      <c r="H22" s="31" t="n">
        <v>24267.69</v>
      </c>
      <c r="I22" s="31" t="n">
        <v>82.31</v>
      </c>
      <c r="J22" s="31" t="n">
        <v>-8.619999999999999</v>
      </c>
      <c r="K22" s="31" t="n">
        <v>312395019</v>
      </c>
      <c r="L22" s="30" t="n">
        <v>70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69.67</v>
      </c>
      <c r="P22" s="31" t="n">
        <v>27</v>
      </c>
      <c r="Q22" s="31" t="n">
        <v>60.69</v>
      </c>
      <c r="R22" s="30" t="inlineStr">
        <is>
          <t>Volume Spike &amp; Near 52W High Breakout</t>
        </is>
      </c>
      <c r="S22" s="30" t="inlineStr">
        <is>
          <t>Nifty Bank</t>
        </is>
      </c>
      <c r="T22" s="31" t="n">
        <v>3.04</v>
      </c>
      <c r="U22" s="31" t="n">
        <v>37.27</v>
      </c>
      <c r="V22" s="31" t="n">
        <v>33.22</v>
      </c>
      <c r="W22" s="31" t="n">
        <v>19.48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less than 2.5x and Growth less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Blue sky scenario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IF(B23=0,"",RANK(B23,$B$2:$B$81,0))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KIRLOSIND</t>
        </is>
      </c>
      <c r="D23" s="30" t="inlineStr">
        <is>
          <t>Kirloskar Industries Limited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smallcap</t>
        </is>
      </c>
      <c r="H23" s="31" t="n">
        <v>3813.54</v>
      </c>
      <c r="I23" s="31" t="n">
        <v>3808.7</v>
      </c>
      <c r="J23" s="31" t="n">
        <v>4.96</v>
      </c>
      <c r="K23" s="31" t="n">
        <v>165927</v>
      </c>
      <c r="L23" s="30" t="n">
        <v>45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64.25</v>
      </c>
      <c r="P23" s="31" t="n">
        <v>21.89</v>
      </c>
      <c r="Q23" s="31" t="n">
        <v>2879.05</v>
      </c>
      <c r="R23" s="30" t="inlineStr">
        <is>
          <t>Volume Spike / Accumulation</t>
        </is>
      </c>
      <c r="S23" s="30" t="inlineStr">
        <is>
          <t>Nifty Bank</t>
        </is>
      </c>
      <c r="T23" s="31" t="n">
        <v>3.04</v>
      </c>
      <c r="U23" s="31" t="n">
        <v>7.71</v>
      </c>
      <c r="V23" s="31" t="n">
        <v>4.54</v>
      </c>
      <c r="W23" s="31" t="n">
        <v>11.79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less than 2.5x and Growth less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20 to 40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Close to 52 week high or retracement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IF(B24=0,"",RANK(B24,$B$2:$B$81,0))</f>
        <v/>
      </c>
      <c r="B24" s="31">
        <f>SUM(N24,Y24,AA24,AC24,AE24,AG24,AI24,AK24,AM24,AO24,AQ24,AS24,AU24,AW24,AY24,BA24,BC24,BE24,BG24,BI24,BK24,BM24,BO24,BQ24,BS24,BU24,BW24,BY24,CA24)</f>
        <v/>
      </c>
      <c r="C24" s="32" t="inlineStr">
        <is>
          <t>GEECEE</t>
        </is>
      </c>
      <c r="D24" s="32" t="inlineStr">
        <is>
          <t>Geecee Ventures Limited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smallcap</t>
        </is>
      </c>
      <c r="H24" s="31" t="n">
        <v>705.67</v>
      </c>
      <c r="I24" s="31" t="n">
        <v>350.35</v>
      </c>
      <c r="J24" s="31" t="n">
        <v>3.82</v>
      </c>
      <c r="K24" s="31" t="n">
        <v>50307</v>
      </c>
      <c r="L24" s="30" t="n">
        <v>22</v>
      </c>
      <c r="M24" s="30" t="inlineStr">
        <is>
          <t>Underperforming</t>
        </is>
      </c>
      <c r="N24" s="31">
        <f>IF(M24="Underperforming",-5,IF(L24&gt;=95,15,IF(L24&gt;=90,10,IF(L24&gt;=80,5,0))))</f>
        <v/>
      </c>
      <c r="O24" s="31" t="n">
        <v>60.47</v>
      </c>
      <c r="P24" s="31" t="n">
        <v>24.53</v>
      </c>
      <c r="Q24" s="31" t="n">
        <v>260.55</v>
      </c>
      <c r="R24" s="30" t="inlineStr">
        <is>
          <t>Earnings / Momentum Support</t>
        </is>
      </c>
      <c r="S24" s="30" t="inlineStr">
        <is>
          <t>Nifty Bank</t>
        </is>
      </c>
      <c r="T24" s="31" t="n">
        <v>3.04</v>
      </c>
      <c r="U24" s="31" t="n">
        <v>-8.65</v>
      </c>
      <c r="V24" s="31" t="n">
        <v>-11.34</v>
      </c>
      <c r="W24" s="31" t="n">
        <v>6.4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No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less than 2.5x and Growth more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IF(B25=0,"",RANK(B25,$B$2:$B$81,0))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MUTHOOTMF</t>
        </is>
      </c>
      <c r="D25" s="30" t="inlineStr">
        <is>
          <t>Muthoot Microfin Ltd</t>
        </is>
      </c>
      <c r="E25" s="30" t="inlineStr">
        <is>
          <t>financials</t>
        </is>
      </c>
      <c r="F25" s="30" t="inlineStr">
        <is>
          <t>finance &amp; investments</t>
        </is>
      </c>
      <c r="G25" s="30" t="inlineStr">
        <is>
          <t>smallcap</t>
        </is>
      </c>
      <c r="H25" s="31" t="n">
        <v>3495.26</v>
      </c>
      <c r="I25" s="31" t="n">
        <v>207.48</v>
      </c>
      <c r="J25" s="31" t="n">
        <v>1.2</v>
      </c>
      <c r="K25" s="31" t="n">
        <v>226123</v>
      </c>
      <c r="L25" s="30" t="n">
        <v>71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64.45999999999999</v>
      </c>
      <c r="P25" s="31" t="n">
        <v>24.85</v>
      </c>
      <c r="Q25" s="31" t="n">
        <v>156.14</v>
      </c>
      <c r="R25" s="30" t="inlineStr">
        <is>
          <t>Near 52W High Breakout</t>
        </is>
      </c>
      <c r="S25" s="30" t="inlineStr">
        <is>
          <t>Nifty Bank</t>
        </is>
      </c>
      <c r="T25" s="31" t="n">
        <v>3.04</v>
      </c>
      <c r="U25" s="31" t="n">
        <v>64.56</v>
      </c>
      <c r="V25" s="31" t="n">
        <v>59.7</v>
      </c>
      <c r="W25" s="31" t="n">
        <v>19.96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less than 2.5x and Growth less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20 to 40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Close to 52 week high or retracement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IF(B26=0,"",RANK(B26,$B$2:$B$81,0))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HEALTHX</t>
        </is>
      </c>
      <c r="D26" s="30" t="inlineStr">
        <is>
          <t>Health X Platform Ltd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smallcap</t>
        </is>
      </c>
      <c r="H26" s="31" t="n">
        <v>1004.1</v>
      </c>
      <c r="I26" s="31" t="n">
        <v>317.65</v>
      </c>
      <c r="J26" s="31" t="n">
        <v>0.63</v>
      </c>
      <c r="K26" s="31" t="n">
        <v>27674</v>
      </c>
      <c r="L26" s="30" t="n">
        <v>7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58.89</v>
      </c>
      <c r="P26" s="31" t="n">
        <v>18.13</v>
      </c>
      <c r="Q26" s="31" t="n">
        <v>236.53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3.04</v>
      </c>
      <c r="U26" s="31" t="n">
        <v>5.23</v>
      </c>
      <c r="V26" s="31" t="n">
        <v>2.13</v>
      </c>
      <c r="W26" s="31" t="n">
        <v>3.24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less than 2.5x and Growth more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0 to 20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Close to 52 week high or retracement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IF(B27=0,"",RANK(B27,$B$2:$B$81,0))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PAISALO</t>
        </is>
      </c>
      <c r="D27" s="30" t="inlineStr">
        <is>
          <t>Paisalo Digital Ltd</t>
        </is>
      </c>
      <c r="E27" s="30" t="inlineStr">
        <is>
          <t>financials</t>
        </is>
      </c>
      <c r="F27" s="30" t="inlineStr">
        <is>
          <t>finance &amp; investments</t>
        </is>
      </c>
      <c r="G27" s="30" t="inlineStr">
        <is>
          <t>midcap</t>
        </is>
      </c>
      <c r="H27" s="31" t="n">
        <v>5297.96</v>
      </c>
      <c r="I27" s="31" t="n">
        <v>58.51</v>
      </c>
      <c r="J27" s="31" t="n">
        <v>0.45</v>
      </c>
      <c r="K27" s="31" t="n">
        <v>4123364</v>
      </c>
      <c r="L27" s="30" t="n">
        <v>88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75.34</v>
      </c>
      <c r="P27" s="31" t="n">
        <v>35.42</v>
      </c>
      <c r="Q27" s="31" t="n">
        <v>46.84</v>
      </c>
      <c r="R27" s="30" t="inlineStr">
        <is>
          <t>Near 52W High Breakout</t>
        </is>
      </c>
      <c r="S27" s="30" t="inlineStr">
        <is>
          <t>Nifty Bank</t>
        </is>
      </c>
      <c r="T27" s="31" t="n">
        <v>3.04</v>
      </c>
      <c r="U27" s="31" t="n">
        <v>94.81999999999999</v>
      </c>
      <c r="V27" s="31" t="n">
        <v>89.06999999999999</v>
      </c>
      <c r="W27" s="31" t="n">
        <v>30.65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between 2.5x to 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20 to 40</t>
        </is>
      </c>
      <c r="BM27" s="30">
        <f>IF(BL27="Above 40",20,IF(BL27="20 to 40",10,IF(BL27="0 to 20",-5,0)))</f>
        <v/>
      </c>
      <c r="BN27" s="30" t="inlineStr">
        <is>
          <t>Above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IF(B28=0,"",RANK(B28,$B$2:$B$81,0))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INDUSINDBK</t>
        </is>
      </c>
      <c r="D28" s="30" t="inlineStr">
        <is>
          <t>Indusind Bank Limited</t>
        </is>
      </c>
      <c r="E28" s="30" t="inlineStr">
        <is>
          <t>bank</t>
        </is>
      </c>
      <c r="F28" s="30" t="inlineStr">
        <is>
          <t>banks - private sector</t>
        </is>
      </c>
      <c r="G28" s="30" t="inlineStr">
        <is>
          <t>largecap</t>
        </is>
      </c>
      <c r="H28" s="31" t="n">
        <v>72939.91</v>
      </c>
      <c r="I28" s="31" t="n">
        <v>938.75</v>
      </c>
      <c r="J28" s="31" t="n">
        <v>0.27</v>
      </c>
      <c r="K28" s="31" t="n">
        <v>1007080</v>
      </c>
      <c r="L28" s="30" t="n">
        <v>18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58.2</v>
      </c>
      <c r="P28" s="31" t="n">
        <v>14.29</v>
      </c>
      <c r="Q28" s="31" t="n">
        <v>795.49</v>
      </c>
      <c r="R28" s="30" t="inlineStr">
        <is>
          <t>Near 52W High Breakout</t>
        </is>
      </c>
      <c r="S28" s="30" t="inlineStr">
        <is>
          <t>Nifty Bank</t>
        </is>
      </c>
      <c r="T28" s="31" t="n">
        <v>3.04</v>
      </c>
      <c r="U28" s="31" t="n">
        <v>11.72</v>
      </c>
      <c r="V28" s="31" t="n">
        <v>8.42</v>
      </c>
      <c r="W28" s="31" t="n">
        <v>5.67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less than 2.5x and Growth more than 20%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0 to 20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IF(B29=0,"",RANK(B29,$B$2:$B$81,0))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CGCL</t>
        </is>
      </c>
      <c r="D29" s="30" t="inlineStr">
        <is>
          <t>Capri Global Capital Limited</t>
        </is>
      </c>
      <c r="E29" s="30" t="inlineStr">
        <is>
          <t>financials</t>
        </is>
      </c>
      <c r="F29" s="30" t="inlineStr">
        <is>
          <t>finance &amp; investments</t>
        </is>
      </c>
      <c r="G29" s="30" t="inlineStr">
        <is>
          <t>largecap</t>
        </is>
      </c>
      <c r="H29" s="31" t="n">
        <v>20905.68</v>
      </c>
      <c r="I29" s="31" t="n">
        <v>220.81</v>
      </c>
      <c r="J29" s="31" t="n">
        <v>1.62</v>
      </c>
      <c r="K29" s="31" t="n">
        <v>2875602</v>
      </c>
      <c r="L29" s="30" t="n">
        <v>50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70.39</v>
      </c>
      <c r="P29" s="31" t="n">
        <v>19.33</v>
      </c>
      <c r="Q29" s="31" t="n">
        <v>180.25</v>
      </c>
      <c r="R29" s="30" t="inlineStr">
        <is>
          <t>Near 52W High Breakout</t>
        </is>
      </c>
      <c r="S29" s="30" t="inlineStr">
        <is>
          <t>Nifty Bank</t>
        </is>
      </c>
      <c r="T29" s="31" t="n">
        <v>3.04</v>
      </c>
      <c r="U29" s="31" t="n">
        <v>31.94</v>
      </c>
      <c r="V29" s="31" t="n">
        <v>28.04</v>
      </c>
      <c r="W29" s="31" t="n">
        <v>12.49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between 2.5x to 5x and Growth more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Blue sky scenario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IF(B30=0,"",RANK(B30,$B$2:$B$81,0))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NAM-INDIA</t>
        </is>
      </c>
      <c r="D30" s="30" t="inlineStr">
        <is>
          <t>Nippon Life India Asset Management Ltd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largecap</t>
        </is>
      </c>
      <c r="H30" s="31" t="n">
        <v>73619.44</v>
      </c>
      <c r="I30" s="31" t="n">
        <v>1167.4</v>
      </c>
      <c r="J30" s="31" t="n">
        <v>1.19</v>
      </c>
      <c r="K30" s="31" t="n">
        <v>1039718</v>
      </c>
      <c r="L30" s="30" t="n">
        <v>67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70.11</v>
      </c>
      <c r="P30" s="31" t="n">
        <v>30</v>
      </c>
      <c r="Q30" s="31" t="n">
        <v>925.62</v>
      </c>
      <c r="R30" s="30" t="inlineStr">
        <is>
          <t>Near 52W High Breakout</t>
        </is>
      </c>
      <c r="S30" s="30" t="inlineStr">
        <is>
          <t>Nifty Bank</t>
        </is>
      </c>
      <c r="T30" s="31" t="n">
        <v>3.04</v>
      </c>
      <c r="U30" s="31" t="n">
        <v>57.26</v>
      </c>
      <c r="V30" s="31" t="n">
        <v>52.62</v>
      </c>
      <c r="W30" s="31" t="n">
        <v>18.31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above 5x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20 to 40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Blue sky scenario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IF(B31=0,"",RANK(B31,$B$2:$B$81,0))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ANGELONE</t>
        </is>
      </c>
      <c r="D31" s="30" t="inlineStr">
        <is>
          <t>Angel One Ltd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largecap</t>
        </is>
      </c>
      <c r="H31" s="31" t="n">
        <v>31761.66</v>
      </c>
      <c r="I31" s="31" t="n">
        <v>352.8</v>
      </c>
      <c r="J31" s="31" t="n">
        <v>1.18</v>
      </c>
      <c r="K31" s="31" t="n">
        <v>9021106</v>
      </c>
      <c r="L31" s="30" t="n">
        <v>67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67.22</v>
      </c>
      <c r="P31" s="31" t="n">
        <v>25.66</v>
      </c>
      <c r="Q31" s="31" t="n">
        <v>275.11</v>
      </c>
      <c r="R31" s="30" t="inlineStr">
        <is>
          <t>Near 52W High Breakout</t>
        </is>
      </c>
      <c r="S31" s="30" t="inlineStr">
        <is>
          <t>Nifty Bank</t>
        </is>
      </c>
      <c r="T31" s="31" t="n">
        <v>3.04</v>
      </c>
      <c r="U31" s="31" t="n">
        <v>26.78</v>
      </c>
      <c r="V31" s="31" t="n">
        <v>23.04</v>
      </c>
      <c r="W31" s="31" t="n">
        <v>18.24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above 5x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20 to 40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Positive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Blue sky scenario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IF(B32=0,"",RANK(B32,$B$2:$B$81,0))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MOTILALOFS</t>
        </is>
      </c>
      <c r="D32" s="30" t="inlineStr">
        <is>
          <t>Motilal Oswal Financial Services Limited</t>
        </is>
      </c>
      <c r="E32" s="30" t="inlineStr">
        <is>
          <t>financials</t>
        </is>
      </c>
      <c r="F32" s="30" t="inlineStr">
        <is>
          <t>finance &amp; investments</t>
        </is>
      </c>
      <c r="G32" s="30" t="inlineStr">
        <is>
          <t>largecap</t>
        </is>
      </c>
      <c r="H32" s="31" t="n">
        <v>56746.38</v>
      </c>
      <c r="I32" s="31" t="n">
        <v>948.15</v>
      </c>
      <c r="J32" s="31" t="n">
        <v>0.5600000000000001</v>
      </c>
      <c r="K32" s="31" t="n">
        <v>938542</v>
      </c>
      <c r="L32" s="30" t="n">
        <v>54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63.28</v>
      </c>
      <c r="P32" s="31" t="n">
        <v>22.29</v>
      </c>
      <c r="Q32" s="31" t="n">
        <v>750.98</v>
      </c>
      <c r="R32" s="30" t="inlineStr">
        <is>
          <t>Earnings / Momentum Support</t>
        </is>
      </c>
      <c r="S32" s="30" t="inlineStr">
        <is>
          <t>Nifty Bank</t>
        </is>
      </c>
      <c r="T32" s="31" t="n">
        <v>3.04</v>
      </c>
      <c r="U32" s="31" t="n">
        <v>15.78</v>
      </c>
      <c r="V32" s="31" t="n">
        <v>12.36</v>
      </c>
      <c r="W32" s="31" t="n">
        <v>13.87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No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between 2.5x to 5x and Growth more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20 to 40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IF(B33=0,"",RANK(B33,$B$2:$B$81,0))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NUVAMA</t>
        </is>
      </c>
      <c r="D33" s="30" t="inlineStr">
        <is>
          <t>Nuvama Wealth Management Ltd</t>
        </is>
      </c>
      <c r="E33" s="30" t="inlineStr">
        <is>
          <t>financials</t>
        </is>
      </c>
      <c r="F33" s="30" t="inlineStr">
        <is>
          <t>finance &amp; investments</t>
        </is>
      </c>
      <c r="G33" s="30" t="inlineStr">
        <is>
          <t>largecap</t>
        </is>
      </c>
      <c r="H33" s="31" t="n">
        <v>31433.11</v>
      </c>
      <c r="I33" s="31" t="n">
        <v>1720.4</v>
      </c>
      <c r="J33" s="31" t="n">
        <v>-0.36</v>
      </c>
      <c r="K33" s="31" t="n">
        <v>696726</v>
      </c>
      <c r="L33" s="30" t="n">
        <v>65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65.89</v>
      </c>
      <c r="P33" s="31" t="n">
        <v>29.32</v>
      </c>
      <c r="Q33" s="31" t="n">
        <v>1352</v>
      </c>
      <c r="R33" s="30" t="inlineStr">
        <is>
          <t>Near 52W High Breakout</t>
        </is>
      </c>
      <c r="S33" s="30" t="inlineStr">
        <is>
          <t>Nifty Bank</t>
        </is>
      </c>
      <c r="T33" s="31" t="n">
        <v>3.04</v>
      </c>
      <c r="U33" s="31" t="n">
        <v>27.37</v>
      </c>
      <c r="V33" s="31" t="n">
        <v>23.61</v>
      </c>
      <c r="W33" s="31" t="n">
        <v>17.76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above 5x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20 to 40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2</t>
        </is>
      </c>
      <c r="BQ33" s="30">
        <f>IF(BP33="Stage 2",20,IF(BP33="Stage 1",0,IF(BP33="Stage 3",5,IF(BP33="Stage 4",-5,0))))</f>
        <v/>
      </c>
      <c r="BR33" s="30" t="inlineStr">
        <is>
          <t>Positive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Blue sky scenario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IF(B34=0,"",RANK(B34,$B$2:$B$81,0))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ABCAPITAL</t>
        </is>
      </c>
      <c r="D34" s="30" t="inlineStr">
        <is>
          <t>Aditya Birla Capital Ltd</t>
        </is>
      </c>
      <c r="E34" s="30" t="inlineStr">
        <is>
          <t>financials</t>
        </is>
      </c>
      <c r="F34" s="30" t="inlineStr">
        <is>
          <t>finance &amp; investments</t>
        </is>
      </c>
      <c r="G34" s="30" t="inlineStr">
        <is>
          <t>largecap</t>
        </is>
      </c>
      <c r="H34" s="31" t="n">
        <v>97567.23</v>
      </c>
      <c r="I34" s="31" t="n">
        <v>370.6</v>
      </c>
      <c r="J34" s="31" t="n">
        <v>-0.5</v>
      </c>
      <c r="K34" s="31" t="n">
        <v>1266986</v>
      </c>
      <c r="L34" s="30" t="n">
        <v>45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63.36</v>
      </c>
      <c r="P34" s="31" t="n">
        <v>17.89</v>
      </c>
      <c r="Q34" s="31" t="n">
        <v>301.95</v>
      </c>
      <c r="R34" s="30" t="inlineStr">
        <is>
          <t>Near 52W High Breakout</t>
        </is>
      </c>
      <c r="S34" s="30" t="inlineStr">
        <is>
          <t>Nifty Bank</t>
        </is>
      </c>
      <c r="T34" s="31" t="n">
        <v>3.04</v>
      </c>
      <c r="U34" s="31" t="n">
        <v>42.39</v>
      </c>
      <c r="V34" s="31" t="n">
        <v>38.18</v>
      </c>
      <c r="W34" s="31" t="n">
        <v>11.82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between 2.5x to 5x and Growth more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0 to 20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Positive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Blue sky scenario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IF(B35=0,"",RANK(B35,$B$2:$B$81,0))</f>
        <v/>
      </c>
      <c r="B35" s="31">
        <f>SUM(N35,Y35,AA35,AC35,AE35,AG35,AI35,AK35,AM35,AO35,AQ35,AS35,AU35,AW35,AY35,BA35,BC35,BE35,BG35,BI35,BK35,BM35,BO35,BQ35,BS35,BU35,BW35,BY35,CA35)</f>
        <v/>
      </c>
      <c r="C35" s="30" t="inlineStr">
        <is>
          <t>CREDITACC</t>
        </is>
      </c>
      <c r="D35" s="30" t="inlineStr">
        <is>
          <t>CreditAccess Grameen Ltd</t>
        </is>
      </c>
      <c r="E35" s="30" t="inlineStr">
        <is>
          <t>financials</t>
        </is>
      </c>
      <c r="F35" s="30" t="inlineStr">
        <is>
          <t>finance &amp; investments</t>
        </is>
      </c>
      <c r="G35" s="30" t="inlineStr">
        <is>
          <t>largecap</t>
        </is>
      </c>
      <c r="H35" s="31" t="n">
        <v>22986.53</v>
      </c>
      <c r="I35" s="31" t="n">
        <v>1419.6</v>
      </c>
      <c r="J35" s="31" t="n">
        <v>-1.07</v>
      </c>
      <c r="K35" s="31" t="n">
        <v>181833</v>
      </c>
      <c r="L35" s="30" t="n">
        <v>41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58.78</v>
      </c>
      <c r="P35" s="31" t="n">
        <v>28.44</v>
      </c>
      <c r="Q35" s="31" t="n">
        <v>1171.88</v>
      </c>
      <c r="R35" s="30" t="inlineStr">
        <is>
          <t>Earnings / Momentum Support</t>
        </is>
      </c>
      <c r="S35" s="30" t="inlineStr">
        <is>
          <t>Nifty Bank</t>
        </is>
      </c>
      <c r="T35" s="31" t="n">
        <v>3.04</v>
      </c>
      <c r="U35" s="31" t="n">
        <v>27.51</v>
      </c>
      <c r="V35" s="31" t="n">
        <v>23.75</v>
      </c>
      <c r="W35" s="31" t="n">
        <v>10.43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No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between 2.5x to 5x and Growth more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20 to 40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2</t>
        </is>
      </c>
      <c r="BQ35" s="30">
        <f>IF(BP35="Stage 2",20,IF(BP35="Stage 1",0,IF(BP35="Stage 3",5,IF(BP35="Stage 4",-5,0))))</f>
        <v/>
      </c>
      <c r="BR35" s="30" t="inlineStr">
        <is>
          <t>Positive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Close to 52 week high or retracement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IF(B36=0,"",RANK(B36,$B$2:$B$81,0))</f>
        <v/>
      </c>
      <c r="B36" s="31">
        <f>SUM(N36,Y36,AA36,AC36,AE36,AG36,AI36,AK36,AM36,AO36,AQ36,AS36,AU36,AW36,AY36,BA36,BC36,BE36,BG36,BI36,BK36,BM36,BO36,BQ36,BS36,BU36,BW36,BY36,CA36)</f>
        <v/>
      </c>
      <c r="C36" s="32" t="inlineStr">
        <is>
          <t>CAPITALSFB</t>
        </is>
      </c>
      <c r="D36" s="32" t="inlineStr">
        <is>
          <t>Capital Small Finance Bank Ltd</t>
        </is>
      </c>
      <c r="E36" s="30" t="inlineStr">
        <is>
          <t>bank</t>
        </is>
      </c>
      <c r="F36" s="30" t="inlineStr">
        <is>
          <t>banks - private sector</t>
        </is>
      </c>
      <c r="G36" s="30" t="inlineStr">
        <is>
          <t>smallcap</t>
        </is>
      </c>
      <c r="H36" s="31" t="n">
        <v>1354.61</v>
      </c>
      <c r="I36" s="31" t="n">
        <v>291</v>
      </c>
      <c r="J36" s="31" t="n">
        <v>-2.43</v>
      </c>
      <c r="K36" s="31" t="n">
        <v>48273</v>
      </c>
      <c r="L36" s="30" t="n">
        <v>19</v>
      </c>
      <c r="M36" s="30" t="inlineStr">
        <is>
          <t>Underperforming</t>
        </is>
      </c>
      <c r="N36" s="31">
        <f>IF(M36="Underperforming",-5,IF(L36&gt;=95,15,IF(L36&gt;=90,10,IF(L36&gt;=80,5,0))))</f>
        <v/>
      </c>
      <c r="O36" s="31" t="n">
        <v>60.18</v>
      </c>
      <c r="P36" s="31" t="n">
        <v>27.73</v>
      </c>
      <c r="Q36" s="31" t="n">
        <v>234.32</v>
      </c>
      <c r="R36" s="30" t="inlineStr">
        <is>
          <t>Volume Spike &amp; Near 52W High Breakout</t>
        </is>
      </c>
      <c r="S36" s="30" t="inlineStr">
        <is>
          <t>Nifty Bank</t>
        </is>
      </c>
      <c r="T36" s="31" t="n">
        <v>3.04</v>
      </c>
      <c r="U36" s="31" t="n">
        <v>2.71</v>
      </c>
      <c r="V36" s="31" t="n">
        <v>-0.33</v>
      </c>
      <c r="W36" s="31" t="n">
        <v>5.82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less than 2.5x and Growth less than 20%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20 to 40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2</t>
        </is>
      </c>
      <c r="BQ36" s="30">
        <f>IF(BP36="Stage 2",20,IF(BP36="Stage 1",0,IF(BP36="Stage 3",5,IF(BP36="Stage 4",-5,0))))</f>
        <v/>
      </c>
      <c r="BR36" s="30" t="inlineStr">
        <is>
          <t>Positive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Close to 52 week high or retracement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IF(B37=0,"",RANK(B37,$B$2:$B$81,0))</f>
        <v/>
      </c>
      <c r="B37" s="31">
        <f>SUM(N37,Y37,AA37,AC37,AE37,AG37,AI37,AK37,AM37,AO37,AQ37,AS37,AU37,AW37,AY37,BA37,BC37,BE37,BG37,BI37,BK37,BM37,BO37,BQ37,BS37,BU37,BW37,BY37,CA37)</f>
        <v/>
      </c>
      <c r="C37" s="32" t="inlineStr">
        <is>
          <t>NIACL</t>
        </is>
      </c>
      <c r="D37" s="32" t="inlineStr">
        <is>
          <t>New India Assurance Company Ltd</t>
        </is>
      </c>
      <c r="E37" s="30" t="inlineStr">
        <is>
          <t>financials</t>
        </is>
      </c>
      <c r="F37" s="30" t="inlineStr">
        <is>
          <t>finance &amp; investments</t>
        </is>
      </c>
      <c r="G37" s="30" t="inlineStr">
        <is>
          <t>largecap</t>
        </is>
      </c>
      <c r="H37" s="31" t="n">
        <v>27267.81</v>
      </c>
      <c r="I37" s="31" t="n">
        <v>178.67</v>
      </c>
      <c r="J37" s="31" t="n">
        <v>7.98</v>
      </c>
      <c r="K37" s="31" t="n">
        <v>86100480</v>
      </c>
      <c r="L37" s="30" t="n">
        <v>32</v>
      </c>
      <c r="M37" s="30" t="inlineStr">
        <is>
          <t>Underperforming</t>
        </is>
      </c>
      <c r="N37" s="31">
        <f>IF(M37="Underperforming",-5,IF(L37&gt;=95,15,IF(L37&gt;=90,10,IF(L37&gt;=80,5,0))))</f>
        <v/>
      </c>
      <c r="O37" s="31" t="n">
        <v>61.36</v>
      </c>
      <c r="P37" s="31" t="n">
        <v>20.99</v>
      </c>
      <c r="Q37" s="31" t="n">
        <v>135.83</v>
      </c>
      <c r="R37" s="30" t="inlineStr">
        <is>
          <t>Volume Spike / Accumulation</t>
        </is>
      </c>
      <c r="S37" s="30" t="inlineStr">
        <is>
          <t>Nifty Bank</t>
        </is>
      </c>
      <c r="T37" s="31" t="n">
        <v>3.04</v>
      </c>
      <c r="U37" s="31" t="n">
        <v>-2.7</v>
      </c>
      <c r="V37" s="31" t="n">
        <v>-5.57</v>
      </c>
      <c r="W37" s="31" t="n">
        <v>8.35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less than 2.5x and Growth more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20 to 40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1</t>
        </is>
      </c>
      <c r="BQ37" s="30">
        <f>IF(BP37="Stage 2",20,IF(BP37="Stage 1",0,IF(BP37="Stage 3",5,IF(BP37="Stage 4",-5,0))))</f>
        <v/>
      </c>
      <c r="BR37" s="30" t="inlineStr">
        <is>
          <t>Positive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Close to 52 week high or retracement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IF(B38=0,"",RANK(B38,$B$2:$B$81,0))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STEL</t>
        </is>
      </c>
      <c r="D38" s="30" t="inlineStr">
        <is>
          <t>Stel Holdings Limited</t>
        </is>
      </c>
      <c r="E38" s="30" t="inlineStr">
        <is>
          <t>financials</t>
        </is>
      </c>
      <c r="F38" s="30" t="inlineStr">
        <is>
          <t>finance &amp; investments</t>
        </is>
      </c>
      <c r="G38" s="30" t="inlineStr">
        <is>
          <t>smallcap</t>
        </is>
      </c>
      <c r="H38" s="31" t="n">
        <v>1075.21</v>
      </c>
      <c r="I38" s="31" t="n">
        <v>600.9</v>
      </c>
      <c r="J38" s="31" t="n">
        <v>3.14</v>
      </c>
      <c r="K38" s="31" t="n">
        <v>25113</v>
      </c>
      <c r="L38" s="30" t="n">
        <v>62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67.41</v>
      </c>
      <c r="P38" s="31" t="n">
        <v>9.75</v>
      </c>
      <c r="Q38" s="31" t="n">
        <v>423.97</v>
      </c>
      <c r="R38" s="30" t="inlineStr">
        <is>
          <t>Volume Spike &amp; Near 52W High Breakout</t>
        </is>
      </c>
      <c r="S38" s="30" t="inlineStr">
        <is>
          <t>Nifty Bank</t>
        </is>
      </c>
      <c r="T38" s="31" t="n">
        <v>3.04</v>
      </c>
      <c r="U38" s="31" t="n">
        <v>46.94</v>
      </c>
      <c r="V38" s="31" t="n">
        <v>42.6</v>
      </c>
      <c r="W38" s="31" t="n">
        <v>16.19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less than 2.5x and Growth less than 20%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0 to 20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2</t>
        </is>
      </c>
      <c r="BQ38" s="30">
        <f>IF(BP38="Stage 2",20,IF(BP38="Stage 1",0,IF(BP38="Stage 3",5,IF(BP38="Stage 4",-5,0))))</f>
        <v/>
      </c>
      <c r="BR38" s="30" t="inlineStr">
        <is>
          <t>Positive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Blue sky scenario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IF(B39=0,"",RANK(B39,$B$2:$B$81,0))</f>
        <v/>
      </c>
      <c r="B39" s="31">
        <f>SUM(N39,Y39,AA39,AC39,AE39,AG39,AI39,AK39,AM39,AO39,AQ39,AS39,AU39,AW39,AY39,BA39,BC39,BE39,BG39,BI39,BK39,BM39,BO39,BQ39,BS39,BU39,BW39,BY39,CA39)</f>
        <v/>
      </c>
      <c r="C39" s="30" t="inlineStr">
        <is>
          <t>MONARCH</t>
        </is>
      </c>
      <c r="D39" s="30" t="inlineStr">
        <is>
          <t>Monarch Networth Capital Ltd</t>
        </is>
      </c>
      <c r="E39" s="30" t="inlineStr">
        <is>
          <t>financials</t>
        </is>
      </c>
      <c r="F39" s="30" t="inlineStr">
        <is>
          <t>finance &amp; investments</t>
        </is>
      </c>
      <c r="G39" s="30" t="inlineStr">
        <is>
          <t>smallcap</t>
        </is>
      </c>
      <c r="H39" s="31" t="n">
        <v>2730.4</v>
      </c>
      <c r="I39" s="31" t="n">
        <v>348.4</v>
      </c>
      <c r="J39" s="31" t="n">
        <v>1.15</v>
      </c>
      <c r="K39" s="31" t="n">
        <v>61416</v>
      </c>
      <c r="L39" s="30" t="n">
        <v>38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65.37</v>
      </c>
      <c r="P39" s="31" t="n">
        <v>19.29</v>
      </c>
      <c r="Q39" s="31" t="n">
        <v>278.19</v>
      </c>
      <c r="R39" s="30" t="inlineStr">
        <is>
          <t>Volume Spike / Accumulation</t>
        </is>
      </c>
      <c r="S39" s="30" t="inlineStr">
        <is>
          <t>Nifty Bank</t>
        </is>
      </c>
      <c r="T39" s="31" t="n">
        <v>3.04</v>
      </c>
      <c r="U39" s="31" t="n">
        <v>12.85</v>
      </c>
      <c r="V39" s="31" t="n">
        <v>9.52</v>
      </c>
      <c r="W39" s="31" t="n">
        <v>9.51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n"/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Yes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Yes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between 2.5x to 5x and Growth more than 20%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0 to 20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2</t>
        </is>
      </c>
      <c r="BQ39" s="30">
        <f>IF(BP39="Stage 2",20,IF(BP39="Stage 1",0,IF(BP39="Stage 3",5,IF(BP39="Stage 4",-5,0))))</f>
        <v/>
      </c>
      <c r="BR39" s="30" t="inlineStr">
        <is>
          <t>Positive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Close to 52 week high or retracement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IF(B40=0,"",RANK(B40,$B$2:$B$81,0))</f>
        <v/>
      </c>
      <c r="B40" s="31">
        <f>SUM(N40,Y40,AA40,AC40,AE40,AG40,AI40,AK40,AM40,AO40,AQ40,AS40,AU40,AW40,AY40,BA40,BC40,BE40,BG40,BI40,BK40,BM40,BO40,BQ40,BS40,BU40,BW40,BY40,CA40)</f>
        <v/>
      </c>
      <c r="C40" s="30" t="inlineStr">
        <is>
          <t>AXISBANK</t>
        </is>
      </c>
      <c r="D40" s="30" t="inlineStr">
        <is>
          <t>Axis Bank Limited</t>
        </is>
      </c>
      <c r="E40" s="30" t="inlineStr">
        <is>
          <t>bank</t>
        </is>
      </c>
      <c r="F40" s="30" t="inlineStr">
        <is>
          <t>banks - private sector</t>
        </is>
      </c>
      <c r="G40" s="30" t="inlineStr">
        <is>
          <t>largecap</t>
        </is>
      </c>
      <c r="H40" s="31" t="n">
        <v>419883.04</v>
      </c>
      <c r="I40" s="31" t="n">
        <v>1360.1</v>
      </c>
      <c r="J40" s="31" t="n">
        <v>0.68</v>
      </c>
      <c r="K40" s="31" t="n">
        <v>5186573</v>
      </c>
      <c r="L40" s="30" t="n">
        <v>15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59.33</v>
      </c>
      <c r="P40" s="31" t="n">
        <v>9.550000000000001</v>
      </c>
      <c r="Q40" s="31" t="n">
        <v>1169</v>
      </c>
      <c r="R40" s="30" t="inlineStr">
        <is>
          <t>Near 52W High Breakout</t>
        </is>
      </c>
      <c r="S40" s="30" t="inlineStr">
        <is>
          <t>Nifty Bank</t>
        </is>
      </c>
      <c r="T40" s="31" t="n">
        <v>3.04</v>
      </c>
      <c r="U40" s="31" t="n">
        <v>11.51</v>
      </c>
      <c r="V40" s="31" t="n">
        <v>8.220000000000001</v>
      </c>
      <c r="W40" s="31" t="n">
        <v>5.05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less than 2.5x and Growth less than 20%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0 to 20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2</t>
        </is>
      </c>
      <c r="BQ40" s="30">
        <f>IF(BP40="Stage 2",20,IF(BP40="Stage 1",0,IF(BP40="Stage 3",5,IF(BP40="Stage 4",-5,0))))</f>
        <v/>
      </c>
      <c r="BR40" s="30" t="inlineStr">
        <is>
          <t>Positive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Blue sky scenario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IF(B41=0,"",RANK(B41,$B$2:$B$81,0))</f>
        <v/>
      </c>
      <c r="B41" s="31">
        <f>SUM(N41,Y41,AA41,AC41,AE41,AG41,AI41,AK41,AM41,AO41,AQ41,AS41,AU41,AW41,AY41,BA41,BC41,BE41,BG41,BI41,BK41,BM41,BO41,BQ41,BS41,BU41,BW41,BY41,CA41)</f>
        <v/>
      </c>
      <c r="C41" s="30" t="inlineStr">
        <is>
          <t>SOUTHBANK</t>
        </is>
      </c>
      <c r="D41" s="30" t="inlineStr">
        <is>
          <t>The South Indian Bank Limited</t>
        </is>
      </c>
      <c r="E41" s="30" t="inlineStr">
        <is>
          <t>bank</t>
        </is>
      </c>
      <c r="F41" s="30" t="inlineStr">
        <is>
          <t>banks - private sector</t>
        </is>
      </c>
      <c r="G41" s="30" t="inlineStr">
        <is>
          <t>midcap</t>
        </is>
      </c>
      <c r="H41" s="31" t="n">
        <v>12682.12</v>
      </c>
      <c r="I41" s="31" t="n">
        <v>48.49</v>
      </c>
      <c r="J41" s="31" t="n">
        <v>0.08</v>
      </c>
      <c r="K41" s="31" t="n">
        <v>20768658</v>
      </c>
      <c r="L41" s="30" t="n">
        <v>69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70.48999999999999</v>
      </c>
      <c r="P41" s="31" t="n">
        <v>16.48</v>
      </c>
      <c r="Q41" s="31" t="n">
        <v>38.65</v>
      </c>
      <c r="R41" s="30" t="inlineStr">
        <is>
          <t>Near 52W High Breakout</t>
        </is>
      </c>
      <c r="S41" s="30" t="inlineStr">
        <is>
          <t>Nifty Bank</t>
        </is>
      </c>
      <c r="T41" s="31" t="n">
        <v>3.04</v>
      </c>
      <c r="U41" s="31" t="n">
        <v>68.2</v>
      </c>
      <c r="V41" s="31" t="n">
        <v>63.24</v>
      </c>
      <c r="W41" s="31" t="n">
        <v>19.38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less than 2.5x and Growth less than 20%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0 to 20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2</t>
        </is>
      </c>
      <c r="BQ41" s="30">
        <f>IF(BP41="Stage 2",20,IF(BP41="Stage 1",0,IF(BP41="Stage 3",5,IF(BP41="Stage 4",-5,0))))</f>
        <v/>
      </c>
      <c r="BR41" s="30" t="inlineStr">
        <is>
          <t>Positive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Blue sky scenario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  <row r="42">
      <c r="A42" s="30">
        <f>IF(B42=0,"",RANK(B42,$B$2:$B$81,0))</f>
        <v/>
      </c>
      <c r="B42" s="31">
        <f>SUM(N42,Y42,AA42,AC42,AE42,AG42,AI42,AK42,AM42,AO42,AQ42,AS42,AU42,AW42,AY42,BA42,BC42,BE42,BG42,BI42,BK42,BM42,BO42,BQ42,BS42,BU42,BW42,BY42,CA42)</f>
        <v/>
      </c>
      <c r="C42" s="30" t="inlineStr">
        <is>
          <t>KARURVYSYA</t>
        </is>
      </c>
      <c r="D42" s="30" t="inlineStr">
        <is>
          <t>Karur Vysya Bank Limited</t>
        </is>
      </c>
      <c r="E42" s="30" t="inlineStr">
        <is>
          <t>bank</t>
        </is>
      </c>
      <c r="F42" s="30" t="inlineStr">
        <is>
          <t>banks - private sector</t>
        </is>
      </c>
      <c r="G42" s="30" t="inlineStr">
        <is>
          <t>largecap</t>
        </is>
      </c>
      <c r="H42" s="31" t="n">
        <v>28680.39</v>
      </c>
      <c r="I42" s="31" t="n">
        <v>296.75</v>
      </c>
      <c r="J42" s="31" t="n">
        <v>0.02</v>
      </c>
      <c r="K42" s="31" t="n">
        <v>1739397</v>
      </c>
      <c r="L42" s="30" t="n">
        <v>41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56.01</v>
      </c>
      <c r="P42" s="31" t="n">
        <v>12.16</v>
      </c>
      <c r="Q42" s="31" t="n">
        <v>242.74</v>
      </c>
      <c r="R42" s="30" t="inlineStr">
        <is>
          <t>Earnings / Momentum Support</t>
        </is>
      </c>
      <c r="S42" s="30" t="inlineStr">
        <is>
          <t>Nifty Bank</t>
        </is>
      </c>
      <c r="T42" s="31" t="n">
        <v>3.04</v>
      </c>
      <c r="U42" s="31" t="n">
        <v>45.46</v>
      </c>
      <c r="V42" s="31" t="n">
        <v>41.16</v>
      </c>
      <c r="W42" s="31" t="n">
        <v>10.42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Fragmented with High ROE</t>
        </is>
      </c>
      <c r="AA42" s="30">
        <f>IF(Z42="Fragmented with Low ROE",-5,IF(Z42="Fragmented with High ROE",10,IF(Z42= "highly cyclical",5,0)))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Consistency)",15,IF(AF42="Shallow Cyclical (2 to 3 years growth)",10,IF(AF42 = "Cyclical in an Uptick",5,IF(AF42 = "Cyclical in an Downtick",-10,0))))</f>
        <v/>
      </c>
      <c r="AH42" s="30" t="inlineStr">
        <is>
          <t>Yes</t>
        </is>
      </c>
      <c r="AI42" s="30">
        <f>IF(AH42="Yes",10,0)</f>
        <v/>
      </c>
      <c r="AJ42" s="30" t="inlineStr">
        <is>
          <t>Yes</t>
        </is>
      </c>
      <c r="AK42" s="30">
        <f>IF(AJ42="Yes",10,0)</f>
        <v/>
      </c>
      <c r="AL42" s="30" t="n"/>
      <c r="AM42" s="30">
        <f>IF(AL42="No",10,0)</f>
        <v/>
      </c>
      <c r="AN42" s="30" t="inlineStr">
        <is>
          <t>Yes</t>
        </is>
      </c>
      <c r="AO42" s="30">
        <f>IF(AN42="Yes",10,0)</f>
        <v/>
      </c>
      <c r="AP42" s="30" t="inlineStr">
        <is>
          <t>No</t>
        </is>
      </c>
      <c r="AQ42" s="30">
        <f>IF(AP42="Yes",10,0)</f>
        <v/>
      </c>
      <c r="AR42" s="30" t="inlineStr">
        <is>
          <t>Yes</t>
        </is>
      </c>
      <c r="AS42" s="30">
        <f>IF(AR42="Yes",5,0)</f>
        <v/>
      </c>
      <c r="AT42" s="30" t="inlineStr">
        <is>
          <t>No</t>
        </is>
      </c>
      <c r="AU42" s="30">
        <f>IF(AT42="No",10,IF(AT42="Yes",-10,0))</f>
        <v/>
      </c>
      <c r="AV42" s="30" t="inlineStr">
        <is>
          <t>No</t>
        </is>
      </c>
      <c r="AW42" s="30">
        <f>IF(AV42="No",10,0)</f>
        <v/>
      </c>
      <c r="AX42" s="30" t="inlineStr">
        <is>
          <t>No</t>
        </is>
      </c>
      <c r="AY42" s="30">
        <f>IF(AX42="No",10,IF(AX42= "Yes CEO Resignation",-5,0))</f>
        <v/>
      </c>
      <c r="AZ42" s="30" t="inlineStr">
        <is>
          <t>No</t>
        </is>
      </c>
      <c r="BA42" s="30">
        <f>IF(AZ42="No",10,IF(AZ42="Yes",-5,0))</f>
        <v/>
      </c>
      <c r="BB42" s="30" t="inlineStr">
        <is>
          <t>No</t>
        </is>
      </c>
      <c r="BC42" s="30">
        <f>IF(BB42="No",5,IF(BB42="Yes",-5,0))</f>
        <v/>
      </c>
      <c r="BD42" s="30" t="inlineStr">
        <is>
          <t>Yes</t>
        </is>
      </c>
      <c r="BE42" s="30">
        <f>IF(BD42="Yes",10,0)</f>
        <v/>
      </c>
      <c r="BF42" s="30" t="inlineStr">
        <is>
          <t>Yes</t>
        </is>
      </c>
      <c r="BG42" s="30">
        <f>IF(BF42="Yes",10,0)</f>
        <v/>
      </c>
      <c r="BH42" s="30" t="inlineStr">
        <is>
          <t>Yes</t>
        </is>
      </c>
      <c r="BI42" s="30">
        <f>IF(BH42="Yes",10,0)</f>
        <v/>
      </c>
      <c r="BJ42" s="30" t="inlineStr">
        <is>
          <t>P/BV less than 2.5x and Growth more than 20%</t>
        </is>
      </c>
      <c r="BK42" s="30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0" t="inlineStr">
        <is>
          <t>0 to 20</t>
        </is>
      </c>
      <c r="BM42" s="30">
        <f>IF(BL42="Above 40",20,IF(BL42="20 to 40",10,IF(BL42="0 to 20",-5,0)))</f>
        <v/>
      </c>
      <c r="BN42" s="30" t="inlineStr">
        <is>
          <t>Between 50 to 75</t>
        </is>
      </c>
      <c r="BO42" s="30">
        <f>IF(BN42="Between 50 to 75",10,IF(BN42="Above 75",0,0))</f>
        <v/>
      </c>
      <c r="BP42" s="30" t="inlineStr">
        <is>
          <t>Stage 2</t>
        </is>
      </c>
      <c r="BQ42" s="30">
        <f>IF(BP42="Stage 2",20,IF(BP42="Stage 1",0,IF(BP42="Stage 3",5,IF(BP42="Stage 4",-5,0))))</f>
        <v/>
      </c>
      <c r="BR42" s="30" t="inlineStr">
        <is>
          <t>Positive Trend</t>
        </is>
      </c>
      <c r="BS42" s="30">
        <f>IF(BR42="Positive Trend",20,IF(BR42="Negative Trend",-10,0))</f>
        <v/>
      </c>
      <c r="BT42" s="30" t="inlineStr">
        <is>
          <t>Uptrend</t>
        </is>
      </c>
      <c r="BU42" s="30">
        <f>IF(BT42="Uptrend",10,IF(BT42="Sideways",5,0))</f>
        <v/>
      </c>
      <c r="BV42" s="30" t="inlineStr">
        <is>
          <t>Uptrend</t>
        </is>
      </c>
      <c r="BW42" s="30">
        <f>IF(BV42="Uptrend",10,IF(BV42="Sideways",5,0))</f>
        <v/>
      </c>
      <c r="BX42" s="30" t="inlineStr">
        <is>
          <t>Close to 52 week high or retracement</t>
        </is>
      </c>
      <c r="BY42" s="30">
        <f>IF(BX42="Overhead supply in last 2 years in last 2 years",-5,IF(BX42="Close to 52 week high or retracement",5,IF(BX42="Blue sky scenario",10,IF(BX42="Long term Downtrend",-10,0))))</f>
        <v/>
      </c>
      <c r="BZ42" s="30" t="inlineStr">
        <is>
          <t>Yes</t>
        </is>
      </c>
      <c r="CA42" s="30">
        <f>IF(BZ42="Yes",10,0)</f>
        <v/>
      </c>
    </row>
    <row r="43">
      <c r="A43" s="30">
        <f>IF(B43=0,"",RANK(B43,$B$2:$B$81,0))</f>
        <v/>
      </c>
      <c r="B43" s="31">
        <f>SUM(N43,Y43,AA43,AC43,AE43,AG43,AI43,AK43,AM43,AO43,AQ43,AS43,AU43,AW43,AY43,BA43,BC43,BE43,BG43,BI43,BK43,BM43,BO43,BQ43,BS43,BU43,BW43,BY43,CA43)</f>
        <v/>
      </c>
      <c r="C43" s="30" t="inlineStr">
        <is>
          <t>EQUITASBNK</t>
        </is>
      </c>
      <c r="D43" s="30" t="inlineStr">
        <is>
          <t>Equitas Small Finance Bank Ltd</t>
        </is>
      </c>
      <c r="E43" s="30" t="inlineStr">
        <is>
          <t>bank</t>
        </is>
      </c>
      <c r="F43" s="30" t="inlineStr">
        <is>
          <t>banks - private sector</t>
        </is>
      </c>
      <c r="G43" s="30" t="inlineStr">
        <is>
          <t>midcap</t>
        </is>
      </c>
      <c r="H43" s="31" t="n">
        <v>8974.299999999999</v>
      </c>
      <c r="I43" s="31" t="n">
        <v>77.7</v>
      </c>
      <c r="J43" s="31" t="n">
        <v>-1.21</v>
      </c>
      <c r="K43" s="31" t="n">
        <v>2668337</v>
      </c>
      <c r="L43" s="30" t="n">
        <v>48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65.77</v>
      </c>
      <c r="P43" s="31" t="n">
        <v>23.18</v>
      </c>
      <c r="Q43" s="31" t="n">
        <v>62.11</v>
      </c>
      <c r="R43" s="30" t="inlineStr">
        <is>
          <t>Near 52W High Breakout</t>
        </is>
      </c>
      <c r="S43" s="30" t="inlineStr">
        <is>
          <t>Nifty Bank</t>
        </is>
      </c>
      <c r="T43" s="31" t="n">
        <v>3.04</v>
      </c>
      <c r="U43" s="31" t="n">
        <v>20.58</v>
      </c>
      <c r="V43" s="31" t="n">
        <v>17.02</v>
      </c>
      <c r="W43" s="31" t="n">
        <v>12.27</v>
      </c>
      <c r="X43" s="30" t="inlineStr">
        <is>
          <t>Cyclical in an Upturn</t>
        </is>
      </c>
      <c r="Y43" s="30">
        <f>IF(X43="Growing Industry",10,IF(X43="Cyclical in an Upturn",5,0))</f>
        <v/>
      </c>
      <c r="Z43" s="30" t="inlineStr">
        <is>
          <t>Fragmented with High ROE</t>
        </is>
      </c>
      <c r="AA43" s="30">
        <f>IF(Z43="Fragmented with Low ROE",-5,IF(Z43="Fragmented with High ROE",10,IF(Z43= "highly cyclical",5,0)))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Cyclical in an Uptick</t>
        </is>
      </c>
      <c r="AG43" s="30">
        <f>IF(AF43="Structural (10 Years Consistency)",15,IF(AF43="Shallow Cyclical (2 to 3 years growth)",10,IF(AF43 = "Cyclical in an Uptick",5,IF(AF43 = "Cyclical in an Downtick",-10,0))))</f>
        <v/>
      </c>
      <c r="AH43" s="30" t="inlineStr">
        <is>
          <t>Yes</t>
        </is>
      </c>
      <c r="AI43" s="30">
        <f>IF(AH43="Yes",10,0)</f>
        <v/>
      </c>
      <c r="AJ43" s="30" t="inlineStr">
        <is>
          <t>Yes</t>
        </is>
      </c>
      <c r="AK43" s="30">
        <f>IF(AJ43="Yes",10,0)</f>
        <v/>
      </c>
      <c r="AL43" s="30" t="inlineStr">
        <is>
          <t>Yes</t>
        </is>
      </c>
      <c r="AM43" s="30">
        <f>IF(AL43="No",10,0)</f>
        <v/>
      </c>
      <c r="AN43" s="30" t="inlineStr">
        <is>
          <t>Yes</t>
        </is>
      </c>
      <c r="AO43" s="30">
        <f>IF(AN43="Yes",10,0)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No</t>
        </is>
      </c>
      <c r="AS43" s="30">
        <f>IF(AR43="Yes",5,0)</f>
        <v/>
      </c>
      <c r="AT43" s="30" t="inlineStr">
        <is>
          <t>No</t>
        </is>
      </c>
      <c r="AU43" s="30">
        <f>IF(AT43="No",10,IF(AT43="Yes",-10,0))</f>
        <v/>
      </c>
      <c r="AV43" s="30" t="inlineStr">
        <is>
          <t>No</t>
        </is>
      </c>
      <c r="AW43" s="30">
        <f>IF(AV43="No",10,0)</f>
        <v/>
      </c>
      <c r="AX43" s="30" t="inlineStr">
        <is>
          <t>No</t>
        </is>
      </c>
      <c r="AY43" s="30">
        <f>IF(AX43="No",10,IF(AX43= "Yes CEO Resignation",-5,0))</f>
        <v/>
      </c>
      <c r="AZ43" s="30" t="inlineStr">
        <is>
          <t>No</t>
        </is>
      </c>
      <c r="BA43" s="30">
        <f>IF(AZ43="No",10,IF(AZ43="Yes",-5,0))</f>
        <v/>
      </c>
      <c r="BB43" s="30" t="inlineStr">
        <is>
          <t>No</t>
        </is>
      </c>
      <c r="BC43" s="30">
        <f>IF(BB43="No",5,IF(BB43="Yes",-5,0))</f>
        <v/>
      </c>
      <c r="BD43" s="30" t="inlineStr">
        <is>
          <t>Yes</t>
        </is>
      </c>
      <c r="BE43" s="30">
        <f>IF(BD43="Yes",10,0)</f>
        <v/>
      </c>
      <c r="BF43" s="30" t="inlineStr">
        <is>
          <t>No</t>
        </is>
      </c>
      <c r="BG43" s="30">
        <f>IF(BF43="Yes",10,0)</f>
        <v/>
      </c>
      <c r="BH43" s="30" t="inlineStr">
        <is>
          <t>Yes</t>
        </is>
      </c>
      <c r="BI43" s="30">
        <f>IF(BH43="Yes",10,0)</f>
        <v/>
      </c>
      <c r="BJ43" s="30" t="inlineStr">
        <is>
          <t>P/BV less than 2.5x and Growth more than 20%</t>
        </is>
      </c>
      <c r="BK43" s="30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0" t="inlineStr">
        <is>
          <t>20 to 40</t>
        </is>
      </c>
      <c r="BM43" s="30">
        <f>IF(BL43="Above 40",20,IF(BL43="20 to 40",10,IF(BL43="0 to 20",-5,0)))</f>
        <v/>
      </c>
      <c r="BN43" s="30" t="inlineStr">
        <is>
          <t>Between 50 to 75</t>
        </is>
      </c>
      <c r="BO43" s="30">
        <f>IF(BN43="Between 50 to 75",10,IF(BN43="Above 75",0,0))</f>
        <v/>
      </c>
      <c r="BP43" s="30" t="inlineStr">
        <is>
          <t>Stage 2</t>
        </is>
      </c>
      <c r="BQ43" s="30">
        <f>IF(BP43="Stage 2",20,IF(BP43="Stage 1",0,IF(BP43="Stage 3",5,IF(BP43="Stage 4",-5,0))))</f>
        <v/>
      </c>
      <c r="BR43" s="30" t="inlineStr">
        <is>
          <t>Positive Trend</t>
        </is>
      </c>
      <c r="BS43" s="30">
        <f>IF(BR43="Positive Trend",20,IF(BR43="Negative Trend",-10,0))</f>
        <v/>
      </c>
      <c r="BT43" s="30" t="inlineStr">
        <is>
          <t>Uptrend</t>
        </is>
      </c>
      <c r="BU43" s="30">
        <f>IF(BT43="Uptrend",10,IF(BT43="Sideways",5,0))</f>
        <v/>
      </c>
      <c r="BV43" s="30" t="inlineStr">
        <is>
          <t>Uptrend</t>
        </is>
      </c>
      <c r="BW43" s="30">
        <f>IF(BV43="Uptrend",10,IF(BV43="Sideways",5,0))</f>
        <v/>
      </c>
      <c r="BX43" s="30" t="inlineStr">
        <is>
          <t>Close to 52 week high or retracement</t>
        </is>
      </c>
      <c r="BY43" s="30">
        <f>IF(BX43="Overhead supply in last 2 years in last 2 years",-5,IF(BX43="Close to 52 week high or retracement",5,IF(BX43="Blue sky scenario",10,IF(BX43="Long term Downtrend",-10,0))))</f>
        <v/>
      </c>
      <c r="BZ43" s="30" t="inlineStr">
        <is>
          <t>Yes</t>
        </is>
      </c>
      <c r="CA43" s="30">
        <f>IF(BZ43="Yes",10,0)</f>
        <v/>
      </c>
    </row>
    <row r="44">
      <c r="A44" s="30">
        <f>IF(B44=0,"",RANK(B44,$B$2:$B$81,0))</f>
        <v/>
      </c>
      <c r="B44" s="31">
        <f>SUM(N44,Y44,AA44,AC44,AE44,AG44,AI44,AK44,AM44,AO44,AQ44,AS44,AU44,AW44,AY44,BA44,BC44,BE44,BG44,BI44,BK44,BM44,BO44,BQ44,BS44,BU44,BW44,BY44,CA44)</f>
        <v/>
      </c>
      <c r="C44" s="30" t="inlineStr">
        <is>
          <t>PRUDENT</t>
        </is>
      </c>
      <c r="D44" s="30" t="inlineStr">
        <is>
          <t>Prudent Corporate Advisory Services Ltd</t>
        </is>
      </c>
      <c r="E44" s="30" t="inlineStr">
        <is>
          <t>financials</t>
        </is>
      </c>
      <c r="F44" s="30" t="inlineStr">
        <is>
          <t>finance &amp; investments</t>
        </is>
      </c>
      <c r="G44" s="30" t="inlineStr">
        <is>
          <t>midcap</t>
        </is>
      </c>
      <c r="H44" s="31" t="n">
        <v>12645.6</v>
      </c>
      <c r="I44" s="31" t="n">
        <v>2954.7</v>
      </c>
      <c r="J44" s="31" t="n">
        <v>-3.25</v>
      </c>
      <c r="K44" s="31" t="n">
        <v>27817</v>
      </c>
      <c r="L44" s="30" t="n">
        <v>39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63.18</v>
      </c>
      <c r="P44" s="31" t="n">
        <v>21.35</v>
      </c>
      <c r="Q44" s="31" t="n">
        <v>2311.61</v>
      </c>
      <c r="R44" s="30" t="inlineStr">
        <is>
          <t>Near 52W High Breakout</t>
        </is>
      </c>
      <c r="S44" s="30" t="inlineStr">
        <is>
          <t>Nifty Bank</t>
        </is>
      </c>
      <c r="T44" s="31" t="n">
        <v>3.04</v>
      </c>
      <c r="U44" s="31" t="n">
        <v>10.74</v>
      </c>
      <c r="V44" s="31" t="n">
        <v>7.47</v>
      </c>
      <c r="W44" s="31" t="n">
        <v>9.84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Fragmented with High ROE</t>
        </is>
      </c>
      <c r="AA44" s="30">
        <f>IF(Z44="Fragmented with Low ROE",-5,IF(Z44="Fragmented with High ROE",10,IF(Z44= "highly cyclical",5,0)))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Consistency)",15,IF(AF44="Shallow Cyclical (2 to 3 years growth)",10,IF(AF44 = "Cyclical in an Uptick",5,IF(AF44 = "Cyclical in an Downtick",-10,0))))</f>
        <v/>
      </c>
      <c r="AH44" s="30" t="inlineStr">
        <is>
          <t>Yes</t>
        </is>
      </c>
      <c r="AI44" s="30">
        <f>IF(AH44="Yes",10,0)</f>
        <v/>
      </c>
      <c r="AJ44" s="30" t="inlineStr">
        <is>
          <t>Yes</t>
        </is>
      </c>
      <c r="AK44" s="30">
        <f>IF(AJ44="Yes",10,0)</f>
        <v/>
      </c>
      <c r="AL44" s="30" t="n"/>
      <c r="AM44" s="30">
        <f>IF(AL44="No",10,0)</f>
        <v/>
      </c>
      <c r="AN44" s="30" t="inlineStr">
        <is>
          <t>Yes</t>
        </is>
      </c>
      <c r="AO44" s="30">
        <f>IF(AN44="Yes",10,0)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Yes</t>
        </is>
      </c>
      <c r="AS44" s="30">
        <f>IF(AR44="Yes",5,0)</f>
        <v/>
      </c>
      <c r="AT44" s="30" t="inlineStr">
        <is>
          <t>No</t>
        </is>
      </c>
      <c r="AU44" s="30">
        <f>IF(AT44="No",10,IF(AT44="Yes",-10,0))</f>
        <v/>
      </c>
      <c r="AV44" s="30" t="inlineStr">
        <is>
          <t>No</t>
        </is>
      </c>
      <c r="AW44" s="30">
        <f>IF(AV44="No",10,0)</f>
        <v/>
      </c>
      <c r="AX44" s="30" t="inlineStr">
        <is>
          <t>No</t>
        </is>
      </c>
      <c r="AY44" s="30">
        <f>IF(AX44="No",10,IF(AX44= "Yes CEO Resignation",-5,0))</f>
        <v/>
      </c>
      <c r="AZ44" s="30" t="inlineStr">
        <is>
          <t>No</t>
        </is>
      </c>
      <c r="BA44" s="30">
        <f>IF(AZ44="No",10,IF(AZ44="Yes",-5,0))</f>
        <v/>
      </c>
      <c r="BB44" s="30" t="inlineStr">
        <is>
          <t>No</t>
        </is>
      </c>
      <c r="BC44" s="30">
        <f>IF(BB44="No",5,IF(BB44="Yes",-5,0))</f>
        <v/>
      </c>
      <c r="BD44" s="30" t="inlineStr">
        <is>
          <t>Yes</t>
        </is>
      </c>
      <c r="BE44" s="30">
        <f>IF(BD44="Yes",10,0)</f>
        <v/>
      </c>
      <c r="BF44" s="30" t="inlineStr">
        <is>
          <t>Yes</t>
        </is>
      </c>
      <c r="BG44" s="30">
        <f>IF(BF44="Yes",10,0)</f>
        <v/>
      </c>
      <c r="BH44" s="30" t="inlineStr">
        <is>
          <t>Yes</t>
        </is>
      </c>
      <c r="BI44" s="30">
        <f>IF(BH44="Yes",10,0)</f>
        <v/>
      </c>
      <c r="BJ44" s="30" t="inlineStr">
        <is>
          <t>P/BV above 5x</t>
        </is>
      </c>
      <c r="BK44" s="30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0" t="inlineStr">
        <is>
          <t>20 to 40</t>
        </is>
      </c>
      <c r="BM44" s="30">
        <f>IF(BL44="Above 40",20,IF(BL44="20 to 40",10,IF(BL44="0 to 20",-5,0)))</f>
        <v/>
      </c>
      <c r="BN44" s="30" t="inlineStr">
        <is>
          <t>Between 50 to 75</t>
        </is>
      </c>
      <c r="BO44" s="30">
        <f>IF(BN44="Between 50 to 75",10,IF(BN44="Above 75",0,0))</f>
        <v/>
      </c>
      <c r="BP44" s="30" t="inlineStr">
        <is>
          <t>Stage 2</t>
        </is>
      </c>
      <c r="BQ44" s="30">
        <f>IF(BP44="Stage 2",20,IF(BP44="Stage 1",0,IF(BP44="Stage 3",5,IF(BP44="Stage 4",-5,0))))</f>
        <v/>
      </c>
      <c r="BR44" s="30" t="inlineStr">
        <is>
          <t>Positive Trend</t>
        </is>
      </c>
      <c r="BS44" s="30">
        <f>IF(BR44="Positive Trend",20,IF(BR44="Negative Trend",-10,0))</f>
        <v/>
      </c>
      <c r="BT44" s="30" t="inlineStr">
        <is>
          <t>Uptrend</t>
        </is>
      </c>
      <c r="BU44" s="30">
        <f>IF(BT44="Uptrend",10,IF(BT44="Sideways",5,0))</f>
        <v/>
      </c>
      <c r="BV44" s="30" t="inlineStr">
        <is>
          <t>Uptrend</t>
        </is>
      </c>
      <c r="BW44" s="30">
        <f>IF(BV44="Uptrend",10,IF(BV44="Sideways",5,0))</f>
        <v/>
      </c>
      <c r="BX44" s="30" t="inlineStr">
        <is>
          <t>Close to 52 week high or retracement</t>
        </is>
      </c>
      <c r="BY44" s="30">
        <f>IF(BX44="Overhead supply in last 2 years in last 2 years",-5,IF(BX44="Close to 52 week high or retracement",5,IF(BX44="Blue sky scenario",10,IF(BX44="Long term Downtrend",-10,0))))</f>
        <v/>
      </c>
      <c r="BZ44" s="30" t="inlineStr">
        <is>
          <t>Yes</t>
        </is>
      </c>
      <c r="CA44" s="30">
        <f>IF(BZ44="Yes",10,0)</f>
        <v/>
      </c>
    </row>
    <row r="45">
      <c r="A45" s="30">
        <f>IF(B45=0,"",RANK(B45,$B$2:$B$81,0))</f>
        <v/>
      </c>
      <c r="B45" s="31">
        <f>SUM(N45,Y45,AA45,AC45,AE45,AG45,AI45,AK45,AM45,AO45,AQ45,AS45,AU45,AW45,AY45,BA45,BC45,BE45,BG45,BI45,BK45,BM45,BO45,BQ45,BS45,BU45,BW45,BY45,CA45)</f>
        <v/>
      </c>
      <c r="C45" s="32" t="inlineStr">
        <is>
          <t>CAMS</t>
        </is>
      </c>
      <c r="D45" s="32" t="inlineStr">
        <is>
          <t>Computer Age Management Services Ltd</t>
        </is>
      </c>
      <c r="E45" s="30" t="inlineStr">
        <is>
          <t>financials</t>
        </is>
      </c>
      <c r="F45" s="30" t="inlineStr">
        <is>
          <t>miscellaneous</t>
        </is>
      </c>
      <c r="G45" s="30" t="inlineStr">
        <is>
          <t>largecap</t>
        </is>
      </c>
      <c r="H45" s="31" t="n">
        <v>20018.55</v>
      </c>
      <c r="I45" s="31" t="n">
        <v>832.8</v>
      </c>
      <c r="J45" s="31" t="n">
        <v>3.17</v>
      </c>
      <c r="K45" s="31" t="n">
        <v>2299896</v>
      </c>
      <c r="L45" s="30" t="n">
        <v>25</v>
      </c>
      <c r="M45" s="30" t="inlineStr">
        <is>
          <t>Underperforming</t>
        </is>
      </c>
      <c r="N45" s="31">
        <f>IF(M45="Underperforming",-5,IF(L45&gt;=95,15,IF(L45&gt;=90,10,IF(L45&gt;=80,5,0))))</f>
        <v/>
      </c>
      <c r="O45" s="31" t="n">
        <v>60.86</v>
      </c>
      <c r="P45" s="31" t="n">
        <v>20.42</v>
      </c>
      <c r="Q45" s="31" t="n">
        <v>672.92</v>
      </c>
      <c r="R45" s="30" t="inlineStr">
        <is>
          <t>Near 52W High Breakout</t>
        </is>
      </c>
      <c r="S45" s="30" t="inlineStr">
        <is>
          <t>Nifty Bank</t>
        </is>
      </c>
      <c r="T45" s="31" t="n">
        <v>3.04</v>
      </c>
      <c r="U45" s="31" t="n">
        <v>1.55</v>
      </c>
      <c r="V45" s="31" t="n">
        <v>-1.45</v>
      </c>
      <c r="W45" s="31" t="n">
        <v>7.36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Fragmented with High ROE</t>
        </is>
      </c>
      <c r="AA45" s="30">
        <f>IF(Z45="Fragmented with Low ROE",-5,IF(Z45="Fragmented with High ROE",10,IF(Z45= "highly cyclical",5,0)))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Consistency)",15,IF(AF45="Shallow Cyclical (2 to 3 years growth)",10,IF(AF45 = "Cyclical in an Uptick",5,IF(AF45 = "Cyclical in an Downtick",-10,0))))</f>
        <v/>
      </c>
      <c r="AH45" s="30" t="inlineStr">
        <is>
          <t>Yes</t>
        </is>
      </c>
      <c r="AI45" s="30">
        <f>IF(AH45="Yes",10,0)</f>
        <v/>
      </c>
      <c r="AJ45" s="30" t="inlineStr">
        <is>
          <t>Yes</t>
        </is>
      </c>
      <c r="AK45" s="30">
        <f>IF(AJ45="Yes",10,0)</f>
        <v/>
      </c>
      <c r="AL45" s="30" t="n"/>
      <c r="AM45" s="30">
        <f>IF(AL45="No",10,0)</f>
        <v/>
      </c>
      <c r="AN45" s="30" t="inlineStr">
        <is>
          <t>Yes</t>
        </is>
      </c>
      <c r="AO45" s="30">
        <f>IF(AN45="Yes",10,0)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Yes</t>
        </is>
      </c>
      <c r="AS45" s="30">
        <f>IF(AR45="Yes",5,0)</f>
        <v/>
      </c>
      <c r="AT45" s="30" t="inlineStr">
        <is>
          <t>No</t>
        </is>
      </c>
      <c r="AU45" s="30">
        <f>IF(AT45="No",10,IF(AT45="Yes",-10,0))</f>
        <v/>
      </c>
      <c r="AV45" s="30" t="inlineStr">
        <is>
          <t>No</t>
        </is>
      </c>
      <c r="AW45" s="30">
        <f>IF(AV45="No",10,0)</f>
        <v/>
      </c>
      <c r="AX45" s="30" t="inlineStr">
        <is>
          <t>No</t>
        </is>
      </c>
      <c r="AY45" s="30">
        <f>IF(AX45="No",10,IF(AX45= "Yes CEO Resignation",-5,0))</f>
        <v/>
      </c>
      <c r="AZ45" s="30" t="inlineStr">
        <is>
          <t>No</t>
        </is>
      </c>
      <c r="BA45" s="30">
        <f>IF(AZ45="No",10,IF(AZ45="Yes",-5,0))</f>
        <v/>
      </c>
      <c r="BB45" s="30" t="inlineStr">
        <is>
          <t>No</t>
        </is>
      </c>
      <c r="BC45" s="30">
        <f>IF(BB45="No",5,IF(BB45="Yes",-5,0))</f>
        <v/>
      </c>
      <c r="BD45" s="30" t="inlineStr">
        <is>
          <t>Yes</t>
        </is>
      </c>
      <c r="BE45" s="30">
        <f>IF(BD45="Yes",10,0)</f>
        <v/>
      </c>
      <c r="BF45" s="30" t="inlineStr">
        <is>
          <t>Yes</t>
        </is>
      </c>
      <c r="BG45" s="30">
        <f>IF(BF45="Yes",10,0)</f>
        <v/>
      </c>
      <c r="BH45" s="30" t="inlineStr">
        <is>
          <t>Yes</t>
        </is>
      </c>
      <c r="BI45" s="30">
        <f>IF(BH45="Yes",10,0)</f>
        <v/>
      </c>
      <c r="BJ45" s="30" t="inlineStr">
        <is>
          <t>P/BV above 5x</t>
        </is>
      </c>
      <c r="BK45" s="30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0" t="inlineStr">
        <is>
          <t>20 to 40</t>
        </is>
      </c>
      <c r="BM45" s="30">
        <f>IF(BL45="Above 40",20,IF(BL45="20 to 40",10,IF(BL45="0 to 20",-5,0)))</f>
        <v/>
      </c>
      <c r="BN45" s="30" t="inlineStr">
        <is>
          <t>Between 50 to 75</t>
        </is>
      </c>
      <c r="BO45" s="30">
        <f>IF(BN45="Between 50 to 75",10,IF(BN45="Above 75",0,0))</f>
        <v/>
      </c>
      <c r="BP45" s="30" t="inlineStr">
        <is>
          <t>Stage 2</t>
        </is>
      </c>
      <c r="BQ45" s="30">
        <f>IF(BP45="Stage 2",20,IF(BP45="Stage 1",0,IF(BP45="Stage 3",5,IF(BP45="Stage 4",-5,0))))</f>
        <v/>
      </c>
      <c r="BR45" s="30" t="inlineStr">
        <is>
          <t>Positive Trend</t>
        </is>
      </c>
      <c r="BS45" s="30">
        <f>IF(BR45="Positive Trend",20,IF(BR45="Negative Trend",-10,0))</f>
        <v/>
      </c>
      <c r="BT45" s="30" t="inlineStr">
        <is>
          <t>Uptrend</t>
        </is>
      </c>
      <c r="BU45" s="30">
        <f>IF(BT45="Uptrend",10,IF(BT45="Sideways",5,0))</f>
        <v/>
      </c>
      <c r="BV45" s="30" t="inlineStr">
        <is>
          <t>Uptrend</t>
        </is>
      </c>
      <c r="BW45" s="30">
        <f>IF(BV45="Uptrend",10,IF(BV45="Sideways",5,0))</f>
        <v/>
      </c>
      <c r="BX45" s="30" t="inlineStr">
        <is>
          <t>Close to 52 week high or retracement</t>
        </is>
      </c>
      <c r="BY45" s="30">
        <f>IF(BX45="Overhead supply in last 2 years in last 2 years",-5,IF(BX45="Close to 52 week high or retracement",5,IF(BX45="Blue sky scenario",10,IF(BX45="Long term Downtrend",-10,0))))</f>
        <v/>
      </c>
      <c r="BZ45" s="30" t="inlineStr">
        <is>
          <t>Yes</t>
        </is>
      </c>
      <c r="CA45" s="30">
        <f>IF(BZ45="Yes",10,0)</f>
        <v/>
      </c>
    </row>
    <row r="46">
      <c r="A46" s="30">
        <f>IF(B46=0,"",RANK(B46,$B$2:$B$81,0))</f>
        <v/>
      </c>
      <c r="B46" s="31">
        <f>SUM(N46,Y46,AA46,AC46,AE46,AG46,AI46,AK46,AM46,AO46,AQ46,AS46,AU46,AW46,AY46,BA46,BC46,BE46,BG46,BI46,BK46,BM46,BO46,BQ46,BS46,BU46,BW46,BY46,CA46)</f>
        <v/>
      </c>
      <c r="C46" s="30" t="inlineStr">
        <is>
          <t>EDELWEISS</t>
        </is>
      </c>
      <c r="D46" s="30" t="inlineStr">
        <is>
          <t>Edelweiss Financial Services Limited</t>
        </is>
      </c>
      <c r="E46" s="30" t="inlineStr">
        <is>
          <t>financials</t>
        </is>
      </c>
      <c r="F46" s="30" t="inlineStr">
        <is>
          <t>finance &amp; investments</t>
        </is>
      </c>
      <c r="G46" s="30" t="inlineStr">
        <is>
          <t>midcap</t>
        </is>
      </c>
      <c r="H46" s="31" t="n">
        <v>11399.08</v>
      </c>
      <c r="I46" s="31" t="n">
        <v>121.34</v>
      </c>
      <c r="J46" s="31" t="n">
        <v>0.76</v>
      </c>
      <c r="K46" s="31" t="n">
        <v>5556803</v>
      </c>
      <c r="L46" s="30" t="n">
        <v>26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56.54</v>
      </c>
      <c r="P46" s="31" t="n">
        <v>7.74</v>
      </c>
      <c r="Q46" s="31" t="n">
        <v>92.42</v>
      </c>
      <c r="R46" s="30" t="inlineStr">
        <is>
          <t>Near 52W High Breakout</t>
        </is>
      </c>
      <c r="S46" s="30" t="inlineStr">
        <is>
          <t>Nifty Bank</t>
        </is>
      </c>
      <c r="T46" s="31" t="n">
        <v>3.04</v>
      </c>
      <c r="U46" s="31" t="n">
        <v>20.12</v>
      </c>
      <c r="V46" s="31" t="n">
        <v>16.57</v>
      </c>
      <c r="W46" s="31" t="n">
        <v>7.48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Fragmented with High ROE</t>
        </is>
      </c>
      <c r="AA46" s="30">
        <f>IF(Z46="Fragmented with Low ROE",-5,IF(Z46="Fragmented with High ROE",10,IF(Z46= "highly cyclical",5,0)))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Consistency)",15,IF(AF46="Shallow Cyclical (2 to 3 years growth)",10,IF(AF46 = "Cyclical in an Uptick",5,IF(AF46 = "Cyclical in an Downtick",-10,0))))</f>
        <v/>
      </c>
      <c r="AH46" s="30" t="inlineStr">
        <is>
          <t>Yes</t>
        </is>
      </c>
      <c r="AI46" s="30">
        <f>IF(AH46="Yes",10,0)</f>
        <v/>
      </c>
      <c r="AJ46" s="30" t="inlineStr">
        <is>
          <t>Yes</t>
        </is>
      </c>
      <c r="AK46" s="30">
        <f>IF(AJ46="Yes",10,0)</f>
        <v/>
      </c>
      <c r="AL46" s="30" t="n"/>
      <c r="AM46" s="30">
        <f>IF(AL46="No",10,0)</f>
        <v/>
      </c>
      <c r="AN46" s="30" t="inlineStr">
        <is>
          <t>Yes</t>
        </is>
      </c>
      <c r="AO46" s="30">
        <f>IF(AN46="Yes",10,0)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Yes</t>
        </is>
      </c>
      <c r="AS46" s="30">
        <f>IF(AR46="Yes",5,0)</f>
        <v/>
      </c>
      <c r="AT46" s="30" t="inlineStr">
        <is>
          <t>No</t>
        </is>
      </c>
      <c r="AU46" s="30">
        <f>IF(AT46="No",10,IF(AT46="Yes",-10,0))</f>
        <v/>
      </c>
      <c r="AV46" s="30" t="inlineStr">
        <is>
          <t>No</t>
        </is>
      </c>
      <c r="AW46" s="30">
        <f>IF(AV46="No",10,0)</f>
        <v/>
      </c>
      <c r="AX46" s="30" t="inlineStr">
        <is>
          <t>No</t>
        </is>
      </c>
      <c r="AY46" s="30">
        <f>IF(AX46="No",10,IF(AX46= "Yes CEO Resignation",-5,0))</f>
        <v/>
      </c>
      <c r="AZ46" s="30" t="inlineStr">
        <is>
          <t>No</t>
        </is>
      </c>
      <c r="BA46" s="30">
        <f>IF(AZ46="No",10,IF(AZ46="Yes",-5,0))</f>
        <v/>
      </c>
      <c r="BB46" s="30" t="inlineStr">
        <is>
          <t>No</t>
        </is>
      </c>
      <c r="BC46" s="30">
        <f>IF(BB46="No",5,IF(BB46="Yes",-5,0))</f>
        <v/>
      </c>
      <c r="BD46" s="30" t="inlineStr">
        <is>
          <t>Yes</t>
        </is>
      </c>
      <c r="BE46" s="30">
        <f>IF(BD46="Yes",10,0)</f>
        <v/>
      </c>
      <c r="BF46" s="30" t="inlineStr">
        <is>
          <t>Yes</t>
        </is>
      </c>
      <c r="BG46" s="30">
        <f>IF(BF46="Yes",10,0)</f>
        <v/>
      </c>
      <c r="BH46" s="30" t="inlineStr">
        <is>
          <t>Yes</t>
        </is>
      </c>
      <c r="BI46" s="30">
        <f>IF(BH46="Yes",10,0)</f>
        <v/>
      </c>
      <c r="BJ46" s="30" t="inlineStr">
        <is>
          <t>P/BV less than 2.5x and Growth less than 20%</t>
        </is>
      </c>
      <c r="BK46" s="30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0" t="inlineStr">
        <is>
          <t>0 to 20</t>
        </is>
      </c>
      <c r="BM46" s="30">
        <f>IF(BL46="Above 40",20,IF(BL46="20 to 40",10,IF(BL46="0 to 20",-5,0)))</f>
        <v/>
      </c>
      <c r="BN46" s="30" t="inlineStr">
        <is>
          <t>Between 50 to 75</t>
        </is>
      </c>
      <c r="BO46" s="30">
        <f>IF(BN46="Between 50 to 75",10,IF(BN46="Above 75",0,0))</f>
        <v/>
      </c>
      <c r="BP46" s="30" t="inlineStr">
        <is>
          <t>Stage 2</t>
        </is>
      </c>
      <c r="BQ46" s="30">
        <f>IF(BP46="Stage 2",20,IF(BP46="Stage 1",0,IF(BP46="Stage 3",5,IF(BP46="Stage 4",-5,0))))</f>
        <v/>
      </c>
      <c r="BR46" s="30" t="inlineStr">
        <is>
          <t>Positive Trend</t>
        </is>
      </c>
      <c r="BS46" s="30">
        <f>IF(BR46="Positive Trend",20,IF(BR46="Negative Trend",-10,0))</f>
        <v/>
      </c>
      <c r="BT46" s="30" t="inlineStr">
        <is>
          <t>Uptrend</t>
        </is>
      </c>
      <c r="BU46" s="30">
        <f>IF(BT46="Uptrend",10,IF(BT46="Sideways",5,0))</f>
        <v/>
      </c>
      <c r="BV46" s="30" t="inlineStr">
        <is>
          <t>Uptrend</t>
        </is>
      </c>
      <c r="BW46" s="30">
        <f>IF(BV46="Uptrend",10,IF(BV46="Sideways",5,0))</f>
        <v/>
      </c>
      <c r="BX46" s="30" t="inlineStr">
        <is>
          <t>Close to 52 week high or retracement</t>
        </is>
      </c>
      <c r="BY46" s="30">
        <f>IF(BX46="Overhead supply in last 2 years in last 2 years",-5,IF(BX46="Close to 52 week high or retracement",5,IF(BX46="Blue sky scenario",10,IF(BX46="Long term Downtrend",-10,0))))</f>
        <v/>
      </c>
      <c r="BZ46" s="30" t="inlineStr">
        <is>
          <t>Yes</t>
        </is>
      </c>
      <c r="CA46" s="30">
        <f>IF(BZ46="Yes",10,0)</f>
        <v/>
      </c>
    </row>
    <row r="47">
      <c r="A47" s="30">
        <f>IF(B47=0,"",RANK(B47,$B$2:$B$81,0))</f>
        <v/>
      </c>
      <c r="B47" s="31">
        <f>SUM(N47,Y47,AA47,AC47,AE47,AG47,AI47,AK47,AM47,AO47,AQ47,AS47,AU47,AW47,AY47,BA47,BC47,BE47,BG47,BI47,BK47,BM47,BO47,BQ47,BS47,BU47,BW47,BY47,CA47)</f>
        <v/>
      </c>
      <c r="C47" s="32" t="inlineStr">
        <is>
          <t>BFINVEST</t>
        </is>
      </c>
      <c r="D47" s="32" t="inlineStr">
        <is>
          <t>Bf Investment Limited</t>
        </is>
      </c>
      <c r="E47" s="30" t="inlineStr">
        <is>
          <t>financials</t>
        </is>
      </c>
      <c r="F47" s="30" t="inlineStr">
        <is>
          <t>finance &amp; investments</t>
        </is>
      </c>
      <c r="G47" s="30" t="inlineStr">
        <is>
          <t>smallcap</t>
        </is>
      </c>
      <c r="H47" s="31" t="n">
        <v>1702.58</v>
      </c>
      <c r="I47" s="31" t="n">
        <v>453</v>
      </c>
      <c r="J47" s="31" t="n">
        <v>0.22</v>
      </c>
      <c r="K47" s="31" t="n">
        <v>26097</v>
      </c>
      <c r="L47" s="30" t="n">
        <v>11</v>
      </c>
      <c r="M47" s="30" t="inlineStr">
        <is>
          <t>Underperforming</t>
        </is>
      </c>
      <c r="N47" s="31">
        <f>IF(M47="Underperforming",-5,IF(L47&gt;=95,15,IF(L47&gt;=90,10,IF(L47&gt;=80,5,0))))</f>
        <v/>
      </c>
      <c r="O47" s="31" t="n">
        <v>58.72</v>
      </c>
      <c r="P47" s="31" t="n">
        <v>18.62</v>
      </c>
      <c r="Q47" s="31" t="n">
        <v>352.37</v>
      </c>
      <c r="R47" s="30" t="inlineStr">
        <is>
          <t>Earnings / Momentum Support</t>
        </is>
      </c>
      <c r="S47" s="30" t="inlineStr">
        <is>
          <t>Nifty Bank</t>
        </is>
      </c>
      <c r="T47" s="31" t="n">
        <v>3.04</v>
      </c>
      <c r="U47" s="31" t="n">
        <v>-5.64</v>
      </c>
      <c r="V47" s="31" t="n">
        <v>-8.43</v>
      </c>
      <c r="W47" s="31" t="n">
        <v>3.96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Fragmented with High ROE</t>
        </is>
      </c>
      <c r="AA47" s="30">
        <f>IF(Z47="Fragmented with Low ROE",-5,IF(Z47="Fragmented with High ROE",10,IF(Z47= "highly cyclical",5,0)))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Consistency)",15,IF(AF47="Shallow Cyclical (2 to 3 years growth)",10,IF(AF47 = "Cyclical in an Uptick",5,IF(AF47 = "Cyclical in an Downtick",-10,0))))</f>
        <v/>
      </c>
      <c r="AH47" s="30" t="inlineStr">
        <is>
          <t>Yes</t>
        </is>
      </c>
      <c r="AI47" s="30">
        <f>IF(AH47="Yes",10,0)</f>
        <v/>
      </c>
      <c r="AJ47" s="30" t="inlineStr">
        <is>
          <t>Yes</t>
        </is>
      </c>
      <c r="AK47" s="30">
        <f>IF(AJ47="Yes",10,0)</f>
        <v/>
      </c>
      <c r="AL47" s="30" t="n"/>
      <c r="AM47" s="30">
        <f>IF(AL47="No",10,0)</f>
        <v/>
      </c>
      <c r="AN47" s="30" t="inlineStr">
        <is>
          <t>Yes</t>
        </is>
      </c>
      <c r="AO47" s="30">
        <f>IF(AN47="Yes",10,0)</f>
        <v/>
      </c>
      <c r="AP47" s="30" t="inlineStr">
        <is>
          <t>No</t>
        </is>
      </c>
      <c r="AQ47" s="30">
        <f>IF(AP47="Yes",10,0)</f>
        <v/>
      </c>
      <c r="AR47" s="30" t="inlineStr">
        <is>
          <t>Yes</t>
        </is>
      </c>
      <c r="AS47" s="30">
        <f>IF(AR47="Yes",5,0)</f>
        <v/>
      </c>
      <c r="AT47" s="30" t="inlineStr">
        <is>
          <t>No</t>
        </is>
      </c>
      <c r="AU47" s="30">
        <f>IF(AT47="No",10,IF(AT47="Yes",-10,0))</f>
        <v/>
      </c>
      <c r="AV47" s="30" t="inlineStr">
        <is>
          <t>No</t>
        </is>
      </c>
      <c r="AW47" s="30">
        <f>IF(AV47="No",10,0)</f>
        <v/>
      </c>
      <c r="AX47" s="30" t="inlineStr">
        <is>
          <t>No</t>
        </is>
      </c>
      <c r="AY47" s="30">
        <f>IF(AX47="No",10,IF(AX47= "Yes CEO Resignation",-5,0))</f>
        <v/>
      </c>
      <c r="AZ47" s="30" t="inlineStr">
        <is>
          <t>No</t>
        </is>
      </c>
      <c r="BA47" s="30">
        <f>IF(AZ47="No",10,IF(AZ47="Yes",-5,0))</f>
        <v/>
      </c>
      <c r="BB47" s="30" t="inlineStr">
        <is>
          <t>No</t>
        </is>
      </c>
      <c r="BC47" s="30">
        <f>IF(BB47="No",5,IF(BB47="Yes",-5,0))</f>
        <v/>
      </c>
      <c r="BD47" s="30" t="inlineStr">
        <is>
          <t>Yes</t>
        </is>
      </c>
      <c r="BE47" s="30">
        <f>IF(BD47="Yes",10,0)</f>
        <v/>
      </c>
      <c r="BF47" s="30" t="inlineStr">
        <is>
          <t>Yes</t>
        </is>
      </c>
      <c r="BG47" s="30">
        <f>IF(BF47="Yes",10,0)</f>
        <v/>
      </c>
      <c r="BH47" s="30" t="inlineStr">
        <is>
          <t>Yes</t>
        </is>
      </c>
      <c r="BI47" s="30">
        <f>IF(BH47="Yes",10,0)</f>
        <v/>
      </c>
      <c r="BJ47" s="30" t="inlineStr">
        <is>
          <t>P/BV less than 2.5x and Growth more than 20%</t>
        </is>
      </c>
      <c r="BK47" s="30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0" t="inlineStr">
        <is>
          <t>0 to 20</t>
        </is>
      </c>
      <c r="BM47" s="30">
        <f>IF(BL47="Above 40",20,IF(BL47="20 to 40",10,IF(BL47="0 to 20",-5,0)))</f>
        <v/>
      </c>
      <c r="BN47" s="30" t="inlineStr">
        <is>
          <t>Between 50 to 75</t>
        </is>
      </c>
      <c r="BO47" s="30">
        <f>IF(BN47="Between 50 to 75",10,IF(BN47="Above 75",0,0))</f>
        <v/>
      </c>
      <c r="BP47" s="30" t="inlineStr">
        <is>
          <t>Stage 2</t>
        </is>
      </c>
      <c r="BQ47" s="30">
        <f>IF(BP47="Stage 2",20,IF(BP47="Stage 1",0,IF(BP47="Stage 3",5,IF(BP47="Stage 4",-5,0))))</f>
        <v/>
      </c>
      <c r="BR47" s="30" t="inlineStr">
        <is>
          <t>Positive Trend</t>
        </is>
      </c>
      <c r="BS47" s="30">
        <f>IF(BR47="Positive Trend",20,IF(BR47="Negative Trend",-10,0))</f>
        <v/>
      </c>
      <c r="BT47" s="30" t="inlineStr">
        <is>
          <t>Uptrend</t>
        </is>
      </c>
      <c r="BU47" s="30">
        <f>IF(BT47="Uptrend",10,IF(BT47="Sideways",5,0))</f>
        <v/>
      </c>
      <c r="BV47" s="30" t="inlineStr">
        <is>
          <t>Uptrend</t>
        </is>
      </c>
      <c r="BW47" s="30">
        <f>IF(BV47="Uptrend",10,IF(BV47="Sideways",5,0))</f>
        <v/>
      </c>
      <c r="BX47" s="30" t="inlineStr">
        <is>
          <t>Close to 52 week high or retracement</t>
        </is>
      </c>
      <c r="BY47" s="30">
        <f>IF(BX47="Overhead supply in last 2 years in last 2 years",-5,IF(BX47="Close to 52 week high or retracement",5,IF(BX47="Blue sky scenario",10,IF(BX47="Long term Downtrend",-10,0))))</f>
        <v/>
      </c>
      <c r="BZ47" s="30" t="inlineStr">
        <is>
          <t>Yes</t>
        </is>
      </c>
      <c r="CA47" s="30">
        <f>IF(BZ47="Yes",10,0)</f>
        <v/>
      </c>
    </row>
    <row r="48">
      <c r="A48" s="30">
        <f>IF(B48=0,"",RANK(B48,$B$2:$B$81,0))</f>
        <v/>
      </c>
      <c r="B48" s="31">
        <f>SUM(N48,Y48,AA48,AC48,AE48,AG48,AI48,AK48,AM48,AO48,AQ48,AS48,AU48,AW48,AY48,BA48,BC48,BE48,BG48,BI48,BK48,BM48,BO48,BQ48,BS48,BU48,BW48,BY48,CA48)</f>
        <v/>
      </c>
      <c r="C48" s="32" t="inlineStr">
        <is>
          <t>MANBA</t>
        </is>
      </c>
      <c r="D48" s="32" t="inlineStr">
        <is>
          <t>Manba Finance Ltd</t>
        </is>
      </c>
      <c r="E48" s="30" t="inlineStr">
        <is>
          <t>financials</t>
        </is>
      </c>
      <c r="F48" s="30" t="inlineStr">
        <is>
          <t>finance &amp; investments</t>
        </is>
      </c>
      <c r="G48" s="30" t="inlineStr">
        <is>
          <t>smallcap</t>
        </is>
      </c>
      <c r="H48" s="31" t="n">
        <v>651.76</v>
      </c>
      <c r="I48" s="31" t="n">
        <v>131.35</v>
      </c>
      <c r="J48" s="31" t="n">
        <v>1.25</v>
      </c>
      <c r="K48" s="31" t="n">
        <v>82412</v>
      </c>
      <c r="L48" s="30" t="n">
        <v>4</v>
      </c>
      <c r="M48" s="30" t="inlineStr">
        <is>
          <t>Underperforming</t>
        </is>
      </c>
      <c r="N48" s="31">
        <f>IF(M48="Underperforming",-5,IF(L48&gt;=95,15,IF(L48&gt;=90,10,IF(L48&gt;=80,5,0))))</f>
        <v/>
      </c>
      <c r="O48" s="31" t="n">
        <v>59.28</v>
      </c>
      <c r="P48" s="31" t="n">
        <v>26.8</v>
      </c>
      <c r="Q48" s="31" t="n">
        <v>102.64</v>
      </c>
      <c r="R48" s="30" t="inlineStr">
        <is>
          <t>Volume Spike / Accumulation</t>
        </is>
      </c>
      <c r="S48" s="30" t="inlineStr">
        <is>
          <t>Nifty Bank</t>
        </is>
      </c>
      <c r="T48" s="31" t="n">
        <v>3.04</v>
      </c>
      <c r="U48" s="31" t="n">
        <v>-5.59</v>
      </c>
      <c r="V48" s="31" t="n">
        <v>-8.369999999999999</v>
      </c>
      <c r="W48" s="31" t="n">
        <v>2.44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Fragmented with High ROE</t>
        </is>
      </c>
      <c r="AA48" s="30">
        <f>IF(Z48="Fragmented with Low ROE",-5,IF(Z48="Fragmented with High ROE",10,IF(Z48= "highly cyclical",5,0)))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Headwind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Consistency)",15,IF(AF48="Shallow Cyclical (2 to 3 years growth)",10,IF(AF48 = "Cyclical in an Uptick",5,IF(AF48 = "Cyclical in an Downtick",-10,0))))</f>
        <v/>
      </c>
      <c r="AH48" s="30" t="inlineStr">
        <is>
          <t>Yes</t>
        </is>
      </c>
      <c r="AI48" s="30">
        <f>IF(AH48="Yes",10,0)</f>
        <v/>
      </c>
      <c r="AJ48" s="30" t="inlineStr">
        <is>
          <t>Yes</t>
        </is>
      </c>
      <c r="AK48" s="30">
        <f>IF(AJ48="Yes",10,0)</f>
        <v/>
      </c>
      <c r="AL48" s="30" t="n"/>
      <c r="AM48" s="30">
        <f>IF(AL48="No",10,0)</f>
        <v/>
      </c>
      <c r="AN48" s="30" t="inlineStr">
        <is>
          <t>Yes</t>
        </is>
      </c>
      <c r="AO48" s="30">
        <f>IF(AN48="Yes",10,0)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Yes</t>
        </is>
      </c>
      <c r="AS48" s="30">
        <f>IF(AR48="Yes",5,0)</f>
        <v/>
      </c>
      <c r="AT48" s="30" t="inlineStr">
        <is>
          <t>No</t>
        </is>
      </c>
      <c r="AU48" s="30">
        <f>IF(AT48="No",10,IF(AT48="Yes",-10,0))</f>
        <v/>
      </c>
      <c r="AV48" s="30" t="inlineStr">
        <is>
          <t>No</t>
        </is>
      </c>
      <c r="AW48" s="30">
        <f>IF(AV48="No",10,0)</f>
        <v/>
      </c>
      <c r="AX48" s="30" t="inlineStr">
        <is>
          <t>No</t>
        </is>
      </c>
      <c r="AY48" s="30">
        <f>IF(AX48="No",10,IF(AX48= "Yes CEO Resignation",-5,0))</f>
        <v/>
      </c>
      <c r="AZ48" s="30" t="inlineStr">
        <is>
          <t>No</t>
        </is>
      </c>
      <c r="BA48" s="30">
        <f>IF(AZ48="No",10,IF(AZ48="Yes",-5,0))</f>
        <v/>
      </c>
      <c r="BB48" s="30" t="inlineStr">
        <is>
          <t>No</t>
        </is>
      </c>
      <c r="BC48" s="30">
        <f>IF(BB48="No",5,IF(BB48="Yes",-5,0))</f>
        <v/>
      </c>
      <c r="BD48" s="30" t="inlineStr">
        <is>
          <t>Yes</t>
        </is>
      </c>
      <c r="BE48" s="30">
        <f>IF(BD48="Yes",10,0)</f>
        <v/>
      </c>
      <c r="BF48" s="30" t="inlineStr">
        <is>
          <t>Yes</t>
        </is>
      </c>
      <c r="BG48" s="30">
        <f>IF(BF48="Yes",10,0)</f>
        <v/>
      </c>
      <c r="BH48" s="30" t="inlineStr">
        <is>
          <t>Yes</t>
        </is>
      </c>
      <c r="BI48" s="30">
        <f>IF(BH48="Yes",10,0)</f>
        <v/>
      </c>
      <c r="BJ48" s="30" t="inlineStr">
        <is>
          <t>P/BV less than 2.5x and Growth more than 20%</t>
        </is>
      </c>
      <c r="BK48" s="30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0" t="inlineStr">
        <is>
          <t>20 to 40</t>
        </is>
      </c>
      <c r="BM48" s="30">
        <f>IF(BL48="Above 40",20,IF(BL48="20 to 40",10,IF(BL48="0 to 20",-5,0)))</f>
        <v/>
      </c>
      <c r="BN48" s="30" t="inlineStr">
        <is>
          <t>Between 50 to 75</t>
        </is>
      </c>
      <c r="BO48" s="30">
        <f>IF(BN48="Between 50 to 75",10,IF(BN48="Above 75",0,0))</f>
        <v/>
      </c>
      <c r="BP48" s="30" t="inlineStr">
        <is>
          <t>Stage 1</t>
        </is>
      </c>
      <c r="BQ48" s="30">
        <f>IF(BP48="Stage 2",20,IF(BP48="Stage 1",0,IF(BP48="Stage 3",5,IF(BP48="Stage 4",-5,0))))</f>
        <v/>
      </c>
      <c r="BR48" s="30" t="inlineStr">
        <is>
          <t>Positive Trend</t>
        </is>
      </c>
      <c r="BS48" s="30">
        <f>IF(BR48="Positive Trend",20,IF(BR48="Negative Trend",-10,0))</f>
        <v/>
      </c>
      <c r="BT48" s="30" t="inlineStr">
        <is>
          <t>Uptrend</t>
        </is>
      </c>
      <c r="BU48" s="30">
        <f>IF(BT48="Uptrend",10,IF(BT48="Sideways",5,0))</f>
        <v/>
      </c>
      <c r="BV48" s="30" t="inlineStr">
        <is>
          <t>Uptrend</t>
        </is>
      </c>
      <c r="BW48" s="30">
        <f>IF(BV48="Uptrend",10,IF(BV48="Sideways",5,0))</f>
        <v/>
      </c>
      <c r="BX48" s="30" t="inlineStr">
        <is>
          <t>Close to 52 week high or retracement</t>
        </is>
      </c>
      <c r="BY48" s="30">
        <f>IF(BX48="Overhead supply in last 2 years in last 2 years",-5,IF(BX48="Close to 52 week high or retracement",5,IF(BX48="Blue sky scenario",10,IF(BX48="Long term Downtrend",-10,0))))</f>
        <v/>
      </c>
      <c r="BZ48" s="30" t="inlineStr">
        <is>
          <t>Yes</t>
        </is>
      </c>
      <c r="CA48" s="30">
        <f>IF(BZ48="Yes",10,0)</f>
        <v/>
      </c>
    </row>
    <row r="49">
      <c r="A49" s="30">
        <f>IF(B49=0,"",RANK(B49,$B$2:$B$81,0))</f>
        <v/>
      </c>
      <c r="B49" s="31">
        <f>SUM(N49,Y49,AA49,AC49,AE49,AG49,AI49,AK49,AM49,AO49,AQ49,AS49,AU49,AW49,AY49,BA49,BC49,BE49,BG49,BI49,BK49,BM49,BO49,BQ49,BS49,BU49,BW49,BY49,CA49)</f>
        <v/>
      </c>
      <c r="C49" s="30" t="inlineStr">
        <is>
          <t>IDFCFIRSTB</t>
        </is>
      </c>
      <c r="D49" s="30" t="inlineStr">
        <is>
          <t>IDFC First Bank Ltd</t>
        </is>
      </c>
      <c r="E49" s="30" t="inlineStr">
        <is>
          <t>bank</t>
        </is>
      </c>
      <c r="F49" s="30" t="inlineStr">
        <is>
          <t>banks - private sector</t>
        </is>
      </c>
      <c r="G49" s="30" t="inlineStr">
        <is>
          <t>largecap</t>
        </is>
      </c>
      <c r="H49" s="31" t="n">
        <v>66559.95</v>
      </c>
      <c r="I49" s="31" t="n">
        <v>78.09</v>
      </c>
      <c r="J49" s="31" t="n">
        <v>0.92</v>
      </c>
      <c r="K49" s="31" t="n">
        <v>29775446</v>
      </c>
      <c r="L49" s="30" t="n">
        <v>33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58.5</v>
      </c>
      <c r="P49" s="31" t="n">
        <v>27.44</v>
      </c>
      <c r="Q49" s="31" t="n">
        <v>64.72</v>
      </c>
      <c r="R49" s="30" t="inlineStr">
        <is>
          <t>Earnings / Momentum Support</t>
        </is>
      </c>
      <c r="S49" s="30" t="inlineStr">
        <is>
          <t>Nifty Bank</t>
        </is>
      </c>
      <c r="T49" s="31" t="n">
        <v>3.04</v>
      </c>
      <c r="U49" s="31" t="n">
        <v>11.62</v>
      </c>
      <c r="V49" s="31" t="n">
        <v>8.32</v>
      </c>
      <c r="W49" s="31" t="n">
        <v>8.6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Fragmented with High ROE</t>
        </is>
      </c>
      <c r="AA49" s="30">
        <f>IF(Z49="Fragmented with Low ROE",-5,IF(Z49="Fragmented with High ROE",10,IF(Z49= "highly cyclical",5,0)))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Headwind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Consistency)",15,IF(AF49="Shallow Cyclical (2 to 3 years growth)",10,IF(AF49 = "Cyclical in an Uptick",5,IF(AF49 = "Cyclical in an Downtick",-10,0))))</f>
        <v/>
      </c>
      <c r="AH49" s="30" t="inlineStr">
        <is>
          <t>Yes</t>
        </is>
      </c>
      <c r="AI49" s="30">
        <f>IF(AH49="Yes",10,0)</f>
        <v/>
      </c>
      <c r="AJ49" s="30" t="inlineStr">
        <is>
          <t>Yes</t>
        </is>
      </c>
      <c r="AK49" s="30">
        <f>IF(AJ49="Yes",10,0)</f>
        <v/>
      </c>
      <c r="AL49" s="30" t="n"/>
      <c r="AM49" s="30">
        <f>IF(AL49="No",10,0)</f>
        <v/>
      </c>
      <c r="AN49" s="30" t="inlineStr">
        <is>
          <t>Yes</t>
        </is>
      </c>
      <c r="AO49" s="30">
        <f>IF(AN49="Yes",10,0)</f>
        <v/>
      </c>
      <c r="AP49" s="30" t="inlineStr">
        <is>
          <t>No</t>
        </is>
      </c>
      <c r="AQ49" s="30">
        <f>IF(AP49="Yes",10,0)</f>
        <v/>
      </c>
      <c r="AR49" s="30" t="inlineStr">
        <is>
          <t>Yes</t>
        </is>
      </c>
      <c r="AS49" s="30">
        <f>IF(AR49="Yes",5,0)</f>
        <v/>
      </c>
      <c r="AT49" s="30" t="inlineStr">
        <is>
          <t>No</t>
        </is>
      </c>
      <c r="AU49" s="30">
        <f>IF(AT49="No",10,IF(AT49="Yes",-10,0))</f>
        <v/>
      </c>
      <c r="AV49" s="30" t="inlineStr">
        <is>
          <t>No</t>
        </is>
      </c>
      <c r="AW49" s="30">
        <f>IF(AV49="No",10,0)</f>
        <v/>
      </c>
      <c r="AX49" s="30" t="inlineStr">
        <is>
          <t>No</t>
        </is>
      </c>
      <c r="AY49" s="30">
        <f>IF(AX49="No",10,IF(AX49= "Yes CEO Resignation",-5,0))</f>
        <v/>
      </c>
      <c r="AZ49" s="30" t="inlineStr">
        <is>
          <t>No</t>
        </is>
      </c>
      <c r="BA49" s="30">
        <f>IF(AZ49="No",10,IF(AZ49="Yes",-5,0))</f>
        <v/>
      </c>
      <c r="BB49" s="30" t="inlineStr">
        <is>
          <t>No</t>
        </is>
      </c>
      <c r="BC49" s="30">
        <f>IF(BB49="No",5,IF(BB49="Yes",-5,0))</f>
        <v/>
      </c>
      <c r="BD49" s="30" t="inlineStr">
        <is>
          <t>Yes</t>
        </is>
      </c>
      <c r="BE49" s="30">
        <f>IF(BD49="Yes",10,0)</f>
        <v/>
      </c>
      <c r="BF49" s="30" t="inlineStr">
        <is>
          <t>Yes</t>
        </is>
      </c>
      <c r="BG49" s="30">
        <f>IF(BF49="Yes",10,0)</f>
        <v/>
      </c>
      <c r="BH49" s="30" t="inlineStr">
        <is>
          <t>Yes</t>
        </is>
      </c>
      <c r="BI49" s="30">
        <f>IF(BH49="Yes",10,0)</f>
        <v/>
      </c>
      <c r="BJ49" s="30" t="inlineStr">
        <is>
          <t>P/BV less than 2.5x and Growth less than 20%</t>
        </is>
      </c>
      <c r="BK49" s="30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0" t="inlineStr">
        <is>
          <t>20 to 40</t>
        </is>
      </c>
      <c r="BM49" s="30">
        <f>IF(BL49="Above 40",20,IF(BL49="20 to 40",10,IF(BL49="0 to 20",-5,0)))</f>
        <v/>
      </c>
      <c r="BN49" s="30" t="inlineStr">
        <is>
          <t>Between 50 to 75</t>
        </is>
      </c>
      <c r="BO49" s="30">
        <f>IF(BN49="Between 50 to 75",10,IF(BN49="Above 75",0,0))</f>
        <v/>
      </c>
      <c r="BP49" s="30" t="inlineStr">
        <is>
          <t>Stage 2</t>
        </is>
      </c>
      <c r="BQ49" s="30">
        <f>IF(BP49="Stage 2",20,IF(BP49="Stage 1",0,IF(BP49="Stage 3",5,IF(BP49="Stage 4",-5,0))))</f>
        <v/>
      </c>
      <c r="BR49" s="30" t="inlineStr">
        <is>
          <t>Positive Trend</t>
        </is>
      </c>
      <c r="BS49" s="30">
        <f>IF(BR49="Positive Trend",20,IF(BR49="Negative Trend",-10,0))</f>
        <v/>
      </c>
      <c r="BT49" s="30" t="inlineStr">
        <is>
          <t>Uptrend</t>
        </is>
      </c>
      <c r="BU49" s="30">
        <f>IF(BT49="Uptrend",10,IF(BT49="Sideways",5,0))</f>
        <v/>
      </c>
      <c r="BV49" s="30" t="inlineStr">
        <is>
          <t>Uptrend</t>
        </is>
      </c>
      <c r="BW49" s="30">
        <f>IF(BV49="Uptrend",10,IF(BV49="Sideways",5,0))</f>
        <v/>
      </c>
      <c r="BX49" s="30" t="inlineStr">
        <is>
          <t>Close to 52 week high or retracement</t>
        </is>
      </c>
      <c r="BY49" s="30">
        <f>IF(BX49="Overhead supply in last 2 years in last 2 years",-5,IF(BX49="Close to 52 week high or retracement",5,IF(BX49="Blue sky scenario",10,IF(BX49="Long term Downtrend",-10,0))))</f>
        <v/>
      </c>
      <c r="BZ49" s="30" t="inlineStr">
        <is>
          <t>Yes</t>
        </is>
      </c>
      <c r="CA49" s="30">
        <f>IF(BZ49="Yes",10,0)</f>
        <v/>
      </c>
    </row>
    <row r="50">
      <c r="A50" s="30">
        <f>IF(B50=0,"",RANK(B50,$B$2:$B$81,0))</f>
        <v/>
      </c>
      <c r="B50" s="31">
        <f>SUM(N50,Y50,AA50,AC50,AE50,AG50,AI50,AK50,AM50,AO50,AQ50,AS50,AU50,AW50,AY50,BA50,BC50,BE50,BG50,BI50,BK50,BM50,BO50,BQ50,BS50,BU50,BW50,BY50,CA50)</f>
        <v/>
      </c>
      <c r="C50" s="30" t="inlineStr">
        <is>
          <t>PRIMESECU</t>
        </is>
      </c>
      <c r="D50" s="30" t="inlineStr">
        <is>
          <t>Prime Securities Limited</t>
        </is>
      </c>
      <c r="E50" s="30" t="inlineStr">
        <is>
          <t>financials</t>
        </is>
      </c>
      <c r="F50" s="30" t="inlineStr">
        <is>
          <t>finance &amp; investments</t>
        </is>
      </c>
      <c r="G50" s="30" t="inlineStr">
        <is>
          <t>smallcap</t>
        </is>
      </c>
      <c r="H50" s="31" t="n">
        <v>990.4</v>
      </c>
      <c r="I50" s="31" t="n">
        <v>292.4</v>
      </c>
      <c r="J50" s="31" t="n">
        <v>0.09</v>
      </c>
      <c r="K50" s="31" t="n">
        <v>12897</v>
      </c>
      <c r="L50" s="30" t="n">
        <v>8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54.78</v>
      </c>
      <c r="P50" s="31" t="n">
        <v>17.49</v>
      </c>
      <c r="Q50" s="31" t="n">
        <v>234.92</v>
      </c>
      <c r="R50" s="30" t="inlineStr">
        <is>
          <t>Earnings / Momentum Support</t>
        </is>
      </c>
      <c r="S50" s="30" t="inlineStr">
        <is>
          <t>Nifty Bank</t>
        </is>
      </c>
      <c r="T50" s="31" t="n">
        <v>3.04</v>
      </c>
      <c r="U50" s="31" t="n">
        <v>13.38</v>
      </c>
      <c r="V50" s="31" t="n">
        <v>10.03</v>
      </c>
      <c r="W50" s="31" t="n">
        <v>3.4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Fragmented with High ROE</t>
        </is>
      </c>
      <c r="AA50" s="30">
        <f>IF(Z50="Fragmented with Low ROE",-5,IF(Z50="Fragmented with High ROE",10,IF(Z50= "highly cyclical",5,0)))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Consistency)",15,IF(AF50="Shallow Cyclical (2 to 3 years growth)",10,IF(AF50 = "Cyclical in an Uptick",5,IF(AF50 = "Cyclical in an Downtick",-10,0))))</f>
        <v/>
      </c>
      <c r="AH50" s="30" t="inlineStr">
        <is>
          <t>Yes</t>
        </is>
      </c>
      <c r="AI50" s="30">
        <f>IF(AH50="Yes",10,0)</f>
        <v/>
      </c>
      <c r="AJ50" s="30" t="inlineStr">
        <is>
          <t>Yes</t>
        </is>
      </c>
      <c r="AK50" s="30">
        <f>IF(AJ50="Yes",10,0)</f>
        <v/>
      </c>
      <c r="AL50" s="30" t="n"/>
      <c r="AM50" s="30">
        <f>IF(AL50="No",10,0)</f>
        <v/>
      </c>
      <c r="AN50" s="30" t="inlineStr">
        <is>
          <t>Yes</t>
        </is>
      </c>
      <c r="AO50" s="30">
        <f>IF(AN50="Yes",10,0)</f>
        <v/>
      </c>
      <c r="AP50" s="30" t="inlineStr">
        <is>
          <t>No</t>
        </is>
      </c>
      <c r="AQ50" s="30">
        <f>IF(AP50="Yes",10,0)</f>
        <v/>
      </c>
      <c r="AR50" s="30" t="inlineStr">
        <is>
          <t>Yes</t>
        </is>
      </c>
      <c r="AS50" s="30">
        <f>IF(AR50="Yes",5,0)</f>
        <v/>
      </c>
      <c r="AT50" s="30" t="inlineStr">
        <is>
          <t>No</t>
        </is>
      </c>
      <c r="AU50" s="30">
        <f>IF(AT50="No",10,IF(AT50="Yes",-10,0))</f>
        <v/>
      </c>
      <c r="AV50" s="30" t="inlineStr">
        <is>
          <t>No</t>
        </is>
      </c>
      <c r="AW50" s="30">
        <f>IF(AV50="No",10,0)</f>
        <v/>
      </c>
      <c r="AX50" s="30" t="inlineStr">
        <is>
          <t>No</t>
        </is>
      </c>
      <c r="AY50" s="30">
        <f>IF(AX50="No",10,IF(AX50= "Yes CEO Resignation",-5,0))</f>
        <v/>
      </c>
      <c r="AZ50" s="30" t="inlineStr">
        <is>
          <t>No</t>
        </is>
      </c>
      <c r="BA50" s="30">
        <f>IF(AZ50="No",10,IF(AZ50="Yes",-5,0))</f>
        <v/>
      </c>
      <c r="BB50" s="30" t="inlineStr">
        <is>
          <t>No</t>
        </is>
      </c>
      <c r="BC50" s="30">
        <f>IF(BB50="No",5,IF(BB50="Yes",-5,0))</f>
        <v/>
      </c>
      <c r="BD50" s="30" t="inlineStr">
        <is>
          <t>Yes</t>
        </is>
      </c>
      <c r="BE50" s="30">
        <f>IF(BD50="Yes",10,0)</f>
        <v/>
      </c>
      <c r="BF50" s="30" t="inlineStr">
        <is>
          <t>Yes</t>
        </is>
      </c>
      <c r="BG50" s="30">
        <f>IF(BF50="Yes",10,0)</f>
        <v/>
      </c>
      <c r="BH50" s="30" t="inlineStr">
        <is>
          <t>Yes</t>
        </is>
      </c>
      <c r="BI50" s="30">
        <f>IF(BH50="Yes",10,0)</f>
        <v/>
      </c>
      <c r="BJ50" s="30" t="inlineStr">
        <is>
          <t>P/BV between 2.5x to 5x and Growth more than 20%</t>
        </is>
      </c>
      <c r="BK50" s="30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0" t="inlineStr">
        <is>
          <t>0 to 20</t>
        </is>
      </c>
      <c r="BM50" s="30">
        <f>IF(BL50="Above 40",20,IF(BL50="20 to 40",10,IF(BL50="0 to 20",-5,0)))</f>
        <v/>
      </c>
      <c r="BN50" s="30" t="inlineStr">
        <is>
          <t>Between 50 to 75</t>
        </is>
      </c>
      <c r="BO50" s="30">
        <f>IF(BN50="Between 50 to 75",10,IF(BN50="Above 75",0,0))</f>
        <v/>
      </c>
      <c r="BP50" s="30" t="inlineStr">
        <is>
          <t>Stage 2</t>
        </is>
      </c>
      <c r="BQ50" s="30">
        <f>IF(BP50="Stage 2",20,IF(BP50="Stage 1",0,IF(BP50="Stage 3",5,IF(BP50="Stage 4",-5,0))))</f>
        <v/>
      </c>
      <c r="BR50" s="30" t="inlineStr">
        <is>
          <t>Positive Trend</t>
        </is>
      </c>
      <c r="BS50" s="30">
        <f>IF(BR50="Positive Trend",20,IF(BR50="Negative Trend",-10,0))</f>
        <v/>
      </c>
      <c r="BT50" s="30" t="inlineStr">
        <is>
          <t>Uptrend</t>
        </is>
      </c>
      <c r="BU50" s="30">
        <f>IF(BT50="Uptrend",10,IF(BT50="Sideways",5,0))</f>
        <v/>
      </c>
      <c r="BV50" s="30" t="inlineStr">
        <is>
          <t>Uptrend</t>
        </is>
      </c>
      <c r="BW50" s="30">
        <f>IF(BV50="Uptrend",10,IF(BV50="Sideways",5,0))</f>
        <v/>
      </c>
      <c r="BX50" s="30" t="inlineStr">
        <is>
          <t>Close to 52 week high or retracement</t>
        </is>
      </c>
      <c r="BY50" s="30">
        <f>IF(BX50="Overhead supply in last 2 years in last 2 years",-5,IF(BX50="Close to 52 week high or retracement",5,IF(BX50="Blue sky scenario",10,IF(BX50="Long term Downtrend",-10,0))))</f>
        <v/>
      </c>
      <c r="BZ50" s="30" t="inlineStr">
        <is>
          <t>Yes</t>
        </is>
      </c>
      <c r="CA50" s="30">
        <f>IF(BZ50="Yes",10,0)</f>
        <v/>
      </c>
    </row>
    <row r="51">
      <c r="A51" s="30">
        <f>IF(B51=0,"",RANK(B51,$B$2:$B$81,0))</f>
        <v/>
      </c>
      <c r="B51" s="31">
        <f>SUM(N51,Y51,AA51,AC51,AE51,AG51,AI51,AK51,AM51,AO51,AQ51,AS51,AU51,AW51,AY51,BA51,BC51,BE51,BG51,BI51,BK51,BM51,BO51,BQ51,BS51,BU51,BW51,BY51,CA51)</f>
        <v/>
      </c>
      <c r="C51" s="30" t="inlineStr">
        <is>
          <t>SHRIRAMFIN</t>
        </is>
      </c>
      <c r="D51" s="30" t="inlineStr">
        <is>
          <t>Shriram Finance Ltd</t>
        </is>
      </c>
      <c r="E51" s="30" t="inlineStr">
        <is>
          <t>financials</t>
        </is>
      </c>
      <c r="F51" s="30" t="inlineStr">
        <is>
          <t>finance &amp; investments</t>
        </is>
      </c>
      <c r="G51" s="30" t="inlineStr">
        <is>
          <t>largecap</t>
        </is>
      </c>
      <c r="H51" s="31" t="n">
        <v>237033.16</v>
      </c>
      <c r="I51" s="31" t="n">
        <v>1002.7</v>
      </c>
      <c r="J51" s="31" t="n">
        <v>-0.48</v>
      </c>
      <c r="K51" s="31" t="n">
        <v>3364449</v>
      </c>
      <c r="L51" s="30" t="n">
        <v>44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56.81</v>
      </c>
      <c r="P51" s="31" t="n">
        <v>10.27</v>
      </c>
      <c r="Q51" s="31" t="n">
        <v>822.86</v>
      </c>
      <c r="R51" s="30" t="inlineStr">
        <is>
          <t>Earnings / Momentum Support</t>
        </is>
      </c>
      <c r="S51" s="30" t="inlineStr">
        <is>
          <t>Nifty Bank</t>
        </is>
      </c>
      <c r="T51" s="31" t="n">
        <v>3.04</v>
      </c>
      <c r="U51" s="31" t="n">
        <v>52.07</v>
      </c>
      <c r="V51" s="31" t="n">
        <v>47.58</v>
      </c>
      <c r="W51" s="31" t="n">
        <v>11.29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Fragmented with High ROE</t>
        </is>
      </c>
      <c r="AA51" s="30">
        <f>IF(Z51="Fragmented with Low ROE",-5,IF(Z51="Fragmented with High ROE",10,IF(Z51= "highly cyclical",5,0)))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Consistency)",15,IF(AF51="Shallow Cyclical (2 to 3 years growth)",10,IF(AF51 = "Cyclical in an Uptick",5,IF(AF51 = "Cyclical in an Downtick",-10,0))))</f>
        <v/>
      </c>
      <c r="AH51" s="30" t="inlineStr">
        <is>
          <t>Yes</t>
        </is>
      </c>
      <c r="AI51" s="30">
        <f>IF(AH51="Yes",10,0)</f>
        <v/>
      </c>
      <c r="AJ51" s="30" t="inlineStr">
        <is>
          <t>Yes</t>
        </is>
      </c>
      <c r="AK51" s="30">
        <f>IF(AJ51="Yes",10,0)</f>
        <v/>
      </c>
      <c r="AL51" s="30" t="n"/>
      <c r="AM51" s="30">
        <f>IF(AL51="No",10,0)</f>
        <v/>
      </c>
      <c r="AN51" s="30" t="inlineStr">
        <is>
          <t>Yes</t>
        </is>
      </c>
      <c r="AO51" s="30">
        <f>IF(AN51="Yes",10,0)</f>
        <v/>
      </c>
      <c r="AP51" s="30" t="inlineStr">
        <is>
          <t>No</t>
        </is>
      </c>
      <c r="AQ51" s="30">
        <f>IF(AP51="Yes",10,0)</f>
        <v/>
      </c>
      <c r="AR51" s="30" t="inlineStr">
        <is>
          <t>Yes</t>
        </is>
      </c>
      <c r="AS51" s="30">
        <f>IF(AR51="Yes",5,0)</f>
        <v/>
      </c>
      <c r="AT51" s="30" t="inlineStr">
        <is>
          <t>No</t>
        </is>
      </c>
      <c r="AU51" s="30">
        <f>IF(AT51="No",10,IF(AT51="Yes",-10,0))</f>
        <v/>
      </c>
      <c r="AV51" s="30" t="inlineStr">
        <is>
          <t>No</t>
        </is>
      </c>
      <c r="AW51" s="30">
        <f>IF(AV51="No",10,0)</f>
        <v/>
      </c>
      <c r="AX51" s="30" t="inlineStr">
        <is>
          <t>No</t>
        </is>
      </c>
      <c r="AY51" s="30">
        <f>IF(AX51="No",10,IF(AX51= "Yes CEO Resignation",-5,0))</f>
        <v/>
      </c>
      <c r="AZ51" s="30" t="inlineStr">
        <is>
          <t>No</t>
        </is>
      </c>
      <c r="BA51" s="30">
        <f>IF(AZ51="No",10,IF(AZ51="Yes",-5,0))</f>
        <v/>
      </c>
      <c r="BB51" s="30" t="inlineStr">
        <is>
          <t>No</t>
        </is>
      </c>
      <c r="BC51" s="30">
        <f>IF(BB51="No",5,IF(BB51="Yes",-5,0))</f>
        <v/>
      </c>
      <c r="BD51" s="30" t="inlineStr">
        <is>
          <t>Yes</t>
        </is>
      </c>
      <c r="BE51" s="30">
        <f>IF(BD51="Yes",10,0)</f>
        <v/>
      </c>
      <c r="BF51" s="30" t="inlineStr">
        <is>
          <t>Yes</t>
        </is>
      </c>
      <c r="BG51" s="30">
        <f>IF(BF51="Yes",10,0)</f>
        <v/>
      </c>
      <c r="BH51" s="30" t="inlineStr">
        <is>
          <t>Yes</t>
        </is>
      </c>
      <c r="BI51" s="30">
        <f>IF(BH51="Yes",10,0)</f>
        <v/>
      </c>
      <c r="BJ51" s="30" t="inlineStr">
        <is>
          <t>P/BV between 2.5x to 5x and Growth more than 20%</t>
        </is>
      </c>
      <c r="BK51" s="30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0" t="inlineStr">
        <is>
          <t>0 to 20</t>
        </is>
      </c>
      <c r="BM51" s="30">
        <f>IF(BL51="Above 40",20,IF(BL51="20 to 40",10,IF(BL51="0 to 20",-5,0)))</f>
        <v/>
      </c>
      <c r="BN51" s="30" t="inlineStr">
        <is>
          <t>Between 50 to 75</t>
        </is>
      </c>
      <c r="BO51" s="30">
        <f>IF(BN51="Between 50 to 75",10,IF(BN51="Above 75",0,0))</f>
        <v/>
      </c>
      <c r="BP51" s="30" t="inlineStr">
        <is>
          <t>Stage 2</t>
        </is>
      </c>
      <c r="BQ51" s="30">
        <f>IF(BP51="Stage 2",20,IF(BP51="Stage 1",0,IF(BP51="Stage 3",5,IF(BP51="Stage 4",-5,0))))</f>
        <v/>
      </c>
      <c r="BR51" s="30" t="inlineStr">
        <is>
          <t>Positive Trend</t>
        </is>
      </c>
      <c r="BS51" s="30">
        <f>IF(BR51="Positive Trend",20,IF(BR51="Negative Trend",-10,0))</f>
        <v/>
      </c>
      <c r="BT51" s="30" t="inlineStr">
        <is>
          <t>Uptrend</t>
        </is>
      </c>
      <c r="BU51" s="30">
        <f>IF(BT51="Uptrend",10,IF(BT51="Sideways",5,0))</f>
        <v/>
      </c>
      <c r="BV51" s="30" t="inlineStr">
        <is>
          <t>Uptrend</t>
        </is>
      </c>
      <c r="BW51" s="30">
        <f>IF(BV51="Uptrend",10,IF(BV51="Sideways",5,0))</f>
        <v/>
      </c>
      <c r="BX51" s="30" t="inlineStr">
        <is>
          <t>Close to 52 week high or retracement</t>
        </is>
      </c>
      <c r="BY51" s="30">
        <f>IF(BX51="Overhead supply in last 2 years in last 2 years",-5,IF(BX51="Close to 52 week high or retracement",5,IF(BX51="Blue sky scenario",10,IF(BX51="Long term Downtrend",-10,0))))</f>
        <v/>
      </c>
      <c r="BZ51" s="30" t="inlineStr">
        <is>
          <t>Yes</t>
        </is>
      </c>
      <c r="CA51" s="30">
        <f>IF(BZ51="Yes",10,0)</f>
        <v/>
      </c>
    </row>
    <row r="52">
      <c r="A52" s="30">
        <f>IF(B52=0,"",RANK(B52,$B$2:$B$81,0))</f>
        <v/>
      </c>
      <c r="B52" s="31">
        <f>SUM(N52,Y52,AA52,AC52,AE52,AG52,AI52,AK52,AM52,AO52,AQ52,AS52,AU52,AW52,AY52,BA52,BC52,BE52,BG52,BI52,BK52,BM52,BO52,BQ52,BS52,BU52,BW52,BY52,CA52)</f>
        <v/>
      </c>
      <c r="C52" s="32" t="inlineStr">
        <is>
          <t>CREST</t>
        </is>
      </c>
      <c r="D52" s="32" t="inlineStr">
        <is>
          <t>Crest Ventures Limited</t>
        </is>
      </c>
      <c r="E52" s="30" t="inlineStr">
        <is>
          <t>financials</t>
        </is>
      </c>
      <c r="F52" s="30" t="inlineStr">
        <is>
          <t>finance &amp; investments</t>
        </is>
      </c>
      <c r="G52" s="30" t="inlineStr">
        <is>
          <t>smallcap</t>
        </is>
      </c>
      <c r="H52" s="31" t="n">
        <v>1134.43</v>
      </c>
      <c r="I52" s="31" t="n">
        <v>394.8</v>
      </c>
      <c r="J52" s="31" t="n">
        <v>-0.99</v>
      </c>
      <c r="K52" s="31" t="n">
        <v>8460</v>
      </c>
      <c r="L52" s="30" t="n">
        <v>13</v>
      </c>
      <c r="M52" s="30" t="inlineStr">
        <is>
          <t>Underperforming</t>
        </is>
      </c>
      <c r="N52" s="31">
        <f>IF(M52="Underperforming",-5,IF(L52&gt;=95,15,IF(L52&gt;=90,10,IF(L52&gt;=80,5,0))))</f>
        <v/>
      </c>
      <c r="O52" s="31" t="n">
        <v>58.3</v>
      </c>
      <c r="P52" s="31" t="n">
        <v>15.57</v>
      </c>
      <c r="Q52" s="31" t="n">
        <v>298.53</v>
      </c>
      <c r="R52" s="30" t="inlineStr">
        <is>
          <t>Near 52W High Breakout</t>
        </is>
      </c>
      <c r="S52" s="30" t="inlineStr">
        <is>
          <t>Nifty Bank</t>
        </is>
      </c>
      <c r="T52" s="31" t="n">
        <v>3.04</v>
      </c>
      <c r="U52" s="31" t="n">
        <v>0.1</v>
      </c>
      <c r="V52" s="31" t="n">
        <v>-2.85</v>
      </c>
      <c r="W52" s="31" t="n">
        <v>4.56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Fragmented with High ROE</t>
        </is>
      </c>
      <c r="AA52" s="30">
        <f>IF(Z52="Fragmented with Low ROE",-5,IF(Z52="Fragmented with High ROE",10,IF(Z52= "highly cyclical",5,0)))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Consistency)",15,IF(AF52="Shallow Cyclical (2 to 3 years growth)",10,IF(AF52 = "Cyclical in an Uptick",5,IF(AF52 = "Cyclical in an Downtick",-10,0))))</f>
        <v/>
      </c>
      <c r="AH52" s="30" t="inlineStr">
        <is>
          <t>Yes</t>
        </is>
      </c>
      <c r="AI52" s="30">
        <f>IF(AH52="Yes",10,0)</f>
        <v/>
      </c>
      <c r="AJ52" s="30" t="inlineStr">
        <is>
          <t>Yes</t>
        </is>
      </c>
      <c r="AK52" s="30">
        <f>IF(AJ52="Yes",10,0)</f>
        <v/>
      </c>
      <c r="AL52" s="30" t="n"/>
      <c r="AM52" s="30">
        <f>IF(AL52="No",10,0)</f>
        <v/>
      </c>
      <c r="AN52" s="30" t="inlineStr">
        <is>
          <t>Yes</t>
        </is>
      </c>
      <c r="AO52" s="30">
        <f>IF(AN52="Yes",10,0)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Yes</t>
        </is>
      </c>
      <c r="AS52" s="30">
        <f>IF(AR52="Yes",5,0)</f>
        <v/>
      </c>
      <c r="AT52" s="30" t="inlineStr">
        <is>
          <t>No</t>
        </is>
      </c>
      <c r="AU52" s="30">
        <f>IF(AT52="No",10,IF(AT52="Yes",-10,0))</f>
        <v/>
      </c>
      <c r="AV52" s="30" t="inlineStr">
        <is>
          <t>No</t>
        </is>
      </c>
      <c r="AW52" s="30">
        <f>IF(AV52="No",10,0)</f>
        <v/>
      </c>
      <c r="AX52" s="30" t="inlineStr">
        <is>
          <t>No</t>
        </is>
      </c>
      <c r="AY52" s="30">
        <f>IF(AX52="No",10,IF(AX52= "Yes CEO Resignation",-5,0))</f>
        <v/>
      </c>
      <c r="AZ52" s="30" t="inlineStr">
        <is>
          <t>No</t>
        </is>
      </c>
      <c r="BA52" s="30">
        <f>IF(AZ52="No",10,IF(AZ52="Yes",-5,0))</f>
        <v/>
      </c>
      <c r="BB52" s="30" t="inlineStr">
        <is>
          <t>No</t>
        </is>
      </c>
      <c r="BC52" s="30">
        <f>IF(BB52="No",5,IF(BB52="Yes",-5,0))</f>
        <v/>
      </c>
      <c r="BD52" s="30" t="inlineStr">
        <is>
          <t>Yes</t>
        </is>
      </c>
      <c r="BE52" s="30">
        <f>IF(BD52="Yes",10,0)</f>
        <v/>
      </c>
      <c r="BF52" s="30" t="inlineStr">
        <is>
          <t>Yes</t>
        </is>
      </c>
      <c r="BG52" s="30">
        <f>IF(BF52="Yes",10,0)</f>
        <v/>
      </c>
      <c r="BH52" s="30" t="inlineStr">
        <is>
          <t>Yes</t>
        </is>
      </c>
      <c r="BI52" s="30">
        <f>IF(BH52="Yes",10,0)</f>
        <v/>
      </c>
      <c r="BJ52" s="30" t="inlineStr">
        <is>
          <t>P/BV less than 2.5x and Growth less than 20%</t>
        </is>
      </c>
      <c r="BK52" s="30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0" t="inlineStr">
        <is>
          <t>0 to 20</t>
        </is>
      </c>
      <c r="BM52" s="30">
        <f>IF(BL52="Above 40",20,IF(BL52="20 to 40",10,IF(BL52="0 to 20",-5,0)))</f>
        <v/>
      </c>
      <c r="BN52" s="30" t="inlineStr">
        <is>
          <t>Between 50 to 75</t>
        </is>
      </c>
      <c r="BO52" s="30">
        <f>IF(BN52="Between 50 to 75",10,IF(BN52="Above 75",0,0))</f>
        <v/>
      </c>
      <c r="BP52" s="30" t="inlineStr">
        <is>
          <t>Stage 2</t>
        </is>
      </c>
      <c r="BQ52" s="30">
        <f>IF(BP52="Stage 2",20,IF(BP52="Stage 1",0,IF(BP52="Stage 3",5,IF(BP52="Stage 4",-5,0))))</f>
        <v/>
      </c>
      <c r="BR52" s="30" t="inlineStr">
        <is>
          <t>Positive Trend</t>
        </is>
      </c>
      <c r="BS52" s="30">
        <f>IF(BR52="Positive Trend",20,IF(BR52="Negative Trend",-10,0))</f>
        <v/>
      </c>
      <c r="BT52" s="30" t="inlineStr">
        <is>
          <t>Uptrend</t>
        </is>
      </c>
      <c r="BU52" s="30">
        <f>IF(BT52="Uptrend",10,IF(BT52="Sideways",5,0))</f>
        <v/>
      </c>
      <c r="BV52" s="30" t="inlineStr">
        <is>
          <t>Uptrend</t>
        </is>
      </c>
      <c r="BW52" s="30">
        <f>IF(BV52="Uptrend",10,IF(BV52="Sideways",5,0))</f>
        <v/>
      </c>
      <c r="BX52" s="30" t="inlineStr">
        <is>
          <t>Close to 52 week high or retracement</t>
        </is>
      </c>
      <c r="BY52" s="30">
        <f>IF(BX52="Overhead supply in last 2 years in last 2 years",-5,IF(BX52="Close to 52 week high or retracement",5,IF(BX52="Blue sky scenario",10,IF(BX52="Long term Downtrend",-10,0))))</f>
        <v/>
      </c>
      <c r="BZ52" s="30" t="inlineStr">
        <is>
          <t>Yes</t>
        </is>
      </c>
      <c r="CA52" s="30">
        <f>IF(BZ52="Yes",10,0)</f>
        <v/>
      </c>
    </row>
    <row r="53">
      <c r="A53" s="30">
        <f>IF(B53=0,"",RANK(B53,$B$2:$B$81,0))</f>
        <v/>
      </c>
      <c r="B53" s="31">
        <f>SUM(N53,Y53,AA53,AC53,AE53,AG53,AI53,AK53,AM53,AO53,AQ53,AS53,AU53,AW53,AY53,BA53,BC53,BE53,BG53,BI53,BK53,BM53,BO53,BQ53,BS53,BU53,BW53,BY53,CA53)</f>
        <v/>
      </c>
      <c r="C53" s="30" t="inlineStr">
        <is>
          <t>UNIONBANK</t>
        </is>
      </c>
      <c r="D53" s="30" t="inlineStr">
        <is>
          <t>Union Bank Of India Ltd</t>
        </is>
      </c>
      <c r="E53" s="30" t="inlineStr">
        <is>
          <t>bank</t>
        </is>
      </c>
      <c r="F53" s="30" t="inlineStr">
        <is>
          <t>banks - public sector</t>
        </is>
      </c>
      <c r="G53" s="30" t="inlineStr">
        <is>
          <t>largecap</t>
        </is>
      </c>
      <c r="H53" s="31" t="n">
        <v>132633.9</v>
      </c>
      <c r="I53" s="31" t="n">
        <v>176.12</v>
      </c>
      <c r="J53" s="31" t="n">
        <v>1.36</v>
      </c>
      <c r="K53" s="31" t="n">
        <v>14194713</v>
      </c>
      <c r="L53" s="30" t="n">
        <v>14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55.24</v>
      </c>
      <c r="P53" s="31" t="n">
        <v>18.6</v>
      </c>
      <c r="Q53" s="31" t="n">
        <v>155.09</v>
      </c>
      <c r="R53" s="30" t="inlineStr">
        <is>
          <t>Earnings / Momentum Support</t>
        </is>
      </c>
      <c r="S53" s="30" t="inlineStr">
        <is>
          <t>Nifty Bank</t>
        </is>
      </c>
      <c r="T53" s="31" t="n">
        <v>3.04</v>
      </c>
      <c r="U53" s="31" t="n">
        <v>26.91</v>
      </c>
      <c r="V53" s="31" t="n">
        <v>23.16</v>
      </c>
      <c r="W53" s="31" t="n">
        <v>4.9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Fragmented with High ROE</t>
        </is>
      </c>
      <c r="AA53" s="30">
        <f>IF(Z53="Fragmented with Low ROE",-5,IF(Z53="Fragmented with High ROE",10,IF(Z53= "highly cyclical",5,0)))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Consistency)",15,IF(AF53="Shallow Cyclical (2 to 3 years growth)",10,IF(AF53 = "Cyclical in an Uptick",5,IF(AF53 = "Cyclical in an Downtick",-10,0))))</f>
        <v/>
      </c>
      <c r="AH53" s="30" t="inlineStr">
        <is>
          <t>Yes</t>
        </is>
      </c>
      <c r="AI53" s="30">
        <f>IF(AH53="Yes",10,0)</f>
        <v/>
      </c>
      <c r="AJ53" s="30" t="inlineStr">
        <is>
          <t>Yes</t>
        </is>
      </c>
      <c r="AK53" s="30">
        <f>IF(AJ53="Yes",10,0)</f>
        <v/>
      </c>
      <c r="AL53" s="30" t="n"/>
      <c r="AM53" s="30">
        <f>IF(AL53="No",10,0)</f>
        <v/>
      </c>
      <c r="AN53" s="30" t="inlineStr">
        <is>
          <t>Yes</t>
        </is>
      </c>
      <c r="AO53" s="30">
        <f>IF(AN53="Yes",10,0)</f>
        <v/>
      </c>
      <c r="AP53" s="30" t="inlineStr">
        <is>
          <t>No</t>
        </is>
      </c>
      <c r="AQ53" s="30">
        <f>IF(AP53="Yes",10,0)</f>
        <v/>
      </c>
      <c r="AR53" s="30" t="inlineStr">
        <is>
          <t>Yes</t>
        </is>
      </c>
      <c r="AS53" s="30">
        <f>IF(AR53="Yes",5,0)</f>
        <v/>
      </c>
      <c r="AT53" s="30" t="inlineStr">
        <is>
          <t>No</t>
        </is>
      </c>
      <c r="AU53" s="30">
        <f>IF(AT53="No",10,IF(AT53="Yes",-10,0))</f>
        <v/>
      </c>
      <c r="AV53" s="30" t="inlineStr">
        <is>
          <t>No</t>
        </is>
      </c>
      <c r="AW53" s="30">
        <f>IF(AV53="No",10,0)</f>
        <v/>
      </c>
      <c r="AX53" s="30" t="inlineStr">
        <is>
          <t>No</t>
        </is>
      </c>
      <c r="AY53" s="30">
        <f>IF(AX53="No",10,IF(AX53= "Yes CEO Resignation",-5,0))</f>
        <v/>
      </c>
      <c r="AZ53" s="30" t="inlineStr">
        <is>
          <t>No</t>
        </is>
      </c>
      <c r="BA53" s="30">
        <f>IF(AZ53="No",10,IF(AZ53="Yes",-5,0))</f>
        <v/>
      </c>
      <c r="BB53" s="30" t="inlineStr">
        <is>
          <t>No</t>
        </is>
      </c>
      <c r="BC53" s="30">
        <f>IF(BB53="No",5,IF(BB53="Yes",-5,0))</f>
        <v/>
      </c>
      <c r="BD53" s="30" t="inlineStr">
        <is>
          <t>Yes</t>
        </is>
      </c>
      <c r="BE53" s="30">
        <f>IF(BD53="Yes",10,0)</f>
        <v/>
      </c>
      <c r="BF53" s="30" t="inlineStr">
        <is>
          <t>Yes</t>
        </is>
      </c>
      <c r="BG53" s="30">
        <f>IF(BF53="Yes",10,0)</f>
        <v/>
      </c>
      <c r="BH53" s="30" t="inlineStr">
        <is>
          <t>Yes</t>
        </is>
      </c>
      <c r="BI53" s="30">
        <f>IF(BH53="Yes",10,0)</f>
        <v/>
      </c>
      <c r="BJ53" s="30" t="inlineStr">
        <is>
          <t>P/BV less than 2.5x and Growth less than 20%</t>
        </is>
      </c>
      <c r="BK53" s="30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0" t="inlineStr">
        <is>
          <t>0 to 20</t>
        </is>
      </c>
      <c r="BM53" s="30">
        <f>IF(BL53="Above 40",20,IF(BL53="20 to 40",10,IF(BL53="0 to 20",-5,0)))</f>
        <v/>
      </c>
      <c r="BN53" s="30" t="inlineStr">
        <is>
          <t>Between 50 to 75</t>
        </is>
      </c>
      <c r="BO53" s="30">
        <f>IF(BN53="Between 50 to 75",10,IF(BN53="Above 75",0,0))</f>
        <v/>
      </c>
      <c r="BP53" s="30" t="inlineStr">
        <is>
          <t>Stage 2</t>
        </is>
      </c>
      <c r="BQ53" s="30">
        <f>IF(BP53="Stage 2",20,IF(BP53="Stage 1",0,IF(BP53="Stage 3",5,IF(BP53="Stage 4",-5,0))))</f>
        <v/>
      </c>
      <c r="BR53" s="30" t="inlineStr">
        <is>
          <t>Positive Trend</t>
        </is>
      </c>
      <c r="BS53" s="30">
        <f>IF(BR53="Positive Trend",20,IF(BR53="Negative Trend",-10,0))</f>
        <v/>
      </c>
      <c r="BT53" s="30" t="inlineStr">
        <is>
          <t>Uptrend</t>
        </is>
      </c>
      <c r="BU53" s="30">
        <f>IF(BT53="Uptrend",10,IF(BT53="Sideways",5,0))</f>
        <v/>
      </c>
      <c r="BV53" s="30" t="inlineStr">
        <is>
          <t>Uptrend</t>
        </is>
      </c>
      <c r="BW53" s="30">
        <f>IF(BV53="Uptrend",10,IF(BV53="Sideways",5,0))</f>
        <v/>
      </c>
      <c r="BX53" s="30" t="inlineStr">
        <is>
          <t>Close to 52 week high or retracement</t>
        </is>
      </c>
      <c r="BY53" s="30">
        <f>IF(BX53="Overhead supply in last 2 years in last 2 years",-5,IF(BX53="Close to 52 week high or retracement",5,IF(BX53="Blue sky scenario",10,IF(BX53="Long term Downtrend",-10,0))))</f>
        <v/>
      </c>
      <c r="BZ53" s="30" t="inlineStr">
        <is>
          <t>Yes</t>
        </is>
      </c>
      <c r="CA53" s="30">
        <f>IF(BZ53="Yes",10,0)</f>
        <v/>
      </c>
    </row>
    <row r="54">
      <c r="A54" s="30">
        <f>IF(B54=0,"",RANK(B54,$B$2:$B$81,0))</f>
        <v/>
      </c>
      <c r="B54" s="31">
        <f>SUM(N54,Y54,AA54,AC54,AE54,AG54,AI54,AK54,AM54,AO54,AQ54,AS54,AU54,AW54,AY54,BA54,BC54,BE54,BG54,BI54,BK54,BM54,BO54,BQ54,BS54,BU54,BW54,BY54,CA54)</f>
        <v/>
      </c>
      <c r="C54" s="30" t="inlineStr">
        <is>
          <t>MANAPPURAM</t>
        </is>
      </c>
      <c r="D54" s="30" t="inlineStr">
        <is>
          <t>Manappuram Finance Limited</t>
        </is>
      </c>
      <c r="E54" s="30" t="inlineStr">
        <is>
          <t>financials</t>
        </is>
      </c>
      <c r="F54" s="30" t="inlineStr">
        <is>
          <t>finance &amp; investments</t>
        </is>
      </c>
      <c r="G54" s="30" t="inlineStr">
        <is>
          <t>largecap</t>
        </is>
      </c>
      <c r="H54" s="31" t="n">
        <v>29969.52</v>
      </c>
      <c r="I54" s="31" t="n">
        <v>321.35</v>
      </c>
      <c r="J54" s="31" t="n">
        <v>0.72</v>
      </c>
      <c r="K54" s="31" t="n">
        <v>1398119</v>
      </c>
      <c r="L54" s="30" t="n">
        <v>35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60.13</v>
      </c>
      <c r="P54" s="31" t="n">
        <v>19.45</v>
      </c>
      <c r="Q54" s="31" t="n">
        <v>259.64</v>
      </c>
      <c r="R54" s="30" t="inlineStr">
        <is>
          <t>Near 52W High Breakout</t>
        </is>
      </c>
      <c r="S54" s="30" t="inlineStr">
        <is>
          <t>Nifty Bank</t>
        </is>
      </c>
      <c r="T54" s="31" t="n">
        <v>3.04</v>
      </c>
      <c r="U54" s="31" t="n">
        <v>19.22</v>
      </c>
      <c r="V54" s="31" t="n">
        <v>15.7</v>
      </c>
      <c r="W54" s="31" t="n">
        <v>9.02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Fragmented with High ROE</t>
        </is>
      </c>
      <c r="AA54" s="30">
        <f>IF(Z54="Fragmented with Low ROE",-5,IF(Z54="Fragmented with High ROE",10,IF(Z54= "highly cyclical",5,0)))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Consistency)",15,IF(AF54="Shallow Cyclical (2 to 3 years growth)",10,IF(AF54 = "Cyclical in an Uptick",5,IF(AF54 = "Cyclical in an Downtick",-10,0))))</f>
        <v/>
      </c>
      <c r="AH54" s="30" t="inlineStr">
        <is>
          <t>Yes</t>
        </is>
      </c>
      <c r="AI54" s="30">
        <f>IF(AH54="Yes",10,0)</f>
        <v/>
      </c>
      <c r="AJ54" s="30" t="inlineStr">
        <is>
          <t>Yes</t>
        </is>
      </c>
      <c r="AK54" s="30">
        <f>IF(AJ54="Yes",10,0)</f>
        <v/>
      </c>
      <c r="AL54" s="30" t="n"/>
      <c r="AM54" s="30">
        <f>IF(AL54="No",10,0)</f>
        <v/>
      </c>
      <c r="AN54" s="30" t="inlineStr">
        <is>
          <t>Yes</t>
        </is>
      </c>
      <c r="AO54" s="30">
        <f>IF(AN54="Yes",10,0)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Yes</t>
        </is>
      </c>
      <c r="AS54" s="30">
        <f>IF(AR54="Yes",5,0)</f>
        <v/>
      </c>
      <c r="AT54" s="30" t="inlineStr">
        <is>
          <t>No</t>
        </is>
      </c>
      <c r="AU54" s="30">
        <f>IF(AT54="No",10,IF(AT54="Yes",-10,0))</f>
        <v/>
      </c>
      <c r="AV54" s="30" t="inlineStr">
        <is>
          <t>No</t>
        </is>
      </c>
      <c r="AW54" s="30">
        <f>IF(AV54="No",10,0)</f>
        <v/>
      </c>
      <c r="AX54" s="30" t="inlineStr">
        <is>
          <t>No</t>
        </is>
      </c>
      <c r="AY54" s="30">
        <f>IF(AX54="No",10,IF(AX54= "Yes CEO Resignation",-5,0))</f>
        <v/>
      </c>
      <c r="AZ54" s="30" t="inlineStr">
        <is>
          <t>No</t>
        </is>
      </c>
      <c r="BA54" s="30">
        <f>IF(AZ54="No",10,IF(AZ54="Yes",-5,0))</f>
        <v/>
      </c>
      <c r="BB54" s="30" t="inlineStr">
        <is>
          <t>No</t>
        </is>
      </c>
      <c r="BC54" s="30">
        <f>IF(BB54="No",5,IF(BB54="Yes",-5,0))</f>
        <v/>
      </c>
      <c r="BD54" s="30" t="inlineStr">
        <is>
          <t>Yes</t>
        </is>
      </c>
      <c r="BE54" s="30">
        <f>IF(BD54="Yes",10,0)</f>
        <v/>
      </c>
      <c r="BF54" s="30" t="inlineStr">
        <is>
          <t>Yes</t>
        </is>
      </c>
      <c r="BG54" s="30">
        <f>IF(BF54="Yes",10,0)</f>
        <v/>
      </c>
      <c r="BH54" s="30" t="inlineStr">
        <is>
          <t>Yes</t>
        </is>
      </c>
      <c r="BI54" s="30">
        <f>IF(BH54="Yes",10,0)</f>
        <v/>
      </c>
      <c r="BJ54" s="30" t="inlineStr">
        <is>
          <t>P/BV less than 2.5x and Growth more than 20%</t>
        </is>
      </c>
      <c r="BK54" s="30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0" t="inlineStr">
        <is>
          <t>0 to 20</t>
        </is>
      </c>
      <c r="BM54" s="30">
        <f>IF(BL54="Above 40",20,IF(BL54="20 to 40",10,IF(BL54="0 to 20",-5,0)))</f>
        <v/>
      </c>
      <c r="BN54" s="30" t="inlineStr">
        <is>
          <t>Between 50 to 75</t>
        </is>
      </c>
      <c r="BO54" s="30">
        <f>IF(BN54="Between 50 to 75",10,IF(BN54="Above 75",0,0))</f>
        <v/>
      </c>
      <c r="BP54" s="30" t="inlineStr">
        <is>
          <t>Stage 2</t>
        </is>
      </c>
      <c r="BQ54" s="30">
        <f>IF(BP54="Stage 2",20,IF(BP54="Stage 1",0,IF(BP54="Stage 3",5,IF(BP54="Stage 4",-5,0))))</f>
        <v/>
      </c>
      <c r="BR54" s="30" t="inlineStr">
        <is>
          <t>Negative Trend</t>
        </is>
      </c>
      <c r="BS54" s="30">
        <f>IF(BR54="Positive Trend",20,IF(BR54="Negative Trend",-10,0))</f>
        <v/>
      </c>
      <c r="BT54" s="30" t="inlineStr">
        <is>
          <t>Uptrend</t>
        </is>
      </c>
      <c r="BU54" s="30">
        <f>IF(BT54="Uptrend",10,IF(BT54="Sideways",5,0))</f>
        <v/>
      </c>
      <c r="BV54" s="30" t="inlineStr">
        <is>
          <t>Uptrend</t>
        </is>
      </c>
      <c r="BW54" s="30">
        <f>IF(BV54="Uptrend",10,IF(BV54="Sideways",5,0))</f>
        <v/>
      </c>
      <c r="BX54" s="30" t="inlineStr">
        <is>
          <t>Blue sky scenario</t>
        </is>
      </c>
      <c r="BY54" s="30">
        <f>IF(BX54="Overhead supply in last 2 years in last 2 years",-5,IF(BX54="Close to 52 week high or retracement",5,IF(BX54="Blue sky scenario",10,IF(BX54="Long term Downtrend",-10,0))))</f>
        <v/>
      </c>
      <c r="BZ54" s="30" t="inlineStr">
        <is>
          <t>Yes</t>
        </is>
      </c>
      <c r="CA54" s="30">
        <f>IF(BZ54="Yes",10,0)</f>
        <v/>
      </c>
    </row>
    <row r="55">
      <c r="A55" s="30">
        <f>IF(B55=0,"",RANK(B55,$B$2:$B$81,0))</f>
        <v/>
      </c>
      <c r="B55" s="31">
        <f>SUM(N55,Y55,AA55,AC55,AE55,AG55,AI55,AK55,AM55,AO55,AQ55,AS55,AU55,AW55,AY55,BA55,BC55,BE55,BG55,BI55,BK55,BM55,BO55,BQ55,BS55,BU55,BW55,BY55,CA55)</f>
        <v/>
      </c>
      <c r="C55" s="30" t="inlineStr">
        <is>
          <t>BANKINDIA</t>
        </is>
      </c>
      <c r="D55" s="30" t="inlineStr">
        <is>
          <t>Bank Of India Ltd</t>
        </is>
      </c>
      <c r="E55" s="30" t="inlineStr">
        <is>
          <t>bank</t>
        </is>
      </c>
      <c r="F55" s="30" t="inlineStr">
        <is>
          <t>banks - public sector</t>
        </is>
      </c>
      <c r="G55" s="30" t="inlineStr">
        <is>
          <t>largecap</t>
        </is>
      </c>
      <c r="H55" s="31" t="n">
        <v>66987.96000000001</v>
      </c>
      <c r="I55" s="31" t="n">
        <v>147.67</v>
      </c>
      <c r="J55" s="31" t="n">
        <v>0.36</v>
      </c>
      <c r="K55" s="31" t="n">
        <v>6679500</v>
      </c>
      <c r="L55" s="30" t="n">
        <v>26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56.22</v>
      </c>
      <c r="P55" s="31" t="n">
        <v>8.949999999999999</v>
      </c>
      <c r="Q55" s="31" t="n">
        <v>120.68</v>
      </c>
      <c r="R55" s="30" t="inlineStr">
        <is>
          <t>Earnings / Momentum Support</t>
        </is>
      </c>
      <c r="S55" s="30" t="inlineStr">
        <is>
          <t>Nifty Bank</t>
        </is>
      </c>
      <c r="T55" s="31" t="n">
        <v>3.04</v>
      </c>
      <c r="U55" s="31" t="n">
        <v>39.62</v>
      </c>
      <c r="V55" s="31" t="n">
        <v>35.5</v>
      </c>
      <c r="W55" s="31" t="n">
        <v>7.39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Fragmented with High ROE</t>
        </is>
      </c>
      <c r="AA55" s="30">
        <f>IF(Z55="Fragmented with Low ROE",-5,IF(Z55="Fragmented with High ROE",10,IF(Z55= "highly cyclical",5,0)))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Consistency)",15,IF(AF55="Shallow Cyclical (2 to 3 years growth)",10,IF(AF55 = "Cyclical in an Uptick",5,IF(AF55 = "Cyclical in an Downtick",-10,0))))</f>
        <v/>
      </c>
      <c r="AH55" s="30" t="inlineStr">
        <is>
          <t>Yes</t>
        </is>
      </c>
      <c r="AI55" s="30">
        <f>IF(AH55="Yes",10,0)</f>
        <v/>
      </c>
      <c r="AJ55" s="30" t="inlineStr">
        <is>
          <t>Yes</t>
        </is>
      </c>
      <c r="AK55" s="30">
        <f>IF(AJ55="Yes",10,0)</f>
        <v/>
      </c>
      <c r="AL55" s="30" t="n"/>
      <c r="AM55" s="30">
        <f>IF(AL55="No",10,0)</f>
        <v/>
      </c>
      <c r="AN55" s="30" t="inlineStr">
        <is>
          <t>Yes</t>
        </is>
      </c>
      <c r="AO55" s="30">
        <f>IF(AN55="Yes",10,0)</f>
        <v/>
      </c>
      <c r="AP55" s="30" t="inlineStr">
        <is>
          <t>No</t>
        </is>
      </c>
      <c r="AQ55" s="30">
        <f>IF(AP55="Yes",10,0)</f>
        <v/>
      </c>
      <c r="AR55" s="30" t="inlineStr">
        <is>
          <t>Yes</t>
        </is>
      </c>
      <c r="AS55" s="30">
        <f>IF(AR55="Yes",5,0)</f>
        <v/>
      </c>
      <c r="AT55" s="30" t="inlineStr">
        <is>
          <t>No</t>
        </is>
      </c>
      <c r="AU55" s="30">
        <f>IF(AT55="No",10,IF(AT55="Yes",-10,0))</f>
        <v/>
      </c>
      <c r="AV55" s="30" t="inlineStr">
        <is>
          <t>No</t>
        </is>
      </c>
      <c r="AW55" s="30">
        <f>IF(AV55="No",10,0)</f>
        <v/>
      </c>
      <c r="AX55" s="30" t="inlineStr">
        <is>
          <t>No</t>
        </is>
      </c>
      <c r="AY55" s="30">
        <f>IF(AX55="No",10,IF(AX55= "Yes CEO Resignation",-5,0))</f>
        <v/>
      </c>
      <c r="AZ55" s="30" t="inlineStr">
        <is>
          <t>No</t>
        </is>
      </c>
      <c r="BA55" s="30">
        <f>IF(AZ55="No",10,IF(AZ55="Yes",-5,0))</f>
        <v/>
      </c>
      <c r="BB55" s="30" t="inlineStr">
        <is>
          <t>No</t>
        </is>
      </c>
      <c r="BC55" s="30">
        <f>IF(BB55="No",5,IF(BB55="Yes",-5,0))</f>
        <v/>
      </c>
      <c r="BD55" s="30" t="inlineStr">
        <is>
          <t>Yes</t>
        </is>
      </c>
      <c r="BE55" s="30">
        <f>IF(BD55="Yes",10,0)</f>
        <v/>
      </c>
      <c r="BF55" s="30" t="inlineStr">
        <is>
          <t>Yes</t>
        </is>
      </c>
      <c r="BG55" s="30">
        <f>IF(BF55="Yes",10,0)</f>
        <v/>
      </c>
      <c r="BH55" s="30" t="inlineStr">
        <is>
          <t>Yes</t>
        </is>
      </c>
      <c r="BI55" s="30">
        <f>IF(BH55="Yes",10,0)</f>
        <v/>
      </c>
      <c r="BJ55" s="30" t="inlineStr">
        <is>
          <t>P/BV less than 2.5x and Growth less than 20%</t>
        </is>
      </c>
      <c r="BK55" s="30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0" t="inlineStr">
        <is>
          <t>0 to 20</t>
        </is>
      </c>
      <c r="BM55" s="30">
        <f>IF(BL55="Above 40",20,IF(BL55="20 to 40",10,IF(BL55="0 to 20",-5,0)))</f>
        <v/>
      </c>
      <c r="BN55" s="30" t="inlineStr">
        <is>
          <t>Between 50 to 75</t>
        </is>
      </c>
      <c r="BO55" s="30">
        <f>IF(BN55="Between 50 to 75",10,IF(BN55="Above 75",0,0))</f>
        <v/>
      </c>
      <c r="BP55" s="30" t="inlineStr">
        <is>
          <t>Stage 2</t>
        </is>
      </c>
      <c r="BQ55" s="30">
        <f>IF(BP55="Stage 2",20,IF(BP55="Stage 1",0,IF(BP55="Stage 3",5,IF(BP55="Stage 4",-5,0))))</f>
        <v/>
      </c>
      <c r="BR55" s="30" t="inlineStr">
        <is>
          <t>Positive Trend</t>
        </is>
      </c>
      <c r="BS55" s="30">
        <f>IF(BR55="Positive Trend",20,IF(BR55="Negative Trend",-10,0))</f>
        <v/>
      </c>
      <c r="BT55" s="30" t="inlineStr">
        <is>
          <t>Uptrend</t>
        </is>
      </c>
      <c r="BU55" s="30">
        <f>IF(BT55="Uptrend",10,IF(BT55="Sideways",5,0))</f>
        <v/>
      </c>
      <c r="BV55" s="30" t="inlineStr">
        <is>
          <t>Uptrend</t>
        </is>
      </c>
      <c r="BW55" s="30">
        <f>IF(BV55="Uptrend",10,IF(BV55="Sideways",5,0))</f>
        <v/>
      </c>
      <c r="BX55" s="30" t="inlineStr">
        <is>
          <t>Close to 52 week high or retracement</t>
        </is>
      </c>
      <c r="BY55" s="30">
        <f>IF(BX55="Overhead supply in last 2 years in last 2 years",-5,IF(BX55="Close to 52 week high or retracement",5,IF(BX55="Blue sky scenario",10,IF(BX55="Long term Downtrend",-10,0))))</f>
        <v/>
      </c>
      <c r="BZ55" s="30" t="inlineStr">
        <is>
          <t>Yes</t>
        </is>
      </c>
      <c r="CA55" s="30">
        <f>IF(BZ55="Yes",10,0)</f>
        <v/>
      </c>
    </row>
    <row r="56">
      <c r="A56" s="30">
        <f>IF(B56=0,"",RANK(B56,$B$2:$B$81,0))</f>
        <v/>
      </c>
      <c r="B56" s="31">
        <f>SUM(N56,Y56,AA56,AC56,AE56,AG56,AI56,AK56,AM56,AO56,AQ56,AS56,AU56,AW56,AY56,BA56,BC56,BE56,BG56,BI56,BK56,BM56,BO56,BQ56,BS56,BU56,BW56,BY56,CA56)</f>
        <v/>
      </c>
      <c r="C56" s="30" t="inlineStr">
        <is>
          <t>MUFIN</t>
        </is>
      </c>
      <c r="D56" s="30" t="inlineStr">
        <is>
          <t>Mufin Green Finance Ltd</t>
        </is>
      </c>
      <c r="E56" s="30" t="inlineStr">
        <is>
          <t>financials</t>
        </is>
      </c>
      <c r="F56" s="30" t="inlineStr">
        <is>
          <t>finance &amp; investments</t>
        </is>
      </c>
      <c r="G56" s="30" t="inlineStr">
        <is>
          <t>smallcap</t>
        </is>
      </c>
      <c r="H56" s="31" t="n">
        <v>2550.55</v>
      </c>
      <c r="I56" s="31" t="n">
        <v>128.66</v>
      </c>
      <c r="J56" s="31" t="n">
        <v>-0.04</v>
      </c>
      <c r="K56" s="31" t="n">
        <v>1621337</v>
      </c>
      <c r="L56" s="30" t="n">
        <v>66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66.39</v>
      </c>
      <c r="P56" s="31" t="n">
        <v>18.99</v>
      </c>
      <c r="Q56" s="31" t="n">
        <v>103.53</v>
      </c>
      <c r="R56" s="30" t="inlineStr">
        <is>
          <t>Near 52W High Breakout</t>
        </is>
      </c>
      <c r="S56" s="30" t="inlineStr">
        <is>
          <t>Nifty Bank</t>
        </is>
      </c>
      <c r="T56" s="31" t="n">
        <v>3.04</v>
      </c>
      <c r="U56" s="31" t="n">
        <v>74.88</v>
      </c>
      <c r="V56" s="31" t="n">
        <v>69.72</v>
      </c>
      <c r="W56" s="31" t="n">
        <v>17.96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Fragmented with High ROE</t>
        </is>
      </c>
      <c r="AA56" s="30">
        <f>IF(Z56="Fragmented with Low ROE",-5,IF(Z56="Fragmented with High ROE",10,IF(Z56= "highly cyclical",5,0)))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Consistency)",15,IF(AF56="Shallow Cyclical (2 to 3 years growth)",10,IF(AF56 = "Cyclical in an Uptick",5,IF(AF56 = "Cyclical in an Downtick",-10,0))))</f>
        <v/>
      </c>
      <c r="AH56" s="30" t="inlineStr">
        <is>
          <t>Yes</t>
        </is>
      </c>
      <c r="AI56" s="30">
        <f>IF(AH56="Yes",10,0)</f>
        <v/>
      </c>
      <c r="AJ56" s="30" t="inlineStr">
        <is>
          <t>Yes</t>
        </is>
      </c>
      <c r="AK56" s="30">
        <f>IF(AJ56="Yes",10,0)</f>
        <v/>
      </c>
      <c r="AL56" s="30" t="n"/>
      <c r="AM56" s="30">
        <f>IF(AL56="No",10,0)</f>
        <v/>
      </c>
      <c r="AN56" s="30" t="inlineStr">
        <is>
          <t>Yes</t>
        </is>
      </c>
      <c r="AO56" s="30">
        <f>IF(AN56="Yes",10,0)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Yes</t>
        </is>
      </c>
      <c r="AS56" s="30">
        <f>IF(AR56="Yes",5,0)</f>
        <v/>
      </c>
      <c r="AT56" s="30" t="inlineStr">
        <is>
          <t>No</t>
        </is>
      </c>
      <c r="AU56" s="30">
        <f>IF(AT56="No",10,IF(AT56="Yes",-10,0))</f>
        <v/>
      </c>
      <c r="AV56" s="30" t="inlineStr">
        <is>
          <t>No</t>
        </is>
      </c>
      <c r="AW56" s="30">
        <f>IF(AV56="No",10,0)</f>
        <v/>
      </c>
      <c r="AX56" s="30" t="inlineStr">
        <is>
          <t>No</t>
        </is>
      </c>
      <c r="AY56" s="30">
        <f>IF(AX56="No",10,IF(AX56= "Yes CEO Resignation",-5,0))</f>
        <v/>
      </c>
      <c r="AZ56" s="30" t="inlineStr">
        <is>
          <t>No</t>
        </is>
      </c>
      <c r="BA56" s="30">
        <f>IF(AZ56="No",10,IF(AZ56="Yes",-5,0))</f>
        <v/>
      </c>
      <c r="BB56" s="30" t="inlineStr">
        <is>
          <t>No</t>
        </is>
      </c>
      <c r="BC56" s="30">
        <f>IF(BB56="No",5,IF(BB56="Yes",-5,0))</f>
        <v/>
      </c>
      <c r="BD56" s="30" t="inlineStr">
        <is>
          <t>Yes</t>
        </is>
      </c>
      <c r="BE56" s="30">
        <f>IF(BD56="Yes",10,0)</f>
        <v/>
      </c>
      <c r="BF56" s="30" t="inlineStr">
        <is>
          <t>Yes</t>
        </is>
      </c>
      <c r="BG56" s="30">
        <f>IF(BF56="Yes",10,0)</f>
        <v/>
      </c>
      <c r="BH56" s="30" t="inlineStr">
        <is>
          <t>Yes</t>
        </is>
      </c>
      <c r="BI56" s="30">
        <f>IF(BH56="Yes",10,0)</f>
        <v/>
      </c>
      <c r="BJ56" s="30" t="inlineStr">
        <is>
          <t>P/BV above 5x</t>
        </is>
      </c>
      <c r="BK56" s="30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0" t="inlineStr">
        <is>
          <t>0 to 20</t>
        </is>
      </c>
      <c r="BM56" s="30">
        <f>IF(BL56="Above 40",20,IF(BL56="20 to 40",10,IF(BL56="0 to 20",-5,0)))</f>
        <v/>
      </c>
      <c r="BN56" s="30" t="inlineStr">
        <is>
          <t>Between 50 to 75</t>
        </is>
      </c>
      <c r="BO56" s="30">
        <f>IF(BN56="Between 50 to 75",10,IF(BN56="Above 75",0,0))</f>
        <v/>
      </c>
      <c r="BP56" s="30" t="inlineStr">
        <is>
          <t>Stage 2</t>
        </is>
      </c>
      <c r="BQ56" s="30">
        <f>IF(BP56="Stage 2",20,IF(BP56="Stage 1",0,IF(BP56="Stage 3",5,IF(BP56="Stage 4",-5,0))))</f>
        <v/>
      </c>
      <c r="BR56" s="30" t="inlineStr">
        <is>
          <t>Positive Trend</t>
        </is>
      </c>
      <c r="BS56" s="30">
        <f>IF(BR56="Positive Trend",20,IF(BR56="Negative Trend",-10,0))</f>
        <v/>
      </c>
      <c r="BT56" s="30" t="inlineStr">
        <is>
          <t>Uptrend</t>
        </is>
      </c>
      <c r="BU56" s="30">
        <f>IF(BT56="Uptrend",10,IF(BT56="Sideways",5,0))</f>
        <v/>
      </c>
      <c r="BV56" s="30" t="inlineStr">
        <is>
          <t>Uptrend</t>
        </is>
      </c>
      <c r="BW56" s="30">
        <f>IF(BV56="Uptrend",10,IF(BV56="Sideways",5,0))</f>
        <v/>
      </c>
      <c r="BX56" s="30" t="inlineStr">
        <is>
          <t>Close to 52 week high or retracement</t>
        </is>
      </c>
      <c r="BY56" s="30">
        <f>IF(BX56="Overhead supply in last 2 years in last 2 years",-5,IF(BX56="Close to 52 week high or retracement",5,IF(BX56="Blue sky scenario",10,IF(BX56="Long term Downtrend",-10,0))))</f>
        <v/>
      </c>
      <c r="BZ56" s="30" t="inlineStr">
        <is>
          <t>Yes</t>
        </is>
      </c>
      <c r="CA56" s="30">
        <f>IF(BZ56="Yes",10,0)</f>
        <v/>
      </c>
    </row>
    <row r="57">
      <c r="A57" s="30">
        <f>IF(B57=0,"",RANK(B57,$B$2:$B$81,0))</f>
        <v/>
      </c>
      <c r="B57" s="31">
        <f>SUM(N57,Y57,AA57,AC57,AE57,AG57,AI57,AK57,AM57,AO57,AQ57,AS57,AU57,AW57,AY57,BA57,BC57,BE57,BG57,BI57,BK57,BM57,BO57,BQ57,BS57,BU57,BW57,BY57,CA57)</f>
        <v/>
      </c>
      <c r="C57" s="30" t="inlineStr">
        <is>
          <t>SAMMAANCAP</t>
        </is>
      </c>
      <c r="D57" s="30" t="inlineStr">
        <is>
          <t>Sammaan Capital Ltd</t>
        </is>
      </c>
      <c r="E57" s="30" t="inlineStr">
        <is>
          <t>financials</t>
        </is>
      </c>
      <c r="F57" s="30" t="inlineStr">
        <is>
          <t>finance - housing</t>
        </is>
      </c>
      <c r="G57" s="30" t="inlineStr">
        <is>
          <t>largecap</t>
        </is>
      </c>
      <c r="H57" s="31" t="n">
        <v>20457.25</v>
      </c>
      <c r="I57" s="31" t="n">
        <v>174.4</v>
      </c>
      <c r="J57" s="31" t="n">
        <v>-0.97</v>
      </c>
      <c r="K57" s="31" t="n">
        <v>7354929</v>
      </c>
      <c r="L57" s="30" t="n">
        <v>54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60.78</v>
      </c>
      <c r="P57" s="31" t="n">
        <v>19.79</v>
      </c>
      <c r="Q57" s="31" t="n">
        <v>142.78</v>
      </c>
      <c r="R57" s="30" t="inlineStr">
        <is>
          <t>Earnings / Momentum Support</t>
        </is>
      </c>
      <c r="S57" s="30" t="inlineStr">
        <is>
          <t>Nifty Bank</t>
        </is>
      </c>
      <c r="T57" s="31" t="n">
        <v>3.04</v>
      </c>
      <c r="U57" s="31" t="n">
        <v>46.7</v>
      </c>
      <c r="V57" s="31" t="n">
        <v>42.37</v>
      </c>
      <c r="W57" s="31" t="n">
        <v>13.94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Fragmented with High ROE</t>
        </is>
      </c>
      <c r="AA57" s="30">
        <f>IF(Z57="Fragmented with Low ROE",-5,IF(Z57="Fragmented with High ROE",10,IF(Z57= "highly cyclical",5,0)))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Consistency)",15,IF(AF57="Shallow Cyclical (2 to 3 years growth)",10,IF(AF57 = "Cyclical in an Uptick",5,IF(AF57 = "Cyclical in an Downtick",-10,0))))</f>
        <v/>
      </c>
      <c r="AH57" s="30" t="inlineStr">
        <is>
          <t>Yes</t>
        </is>
      </c>
      <c r="AI57" s="30">
        <f>IF(AH57="Yes",10,0)</f>
        <v/>
      </c>
      <c r="AJ57" s="30" t="inlineStr">
        <is>
          <t>Yes</t>
        </is>
      </c>
      <c r="AK57" s="30">
        <f>IF(AJ57="Yes",10,0)</f>
        <v/>
      </c>
      <c r="AL57" s="30" t="n"/>
      <c r="AM57" s="30">
        <f>IF(AL57="No",10,0)</f>
        <v/>
      </c>
      <c r="AN57" s="30" t="inlineStr">
        <is>
          <t>Yes</t>
        </is>
      </c>
      <c r="AO57" s="30">
        <f>IF(AN57="Yes",10,0)</f>
        <v/>
      </c>
      <c r="AP57" s="30" t="inlineStr">
        <is>
          <t>No</t>
        </is>
      </c>
      <c r="AQ57" s="30">
        <f>IF(AP57="Yes",10,0)</f>
        <v/>
      </c>
      <c r="AR57" s="30" t="inlineStr">
        <is>
          <t>Yes</t>
        </is>
      </c>
      <c r="AS57" s="30">
        <f>IF(AR57="Yes",5,0)</f>
        <v/>
      </c>
      <c r="AT57" s="30" t="inlineStr">
        <is>
          <t>No</t>
        </is>
      </c>
      <c r="AU57" s="30">
        <f>IF(AT57="No",10,IF(AT57="Yes",-10,0))</f>
        <v/>
      </c>
      <c r="AV57" s="30" t="inlineStr">
        <is>
          <t>No</t>
        </is>
      </c>
      <c r="AW57" s="30">
        <f>IF(AV57="No",10,0)</f>
        <v/>
      </c>
      <c r="AX57" s="30" t="inlineStr">
        <is>
          <t>No</t>
        </is>
      </c>
      <c r="AY57" s="30">
        <f>IF(AX57="No",10,IF(AX57= "Yes CEO Resignation",-5,0))</f>
        <v/>
      </c>
      <c r="AZ57" s="30" t="inlineStr">
        <is>
          <t>No</t>
        </is>
      </c>
      <c r="BA57" s="30">
        <f>IF(AZ57="No",10,IF(AZ57="Yes",-5,0))</f>
        <v/>
      </c>
      <c r="BB57" s="30" t="inlineStr">
        <is>
          <t>No</t>
        </is>
      </c>
      <c r="BC57" s="30">
        <f>IF(BB57="No",5,IF(BB57="Yes",-5,0))</f>
        <v/>
      </c>
      <c r="BD57" s="30" t="inlineStr">
        <is>
          <t>Yes</t>
        </is>
      </c>
      <c r="BE57" s="30">
        <f>IF(BD57="Yes",10,0)</f>
        <v/>
      </c>
      <c r="BF57" s="30" t="inlineStr">
        <is>
          <t>Yes</t>
        </is>
      </c>
      <c r="BG57" s="30">
        <f>IF(BF57="Yes",10,0)</f>
        <v/>
      </c>
      <c r="BH57" s="30" t="inlineStr">
        <is>
          <t>Yes</t>
        </is>
      </c>
      <c r="BI57" s="30">
        <f>IF(BH57="Yes",10,0)</f>
        <v/>
      </c>
      <c r="BJ57" s="30" t="inlineStr">
        <is>
          <t>P/BV less than 2.5x and Growth less than 20%</t>
        </is>
      </c>
      <c r="BK57" s="30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0" t="inlineStr">
        <is>
          <t>0 to 20</t>
        </is>
      </c>
      <c r="BM57" s="30">
        <f>IF(BL57="Above 40",20,IF(BL57="20 to 40",10,IF(BL57="0 to 20",-5,0)))</f>
        <v/>
      </c>
      <c r="BN57" s="30" t="inlineStr">
        <is>
          <t>Between 50 to 75</t>
        </is>
      </c>
      <c r="BO57" s="30">
        <f>IF(BN57="Between 50 to 75",10,IF(BN57="Above 75",0,0))</f>
        <v/>
      </c>
      <c r="BP57" s="30" t="inlineStr">
        <is>
          <t>Stage 2</t>
        </is>
      </c>
      <c r="BQ57" s="30">
        <f>IF(BP57="Stage 2",20,IF(BP57="Stage 1",0,IF(BP57="Stage 3",5,IF(BP57="Stage 4",-5,0))))</f>
        <v/>
      </c>
      <c r="BR57" s="30" t="inlineStr">
        <is>
          <t>Positive Trend</t>
        </is>
      </c>
      <c r="BS57" s="30">
        <f>IF(BR57="Positive Trend",20,IF(BR57="Negative Trend",-10,0))</f>
        <v/>
      </c>
      <c r="BT57" s="30" t="inlineStr">
        <is>
          <t>Uptrend</t>
        </is>
      </c>
      <c r="BU57" s="30">
        <f>IF(BT57="Uptrend",10,IF(BT57="Sideways",5,0))</f>
        <v/>
      </c>
      <c r="BV57" s="30" t="inlineStr">
        <is>
          <t>Uptrend</t>
        </is>
      </c>
      <c r="BW57" s="30">
        <f>IF(BV57="Uptrend",10,IF(BV57="Sideways",5,0))</f>
        <v/>
      </c>
      <c r="BX57" s="30" t="inlineStr">
        <is>
          <t>Close to 52 week high or retracement</t>
        </is>
      </c>
      <c r="BY57" s="30">
        <f>IF(BX57="Overhead supply in last 2 years in last 2 years",-5,IF(BX57="Close to 52 week high or retracement",5,IF(BX57="Blue sky scenario",10,IF(BX57="Long term Downtrend",-10,0))))</f>
        <v/>
      </c>
      <c r="BZ57" s="30" t="inlineStr">
        <is>
          <t>Yes</t>
        </is>
      </c>
      <c r="CA57" s="30">
        <f>IF(BZ57="Yes",10,0)</f>
        <v/>
      </c>
    </row>
    <row r="58">
      <c r="A58" s="30">
        <f>IF(B58=0,"",RANK(B58,$B$2:$B$81,0))</f>
        <v/>
      </c>
      <c r="B58" s="31">
        <f>SUM(N58,Y58,AA58,AC58,AE58,AG58,AI58,AK58,AM58,AO58,AQ58,AS58,AU58,AW58,AY58,BA58,BC58,BE58,BG58,BI58,BK58,BM58,BO58,BQ58,BS58,BU58,BW58,BY58,CA58)</f>
        <v/>
      </c>
      <c r="C58" s="32" t="inlineStr">
        <is>
          <t>HUDCO</t>
        </is>
      </c>
      <c r="D58" s="32" t="inlineStr">
        <is>
          <t>Housing and Urban Development Corporation Ltd</t>
        </is>
      </c>
      <c r="E58" s="30" t="inlineStr">
        <is>
          <t>financials</t>
        </is>
      </c>
      <c r="F58" s="30" t="inlineStr">
        <is>
          <t>finance - term-lending institutions</t>
        </is>
      </c>
      <c r="G58" s="30" t="inlineStr">
        <is>
          <t>largecap</t>
        </is>
      </c>
      <c r="H58" s="31" t="n">
        <v>42770.59</v>
      </c>
      <c r="I58" s="31" t="n">
        <v>211.55</v>
      </c>
      <c r="J58" s="31" t="n">
        <v>-0.98</v>
      </c>
      <c r="K58" s="31" t="n">
        <v>3833874</v>
      </c>
      <c r="L58" s="30" t="n">
        <v>14</v>
      </c>
      <c r="M58" s="30" t="inlineStr">
        <is>
          <t>Underperforming</t>
        </is>
      </c>
      <c r="N58" s="31">
        <f>IF(M58="Underperforming",-5,IF(L58&gt;=95,15,IF(L58&gt;=90,10,IF(L58&gt;=80,5,0))))</f>
        <v/>
      </c>
      <c r="O58" s="31" t="n">
        <v>54.5</v>
      </c>
      <c r="P58" s="31" t="n">
        <v>18.09</v>
      </c>
      <c r="Q58" s="31" t="n">
        <v>188</v>
      </c>
      <c r="R58" s="30" t="inlineStr">
        <is>
          <t>Earnings / Momentum Support</t>
        </is>
      </c>
      <c r="S58" s="30" t="inlineStr">
        <is>
          <t>Nifty Bank</t>
        </is>
      </c>
      <c r="T58" s="31" t="n">
        <v>3.04</v>
      </c>
      <c r="U58" s="31" t="n">
        <v>-4.27</v>
      </c>
      <c r="V58" s="31" t="n">
        <v>-7.1</v>
      </c>
      <c r="W58" s="31" t="n">
        <v>4.74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Fragmented with High ROE</t>
        </is>
      </c>
      <c r="AA58" s="30">
        <f>IF(Z58="Fragmented with Low ROE",-5,IF(Z58="Fragmented with High ROE",10,IF(Z58= "highly cyclical",5,0)))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Headwind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Consistency)",15,IF(AF58="Shallow Cyclical (2 to 3 years growth)",10,IF(AF58 = "Cyclical in an Uptick",5,IF(AF58 = "Cyclical in an Downtick",-10,0))))</f>
        <v/>
      </c>
      <c r="AH58" s="30" t="inlineStr">
        <is>
          <t>Yes</t>
        </is>
      </c>
      <c r="AI58" s="30">
        <f>IF(AH58="Yes",10,0)</f>
        <v/>
      </c>
      <c r="AJ58" s="30" t="inlineStr">
        <is>
          <t>Yes</t>
        </is>
      </c>
      <c r="AK58" s="30">
        <f>IF(AJ58="Yes",10,0)</f>
        <v/>
      </c>
      <c r="AL58" s="30" t="n"/>
      <c r="AM58" s="30">
        <f>IF(AL58="No",10,0)</f>
        <v/>
      </c>
      <c r="AN58" s="30" t="inlineStr">
        <is>
          <t>Yes</t>
        </is>
      </c>
      <c r="AO58" s="30">
        <f>IF(AN58="Yes",10,0)</f>
        <v/>
      </c>
      <c r="AP58" s="30" t="inlineStr">
        <is>
          <t>No</t>
        </is>
      </c>
      <c r="AQ58" s="30">
        <f>IF(AP58="Yes",10,0)</f>
        <v/>
      </c>
      <c r="AR58" s="30" t="inlineStr">
        <is>
          <t>Yes</t>
        </is>
      </c>
      <c r="AS58" s="30">
        <f>IF(AR58="Yes",5,0)</f>
        <v/>
      </c>
      <c r="AT58" s="30" t="inlineStr">
        <is>
          <t>No</t>
        </is>
      </c>
      <c r="AU58" s="30">
        <f>IF(AT58="No",10,IF(AT58="Yes",-10,0))</f>
        <v/>
      </c>
      <c r="AV58" s="30" t="inlineStr">
        <is>
          <t>No</t>
        </is>
      </c>
      <c r="AW58" s="30">
        <f>IF(AV58="No",10,0)</f>
        <v/>
      </c>
      <c r="AX58" s="30" t="inlineStr">
        <is>
          <t>No</t>
        </is>
      </c>
      <c r="AY58" s="30">
        <f>IF(AX58="No",10,IF(AX58= "Yes CEO Resignation",-5,0))</f>
        <v/>
      </c>
      <c r="AZ58" s="30" t="inlineStr">
        <is>
          <t>No</t>
        </is>
      </c>
      <c r="BA58" s="30">
        <f>IF(AZ58="No",10,IF(AZ58="Yes",-5,0))</f>
        <v/>
      </c>
      <c r="BB58" s="30" t="inlineStr">
        <is>
          <t>No</t>
        </is>
      </c>
      <c r="BC58" s="30">
        <f>IF(BB58="No",5,IF(BB58="Yes",-5,0))</f>
        <v/>
      </c>
      <c r="BD58" s="30" t="inlineStr">
        <is>
          <t>Yes</t>
        </is>
      </c>
      <c r="BE58" s="30">
        <f>IF(BD58="Yes",10,0)</f>
        <v/>
      </c>
      <c r="BF58" s="30" t="inlineStr">
        <is>
          <t>Yes</t>
        </is>
      </c>
      <c r="BG58" s="30">
        <f>IF(BF58="Yes",10,0)</f>
        <v/>
      </c>
      <c r="BH58" s="30" t="inlineStr">
        <is>
          <t>Yes</t>
        </is>
      </c>
      <c r="BI58" s="30">
        <f>IF(BH58="Yes",10,0)</f>
        <v/>
      </c>
      <c r="BJ58" s="30" t="inlineStr">
        <is>
          <t>P/BV less than 2.5x and Growth more than 20%</t>
        </is>
      </c>
      <c r="BK58" s="30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0" t="inlineStr">
        <is>
          <t>0 to 20</t>
        </is>
      </c>
      <c r="BM58" s="30">
        <f>IF(BL58="Above 40",20,IF(BL58="20 to 40",10,IF(BL58="0 to 20",-5,0)))</f>
        <v/>
      </c>
      <c r="BN58" s="30" t="inlineStr">
        <is>
          <t>Between 50 to 75</t>
        </is>
      </c>
      <c r="BO58" s="30">
        <f>IF(BN58="Between 50 to 75",10,IF(BN58="Above 75",0,0))</f>
        <v/>
      </c>
      <c r="BP58" s="30" t="inlineStr">
        <is>
          <t>Stage 2</t>
        </is>
      </c>
      <c r="BQ58" s="30">
        <f>IF(BP58="Stage 2",20,IF(BP58="Stage 1",0,IF(BP58="Stage 3",5,IF(BP58="Stage 4",-5,0))))</f>
        <v/>
      </c>
      <c r="BR58" s="30" t="inlineStr">
        <is>
          <t>Positive Trend</t>
        </is>
      </c>
      <c r="BS58" s="30">
        <f>IF(BR58="Positive Trend",20,IF(BR58="Negative Trend",-10,0))</f>
        <v/>
      </c>
      <c r="BT58" s="30" t="inlineStr">
        <is>
          <t>Uptrend</t>
        </is>
      </c>
      <c r="BU58" s="30">
        <f>IF(BT58="Uptrend",10,IF(BT58="Sideways",5,0))</f>
        <v/>
      </c>
      <c r="BV58" s="30" t="inlineStr">
        <is>
          <t>Uptrend</t>
        </is>
      </c>
      <c r="BW58" s="30">
        <f>IF(BV58="Uptrend",10,IF(BV58="Sideways",5,0))</f>
        <v/>
      </c>
      <c r="BX58" s="30" t="inlineStr">
        <is>
          <t>Close to 52 week high or retracement</t>
        </is>
      </c>
      <c r="BY58" s="30">
        <f>IF(BX58="Overhead supply in last 2 years in last 2 years",-5,IF(BX58="Close to 52 week high or retracement",5,IF(BX58="Blue sky scenario",10,IF(BX58="Long term Downtrend",-10,0))))</f>
        <v/>
      </c>
      <c r="BZ58" s="30" t="inlineStr">
        <is>
          <t>Yes</t>
        </is>
      </c>
      <c r="CA58" s="30">
        <f>IF(BZ58="Yes",10,0)</f>
        <v/>
      </c>
    </row>
    <row r="59">
      <c r="A59" s="30">
        <f>IF(B59=0,"",RANK(B59,$B$2:$B$81,0))</f>
        <v/>
      </c>
      <c r="B59" s="31">
        <f>SUM(N59,Y59,AA59,AC59,AE59,AG59,AI59,AK59,AM59,AO59,AQ59,AS59,AU59,AW59,AY59,BA59,BC59,BE59,BG59,BI59,BK59,BM59,BO59,BQ59,BS59,BU59,BW59,BY59,CA59)</f>
        <v/>
      </c>
      <c r="C59" s="30" t="inlineStr">
        <is>
          <t>UJJIVANSFB</t>
        </is>
      </c>
      <c r="D59" s="30" t="inlineStr">
        <is>
          <t>Ujjivan Small Finance Bank Ltd</t>
        </is>
      </c>
      <c r="E59" s="30" t="inlineStr">
        <is>
          <t>bank</t>
        </is>
      </c>
      <c r="F59" s="30" t="inlineStr">
        <is>
          <t>banks - private sector</t>
        </is>
      </c>
      <c r="G59" s="30" t="inlineStr">
        <is>
          <t>midcap</t>
        </is>
      </c>
      <c r="H59" s="31" t="n">
        <v>11024.9</v>
      </c>
      <c r="I59" s="31" t="n">
        <v>58.62</v>
      </c>
      <c r="J59" s="31" t="n">
        <v>3.3</v>
      </c>
      <c r="K59" s="31" t="n">
        <v>13476179</v>
      </c>
      <c r="L59" s="30" t="n">
        <v>21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54.78</v>
      </c>
      <c r="P59" s="31" t="n">
        <v>16.13</v>
      </c>
      <c r="Q59" s="31" t="n">
        <v>48.58</v>
      </c>
      <c r="R59" s="30" t="inlineStr">
        <is>
          <t>Earnings / Momentum Support</t>
        </is>
      </c>
      <c r="S59" s="30" t="inlineStr">
        <is>
          <t>Nifty Bank</t>
        </is>
      </c>
      <c r="T59" s="31" t="n">
        <v>3.04</v>
      </c>
      <c r="U59" s="31" t="n">
        <v>21.69</v>
      </c>
      <c r="V59" s="31" t="n">
        <v>18.1</v>
      </c>
      <c r="W59" s="31" t="n">
        <v>6.31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Fragmented with High ROE</t>
        </is>
      </c>
      <c r="AA59" s="30">
        <f>IF(Z59="Fragmented with Low ROE",-5,IF(Z59="Fragmented with High ROE",10,IF(Z59= "highly cyclical",5,0)))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Consistency)",15,IF(AF59="Shallow Cyclical (2 to 3 years growth)",10,IF(AF59 = "Cyclical in an Uptick",5,IF(AF59 = "Cyclical in an Downtick",-10,0))))</f>
        <v/>
      </c>
      <c r="AH59" s="30" t="inlineStr">
        <is>
          <t>Yes</t>
        </is>
      </c>
      <c r="AI59" s="30">
        <f>IF(AH59="Yes",10,0)</f>
        <v/>
      </c>
      <c r="AJ59" s="30" t="inlineStr">
        <is>
          <t>Yes</t>
        </is>
      </c>
      <c r="AK59" s="30">
        <f>IF(AJ59="Yes",10,0)</f>
        <v/>
      </c>
      <c r="AL59" s="30" t="n"/>
      <c r="AM59" s="30">
        <f>IF(AL59="No",10,0)</f>
        <v/>
      </c>
      <c r="AN59" s="30" t="inlineStr">
        <is>
          <t>Yes</t>
        </is>
      </c>
      <c r="AO59" s="30">
        <f>IF(AN59="Yes",10,0)</f>
        <v/>
      </c>
      <c r="AP59" s="30" t="inlineStr">
        <is>
          <t>No</t>
        </is>
      </c>
      <c r="AQ59" s="30">
        <f>IF(AP59="Yes",10,0)</f>
        <v/>
      </c>
      <c r="AR59" s="30" t="inlineStr">
        <is>
          <t>Yes</t>
        </is>
      </c>
      <c r="AS59" s="30">
        <f>IF(AR59="Yes",5,0)</f>
        <v/>
      </c>
      <c r="AT59" s="30" t="inlineStr">
        <is>
          <t>No</t>
        </is>
      </c>
      <c r="AU59" s="30">
        <f>IF(AT59="No",10,IF(AT59="Yes",-10,0))</f>
        <v/>
      </c>
      <c r="AV59" s="30" t="inlineStr">
        <is>
          <t>No</t>
        </is>
      </c>
      <c r="AW59" s="30">
        <f>IF(AV59="No",10,0)</f>
        <v/>
      </c>
      <c r="AX59" s="30" t="inlineStr">
        <is>
          <t>No</t>
        </is>
      </c>
      <c r="AY59" s="30">
        <f>IF(AX59="No",10,IF(AX59= "Yes CEO Resignation",-5,0))</f>
        <v/>
      </c>
      <c r="AZ59" s="30" t="inlineStr">
        <is>
          <t>No</t>
        </is>
      </c>
      <c r="BA59" s="30">
        <f>IF(AZ59="No",10,IF(AZ59="Yes",-5,0))</f>
        <v/>
      </c>
      <c r="BB59" s="30" t="inlineStr">
        <is>
          <t>No</t>
        </is>
      </c>
      <c r="BC59" s="30">
        <f>IF(BB59="No",5,IF(BB59="Yes",-5,0))</f>
        <v/>
      </c>
      <c r="BD59" s="30" t="inlineStr">
        <is>
          <t>Yes</t>
        </is>
      </c>
      <c r="BE59" s="30">
        <f>IF(BD59="Yes",10,0)</f>
        <v/>
      </c>
      <c r="BF59" s="30" t="inlineStr">
        <is>
          <t>Yes</t>
        </is>
      </c>
      <c r="BG59" s="30">
        <f>IF(BF59="Yes",10,0)</f>
        <v/>
      </c>
      <c r="BH59" s="30" t="inlineStr">
        <is>
          <t>Yes</t>
        </is>
      </c>
      <c r="BI59" s="30">
        <f>IF(BH59="Yes",10,0)</f>
        <v/>
      </c>
      <c r="BJ59" s="30" t="inlineStr">
        <is>
          <t>P/BV less than 2.5x and Growth more than 20%</t>
        </is>
      </c>
      <c r="BK59" s="30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0" t="inlineStr">
        <is>
          <t>0 to 20</t>
        </is>
      </c>
      <c r="BM59" s="30">
        <f>IF(BL59="Above 40",20,IF(BL59="20 to 40",10,IF(BL59="0 to 20",-5,0)))</f>
        <v/>
      </c>
      <c r="BN59" s="30" t="inlineStr">
        <is>
          <t>Between 50 to 75</t>
        </is>
      </c>
      <c r="BO59" s="30">
        <f>IF(BN59="Between 50 to 75",10,IF(BN59="Above 75",0,0))</f>
        <v/>
      </c>
      <c r="BP59" s="30" t="inlineStr">
        <is>
          <t>Stage 1</t>
        </is>
      </c>
      <c r="BQ59" s="30">
        <f>IF(BP59="Stage 2",20,IF(BP59="Stage 1",0,IF(BP59="Stage 3",5,IF(BP59="Stage 4",-5,0))))</f>
        <v/>
      </c>
      <c r="BR59" s="30" t="inlineStr">
        <is>
          <t>Positive Trend</t>
        </is>
      </c>
      <c r="BS59" s="30">
        <f>IF(BR59="Positive Trend",20,IF(BR59="Negative Trend",-10,0))</f>
        <v/>
      </c>
      <c r="BT59" s="30" t="inlineStr">
        <is>
          <t>Uptrend</t>
        </is>
      </c>
      <c r="BU59" s="30">
        <f>IF(BT59="Uptrend",10,IF(BT59="Sideways",5,0))</f>
        <v/>
      </c>
      <c r="BV59" s="30" t="inlineStr">
        <is>
          <t>Uptrend</t>
        </is>
      </c>
      <c r="BW59" s="30">
        <f>IF(BV59="Uptrend",10,IF(BV59="Sideways",5,0))</f>
        <v/>
      </c>
      <c r="BX59" s="30" t="inlineStr">
        <is>
          <t>Close to 52 week high or retracement</t>
        </is>
      </c>
      <c r="BY59" s="30">
        <f>IF(BX59="Overhead supply in last 2 years in last 2 years",-5,IF(BX59="Close to 52 week high or retracement",5,IF(BX59="Blue sky scenario",10,IF(BX59="Long term Downtrend",-10,0))))</f>
        <v/>
      </c>
      <c r="BZ59" s="30" t="inlineStr">
        <is>
          <t>Yes</t>
        </is>
      </c>
      <c r="CA59" s="30">
        <f>IF(BZ59="Yes",10,0)</f>
        <v/>
      </c>
    </row>
    <row r="60">
      <c r="A60" s="30">
        <f>IF(B60=0,"",RANK(B60,$B$2:$B$81,0))</f>
        <v/>
      </c>
      <c r="B60" s="31">
        <f>SUM(N60,Y60,AA60,AC60,AE60,AG60,AI60,AK60,AM60,AO60,AQ60,AS60,AU60,AW60,AY60,BA60,BC60,BE60,BG60,BI60,BK60,BM60,BO60,BQ60,BS60,BU60,BW60,BY60,CA60)</f>
        <v/>
      </c>
      <c r="C60" s="30" t="inlineStr">
        <is>
          <t>MASFIN</t>
        </is>
      </c>
      <c r="D60" s="30" t="inlineStr">
        <is>
          <t>MAS Financial Services Ltd</t>
        </is>
      </c>
      <c r="E60" s="30" t="inlineStr">
        <is>
          <t>financials</t>
        </is>
      </c>
      <c r="F60" s="30" t="inlineStr">
        <is>
          <t>finance &amp; investments</t>
        </is>
      </c>
      <c r="G60" s="30" t="inlineStr">
        <is>
          <t>midcap</t>
        </is>
      </c>
      <c r="H60" s="31" t="n">
        <v>5666.79</v>
      </c>
      <c r="I60" s="31" t="n">
        <v>320.05</v>
      </c>
      <c r="J60" s="31" t="n">
        <v>2.48</v>
      </c>
      <c r="K60" s="31" t="n">
        <v>146420</v>
      </c>
      <c r="L60" s="30" t="n">
        <v>8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52.88</v>
      </c>
      <c r="P60" s="31" t="n">
        <v>16.24</v>
      </c>
      <c r="Q60" s="31" t="n">
        <v>283.08</v>
      </c>
      <c r="R60" s="30" t="inlineStr">
        <is>
          <t>Earnings / Momentum Support</t>
        </is>
      </c>
      <c r="S60" s="30" t="inlineStr">
        <is>
          <t>Nifty Bank</t>
        </is>
      </c>
      <c r="T60" s="31" t="n">
        <v>3.04</v>
      </c>
      <c r="U60" s="31" t="n">
        <v>11.08</v>
      </c>
      <c r="V60" s="31" t="n">
        <v>7.8</v>
      </c>
      <c r="W60" s="31" t="n">
        <v>3.38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Fragmented with High ROE</t>
        </is>
      </c>
      <c r="AA60" s="30">
        <f>IF(Z60="Fragmented with Low ROE",-5,IF(Z60="Fragmented with High ROE",10,IF(Z60= "highly cyclical",5,0)))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Consistency)",15,IF(AF60="Shallow Cyclical (2 to 3 years growth)",10,IF(AF60 = "Cyclical in an Uptick",5,IF(AF60 = "Cyclical in an Downtick",-10,0))))</f>
        <v/>
      </c>
      <c r="AH60" s="30" t="inlineStr">
        <is>
          <t>Yes</t>
        </is>
      </c>
      <c r="AI60" s="30">
        <f>IF(AH60="Yes",10,0)</f>
        <v/>
      </c>
      <c r="AJ60" s="30" t="inlineStr">
        <is>
          <t>Yes</t>
        </is>
      </c>
      <c r="AK60" s="30">
        <f>IF(AJ60="Yes",10,0)</f>
        <v/>
      </c>
      <c r="AL60" s="30" t="n"/>
      <c r="AM60" s="30">
        <f>IF(AL60="No",10,0)</f>
        <v/>
      </c>
      <c r="AN60" s="30" t="inlineStr">
        <is>
          <t>Yes</t>
        </is>
      </c>
      <c r="AO60" s="30">
        <f>IF(AN60="Yes",10,0)</f>
        <v/>
      </c>
      <c r="AP60" s="30" t="inlineStr">
        <is>
          <t>No</t>
        </is>
      </c>
      <c r="AQ60" s="30">
        <f>IF(AP60="Yes",10,0)</f>
        <v/>
      </c>
      <c r="AR60" s="30" t="inlineStr">
        <is>
          <t>Yes</t>
        </is>
      </c>
      <c r="AS60" s="30">
        <f>IF(AR60="Yes",5,0)</f>
        <v/>
      </c>
      <c r="AT60" s="30" t="inlineStr">
        <is>
          <t>No</t>
        </is>
      </c>
      <c r="AU60" s="30">
        <f>IF(AT60="No",10,IF(AT60="Yes",-10,0))</f>
        <v/>
      </c>
      <c r="AV60" s="30" t="inlineStr">
        <is>
          <t>No</t>
        </is>
      </c>
      <c r="AW60" s="30">
        <f>IF(AV60="No",10,0)</f>
        <v/>
      </c>
      <c r="AX60" s="30" t="inlineStr">
        <is>
          <t>No</t>
        </is>
      </c>
      <c r="AY60" s="30">
        <f>IF(AX60="No",10,IF(AX60= "Yes CEO Resignation",-5,0))</f>
        <v/>
      </c>
      <c r="AZ60" s="30" t="inlineStr">
        <is>
          <t>No</t>
        </is>
      </c>
      <c r="BA60" s="30">
        <f>IF(AZ60="No",10,IF(AZ60="Yes",-5,0))</f>
        <v/>
      </c>
      <c r="BB60" s="30" t="inlineStr">
        <is>
          <t>No</t>
        </is>
      </c>
      <c r="BC60" s="30">
        <f>IF(BB60="No",5,IF(BB60="Yes",-5,0))</f>
        <v/>
      </c>
      <c r="BD60" s="30" t="inlineStr">
        <is>
          <t>Yes</t>
        </is>
      </c>
      <c r="BE60" s="30">
        <f>IF(BD60="Yes",10,0)</f>
        <v/>
      </c>
      <c r="BF60" s="30" t="inlineStr">
        <is>
          <t>Yes</t>
        </is>
      </c>
      <c r="BG60" s="30">
        <f>IF(BF60="Yes",10,0)</f>
        <v/>
      </c>
      <c r="BH60" s="30" t="inlineStr">
        <is>
          <t>Yes</t>
        </is>
      </c>
      <c r="BI60" s="30">
        <f>IF(BH60="Yes",10,0)</f>
        <v/>
      </c>
      <c r="BJ60" s="30" t="inlineStr">
        <is>
          <t>P/BV less than 2.5x and Growth more than 20%</t>
        </is>
      </c>
      <c r="BK60" s="30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0" t="inlineStr">
        <is>
          <t>0 to 20</t>
        </is>
      </c>
      <c r="BM60" s="30">
        <f>IF(BL60="Above 40",20,IF(BL60="20 to 40",10,IF(BL60="0 to 20",-5,0)))</f>
        <v/>
      </c>
      <c r="BN60" s="30" t="inlineStr">
        <is>
          <t>Between 50 to 75</t>
        </is>
      </c>
      <c r="BO60" s="30">
        <f>IF(BN60="Between 50 to 75",10,IF(BN60="Above 75",0,0))</f>
        <v/>
      </c>
      <c r="BP60" s="30" t="inlineStr">
        <is>
          <t>Stage 1</t>
        </is>
      </c>
      <c r="BQ60" s="30">
        <f>IF(BP60="Stage 2",20,IF(BP60="Stage 1",0,IF(BP60="Stage 3",5,IF(BP60="Stage 4",-5,0))))</f>
        <v/>
      </c>
      <c r="BR60" s="30" t="inlineStr">
        <is>
          <t>Positive Trend</t>
        </is>
      </c>
      <c r="BS60" s="30">
        <f>IF(BR60="Positive Trend",20,IF(BR60="Negative Trend",-10,0))</f>
        <v/>
      </c>
      <c r="BT60" s="30" t="inlineStr">
        <is>
          <t>Uptrend</t>
        </is>
      </c>
      <c r="BU60" s="30">
        <f>IF(BT60="Uptrend",10,IF(BT60="Sideways",5,0))</f>
        <v/>
      </c>
      <c r="BV60" s="30" t="inlineStr">
        <is>
          <t>Uptrend</t>
        </is>
      </c>
      <c r="BW60" s="30">
        <f>IF(BV60="Uptrend",10,IF(BV60="Sideways",5,0))</f>
        <v/>
      </c>
      <c r="BX60" s="30" t="inlineStr">
        <is>
          <t>Close to 52 week high or retracement</t>
        </is>
      </c>
      <c r="BY60" s="30">
        <f>IF(BX60="Overhead supply in last 2 years in last 2 years",-5,IF(BX60="Close to 52 week high or retracement",5,IF(BX60="Blue sky scenario",10,IF(BX60="Long term Downtrend",-10,0))))</f>
        <v/>
      </c>
      <c r="BZ60" s="30" t="inlineStr">
        <is>
          <t>Yes</t>
        </is>
      </c>
      <c r="CA60" s="30">
        <f>IF(BZ60="Yes",10,0)</f>
        <v/>
      </c>
    </row>
    <row r="61">
      <c r="A61" s="30">
        <f>IF(B61=0,"",RANK(B61,$B$2:$B$81,0))</f>
        <v/>
      </c>
      <c r="B61" s="31">
        <f>SUM(N61,Y61,AA61,AC61,AE61,AG61,AI61,AK61,AM61,AO61,AQ61,AS61,AU61,AW61,AY61,BA61,BC61,BE61,BG61,BI61,BK61,BM61,BO61,BQ61,BS61,BU61,BW61,BY61,CA61)</f>
        <v/>
      </c>
      <c r="C61" s="32" t="inlineStr">
        <is>
          <t>GEOJITFSL</t>
        </is>
      </c>
      <c r="D61" s="32" t="inlineStr">
        <is>
          <t>Geojit Financial Services Ltd</t>
        </is>
      </c>
      <c r="E61" s="30" t="inlineStr">
        <is>
          <t>financials</t>
        </is>
      </c>
      <c r="F61" s="30" t="inlineStr">
        <is>
          <t>finance &amp; investments</t>
        </is>
      </c>
      <c r="G61" s="30" t="inlineStr">
        <is>
          <t>smallcap</t>
        </is>
      </c>
      <c r="H61" s="31" t="n">
        <v>2207.58</v>
      </c>
      <c r="I61" s="31" t="n">
        <v>77.69</v>
      </c>
      <c r="J61" s="31" t="n">
        <v>-1.77</v>
      </c>
      <c r="K61" s="31" t="n">
        <v>321646</v>
      </c>
      <c r="L61" s="30" t="n">
        <v>24</v>
      </c>
      <c r="M61" s="30" t="inlineStr">
        <is>
          <t>Underperforming</t>
        </is>
      </c>
      <c r="N61" s="31">
        <f>IF(M61="Underperforming",-5,IF(L61&gt;=95,15,IF(L61&gt;=90,10,IF(L61&gt;=80,5,0))))</f>
        <v/>
      </c>
      <c r="O61" s="31" t="n">
        <v>60.49</v>
      </c>
      <c r="P61" s="31" t="n">
        <v>16.84</v>
      </c>
      <c r="Q61" s="31" t="n">
        <v>59.53</v>
      </c>
      <c r="R61" s="30" t="inlineStr">
        <is>
          <t>Earnings / Momentum Support</t>
        </is>
      </c>
      <c r="S61" s="30" t="inlineStr">
        <is>
          <t>Nifty Bank</t>
        </is>
      </c>
      <c r="T61" s="31" t="n">
        <v>3.04</v>
      </c>
      <c r="U61" s="31" t="n">
        <v>-0.9</v>
      </c>
      <c r="V61" s="31" t="n">
        <v>-3.83</v>
      </c>
      <c r="W61" s="31" t="n">
        <v>7.15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Fragmented with High ROE</t>
        </is>
      </c>
      <c r="AA61" s="30">
        <f>IF(Z61="Fragmented with Low ROE",-5,IF(Z61="Fragmented with High ROE",10,IF(Z61= "highly cyclical",5,0)))</f>
        <v/>
      </c>
      <c r="AB61" s="30" t="inlineStr">
        <is>
          <t>Yes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Consistency)",15,IF(AF61="Shallow Cyclical (2 to 3 years growth)",10,IF(AF61 = "Cyclical in an Uptick",5,IF(AF61 = "Cyclical in an Downtick",-10,0))))</f>
        <v/>
      </c>
      <c r="AH61" s="30" t="inlineStr">
        <is>
          <t>Yes</t>
        </is>
      </c>
      <c r="AI61" s="30">
        <f>IF(AH61="Yes",10,0)</f>
        <v/>
      </c>
      <c r="AJ61" s="30" t="inlineStr">
        <is>
          <t>Yes</t>
        </is>
      </c>
      <c r="AK61" s="30">
        <f>IF(AJ61="Yes",10,0)</f>
        <v/>
      </c>
      <c r="AL61" s="30" t="n"/>
      <c r="AM61" s="30">
        <f>IF(AL61="No",10,0)</f>
        <v/>
      </c>
      <c r="AN61" s="30" t="inlineStr">
        <is>
          <t>Yes</t>
        </is>
      </c>
      <c r="AO61" s="30">
        <f>IF(AN61="Yes",10,0)</f>
        <v/>
      </c>
      <c r="AP61" s="30" t="inlineStr">
        <is>
          <t>No</t>
        </is>
      </c>
      <c r="AQ61" s="30">
        <f>IF(AP61="Yes",10,0)</f>
        <v/>
      </c>
      <c r="AR61" s="30" t="inlineStr">
        <is>
          <t>Yes</t>
        </is>
      </c>
      <c r="AS61" s="30">
        <f>IF(AR61="Yes",5,0)</f>
        <v/>
      </c>
      <c r="AT61" s="30" t="inlineStr">
        <is>
          <t>No</t>
        </is>
      </c>
      <c r="AU61" s="30">
        <f>IF(AT61="No",10,IF(AT61="Yes",-10,0))</f>
        <v/>
      </c>
      <c r="AV61" s="30" t="inlineStr">
        <is>
          <t>No</t>
        </is>
      </c>
      <c r="AW61" s="30">
        <f>IF(AV61="No",10,0)</f>
        <v/>
      </c>
      <c r="AX61" s="30" t="inlineStr">
        <is>
          <t>No</t>
        </is>
      </c>
      <c r="AY61" s="30">
        <f>IF(AX61="No",10,IF(AX61= "Yes CEO Resignation",-5,0))</f>
        <v/>
      </c>
      <c r="AZ61" s="30" t="inlineStr">
        <is>
          <t>No</t>
        </is>
      </c>
      <c r="BA61" s="30">
        <f>IF(AZ61="No",10,IF(AZ61="Yes",-5,0))</f>
        <v/>
      </c>
      <c r="BB61" s="30" t="inlineStr">
        <is>
          <t>No</t>
        </is>
      </c>
      <c r="BC61" s="30">
        <f>IF(BB61="No",5,IF(BB61="Yes",-5,0))</f>
        <v/>
      </c>
      <c r="BD61" s="30" t="inlineStr">
        <is>
          <t>Yes</t>
        </is>
      </c>
      <c r="BE61" s="30">
        <f>IF(BD61="Yes",10,0)</f>
        <v/>
      </c>
      <c r="BF61" s="30" t="inlineStr">
        <is>
          <t>Yes</t>
        </is>
      </c>
      <c r="BG61" s="30">
        <f>IF(BF61="Yes",10,0)</f>
        <v/>
      </c>
      <c r="BH61" s="30" t="inlineStr">
        <is>
          <t>Yes</t>
        </is>
      </c>
      <c r="BI61" s="30">
        <f>IF(BH61="Yes",10,0)</f>
        <v/>
      </c>
      <c r="BJ61" s="30" t="inlineStr">
        <is>
          <t>P/BV less than 2.5x and Growth less than 20%</t>
        </is>
      </c>
      <c r="BK61" s="30">
        <f>IF(BJ61="P/BV less than 2.5x and Growth more than 20%",20,IF(BJ61 = "P/BV less than 2.5x and Growth less than 20%",5,IF(BJ61="P/BV between 2.5x to 5x and Growth more than 20%",10,IF(BJ61= "P/BV between 2.5x to 5x and Growth less than 20%",-5,IF(BJ61= "P/BV above 5x",-5,0)))))</f>
        <v/>
      </c>
      <c r="BL61" s="30" t="inlineStr">
        <is>
          <t>0 to 20</t>
        </is>
      </c>
      <c r="BM61" s="30">
        <f>IF(BL61="Above 40",20,IF(BL61="20 to 40",10,IF(BL61="0 to 20",-5,0)))</f>
        <v/>
      </c>
      <c r="BN61" s="30" t="inlineStr">
        <is>
          <t>Between 50 to 75</t>
        </is>
      </c>
      <c r="BO61" s="30">
        <f>IF(BN61="Between 50 to 75",10,IF(BN61="Above 75",0,0))</f>
        <v/>
      </c>
      <c r="BP61" s="30" t="inlineStr">
        <is>
          <t>Stage 2</t>
        </is>
      </c>
      <c r="BQ61" s="30">
        <f>IF(BP61="Stage 2",20,IF(BP61="Stage 1",0,IF(BP61="Stage 3",5,IF(BP61="Stage 4",-5,0))))</f>
        <v/>
      </c>
      <c r="BR61" s="30" t="inlineStr">
        <is>
          <t>Positive Trend</t>
        </is>
      </c>
      <c r="BS61" s="30">
        <f>IF(BR61="Positive Trend",20,IF(BR61="Negative Trend",-10,0))</f>
        <v/>
      </c>
      <c r="BT61" s="30" t="inlineStr">
        <is>
          <t>Uptrend</t>
        </is>
      </c>
      <c r="BU61" s="30">
        <f>IF(BT61="Uptrend",10,IF(BT61="Sideways",5,0))</f>
        <v/>
      </c>
      <c r="BV61" s="30" t="inlineStr">
        <is>
          <t>Uptrend</t>
        </is>
      </c>
      <c r="BW61" s="30">
        <f>IF(BV61="Uptrend",10,IF(BV61="Sideways",5,0))</f>
        <v/>
      </c>
      <c r="BX61" s="30" t="inlineStr">
        <is>
          <t>Close to 52 week high or retracement</t>
        </is>
      </c>
      <c r="BY61" s="30">
        <f>IF(BX61="Overhead supply in last 2 years in last 2 years",-5,IF(BX61="Close to 52 week high or retracement",5,IF(BX61="Blue sky scenario",10,IF(BX61="Long term Downtrend",-10,0))))</f>
        <v/>
      </c>
      <c r="BZ61" s="30" t="inlineStr">
        <is>
          <t>Yes</t>
        </is>
      </c>
      <c r="CA61" s="30">
        <f>IF(BZ61="Yes",10,0)</f>
        <v/>
      </c>
    </row>
    <row r="62">
      <c r="A62" s="30">
        <f>IF(B62=0,"",RANK(B62,$B$2:$B$81,0))</f>
        <v/>
      </c>
      <c r="B62" s="31">
        <f>SUM(N62,Y62,AA62,AC62,AE62,AG62,AI62,AK62,AM62,AO62,AQ62,AS62,AU62,AW62,AY62,BA62,BC62,BE62,BG62,BI62,BK62,BM62,BO62,BQ62,BS62,BU62,BW62,BY62,CA62)</f>
        <v/>
      </c>
      <c r="C62" s="30" t="inlineStr">
        <is>
          <t>LTF</t>
        </is>
      </c>
      <c r="D62" s="30" t="inlineStr">
        <is>
          <t>L&amp;T Finance Ltd</t>
        </is>
      </c>
      <c r="E62" s="30" t="inlineStr">
        <is>
          <t>financials</t>
        </is>
      </c>
      <c r="F62" s="30" t="inlineStr">
        <is>
          <t>finance &amp; investments</t>
        </is>
      </c>
      <c r="G62" s="30" t="inlineStr">
        <is>
          <t>largecap</t>
        </is>
      </c>
      <c r="H62" s="31" t="n">
        <v>73666.50999999999</v>
      </c>
      <c r="I62" s="31" t="n">
        <v>286.9</v>
      </c>
      <c r="J62" s="31" t="n">
        <v>-2.46</v>
      </c>
      <c r="K62" s="31" t="n">
        <v>3512827</v>
      </c>
      <c r="L62" s="30" t="n">
        <v>47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54.08</v>
      </c>
      <c r="P62" s="31" t="n">
        <v>15.31</v>
      </c>
      <c r="Q62" s="31" t="n">
        <v>236.35</v>
      </c>
      <c r="R62" s="30" t="inlineStr">
        <is>
          <t>Earnings / Momentum Support</t>
        </is>
      </c>
      <c r="S62" s="30" t="inlineStr">
        <is>
          <t>Nifty Bank</t>
        </is>
      </c>
      <c r="T62" s="31" t="n">
        <v>3.04</v>
      </c>
      <c r="U62" s="31" t="n">
        <v>52.51</v>
      </c>
      <c r="V62" s="31" t="n">
        <v>48.01</v>
      </c>
      <c r="W62" s="31" t="n">
        <v>12.09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Fragmented with High ROE</t>
        </is>
      </c>
      <c r="AA62" s="30">
        <f>IF(Z62="Fragmented with Low ROE",-5,IF(Z62="Fragmented with High ROE",10,IF(Z62= "highly cyclical",5,0)))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Headwind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Consistency)",15,IF(AF62="Shallow Cyclical (2 to 3 years growth)",10,IF(AF62 = "Cyclical in an Uptick",5,IF(AF62 = "Cyclical in an Downtick",-10,0))))</f>
        <v/>
      </c>
      <c r="AH62" s="30" t="inlineStr">
        <is>
          <t>Yes</t>
        </is>
      </c>
      <c r="AI62" s="30">
        <f>IF(AH62="Yes",10,0)</f>
        <v/>
      </c>
      <c r="AJ62" s="30" t="inlineStr">
        <is>
          <t>Yes</t>
        </is>
      </c>
      <c r="AK62" s="30">
        <f>IF(AJ62="Yes",10,0)</f>
        <v/>
      </c>
      <c r="AL62" s="30" t="n"/>
      <c r="AM62" s="30">
        <f>IF(AL62="No",10,0)</f>
        <v/>
      </c>
      <c r="AN62" s="30" t="inlineStr">
        <is>
          <t>Yes</t>
        </is>
      </c>
      <c r="AO62" s="30">
        <f>IF(AN62="Yes",10,0)</f>
        <v/>
      </c>
      <c r="AP62" s="30" t="inlineStr">
        <is>
          <t>No</t>
        </is>
      </c>
      <c r="AQ62" s="30">
        <f>IF(AP62="Yes",10,0)</f>
        <v/>
      </c>
      <c r="AR62" s="30" t="inlineStr">
        <is>
          <t>Yes</t>
        </is>
      </c>
      <c r="AS62" s="30">
        <f>IF(AR62="Yes",5,0)</f>
        <v/>
      </c>
      <c r="AT62" s="30" t="inlineStr">
        <is>
          <t>No</t>
        </is>
      </c>
      <c r="AU62" s="30">
        <f>IF(AT62="No",10,IF(AT62="Yes",-10,0))</f>
        <v/>
      </c>
      <c r="AV62" s="30" t="inlineStr">
        <is>
          <t>No</t>
        </is>
      </c>
      <c r="AW62" s="30">
        <f>IF(AV62="No",10,0)</f>
        <v/>
      </c>
      <c r="AX62" s="30" t="inlineStr">
        <is>
          <t>No</t>
        </is>
      </c>
      <c r="AY62" s="30">
        <f>IF(AX62="No",10,IF(AX62= "Yes CEO Resignation",-5,0))</f>
        <v/>
      </c>
      <c r="AZ62" s="30" t="inlineStr">
        <is>
          <t>No</t>
        </is>
      </c>
      <c r="BA62" s="30">
        <f>IF(AZ62="No",10,IF(AZ62="Yes",-5,0))</f>
        <v/>
      </c>
      <c r="BB62" s="30" t="inlineStr">
        <is>
          <t>No</t>
        </is>
      </c>
      <c r="BC62" s="30">
        <f>IF(BB62="No",5,IF(BB62="Yes",-5,0))</f>
        <v/>
      </c>
      <c r="BD62" s="30" t="inlineStr">
        <is>
          <t>Yes</t>
        </is>
      </c>
      <c r="BE62" s="30">
        <f>IF(BD62="Yes",10,0)</f>
        <v/>
      </c>
      <c r="BF62" s="30" t="inlineStr">
        <is>
          <t>Yes</t>
        </is>
      </c>
      <c r="BG62" s="30">
        <f>IF(BF62="Yes",10,0)</f>
        <v/>
      </c>
      <c r="BH62" s="30" t="inlineStr">
        <is>
          <t>Yes</t>
        </is>
      </c>
      <c r="BI62" s="30">
        <f>IF(BH62="Yes",10,0)</f>
        <v/>
      </c>
      <c r="BJ62" s="30" t="inlineStr">
        <is>
          <t>P/BV between 2.5x to 5x and Growth more than 20%</t>
        </is>
      </c>
      <c r="BK62" s="30">
        <f>IF(BJ62="P/BV less than 2.5x and Growth more than 20%",20,IF(BJ62 = "P/BV less than 2.5x and Growth less than 20%",5,IF(BJ62="P/BV between 2.5x to 5x and Growth more than 20%",10,IF(BJ62= "P/BV between 2.5x to 5x and Growth less than 20%",-5,IF(BJ62= "P/BV above 5x",-5,0)))))</f>
        <v/>
      </c>
      <c r="BL62" s="30" t="inlineStr">
        <is>
          <t>0 to 20</t>
        </is>
      </c>
      <c r="BM62" s="30">
        <f>IF(BL62="Above 40",20,IF(BL62="20 to 40",10,IF(BL62="0 to 20",-5,0)))</f>
        <v/>
      </c>
      <c r="BN62" s="30" t="inlineStr">
        <is>
          <t>Between 50 to 75</t>
        </is>
      </c>
      <c r="BO62" s="30">
        <f>IF(BN62="Between 50 to 75",10,IF(BN62="Above 75",0,0))</f>
        <v/>
      </c>
      <c r="BP62" s="30" t="inlineStr">
        <is>
          <t>Stage 2</t>
        </is>
      </c>
      <c r="BQ62" s="30">
        <f>IF(BP62="Stage 2",20,IF(BP62="Stage 1",0,IF(BP62="Stage 3",5,IF(BP62="Stage 4",-5,0))))</f>
        <v/>
      </c>
      <c r="BR62" s="30" t="inlineStr">
        <is>
          <t>Positive Trend</t>
        </is>
      </c>
      <c r="BS62" s="30">
        <f>IF(BR62="Positive Trend",20,IF(BR62="Negative Trend",-10,0))</f>
        <v/>
      </c>
      <c r="BT62" s="30" t="inlineStr">
        <is>
          <t>Uptrend</t>
        </is>
      </c>
      <c r="BU62" s="30">
        <f>IF(BT62="Uptrend",10,IF(BT62="Sideways",5,0))</f>
        <v/>
      </c>
      <c r="BV62" s="30" t="inlineStr">
        <is>
          <t>Uptrend</t>
        </is>
      </c>
      <c r="BW62" s="30">
        <f>IF(BV62="Uptrend",10,IF(BV62="Sideways",5,0))</f>
        <v/>
      </c>
      <c r="BX62" s="30" t="inlineStr">
        <is>
          <t>Close to 52 week high or retracement</t>
        </is>
      </c>
      <c r="BY62" s="30">
        <f>IF(BX62="Overhead supply in last 2 years in last 2 years",-5,IF(BX62="Close to 52 week high or retracement",5,IF(BX62="Blue sky scenario",10,IF(BX62="Long term Downtrend",-10,0))))</f>
        <v/>
      </c>
      <c r="BZ62" s="30" t="inlineStr">
        <is>
          <t>Yes</t>
        </is>
      </c>
      <c r="CA62" s="30">
        <f>IF(BZ62="Yes",10,0)</f>
        <v/>
      </c>
    </row>
    <row r="63">
      <c r="A63" s="30">
        <f>IF(B63=0,"",RANK(B63,$B$2:$B$81,0))</f>
        <v/>
      </c>
      <c r="B63" s="31">
        <f>SUM(N63,Y63,AA63,AC63,AE63,AG63,AI63,AK63,AM63,AO63,AQ63,AS63,AU63,AW63,AY63,BA63,BC63,BE63,BG63,BI63,BK63,BM63,BO63,BQ63,BS63,BU63,BW63,BY63,CA63)</f>
        <v/>
      </c>
      <c r="C63" s="32" t="inlineStr">
        <is>
          <t>LICI</t>
        </is>
      </c>
      <c r="D63" s="32" t="inlineStr">
        <is>
          <t>Life Insurance Corporation of India Ltd</t>
        </is>
      </c>
      <c r="E63" s="30" t="inlineStr">
        <is>
          <t>financials</t>
        </is>
      </c>
      <c r="F63" s="30" t="inlineStr">
        <is>
          <t>finance &amp; investments</t>
        </is>
      </c>
      <c r="G63" s="30" t="inlineStr">
        <is>
          <t>largecap</t>
        </is>
      </c>
      <c r="H63" s="31" t="n">
        <v>528959.5600000001</v>
      </c>
      <c r="I63" s="31" t="n">
        <v>430</v>
      </c>
      <c r="J63" s="31" t="n">
        <v>2.83</v>
      </c>
      <c r="K63" s="31" t="n">
        <v>10970744</v>
      </c>
      <c r="L63" s="30" t="n">
        <v>1</v>
      </c>
      <c r="M63" s="30" t="inlineStr">
        <is>
          <t>Underperforming</t>
        </is>
      </c>
      <c r="N63" s="31">
        <f>IF(M63="Underperforming",-5,IF(L63&gt;=95,15,IF(L63&gt;=90,10,IF(L63&gt;=80,5,0))))</f>
        <v/>
      </c>
      <c r="O63" s="31" t="n">
        <v>55.99</v>
      </c>
      <c r="P63" s="31" t="n">
        <v>11.49</v>
      </c>
      <c r="Q63" s="31" t="n">
        <v>362.59</v>
      </c>
      <c r="R63" s="30" t="inlineStr">
        <is>
          <t>Earnings / Momentum Support</t>
        </is>
      </c>
      <c r="S63" s="30" t="inlineStr">
        <is>
          <t>Nifty Bank</t>
        </is>
      </c>
      <c r="T63" s="31" t="n">
        <v>3.04</v>
      </c>
      <c r="U63" s="31" t="n">
        <v>-6.96</v>
      </c>
      <c r="V63" s="31" t="n">
        <v>-9.699999999999999</v>
      </c>
      <c r="W63" s="31" t="n">
        <v>0.93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Fragmented with High ROE</t>
        </is>
      </c>
      <c r="AA63" s="30">
        <f>IF(Z63="Fragmented with Low ROE",-5,IF(Z63="Fragmented with High ROE",10,IF(Z63= "highly cyclical",5,0)))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Consistency)",15,IF(AF63="Shallow Cyclical (2 to 3 years growth)",10,IF(AF63 = "Cyclical in an Uptick",5,IF(AF63 = "Cyclical in an Downtick",-10,0))))</f>
        <v/>
      </c>
      <c r="AH63" s="30" t="inlineStr">
        <is>
          <t>Yes</t>
        </is>
      </c>
      <c r="AI63" s="30">
        <f>IF(AH63="Yes",10,0)</f>
        <v/>
      </c>
      <c r="AJ63" s="30" t="inlineStr">
        <is>
          <t>Yes</t>
        </is>
      </c>
      <c r="AK63" s="30">
        <f>IF(AJ63="Yes",10,0)</f>
        <v/>
      </c>
      <c r="AL63" s="30" t="n"/>
      <c r="AM63" s="30">
        <f>IF(AL63="No",10,0)</f>
        <v/>
      </c>
      <c r="AN63" s="30" t="inlineStr">
        <is>
          <t>Yes</t>
        </is>
      </c>
      <c r="AO63" s="30">
        <f>IF(AN63="Yes",10,0)</f>
        <v/>
      </c>
      <c r="AP63" s="30" t="inlineStr">
        <is>
          <t>No</t>
        </is>
      </c>
      <c r="AQ63" s="30">
        <f>IF(AP63="Yes",10,0)</f>
        <v/>
      </c>
      <c r="AR63" s="30" t="inlineStr">
        <is>
          <t>Yes</t>
        </is>
      </c>
      <c r="AS63" s="30">
        <f>IF(AR63="Yes",5,0)</f>
        <v/>
      </c>
      <c r="AT63" s="30" t="inlineStr">
        <is>
          <t>No</t>
        </is>
      </c>
      <c r="AU63" s="30">
        <f>IF(AT63="No",10,IF(AT63="Yes",-10,0))</f>
        <v/>
      </c>
      <c r="AV63" s="30" t="inlineStr">
        <is>
          <t>No</t>
        </is>
      </c>
      <c r="AW63" s="30">
        <f>IF(AV63="No",10,0)</f>
        <v/>
      </c>
      <c r="AX63" s="30" t="inlineStr">
        <is>
          <t>No</t>
        </is>
      </c>
      <c r="AY63" s="30">
        <f>IF(AX63="No",10,IF(AX63= "Yes CEO Resignation",-5,0))</f>
        <v/>
      </c>
      <c r="AZ63" s="30" t="inlineStr">
        <is>
          <t>No</t>
        </is>
      </c>
      <c r="BA63" s="30">
        <f>IF(AZ63="No",10,IF(AZ63="Yes",-5,0))</f>
        <v/>
      </c>
      <c r="BB63" s="30" t="inlineStr">
        <is>
          <t>No</t>
        </is>
      </c>
      <c r="BC63" s="30">
        <f>IF(BB63="No",5,IF(BB63="Yes",-5,0))</f>
        <v/>
      </c>
      <c r="BD63" s="30" t="inlineStr">
        <is>
          <t>Yes</t>
        </is>
      </c>
      <c r="BE63" s="30">
        <f>IF(BD63="Yes",10,0)</f>
        <v/>
      </c>
      <c r="BF63" s="30" t="inlineStr">
        <is>
          <t>Yes</t>
        </is>
      </c>
      <c r="BG63" s="30">
        <f>IF(BF63="Yes",10,0)</f>
        <v/>
      </c>
      <c r="BH63" s="30" t="inlineStr">
        <is>
          <t>Yes</t>
        </is>
      </c>
      <c r="BI63" s="30">
        <f>IF(BH63="Yes",10,0)</f>
        <v/>
      </c>
      <c r="BJ63" s="30" t="inlineStr">
        <is>
          <t>P/BV less than 2.5x and Growth more than 20%</t>
        </is>
      </c>
      <c r="BK63" s="30">
        <f>IF(BJ63="P/BV less than 2.5x and Growth more than 20%",20,IF(BJ63 = "P/BV less than 2.5x and Growth less than 20%",5,IF(BJ63="P/BV between 2.5x to 5x and Growth more than 20%",10,IF(BJ63= "P/BV between 2.5x to 5x and Growth less than 20%",-5,IF(BJ63= "P/BV above 5x",-5,0)))))</f>
        <v/>
      </c>
      <c r="BL63" s="30" t="inlineStr">
        <is>
          <t>0 to 20</t>
        </is>
      </c>
      <c r="BM63" s="30">
        <f>IF(BL63="Above 40",20,IF(BL63="20 to 40",10,IF(BL63="0 to 20",-5,0)))</f>
        <v/>
      </c>
      <c r="BN63" s="30" t="inlineStr">
        <is>
          <t>Between 50 to 75</t>
        </is>
      </c>
      <c r="BO63" s="30">
        <f>IF(BN63="Between 50 to 75",10,IF(BN63="Above 75",0,0))</f>
        <v/>
      </c>
      <c r="BP63" s="30" t="inlineStr">
        <is>
          <t>Stage 1</t>
        </is>
      </c>
      <c r="BQ63" s="30">
        <f>IF(BP63="Stage 2",20,IF(BP63="Stage 1",0,IF(BP63="Stage 3",5,IF(BP63="Stage 4",-5,0))))</f>
        <v/>
      </c>
      <c r="BR63" s="30" t="inlineStr">
        <is>
          <t>Positive Trend</t>
        </is>
      </c>
      <c r="BS63" s="30">
        <f>IF(BR63="Positive Trend",20,IF(BR63="Negative Trend",-10,0))</f>
        <v/>
      </c>
      <c r="BT63" s="30" t="inlineStr">
        <is>
          <t>Uptrend</t>
        </is>
      </c>
      <c r="BU63" s="30">
        <f>IF(BT63="Uptrend",10,IF(BT63="Sideways",5,0))</f>
        <v/>
      </c>
      <c r="BV63" s="30" t="inlineStr">
        <is>
          <t>Uptrend</t>
        </is>
      </c>
      <c r="BW63" s="30">
        <f>IF(BV63="Uptrend",10,IF(BV63="Sideways",5,0))</f>
        <v/>
      </c>
      <c r="BX63" s="30" t="inlineStr">
        <is>
          <t>Close to 52 week high or retracement</t>
        </is>
      </c>
      <c r="BY63" s="30">
        <f>IF(BX63="Overhead supply in last 2 years in last 2 years",-5,IF(BX63="Close to 52 week high or retracement",5,IF(BX63="Blue sky scenario",10,IF(BX63="Long term Downtrend",-10,0))))</f>
        <v/>
      </c>
      <c r="BZ63" s="30" t="inlineStr">
        <is>
          <t>Yes</t>
        </is>
      </c>
      <c r="CA63" s="30">
        <f>IF(BZ63="Yes",10,0)</f>
        <v/>
      </c>
    </row>
    <row r="64">
      <c r="A64" s="30">
        <f>IF(B64=0,"",RANK(B64,$B$2:$B$81,0))</f>
        <v/>
      </c>
      <c r="B64" s="31">
        <f>SUM(N64,Y64,AA64,AC64,AE64,AG64,AI64,AK64,AM64,AO64,AQ64,AS64,AU64,AW64,AY64,BA64,BC64,BE64,BG64,BI64,BK64,BM64,BO64,BQ64,BS64,BU64,BW64,BY64,CA64)</f>
        <v/>
      </c>
      <c r="C64" s="32" t="inlineStr">
        <is>
          <t>ARMANFIN</t>
        </is>
      </c>
      <c r="D64" s="32" t="inlineStr">
        <is>
          <t>Arman Financial Services Limited</t>
        </is>
      </c>
      <c r="E64" s="30" t="inlineStr">
        <is>
          <t>financials</t>
        </is>
      </c>
      <c r="F64" s="30" t="inlineStr">
        <is>
          <t>finance &amp; investments</t>
        </is>
      </c>
      <c r="G64" s="30" t="inlineStr">
        <is>
          <t>smallcap</t>
        </is>
      </c>
      <c r="H64" s="31" t="n">
        <v>1741.47</v>
      </c>
      <c r="I64" s="31" t="n">
        <v>1696.1</v>
      </c>
      <c r="J64" s="31" t="n">
        <v>2.39</v>
      </c>
      <c r="K64" s="31" t="n">
        <v>35341</v>
      </c>
      <c r="L64" s="30" t="n">
        <v>4</v>
      </c>
      <c r="M64" s="30" t="inlineStr">
        <is>
          <t>Underperforming</t>
        </is>
      </c>
      <c r="N64" s="31">
        <f>IF(M64="Underperforming",-5,IF(L64&gt;=95,15,IF(L64&gt;=90,10,IF(L64&gt;=80,5,0))))</f>
        <v/>
      </c>
      <c r="O64" s="31" t="n">
        <v>55.1</v>
      </c>
      <c r="P64" s="31" t="n">
        <v>11.43</v>
      </c>
      <c r="Q64" s="31" t="n">
        <v>1314.85</v>
      </c>
      <c r="R64" s="30" t="inlineStr">
        <is>
          <t>Earnings / Momentum Support</t>
        </is>
      </c>
      <c r="S64" s="30" t="inlineStr">
        <is>
          <t>Nifty Bank</t>
        </is>
      </c>
      <c r="T64" s="31" t="n">
        <v>3.04</v>
      </c>
      <c r="U64" s="31" t="n">
        <v>-3.17</v>
      </c>
      <c r="V64" s="31" t="n">
        <v>-6.03</v>
      </c>
      <c r="W64" s="31" t="n">
        <v>2.29</v>
      </c>
      <c r="X64" s="30" t="inlineStr">
        <is>
          <t>Cyclical in an Upturn</t>
        </is>
      </c>
      <c r="Y64" s="30">
        <f>IF(X64="Growing Industry",10,IF(X64="Cyclical in an Upturn",5,0))</f>
        <v/>
      </c>
      <c r="Z64" s="30" t="inlineStr">
        <is>
          <t>Fragmented with High ROE</t>
        </is>
      </c>
      <c r="AA64" s="30">
        <f>IF(Z64="Fragmented with Low ROE",-5,IF(Z64="Fragmented with High ROE",10,IF(Z64= "highly cyclical",5,0)))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Cyclical in an Uptick</t>
        </is>
      </c>
      <c r="AG64" s="30">
        <f>IF(AF64="Structural (10 Years Consistency)",15,IF(AF64="Shallow Cyclical (2 to 3 years growth)",10,IF(AF64 = "Cyclical in an Uptick",5,IF(AF64 = "Cyclical in an Downtick",-10,0))))</f>
        <v/>
      </c>
      <c r="AH64" s="30" t="inlineStr">
        <is>
          <t>Yes</t>
        </is>
      </c>
      <c r="AI64" s="30">
        <f>IF(AH64="Yes",10,0)</f>
        <v/>
      </c>
      <c r="AJ64" s="30" t="inlineStr">
        <is>
          <t>Not Applicable</t>
        </is>
      </c>
      <c r="AK64" s="30">
        <f>IF(AJ64="Yes",10,0)</f>
        <v/>
      </c>
      <c r="AL64" s="30" t="inlineStr">
        <is>
          <t>Yes</t>
        </is>
      </c>
      <c r="AM64" s="30">
        <f>IF(AL64="No",10,0)</f>
        <v/>
      </c>
      <c r="AN64" s="30" t="inlineStr">
        <is>
          <t>Yes</t>
        </is>
      </c>
      <c r="AO64" s="30">
        <f>IF(AN64="Yes",10,0)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Yes</t>
        </is>
      </c>
      <c r="AS64" s="30">
        <f>IF(AR64="Yes",5,0)</f>
        <v/>
      </c>
      <c r="AT64" s="30" t="inlineStr">
        <is>
          <t>Not Applicable</t>
        </is>
      </c>
      <c r="AU64" s="30">
        <f>IF(AT64="No",10,IF(AT64="Yes",-10,0))</f>
        <v/>
      </c>
      <c r="AV64" s="30" t="inlineStr">
        <is>
          <t>No</t>
        </is>
      </c>
      <c r="AW64" s="30">
        <f>IF(AV64="No",10,0)</f>
        <v/>
      </c>
      <c r="AX64" s="30" t="inlineStr">
        <is>
          <t>No</t>
        </is>
      </c>
      <c r="AY64" s="30">
        <f>IF(AX64="No",10,IF(AX64= "Yes CEO Resignation",-5,0))</f>
        <v/>
      </c>
      <c r="AZ64" s="30" t="inlineStr">
        <is>
          <t>No</t>
        </is>
      </c>
      <c r="BA64" s="30">
        <f>IF(AZ64="No",10,IF(AZ64="Yes",-5,0))</f>
        <v/>
      </c>
      <c r="BB64" s="30" t="inlineStr">
        <is>
          <t>No</t>
        </is>
      </c>
      <c r="BC64" s="30">
        <f>IF(BB64="No",5,IF(BB64="Yes",-5,0))</f>
        <v/>
      </c>
      <c r="BD64" s="30" t="inlineStr">
        <is>
          <t>Yes</t>
        </is>
      </c>
      <c r="BE64" s="30">
        <f>IF(BD64="Yes",10,0)</f>
        <v/>
      </c>
      <c r="BF64" s="30" t="inlineStr">
        <is>
          <t>Yes</t>
        </is>
      </c>
      <c r="BG64" s="30">
        <f>IF(BF64="Yes",10,0)</f>
        <v/>
      </c>
      <c r="BH64" s="30" t="inlineStr">
        <is>
          <t>Yes</t>
        </is>
      </c>
      <c r="BI64" s="30">
        <f>IF(BH64="Yes",10,0)</f>
        <v/>
      </c>
      <c r="BJ64" s="30" t="inlineStr">
        <is>
          <t>P/BV between 2.5x to 5x and Growth more than 20%</t>
        </is>
      </c>
      <c r="BK64" s="30">
        <f>IF(BJ64="P/BV less than 2.5x and Growth more than 20%",20,IF(BJ64 = "P/BV less than 2.5x and Growth less than 20%",5,IF(BJ64="P/BV between 2.5x to 5x and Growth more than 20%",10,IF(BJ64= "P/BV between 2.5x to 5x and Growth less than 20%",-5,IF(BJ64= "P/BV above 5x",-5,0)))))</f>
        <v/>
      </c>
      <c r="BL64" s="30" t="inlineStr">
        <is>
          <t>20 to 40</t>
        </is>
      </c>
      <c r="BM64" s="30">
        <f>IF(BL64="Above 40",20,IF(BL64="20 to 40",10,IF(BL64="0 to 20",-5,0)))</f>
        <v/>
      </c>
      <c r="BN64" s="30" t="inlineStr">
        <is>
          <t>Between 50 to 75</t>
        </is>
      </c>
      <c r="BO64" s="30">
        <f>IF(BN64="Between 50 to 75",10,IF(BN64="Above 75",0,0))</f>
        <v/>
      </c>
      <c r="BP64" s="30" t="inlineStr">
        <is>
          <t>Stage 2</t>
        </is>
      </c>
      <c r="BQ64" s="30">
        <f>IF(BP64="Stage 2",20,IF(BP64="Stage 1",0,IF(BP64="Stage 3",5,IF(BP64="Stage 4",-5,0))))</f>
        <v/>
      </c>
      <c r="BR64" s="30" t="inlineStr">
        <is>
          <t>Positive Trend</t>
        </is>
      </c>
      <c r="BS64" s="30">
        <f>IF(BR64="Positive Trend",20,IF(BR64="Negative Trend",-10,0))</f>
        <v/>
      </c>
      <c r="BT64" s="30" t="inlineStr">
        <is>
          <t>Sideways</t>
        </is>
      </c>
      <c r="BU64" s="30">
        <f>IF(BT64="Uptrend",10,IF(BT64="Sideways",5,0))</f>
        <v/>
      </c>
      <c r="BV64" s="30" t="inlineStr">
        <is>
          <t>Uptrend</t>
        </is>
      </c>
      <c r="BW64" s="30">
        <f>IF(BV64="Uptrend",10,IF(BV64="Sideways",5,0))</f>
        <v/>
      </c>
      <c r="BX64" s="30" t="inlineStr">
        <is>
          <t>Close to 52 week high or retracement</t>
        </is>
      </c>
      <c r="BY64" s="30">
        <f>IF(BX64="Overhead supply in last 2 years in last 2 years",-5,IF(BX64="Close to 52 week high or retracement",5,IF(BX64="Blue sky scenario",10,IF(BX64="Long term Downtrend",-10,0))))</f>
        <v/>
      </c>
      <c r="BZ64" s="30" t="inlineStr">
        <is>
          <t>Yes</t>
        </is>
      </c>
      <c r="CA64" s="30">
        <f>IF(BZ64="Yes",10,0)</f>
        <v/>
      </c>
    </row>
    <row r="65">
      <c r="A65" s="30">
        <f>IF(B65=0,"",RANK(B65,$B$2:$B$81,0))</f>
        <v/>
      </c>
      <c r="B65" s="31">
        <f>SUM(N65,Y65,AA65,AC65,AE65,AG65,AI65,AK65,AM65,AO65,AQ65,AS65,AU65,AW65,AY65,BA65,BC65,BE65,BG65,BI65,BK65,BM65,BO65,BQ65,BS65,BU65,BW65,BY65,CA65)</f>
        <v/>
      </c>
      <c r="C65" s="30" t="inlineStr">
        <is>
          <t>IIFLCAPS</t>
        </is>
      </c>
      <c r="D65" s="30" t="inlineStr">
        <is>
          <t>IIFL Capital Services Ltd</t>
        </is>
      </c>
      <c r="E65" s="30" t="inlineStr">
        <is>
          <t>financials</t>
        </is>
      </c>
      <c r="F65" s="30" t="inlineStr">
        <is>
          <t>finance &amp; investments</t>
        </is>
      </c>
      <c r="G65" s="30" t="inlineStr">
        <is>
          <t>midcap</t>
        </is>
      </c>
      <c r="H65" s="31" t="n">
        <v>10781.87</v>
      </c>
      <c r="I65" s="31" t="n">
        <v>348.35</v>
      </c>
      <c r="J65" s="31" t="n">
        <v>0.62</v>
      </c>
      <c r="K65" s="31" t="n">
        <v>1199136</v>
      </c>
      <c r="L65" s="30" t="n">
        <v>32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58.07</v>
      </c>
      <c r="P65" s="31" t="n">
        <v>19.17</v>
      </c>
      <c r="Q65" s="31" t="n">
        <v>277.41</v>
      </c>
      <c r="R65" s="30" t="inlineStr">
        <is>
          <t>Earnings / Momentum Support</t>
        </is>
      </c>
      <c r="S65" s="30" t="inlineStr">
        <is>
          <t>Nifty Bank</t>
        </is>
      </c>
      <c r="T65" s="31" t="n">
        <v>3.04</v>
      </c>
      <c r="U65" s="31" t="n">
        <v>7.78</v>
      </c>
      <c r="V65" s="31" t="n">
        <v>4.6</v>
      </c>
      <c r="W65" s="31" t="n">
        <v>8.41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Fragmented with High ROE</t>
        </is>
      </c>
      <c r="AA65" s="30">
        <f>IF(Z65="Fragmented with Low ROE",-5,IF(Z65="Fragmented with High ROE",10,IF(Z65= "highly cyclical",5,0)))</f>
        <v/>
      </c>
      <c r="AB65" s="30" t="inlineStr">
        <is>
          <t>Yes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Consistency)",15,IF(AF65="Shallow Cyclical (2 to 3 years growth)",10,IF(AF65 = "Cyclical in an Uptick",5,IF(AF65 = "Cyclical in an Downtick",-10,0))))</f>
        <v/>
      </c>
      <c r="AH65" s="30" t="inlineStr">
        <is>
          <t>Yes</t>
        </is>
      </c>
      <c r="AI65" s="30">
        <f>IF(AH65="Yes",10,0)</f>
        <v/>
      </c>
      <c r="AJ65" s="30" t="inlineStr">
        <is>
          <t>Yes</t>
        </is>
      </c>
      <c r="AK65" s="30">
        <f>IF(AJ65="Yes",10,0)</f>
        <v/>
      </c>
      <c r="AL65" s="30" t="n"/>
      <c r="AM65" s="30">
        <f>IF(AL65="No",10,0)</f>
        <v/>
      </c>
      <c r="AN65" s="30" t="inlineStr">
        <is>
          <t>Yes</t>
        </is>
      </c>
      <c r="AO65" s="30">
        <f>IF(AN65="Yes",10,0)</f>
        <v/>
      </c>
      <c r="AP65" s="30" t="inlineStr">
        <is>
          <t>No</t>
        </is>
      </c>
      <c r="AQ65" s="30">
        <f>IF(AP65="Yes",10,0)</f>
        <v/>
      </c>
      <c r="AR65" s="30" t="inlineStr">
        <is>
          <t>Yes</t>
        </is>
      </c>
      <c r="AS65" s="30">
        <f>IF(AR65="Yes",5,0)</f>
        <v/>
      </c>
      <c r="AT65" s="30" t="inlineStr">
        <is>
          <t>No</t>
        </is>
      </c>
      <c r="AU65" s="30">
        <f>IF(AT65="No",10,IF(AT65="Yes",-10,0))</f>
        <v/>
      </c>
      <c r="AV65" s="30" t="inlineStr">
        <is>
          <t>No</t>
        </is>
      </c>
      <c r="AW65" s="30">
        <f>IF(AV65="No",10,0)</f>
        <v/>
      </c>
      <c r="AX65" s="30" t="inlineStr">
        <is>
          <t>No</t>
        </is>
      </c>
      <c r="AY65" s="30">
        <f>IF(AX65="No",10,IF(AX65= "Yes CEO Resignation",-5,0))</f>
        <v/>
      </c>
      <c r="AZ65" s="30" t="inlineStr">
        <is>
          <t>No</t>
        </is>
      </c>
      <c r="BA65" s="30">
        <f>IF(AZ65="No",10,IF(AZ65="Yes",-5,0))</f>
        <v/>
      </c>
      <c r="BB65" s="30" t="inlineStr">
        <is>
          <t>No</t>
        </is>
      </c>
      <c r="BC65" s="30">
        <f>IF(BB65="No",5,IF(BB65="Yes",-5,0))</f>
        <v/>
      </c>
      <c r="BD65" s="30" t="inlineStr">
        <is>
          <t>Yes</t>
        </is>
      </c>
      <c r="BE65" s="30">
        <f>IF(BD65="Yes",10,0)</f>
        <v/>
      </c>
      <c r="BF65" s="30" t="inlineStr">
        <is>
          <t>Yes</t>
        </is>
      </c>
      <c r="BG65" s="30">
        <f>IF(BF65="Yes",10,0)</f>
        <v/>
      </c>
      <c r="BH65" s="30" t="inlineStr">
        <is>
          <t>Yes</t>
        </is>
      </c>
      <c r="BI65" s="30">
        <f>IF(BH65="Yes",10,0)</f>
        <v/>
      </c>
      <c r="BJ65" s="30" t="inlineStr">
        <is>
          <t>P/BV between 2.5x to 5x and Growth less than 20%</t>
        </is>
      </c>
      <c r="BK65" s="30">
        <f>IF(BJ65="P/BV less than 2.5x and Growth more than 20%",20,IF(BJ65 = "P/BV less than 2.5x and Growth less than 20%",5,IF(BJ65="P/BV between 2.5x to 5x and Growth more than 20%",10,IF(BJ65= "P/BV between 2.5x to 5x and Growth less than 20%",-5,IF(BJ65= "P/BV above 5x",-5,0)))))</f>
        <v/>
      </c>
      <c r="BL65" s="30" t="inlineStr">
        <is>
          <t>0 to 20</t>
        </is>
      </c>
      <c r="BM65" s="30">
        <f>IF(BL65="Above 40",20,IF(BL65="20 to 40",10,IF(BL65="0 to 20",-5,0)))</f>
        <v/>
      </c>
      <c r="BN65" s="30" t="inlineStr">
        <is>
          <t>Between 50 to 75</t>
        </is>
      </c>
      <c r="BO65" s="30">
        <f>IF(BN65="Between 50 to 75",10,IF(BN65="Above 75",0,0))</f>
        <v/>
      </c>
      <c r="BP65" s="30" t="inlineStr">
        <is>
          <t>Stage 2</t>
        </is>
      </c>
      <c r="BQ65" s="30">
        <f>IF(BP65="Stage 2",20,IF(BP65="Stage 1",0,IF(BP65="Stage 3",5,IF(BP65="Stage 4",-5,0))))</f>
        <v/>
      </c>
      <c r="BR65" s="30" t="inlineStr">
        <is>
          <t>Positive Trend</t>
        </is>
      </c>
      <c r="BS65" s="30">
        <f>IF(BR65="Positive Trend",20,IF(BR65="Negative Trend",-10,0))</f>
        <v/>
      </c>
      <c r="BT65" s="30" t="inlineStr">
        <is>
          <t>Uptrend</t>
        </is>
      </c>
      <c r="BU65" s="30">
        <f>IF(BT65="Uptrend",10,IF(BT65="Sideways",5,0))</f>
        <v/>
      </c>
      <c r="BV65" s="30" t="inlineStr">
        <is>
          <t>Uptrend</t>
        </is>
      </c>
      <c r="BW65" s="30">
        <f>IF(BV65="Uptrend",10,IF(BV65="Sideways",5,0))</f>
        <v/>
      </c>
      <c r="BX65" s="30" t="inlineStr">
        <is>
          <t>Close to 52 week high or retracement</t>
        </is>
      </c>
      <c r="BY65" s="30">
        <f>IF(BX65="Overhead supply in last 2 years in last 2 years",-5,IF(BX65="Close to 52 week high or retracement",5,IF(BX65="Blue sky scenario",10,IF(BX65="Long term Downtrend",-10,0))))</f>
        <v/>
      </c>
      <c r="BZ65" s="30" t="inlineStr">
        <is>
          <t>Yes</t>
        </is>
      </c>
      <c r="CA65" s="30">
        <f>IF(BZ65="Yes",10,0)</f>
        <v/>
      </c>
    </row>
    <row r="66">
      <c r="A66" s="30">
        <f>IF(B66=0,"",RANK(B66,$B$2:$B$81,0))</f>
        <v/>
      </c>
      <c r="B66" s="31">
        <f>SUM(N66,Y66,AA66,AC66,AE66,AG66,AI66,AK66,AM66,AO66,AQ66,AS66,AU66,AW66,AY66,BA66,BC66,BE66,BG66,BI66,BK66,BM66,BO66,BQ66,BS66,BU66,BW66,BY66,CA66)</f>
        <v/>
      </c>
      <c r="C66" s="30" t="inlineStr">
        <is>
          <t>HDFCAMC</t>
        </is>
      </c>
      <c r="D66" s="30" t="inlineStr">
        <is>
          <t>HDFC Asset Management Company Ltd</t>
        </is>
      </c>
      <c r="E66" s="30" t="inlineStr">
        <is>
          <t>financials</t>
        </is>
      </c>
      <c r="F66" s="30" t="inlineStr">
        <is>
          <t>finance &amp; investments</t>
        </is>
      </c>
      <c r="G66" s="30" t="inlineStr">
        <is>
          <t>largecap</t>
        </is>
      </c>
      <c r="H66" s="31" t="n">
        <v>116143.57</v>
      </c>
      <c r="I66" s="31" t="n">
        <v>2728.2</v>
      </c>
      <c r="J66" s="31" t="n">
        <v>0.63</v>
      </c>
      <c r="K66" s="31" t="n">
        <v>609955</v>
      </c>
      <c r="L66" s="30" t="n">
        <v>22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55.82</v>
      </c>
      <c r="P66" s="31" t="n">
        <v>14.27</v>
      </c>
      <c r="Q66" s="31" t="n">
        <v>2251.29</v>
      </c>
      <c r="R66" s="30" t="inlineStr">
        <is>
          <t>Near 52W High Breakout</t>
        </is>
      </c>
      <c r="S66" s="30" t="inlineStr">
        <is>
          <t>Nifty Bank</t>
        </is>
      </c>
      <c r="T66" s="31" t="n">
        <v>3.04</v>
      </c>
      <c r="U66" s="31" t="n">
        <v>12.45</v>
      </c>
      <c r="V66" s="31" t="n">
        <v>9.130000000000001</v>
      </c>
      <c r="W66" s="31" t="n">
        <v>6.47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Fragmented with High ROE</t>
        </is>
      </c>
      <c r="AA66" s="30">
        <f>IF(Z66="Fragmented with Low ROE",-5,IF(Z66="Fragmented with High ROE",10,IF(Z66= "highly cyclical",5,0)))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Consistency)",15,IF(AF66="Shallow Cyclical (2 to 3 years growth)",10,IF(AF66 = "Cyclical in an Uptick",5,IF(AF66 = "Cyclical in an Downtick",-10,0))))</f>
        <v/>
      </c>
      <c r="AH66" s="30" t="inlineStr">
        <is>
          <t>Yes</t>
        </is>
      </c>
      <c r="AI66" s="30">
        <f>IF(AH66="Yes",10,0)</f>
        <v/>
      </c>
      <c r="AJ66" s="30" t="inlineStr">
        <is>
          <t>Yes</t>
        </is>
      </c>
      <c r="AK66" s="30">
        <f>IF(AJ66="Yes",10,0)</f>
        <v/>
      </c>
      <c r="AL66" s="30" t="n"/>
      <c r="AM66" s="30">
        <f>IF(AL66="No",10,0)</f>
        <v/>
      </c>
      <c r="AN66" s="30" t="inlineStr">
        <is>
          <t>Yes</t>
        </is>
      </c>
      <c r="AO66" s="30">
        <f>IF(AN66="Yes",10,0)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Yes</t>
        </is>
      </c>
      <c r="AS66" s="30">
        <f>IF(AR66="Yes",5,0)</f>
        <v/>
      </c>
      <c r="AT66" s="30" t="inlineStr">
        <is>
          <t>No</t>
        </is>
      </c>
      <c r="AU66" s="30">
        <f>IF(AT66="No",10,IF(AT66="Yes",-10,0))</f>
        <v/>
      </c>
      <c r="AV66" s="30" t="inlineStr">
        <is>
          <t>No</t>
        </is>
      </c>
      <c r="AW66" s="30">
        <f>IF(AV66="No",10,0)</f>
        <v/>
      </c>
      <c r="AX66" s="30" t="inlineStr">
        <is>
          <t>No</t>
        </is>
      </c>
      <c r="AY66" s="30">
        <f>IF(AX66="No",10,IF(AX66= "Yes CEO Resignation",-5,0))</f>
        <v/>
      </c>
      <c r="AZ66" s="30" t="inlineStr">
        <is>
          <t>No</t>
        </is>
      </c>
      <c r="BA66" s="30">
        <f>IF(AZ66="No",10,IF(AZ66="Yes",-5,0))</f>
        <v/>
      </c>
      <c r="BB66" s="30" t="inlineStr">
        <is>
          <t>No</t>
        </is>
      </c>
      <c r="BC66" s="30">
        <f>IF(BB66="No",5,IF(BB66="Yes",-5,0))</f>
        <v/>
      </c>
      <c r="BD66" s="30" t="inlineStr">
        <is>
          <t>Yes</t>
        </is>
      </c>
      <c r="BE66" s="30">
        <f>IF(BD66="Yes",10,0)</f>
        <v/>
      </c>
      <c r="BF66" s="30" t="inlineStr">
        <is>
          <t>Yes</t>
        </is>
      </c>
      <c r="BG66" s="30">
        <f>IF(BF66="Yes",10,0)</f>
        <v/>
      </c>
      <c r="BH66" s="30" t="inlineStr">
        <is>
          <t>Yes</t>
        </is>
      </c>
      <c r="BI66" s="30">
        <f>IF(BH66="Yes",10,0)</f>
        <v/>
      </c>
      <c r="BJ66" s="30" t="inlineStr">
        <is>
          <t>P/BV above 5x</t>
        </is>
      </c>
      <c r="BK66" s="30">
        <f>IF(BJ66="P/BV less than 2.5x and Growth more than 20%",20,IF(BJ66 = "P/BV less than 2.5x and Growth less than 20%",5,IF(BJ66="P/BV between 2.5x to 5x and Growth more than 20%",10,IF(BJ66= "P/BV between 2.5x to 5x and Growth less than 20%",-5,IF(BJ66= "P/BV above 5x",-5,0)))))</f>
        <v/>
      </c>
      <c r="BL66" s="30" t="inlineStr">
        <is>
          <t>0 to 20</t>
        </is>
      </c>
      <c r="BM66" s="30">
        <f>IF(BL66="Above 40",20,IF(BL66="20 to 40",10,IF(BL66="0 to 20",-5,0)))</f>
        <v/>
      </c>
      <c r="BN66" s="30" t="inlineStr">
        <is>
          <t>Between 50 to 75</t>
        </is>
      </c>
      <c r="BO66" s="30">
        <f>IF(BN66="Between 50 to 75",10,IF(BN66="Above 75",0,0))</f>
        <v/>
      </c>
      <c r="BP66" s="30" t="inlineStr">
        <is>
          <t>Stage 1</t>
        </is>
      </c>
      <c r="BQ66" s="30">
        <f>IF(BP66="Stage 2",20,IF(BP66="Stage 1",0,IF(BP66="Stage 3",5,IF(BP66="Stage 4",-5,0))))</f>
        <v/>
      </c>
      <c r="BR66" s="30" t="inlineStr">
        <is>
          <t>Positive Trend</t>
        </is>
      </c>
      <c r="BS66" s="30">
        <f>IF(BR66="Positive Trend",20,IF(BR66="Negative Trend",-10,0))</f>
        <v/>
      </c>
      <c r="BT66" s="30" t="inlineStr">
        <is>
          <t>Uptrend</t>
        </is>
      </c>
      <c r="BU66" s="30">
        <f>IF(BT66="Uptrend",10,IF(BT66="Sideways",5,0))</f>
        <v/>
      </c>
      <c r="BV66" s="30" t="inlineStr">
        <is>
          <t>Uptrend</t>
        </is>
      </c>
      <c r="BW66" s="30">
        <f>IF(BV66="Uptrend",10,IF(BV66="Sideways",5,0))</f>
        <v/>
      </c>
      <c r="BX66" s="30" t="inlineStr">
        <is>
          <t>Blue sky scenario</t>
        </is>
      </c>
      <c r="BY66" s="30">
        <f>IF(BX66="Overhead supply in last 2 years in last 2 years",-5,IF(BX66="Close to 52 week high or retracement",5,IF(BX66="Blue sky scenario",10,IF(BX66="Long term Downtrend",-10,0))))</f>
        <v/>
      </c>
      <c r="BZ66" s="30" t="inlineStr">
        <is>
          <t>Yes</t>
        </is>
      </c>
      <c r="CA66" s="30">
        <f>IF(BZ66="Yes",10,0)</f>
        <v/>
      </c>
    </row>
    <row r="67">
      <c r="A67" s="30">
        <f>IF(B67=0,"",RANK(B67,$B$2:$B$81,0))</f>
        <v/>
      </c>
      <c r="B67" s="31">
        <f>SUM(N67,Y67,AA67,AC67,AE67,AG67,AI67,AK67,AM67,AO67,AQ67,AS67,AU67,AW67,AY67,BA67,BC67,BE67,BG67,BI67,BK67,BM67,BO67,BQ67,BS67,BU67,BW67,BY67,CA67)</f>
        <v/>
      </c>
      <c r="C67" s="30" t="inlineStr">
        <is>
          <t>CANFINHOME</t>
        </is>
      </c>
      <c r="D67" s="30" t="inlineStr">
        <is>
          <t>Can Fin Homes Limited</t>
        </is>
      </c>
      <c r="E67" s="30" t="inlineStr">
        <is>
          <t>financials</t>
        </is>
      </c>
      <c r="F67" s="30" t="inlineStr">
        <is>
          <t>finance - housing</t>
        </is>
      </c>
      <c r="G67" s="30" t="inlineStr">
        <is>
          <t>midcap</t>
        </is>
      </c>
      <c r="H67" s="31" t="n">
        <v>11714.23</v>
      </c>
      <c r="I67" s="31" t="n">
        <v>883.7</v>
      </c>
      <c r="J67" s="31" t="n">
        <v>0.45</v>
      </c>
      <c r="K67" s="31" t="n">
        <v>129111</v>
      </c>
      <c r="L67" s="30" t="n">
        <v>16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55.21</v>
      </c>
      <c r="P67" s="31" t="n">
        <v>16.19</v>
      </c>
      <c r="Q67" s="31" t="n">
        <v>735.12</v>
      </c>
      <c r="R67" s="30" t="inlineStr">
        <is>
          <t>Earnings / Momentum Support</t>
        </is>
      </c>
      <c r="S67" s="30" t="inlineStr">
        <is>
          <t>Nifty Bank</t>
        </is>
      </c>
      <c r="T67" s="31" t="n">
        <v>3.04</v>
      </c>
      <c r="U67" s="31" t="n">
        <v>17.36</v>
      </c>
      <c r="V67" s="31" t="n">
        <v>13.9</v>
      </c>
      <c r="W67" s="31" t="n">
        <v>5.35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Fragmented with High ROE</t>
        </is>
      </c>
      <c r="AA67" s="30">
        <f>IF(Z67="Fragmented with Low ROE",-5,IF(Z67="Fragmented with High ROE",10,IF(Z67= "highly cyclical",5,0)))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Headwind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Consistency)",15,IF(AF67="Shallow Cyclical (2 to 3 years growth)",10,IF(AF67 = "Cyclical in an Uptick",5,IF(AF67 = "Cyclical in an Downtick",-10,0))))</f>
        <v/>
      </c>
      <c r="AH67" s="30" t="inlineStr">
        <is>
          <t>Yes</t>
        </is>
      </c>
      <c r="AI67" s="30">
        <f>IF(AH67="Yes",10,0)</f>
        <v/>
      </c>
      <c r="AJ67" s="30" t="inlineStr">
        <is>
          <t>Yes</t>
        </is>
      </c>
      <c r="AK67" s="30">
        <f>IF(AJ67="Yes",10,0)</f>
        <v/>
      </c>
      <c r="AL67" s="30" t="n"/>
      <c r="AM67" s="30">
        <f>IF(AL67="No",10,0)</f>
        <v/>
      </c>
      <c r="AN67" s="30" t="inlineStr">
        <is>
          <t>Yes</t>
        </is>
      </c>
      <c r="AO67" s="30">
        <f>IF(AN67="Yes",10,0)</f>
        <v/>
      </c>
      <c r="AP67" s="30" t="inlineStr">
        <is>
          <t>No</t>
        </is>
      </c>
      <c r="AQ67" s="30">
        <f>IF(AP67="Yes",10,0)</f>
        <v/>
      </c>
      <c r="AR67" s="30" t="inlineStr">
        <is>
          <t>Yes</t>
        </is>
      </c>
      <c r="AS67" s="30">
        <f>IF(AR67="Yes",5,0)</f>
        <v/>
      </c>
      <c r="AT67" s="30" t="inlineStr">
        <is>
          <t>No</t>
        </is>
      </c>
      <c r="AU67" s="30">
        <f>IF(AT67="No",10,IF(AT67="Yes",-10,0))</f>
        <v/>
      </c>
      <c r="AV67" s="30" t="inlineStr">
        <is>
          <t>No</t>
        </is>
      </c>
      <c r="AW67" s="30">
        <f>IF(AV67="No",10,0)</f>
        <v/>
      </c>
      <c r="AX67" s="30" t="inlineStr">
        <is>
          <t>No</t>
        </is>
      </c>
      <c r="AY67" s="30">
        <f>IF(AX67="No",10,IF(AX67= "Yes CEO Resignation",-5,0))</f>
        <v/>
      </c>
      <c r="AZ67" s="30" t="inlineStr">
        <is>
          <t>No</t>
        </is>
      </c>
      <c r="BA67" s="30">
        <f>IF(AZ67="No",10,IF(AZ67="Yes",-5,0))</f>
        <v/>
      </c>
      <c r="BB67" s="30" t="inlineStr">
        <is>
          <t>No</t>
        </is>
      </c>
      <c r="BC67" s="30">
        <f>IF(BB67="No",5,IF(BB67="Yes",-5,0))</f>
        <v/>
      </c>
      <c r="BD67" s="30" t="inlineStr">
        <is>
          <t>Yes</t>
        </is>
      </c>
      <c r="BE67" s="30">
        <f>IF(BD67="Yes",10,0)</f>
        <v/>
      </c>
      <c r="BF67" s="30" t="inlineStr">
        <is>
          <t>Yes</t>
        </is>
      </c>
      <c r="BG67" s="30">
        <f>IF(BF67="Yes",10,0)</f>
        <v/>
      </c>
      <c r="BH67" s="30" t="inlineStr">
        <is>
          <t>Yes</t>
        </is>
      </c>
      <c r="BI67" s="30">
        <f>IF(BH67="Yes",10,0)</f>
        <v/>
      </c>
      <c r="BJ67" s="30" t="inlineStr">
        <is>
          <t>P/BV less than 2.5x and Growth more than 20%</t>
        </is>
      </c>
      <c r="BK67" s="30">
        <f>IF(BJ67="P/BV less than 2.5x and Growth more than 20%",20,IF(BJ67 = "P/BV less than 2.5x and Growth less than 20%",5,IF(BJ67="P/BV between 2.5x to 5x and Growth more than 20%",10,IF(BJ67= "P/BV between 2.5x to 5x and Growth less than 20%",-5,IF(BJ67= "P/BV above 5x",-5,0)))))</f>
        <v/>
      </c>
      <c r="BL67" s="30" t="inlineStr">
        <is>
          <t>0 to 20</t>
        </is>
      </c>
      <c r="BM67" s="30">
        <f>IF(BL67="Above 40",20,IF(BL67="20 to 40",10,IF(BL67="0 to 20",-5,0)))</f>
        <v/>
      </c>
      <c r="BN67" s="30" t="inlineStr">
        <is>
          <t>Between 50 to 75</t>
        </is>
      </c>
      <c r="BO67" s="30">
        <f>IF(BN67="Between 50 to 75",10,IF(BN67="Above 75",0,0))</f>
        <v/>
      </c>
      <c r="BP67" s="30" t="inlineStr">
        <is>
          <t>Stage 1</t>
        </is>
      </c>
      <c r="BQ67" s="30">
        <f>IF(BP67="Stage 2",20,IF(BP67="Stage 1",0,IF(BP67="Stage 3",5,IF(BP67="Stage 4",-5,0))))</f>
        <v/>
      </c>
      <c r="BR67" s="30" t="inlineStr">
        <is>
          <t>Positive Trend</t>
        </is>
      </c>
      <c r="BS67" s="30">
        <f>IF(BR67="Positive Trend",20,IF(BR67="Negative Trend",-10,0))</f>
        <v/>
      </c>
      <c r="BT67" s="30" t="inlineStr">
        <is>
          <t>Uptrend</t>
        </is>
      </c>
      <c r="BU67" s="30">
        <f>IF(BT67="Uptrend",10,IF(BT67="Sideways",5,0))</f>
        <v/>
      </c>
      <c r="BV67" s="30" t="inlineStr">
        <is>
          <t>Uptrend</t>
        </is>
      </c>
      <c r="BW67" s="30">
        <f>IF(BV67="Uptrend",10,IF(BV67="Sideways",5,0))</f>
        <v/>
      </c>
      <c r="BX67" s="30" t="inlineStr">
        <is>
          <t>Close to 52 week high or retracement</t>
        </is>
      </c>
      <c r="BY67" s="30">
        <f>IF(BX67="Overhead supply in last 2 years in last 2 years",-5,IF(BX67="Close to 52 week high or retracement",5,IF(BX67="Blue sky scenario",10,IF(BX67="Long term Downtrend",-10,0))))</f>
        <v/>
      </c>
      <c r="BZ67" s="30" t="inlineStr">
        <is>
          <t>Yes</t>
        </is>
      </c>
      <c r="CA67" s="30">
        <f>IF(BZ67="Yes",10,0)</f>
        <v/>
      </c>
    </row>
    <row r="68">
      <c r="A68" s="30">
        <f>IF(B68=0,"",RANK(B68,$B$2:$B$81,0))</f>
        <v/>
      </c>
      <c r="B68" s="31">
        <f>SUM(N68,Y68,AA68,AC68,AE68,AG68,AI68,AK68,AM68,AO68,AQ68,AS68,AU68,AW68,AY68,BA68,BC68,BE68,BG68,BI68,BK68,BM68,BO68,BQ68,BS68,BU68,BW68,BY68,CA68)</f>
        <v/>
      </c>
      <c r="C68" s="30" t="inlineStr">
        <is>
          <t>AADHARHFC</t>
        </is>
      </c>
      <c r="D68" s="30" t="inlineStr">
        <is>
          <t>Aadhar Housing Finance Ltd</t>
        </is>
      </c>
      <c r="E68" s="30" t="inlineStr">
        <is>
          <t>financials</t>
        </is>
      </c>
      <c r="F68" s="30" t="inlineStr">
        <is>
          <t>finance - housing</t>
        </is>
      </c>
      <c r="G68" s="30" t="inlineStr">
        <is>
          <t>largecap</t>
        </is>
      </c>
      <c r="H68" s="31" t="n">
        <v>21257.98</v>
      </c>
      <c r="I68" s="31" t="n">
        <v>486.45</v>
      </c>
      <c r="J68" s="31" t="n">
        <v>-0.3</v>
      </c>
      <c r="K68" s="31" t="n">
        <v>273525</v>
      </c>
      <c r="L68" s="30" t="n">
        <v>12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53.14</v>
      </c>
      <c r="P68" s="31" t="n">
        <v>19.55</v>
      </c>
      <c r="Q68" s="31" t="n">
        <v>412.69</v>
      </c>
      <c r="R68" s="30" t="inlineStr">
        <is>
          <t>Earnings / Momentum Support</t>
        </is>
      </c>
      <c r="S68" s="30" t="inlineStr">
        <is>
          <t>Nifty Bank</t>
        </is>
      </c>
      <c r="T68" s="31" t="n">
        <v>3.04</v>
      </c>
      <c r="U68" s="31" t="n">
        <v>11.19</v>
      </c>
      <c r="V68" s="31" t="n">
        <v>7.91</v>
      </c>
      <c r="W68" s="31" t="n">
        <v>4.44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Fragmented with High ROE</t>
        </is>
      </c>
      <c r="AA68" s="30">
        <f>IF(Z68="Fragmented with Low ROE",-5,IF(Z68="Fragmented with High ROE",10,IF(Z68= "highly cyclical",5,0)))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Consistency)",15,IF(AF68="Shallow Cyclical (2 to 3 years growth)",10,IF(AF68 = "Cyclical in an Uptick",5,IF(AF68 = "Cyclical in an Downtick",-10,0))))</f>
        <v/>
      </c>
      <c r="AH68" s="30" t="inlineStr">
        <is>
          <t>Yes</t>
        </is>
      </c>
      <c r="AI68" s="30">
        <f>IF(AH68="Yes",10,0)</f>
        <v/>
      </c>
      <c r="AJ68" s="30" t="inlineStr">
        <is>
          <t>Yes</t>
        </is>
      </c>
      <c r="AK68" s="30">
        <f>IF(AJ68="Yes",10,0)</f>
        <v/>
      </c>
      <c r="AL68" s="30" t="n"/>
      <c r="AM68" s="30">
        <f>IF(AL68="No",10,0)</f>
        <v/>
      </c>
      <c r="AN68" s="30" t="inlineStr">
        <is>
          <t>Yes</t>
        </is>
      </c>
      <c r="AO68" s="30">
        <f>IF(AN68="Yes",10,0)</f>
        <v/>
      </c>
      <c r="AP68" s="30" t="inlineStr">
        <is>
          <t>No</t>
        </is>
      </c>
      <c r="AQ68" s="30">
        <f>IF(AP68="Yes",10,0)</f>
        <v/>
      </c>
      <c r="AR68" s="30" t="inlineStr">
        <is>
          <t>Yes</t>
        </is>
      </c>
      <c r="AS68" s="30">
        <f>IF(AR68="Yes",5,0)</f>
        <v/>
      </c>
      <c r="AT68" s="30" t="inlineStr">
        <is>
          <t>No</t>
        </is>
      </c>
      <c r="AU68" s="30">
        <f>IF(AT68="No",10,IF(AT68="Yes",-10,0))</f>
        <v/>
      </c>
      <c r="AV68" s="30" t="inlineStr">
        <is>
          <t>No</t>
        </is>
      </c>
      <c r="AW68" s="30">
        <f>IF(AV68="No",10,0)</f>
        <v/>
      </c>
      <c r="AX68" s="30" t="inlineStr">
        <is>
          <t>No</t>
        </is>
      </c>
      <c r="AY68" s="30">
        <f>IF(AX68="No",10,IF(AX68= "Yes CEO Resignation",-5,0))</f>
        <v/>
      </c>
      <c r="AZ68" s="30" t="inlineStr">
        <is>
          <t>No</t>
        </is>
      </c>
      <c r="BA68" s="30">
        <f>IF(AZ68="No",10,IF(AZ68="Yes",-5,0))</f>
        <v/>
      </c>
      <c r="BB68" s="30" t="inlineStr">
        <is>
          <t>No</t>
        </is>
      </c>
      <c r="BC68" s="30">
        <f>IF(BB68="No",5,IF(BB68="Yes",-5,0))</f>
        <v/>
      </c>
      <c r="BD68" s="30" t="inlineStr">
        <is>
          <t>Yes</t>
        </is>
      </c>
      <c r="BE68" s="30">
        <f>IF(BD68="Yes",10,0)</f>
        <v/>
      </c>
      <c r="BF68" s="30" t="inlineStr">
        <is>
          <t>Yes</t>
        </is>
      </c>
      <c r="BG68" s="30">
        <f>IF(BF68="Yes",10,0)</f>
        <v/>
      </c>
      <c r="BH68" s="30" t="inlineStr">
        <is>
          <t>Yes</t>
        </is>
      </c>
      <c r="BI68" s="30">
        <f>IF(BH68="Yes",10,0)</f>
        <v/>
      </c>
      <c r="BJ68" s="30" t="inlineStr">
        <is>
          <t>P/BV between 2.5x to 5x and Growth more than 20%</t>
        </is>
      </c>
      <c r="BK68" s="30">
        <f>IF(BJ68="P/BV less than 2.5x and Growth more than 20%",20,IF(BJ68 = "P/BV less than 2.5x and Growth less than 20%",5,IF(BJ68="P/BV between 2.5x to 5x and Growth more than 20%",10,IF(BJ68= "P/BV between 2.5x to 5x and Growth less than 20%",-5,IF(BJ68= "P/BV above 5x",-5,0)))))</f>
        <v/>
      </c>
      <c r="BL68" s="30" t="inlineStr">
        <is>
          <t>0 to 20</t>
        </is>
      </c>
      <c r="BM68" s="30">
        <f>IF(BL68="Above 40",20,IF(BL68="20 to 40",10,IF(BL68="0 to 20",-5,0)))</f>
        <v/>
      </c>
      <c r="BN68" s="30" t="inlineStr">
        <is>
          <t>Between 50 to 75</t>
        </is>
      </c>
      <c r="BO68" s="30">
        <f>IF(BN68="Between 50 to 75",10,IF(BN68="Above 75",0,0))</f>
        <v/>
      </c>
      <c r="BP68" s="30" t="inlineStr">
        <is>
          <t>Stage 1</t>
        </is>
      </c>
      <c r="BQ68" s="30">
        <f>IF(BP68="Stage 2",20,IF(BP68="Stage 1",0,IF(BP68="Stage 3",5,IF(BP68="Stage 4",-5,0))))</f>
        <v/>
      </c>
      <c r="BR68" s="30" t="inlineStr">
        <is>
          <t>Positive Trend</t>
        </is>
      </c>
      <c r="BS68" s="30">
        <f>IF(BR68="Positive Trend",20,IF(BR68="Negative Trend",-10,0))</f>
        <v/>
      </c>
      <c r="BT68" s="30" t="inlineStr">
        <is>
          <t>Uptrend</t>
        </is>
      </c>
      <c r="BU68" s="30">
        <f>IF(BT68="Uptrend",10,IF(BT68="Sideways",5,0))</f>
        <v/>
      </c>
      <c r="BV68" s="30" t="inlineStr">
        <is>
          <t>Uptrend</t>
        </is>
      </c>
      <c r="BW68" s="30">
        <f>IF(BV68="Uptrend",10,IF(BV68="Sideways",5,0))</f>
        <v/>
      </c>
      <c r="BX68" s="30" t="inlineStr">
        <is>
          <t>Close to 52 week high or retracement</t>
        </is>
      </c>
      <c r="BY68" s="30">
        <f>IF(BX68="Overhead supply in last 2 years in last 2 years",-5,IF(BX68="Close to 52 week high or retracement",5,IF(BX68="Blue sky scenario",10,IF(BX68="Long term Downtrend",-10,0))))</f>
        <v/>
      </c>
      <c r="BZ68" s="30" t="inlineStr">
        <is>
          <t>Yes</t>
        </is>
      </c>
      <c r="CA68" s="30">
        <f>IF(BZ68="Yes",10,0)</f>
        <v/>
      </c>
    </row>
    <row r="69">
      <c r="A69" s="30">
        <f>IF(B69=0,"",RANK(B69,$B$2:$B$81,0))</f>
        <v/>
      </c>
      <c r="B69" s="31">
        <f>SUM(N69,Y69,AA69,AC69,AE69,AG69,AI69,AK69,AM69,AO69,AQ69,AS69,AU69,AW69,AY69,BA69,BC69,BE69,BG69,BI69,BK69,BM69,BO69,BQ69,BS69,BU69,BW69,BY69,CA69)</f>
        <v/>
      </c>
      <c r="C69" s="30" t="inlineStr">
        <is>
          <t>SBIN</t>
        </is>
      </c>
      <c r="D69" s="30" t="inlineStr">
        <is>
          <t>State Bank Of India Ltd</t>
        </is>
      </c>
      <c r="E69" s="30" t="inlineStr">
        <is>
          <t>bank</t>
        </is>
      </c>
      <c r="F69" s="30" t="inlineStr">
        <is>
          <t>banks - public sector</t>
        </is>
      </c>
      <c r="G69" s="30" t="inlineStr">
        <is>
          <t>largecap</t>
        </is>
      </c>
      <c r="H69" s="31" t="n">
        <v>947522.9</v>
      </c>
      <c r="I69" s="31" t="n">
        <v>1042.7</v>
      </c>
      <c r="J69" s="31" t="n">
        <v>1.58</v>
      </c>
      <c r="K69" s="31" t="n">
        <v>11048009</v>
      </c>
      <c r="L69" s="30" t="n">
        <v>20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55.52</v>
      </c>
      <c r="P69" s="31" t="n">
        <v>9.27</v>
      </c>
      <c r="Q69" s="31" t="n">
        <v>928.16</v>
      </c>
      <c r="R69" s="30" t="inlineStr">
        <is>
          <t>Earnings / Momentum Support</t>
        </is>
      </c>
      <c r="S69" s="30" t="inlineStr">
        <is>
          <t>Nifty Bank</t>
        </is>
      </c>
      <c r="T69" s="31" t="n">
        <v>3.04</v>
      </c>
      <c r="U69" s="31" t="n">
        <v>33.33</v>
      </c>
      <c r="V69" s="31" t="n">
        <v>29.39</v>
      </c>
      <c r="W69" s="31" t="n">
        <v>6.12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Fragmented with High ROE</t>
        </is>
      </c>
      <c r="AA69" s="30">
        <f>IF(Z69="Fragmented with Low ROE",-5,IF(Z69="Fragmented with High ROE",10,IF(Z69= "highly cyclical",5,0)))</f>
        <v/>
      </c>
      <c r="AB69" s="30" t="inlineStr">
        <is>
          <t>Yes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Consistency)",15,IF(AF69="Shallow Cyclical (2 to 3 years growth)",10,IF(AF69 = "Cyclical in an Uptick",5,IF(AF69 = "Cyclical in an Downtick",-10,0))))</f>
        <v/>
      </c>
      <c r="AH69" s="30" t="inlineStr">
        <is>
          <t>Yes</t>
        </is>
      </c>
      <c r="AI69" s="30">
        <f>IF(AH69="Yes",10,0)</f>
        <v/>
      </c>
      <c r="AJ69" s="30" t="inlineStr">
        <is>
          <t>Yes</t>
        </is>
      </c>
      <c r="AK69" s="30">
        <f>IF(AJ69="Yes",10,0)</f>
        <v/>
      </c>
      <c r="AL69" s="30" t="n"/>
      <c r="AM69" s="30">
        <f>IF(AL69="No",10,0)</f>
        <v/>
      </c>
      <c r="AN69" s="30" t="inlineStr">
        <is>
          <t>Yes</t>
        </is>
      </c>
      <c r="AO69" s="30">
        <f>IF(AN69="Yes",10,0)</f>
        <v/>
      </c>
      <c r="AP69" s="30" t="inlineStr">
        <is>
          <t>No</t>
        </is>
      </c>
      <c r="AQ69" s="30">
        <f>IF(AP69="Yes",10,0)</f>
        <v/>
      </c>
      <c r="AR69" s="30" t="inlineStr">
        <is>
          <t>Yes</t>
        </is>
      </c>
      <c r="AS69" s="30">
        <f>IF(AR69="Yes",5,0)</f>
        <v/>
      </c>
      <c r="AT69" s="30" t="inlineStr">
        <is>
          <t>No</t>
        </is>
      </c>
      <c r="AU69" s="30">
        <f>IF(AT69="No",10,IF(AT69="Yes",-10,0))</f>
        <v/>
      </c>
      <c r="AV69" s="30" t="inlineStr">
        <is>
          <t>No</t>
        </is>
      </c>
      <c r="AW69" s="30">
        <f>IF(AV69="No",10,0)</f>
        <v/>
      </c>
      <c r="AX69" s="30" t="inlineStr">
        <is>
          <t>No</t>
        </is>
      </c>
      <c r="AY69" s="30">
        <f>IF(AX69="No",10,IF(AX69= "Yes CEO Resignation",-5,0))</f>
        <v/>
      </c>
      <c r="AZ69" s="30" t="inlineStr">
        <is>
          <t>No</t>
        </is>
      </c>
      <c r="BA69" s="30">
        <f>IF(AZ69="No",10,IF(AZ69="Yes",-5,0))</f>
        <v/>
      </c>
      <c r="BB69" s="30" t="inlineStr">
        <is>
          <t>No</t>
        </is>
      </c>
      <c r="BC69" s="30">
        <f>IF(BB69="No",5,IF(BB69="Yes",-5,0))</f>
        <v/>
      </c>
      <c r="BD69" s="30" t="inlineStr">
        <is>
          <t>Yes</t>
        </is>
      </c>
      <c r="BE69" s="30">
        <f>IF(BD69="Yes",10,0)</f>
        <v/>
      </c>
      <c r="BF69" s="30" t="inlineStr">
        <is>
          <t>Yes</t>
        </is>
      </c>
      <c r="BG69" s="30">
        <f>IF(BF69="Yes",10,0)</f>
        <v/>
      </c>
      <c r="BH69" s="30" t="inlineStr">
        <is>
          <t>Yes</t>
        </is>
      </c>
      <c r="BI69" s="30">
        <f>IF(BH69="Yes",10,0)</f>
        <v/>
      </c>
      <c r="BJ69" s="30" t="inlineStr">
        <is>
          <t>P/BV less than 2.5x and Growth less than 20%</t>
        </is>
      </c>
      <c r="BK69" s="30">
        <f>IF(BJ69="P/BV less than 2.5x and Growth more than 20%",20,IF(BJ69 = "P/BV less than 2.5x and Growth less than 20%",5,IF(BJ69="P/BV between 2.5x to 5x and Growth more than 20%",10,IF(BJ69= "P/BV between 2.5x to 5x and Growth less than 20%",-5,IF(BJ69= "P/BV above 5x",-5,0)))))</f>
        <v/>
      </c>
      <c r="BL69" s="30" t="inlineStr">
        <is>
          <t>0 to 20</t>
        </is>
      </c>
      <c r="BM69" s="30">
        <f>IF(BL69="Above 40",20,IF(BL69="20 to 40",10,IF(BL69="0 to 20",-5,0)))</f>
        <v/>
      </c>
      <c r="BN69" s="30" t="inlineStr">
        <is>
          <t>Between 50 to 75</t>
        </is>
      </c>
      <c r="BO69" s="30">
        <f>IF(BN69="Between 50 to 75",10,IF(BN69="Above 75",0,0))</f>
        <v/>
      </c>
      <c r="BP69" s="30" t="inlineStr">
        <is>
          <t>Stage 1</t>
        </is>
      </c>
      <c r="BQ69" s="30">
        <f>IF(BP69="Stage 2",20,IF(BP69="Stage 1",0,IF(BP69="Stage 3",5,IF(BP69="Stage 4",-5,0))))</f>
        <v/>
      </c>
      <c r="BR69" s="30" t="inlineStr">
        <is>
          <t>Positive Trend</t>
        </is>
      </c>
      <c r="BS69" s="30">
        <f>IF(BR69="Positive Trend",20,IF(BR69="Negative Trend",-10,0))</f>
        <v/>
      </c>
      <c r="BT69" s="30" t="inlineStr">
        <is>
          <t>Uptrend</t>
        </is>
      </c>
      <c r="BU69" s="30">
        <f>IF(BT69="Uptrend",10,IF(BT69="Sideways",5,0))</f>
        <v/>
      </c>
      <c r="BV69" s="30" t="inlineStr">
        <is>
          <t>Uptrend</t>
        </is>
      </c>
      <c r="BW69" s="30">
        <f>IF(BV69="Uptrend",10,IF(BV69="Sideways",5,0))</f>
        <v/>
      </c>
      <c r="BX69" s="30" t="inlineStr">
        <is>
          <t>Close to 52 week high or retracement</t>
        </is>
      </c>
      <c r="BY69" s="30">
        <f>IF(BX69="Overhead supply in last 2 years in last 2 years",-5,IF(BX69="Close to 52 week high or retracement",5,IF(BX69="Blue sky scenario",10,IF(BX69="Long term Downtrend",-10,0))))</f>
        <v/>
      </c>
      <c r="BZ69" s="30" t="inlineStr">
        <is>
          <t>Yes</t>
        </is>
      </c>
      <c r="CA69" s="30">
        <f>IF(BZ69="Yes",10,0)</f>
        <v/>
      </c>
    </row>
    <row r="70">
      <c r="A70" s="30">
        <f>IF(B70=0,"",RANK(B70,$B$2:$B$81,0))</f>
        <v/>
      </c>
      <c r="B70" s="31">
        <f>SUM(N70,Y70,AA70,AC70,AE70,AG70,AI70,AK70,AM70,AO70,AQ70,AS70,AU70,AW70,AY70,BA70,BC70,BE70,BG70,BI70,BK70,BM70,BO70,BQ70,BS70,BU70,BW70,BY70,CA70)</f>
        <v/>
      </c>
      <c r="C70" s="30" t="inlineStr">
        <is>
          <t>RELIGARE</t>
        </is>
      </c>
      <c r="D70" s="30" t="inlineStr">
        <is>
          <t>Religare Enterprises Limited</t>
        </is>
      </c>
      <c r="E70" s="30" t="inlineStr">
        <is>
          <t>financials</t>
        </is>
      </c>
      <c r="F70" s="30" t="inlineStr">
        <is>
          <t>finance &amp; investments</t>
        </is>
      </c>
      <c r="G70" s="30" t="inlineStr">
        <is>
          <t>midcap</t>
        </is>
      </c>
      <c r="H70" s="31" t="n">
        <v>8178.45</v>
      </c>
      <c r="I70" s="31" t="n">
        <v>247.63</v>
      </c>
      <c r="J70" s="31" t="n">
        <v>0.79</v>
      </c>
      <c r="K70" s="31" t="n">
        <v>2246435</v>
      </c>
      <c r="L70" s="30" t="n">
        <v>16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58.58</v>
      </c>
      <c r="P70" s="31" t="n">
        <v>9.16</v>
      </c>
      <c r="Q70" s="31" t="n">
        <v>194.97</v>
      </c>
      <c r="R70" s="30" t="inlineStr">
        <is>
          <t>Earnings / Momentum Support</t>
        </is>
      </c>
      <c r="S70" s="30" t="inlineStr">
        <is>
          <t>Nifty Bank</t>
        </is>
      </c>
      <c r="T70" s="31" t="n">
        <v>3.04</v>
      </c>
      <c r="U70" s="31" t="n">
        <v>10</v>
      </c>
      <c r="V70" s="31" t="n">
        <v>6.76</v>
      </c>
      <c r="W70" s="31" t="n">
        <v>5.26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Fragmented with High ROE</t>
        </is>
      </c>
      <c r="AA70" s="30">
        <f>IF(Z70="Fragmented with Low ROE",-5,IF(Z70="Fragmented with High ROE",10,IF(Z70= "highly cyclical",5,0)))</f>
        <v/>
      </c>
      <c r="AB70" s="30" t="inlineStr">
        <is>
          <t>Yes</t>
        </is>
      </c>
      <c r="AC70" s="30">
        <f>IF(AB70="No",5,0)</f>
        <v/>
      </c>
      <c r="AD70" s="30" t="inlineStr">
        <is>
          <t>Headwind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Consistency)",15,IF(AF70="Shallow Cyclical (2 to 3 years growth)",10,IF(AF70 = "Cyclical in an Uptick",5,IF(AF70 = "Cyclical in an Downtick",-10,0))))</f>
        <v/>
      </c>
      <c r="AH70" s="30" t="inlineStr">
        <is>
          <t>Yes</t>
        </is>
      </c>
      <c r="AI70" s="30">
        <f>IF(AH70="Yes",10,0)</f>
        <v/>
      </c>
      <c r="AJ70" s="30" t="inlineStr">
        <is>
          <t>Yes</t>
        </is>
      </c>
      <c r="AK70" s="30">
        <f>IF(AJ70="Yes",10,0)</f>
        <v/>
      </c>
      <c r="AL70" s="30" t="n"/>
      <c r="AM70" s="30">
        <f>IF(AL70="No",10,0)</f>
        <v/>
      </c>
      <c r="AN70" s="30" t="inlineStr">
        <is>
          <t>Yes</t>
        </is>
      </c>
      <c r="AO70" s="30">
        <f>IF(AN70="Yes",10,0)</f>
        <v/>
      </c>
      <c r="AP70" s="30" t="inlineStr">
        <is>
          <t>No</t>
        </is>
      </c>
      <c r="AQ70" s="30">
        <f>IF(AP70="Yes",10,0)</f>
        <v/>
      </c>
      <c r="AR70" s="30" t="inlineStr">
        <is>
          <t>Yes</t>
        </is>
      </c>
      <c r="AS70" s="30">
        <f>IF(AR70="Yes",5,0)</f>
        <v/>
      </c>
      <c r="AT70" s="30" t="inlineStr">
        <is>
          <t>No</t>
        </is>
      </c>
      <c r="AU70" s="30">
        <f>IF(AT70="No",10,IF(AT70="Yes",-10,0))</f>
        <v/>
      </c>
      <c r="AV70" s="30" t="inlineStr">
        <is>
          <t>No</t>
        </is>
      </c>
      <c r="AW70" s="30">
        <f>IF(AV70="No",10,0)</f>
        <v/>
      </c>
      <c r="AX70" s="30" t="inlineStr">
        <is>
          <t>No</t>
        </is>
      </c>
      <c r="AY70" s="30">
        <f>IF(AX70="No",10,IF(AX70= "Yes CEO Resignation",-5,0))</f>
        <v/>
      </c>
      <c r="AZ70" s="30" t="inlineStr">
        <is>
          <t>No</t>
        </is>
      </c>
      <c r="BA70" s="30">
        <f>IF(AZ70="No",10,IF(AZ70="Yes",-5,0))</f>
        <v/>
      </c>
      <c r="BB70" s="30" t="inlineStr">
        <is>
          <t>No</t>
        </is>
      </c>
      <c r="BC70" s="30">
        <f>IF(BB70="No",5,IF(BB70="Yes",-5,0))</f>
        <v/>
      </c>
      <c r="BD70" s="30" t="inlineStr">
        <is>
          <t>Yes</t>
        </is>
      </c>
      <c r="BE70" s="30">
        <f>IF(BD70="Yes",10,0)</f>
        <v/>
      </c>
      <c r="BF70" s="30" t="inlineStr">
        <is>
          <t>Yes</t>
        </is>
      </c>
      <c r="BG70" s="30">
        <f>IF(BF70="Yes",10,0)</f>
        <v/>
      </c>
      <c r="BH70" s="30" t="inlineStr">
        <is>
          <t>Yes</t>
        </is>
      </c>
      <c r="BI70" s="30">
        <f>IF(BH70="Yes",10,0)</f>
        <v/>
      </c>
      <c r="BJ70" s="30" t="inlineStr">
        <is>
          <t>P/BV between 2.5x to 5x and Growth less than 20%</t>
        </is>
      </c>
      <c r="BK70" s="30">
        <f>IF(BJ70="P/BV less than 2.5x and Growth more than 20%",20,IF(BJ70 = "P/BV less than 2.5x and Growth less than 20%",5,IF(BJ70="P/BV between 2.5x to 5x and Growth more than 20%",10,IF(BJ70= "P/BV between 2.5x to 5x and Growth less than 20%",-5,IF(BJ70= "P/BV above 5x",-5,0)))))</f>
        <v/>
      </c>
      <c r="BL70" s="30" t="inlineStr">
        <is>
          <t>0 to 20</t>
        </is>
      </c>
      <c r="BM70" s="30">
        <f>IF(BL70="Above 40",20,IF(BL70="20 to 40",10,IF(BL70="0 to 20",-5,0)))</f>
        <v/>
      </c>
      <c r="BN70" s="30" t="inlineStr">
        <is>
          <t>Between 50 to 75</t>
        </is>
      </c>
      <c r="BO70" s="30">
        <f>IF(BN70="Between 50 to 75",10,IF(BN70="Above 75",0,0))</f>
        <v/>
      </c>
      <c r="BP70" s="30" t="inlineStr">
        <is>
          <t>Stage 2</t>
        </is>
      </c>
      <c r="BQ70" s="30">
        <f>IF(BP70="Stage 2",20,IF(BP70="Stage 1",0,IF(BP70="Stage 3",5,IF(BP70="Stage 4",-5,0))))</f>
        <v/>
      </c>
      <c r="BR70" s="30" t="inlineStr">
        <is>
          <t>Positive Trend</t>
        </is>
      </c>
      <c r="BS70" s="30">
        <f>IF(BR70="Positive Trend",20,IF(BR70="Negative Trend",-10,0))</f>
        <v/>
      </c>
      <c r="BT70" s="30" t="inlineStr">
        <is>
          <t>Uptrend</t>
        </is>
      </c>
      <c r="BU70" s="30">
        <f>IF(BT70="Uptrend",10,IF(BT70="Sideways",5,0))</f>
        <v/>
      </c>
      <c r="BV70" s="30" t="inlineStr">
        <is>
          <t>Uptrend</t>
        </is>
      </c>
      <c r="BW70" s="30">
        <f>IF(BV70="Uptrend",10,IF(BV70="Sideways",5,0))</f>
        <v/>
      </c>
      <c r="BX70" s="30" t="inlineStr">
        <is>
          <t>Close to 52 week high or retracement</t>
        </is>
      </c>
      <c r="BY70" s="30">
        <f>IF(BX70="Overhead supply in last 2 years in last 2 years",-5,IF(BX70="Close to 52 week high or retracement",5,IF(BX70="Blue sky scenario",10,IF(BX70="Long term Downtrend",-10,0))))</f>
        <v/>
      </c>
      <c r="BZ70" s="30" t="inlineStr">
        <is>
          <t>Yes</t>
        </is>
      </c>
      <c r="CA70" s="30">
        <f>IF(BZ70="Yes",10,0)</f>
        <v/>
      </c>
    </row>
    <row r="71">
      <c r="A71" s="30">
        <f>IF(B71=0,"",RANK(B71,$B$2:$B$81,0))</f>
        <v/>
      </c>
      <c r="B71" s="31">
        <f>SUM(N71,Y71,AA71,AC71,AE71,AG71,AI71,AK71,AM71,AO71,AQ71,AS71,AU71,AW71,AY71,BA71,BC71,BE71,BG71,BI71,BK71,BM71,BO71,BQ71,BS71,BU71,BW71,BY71,CA71)</f>
        <v/>
      </c>
      <c r="C71" s="30" t="inlineStr">
        <is>
          <t>BANKBARODA</t>
        </is>
      </c>
      <c r="D71" s="30" t="inlineStr">
        <is>
          <t>Bank Of Baroda Ltd</t>
        </is>
      </c>
      <c r="E71" s="30" t="inlineStr">
        <is>
          <t>bank</t>
        </is>
      </c>
      <c r="F71" s="30" t="inlineStr">
        <is>
          <t>banks - public sector</t>
        </is>
      </c>
      <c r="G71" s="30" t="inlineStr">
        <is>
          <t>largecap</t>
        </is>
      </c>
      <c r="H71" s="31" t="n">
        <v>145754.84</v>
      </c>
      <c r="I71" s="31" t="n">
        <v>283</v>
      </c>
      <c r="J71" s="31" t="n">
        <v>0.41</v>
      </c>
      <c r="K71" s="31" t="n">
        <v>12399938</v>
      </c>
      <c r="L71" s="30" t="n">
        <v>17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57.01</v>
      </c>
      <c r="P71" s="31" t="n">
        <v>9.039999999999999</v>
      </c>
      <c r="Q71" s="31" t="n">
        <v>235.57</v>
      </c>
      <c r="R71" s="30" t="inlineStr">
        <is>
          <t>Earnings / Momentum Support</t>
        </is>
      </c>
      <c r="S71" s="30" t="inlineStr">
        <is>
          <t>Nifty Bank</t>
        </is>
      </c>
      <c r="T71" s="31" t="n">
        <v>3.04</v>
      </c>
      <c r="U71" s="31" t="n">
        <v>24.77</v>
      </c>
      <c r="V71" s="31" t="n">
        <v>21.09</v>
      </c>
      <c r="W71" s="31" t="n">
        <v>5.62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Fragmented with High ROE</t>
        </is>
      </c>
      <c r="AA71" s="30">
        <f>IF(Z71="Fragmented with Low ROE",-5,IF(Z71="Fragmented with High ROE",10,IF(Z71= "highly cyclical",5,0)))</f>
        <v/>
      </c>
      <c r="AB71" s="30" t="inlineStr">
        <is>
          <t>Yes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Consistency)",15,IF(AF71="Shallow Cyclical (2 to 3 years growth)",10,IF(AF71 = "Cyclical in an Uptick",5,IF(AF71 = "Cyclical in an Downtick",-10,0))))</f>
        <v/>
      </c>
      <c r="AH71" s="30" t="inlineStr">
        <is>
          <t>Yes</t>
        </is>
      </c>
      <c r="AI71" s="30">
        <f>IF(AH71="Yes",10,0)</f>
        <v/>
      </c>
      <c r="AJ71" s="30" t="inlineStr">
        <is>
          <t>Yes</t>
        </is>
      </c>
      <c r="AK71" s="30">
        <f>IF(AJ71="Yes",10,0)</f>
        <v/>
      </c>
      <c r="AL71" s="30" t="n"/>
      <c r="AM71" s="30">
        <f>IF(AL71="No",10,0)</f>
        <v/>
      </c>
      <c r="AN71" s="30" t="inlineStr">
        <is>
          <t>Yes</t>
        </is>
      </c>
      <c r="AO71" s="30">
        <f>IF(AN71="Yes",10,0)</f>
        <v/>
      </c>
      <c r="AP71" s="30" t="inlineStr">
        <is>
          <t>No</t>
        </is>
      </c>
      <c r="AQ71" s="30">
        <f>IF(AP71="Yes",10,0)</f>
        <v/>
      </c>
      <c r="AR71" s="30" t="inlineStr">
        <is>
          <t>Yes</t>
        </is>
      </c>
      <c r="AS71" s="30">
        <f>IF(AR71="Yes",5,0)</f>
        <v/>
      </c>
      <c r="AT71" s="30" t="inlineStr">
        <is>
          <t>No</t>
        </is>
      </c>
      <c r="AU71" s="30">
        <f>IF(AT71="No",10,IF(AT71="Yes",-10,0))</f>
        <v/>
      </c>
      <c r="AV71" s="30" t="inlineStr">
        <is>
          <t>No</t>
        </is>
      </c>
      <c r="AW71" s="30">
        <f>IF(AV71="No",10,0)</f>
        <v/>
      </c>
      <c r="AX71" s="30" t="inlineStr">
        <is>
          <t>No</t>
        </is>
      </c>
      <c r="AY71" s="30">
        <f>IF(AX71="No",10,IF(AX71= "Yes CEO Resignation",-5,0))</f>
        <v/>
      </c>
      <c r="AZ71" s="30" t="inlineStr">
        <is>
          <t>No</t>
        </is>
      </c>
      <c r="BA71" s="30">
        <f>IF(AZ71="No",10,IF(AZ71="Yes",-5,0))</f>
        <v/>
      </c>
      <c r="BB71" s="30" t="inlineStr">
        <is>
          <t>No</t>
        </is>
      </c>
      <c r="BC71" s="30">
        <f>IF(BB71="No",5,IF(BB71="Yes",-5,0))</f>
        <v/>
      </c>
      <c r="BD71" s="30" t="inlineStr">
        <is>
          <t>Yes</t>
        </is>
      </c>
      <c r="BE71" s="30">
        <f>IF(BD71="Yes",10,0)</f>
        <v/>
      </c>
      <c r="BF71" s="30" t="inlineStr">
        <is>
          <t>Yes</t>
        </is>
      </c>
      <c r="BG71" s="30">
        <f>IF(BF71="Yes",10,0)</f>
        <v/>
      </c>
      <c r="BH71" s="30" t="inlineStr">
        <is>
          <t>Yes</t>
        </is>
      </c>
      <c r="BI71" s="30">
        <f>IF(BH71="Yes",10,0)</f>
        <v/>
      </c>
      <c r="BJ71" s="30" t="inlineStr">
        <is>
          <t>P/BV less than 2.5x and Growth less than 20%</t>
        </is>
      </c>
      <c r="BK71" s="30">
        <f>IF(BJ71="P/BV less than 2.5x and Growth more than 20%",20,IF(BJ71 = "P/BV less than 2.5x and Growth less than 20%",5,IF(BJ71="P/BV between 2.5x to 5x and Growth more than 20%",10,IF(BJ71= "P/BV between 2.5x to 5x and Growth less than 20%",-5,IF(BJ71= "P/BV above 5x",-5,0)))))</f>
        <v/>
      </c>
      <c r="BL71" s="30" t="inlineStr">
        <is>
          <t>0 to 20</t>
        </is>
      </c>
      <c r="BM71" s="30">
        <f>IF(BL71="Above 40",20,IF(BL71="20 to 40",10,IF(BL71="0 to 20",-5,0)))</f>
        <v/>
      </c>
      <c r="BN71" s="30" t="inlineStr">
        <is>
          <t>Between 50 to 75</t>
        </is>
      </c>
      <c r="BO71" s="30">
        <f>IF(BN71="Between 50 to 75",10,IF(BN71="Above 75",0,0))</f>
        <v/>
      </c>
      <c r="BP71" s="30" t="inlineStr">
        <is>
          <t>Stage 1</t>
        </is>
      </c>
      <c r="BQ71" s="30">
        <f>IF(BP71="Stage 2",20,IF(BP71="Stage 1",0,IF(BP71="Stage 3",5,IF(BP71="Stage 4",-5,0))))</f>
        <v/>
      </c>
      <c r="BR71" s="30" t="inlineStr">
        <is>
          <t>Positive Trend</t>
        </is>
      </c>
      <c r="BS71" s="30">
        <f>IF(BR71="Positive Trend",20,IF(BR71="Negative Trend",-10,0))</f>
        <v/>
      </c>
      <c r="BT71" s="30" t="inlineStr">
        <is>
          <t>Uptrend</t>
        </is>
      </c>
      <c r="BU71" s="30">
        <f>IF(BT71="Uptrend",10,IF(BT71="Sideways",5,0))</f>
        <v/>
      </c>
      <c r="BV71" s="30" t="inlineStr">
        <is>
          <t>Uptrend</t>
        </is>
      </c>
      <c r="BW71" s="30">
        <f>IF(BV71="Uptrend",10,IF(BV71="Sideways",5,0))</f>
        <v/>
      </c>
      <c r="BX71" s="30" t="inlineStr">
        <is>
          <t>Close to 52 week high or retracement</t>
        </is>
      </c>
      <c r="BY71" s="30">
        <f>IF(BX71="Overhead supply in last 2 years in last 2 years",-5,IF(BX71="Close to 52 week high or retracement",5,IF(BX71="Blue sky scenario",10,IF(BX71="Long term Downtrend",-10,0))))</f>
        <v/>
      </c>
      <c r="BZ71" s="30" t="inlineStr">
        <is>
          <t>Yes</t>
        </is>
      </c>
      <c r="CA71" s="30">
        <f>IF(BZ71="Yes",10,0)</f>
        <v/>
      </c>
    </row>
    <row r="72">
      <c r="A72" s="30">
        <f>IF(B72=0,"",RANK(B72,$B$2:$B$81,0))</f>
        <v/>
      </c>
      <c r="B72" s="31">
        <f>SUM(N72,Y72,AA72,AC72,AE72,AG72,AI72,AK72,AM72,AO72,AQ72,AS72,AU72,AW72,AY72,BA72,BC72,BE72,BG72,BI72,BK72,BM72,BO72,BQ72,BS72,BU72,BW72,BY72,CA72)</f>
        <v/>
      </c>
      <c r="C72" s="30" t="inlineStr">
        <is>
          <t>INDIANB</t>
        </is>
      </c>
      <c r="D72" s="30" t="inlineStr">
        <is>
          <t>Indian Bank Ltd</t>
        </is>
      </c>
      <c r="E72" s="30" t="inlineStr">
        <is>
          <t>bank</t>
        </is>
      </c>
      <c r="F72" s="30" t="inlineStr">
        <is>
          <t>banks - public sector</t>
        </is>
      </c>
      <c r="G72" s="30" t="inlineStr">
        <is>
          <t>largecap</t>
        </is>
      </c>
      <c r="H72" s="31" t="n">
        <v>118041.19</v>
      </c>
      <c r="I72" s="31" t="n">
        <v>875.7</v>
      </c>
      <c r="J72" s="31" t="n">
        <v>-0.07000000000000001</v>
      </c>
      <c r="K72" s="31" t="n">
        <v>1025452</v>
      </c>
      <c r="L72" s="30" t="n">
        <v>32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55.69</v>
      </c>
      <c r="P72" s="31" t="n">
        <v>13.72</v>
      </c>
      <c r="Q72" s="31" t="n">
        <v>769.49</v>
      </c>
      <c r="R72" s="30" t="inlineStr">
        <is>
          <t>Earnings / Momentum Support</t>
        </is>
      </c>
      <c r="S72" s="30" t="inlineStr">
        <is>
          <t>Nifty Bank</t>
        </is>
      </c>
      <c r="T72" s="31" t="n">
        <v>3.04</v>
      </c>
      <c r="U72" s="31" t="n">
        <v>45.27</v>
      </c>
      <c r="V72" s="31" t="n">
        <v>40.98</v>
      </c>
      <c r="W72" s="31" t="n">
        <v>8.27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Fragmented with High ROE</t>
        </is>
      </c>
      <c r="AA72" s="30">
        <f>IF(Z72="Fragmented with Low ROE",-5,IF(Z72="Fragmented with High ROE",10,IF(Z72= "highly cyclical",5,0)))</f>
        <v/>
      </c>
      <c r="AB72" s="30" t="inlineStr">
        <is>
          <t>Yes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Consistency)",15,IF(AF72="Shallow Cyclical (2 to 3 years growth)",10,IF(AF72 = "Cyclical in an Uptick",5,IF(AF72 = "Cyclical in an Downtick",-10,0))))</f>
        <v/>
      </c>
      <c r="AH72" s="30" t="inlineStr">
        <is>
          <t>Yes</t>
        </is>
      </c>
      <c r="AI72" s="30">
        <f>IF(AH72="Yes",10,0)</f>
        <v/>
      </c>
      <c r="AJ72" s="30" t="inlineStr">
        <is>
          <t>Yes</t>
        </is>
      </c>
      <c r="AK72" s="30">
        <f>IF(AJ72="Yes",10,0)</f>
        <v/>
      </c>
      <c r="AL72" s="30" t="n"/>
      <c r="AM72" s="30">
        <f>IF(AL72="No",10,0)</f>
        <v/>
      </c>
      <c r="AN72" s="30" t="inlineStr">
        <is>
          <t>Yes</t>
        </is>
      </c>
      <c r="AO72" s="30">
        <f>IF(AN72="Yes",10,0)</f>
        <v/>
      </c>
      <c r="AP72" s="30" t="inlineStr">
        <is>
          <t>No</t>
        </is>
      </c>
      <c r="AQ72" s="30">
        <f>IF(AP72="Yes",10,0)</f>
        <v/>
      </c>
      <c r="AR72" s="30" t="inlineStr">
        <is>
          <t>Yes</t>
        </is>
      </c>
      <c r="AS72" s="30">
        <f>IF(AR72="Yes",5,0)</f>
        <v/>
      </c>
      <c r="AT72" s="30" t="inlineStr">
        <is>
          <t>No</t>
        </is>
      </c>
      <c r="AU72" s="30">
        <f>IF(AT72="No",10,IF(AT72="Yes",-10,0))</f>
        <v/>
      </c>
      <c r="AV72" s="30" t="inlineStr">
        <is>
          <t>No</t>
        </is>
      </c>
      <c r="AW72" s="30">
        <f>IF(AV72="No",10,0)</f>
        <v/>
      </c>
      <c r="AX72" s="30" t="inlineStr">
        <is>
          <t>No</t>
        </is>
      </c>
      <c r="AY72" s="30">
        <f>IF(AX72="No",10,IF(AX72= "Yes CEO Resignation",-5,0))</f>
        <v/>
      </c>
      <c r="AZ72" s="30" t="inlineStr">
        <is>
          <t>No</t>
        </is>
      </c>
      <c r="BA72" s="30">
        <f>IF(AZ72="No",10,IF(AZ72="Yes",-5,0))</f>
        <v/>
      </c>
      <c r="BB72" s="30" t="inlineStr">
        <is>
          <t>No</t>
        </is>
      </c>
      <c r="BC72" s="30">
        <f>IF(BB72="No",5,IF(BB72="Yes",-5,0))</f>
        <v/>
      </c>
      <c r="BD72" s="30" t="inlineStr">
        <is>
          <t>Yes</t>
        </is>
      </c>
      <c r="BE72" s="30">
        <f>IF(BD72="Yes",10,0)</f>
        <v/>
      </c>
      <c r="BF72" s="30" t="inlineStr">
        <is>
          <t>Yes</t>
        </is>
      </c>
      <c r="BG72" s="30">
        <f>IF(BF72="Yes",10,0)</f>
        <v/>
      </c>
      <c r="BH72" s="30" t="inlineStr">
        <is>
          <t>Yes</t>
        </is>
      </c>
      <c r="BI72" s="30">
        <f>IF(BH72="Yes",10,0)</f>
        <v/>
      </c>
      <c r="BJ72" s="30" t="inlineStr">
        <is>
          <t>P/BV less than 2.5x and Growth less than 20%</t>
        </is>
      </c>
      <c r="BK72" s="30">
        <f>IF(BJ72="P/BV less than 2.5x and Growth more than 20%",20,IF(BJ72 = "P/BV less than 2.5x and Growth less than 20%",5,IF(BJ72="P/BV between 2.5x to 5x and Growth more than 20%",10,IF(BJ72= "P/BV between 2.5x to 5x and Growth less than 20%",-5,IF(BJ72= "P/BV above 5x",-5,0)))))</f>
        <v/>
      </c>
      <c r="BL72" s="30" t="inlineStr">
        <is>
          <t>0 to 20</t>
        </is>
      </c>
      <c r="BM72" s="30">
        <f>IF(BL72="Above 40",20,IF(BL72="20 to 40",10,IF(BL72="0 to 20",-5,0)))</f>
        <v/>
      </c>
      <c r="BN72" s="30" t="inlineStr">
        <is>
          <t>Between 50 to 75</t>
        </is>
      </c>
      <c r="BO72" s="30">
        <f>IF(BN72="Between 50 to 75",10,IF(BN72="Above 75",0,0))</f>
        <v/>
      </c>
      <c r="BP72" s="30" t="inlineStr">
        <is>
          <t>Stage 1</t>
        </is>
      </c>
      <c r="BQ72" s="30">
        <f>IF(BP72="Stage 2",20,IF(BP72="Stage 1",0,IF(BP72="Stage 3",5,IF(BP72="Stage 4",-5,0))))</f>
        <v/>
      </c>
      <c r="BR72" s="30" t="inlineStr">
        <is>
          <t>Positive Trend</t>
        </is>
      </c>
      <c r="BS72" s="30">
        <f>IF(BR72="Positive Trend",20,IF(BR72="Negative Trend",-10,0))</f>
        <v/>
      </c>
      <c r="BT72" s="30" t="inlineStr">
        <is>
          <t>Uptrend</t>
        </is>
      </c>
      <c r="BU72" s="30">
        <f>IF(BT72="Uptrend",10,IF(BT72="Sideways",5,0))</f>
        <v/>
      </c>
      <c r="BV72" s="30" t="inlineStr">
        <is>
          <t>Uptrend</t>
        </is>
      </c>
      <c r="BW72" s="30">
        <f>IF(BV72="Uptrend",10,IF(BV72="Sideways",5,0))</f>
        <v/>
      </c>
      <c r="BX72" s="30" t="inlineStr">
        <is>
          <t>Close to 52 week high or retracement</t>
        </is>
      </c>
      <c r="BY72" s="30">
        <f>IF(BX72="Overhead supply in last 2 years in last 2 years",-5,IF(BX72="Close to 52 week high or retracement",5,IF(BX72="Blue sky scenario",10,IF(BX72="Long term Downtrend",-10,0))))</f>
        <v/>
      </c>
      <c r="BZ72" s="30" t="inlineStr">
        <is>
          <t>Yes</t>
        </is>
      </c>
      <c r="CA72" s="30">
        <f>IF(BZ72="Yes",10,0)</f>
        <v/>
      </c>
    </row>
    <row r="73">
      <c r="A73" s="30">
        <f>IF(B73=0,"",RANK(B73,$B$2:$B$81,0))</f>
        <v/>
      </c>
      <c r="B73" s="31">
        <f>SUM(N73,Y73,AA73,AC73,AE73,AG73,AI73,AK73,AM73,AO73,AQ73,AS73,AU73,AW73,AY73,BA73,BC73,BE73,BG73,BI73,BK73,BM73,BO73,BQ73,BS73,BU73,BW73,BY73,CA73)</f>
        <v/>
      </c>
      <c r="C73" s="32" t="inlineStr">
        <is>
          <t>VHL</t>
        </is>
      </c>
      <c r="D73" s="32" t="inlineStr">
        <is>
          <t>Vardhman Holdings Limited</t>
        </is>
      </c>
      <c r="E73" s="30" t="inlineStr">
        <is>
          <t>financials</t>
        </is>
      </c>
      <c r="F73" s="30" t="inlineStr">
        <is>
          <t>finance &amp; investments</t>
        </is>
      </c>
      <c r="G73" s="30" t="inlineStr">
        <is>
          <t>smallcap</t>
        </is>
      </c>
      <c r="H73" s="31" t="n">
        <v>1109.06</v>
      </c>
      <c r="I73" s="31" t="n">
        <v>3604.6</v>
      </c>
      <c r="J73" s="31" t="n">
        <v>3.73</v>
      </c>
      <c r="K73" s="31" t="n">
        <v>1108</v>
      </c>
      <c r="L73" s="30" t="n">
        <v>2</v>
      </c>
      <c r="M73" s="30" t="inlineStr">
        <is>
          <t>Underperforming</t>
        </is>
      </c>
      <c r="N73" s="31">
        <f>IF(M73="Underperforming",-5,IF(L73&gt;=95,15,IF(L73&gt;=90,10,IF(L73&gt;=80,5,0))))</f>
        <v/>
      </c>
      <c r="O73" s="31" t="n">
        <v>57.04</v>
      </c>
      <c r="P73" s="31" t="n">
        <v>18.71</v>
      </c>
      <c r="Q73" s="31" t="n">
        <v>2933.47</v>
      </c>
      <c r="R73" s="30" t="inlineStr">
        <is>
          <t>Earnings / Momentum Support</t>
        </is>
      </c>
      <c r="S73" s="30" t="inlineStr">
        <is>
          <t>Nifty Bank</t>
        </is>
      </c>
      <c r="T73" s="31" t="n">
        <v>3.04</v>
      </c>
      <c r="U73" s="31" t="n">
        <v>-9.48</v>
      </c>
      <c r="V73" s="31" t="n">
        <v>-12.15</v>
      </c>
      <c r="W73" s="31" t="n">
        <v>1.33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Fragmented with High ROE</t>
        </is>
      </c>
      <c r="AA73" s="30">
        <f>IF(Z73="Fragmented with Low ROE",-5,IF(Z73="Fragmented with High ROE",10,IF(Z73= "highly cyclical",5,0)))</f>
        <v/>
      </c>
      <c r="AB73" s="30" t="inlineStr">
        <is>
          <t>Yes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Consistency)",15,IF(AF73="Shallow Cyclical (2 to 3 years growth)",10,IF(AF73 = "Cyclical in an Uptick",5,IF(AF73 = "Cyclical in an Downtick",-10,0))))</f>
        <v/>
      </c>
      <c r="AH73" s="30" t="inlineStr">
        <is>
          <t>Yes</t>
        </is>
      </c>
      <c r="AI73" s="30">
        <f>IF(AH73="Yes",10,0)</f>
        <v/>
      </c>
      <c r="AJ73" s="30" t="inlineStr">
        <is>
          <t>Yes</t>
        </is>
      </c>
      <c r="AK73" s="30">
        <f>IF(AJ73="Yes",10,0)</f>
        <v/>
      </c>
      <c r="AL73" s="30" t="n"/>
      <c r="AM73" s="30">
        <f>IF(AL73="No",10,0)</f>
        <v/>
      </c>
      <c r="AN73" s="30" t="inlineStr">
        <is>
          <t>Yes</t>
        </is>
      </c>
      <c r="AO73" s="30">
        <f>IF(AN73="Yes",10,0)</f>
        <v/>
      </c>
      <c r="AP73" s="30" t="inlineStr">
        <is>
          <t>No</t>
        </is>
      </c>
      <c r="AQ73" s="30">
        <f>IF(AP73="Yes",10,0)</f>
        <v/>
      </c>
      <c r="AR73" s="30" t="inlineStr">
        <is>
          <t>Yes</t>
        </is>
      </c>
      <c r="AS73" s="30">
        <f>IF(AR73="Yes",5,0)</f>
        <v/>
      </c>
      <c r="AT73" s="30" t="inlineStr">
        <is>
          <t>No</t>
        </is>
      </c>
      <c r="AU73" s="30">
        <f>IF(AT73="No",10,IF(AT73="Yes",-10,0))</f>
        <v/>
      </c>
      <c r="AV73" s="30" t="inlineStr">
        <is>
          <t>No</t>
        </is>
      </c>
      <c r="AW73" s="30">
        <f>IF(AV73="No",10,0)</f>
        <v/>
      </c>
      <c r="AX73" s="30" t="inlineStr">
        <is>
          <t>No</t>
        </is>
      </c>
      <c r="AY73" s="30">
        <f>IF(AX73="No",10,IF(AX73= "Yes CEO Resignation",-5,0))</f>
        <v/>
      </c>
      <c r="AZ73" s="30" t="inlineStr">
        <is>
          <t>No</t>
        </is>
      </c>
      <c r="BA73" s="30">
        <f>IF(AZ73="No",10,IF(AZ73="Yes",-5,0))</f>
        <v/>
      </c>
      <c r="BB73" s="30" t="inlineStr">
        <is>
          <t>No</t>
        </is>
      </c>
      <c r="BC73" s="30">
        <f>IF(BB73="No",5,IF(BB73="Yes",-5,0))</f>
        <v/>
      </c>
      <c r="BD73" s="30" t="inlineStr">
        <is>
          <t>Yes</t>
        </is>
      </c>
      <c r="BE73" s="30">
        <f>IF(BD73="Yes",10,0)</f>
        <v/>
      </c>
      <c r="BF73" s="30" t="inlineStr">
        <is>
          <t>Yes</t>
        </is>
      </c>
      <c r="BG73" s="30">
        <f>IF(BF73="Yes",10,0)</f>
        <v/>
      </c>
      <c r="BH73" s="30" t="inlineStr">
        <is>
          <t>Yes</t>
        </is>
      </c>
      <c r="BI73" s="30">
        <f>IF(BH73="Yes",10,0)</f>
        <v/>
      </c>
      <c r="BJ73" s="30" t="inlineStr">
        <is>
          <t>P/BV less than 2.5x and Growth less than 20%</t>
        </is>
      </c>
      <c r="BK73" s="30">
        <f>IF(BJ73="P/BV less than 2.5x and Growth more than 20%",20,IF(BJ73 = "P/BV less than 2.5x and Growth less than 20%",5,IF(BJ73="P/BV between 2.5x to 5x and Growth more than 20%",10,IF(BJ73= "P/BV between 2.5x to 5x and Growth less than 20%",-5,IF(BJ73= "P/BV above 5x",-5,0)))))</f>
        <v/>
      </c>
      <c r="BL73" s="30" t="inlineStr">
        <is>
          <t>0 to 20</t>
        </is>
      </c>
      <c r="BM73" s="30">
        <f>IF(BL73="Above 40",20,IF(BL73="20 to 40",10,IF(BL73="0 to 20",-5,0)))</f>
        <v/>
      </c>
      <c r="BN73" s="30" t="inlineStr">
        <is>
          <t>Between 50 to 75</t>
        </is>
      </c>
      <c r="BO73" s="30">
        <f>IF(BN73="Between 50 to 75",10,IF(BN73="Above 75",0,0))</f>
        <v/>
      </c>
      <c r="BP73" s="30" t="inlineStr">
        <is>
          <t>Stage 1</t>
        </is>
      </c>
      <c r="BQ73" s="30">
        <f>IF(BP73="Stage 2",20,IF(BP73="Stage 1",0,IF(BP73="Stage 3",5,IF(BP73="Stage 4",-5,0))))</f>
        <v/>
      </c>
      <c r="BR73" s="30" t="inlineStr">
        <is>
          <t>Positive Trend</t>
        </is>
      </c>
      <c r="BS73" s="30">
        <f>IF(BR73="Positive Trend",20,IF(BR73="Negative Trend",-10,0))</f>
        <v/>
      </c>
      <c r="BT73" s="30" t="inlineStr">
        <is>
          <t>Uptrend</t>
        </is>
      </c>
      <c r="BU73" s="30">
        <f>IF(BT73="Uptrend",10,IF(BT73="Sideways",5,0))</f>
        <v/>
      </c>
      <c r="BV73" s="30" t="inlineStr">
        <is>
          <t>Uptrend</t>
        </is>
      </c>
      <c r="BW73" s="30">
        <f>IF(BV73="Uptrend",10,IF(BV73="Sideways",5,0))</f>
        <v/>
      </c>
      <c r="BX73" s="30" t="inlineStr">
        <is>
          <t>Close to 52 week high or retracement</t>
        </is>
      </c>
      <c r="BY73" s="30">
        <f>IF(BX73="Overhead supply in last 2 years in last 2 years",-5,IF(BX73="Close to 52 week high or retracement",5,IF(BX73="Blue sky scenario",10,IF(BX73="Long term Downtrend",-10,0))))</f>
        <v/>
      </c>
      <c r="BZ73" s="30" t="inlineStr">
        <is>
          <t>Yes</t>
        </is>
      </c>
      <c r="CA73" s="30">
        <f>IF(BZ73="Yes",10,0)</f>
        <v/>
      </c>
    </row>
    <row r="74">
      <c r="A74" s="30">
        <f>IF(B74=0,"",RANK(B74,$B$2:$B$81,0))</f>
        <v/>
      </c>
      <c r="B74" s="31">
        <f>SUM(N74,Y74,AA74,AC74,AE74,AG74,AI74,AK74,AM74,AO74,AQ74,AS74,AU74,AW74,AY74,BA74,BC74,BE74,BG74,BI74,BK74,BM74,BO74,BQ74,BS74,BU74,BW74,BY74,CA74)</f>
        <v/>
      </c>
      <c r="C74" s="30" t="inlineStr">
        <is>
          <t>MFSL</t>
        </is>
      </c>
      <c r="D74" s="30" t="inlineStr">
        <is>
          <t>Max Financial Services Limited</t>
        </is>
      </c>
      <c r="E74" s="30" t="inlineStr">
        <is>
          <t>miscellaneous</t>
        </is>
      </c>
      <c r="F74" s="30" t="inlineStr">
        <is>
          <t>miscellaneous</t>
        </is>
      </c>
      <c r="G74" s="30" t="inlineStr">
        <is>
          <t>largecap</t>
        </is>
      </c>
      <c r="H74" s="31" t="n">
        <v>56315.83</v>
      </c>
      <c r="I74" s="31" t="n">
        <v>1688.2</v>
      </c>
      <c r="J74" s="31" t="n">
        <v>3.46</v>
      </c>
      <c r="K74" s="31" t="n">
        <v>1061168</v>
      </c>
      <c r="L74" s="30" t="n">
        <v>3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53.26</v>
      </c>
      <c r="P74" s="31" t="n">
        <v>7.04</v>
      </c>
      <c r="Q74" s="31" t="n">
        <v>1377.64</v>
      </c>
      <c r="R74" s="30" t="inlineStr">
        <is>
          <t>Earnings / Momentum Support</t>
        </is>
      </c>
      <c r="S74" s="30" t="inlineStr">
        <is>
          <t>Nifty 50</t>
        </is>
      </c>
      <c r="T74" s="31" t="n">
        <v>-3.76</v>
      </c>
      <c r="U74" s="31" t="n">
        <v>5.82</v>
      </c>
      <c r="V74" s="31" t="n">
        <v>9.960000000000001</v>
      </c>
      <c r="W74" s="31" t="n">
        <v>1.81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Fragmented with High ROE</t>
        </is>
      </c>
      <c r="AA74" s="30">
        <f>IF(Z74="Fragmented with Low ROE",-5,IF(Z74="Fragmented with High ROE",10,IF(Z74= "highly cyclical",5,0)))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Consistency)",15,IF(AF74="Shallow Cyclical (2 to 3 years growth)",10,IF(AF74 = "Cyclical in an Uptick",5,IF(AF74 = "Cyclical in an Downtick",-10,0))))</f>
        <v/>
      </c>
      <c r="AH74" s="30" t="inlineStr">
        <is>
          <t>Yes</t>
        </is>
      </c>
      <c r="AI74" s="30">
        <f>IF(AH74="Yes",10,0)</f>
        <v/>
      </c>
      <c r="AJ74" s="30" t="inlineStr">
        <is>
          <t>Yes</t>
        </is>
      </c>
      <c r="AK74" s="30">
        <f>IF(AJ74="Yes",10,0)</f>
        <v/>
      </c>
      <c r="AL74" s="30" t="n"/>
      <c r="AM74" s="30">
        <f>IF(AL74="No",10,0)</f>
        <v/>
      </c>
      <c r="AN74" s="30" t="inlineStr">
        <is>
          <t>Yes</t>
        </is>
      </c>
      <c r="AO74" s="30">
        <f>IF(AN74="Yes",10,0)</f>
        <v/>
      </c>
      <c r="AP74" s="30" t="inlineStr">
        <is>
          <t>No</t>
        </is>
      </c>
      <c r="AQ74" s="30">
        <f>IF(AP74="Yes",10,0)</f>
        <v/>
      </c>
      <c r="AR74" s="30" t="inlineStr">
        <is>
          <t>Yes</t>
        </is>
      </c>
      <c r="AS74" s="30">
        <f>IF(AR74="Yes",5,0)</f>
        <v/>
      </c>
      <c r="AT74" s="30" t="inlineStr">
        <is>
          <t>No</t>
        </is>
      </c>
      <c r="AU74" s="30">
        <f>IF(AT74="No",10,IF(AT74="Yes",-10,0))</f>
        <v/>
      </c>
      <c r="AV74" s="30" t="inlineStr">
        <is>
          <t>No</t>
        </is>
      </c>
      <c r="AW74" s="30">
        <f>IF(AV74="No",10,0)</f>
        <v/>
      </c>
      <c r="AX74" s="30" t="inlineStr">
        <is>
          <t>No</t>
        </is>
      </c>
      <c r="AY74" s="30">
        <f>IF(AX74="No",10,IF(AX74= "Yes CEO Resignation",-5,0))</f>
        <v/>
      </c>
      <c r="AZ74" s="30" t="inlineStr">
        <is>
          <t>No</t>
        </is>
      </c>
      <c r="BA74" s="30">
        <f>IF(AZ74="No",10,IF(AZ74="Yes",-5,0))</f>
        <v/>
      </c>
      <c r="BB74" s="30" t="inlineStr">
        <is>
          <t>No</t>
        </is>
      </c>
      <c r="BC74" s="30">
        <f>IF(BB74="No",5,IF(BB74="Yes",-5,0))</f>
        <v/>
      </c>
      <c r="BD74" s="30" t="inlineStr">
        <is>
          <t>Yes</t>
        </is>
      </c>
      <c r="BE74" s="30">
        <f>IF(BD74="Yes",10,0)</f>
        <v/>
      </c>
      <c r="BF74" s="30" t="inlineStr">
        <is>
          <t>Yes</t>
        </is>
      </c>
      <c r="BG74" s="30">
        <f>IF(BF74="Yes",10,0)</f>
        <v/>
      </c>
      <c r="BH74" s="30" t="inlineStr">
        <is>
          <t>Yes</t>
        </is>
      </c>
      <c r="BI74" s="30">
        <f>IF(BH74="Yes",10,0)</f>
        <v/>
      </c>
      <c r="BJ74" s="30" t="inlineStr">
        <is>
          <t>P/BV above 5x</t>
        </is>
      </c>
      <c r="BK74" s="30">
        <f>IF(BJ74="P/BV less than 2.5x and Growth more than 20%",20,IF(BJ74 = "P/BV less than 2.5x and Growth less than 20%",5,IF(BJ74="P/BV between 2.5x to 5x and Growth more than 20%",10,IF(BJ74= "P/BV between 2.5x to 5x and Growth less than 20%",-5,IF(BJ74= "P/BV above 5x",-5,0)))))</f>
        <v/>
      </c>
      <c r="BL74" s="30" t="inlineStr">
        <is>
          <t>0 to 20</t>
        </is>
      </c>
      <c r="BM74" s="30">
        <f>IF(BL74="Above 40",20,IF(BL74="20 to 40",10,IF(BL74="0 to 20",-5,0)))</f>
        <v/>
      </c>
      <c r="BN74" s="30" t="inlineStr">
        <is>
          <t>Between 50 to 75</t>
        </is>
      </c>
      <c r="BO74" s="30">
        <f>IF(BN74="Between 50 to 75",10,IF(BN74="Above 75",0,0))</f>
        <v/>
      </c>
      <c r="BP74" s="30" t="inlineStr">
        <is>
          <t>Stage 1</t>
        </is>
      </c>
      <c r="BQ74" s="30">
        <f>IF(BP74="Stage 2",20,IF(BP74="Stage 1",0,IF(BP74="Stage 3",5,IF(BP74="Stage 4",-5,0))))</f>
        <v/>
      </c>
      <c r="BR74" s="30" t="inlineStr">
        <is>
          <t>Positive Trend</t>
        </is>
      </c>
      <c r="BS74" s="30">
        <f>IF(BR74="Positive Trend",20,IF(BR74="Negative Trend",-10,0))</f>
        <v/>
      </c>
      <c r="BT74" s="30" t="inlineStr">
        <is>
          <t>Uptrend</t>
        </is>
      </c>
      <c r="BU74" s="30">
        <f>IF(BT74="Uptrend",10,IF(BT74="Sideways",5,0))</f>
        <v/>
      </c>
      <c r="BV74" s="30" t="inlineStr">
        <is>
          <t>Uptrend</t>
        </is>
      </c>
      <c r="BW74" s="30">
        <f>IF(BV74="Uptrend",10,IF(BV74="Sideways",5,0))</f>
        <v/>
      </c>
      <c r="BX74" s="30" t="inlineStr">
        <is>
          <t>Close to 52 week high or retracement</t>
        </is>
      </c>
      <c r="BY74" s="30">
        <f>IF(BX74="Overhead supply in last 2 years in last 2 years",-5,IF(BX74="Close to 52 week high or retracement",5,IF(BX74="Blue sky scenario",10,IF(BX74="Long term Downtrend",-10,0))))</f>
        <v/>
      </c>
      <c r="BZ74" s="30" t="inlineStr">
        <is>
          <t>Yes</t>
        </is>
      </c>
      <c r="CA74" s="30">
        <f>IF(BZ74="Yes",10,0)</f>
        <v/>
      </c>
    </row>
    <row r="75">
      <c r="A75" s="30">
        <f>IF(B75=0,"",RANK(B75,$B$2:$B$81,0))</f>
        <v/>
      </c>
      <c r="B75" s="31">
        <f>SUM(N75,Y75,AA75,AC75,AE75,AG75,AI75,AK75,AM75,AO75,AQ75,AS75,AU75,AW75,AY75,BA75,BC75,BE75,BG75,BI75,BK75,BM75,BO75,BQ75,BS75,BU75,BW75,BY75,CA75)</f>
        <v/>
      </c>
      <c r="C75" s="30" t="inlineStr">
        <is>
          <t>CHOLAFIN</t>
        </is>
      </c>
      <c r="D75" s="30" t="inlineStr">
        <is>
          <t>Cholamandalam Investment And Finance Company Limited</t>
        </is>
      </c>
      <c r="E75" s="30" t="inlineStr">
        <is>
          <t>financials</t>
        </is>
      </c>
      <c r="F75" s="30" t="inlineStr">
        <is>
          <t>finance &amp; investments</t>
        </is>
      </c>
      <c r="G75" s="30" t="inlineStr">
        <is>
          <t>largecap</t>
        </is>
      </c>
      <c r="H75" s="31" t="n">
        <v>143074.08</v>
      </c>
      <c r="I75" s="31" t="n">
        <v>1688.9</v>
      </c>
      <c r="J75" s="31" t="n">
        <v>0.58</v>
      </c>
      <c r="K75" s="31" t="n">
        <v>770645</v>
      </c>
      <c r="L75" s="30" t="n">
        <v>17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56.44</v>
      </c>
      <c r="P75" s="31" t="n">
        <v>11.38</v>
      </c>
      <c r="Q75" s="31" t="n">
        <v>1339.02</v>
      </c>
      <c r="R75" s="30" t="inlineStr">
        <is>
          <t>Earnings / Momentum Support</t>
        </is>
      </c>
      <c r="S75" s="30" t="inlineStr">
        <is>
          <t>Nifty Bank</t>
        </is>
      </c>
      <c r="T75" s="31" t="n">
        <v>3.04</v>
      </c>
      <c r="U75" s="31" t="n">
        <v>8.57</v>
      </c>
      <c r="V75" s="31" t="n">
        <v>5.36</v>
      </c>
      <c r="W75" s="31" t="n">
        <v>5.55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Fragmented with High ROE</t>
        </is>
      </c>
      <c r="AA75" s="30">
        <f>IF(Z75="Fragmented with Low ROE",-5,IF(Z75="Fragmented with High ROE",10,IF(Z75= "highly cyclical",5,0)))</f>
        <v/>
      </c>
      <c r="AB75" s="30" t="inlineStr">
        <is>
          <t>Yes</t>
        </is>
      </c>
      <c r="AC75" s="30">
        <f>IF(AB75="No",5,0)</f>
        <v/>
      </c>
      <c r="AD75" s="30" t="inlineStr">
        <is>
          <t>Headwind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Consistency)",15,IF(AF75="Shallow Cyclical (2 to 3 years growth)",10,IF(AF75 = "Cyclical in an Uptick",5,IF(AF75 = "Cyclical in an Downtick",-10,0))))</f>
        <v/>
      </c>
      <c r="AH75" s="30" t="inlineStr">
        <is>
          <t>Yes</t>
        </is>
      </c>
      <c r="AI75" s="30">
        <f>IF(AH75="Yes",10,0)</f>
        <v/>
      </c>
      <c r="AJ75" s="30" t="inlineStr">
        <is>
          <t>Yes</t>
        </is>
      </c>
      <c r="AK75" s="30">
        <f>IF(AJ75="Yes",10,0)</f>
        <v/>
      </c>
      <c r="AL75" s="30" t="n"/>
      <c r="AM75" s="30">
        <f>IF(AL75="No",10,0)</f>
        <v/>
      </c>
      <c r="AN75" s="30" t="inlineStr">
        <is>
          <t>Yes</t>
        </is>
      </c>
      <c r="AO75" s="30">
        <f>IF(AN75="Yes",10,0)</f>
        <v/>
      </c>
      <c r="AP75" s="30" t="inlineStr">
        <is>
          <t>No</t>
        </is>
      </c>
      <c r="AQ75" s="30">
        <f>IF(AP75="Yes",10,0)</f>
        <v/>
      </c>
      <c r="AR75" s="30" t="inlineStr">
        <is>
          <t>Yes</t>
        </is>
      </c>
      <c r="AS75" s="30">
        <f>IF(AR75="Yes",5,0)</f>
        <v/>
      </c>
      <c r="AT75" s="30" t="inlineStr">
        <is>
          <t>No</t>
        </is>
      </c>
      <c r="AU75" s="30">
        <f>IF(AT75="No",10,IF(AT75="Yes",-10,0))</f>
        <v/>
      </c>
      <c r="AV75" s="30" t="inlineStr">
        <is>
          <t>No</t>
        </is>
      </c>
      <c r="AW75" s="30">
        <f>IF(AV75="No",10,0)</f>
        <v/>
      </c>
      <c r="AX75" s="30" t="inlineStr">
        <is>
          <t>No</t>
        </is>
      </c>
      <c r="AY75" s="30">
        <f>IF(AX75="No",10,IF(AX75= "Yes CEO Resignation",-5,0))</f>
        <v/>
      </c>
      <c r="AZ75" s="30" t="inlineStr">
        <is>
          <t>No</t>
        </is>
      </c>
      <c r="BA75" s="30">
        <f>IF(AZ75="No",10,IF(AZ75="Yes",-5,0))</f>
        <v/>
      </c>
      <c r="BB75" s="30" t="inlineStr">
        <is>
          <t>No</t>
        </is>
      </c>
      <c r="BC75" s="30">
        <f>IF(BB75="No",5,IF(BB75="Yes",-5,0))</f>
        <v/>
      </c>
      <c r="BD75" s="30" t="inlineStr">
        <is>
          <t>Yes</t>
        </is>
      </c>
      <c r="BE75" s="30">
        <f>IF(BD75="Yes",10,0)</f>
        <v/>
      </c>
      <c r="BF75" s="30" t="inlineStr">
        <is>
          <t>Yes</t>
        </is>
      </c>
      <c r="BG75" s="30">
        <f>IF(BF75="Yes",10,0)</f>
        <v/>
      </c>
      <c r="BH75" s="30" t="inlineStr">
        <is>
          <t>Yes</t>
        </is>
      </c>
      <c r="BI75" s="30">
        <f>IF(BH75="Yes",10,0)</f>
        <v/>
      </c>
      <c r="BJ75" s="30" t="inlineStr">
        <is>
          <t>P/BV between 2.5x to 5x and Growth more than 20%</t>
        </is>
      </c>
      <c r="BK75" s="30">
        <f>IF(BJ75="P/BV less than 2.5x and Growth more than 20%",20,IF(BJ75 = "P/BV less than 2.5x and Growth less than 20%",5,IF(BJ75="P/BV between 2.5x to 5x and Growth more than 20%",10,IF(BJ75= "P/BV between 2.5x to 5x and Growth less than 20%",-5,IF(BJ75= "P/BV above 5x",-5,0)))))</f>
        <v/>
      </c>
      <c r="BL75" s="30" t="inlineStr">
        <is>
          <t>0 to 20</t>
        </is>
      </c>
      <c r="BM75" s="30">
        <f>IF(BL75="Above 40",20,IF(BL75="20 to 40",10,IF(BL75="0 to 20",-5,0)))</f>
        <v/>
      </c>
      <c r="BN75" s="30" t="inlineStr">
        <is>
          <t>Between 50 to 75</t>
        </is>
      </c>
      <c r="BO75" s="30">
        <f>IF(BN75="Between 50 to 75",10,IF(BN75="Above 75",0,0))</f>
        <v/>
      </c>
      <c r="BP75" s="30" t="inlineStr">
        <is>
          <t>Stage 1</t>
        </is>
      </c>
      <c r="BQ75" s="30">
        <f>IF(BP75="Stage 2",20,IF(BP75="Stage 1",0,IF(BP75="Stage 3",5,IF(BP75="Stage 4",-5,0))))</f>
        <v/>
      </c>
      <c r="BR75" s="30" t="inlineStr">
        <is>
          <t>Positive Trend</t>
        </is>
      </c>
      <c r="BS75" s="30">
        <f>IF(BR75="Positive Trend",20,IF(BR75="Negative Trend",-10,0))</f>
        <v/>
      </c>
      <c r="BT75" s="30" t="inlineStr">
        <is>
          <t>Uptrend</t>
        </is>
      </c>
      <c r="BU75" s="30">
        <f>IF(BT75="Uptrend",10,IF(BT75="Sideways",5,0))</f>
        <v/>
      </c>
      <c r="BV75" s="30" t="inlineStr">
        <is>
          <t>Uptrend</t>
        </is>
      </c>
      <c r="BW75" s="30">
        <f>IF(BV75="Uptrend",10,IF(BV75="Sideways",5,0))</f>
        <v/>
      </c>
      <c r="BX75" s="30" t="inlineStr">
        <is>
          <t>Close to 52 week high or retracement</t>
        </is>
      </c>
      <c r="BY75" s="30">
        <f>IF(BX75="Overhead supply in last 2 years in last 2 years",-5,IF(BX75="Close to 52 week high or retracement",5,IF(BX75="Blue sky scenario",10,IF(BX75="Long term Downtrend",-10,0))))</f>
        <v/>
      </c>
      <c r="BZ75" s="30" t="inlineStr">
        <is>
          <t>Yes</t>
        </is>
      </c>
      <c r="CA75" s="30">
        <f>IF(BZ75="Yes",10,0)</f>
        <v/>
      </c>
    </row>
    <row r="76">
      <c r="A76" s="30">
        <f>IF(B76=0,"",RANK(B76,$B$2:$B$81,0))</f>
        <v/>
      </c>
      <c r="B76" s="31">
        <f>SUM(N76,Y76,AA76,AC76,AE76,AG76,AI76,AK76,AM76,AO76,AQ76,AS76,AU76,AW76,AY76,BA76,BC76,BE76,BG76,BI76,BK76,BM76,BO76,BQ76,BS76,BU76,BW76,BY76,CA76)</f>
        <v/>
      </c>
      <c r="C76" s="32" t="inlineStr">
        <is>
          <t>360ONE</t>
        </is>
      </c>
      <c r="D76" s="32" t="inlineStr">
        <is>
          <t>360 ONE WAM Ltd</t>
        </is>
      </c>
      <c r="E76" s="30" t="inlineStr">
        <is>
          <t>financials</t>
        </is>
      </c>
      <c r="F76" s="30" t="inlineStr">
        <is>
          <t>finance &amp; investments</t>
        </is>
      </c>
      <c r="G76" s="30" t="inlineStr">
        <is>
          <t>largecap</t>
        </is>
      </c>
      <c r="H76" s="31" t="n">
        <v>46173.88</v>
      </c>
      <c r="I76" s="31" t="n">
        <v>1141.3</v>
      </c>
      <c r="J76" s="31" t="n">
        <v>0.39</v>
      </c>
      <c r="K76" s="31" t="n">
        <v>1011855</v>
      </c>
      <c r="L76" s="30" t="n">
        <v>5</v>
      </c>
      <c r="M76" s="30" t="inlineStr">
        <is>
          <t>Underperforming</t>
        </is>
      </c>
      <c r="N76" s="31">
        <f>IF(M76="Underperforming",-5,IF(L76&gt;=95,15,IF(L76&gt;=90,10,IF(L76&gt;=80,5,0))))</f>
        <v/>
      </c>
      <c r="O76" s="31" t="n">
        <v>55.99</v>
      </c>
      <c r="P76" s="31" t="n">
        <v>14.22</v>
      </c>
      <c r="Q76" s="31" t="n">
        <v>907.29</v>
      </c>
      <c r="R76" s="30" t="inlineStr">
        <is>
          <t>Earnings / Momentum Support</t>
        </is>
      </c>
      <c r="S76" s="30" t="inlineStr">
        <is>
          <t>Nifty Bank</t>
        </is>
      </c>
      <c r="T76" s="31" t="n">
        <v>3.04</v>
      </c>
      <c r="U76" s="31" t="n">
        <v>1.45</v>
      </c>
      <c r="V76" s="31" t="n">
        <v>-1.54</v>
      </c>
      <c r="W76" s="31" t="n">
        <v>2.59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Fragmented with High ROE</t>
        </is>
      </c>
      <c r="AA76" s="30">
        <f>IF(Z76="Fragmented with Low ROE",-5,IF(Z76="Fragmented with High ROE",10,IF(Z76= "highly cyclical",5,0)))</f>
        <v/>
      </c>
      <c r="AB76" s="30" t="inlineStr">
        <is>
          <t>Yes</t>
        </is>
      </c>
      <c r="AC76" s="30">
        <f>IF(AB76="No",5,0)</f>
        <v/>
      </c>
      <c r="AD76" s="30" t="inlineStr">
        <is>
          <t>Headwind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Consistency)",15,IF(AF76="Shallow Cyclical (2 to 3 years growth)",10,IF(AF76 = "Cyclical in an Uptick",5,IF(AF76 = "Cyclical in an Downtick",-10,0))))</f>
        <v/>
      </c>
      <c r="AH76" s="30" t="inlineStr">
        <is>
          <t>Yes</t>
        </is>
      </c>
      <c r="AI76" s="30">
        <f>IF(AH76="Yes",10,0)</f>
        <v/>
      </c>
      <c r="AJ76" s="30" t="inlineStr">
        <is>
          <t>Yes</t>
        </is>
      </c>
      <c r="AK76" s="30">
        <f>IF(AJ76="Yes",10,0)</f>
        <v/>
      </c>
      <c r="AL76" s="30" t="n"/>
      <c r="AM76" s="30">
        <f>IF(AL76="No",10,0)</f>
        <v/>
      </c>
      <c r="AN76" s="30" t="inlineStr">
        <is>
          <t>Yes</t>
        </is>
      </c>
      <c r="AO76" s="30">
        <f>IF(AN76="Yes",10,0)</f>
        <v/>
      </c>
      <c r="AP76" s="30" t="inlineStr">
        <is>
          <t>No</t>
        </is>
      </c>
      <c r="AQ76" s="30">
        <f>IF(AP76="Yes",10,0)</f>
        <v/>
      </c>
      <c r="AR76" s="30" t="inlineStr">
        <is>
          <t>Yes</t>
        </is>
      </c>
      <c r="AS76" s="30">
        <f>IF(AR76="Yes",5,0)</f>
        <v/>
      </c>
      <c r="AT76" s="30" t="inlineStr">
        <is>
          <t>No</t>
        </is>
      </c>
      <c r="AU76" s="30">
        <f>IF(AT76="No",10,IF(AT76="Yes",-10,0))</f>
        <v/>
      </c>
      <c r="AV76" s="30" t="inlineStr">
        <is>
          <t>No</t>
        </is>
      </c>
      <c r="AW76" s="30">
        <f>IF(AV76="No",10,0)</f>
        <v/>
      </c>
      <c r="AX76" s="30" t="inlineStr">
        <is>
          <t>No</t>
        </is>
      </c>
      <c r="AY76" s="30">
        <f>IF(AX76="No",10,IF(AX76= "Yes CEO Resignation",-5,0))</f>
        <v/>
      </c>
      <c r="AZ76" s="30" t="inlineStr">
        <is>
          <t>No</t>
        </is>
      </c>
      <c r="BA76" s="30">
        <f>IF(AZ76="No",10,IF(AZ76="Yes",-5,0))</f>
        <v/>
      </c>
      <c r="BB76" s="30" t="inlineStr">
        <is>
          <t>No</t>
        </is>
      </c>
      <c r="BC76" s="30">
        <f>IF(BB76="No",5,IF(BB76="Yes",-5,0))</f>
        <v/>
      </c>
      <c r="BD76" s="30" t="inlineStr">
        <is>
          <t>Yes</t>
        </is>
      </c>
      <c r="BE76" s="30">
        <f>IF(BD76="Yes",10,0)</f>
        <v/>
      </c>
      <c r="BF76" s="30" t="inlineStr">
        <is>
          <t>Yes</t>
        </is>
      </c>
      <c r="BG76" s="30">
        <f>IF(BF76="Yes",10,0)</f>
        <v/>
      </c>
      <c r="BH76" s="30" t="inlineStr">
        <is>
          <t>Yes</t>
        </is>
      </c>
      <c r="BI76" s="30">
        <f>IF(BH76="Yes",10,0)</f>
        <v/>
      </c>
      <c r="BJ76" s="30" t="inlineStr">
        <is>
          <t>P/BV between 2.5x to 5x and Growth less than 20%</t>
        </is>
      </c>
      <c r="BK76" s="30">
        <f>IF(BJ76="P/BV less than 2.5x and Growth more than 20%",20,IF(BJ76 = "P/BV less than 2.5x and Growth less than 20%",5,IF(BJ76="P/BV between 2.5x to 5x and Growth more than 20%",10,IF(BJ76= "P/BV between 2.5x to 5x and Growth less than 20%",-5,IF(BJ76= "P/BV above 5x",-5,0)))))</f>
        <v/>
      </c>
      <c r="BL76" s="30" t="inlineStr">
        <is>
          <t>0 to 20</t>
        </is>
      </c>
      <c r="BM76" s="30">
        <f>IF(BL76="Above 40",20,IF(BL76="20 to 40",10,IF(BL76="0 to 20",-5,0)))</f>
        <v/>
      </c>
      <c r="BN76" s="30" t="inlineStr">
        <is>
          <t>Between 50 to 75</t>
        </is>
      </c>
      <c r="BO76" s="30">
        <f>IF(BN76="Between 50 to 75",10,IF(BN76="Above 75",0,0))</f>
        <v/>
      </c>
      <c r="BP76" s="30" t="inlineStr">
        <is>
          <t>Stage 2</t>
        </is>
      </c>
      <c r="BQ76" s="30">
        <f>IF(BP76="Stage 2",20,IF(BP76="Stage 1",0,IF(BP76="Stage 3",5,IF(BP76="Stage 4",-5,0))))</f>
        <v/>
      </c>
      <c r="BR76" s="30" t="inlineStr">
        <is>
          <t>Positive Trend</t>
        </is>
      </c>
      <c r="BS76" s="30">
        <f>IF(BR76="Positive Trend",20,IF(BR76="Negative Trend",-10,0))</f>
        <v/>
      </c>
      <c r="BT76" s="30" t="inlineStr">
        <is>
          <t>Uptrend</t>
        </is>
      </c>
      <c r="BU76" s="30">
        <f>IF(BT76="Uptrend",10,IF(BT76="Sideways",5,0))</f>
        <v/>
      </c>
      <c r="BV76" s="30" t="inlineStr">
        <is>
          <t>Uptrend</t>
        </is>
      </c>
      <c r="BW76" s="30">
        <f>IF(BV76="Uptrend",10,IF(BV76="Sideways",5,0))</f>
        <v/>
      </c>
      <c r="BX76" s="30" t="inlineStr">
        <is>
          <t>Close to 52 week high or retracement</t>
        </is>
      </c>
      <c r="BY76" s="30">
        <f>IF(BX76="Overhead supply in last 2 years in last 2 years",-5,IF(BX76="Close to 52 week high or retracement",5,IF(BX76="Blue sky scenario",10,IF(BX76="Long term Downtrend",-10,0))))</f>
        <v/>
      </c>
      <c r="BZ76" s="30" t="inlineStr">
        <is>
          <t>Yes</t>
        </is>
      </c>
      <c r="CA76" s="30">
        <f>IF(BZ76="Yes",10,0)</f>
        <v/>
      </c>
    </row>
    <row r="77">
      <c r="A77" s="30">
        <f>IF(B77=0,"",RANK(B77,$B$2:$B$81,0))</f>
        <v/>
      </c>
      <c r="B77" s="31">
        <f>SUM(N77,Y77,AA77,AC77,AE77,AG77,AI77,AK77,AM77,AO77,AQ77,AS77,AU77,AW77,AY77,BA77,BC77,BE77,BG77,BI77,BK77,BM77,BO77,BQ77,BS77,BU77,BW77,BY77,CA77)</f>
        <v/>
      </c>
      <c r="C77" s="30" t="inlineStr">
        <is>
          <t>AIIL</t>
        </is>
      </c>
      <c r="D77" s="30" t="inlineStr">
        <is>
          <t>Authum Investment &amp; Infrastructure Ltd</t>
        </is>
      </c>
      <c r="E77" s="30" t="inlineStr">
        <is>
          <t>financials</t>
        </is>
      </c>
      <c r="F77" s="30" t="inlineStr">
        <is>
          <t>finance &amp; investments</t>
        </is>
      </c>
      <c r="G77" s="30" t="inlineStr">
        <is>
          <t>largecap</t>
        </is>
      </c>
      <c r="H77" s="31" t="n">
        <v>46601.25</v>
      </c>
      <c r="I77" s="31" t="n">
        <v>551.55</v>
      </c>
      <c r="J77" s="31" t="n">
        <v>0.51</v>
      </c>
      <c r="K77" s="31" t="n">
        <v>240367</v>
      </c>
      <c r="L77" s="30" t="n">
        <v>13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56.91</v>
      </c>
      <c r="P77" s="31" t="n">
        <v>11.21</v>
      </c>
      <c r="Q77" s="31" t="n">
        <v>389.6</v>
      </c>
      <c r="R77" s="30" t="inlineStr">
        <is>
          <t>Volume Spike / Accumulation</t>
        </is>
      </c>
      <c r="S77" s="30" t="inlineStr">
        <is>
          <t>Nifty Bank</t>
        </is>
      </c>
      <c r="T77" s="31" t="n">
        <v>3.04</v>
      </c>
      <c r="U77" s="31" t="n">
        <v>6.56</v>
      </c>
      <c r="V77" s="31" t="n">
        <v>3.42</v>
      </c>
      <c r="W77" s="31" t="n">
        <v>4.58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Fragmented with High ROE</t>
        </is>
      </c>
      <c r="AA77" s="30">
        <f>IF(Z77="Fragmented with Low ROE",-5,IF(Z77="Fragmented with High ROE",10,IF(Z77= "highly cyclical",5,0)))</f>
        <v/>
      </c>
      <c r="AB77" s="30" t="inlineStr">
        <is>
          <t>Yes</t>
        </is>
      </c>
      <c r="AC77" s="30">
        <f>IF(AB77="No",5,0)</f>
        <v/>
      </c>
      <c r="AD77" s="30" t="inlineStr">
        <is>
          <t>Headwind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Consistency)",15,IF(AF77="Shallow Cyclical (2 to 3 years growth)",10,IF(AF77 = "Cyclical in an Uptick",5,IF(AF77 = "Cyclical in an Downtick",-10,0))))</f>
        <v/>
      </c>
      <c r="AH77" s="30" t="inlineStr">
        <is>
          <t>Yes</t>
        </is>
      </c>
      <c r="AI77" s="30">
        <f>IF(AH77="Yes",10,0)</f>
        <v/>
      </c>
      <c r="AJ77" s="30" t="inlineStr">
        <is>
          <t>Yes</t>
        </is>
      </c>
      <c r="AK77" s="30">
        <f>IF(AJ77="Yes",10,0)</f>
        <v/>
      </c>
      <c r="AL77" s="30" t="n"/>
      <c r="AM77" s="30">
        <f>IF(AL77="No",10,0)</f>
        <v/>
      </c>
      <c r="AN77" s="30" t="inlineStr">
        <is>
          <t>Yes</t>
        </is>
      </c>
      <c r="AO77" s="30">
        <f>IF(AN77="Yes",10,0)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Yes</t>
        </is>
      </c>
      <c r="AS77" s="30">
        <f>IF(AR77="Yes",5,0)</f>
        <v/>
      </c>
      <c r="AT77" s="30" t="inlineStr">
        <is>
          <t>No</t>
        </is>
      </c>
      <c r="AU77" s="30">
        <f>IF(AT77="No",10,IF(AT77="Yes",-10,0))</f>
        <v/>
      </c>
      <c r="AV77" s="30" t="inlineStr">
        <is>
          <t>No</t>
        </is>
      </c>
      <c r="AW77" s="30">
        <f>IF(AV77="No",10,0)</f>
        <v/>
      </c>
      <c r="AX77" s="30" t="inlineStr">
        <is>
          <t>No</t>
        </is>
      </c>
      <c r="AY77" s="30">
        <f>IF(AX77="No",10,IF(AX77= "Yes CEO Resignation",-5,0))</f>
        <v/>
      </c>
      <c r="AZ77" s="30" t="inlineStr">
        <is>
          <t>No</t>
        </is>
      </c>
      <c r="BA77" s="30">
        <f>IF(AZ77="No",10,IF(AZ77="Yes",-5,0))</f>
        <v/>
      </c>
      <c r="BB77" s="30" t="inlineStr">
        <is>
          <t>No</t>
        </is>
      </c>
      <c r="BC77" s="30">
        <f>IF(BB77="No",5,IF(BB77="Yes",-5,0))</f>
        <v/>
      </c>
      <c r="BD77" s="30" t="inlineStr">
        <is>
          <t>Yes</t>
        </is>
      </c>
      <c r="BE77" s="30">
        <f>IF(BD77="Yes",10,0)</f>
        <v/>
      </c>
      <c r="BF77" s="30" t="inlineStr">
        <is>
          <t>Yes</t>
        </is>
      </c>
      <c r="BG77" s="30">
        <f>IF(BF77="Yes",10,0)</f>
        <v/>
      </c>
      <c r="BH77" s="30" t="inlineStr">
        <is>
          <t>Yes</t>
        </is>
      </c>
      <c r="BI77" s="30">
        <f>IF(BH77="Yes",10,0)</f>
        <v/>
      </c>
      <c r="BJ77" s="30" t="inlineStr">
        <is>
          <t>P/BV between 2.5x to 5x and Growth less than 20%</t>
        </is>
      </c>
      <c r="BK77" s="30">
        <f>IF(BJ77="P/BV less than 2.5x and Growth more than 20%",20,IF(BJ77 = "P/BV less than 2.5x and Growth less than 20%",5,IF(BJ77="P/BV between 2.5x to 5x and Growth more than 20%",10,IF(BJ77= "P/BV between 2.5x to 5x and Growth less than 20%",-5,IF(BJ77= "P/BV above 5x",-5,0)))))</f>
        <v/>
      </c>
      <c r="BL77" s="30" t="inlineStr">
        <is>
          <t>0 to 20</t>
        </is>
      </c>
      <c r="BM77" s="30">
        <f>IF(BL77="Above 40",20,IF(BL77="20 to 40",10,IF(BL77="0 to 20",-5,0)))</f>
        <v/>
      </c>
      <c r="BN77" s="30" t="inlineStr">
        <is>
          <t>Between 50 to 75</t>
        </is>
      </c>
      <c r="BO77" s="30">
        <f>IF(BN77="Between 50 to 75",10,IF(BN77="Above 75",0,0))</f>
        <v/>
      </c>
      <c r="BP77" s="30" t="inlineStr">
        <is>
          <t>Stage 1</t>
        </is>
      </c>
      <c r="BQ77" s="30">
        <f>IF(BP77="Stage 2",20,IF(BP77="Stage 1",0,IF(BP77="Stage 3",5,IF(BP77="Stage 4",-5,0))))</f>
        <v/>
      </c>
      <c r="BR77" s="30" t="inlineStr">
        <is>
          <t>Positive Trend</t>
        </is>
      </c>
      <c r="BS77" s="30">
        <f>IF(BR77="Positive Trend",20,IF(BR77="Negative Trend",-10,0))</f>
        <v/>
      </c>
      <c r="BT77" s="30" t="inlineStr">
        <is>
          <t>Uptrend</t>
        </is>
      </c>
      <c r="BU77" s="30">
        <f>IF(BT77="Uptrend",10,IF(BT77="Sideways",5,0))</f>
        <v/>
      </c>
      <c r="BV77" s="30" t="inlineStr">
        <is>
          <t>Uptrend</t>
        </is>
      </c>
      <c r="BW77" s="30">
        <f>IF(BV77="Uptrend",10,IF(BV77="Sideways",5,0))</f>
        <v/>
      </c>
      <c r="BX77" s="30" t="inlineStr">
        <is>
          <t>Close to 52 week high or retracement</t>
        </is>
      </c>
      <c r="BY77" s="30">
        <f>IF(BX77="Overhead supply in last 2 years in last 2 years",-5,IF(BX77="Close to 52 week high or retracement",5,IF(BX77="Blue sky scenario",10,IF(BX77="Long term Downtrend",-10,0))))</f>
        <v/>
      </c>
      <c r="BZ77" s="30" t="inlineStr">
        <is>
          <t>Yes</t>
        </is>
      </c>
      <c r="CA77" s="30">
        <f>IF(BZ77="Yes",10,0)</f>
        <v/>
      </c>
    </row>
    <row r="78">
      <c r="A78" s="30">
        <f>IF(B78=0,"",RANK(B78,$B$2:$B$81,0))</f>
        <v/>
      </c>
      <c r="B78" s="31">
        <f>SUM(N78,Y78,AA78,AC78,AE78,AG78,AI78,AK78,AM78,AO78,AQ78,AS78,AU78,AW78,AY78,BA78,BC78,BE78,BG78,BI78,BK78,BM78,BO78,BQ78,BS78,BU78,BW78,BY78,CA78)</f>
        <v/>
      </c>
      <c r="C78" s="32" t="inlineStr">
        <is>
          <t>CHOICEIN</t>
        </is>
      </c>
      <c r="D78" s="32" t="inlineStr">
        <is>
          <t>Choice International Ltd</t>
        </is>
      </c>
      <c r="E78" s="30" t="inlineStr">
        <is>
          <t>financials</t>
        </is>
      </c>
      <c r="F78" s="30" t="inlineStr">
        <is>
          <t>finance &amp; investments</t>
        </is>
      </c>
      <c r="G78" s="30" t="inlineStr">
        <is>
          <t>midcap</t>
        </is>
      </c>
      <c r="H78" s="31" t="n">
        <v>15811.56</v>
      </c>
      <c r="I78" s="31" t="n">
        <v>707.55</v>
      </c>
      <c r="J78" s="31" t="n">
        <v>-0.31</v>
      </c>
      <c r="K78" s="31" t="n">
        <v>507377</v>
      </c>
      <c r="L78" s="30" t="n">
        <v>11</v>
      </c>
      <c r="M78" s="30" t="inlineStr">
        <is>
          <t>Underperforming</t>
        </is>
      </c>
      <c r="N78" s="31">
        <f>IF(M78="Underperforming",-5,IF(L78&gt;=95,15,IF(L78&gt;=90,10,IF(L78&gt;=80,5,0))))</f>
        <v/>
      </c>
      <c r="O78" s="31" t="n">
        <v>50.48</v>
      </c>
      <c r="P78" s="31" t="n">
        <v>26.45</v>
      </c>
      <c r="Q78" s="31" t="n">
        <v>578.91</v>
      </c>
      <c r="R78" s="30" t="inlineStr">
        <is>
          <t>Earnings / Momentum Support</t>
        </is>
      </c>
      <c r="S78" s="30" t="inlineStr">
        <is>
          <t>Nifty Bank</t>
        </is>
      </c>
      <c r="T78" s="31" t="n">
        <v>3.04</v>
      </c>
      <c r="U78" s="31" t="n">
        <v>0.43</v>
      </c>
      <c r="V78" s="31" t="n">
        <v>-2.53</v>
      </c>
      <c r="W78" s="31" t="n">
        <v>4.07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Fragmented with High ROE</t>
        </is>
      </c>
      <c r="AA78" s="30">
        <f>IF(Z78="Fragmented with Low ROE",-5,IF(Z78="Fragmented with High ROE",10,IF(Z78= "highly cyclical",5,0)))</f>
        <v/>
      </c>
      <c r="AB78" s="30" t="inlineStr">
        <is>
          <t>Yes</t>
        </is>
      </c>
      <c r="AC78" s="30">
        <f>IF(AB78="No",5,0)</f>
        <v/>
      </c>
      <c r="AD78" s="30" t="inlineStr">
        <is>
          <t>Headwind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Consistency)",15,IF(AF78="Shallow Cyclical (2 to 3 years growth)",10,IF(AF78 = "Cyclical in an Uptick",5,IF(AF78 = "Cyclical in an Downtick",-10,0))))</f>
        <v/>
      </c>
      <c r="AH78" s="30" t="inlineStr">
        <is>
          <t>Yes</t>
        </is>
      </c>
      <c r="AI78" s="30">
        <f>IF(AH78="Yes",10,0)</f>
        <v/>
      </c>
      <c r="AJ78" s="30" t="inlineStr">
        <is>
          <t>Yes</t>
        </is>
      </c>
      <c r="AK78" s="30">
        <f>IF(AJ78="Yes",10,0)</f>
        <v/>
      </c>
      <c r="AL78" s="30" t="n"/>
      <c r="AM78" s="30">
        <f>IF(AL78="No",10,0)</f>
        <v/>
      </c>
      <c r="AN78" s="30" t="inlineStr">
        <is>
          <t>Yes</t>
        </is>
      </c>
      <c r="AO78" s="30">
        <f>IF(AN78="Yes",10,0)</f>
        <v/>
      </c>
      <c r="AP78" s="30" t="inlineStr">
        <is>
          <t>No</t>
        </is>
      </c>
      <c r="AQ78" s="30">
        <f>IF(AP78="Yes",10,0)</f>
        <v/>
      </c>
      <c r="AR78" s="30" t="inlineStr">
        <is>
          <t>Yes</t>
        </is>
      </c>
      <c r="AS78" s="30">
        <f>IF(AR78="Yes",5,0)</f>
        <v/>
      </c>
      <c r="AT78" s="30" t="inlineStr">
        <is>
          <t>No</t>
        </is>
      </c>
      <c r="AU78" s="30">
        <f>IF(AT78="No",10,IF(AT78="Yes",-10,0))</f>
        <v/>
      </c>
      <c r="AV78" s="30" t="inlineStr">
        <is>
          <t>No</t>
        </is>
      </c>
      <c r="AW78" s="30">
        <f>IF(AV78="No",10,0)</f>
        <v/>
      </c>
      <c r="AX78" s="30" t="inlineStr">
        <is>
          <t>No</t>
        </is>
      </c>
      <c r="AY78" s="30">
        <f>IF(AX78="No",10,IF(AX78= "Yes CEO Resignation",-5,0))</f>
        <v/>
      </c>
      <c r="AZ78" s="30" t="inlineStr">
        <is>
          <t>No</t>
        </is>
      </c>
      <c r="BA78" s="30">
        <f>IF(AZ78="No",10,IF(AZ78="Yes",-5,0))</f>
        <v/>
      </c>
      <c r="BB78" s="30" t="inlineStr">
        <is>
          <t>No</t>
        </is>
      </c>
      <c r="BC78" s="30">
        <f>IF(BB78="No",5,IF(BB78="Yes",-5,0))</f>
        <v/>
      </c>
      <c r="BD78" s="30" t="inlineStr">
        <is>
          <t>Yes</t>
        </is>
      </c>
      <c r="BE78" s="30">
        <f>IF(BD78="Yes",10,0)</f>
        <v/>
      </c>
      <c r="BF78" s="30" t="inlineStr">
        <is>
          <t>Yes</t>
        </is>
      </c>
      <c r="BG78" s="30">
        <f>IF(BF78="Yes",10,0)</f>
        <v/>
      </c>
      <c r="BH78" s="30" t="inlineStr">
        <is>
          <t>Yes</t>
        </is>
      </c>
      <c r="BI78" s="30">
        <f>IF(BH78="Yes",10,0)</f>
        <v/>
      </c>
      <c r="BJ78" s="30" t="inlineStr">
        <is>
          <t>P/BV above 5x</t>
        </is>
      </c>
      <c r="BK78" s="30">
        <f>IF(BJ78="P/BV less than 2.5x and Growth more than 20%",20,IF(BJ78 = "P/BV less than 2.5x and Growth less than 20%",5,IF(BJ78="P/BV between 2.5x to 5x and Growth more than 20%",10,IF(BJ78= "P/BV between 2.5x to 5x and Growth less than 20%",-5,IF(BJ78= "P/BV above 5x",-5,0)))))</f>
        <v/>
      </c>
      <c r="BL78" s="30" t="inlineStr">
        <is>
          <t>20 to 40</t>
        </is>
      </c>
      <c r="BM78" s="30">
        <f>IF(BL78="Above 40",20,IF(BL78="20 to 40",10,IF(BL78="0 to 20",-5,0)))</f>
        <v/>
      </c>
      <c r="BN78" s="30" t="inlineStr">
        <is>
          <t>Between 50 to 75</t>
        </is>
      </c>
      <c r="BO78" s="30">
        <f>IF(BN78="Between 50 to 75",10,IF(BN78="Above 75",0,0))</f>
        <v/>
      </c>
      <c r="BP78" s="30" t="inlineStr">
        <is>
          <t>Stage 1</t>
        </is>
      </c>
      <c r="BQ78" s="30">
        <f>IF(BP78="Stage 2",20,IF(BP78="Stage 1",0,IF(BP78="Stage 3",5,IF(BP78="Stage 4",-5,0))))</f>
        <v/>
      </c>
      <c r="BR78" s="30" t="inlineStr">
        <is>
          <t>Positive Trend</t>
        </is>
      </c>
      <c r="BS78" s="30">
        <f>IF(BR78="Positive Trend",20,IF(BR78="Negative Trend",-10,0))</f>
        <v/>
      </c>
      <c r="BT78" s="30" t="inlineStr">
        <is>
          <t>Uptrend</t>
        </is>
      </c>
      <c r="BU78" s="30">
        <f>IF(BT78="Uptrend",10,IF(BT78="Sideways",5,0))</f>
        <v/>
      </c>
      <c r="BV78" s="30" t="inlineStr">
        <is>
          <t>Uptrend</t>
        </is>
      </c>
      <c r="BW78" s="30">
        <f>IF(BV78="Uptrend",10,IF(BV78="Sideways",5,0))</f>
        <v/>
      </c>
      <c r="BX78" s="30" t="inlineStr">
        <is>
          <t>Close to 52 week high or retracement</t>
        </is>
      </c>
      <c r="BY78" s="30">
        <f>IF(BX78="Overhead supply in last 2 years in last 2 years",-5,IF(BX78="Close to 52 week high or retracement",5,IF(BX78="Blue sky scenario",10,IF(BX78="Long term Downtrend",-10,0))))</f>
        <v/>
      </c>
      <c r="BZ78" s="30" t="inlineStr">
        <is>
          <t>Yes</t>
        </is>
      </c>
      <c r="CA78" s="30">
        <f>IF(BZ78="Yes",10,0)</f>
        <v/>
      </c>
    </row>
    <row r="79">
      <c r="A79" s="30">
        <f>IF(B79=0,"",RANK(B79,$B$2:$B$81,0))</f>
        <v/>
      </c>
      <c r="B79" s="31">
        <f>SUM(N79,Y79,AA79,AC79,AE79,AG79,AI79,AK79,AM79,AO79,AQ79,AS79,AU79,AW79,AY79,BA79,BC79,BE79,BG79,BI79,BK79,BM79,BO79,BQ79,BS79,BU79,BW79,BY79,CA79)</f>
        <v/>
      </c>
      <c r="C79" s="32" t="inlineStr">
        <is>
          <t>KOTAKBANK</t>
        </is>
      </c>
      <c r="D79" s="32" t="inlineStr">
        <is>
          <t>Kotak Mahindra Bank Limited</t>
        </is>
      </c>
      <c r="E79" s="30" t="inlineStr">
        <is>
          <t>bank</t>
        </is>
      </c>
      <c r="F79" s="30" t="inlineStr">
        <is>
          <t>banks - private sector</t>
        </is>
      </c>
      <c r="G79" s="30" t="inlineStr">
        <is>
          <t>largecap</t>
        </is>
      </c>
      <c r="H79" s="31" t="n">
        <v>80459.03999999999</v>
      </c>
      <c r="I79" s="31" t="n">
        <v>402.95</v>
      </c>
      <c r="J79" s="31" t="n">
        <v>-0.38</v>
      </c>
      <c r="K79" s="31" t="n">
        <v>9342524</v>
      </c>
      <c r="L79" s="30" t="n">
        <v>1</v>
      </c>
      <c r="M79" s="30" t="inlineStr">
        <is>
          <t>Underperforming</t>
        </is>
      </c>
      <c r="N79" s="31">
        <f>IF(M79="Underperforming",-5,IF(L79&gt;=95,15,IF(L79&gt;=90,10,IF(L79&gt;=80,5,0))))</f>
        <v/>
      </c>
      <c r="O79" s="31" t="n">
        <v>53.94</v>
      </c>
      <c r="P79" s="31" t="n">
        <v>18.53</v>
      </c>
      <c r="Q79" s="31" t="n">
        <v>348.03</v>
      </c>
      <c r="R79" s="30" t="inlineStr">
        <is>
          <t>Earnings / Momentum Support</t>
        </is>
      </c>
      <c r="S79" s="30" t="inlineStr">
        <is>
          <t>Nifty Bank</t>
        </is>
      </c>
      <c r="T79" s="31" t="n">
        <v>3.04</v>
      </c>
      <c r="U79" s="31" t="n">
        <v>-7.04</v>
      </c>
      <c r="V79" s="31" t="n">
        <v>-9.779999999999999</v>
      </c>
      <c r="W79" s="31" t="n">
        <v>0.9399999999999999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Fragmented with High ROE</t>
        </is>
      </c>
      <c r="AA79" s="30">
        <f>IF(Z79="Fragmented with Low ROE",-5,IF(Z79="Fragmented with High ROE",10,IF(Z79= "highly cyclical",5,0)))</f>
        <v/>
      </c>
      <c r="AB79" s="30" t="inlineStr">
        <is>
          <t>Yes</t>
        </is>
      </c>
      <c r="AC79" s="30">
        <f>IF(AB79="No",5,0)</f>
        <v/>
      </c>
      <c r="AD79" s="30" t="inlineStr">
        <is>
          <t>Headwind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Consistency)",15,IF(AF79="Shallow Cyclical (2 to 3 years growth)",10,IF(AF79 = "Cyclical in an Uptick",5,IF(AF79 = "Cyclical in an Downtick",-10,0))))</f>
        <v/>
      </c>
      <c r="AH79" s="30" t="inlineStr">
        <is>
          <t>Yes</t>
        </is>
      </c>
      <c r="AI79" s="30">
        <f>IF(AH79="Yes",10,0)</f>
        <v/>
      </c>
      <c r="AJ79" s="30" t="inlineStr">
        <is>
          <t>Yes</t>
        </is>
      </c>
      <c r="AK79" s="30">
        <f>IF(AJ79="Yes",10,0)</f>
        <v/>
      </c>
      <c r="AL79" s="30" t="n"/>
      <c r="AM79" s="30">
        <f>IF(AL79="No",10,0)</f>
        <v/>
      </c>
      <c r="AN79" s="30" t="inlineStr">
        <is>
          <t>Yes</t>
        </is>
      </c>
      <c r="AO79" s="30">
        <f>IF(AN79="Yes",10,0)</f>
        <v/>
      </c>
      <c r="AP79" s="30" t="inlineStr">
        <is>
          <t>No</t>
        </is>
      </c>
      <c r="AQ79" s="30">
        <f>IF(AP79="Yes",10,0)</f>
        <v/>
      </c>
      <c r="AR79" s="30" t="inlineStr">
        <is>
          <t>Yes</t>
        </is>
      </c>
      <c r="AS79" s="30">
        <f>IF(AR79="Yes",5,0)</f>
        <v/>
      </c>
      <c r="AT79" s="30" t="inlineStr">
        <is>
          <t>No</t>
        </is>
      </c>
      <c r="AU79" s="30">
        <f>IF(AT79="No",10,IF(AT79="Yes",-10,0))</f>
        <v/>
      </c>
      <c r="AV79" s="30" t="inlineStr">
        <is>
          <t>No</t>
        </is>
      </c>
      <c r="AW79" s="30">
        <f>IF(AV79="No",10,0)</f>
        <v/>
      </c>
      <c r="AX79" s="30" t="inlineStr">
        <is>
          <t>No</t>
        </is>
      </c>
      <c r="AY79" s="30">
        <f>IF(AX79="No",10,IF(AX79= "Yes CEO Resignation",-5,0))</f>
        <v/>
      </c>
      <c r="AZ79" s="30" t="inlineStr">
        <is>
          <t>No</t>
        </is>
      </c>
      <c r="BA79" s="30">
        <f>IF(AZ79="No",10,IF(AZ79="Yes",-5,0))</f>
        <v/>
      </c>
      <c r="BB79" s="30" t="inlineStr">
        <is>
          <t>No</t>
        </is>
      </c>
      <c r="BC79" s="30">
        <f>IF(BB79="No",5,IF(BB79="Yes",-5,0))</f>
        <v/>
      </c>
      <c r="BD79" s="30" t="inlineStr">
        <is>
          <t>Yes</t>
        </is>
      </c>
      <c r="BE79" s="30">
        <f>IF(BD79="Yes",10,0)</f>
        <v/>
      </c>
      <c r="BF79" s="30" t="inlineStr">
        <is>
          <t>Yes</t>
        </is>
      </c>
      <c r="BG79" s="30">
        <f>IF(BF79="Yes",10,0)</f>
        <v/>
      </c>
      <c r="BH79" s="30" t="inlineStr">
        <is>
          <t>Yes</t>
        </is>
      </c>
      <c r="BI79" s="30">
        <f>IF(BH79="Yes",10,0)</f>
        <v/>
      </c>
      <c r="BJ79" s="30" t="inlineStr">
        <is>
          <t>P/BV less than 2.5x and Growth less than 20%</t>
        </is>
      </c>
      <c r="BK79" s="30">
        <f>IF(BJ79="P/BV less than 2.5x and Growth more than 20%",20,IF(BJ79 = "P/BV less than 2.5x and Growth less than 20%",5,IF(BJ79="P/BV between 2.5x to 5x and Growth more than 20%",10,IF(BJ79= "P/BV between 2.5x to 5x and Growth less than 20%",-5,IF(BJ79= "P/BV above 5x",-5,0)))))</f>
        <v/>
      </c>
      <c r="BL79" s="30" t="inlineStr">
        <is>
          <t>0 to 20</t>
        </is>
      </c>
      <c r="BM79" s="30">
        <f>IF(BL79="Above 40",20,IF(BL79="20 to 40",10,IF(BL79="0 to 20",-5,0)))</f>
        <v/>
      </c>
      <c r="BN79" s="30" t="inlineStr">
        <is>
          <t>Between 50 to 75</t>
        </is>
      </c>
      <c r="BO79" s="30">
        <f>IF(BN79="Between 50 to 75",10,IF(BN79="Above 75",0,0))</f>
        <v/>
      </c>
      <c r="BP79" s="30" t="inlineStr">
        <is>
          <t>Stage 1</t>
        </is>
      </c>
      <c r="BQ79" s="30">
        <f>IF(BP79="Stage 2",20,IF(BP79="Stage 1",0,IF(BP79="Stage 3",5,IF(BP79="Stage 4",-5,0))))</f>
        <v/>
      </c>
      <c r="BR79" s="30" t="inlineStr">
        <is>
          <t>Positive Trend</t>
        </is>
      </c>
      <c r="BS79" s="30">
        <f>IF(BR79="Positive Trend",20,IF(BR79="Negative Trend",-10,0))</f>
        <v/>
      </c>
      <c r="BT79" s="30" t="inlineStr">
        <is>
          <t>Uptrend</t>
        </is>
      </c>
      <c r="BU79" s="30">
        <f>IF(BT79="Uptrend",10,IF(BT79="Sideways",5,0))</f>
        <v/>
      </c>
      <c r="BV79" s="30" t="inlineStr">
        <is>
          <t>Uptrend</t>
        </is>
      </c>
      <c r="BW79" s="30">
        <f>IF(BV79="Uptrend",10,IF(BV79="Sideways",5,0))</f>
        <v/>
      </c>
      <c r="BX79" s="30" t="inlineStr">
        <is>
          <t>Close to 52 week high or retracement</t>
        </is>
      </c>
      <c r="BY79" s="30">
        <f>IF(BX79="Overhead supply in last 2 years in last 2 years",-5,IF(BX79="Close to 52 week high or retracement",5,IF(BX79="Blue sky scenario",10,IF(BX79="Long term Downtrend",-10,0))))</f>
        <v/>
      </c>
      <c r="BZ79" s="30" t="inlineStr">
        <is>
          <t>Yes</t>
        </is>
      </c>
      <c r="CA79" s="30">
        <f>IF(BZ79="Yes",10,0)</f>
        <v/>
      </c>
    </row>
    <row r="80">
      <c r="A80" s="30">
        <f>IF(B80=0,"",RANK(B80,$B$2:$B$81,0))</f>
        <v/>
      </c>
      <c r="B80" s="31">
        <f>SUM(N80,Y80,AA80,AC80,AE80,AG80,AI80,AK80,AM80,AO80,AQ80,AS80,AU80,AW80,AY80,BA80,BC80,BE80,BG80,BI80,BK80,BM80,BO80,BQ80,BS80,BU80,BW80,BY80,CA80)</f>
        <v/>
      </c>
      <c r="C80" s="30" t="inlineStr">
        <is>
          <t>BAJFINANCE</t>
        </is>
      </c>
      <c r="D80" s="30" t="inlineStr">
        <is>
          <t>Bajaj Finance Limited</t>
        </is>
      </c>
      <c r="E80" s="30" t="inlineStr">
        <is>
          <t>financials</t>
        </is>
      </c>
      <c r="F80" s="30" t="inlineStr">
        <is>
          <t>finance &amp; investments</t>
        </is>
      </c>
      <c r="G80" s="30" t="inlineStr">
        <is>
          <t>largecap</t>
        </is>
      </c>
      <c r="H80" s="31" t="n">
        <v>596362.66</v>
      </c>
      <c r="I80" s="31" t="n">
        <v>958.85</v>
      </c>
      <c r="J80" s="31" t="n">
        <v>0.05</v>
      </c>
      <c r="K80" s="31" t="n">
        <v>5750456</v>
      </c>
      <c r="L80" s="30" t="n">
        <v>15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53.78</v>
      </c>
      <c r="P80" s="31" t="n">
        <v>13.57</v>
      </c>
      <c r="Q80" s="31" t="n">
        <v>783.73</v>
      </c>
      <c r="R80" s="30" t="inlineStr">
        <is>
          <t>Earnings / Momentum Support</t>
        </is>
      </c>
      <c r="S80" s="30" t="inlineStr">
        <is>
          <t>Nifty Bank</t>
        </is>
      </c>
      <c r="T80" s="31" t="n">
        <v>3.04</v>
      </c>
      <c r="U80" s="31" t="n">
        <v>5.95</v>
      </c>
      <c r="V80" s="31" t="n">
        <v>2.82</v>
      </c>
      <c r="W80" s="31" t="n">
        <v>4.91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Fragmented with High ROE</t>
        </is>
      </c>
      <c r="AA80" s="30">
        <f>IF(Z80="Fragmented with Low ROE",-5,IF(Z80="Fragmented with High ROE",10,IF(Z80= "highly cyclical",5,0)))</f>
        <v/>
      </c>
      <c r="AB80" s="30" t="inlineStr">
        <is>
          <t>Yes</t>
        </is>
      </c>
      <c r="AC80" s="30">
        <f>IF(AB80="No",5,0)</f>
        <v/>
      </c>
      <c r="AD80" s="30" t="inlineStr">
        <is>
          <t>Headwind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Consistency)",15,IF(AF80="Shallow Cyclical (2 to 3 years growth)",10,IF(AF80 = "Cyclical in an Uptick",5,IF(AF80 = "Cyclical in an Downtick",-10,0))))</f>
        <v/>
      </c>
      <c r="AH80" s="30" t="inlineStr">
        <is>
          <t>Yes</t>
        </is>
      </c>
      <c r="AI80" s="30">
        <f>IF(AH80="Yes",10,0)</f>
        <v/>
      </c>
      <c r="AJ80" s="30" t="inlineStr">
        <is>
          <t>Yes</t>
        </is>
      </c>
      <c r="AK80" s="30">
        <f>IF(AJ80="Yes",10,0)</f>
        <v/>
      </c>
      <c r="AL80" s="30" t="n"/>
      <c r="AM80" s="30">
        <f>IF(AL80="No",10,0)</f>
        <v/>
      </c>
      <c r="AN80" s="30" t="inlineStr">
        <is>
          <t>Yes</t>
        </is>
      </c>
      <c r="AO80" s="30">
        <f>IF(AN80="Yes",10,0)</f>
        <v/>
      </c>
      <c r="AP80" s="30" t="inlineStr">
        <is>
          <t>No</t>
        </is>
      </c>
      <c r="AQ80" s="30">
        <f>IF(AP80="Yes",10,0)</f>
        <v/>
      </c>
      <c r="AR80" s="30" t="inlineStr">
        <is>
          <t>Yes</t>
        </is>
      </c>
      <c r="AS80" s="30">
        <f>IF(AR80="Yes",5,0)</f>
        <v/>
      </c>
      <c r="AT80" s="30" t="inlineStr">
        <is>
          <t>No</t>
        </is>
      </c>
      <c r="AU80" s="30">
        <f>IF(AT80="No",10,IF(AT80="Yes",-10,0))</f>
        <v/>
      </c>
      <c r="AV80" s="30" t="inlineStr">
        <is>
          <t>No</t>
        </is>
      </c>
      <c r="AW80" s="30">
        <f>IF(AV80="No",10,0)</f>
        <v/>
      </c>
      <c r="AX80" s="30" t="inlineStr">
        <is>
          <t>No</t>
        </is>
      </c>
      <c r="AY80" s="30">
        <f>IF(AX80="No",10,IF(AX80= "Yes CEO Resignation",-5,0))</f>
        <v/>
      </c>
      <c r="AZ80" s="30" t="inlineStr">
        <is>
          <t>No</t>
        </is>
      </c>
      <c r="BA80" s="30">
        <f>IF(AZ80="No",10,IF(AZ80="Yes",-5,0))</f>
        <v/>
      </c>
      <c r="BB80" s="30" t="inlineStr">
        <is>
          <t>No</t>
        </is>
      </c>
      <c r="BC80" s="30">
        <f>IF(BB80="No",5,IF(BB80="Yes",-5,0))</f>
        <v/>
      </c>
      <c r="BD80" s="30" t="inlineStr">
        <is>
          <t>Yes</t>
        </is>
      </c>
      <c r="BE80" s="30">
        <f>IF(BD80="Yes",10,0)</f>
        <v/>
      </c>
      <c r="BF80" s="30" t="inlineStr">
        <is>
          <t>Yes</t>
        </is>
      </c>
      <c r="BG80" s="30">
        <f>IF(BF80="Yes",10,0)</f>
        <v/>
      </c>
      <c r="BH80" s="30" t="inlineStr">
        <is>
          <t>Yes</t>
        </is>
      </c>
      <c r="BI80" s="30">
        <f>IF(BH80="Yes",10,0)</f>
        <v/>
      </c>
      <c r="BJ80" s="30" t="inlineStr">
        <is>
          <t>P/BV above 5x</t>
        </is>
      </c>
      <c r="BK80" s="30">
        <f>IF(BJ80="P/BV less than 2.5x and Growth more than 20%",20,IF(BJ80 = "P/BV less than 2.5x and Growth less than 20%",5,IF(BJ80="P/BV between 2.5x to 5x and Growth more than 20%",10,IF(BJ80= "P/BV between 2.5x to 5x and Growth less than 20%",-5,IF(BJ80= "P/BV above 5x",-5,0)))))</f>
        <v/>
      </c>
      <c r="BL80" s="30" t="inlineStr">
        <is>
          <t>0 to 20</t>
        </is>
      </c>
      <c r="BM80" s="30">
        <f>IF(BL80="Above 40",20,IF(BL80="20 to 40",10,IF(BL80="0 to 20",-5,0)))</f>
        <v/>
      </c>
      <c r="BN80" s="30" t="inlineStr">
        <is>
          <t>Between 50 to 75</t>
        </is>
      </c>
      <c r="BO80" s="30">
        <f>IF(BN80="Between 50 to 75",10,IF(BN80="Above 75",0,0))</f>
        <v/>
      </c>
      <c r="BP80" s="30" t="inlineStr">
        <is>
          <t>Stage 1</t>
        </is>
      </c>
      <c r="BQ80" s="30">
        <f>IF(BP80="Stage 2",20,IF(BP80="Stage 1",0,IF(BP80="Stage 3",5,IF(BP80="Stage 4",-5,0))))</f>
        <v/>
      </c>
      <c r="BR80" s="30" t="inlineStr">
        <is>
          <t>Positive Trend</t>
        </is>
      </c>
      <c r="BS80" s="30">
        <f>IF(BR80="Positive Trend",20,IF(BR80="Negative Trend",-10,0))</f>
        <v/>
      </c>
      <c r="BT80" s="30" t="inlineStr">
        <is>
          <t>Uptrend</t>
        </is>
      </c>
      <c r="BU80" s="30">
        <f>IF(BT80="Uptrend",10,IF(BT80="Sideways",5,0))</f>
        <v/>
      </c>
      <c r="BV80" s="30" t="inlineStr">
        <is>
          <t>Uptrend</t>
        </is>
      </c>
      <c r="BW80" s="30">
        <f>IF(BV80="Uptrend",10,IF(BV80="Sideways",5,0))</f>
        <v/>
      </c>
      <c r="BX80" s="30" t="inlineStr">
        <is>
          <t>Close to 52 week high or retracement</t>
        </is>
      </c>
      <c r="BY80" s="30">
        <f>IF(BX80="Overhead supply in last 2 years in last 2 years",-5,IF(BX80="Close to 52 week high or retracement",5,IF(BX80="Blue sky scenario",10,IF(BX80="Long term Downtrend",-10,0))))</f>
        <v/>
      </c>
      <c r="BZ80" s="30" t="inlineStr">
        <is>
          <t>Yes</t>
        </is>
      </c>
      <c r="CA80" s="30">
        <f>IF(BZ80="Yes",10,0)</f>
        <v/>
      </c>
    </row>
    <row r="81">
      <c r="A81" s="30">
        <f>IF(B81=0,"",RANK(B81,$B$2:$B$81,0))</f>
        <v/>
      </c>
      <c r="B81" s="31">
        <f>SUM(N81,Y81,AA81,AC81,AE81,AG81,AI81,AK81,AM81,AO81,AQ81,AS81,AU81,AW81,AY81,BA81,BC81,BE81,BG81,BI81,BK81,BM81,BO81,BQ81,BS81,BU81,BW81,BY81,CA81)</f>
        <v/>
      </c>
      <c r="C81" s="32" t="inlineStr">
        <is>
          <t>ICICIBANK</t>
        </is>
      </c>
      <c r="D81" s="32" t="inlineStr">
        <is>
          <t>Icici Bank Limited</t>
        </is>
      </c>
      <c r="E81" s="30" t="inlineStr">
        <is>
          <t>bank</t>
        </is>
      </c>
      <c r="F81" s="30" t="inlineStr">
        <is>
          <t>banks - private sector</t>
        </is>
      </c>
      <c r="G81" s="30" t="inlineStr">
        <is>
          <t>largecap</t>
        </is>
      </c>
      <c r="H81" s="31" t="n">
        <v>957163.85</v>
      </c>
      <c r="I81" s="31" t="n">
        <v>1342.3</v>
      </c>
      <c r="J81" s="31" t="n">
        <v>0.41</v>
      </c>
      <c r="K81" s="31" t="n">
        <v>13467985</v>
      </c>
      <c r="L81" s="30" t="n">
        <v>1</v>
      </c>
      <c r="M81" s="30" t="inlineStr">
        <is>
          <t>Underperforming</t>
        </is>
      </c>
      <c r="N81" s="31">
        <f>IF(M81="Underperforming",-5,IF(L81&gt;=95,15,IF(L81&gt;=90,10,IF(L81&gt;=80,5,0))))</f>
        <v/>
      </c>
      <c r="O81" s="31" t="n">
        <v>53.9</v>
      </c>
      <c r="P81" s="31" t="n">
        <v>15.07</v>
      </c>
      <c r="Q81" s="31" t="n">
        <v>1172.5</v>
      </c>
      <c r="R81" s="30" t="inlineStr">
        <is>
          <t>Earnings / Momentum Support</t>
        </is>
      </c>
      <c r="S81" s="30" t="inlineStr">
        <is>
          <t>Nifty Bank</t>
        </is>
      </c>
      <c r="T81" s="31" t="n">
        <v>3.04</v>
      </c>
      <c r="U81" s="31" t="n">
        <v>-5.22</v>
      </c>
      <c r="V81" s="31" t="n">
        <v>-8.01</v>
      </c>
      <c r="W81" s="31" t="n">
        <v>0.62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Fragmented with High ROE</t>
        </is>
      </c>
      <c r="AA81" s="30">
        <f>IF(Z81="Fragmented with Low ROE",-5,IF(Z81="Fragmented with High ROE",10,IF(Z81= "highly cyclical",5,0)))</f>
        <v/>
      </c>
      <c r="AB81" s="30" t="inlineStr">
        <is>
          <t>Yes</t>
        </is>
      </c>
      <c r="AC81" s="30">
        <f>IF(AB81="No",5,0)</f>
        <v/>
      </c>
      <c r="AD81" s="30" t="inlineStr">
        <is>
          <t>Headwind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Consistency)",15,IF(AF81="Shallow Cyclical (2 to 3 years growth)",10,IF(AF81 = "Cyclical in an Uptick",5,IF(AF81 = "Cyclical in an Downtick",-10,0))))</f>
        <v/>
      </c>
      <c r="AH81" s="30" t="inlineStr">
        <is>
          <t>Yes</t>
        </is>
      </c>
      <c r="AI81" s="30">
        <f>IF(AH81="Yes",10,0)</f>
        <v/>
      </c>
      <c r="AJ81" s="30" t="inlineStr">
        <is>
          <t>Yes</t>
        </is>
      </c>
      <c r="AK81" s="30">
        <f>IF(AJ81="Yes",10,0)</f>
        <v/>
      </c>
      <c r="AL81" s="30" t="n"/>
      <c r="AM81" s="30">
        <f>IF(AL81="No",10,0)</f>
        <v/>
      </c>
      <c r="AN81" s="30" t="inlineStr">
        <is>
          <t>Yes</t>
        </is>
      </c>
      <c r="AO81" s="30">
        <f>IF(AN81="Yes",10,0)</f>
        <v/>
      </c>
      <c r="AP81" s="30" t="inlineStr">
        <is>
          <t>No</t>
        </is>
      </c>
      <c r="AQ81" s="30">
        <f>IF(AP81="Yes",10,0)</f>
        <v/>
      </c>
      <c r="AR81" s="30" t="inlineStr">
        <is>
          <t>Yes</t>
        </is>
      </c>
      <c r="AS81" s="30">
        <f>IF(AR81="Yes",5,0)</f>
        <v/>
      </c>
      <c r="AT81" s="30" t="inlineStr">
        <is>
          <t>No</t>
        </is>
      </c>
      <c r="AU81" s="30">
        <f>IF(AT81="No",10,IF(AT81="Yes",-10,0))</f>
        <v/>
      </c>
      <c r="AV81" s="30" t="inlineStr">
        <is>
          <t>No</t>
        </is>
      </c>
      <c r="AW81" s="30">
        <f>IF(AV81="No",10,0)</f>
        <v/>
      </c>
      <c r="AX81" s="30" t="inlineStr">
        <is>
          <t>No</t>
        </is>
      </c>
      <c r="AY81" s="30">
        <f>IF(AX81="No",10,IF(AX81= "Yes CEO Resignation",-5,0))</f>
        <v/>
      </c>
      <c r="AZ81" s="30" t="inlineStr">
        <is>
          <t>No</t>
        </is>
      </c>
      <c r="BA81" s="30">
        <f>IF(AZ81="No",10,IF(AZ81="Yes",-5,0))</f>
        <v/>
      </c>
      <c r="BB81" s="30" t="inlineStr">
        <is>
          <t>No</t>
        </is>
      </c>
      <c r="BC81" s="30">
        <f>IF(BB81="No",5,IF(BB81="Yes",-5,0))</f>
        <v/>
      </c>
      <c r="BD81" s="30" t="inlineStr">
        <is>
          <t>Yes</t>
        </is>
      </c>
      <c r="BE81" s="30">
        <f>IF(BD81="Yes",10,0)</f>
        <v/>
      </c>
      <c r="BF81" s="30" t="inlineStr">
        <is>
          <t>Yes</t>
        </is>
      </c>
      <c r="BG81" s="30">
        <f>IF(BF81="Yes",10,0)</f>
        <v/>
      </c>
      <c r="BH81" s="30" t="inlineStr">
        <is>
          <t>Yes</t>
        </is>
      </c>
      <c r="BI81" s="30">
        <f>IF(BH81="Yes",10,0)</f>
        <v/>
      </c>
      <c r="BJ81" s="30" t="inlineStr">
        <is>
          <t>P/BV between 2.5x to 5x and Growth less than 20%</t>
        </is>
      </c>
      <c r="BK81" s="30">
        <f>IF(BJ81="P/BV less than 2.5x and Growth more than 20%",20,IF(BJ81 = "P/BV less than 2.5x and Growth less than 20%",5,IF(BJ81="P/BV between 2.5x to 5x and Growth more than 20%",10,IF(BJ81= "P/BV between 2.5x to 5x and Growth less than 20%",-5,IF(BJ81= "P/BV above 5x",-5,0)))))</f>
        <v/>
      </c>
      <c r="BL81" s="30" t="inlineStr">
        <is>
          <t>0 to 20</t>
        </is>
      </c>
      <c r="BM81" s="30">
        <f>IF(BL81="Above 40",20,IF(BL81="20 to 40",10,IF(BL81="0 to 20",-5,0)))</f>
        <v/>
      </c>
      <c r="BN81" s="30" t="inlineStr">
        <is>
          <t>Between 50 to 75</t>
        </is>
      </c>
      <c r="BO81" s="30">
        <f>IF(BN81="Between 50 to 75",10,IF(BN81="Above 75",0,0))</f>
        <v/>
      </c>
      <c r="BP81" s="30" t="inlineStr">
        <is>
          <t>Stage 1</t>
        </is>
      </c>
      <c r="BQ81" s="30">
        <f>IF(BP81="Stage 2",20,IF(BP81="Stage 1",0,IF(BP81="Stage 3",5,IF(BP81="Stage 4",-5,0))))</f>
        <v/>
      </c>
      <c r="BR81" s="30" t="inlineStr">
        <is>
          <t>Positive Trend</t>
        </is>
      </c>
      <c r="BS81" s="30">
        <f>IF(BR81="Positive Trend",20,IF(BR81="Negative Trend",-10,0))</f>
        <v/>
      </c>
      <c r="BT81" s="30" t="inlineStr">
        <is>
          <t>Uptrend</t>
        </is>
      </c>
      <c r="BU81" s="30">
        <f>IF(BT81="Uptrend",10,IF(BT81="Sideways",5,0))</f>
        <v/>
      </c>
      <c r="BV81" s="30" t="inlineStr">
        <is>
          <t>Uptrend</t>
        </is>
      </c>
      <c r="BW81" s="30">
        <f>IF(BV81="Uptrend",10,IF(BV81="Sideways",5,0))</f>
        <v/>
      </c>
      <c r="BX81" s="30" t="inlineStr">
        <is>
          <t>Close to 52 week high or retracement</t>
        </is>
      </c>
      <c r="BY81" s="30">
        <f>IF(BX81="Overhead supply in last 2 years in last 2 years",-5,IF(BX81="Close to 52 week high or retracement",5,IF(BX81="Blue sky scenario",10,IF(BX81="Long term Downtrend",-10,0))))</f>
        <v/>
      </c>
      <c r="BZ81" s="30" t="inlineStr">
        <is>
          <t>Yes</t>
        </is>
      </c>
      <c r="CA81" s="30">
        <f>IF(BZ81="Yes",10,0)</f>
        <v/>
      </c>
    </row>
  </sheetData>
  <autoFilter ref="A1:CA81"/>
  <conditionalFormatting sqref="B2:B8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81">
    <cfRule type="cellIs" priority="34" operator="equal" dxfId="3" stopIfTrue="1">
      <formula>"Underperforming"</formula>
    </cfRule>
  </conditionalFormatting>
  <conditionalFormatting sqref="N2:N81">
    <cfRule type="cellIs" priority="35" operator="equal" dxfId="3" stopIfTrue="1">
      <formula>-5</formula>
    </cfRule>
  </conditionalFormatting>
  <conditionalFormatting sqref="Q2:Q81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81" showDropDown="0" showInputMessage="0" showErrorMessage="0" allowBlank="1" type="list">
      <formula1>"Growing Industry,Stagnant Industry,Cyclical in an Upturn"</formula1>
    </dataValidation>
    <dataValidation sqref="Z2:Z81" showDropDown="0" showInputMessage="0" showErrorMessage="0" allowBlank="1" type="list">
      <formula1>"Fragmented with Low ROE,Fragmented with High ROE,Highly Cyclical"</formula1>
    </dataValidation>
    <dataValidation sqref="AB2:AB81" showDropDown="0" showInputMessage="0" showErrorMessage="0" allowBlank="1" type="list">
      <formula1>"Yes,No"</formula1>
    </dataValidation>
    <dataValidation sqref="AD2:AD81" showDropDown="0" showInputMessage="0" showErrorMessage="0" allowBlank="1" type="list">
      <formula1>"Tailwind,Headwind"</formula1>
    </dataValidation>
    <dataValidation sqref="AF2:AF81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81" showDropDown="0" showInputMessage="0" showErrorMessage="0" allowBlank="1" type="list">
      <formula1>"Yes,No"</formula1>
    </dataValidation>
    <dataValidation sqref="AJ2:AJ81" showDropDown="0" showInputMessage="0" showErrorMessage="0" allowBlank="1" type="list">
      <formula1>"Yes,No,Not Applicable"</formula1>
    </dataValidation>
    <dataValidation sqref="AL2:AL81" showDropDown="0" showInputMessage="0" showErrorMessage="0" allowBlank="1" type="list">
      <formula1>"Yes,No"</formula1>
    </dataValidation>
    <dataValidation sqref="AN2:AN81" showDropDown="0" showInputMessage="0" showErrorMessage="0" allowBlank="1" type="list">
      <formula1>"Yes,No"</formula1>
    </dataValidation>
    <dataValidation sqref="AP2:AP81" showDropDown="0" showInputMessage="0" showErrorMessage="0" allowBlank="1" type="list">
      <formula1>"Yes,No"</formula1>
    </dataValidation>
    <dataValidation sqref="AR2:AR81" showDropDown="0" showInputMessage="0" showErrorMessage="0" allowBlank="1" type="list">
      <formula1>"Yes,No"</formula1>
    </dataValidation>
    <dataValidation sqref="AT2:AT81" showDropDown="0" showInputMessage="0" showErrorMessage="0" allowBlank="1" type="list">
      <formula1>"No,Yes"</formula1>
    </dataValidation>
    <dataValidation sqref="AV2:AV81" showDropDown="0" showInputMessage="0" showErrorMessage="0" allowBlank="1" type="list">
      <formula1>"No,Yes"</formula1>
    </dataValidation>
    <dataValidation sqref="AX2:AX81" showDropDown="0" showInputMessage="0" showErrorMessage="0" allowBlank="1" type="list">
      <formula1>"No,Yes CEO Resignation,Yes CEO Retirement"</formula1>
    </dataValidation>
    <dataValidation sqref="AZ2:AZ81" showDropDown="0" showInputMessage="0" showErrorMessage="0" allowBlank="1" type="list">
      <formula1>"No,Yes"</formula1>
    </dataValidation>
    <dataValidation sqref="BB2:BB81" showDropDown="0" showInputMessage="0" showErrorMessage="0" allowBlank="1" type="list">
      <formula1>"No,Yes"</formula1>
    </dataValidation>
    <dataValidation sqref="BD2:BD81" showDropDown="0" showInputMessage="0" showErrorMessage="0" allowBlank="1" type="list">
      <formula1>"Yes,No"</formula1>
    </dataValidation>
    <dataValidation sqref="BF2:BF81" showDropDown="0" showInputMessage="0" showErrorMessage="0" allowBlank="1" type="list">
      <formula1>"Yes,No"</formula1>
    </dataValidation>
    <dataValidation sqref="BH2:BH81" showDropDown="0" showInputMessage="0" showErrorMessage="0" allowBlank="1" type="list">
      <formula1>"Yes,No"</formula1>
    </dataValidation>
    <dataValidation sqref="BJ2:BJ81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81" showDropDown="0" showInputMessage="0" showErrorMessage="0" allowBlank="1" type="list">
      <formula1>"Above 40,20 to 40,0 to 20"</formula1>
    </dataValidation>
    <dataValidation sqref="BN2:BN81" showDropDown="0" showInputMessage="0" showErrorMessage="0" allowBlank="1" type="list">
      <formula1>"Between 50 to 75,Above 75,Below 45"</formula1>
    </dataValidation>
    <dataValidation sqref="BP2:BP81" showDropDown="0" showInputMessage="0" showErrorMessage="0" allowBlank="1" type="list">
      <formula1>"Stage 1,Stage 2,Stage 3,Stage 4"</formula1>
    </dataValidation>
    <dataValidation sqref="BR2:BR81" showDropDown="0" showInputMessage="0" showErrorMessage="0" allowBlank="1" type="list">
      <formula1>"Positive Trend,Negative Trend"</formula1>
    </dataValidation>
    <dataValidation sqref="BT2:BT81" showDropDown="0" showInputMessage="0" showErrorMessage="0" allowBlank="1" type="list">
      <formula1>"Uptrend,Sideways,Downtrend"</formula1>
    </dataValidation>
    <dataValidation sqref="BV2:BV81" showDropDown="0" showInputMessage="0" showErrorMessage="0" allowBlank="1" type="list">
      <formula1>"Uptrend,Sideways,Downtrend"</formula1>
    </dataValidation>
    <dataValidation sqref="BX2:BX8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8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IF(B2=0,"",RANK(B2,$B$2:$B$22,0))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139</v>
      </c>
      <c r="E2" s="31" t="inlineStr">
        <is>
          <t>5%</t>
        </is>
      </c>
      <c r="F2" s="31" t="n">
        <v>50000</v>
      </c>
      <c r="G2" s="31" t="n">
        <v>1980</v>
      </c>
      <c r="H2" s="30" t="inlineStr">
        <is>
          <t>IBULLSLTD</t>
        </is>
      </c>
      <c r="I2" s="30" t="inlineStr">
        <is>
          <t>Indiabulls Limited</t>
        </is>
      </c>
      <c r="J2" s="30" t="inlineStr">
        <is>
          <t>miscellaneous</t>
        </is>
      </c>
      <c r="K2" s="30" t="inlineStr">
        <is>
          <t>diversified - medium / small</t>
        </is>
      </c>
      <c r="L2" s="30" t="inlineStr">
        <is>
          <t>midcap</t>
        </is>
      </c>
      <c r="M2" s="31" t="n">
        <v>5590.14</v>
      </c>
      <c r="N2" s="31" t="n">
        <v>25.25</v>
      </c>
      <c r="O2" s="31" t="n">
        <v>4.99</v>
      </c>
      <c r="P2" s="31" t="n">
        <v>5038057</v>
      </c>
      <c r="Q2" s="30" t="n">
        <v>96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74.90000000000001</v>
      </c>
      <c r="U2" s="31" t="n">
        <v>36.21</v>
      </c>
      <c r="V2" s="31" t="n">
        <v>18.07</v>
      </c>
      <c r="W2" s="30" t="inlineStr">
        <is>
          <t>Near 52W High Breakout</t>
        </is>
      </c>
      <c r="X2" s="30" t="inlineStr">
        <is>
          <t>Nifty 50</t>
        </is>
      </c>
      <c r="Y2" s="31" t="n">
        <v>-3.76</v>
      </c>
      <c r="Z2" s="31" t="n">
        <v>43.87</v>
      </c>
      <c r="AA2" s="31" t="n">
        <v>49.5</v>
      </c>
      <c r="AB2" s="31" t="n">
        <v>52.68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20 to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Between 50% to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IF(B3=0,"",RANK(B3,$B$2:$B$22,0))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138.7</v>
      </c>
      <c r="E3" s="31" t="inlineStr">
        <is>
          <t>5%</t>
        </is>
      </c>
      <c r="F3" s="31" t="n">
        <v>50000</v>
      </c>
      <c r="G3" s="31" t="n">
        <v>80</v>
      </c>
      <c r="H3" s="30" t="inlineStr">
        <is>
          <t>BAJAJCON</t>
        </is>
      </c>
      <c r="I3" s="30" t="inlineStr">
        <is>
          <t>Bajaj Consumer Care Ltd</t>
        </is>
      </c>
      <c r="J3" s="30" t="inlineStr">
        <is>
          <t>fmcg</t>
        </is>
      </c>
      <c r="K3" s="30" t="inlineStr">
        <is>
          <t>personal care - indian</t>
        </is>
      </c>
      <c r="L3" s="30" t="inlineStr">
        <is>
          <t>midcap</t>
        </is>
      </c>
      <c r="M3" s="31" t="n">
        <v>7874.33</v>
      </c>
      <c r="N3" s="31" t="n">
        <v>620.5</v>
      </c>
      <c r="O3" s="31" t="n">
        <v>2.93</v>
      </c>
      <c r="P3" s="31" t="n">
        <v>756495</v>
      </c>
      <c r="Q3" s="30" t="n">
        <v>95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79.26000000000001</v>
      </c>
      <c r="U3" s="31" t="n">
        <v>56.08</v>
      </c>
      <c r="V3" s="31" t="n">
        <v>488.94</v>
      </c>
      <c r="W3" s="30" t="inlineStr">
        <is>
          <t>Near 52W High Breakout</t>
        </is>
      </c>
      <c r="X3" s="30" t="inlineStr">
        <is>
          <t>Nifty FMCG</t>
        </is>
      </c>
      <c r="Y3" s="31" t="n">
        <v>-9.109999999999999</v>
      </c>
      <c r="Z3" s="31" t="n">
        <v>266.62</v>
      </c>
      <c r="AA3" s="31" t="n">
        <v>303.36</v>
      </c>
      <c r="AB3" s="31" t="n">
        <v>46.7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B2C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Yes</t>
        </is>
      </c>
      <c r="BX3" s="30">
        <f>IF(BW3="NO",5,0)</f>
        <v/>
      </c>
      <c r="BY3" s="30" t="inlineStr">
        <is>
          <t>Above 2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IF(B4=0,"",RANK(B4,$B$2:$B$22,0))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138.7</v>
      </c>
      <c r="E4" s="31" t="inlineStr">
        <is>
          <t>5%</t>
        </is>
      </c>
      <c r="F4" s="31" t="n">
        <v>50000</v>
      </c>
      <c r="G4" s="31" t="n">
        <v>15</v>
      </c>
      <c r="H4" s="30" t="inlineStr">
        <is>
          <t>STYLAMIND</t>
        </is>
      </c>
      <c r="I4" s="30" t="inlineStr">
        <is>
          <t>Stylam Industries Ltd</t>
        </is>
      </c>
      <c r="J4" s="30" t="inlineStr">
        <is>
          <t>building materials</t>
        </is>
      </c>
      <c r="K4" s="30" t="inlineStr">
        <is>
          <t>miscellaneous</t>
        </is>
      </c>
      <c r="L4" s="30" t="inlineStr">
        <is>
          <t>midcap</t>
        </is>
      </c>
      <c r="M4" s="31" t="n">
        <v>5582.52</v>
      </c>
      <c r="N4" s="31" t="n">
        <v>3312.9</v>
      </c>
      <c r="O4" s="31" t="n">
        <v>0.58</v>
      </c>
      <c r="P4" s="31" t="n">
        <v>23272</v>
      </c>
      <c r="Q4" s="30" t="n">
        <v>83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91.44</v>
      </c>
      <c r="U4" s="31" t="n">
        <v>59.62</v>
      </c>
      <c r="V4" s="31" t="n">
        <v>2831.32</v>
      </c>
      <c r="W4" s="30" t="inlineStr">
        <is>
          <t>Near 52W High Breakout</t>
        </is>
      </c>
      <c r="X4" s="30" t="inlineStr">
        <is>
          <t>Nifty Infra</t>
        </is>
      </c>
      <c r="Y4" s="31" t="n">
        <v>4.04</v>
      </c>
      <c r="Z4" s="31" t="n">
        <v>101.26</v>
      </c>
      <c r="AA4" s="31" t="n">
        <v>93.44</v>
      </c>
      <c r="AB4" s="31" t="n">
        <v>26.57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IF(B5=0,"",RANK(B5,$B$2:$B$22,0))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138.8</v>
      </c>
      <c r="E5" s="31" t="inlineStr">
        <is>
          <t>5%</t>
        </is>
      </c>
      <c r="F5" s="31" t="n">
        <v>50000</v>
      </c>
      <c r="G5" s="31" t="n">
        <v>13</v>
      </c>
      <c r="H5" s="30" t="inlineStr">
        <is>
          <t>RADICO</t>
        </is>
      </c>
      <c r="I5" s="30" t="inlineStr">
        <is>
          <t>Radico Khaitan Limited</t>
        </is>
      </c>
      <c r="J5" s="30" t="inlineStr">
        <is>
          <t>fmcg</t>
        </is>
      </c>
      <c r="K5" s="30" t="inlineStr">
        <is>
          <t>breweries &amp; distilleries</t>
        </is>
      </c>
      <c r="L5" s="30" t="inlineStr">
        <is>
          <t>largecap</t>
        </is>
      </c>
      <c r="M5" s="31" t="n">
        <v>47831.02</v>
      </c>
      <c r="N5" s="31" t="n">
        <v>3690</v>
      </c>
      <c r="O5" s="31" t="n">
        <v>3.3</v>
      </c>
      <c r="P5" s="31" t="n">
        <v>1199579</v>
      </c>
      <c r="Q5" s="30" t="n">
        <v>63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72.23999999999999</v>
      </c>
      <c r="U5" s="31" t="n">
        <v>36.08</v>
      </c>
      <c r="V5" s="31" t="n">
        <v>3035.45</v>
      </c>
      <c r="W5" s="30" t="inlineStr">
        <is>
          <t>Near 52W High Breakout</t>
        </is>
      </c>
      <c r="X5" s="30" t="inlineStr">
        <is>
          <t>Nifty FMCG</t>
        </is>
      </c>
      <c r="Y5" s="31" t="n">
        <v>-9.109999999999999</v>
      </c>
      <c r="Z5" s="31" t="n">
        <v>40.35</v>
      </c>
      <c r="AA5" s="31" t="n">
        <v>54.42</v>
      </c>
      <c r="AB5" s="31" t="n">
        <v>16.29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B2C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Annuity, Lower One Time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20 to 40</t>
        </is>
      </c>
      <c r="BD5" s="30">
        <f>IF(BC5="Above 40",20,IF(BC5="20 to 40",10,IF(BC5="0 to 20",-5,0)))</f>
        <v/>
      </c>
      <c r="BE5" s="30" t="inlineStr">
        <is>
          <t>Between 50 to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Yes</t>
        </is>
      </c>
      <c r="BX5" s="30">
        <f>IF(BW5="NO",5,0)</f>
        <v/>
      </c>
      <c r="BY5" s="30" t="inlineStr">
        <is>
          <t>Less than 1.5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IF(B6=0,"",RANK(B6,$B$2:$B$22,0))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139.4</v>
      </c>
      <c r="E6" s="31" t="inlineStr">
        <is>
          <t>5%</t>
        </is>
      </c>
      <c r="F6" s="31" t="n">
        <v>50000</v>
      </c>
      <c r="G6" s="31" t="n">
        <v>103</v>
      </c>
      <c r="H6" s="30" t="inlineStr">
        <is>
          <t>BLISSGVS</t>
        </is>
      </c>
      <c r="I6" s="30" t="inlineStr">
        <is>
          <t>Bliss Gvs Pharma Limited</t>
        </is>
      </c>
      <c r="J6" s="30" t="inlineStr">
        <is>
          <t>healthcare</t>
        </is>
      </c>
      <c r="K6" s="30" t="inlineStr">
        <is>
          <t>pharmaceuticals - indian - formulations</t>
        </is>
      </c>
      <c r="L6" s="30" t="inlineStr">
        <is>
          <t>midcap</t>
        </is>
      </c>
      <c r="M6" s="31" t="n">
        <v>5023.39</v>
      </c>
      <c r="N6" s="31" t="n">
        <v>482.95</v>
      </c>
      <c r="O6" s="31" t="n">
        <v>1.71</v>
      </c>
      <c r="P6" s="31" t="n">
        <v>902557</v>
      </c>
      <c r="Q6" s="30" t="n">
        <v>97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90.2</v>
      </c>
      <c r="U6" s="31" t="n">
        <v>63.5</v>
      </c>
      <c r="V6" s="31" t="n">
        <v>372.21</v>
      </c>
      <c r="W6" s="30" t="inlineStr">
        <is>
          <t>Near 52W High Breakout</t>
        </is>
      </c>
      <c r="X6" s="30" t="inlineStr">
        <is>
          <t>Nifty Pharma</t>
        </is>
      </c>
      <c r="Y6" s="31" t="n">
        <v>12.35</v>
      </c>
      <c r="Z6" s="31" t="n">
        <v>250.73</v>
      </c>
      <c r="AA6" s="31" t="n">
        <v>212.17</v>
      </c>
      <c r="AB6" s="31" t="n">
        <v>61.05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Yes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Annuity, Lower One Time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Yes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IF(B7=0,"",RANK(B7,$B$2:$B$22,0))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138.9</v>
      </c>
      <c r="E7" s="31" t="inlineStr">
        <is>
          <t>5%</t>
        </is>
      </c>
      <c r="F7" s="31" t="n">
        <v>50000</v>
      </c>
      <c r="G7" s="31" t="n">
        <v>295</v>
      </c>
      <c r="H7" s="30" t="inlineStr">
        <is>
          <t>CUPID</t>
        </is>
      </c>
      <c r="I7" s="30" t="inlineStr">
        <is>
          <t>Cupid Limited</t>
        </is>
      </c>
      <c r="J7" s="30" t="inlineStr">
        <is>
          <t>fmcg</t>
        </is>
      </c>
      <c r="K7" s="30" t="inlineStr">
        <is>
          <t>personal care - indian</t>
        </is>
      </c>
      <c r="L7" s="30" t="inlineStr">
        <is>
          <t>largecap</t>
        </is>
      </c>
      <c r="M7" s="31" t="n">
        <v>22345.57</v>
      </c>
      <c r="N7" s="31" t="n">
        <v>169.19</v>
      </c>
      <c r="O7" s="31" t="n">
        <v>1.81</v>
      </c>
      <c r="P7" s="31" t="n">
        <v>33831014</v>
      </c>
      <c r="Q7" s="30" t="n">
        <v>99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83.2</v>
      </c>
      <c r="U7" s="31" t="n">
        <v>48.57</v>
      </c>
      <c r="V7" s="31" t="n">
        <v>131.64</v>
      </c>
      <c r="W7" s="30" t="inlineStr">
        <is>
          <t>Near 52W High Breakout</t>
        </is>
      </c>
      <c r="X7" s="30" t="inlineStr">
        <is>
          <t>Nifty FMCG</t>
        </is>
      </c>
      <c r="Y7" s="31" t="n">
        <v>-9.109999999999999</v>
      </c>
      <c r="Z7" s="31" t="n">
        <v>810.41</v>
      </c>
      <c r="AA7" s="31" t="n">
        <v>901.65</v>
      </c>
      <c r="AB7" s="31" t="n">
        <v>90.70999999999999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B2C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Annuity, Lower One Time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Less than 50%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IF(B8=0,"",RANK(B8,$B$2:$B$22,0))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139.2</v>
      </c>
      <c r="E8" s="31" t="inlineStr">
        <is>
          <t>5%</t>
        </is>
      </c>
      <c r="F8" s="31" t="n">
        <v>50000</v>
      </c>
      <c r="G8" s="31" t="n">
        <v>40</v>
      </c>
      <c r="H8" s="30" t="inlineStr">
        <is>
          <t>CARYSIL</t>
        </is>
      </c>
      <c r="I8" s="30" t="inlineStr">
        <is>
          <t>Carysil Ltd</t>
        </is>
      </c>
      <c r="J8" s="30" t="inlineStr">
        <is>
          <t>consumer discretionary</t>
        </is>
      </c>
      <c r="K8" s="30" t="inlineStr">
        <is>
          <t>domestic appliances</t>
        </is>
      </c>
      <c r="L8" s="30" t="inlineStr">
        <is>
          <t>smallcap</t>
        </is>
      </c>
      <c r="M8" s="31" t="n">
        <v>3378.41</v>
      </c>
      <c r="N8" s="31" t="n">
        <v>1237.8</v>
      </c>
      <c r="O8" s="31" t="n">
        <v>4.21</v>
      </c>
      <c r="P8" s="31" t="n">
        <v>283926</v>
      </c>
      <c r="Q8" s="30" t="n">
        <v>74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73.92</v>
      </c>
      <c r="U8" s="31" t="n">
        <v>23.52</v>
      </c>
      <c r="V8" s="31" t="n">
        <v>940.91</v>
      </c>
      <c r="W8" s="30" t="inlineStr">
        <is>
          <t>Near 52W High Breakout</t>
        </is>
      </c>
      <c r="X8" s="30" t="inlineStr">
        <is>
          <t>Nifty 50</t>
        </is>
      </c>
      <c r="Y8" s="31" t="n">
        <v>-3.76</v>
      </c>
      <c r="Z8" s="31" t="n">
        <v>43.91</v>
      </c>
      <c r="AA8" s="31" t="n">
        <v>49.53</v>
      </c>
      <c r="AB8" s="31" t="n">
        <v>21.65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20 to 40</t>
        </is>
      </c>
      <c r="BD8" s="30">
        <f>IF(BC8="Above 40",20,IF(BC8="20 to 40",10,IF(BC8="0 to 20",-5,0)))</f>
        <v/>
      </c>
      <c r="BE8" s="30" t="inlineStr">
        <is>
          <t>Between 50 to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Less than 1.5</t>
        </is>
      </c>
      <c r="BZ8" s="30">
        <f>IF(BY8="Above 2",0,IF(BY8="Between 1.5 to 2",5,IF(BY8="Less than 1.5",10,0)))</f>
        <v/>
      </c>
      <c r="CA8" s="30" t="inlineStr">
        <is>
          <t>Between 50% to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IF(B9=0,"",RANK(B9,$B$2:$B$22,0))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140</v>
      </c>
      <c r="E9" s="31" t="inlineStr">
        <is>
          <t>5%</t>
        </is>
      </c>
      <c r="F9" s="31" t="n">
        <v>50000</v>
      </c>
      <c r="G9" s="31" t="n">
        <v>132</v>
      </c>
      <c r="H9" s="30" t="inlineStr">
        <is>
          <t>BHAGYANGR</t>
        </is>
      </c>
      <c r="I9" s="30" t="inlineStr">
        <is>
          <t>Bhagyanagar India</t>
        </is>
      </c>
      <c r="J9" s="30" t="inlineStr">
        <is>
          <t>power &amp; utilities</t>
        </is>
      </c>
      <c r="K9" s="30" t="inlineStr">
        <is>
          <t>power generation and supply</t>
        </is>
      </c>
      <c r="L9" s="30" t="inlineStr">
        <is>
          <t>smallcap</t>
        </is>
      </c>
      <c r="M9" s="31" t="n">
        <v>1150.22</v>
      </c>
      <c r="N9" s="31" t="n">
        <v>377.45</v>
      </c>
      <c r="O9" s="31" t="n">
        <v>4.99</v>
      </c>
      <c r="P9" s="31" t="n">
        <v>95698</v>
      </c>
      <c r="Q9" s="30" t="n">
        <v>98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81.56999999999999</v>
      </c>
      <c r="U9" s="31" t="n">
        <v>60.17</v>
      </c>
      <c r="V9" s="31" t="n">
        <v>272.09</v>
      </c>
      <c r="W9" s="30" t="inlineStr">
        <is>
          <t>Near 52W High Breakout</t>
        </is>
      </c>
      <c r="X9" s="30" t="inlineStr">
        <is>
          <t>Nifty IT</t>
        </is>
      </c>
      <c r="Y9" s="31" t="n">
        <v>-26.99</v>
      </c>
      <c r="Z9" s="31" t="n">
        <v>381.01</v>
      </c>
      <c r="AA9" s="31" t="n">
        <v>558.86</v>
      </c>
      <c r="AB9" s="31" t="n">
        <v>77.83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Above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No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Between 50% to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Between 0.7 to 1.2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IF(B10=0,"",RANK(B10,$B$2:$B$22,0))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139.3</v>
      </c>
      <c r="E10" s="31" t="inlineStr">
        <is>
          <t>5%</t>
        </is>
      </c>
      <c r="F10" s="31" t="n">
        <v>50000</v>
      </c>
      <c r="G10" s="31" t="n">
        <v>75</v>
      </c>
      <c r="H10" s="30" t="inlineStr">
        <is>
          <t>VTL</t>
        </is>
      </c>
      <c r="I10" s="30" t="inlineStr">
        <is>
          <t>Vardhman Textiles Limited</t>
        </is>
      </c>
      <c r="J10" s="30" t="inlineStr">
        <is>
          <t>textiles</t>
        </is>
      </c>
      <c r="K10" s="30" t="inlineStr">
        <is>
          <t>textiles - cotton/blended</t>
        </is>
      </c>
      <c r="L10" s="30" t="inlineStr">
        <is>
          <t>midcap</t>
        </is>
      </c>
      <c r="M10" s="31" t="n">
        <v>18113.38</v>
      </c>
      <c r="N10" s="31" t="n">
        <v>661.4</v>
      </c>
      <c r="O10" s="31" t="n">
        <v>5.63</v>
      </c>
      <c r="P10" s="31" t="n">
        <v>1413690</v>
      </c>
      <c r="Q10" s="30" t="n">
        <v>52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71.34</v>
      </c>
      <c r="U10" s="31" t="n">
        <v>52.83</v>
      </c>
      <c r="V10" s="31" t="n">
        <v>522.52</v>
      </c>
      <c r="W10" s="30" t="inlineStr">
        <is>
          <t>Near 52W High Breakout</t>
        </is>
      </c>
      <c r="X10" s="30" t="inlineStr">
        <is>
          <t>Nifty 50</t>
        </is>
      </c>
      <c r="Y10" s="31" t="n">
        <v>-3.76</v>
      </c>
      <c r="Z10" s="31" t="n">
        <v>46.1</v>
      </c>
      <c r="AA10" s="31" t="n">
        <v>51.81</v>
      </c>
      <c r="AB10" s="31" t="n">
        <v>13.26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Between 50 to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Less than 12%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No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Above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IF(B11=0,"",RANK(B11,$B$2:$B$22,0))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139.6</v>
      </c>
      <c r="E11" s="31" t="inlineStr">
        <is>
          <t>5%</t>
        </is>
      </c>
      <c r="F11" s="31" t="n">
        <v>50000</v>
      </c>
      <c r="G11" s="31" t="n">
        <v>37</v>
      </c>
      <c r="H11" s="30" t="inlineStr">
        <is>
          <t>SYRMA</t>
        </is>
      </c>
      <c r="I11" s="30" t="inlineStr">
        <is>
          <t>Syrma SGS Technology Ltd</t>
        </is>
      </c>
      <c r="J11" s="30" t="inlineStr">
        <is>
          <t>consumer discretionary</t>
        </is>
      </c>
      <c r="K11" s="30" t="inlineStr">
        <is>
          <t>electronics - components</t>
        </is>
      </c>
      <c r="L11" s="30" t="inlineStr">
        <is>
          <t>largecap</t>
        </is>
      </c>
      <c r="M11" s="31" t="n">
        <v>25035.18</v>
      </c>
      <c r="N11" s="31" t="n">
        <v>1346.8</v>
      </c>
      <c r="O11" s="31" t="n">
        <v>3.74</v>
      </c>
      <c r="P11" s="31" t="n">
        <v>1276205</v>
      </c>
      <c r="Q11" s="30" t="n">
        <v>93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77.09999999999999</v>
      </c>
      <c r="U11" s="31" t="n">
        <v>37.65</v>
      </c>
      <c r="V11" s="31" t="n">
        <v>1061.32</v>
      </c>
      <c r="W11" s="30" t="inlineStr">
        <is>
          <t>Near 52W High Breakout</t>
        </is>
      </c>
      <c r="X11" s="30" t="inlineStr">
        <is>
          <t>Nifty 50</t>
        </is>
      </c>
      <c r="Y11" s="31" t="n">
        <v>-3.76</v>
      </c>
      <c r="Z11" s="31" t="n">
        <v>166.32</v>
      </c>
      <c r="AA11" s="31" t="n">
        <v>176.72</v>
      </c>
      <c r="AB11" s="31" t="n">
        <v>40.54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Above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Between 1.5 to 2</t>
        </is>
      </c>
      <c r="BZ11" s="30">
        <f>IF(BY11="Above 2",0,IF(BY11="Between 1.5 to 2",5,IF(BY11="Less than 1.5",10,0)))</f>
        <v/>
      </c>
      <c r="CA11" s="30" t="inlineStr">
        <is>
          <t>Between 50% to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IF(B12=0,"",RANK(B12,$B$2:$B$22,0))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139.2</v>
      </c>
      <c r="E12" s="31" t="inlineStr">
        <is>
          <t>5%</t>
        </is>
      </c>
      <c r="F12" s="31" t="n">
        <v>50000</v>
      </c>
      <c r="G12" s="31" t="n">
        <v>99</v>
      </c>
      <c r="H12" s="30" t="inlineStr">
        <is>
          <t>SIGMAADV</t>
        </is>
      </c>
      <c r="I12" s="30" t="inlineStr">
        <is>
          <t>Sigma Advanced System Ltd</t>
        </is>
      </c>
      <c r="J12" s="30" t="inlineStr">
        <is>
          <t>aerospace &amp; defence</t>
        </is>
      </c>
      <c r="K12" s="30" t="inlineStr">
        <is>
          <t>electronics - components</t>
        </is>
      </c>
      <c r="L12" s="30" t="inlineStr">
        <is>
          <t>midcap</t>
        </is>
      </c>
      <c r="M12" s="31" t="n">
        <v>8393.42</v>
      </c>
      <c r="N12" s="31" t="n">
        <v>500.05</v>
      </c>
      <c r="O12" s="31" t="n">
        <v>5</v>
      </c>
      <c r="P12" s="31" t="n">
        <v>203095</v>
      </c>
      <c r="Q12" s="30" t="n">
        <v>99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86.98</v>
      </c>
      <c r="U12" s="31" t="n">
        <v>43.45</v>
      </c>
      <c r="V12" s="31" t="n">
        <v>377.36</v>
      </c>
      <c r="W12" s="30" t="inlineStr">
        <is>
          <t>Near 52W High Breakout</t>
        </is>
      </c>
      <c r="X12" s="30" t="inlineStr">
        <is>
          <t>Nifty 50</t>
        </is>
      </c>
      <c r="Y12" s="31" t="n">
        <v>-3.76</v>
      </c>
      <c r="Z12" s="31" t="n">
        <v>485.33</v>
      </c>
      <c r="AA12" s="31" t="n">
        <v>508.21</v>
      </c>
      <c r="AB12" s="31" t="n">
        <v>94.68000000000001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Above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No</t>
        </is>
      </c>
      <c r="BX12" s="30">
        <f>IF(BW12="NO",5,0)</f>
        <v/>
      </c>
      <c r="BY12" s="30" t="inlineStr">
        <is>
          <t>Less than 1.5</t>
        </is>
      </c>
      <c r="BZ12" s="30">
        <f>IF(BY12="Above 2",0,IF(BY12="Between 1.5 to 2",5,IF(BY12="Less than 1.5",10,0)))</f>
        <v/>
      </c>
      <c r="CA12" s="30" t="inlineStr">
        <is>
          <t>Negative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Between 0.7 to 1.2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IF(B13=0,"",RANK(B13,$B$2:$B$22,0))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139.2</v>
      </c>
      <c r="E13" s="31" t="inlineStr">
        <is>
          <t>5%</t>
        </is>
      </c>
      <c r="F13" s="31" t="n">
        <v>50000</v>
      </c>
      <c r="G13" s="31" t="n">
        <v>13</v>
      </c>
      <c r="H13" s="30" t="inlineStr">
        <is>
          <t>SHRIPISTON</t>
        </is>
      </c>
      <c r="I13" s="30" t="inlineStr">
        <is>
          <t>Shriram Pistons &amp; Rings Limited</t>
        </is>
      </c>
      <c r="J13" s="30" t="inlineStr">
        <is>
          <t>auto</t>
        </is>
      </c>
      <c r="K13" s="30" t="inlineStr">
        <is>
          <t>auto ancillaries</t>
        </is>
      </c>
      <c r="L13" s="30" t="inlineStr">
        <is>
          <t>midcap</t>
        </is>
      </c>
      <c r="M13" s="31" t="n">
        <v>16316.05</v>
      </c>
      <c r="N13" s="31" t="n">
        <v>3807.2</v>
      </c>
      <c r="O13" s="31" t="n">
        <v>2.79</v>
      </c>
      <c r="P13" s="31" t="n">
        <v>130749</v>
      </c>
      <c r="Q13" s="30" t="n">
        <v>59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64.36</v>
      </c>
      <c r="U13" s="31" t="n">
        <v>29</v>
      </c>
      <c r="V13" s="31" t="n">
        <v>2968.13</v>
      </c>
      <c r="W13" s="30" t="inlineStr">
        <is>
          <t>Near 52W High Breakout</t>
        </is>
      </c>
      <c r="X13" s="30" t="inlineStr">
        <is>
          <t>Nifty Auto</t>
        </is>
      </c>
      <c r="Y13" s="31" t="n">
        <v>12.95</v>
      </c>
      <c r="Z13" s="31" t="n">
        <v>61.97</v>
      </c>
      <c r="AA13" s="31" t="n">
        <v>43.4</v>
      </c>
      <c r="AB13" s="31" t="n">
        <v>14.85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20 to 40</t>
        </is>
      </c>
      <c r="BD13" s="30">
        <f>IF(BC13="Above 40",20,IF(BC13="20 to 40",10,IF(BC13="0 to 20",-5,0)))</f>
        <v/>
      </c>
      <c r="BE13" s="30" t="inlineStr">
        <is>
          <t>Between 50 to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Less than 12%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No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IF(B14=0,"",RANK(B14,$B$2:$B$22,0))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138.9</v>
      </c>
      <c r="E14" s="31" t="inlineStr">
        <is>
          <t>5%</t>
        </is>
      </c>
      <c r="F14" s="31" t="n">
        <v>50000</v>
      </c>
      <c r="G14" s="31" t="n">
        <v>7</v>
      </c>
      <c r="H14" s="30" t="inlineStr">
        <is>
          <t>GRWRHITECH</t>
        </is>
      </c>
      <c r="I14" s="30" t="inlineStr">
        <is>
          <t>Garware Hi Tech Films Ltd</t>
        </is>
      </c>
      <c r="J14" s="30" t="inlineStr">
        <is>
          <t>industrials</t>
        </is>
      </c>
      <c r="K14" s="30" t="inlineStr">
        <is>
          <t>packaging</t>
        </is>
      </c>
      <c r="L14" s="30" t="inlineStr">
        <is>
          <t>midcap</t>
        </is>
      </c>
      <c r="M14" s="31" t="n">
        <v>15067.37</v>
      </c>
      <c r="N14" s="31" t="n">
        <v>6575</v>
      </c>
      <c r="O14" s="31" t="n">
        <v>1.38</v>
      </c>
      <c r="P14" s="31" t="n">
        <v>86159</v>
      </c>
      <c r="Q14" s="30" t="n">
        <v>87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76.81999999999999</v>
      </c>
      <c r="U14" s="31" t="n">
        <v>30.81</v>
      </c>
      <c r="V14" s="31" t="n">
        <v>4939.87</v>
      </c>
      <c r="W14" s="30" t="inlineStr">
        <is>
          <t>Near 52W High Breakout</t>
        </is>
      </c>
      <c r="X14" s="30" t="inlineStr">
        <is>
          <t>Nifty 50</t>
        </is>
      </c>
      <c r="Y14" s="31" t="n">
        <v>-3.76</v>
      </c>
      <c r="Z14" s="31" t="n">
        <v>63.79</v>
      </c>
      <c r="AA14" s="31" t="n">
        <v>70.19</v>
      </c>
      <c r="AB14" s="31" t="n">
        <v>30.5</v>
      </c>
      <c r="AC14" s="30" t="inlineStr">
        <is>
          <t>Cyclical in an Upturn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20 to 40</t>
        </is>
      </c>
      <c r="BD14" s="30">
        <f>IF(BC14="Above 40",20,IF(BC14="20 to 40",10,IF(BC14="0 to 20",-5,0)))</f>
        <v/>
      </c>
      <c r="BE14" s="30" t="inlineStr">
        <is>
          <t>Above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Less than 1.5</t>
        </is>
      </c>
      <c r="BZ14" s="30">
        <f>IF(BY14="Above 2",0,IF(BY14="Between 1.5 to 2",5,IF(BY14="Less than 1.5",10,0)))</f>
        <v/>
      </c>
      <c r="CA14" s="30" t="inlineStr">
        <is>
          <t>Between 50% to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IF(B15=0,"",RANK(B15,$B$2:$B$22,0))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140</v>
      </c>
      <c r="E15" s="31" t="inlineStr">
        <is>
          <t>5%</t>
        </is>
      </c>
      <c r="F15" s="31" t="n">
        <v>50000</v>
      </c>
      <c r="G15" s="31" t="n">
        <v>289</v>
      </c>
      <c r="H15" s="30" t="inlineStr">
        <is>
          <t>JAYBARMARU</t>
        </is>
      </c>
      <c r="I15" s="30" t="inlineStr">
        <is>
          <t>Jay Bharat Maruti Limited</t>
        </is>
      </c>
      <c r="J15" s="30" t="inlineStr">
        <is>
          <t>auto</t>
        </is>
      </c>
      <c r="K15" s="30" t="inlineStr">
        <is>
          <t>auto ancillaries</t>
        </is>
      </c>
      <c r="L15" s="30" t="inlineStr">
        <is>
          <t>smallcap</t>
        </is>
      </c>
      <c r="M15" s="31" t="n">
        <v>1781.47</v>
      </c>
      <c r="N15" s="31" t="n">
        <v>172.79</v>
      </c>
      <c r="O15" s="31" t="n">
        <v>4.99</v>
      </c>
      <c r="P15" s="31" t="n">
        <v>1390958</v>
      </c>
      <c r="Q15" s="30" t="n">
        <v>94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76.34</v>
      </c>
      <c r="U15" s="31" t="n">
        <v>20.78</v>
      </c>
      <c r="V15" s="31" t="n">
        <v>129.49</v>
      </c>
      <c r="W15" s="30" t="inlineStr">
        <is>
          <t>Near 52W High Breakout</t>
        </is>
      </c>
      <c r="X15" s="30" t="inlineStr">
        <is>
          <t>Nifty Auto</t>
        </is>
      </c>
      <c r="Y15" s="31" t="n">
        <v>12.95</v>
      </c>
      <c r="Z15" s="31" t="n">
        <v>126.28</v>
      </c>
      <c r="AA15" s="31" t="n">
        <v>100.33</v>
      </c>
      <c r="AB15" s="31" t="n">
        <v>43.78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20 to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No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Between 50% to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Between 0.7 to 1.2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IF(B16=0,"",RANK(B16,$B$2:$B$22,0))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140</v>
      </c>
      <c r="E16" s="31" t="inlineStr">
        <is>
          <t>5%</t>
        </is>
      </c>
      <c r="F16" s="31" t="n">
        <v>50000</v>
      </c>
      <c r="G16" s="31" t="n">
        <v>18</v>
      </c>
      <c r="H16" s="30" t="inlineStr">
        <is>
          <t>SASKEN</t>
        </is>
      </c>
      <c r="I16" s="30" t="inlineStr">
        <is>
          <t>Sasken Communication Technologies Limited</t>
        </is>
      </c>
      <c r="J16" s="30" t="inlineStr">
        <is>
          <t>i.t</t>
        </is>
      </c>
      <c r="K16" s="30" t="inlineStr">
        <is>
          <t>computers - software - medium / small</t>
        </is>
      </c>
      <c r="L16" s="30" t="inlineStr">
        <is>
          <t>smallcap</t>
        </is>
      </c>
      <c r="M16" s="31" t="n">
        <v>3655.69</v>
      </c>
      <c r="N16" s="31" t="n">
        <v>2647.9</v>
      </c>
      <c r="O16" s="31" t="n">
        <v>10</v>
      </c>
      <c r="P16" s="31" t="n">
        <v>116241</v>
      </c>
      <c r="Q16" s="30" t="n">
        <v>95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79.41</v>
      </c>
      <c r="U16" s="31" t="n">
        <v>34.5</v>
      </c>
      <c r="V16" s="31" t="n">
        <v>1962.56</v>
      </c>
      <c r="W16" s="30" t="inlineStr">
        <is>
          <t>Near 52W High Breakout</t>
        </is>
      </c>
      <c r="X16" s="30" t="inlineStr">
        <is>
          <t>Nifty IT</t>
        </is>
      </c>
      <c r="Y16" s="31" t="n">
        <v>-26.99</v>
      </c>
      <c r="Z16" s="31" t="n">
        <v>93.06</v>
      </c>
      <c r="AA16" s="31" t="n">
        <v>164.44</v>
      </c>
      <c r="AB16" s="31" t="n">
        <v>47.64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Annuity, Lower One Time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Above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More than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Negative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IF(B17=0,"",RANK(B17,$B$2:$B$22,0))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139.5</v>
      </c>
      <c r="E17" s="31" t="inlineStr">
        <is>
          <t>5%</t>
        </is>
      </c>
      <c r="F17" s="31" t="n">
        <v>50000</v>
      </c>
      <c r="G17" s="31" t="n">
        <v>452</v>
      </c>
      <c r="H17" s="30" t="inlineStr">
        <is>
          <t>GMRAIRPORT</t>
        </is>
      </c>
      <c r="I17" s="30" t="inlineStr">
        <is>
          <t>GMR Airports Ltd</t>
        </is>
      </c>
      <c r="J17" s="30" t="inlineStr">
        <is>
          <t>miscellaneous</t>
        </is>
      </c>
      <c r="K17" s="30" t="inlineStr">
        <is>
          <t>miscellaneous</t>
        </is>
      </c>
      <c r="L17" s="30" t="inlineStr">
        <is>
          <t>largecap</t>
        </is>
      </c>
      <c r="M17" s="31" t="n">
        <v>115430.73</v>
      </c>
      <c r="N17" s="31" t="n">
        <v>110.55</v>
      </c>
      <c r="O17" s="31" t="n">
        <v>1.13</v>
      </c>
      <c r="P17" s="31" t="n">
        <v>16084104</v>
      </c>
      <c r="Q17" s="30" t="n">
        <v>44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65.17</v>
      </c>
      <c r="U17" s="31" t="n">
        <v>13.91</v>
      </c>
      <c r="V17" s="31" t="n">
        <v>90.67</v>
      </c>
      <c r="W17" s="30" t="inlineStr">
        <is>
          <t>Near 52W High Breakout</t>
        </is>
      </c>
      <c r="X17" s="30" t="inlineStr">
        <is>
          <t>Nifty 50</t>
        </is>
      </c>
      <c r="Y17" s="31" t="n">
        <v>-3.76</v>
      </c>
      <c r="Z17" s="31" t="n">
        <v>36.53</v>
      </c>
      <c r="AA17" s="31" t="n">
        <v>41.87</v>
      </c>
      <c r="AB17" s="31" t="n">
        <v>11.47</v>
      </c>
      <c r="AC17" s="30" t="inlineStr">
        <is>
          <t>Growing Industry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0 to 20</t>
        </is>
      </c>
      <c r="BD17" s="30">
        <f>IF(BC17="Above 40",20,IF(BC17="20 to 40",10,IF(BC17="0 to 20",-5,0)))</f>
        <v/>
      </c>
      <c r="BE17" s="30" t="inlineStr">
        <is>
          <t>Between 50 to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Above 2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IF(B18=0,"",RANK(B18,$B$2:$B$22,0))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139.4</v>
      </c>
      <c r="E18" s="31" t="inlineStr">
        <is>
          <t>5%</t>
        </is>
      </c>
      <c r="F18" s="31" t="n">
        <v>50000</v>
      </c>
      <c r="G18" s="31" t="n">
        <v>5</v>
      </c>
      <c r="H18" s="30" t="inlineStr">
        <is>
          <t>POLYCAB</t>
        </is>
      </c>
      <c r="I18" s="30" t="inlineStr">
        <is>
          <t>Polycab India Ltd</t>
        </is>
      </c>
      <c r="J18" s="30" t="inlineStr">
        <is>
          <t>industrials</t>
        </is>
      </c>
      <c r="K18" s="30" t="inlineStr">
        <is>
          <t>cables - power</t>
        </is>
      </c>
      <c r="L18" s="30" t="inlineStr">
        <is>
          <t>largecap</t>
        </is>
      </c>
      <c r="M18" s="31" t="n">
        <v>149443.96</v>
      </c>
      <c r="N18" s="31" t="n">
        <v>9952.5</v>
      </c>
      <c r="O18" s="31" t="n">
        <v>0.26</v>
      </c>
      <c r="P18" s="31" t="n">
        <v>264707</v>
      </c>
      <c r="Q18" s="30" t="n">
        <v>70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70.98999999999999</v>
      </c>
      <c r="U18" s="31" t="n">
        <v>26.5</v>
      </c>
      <c r="V18" s="31" t="n">
        <v>8358.43</v>
      </c>
      <c r="W18" s="30" t="inlineStr">
        <is>
          <t>Near 52W High Breakout</t>
        </is>
      </c>
      <c r="X18" s="30" t="inlineStr">
        <is>
          <t>Nifty Energy</t>
        </is>
      </c>
      <c r="Y18" s="31" t="n">
        <v>13.64</v>
      </c>
      <c r="Z18" s="31" t="n">
        <v>66.79000000000001</v>
      </c>
      <c r="AA18" s="31" t="n">
        <v>46.77</v>
      </c>
      <c r="AB18" s="31" t="n">
        <v>19.81</v>
      </c>
      <c r="AC18" s="30" t="inlineStr">
        <is>
          <t>Cyclical in an Upturn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20 to 40</t>
        </is>
      </c>
      <c r="BD18" s="30">
        <f>IF(BC18="Above 40",20,IF(BC18="20 to 40",10,IF(BC18="0 to 20",-5,0)))</f>
        <v/>
      </c>
      <c r="BE18" s="30" t="inlineStr">
        <is>
          <t>Between 50 to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Less than 12%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Above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IF(B19=0,"",RANK(B19,$B$2:$B$22,0))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139.3</v>
      </c>
      <c r="E19" s="31" t="inlineStr">
        <is>
          <t>5%</t>
        </is>
      </c>
      <c r="F19" s="31" t="n">
        <v>50000</v>
      </c>
      <c r="G19" s="31" t="n">
        <v>80</v>
      </c>
      <c r="H19" s="30" t="inlineStr">
        <is>
          <t>AVL</t>
        </is>
      </c>
      <c r="I19" s="30" t="inlineStr">
        <is>
          <t>Aditya Vision Ltd</t>
        </is>
      </c>
      <c r="J19" s="30" t="inlineStr">
        <is>
          <t>consumer discretionary</t>
        </is>
      </c>
      <c r="K19" s="30" t="inlineStr">
        <is>
          <t>trading</t>
        </is>
      </c>
      <c r="L19" s="30" t="inlineStr">
        <is>
          <t>midcap</t>
        </is>
      </c>
      <c r="M19" s="31" t="n">
        <v>7845.14</v>
      </c>
      <c r="N19" s="31" t="n">
        <v>617.45</v>
      </c>
      <c r="O19" s="31" t="n">
        <v>1.64</v>
      </c>
      <c r="P19" s="31" t="n">
        <v>504141</v>
      </c>
      <c r="Q19" s="30" t="n">
        <v>76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67.43000000000001</v>
      </c>
      <c r="U19" s="31" t="n">
        <v>23.63</v>
      </c>
      <c r="V19" s="31" t="n">
        <v>485.78</v>
      </c>
      <c r="W19" s="30" t="inlineStr">
        <is>
          <t>Volume Spike &amp; Near 52W High Breakout</t>
        </is>
      </c>
      <c r="X19" s="30" t="inlineStr">
        <is>
          <t>Nifty 50</t>
        </is>
      </c>
      <c r="Y19" s="31" t="n">
        <v>-3.76</v>
      </c>
      <c r="Z19" s="31" t="n">
        <v>74.17</v>
      </c>
      <c r="AA19" s="31" t="n">
        <v>80.98</v>
      </c>
      <c r="AB19" s="31" t="n">
        <v>22.09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20 to 40</t>
        </is>
      </c>
      <c r="BD19" s="30">
        <f>IF(BC19="Above 40",20,IF(BC19="20 to 40",10,IF(BC19="0 to 20",-5,0)))</f>
        <v/>
      </c>
      <c r="BE19" s="30" t="inlineStr">
        <is>
          <t>Between 50 to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More than 20%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Yes</t>
        </is>
      </c>
      <c r="BX19" s="30">
        <f>IF(BW19="NO",5,0)</f>
        <v/>
      </c>
      <c r="BY19" s="30" t="inlineStr">
        <is>
          <t>Between 1.5 to 2</t>
        </is>
      </c>
      <c r="BZ19" s="30">
        <f>IF(BY19="Above 2",0,IF(BY19="Between 1.5 to 2",5,IF(BY19="Less than 1.5",10,0)))</f>
        <v/>
      </c>
      <c r="CA19" s="30" t="inlineStr">
        <is>
          <t>Less than 50%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Between 0.7 to 1.2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IF(B20=0,"",RANK(B20,$B$2:$B$22,0))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EMA Crossover</t>
        </is>
      </c>
      <c r="D20" s="31" t="n">
        <v>143</v>
      </c>
      <c r="E20" s="31" t="inlineStr">
        <is>
          <t>7%</t>
        </is>
      </c>
      <c r="F20" s="31" t="n">
        <v>70000</v>
      </c>
      <c r="G20" s="31" t="n">
        <v>64</v>
      </c>
      <c r="H20" s="32" t="inlineStr">
        <is>
          <t>MAXHEALTH</t>
        </is>
      </c>
      <c r="I20" s="32" t="inlineStr">
        <is>
          <t>Max Healthcare Institute Ltd</t>
        </is>
      </c>
      <c r="J20" s="30" t="inlineStr">
        <is>
          <t>healthcare</t>
        </is>
      </c>
      <c r="K20" s="30" t="inlineStr">
        <is>
          <t>healthcare</t>
        </is>
      </c>
      <c r="L20" s="30" t="inlineStr">
        <is>
          <t>largecap</t>
        </is>
      </c>
      <c r="M20" s="31" t="n">
        <v>99858.25</v>
      </c>
      <c r="N20" s="31" t="n">
        <v>1090.45</v>
      </c>
      <c r="O20" s="31" t="n">
        <v>6.27</v>
      </c>
      <c r="P20" s="31" t="n">
        <v>6871544</v>
      </c>
      <c r="Q20" s="30" t="n">
        <v>1</v>
      </c>
      <c r="R20" s="30" t="inlineStr">
        <is>
          <t>Underperforming</t>
        </is>
      </c>
      <c r="S20" s="31">
        <f>IF(R20="Underperforming",-5,IF(Q20&gt;=95,15,IF(Q20&gt;=90,10,IF(Q20&gt;=80,5,0))))</f>
        <v/>
      </c>
      <c r="T20" s="31" t="n">
        <v>56.83</v>
      </c>
      <c r="U20" s="31" t="n">
        <v>26</v>
      </c>
      <c r="V20" s="31" t="n">
        <v>894.74</v>
      </c>
      <c r="W20" s="30" t="inlineStr">
        <is>
          <t>Earnings / Momentum Support</t>
        </is>
      </c>
      <c r="X20" s="30" t="inlineStr">
        <is>
          <t>Nifty Pharma</t>
        </is>
      </c>
      <c r="Y20" s="31" t="n">
        <v>12.35</v>
      </c>
      <c r="Z20" s="31" t="n">
        <v>-10.06</v>
      </c>
      <c r="AA20" s="31" t="n">
        <v>-19.95</v>
      </c>
      <c r="AB20" s="31" t="n">
        <v>0.83</v>
      </c>
      <c r="AC20" s="30" t="inlineStr">
        <is>
          <t>Growing Industry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Yes</t>
        </is>
      </c>
      <c r="AH20" s="30">
        <f>IF(AG20="No",5,0)</f>
        <v/>
      </c>
      <c r="AI20" s="30" t="inlineStr">
        <is>
          <t>Tailwind</t>
        </is>
      </c>
      <c r="AJ20" s="30">
        <f>IF(AI20="Tailwind",10,0)</f>
        <v/>
      </c>
      <c r="AK20" s="30" t="inlineStr">
        <is>
          <t>Structural (10 Years Consistency)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No</t>
        </is>
      </c>
      <c r="AV20" s="30">
        <f>IF(AU20="Yes",10,0)</f>
        <v/>
      </c>
      <c r="AW20" s="30" t="inlineStr">
        <is>
          <t>Higher Annuity, Lower One Time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20 to 40</t>
        </is>
      </c>
      <c r="BD20" s="30">
        <f>IF(BC20="Above 40",20,IF(BC20="20 to 40",10,IF(BC20="0 to 20",-5,0)))</f>
        <v/>
      </c>
      <c r="BE20" s="30" t="inlineStr">
        <is>
          <t>Between 50 to 75</t>
        </is>
      </c>
      <c r="BF20" s="30">
        <f>IF(BE20="Between 50 to 75",10,IF(BE20="Above 75",0,0))</f>
        <v/>
      </c>
      <c r="BG20" s="30" t="inlineStr">
        <is>
          <t>Stage 1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Close to 52 week high or retracement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Less than 12%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Yes</t>
        </is>
      </c>
      <c r="BX20" s="30">
        <f>IF(BW20="NO",5,0)</f>
        <v/>
      </c>
      <c r="BY20" s="30" t="inlineStr">
        <is>
          <t>Above 2</t>
        </is>
      </c>
      <c r="BZ20" s="30">
        <f>IF(BY20="Above 2",0,IF(BY20="Between 1.5 to 2",5,IF(BY20="Less than 1.5",10,0)))</f>
        <v/>
      </c>
      <c r="CA20" s="30" t="inlineStr">
        <is>
          <t>Above 70%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Less than 0.7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IF(B21=0,"",RANK(B21,$B$2:$B$22,0))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EMA Crossover</t>
        </is>
      </c>
      <c r="D21" s="31" t="n">
        <v>153.2</v>
      </c>
      <c r="E21" s="31" t="inlineStr">
        <is>
          <t>7%</t>
        </is>
      </c>
      <c r="F21" s="31" t="n">
        <v>70000</v>
      </c>
      <c r="G21" s="31" t="n">
        <v>147</v>
      </c>
      <c r="H21" s="32" t="inlineStr">
        <is>
          <t>KIRLFER</t>
        </is>
      </c>
      <c r="I21" s="32" t="inlineStr">
        <is>
          <t>Kirloskar Ferrous Industries Ltd</t>
        </is>
      </c>
      <c r="J21" s="30" t="inlineStr">
        <is>
          <t>metals &amp; mining</t>
        </is>
      </c>
      <c r="K21" s="30" t="inlineStr">
        <is>
          <t>steel - large</t>
        </is>
      </c>
      <c r="L21" s="30" t="inlineStr">
        <is>
          <t>midcap</t>
        </is>
      </c>
      <c r="M21" s="31" t="n">
        <v>7327.47</v>
      </c>
      <c r="N21" s="31" t="n">
        <v>473.7</v>
      </c>
      <c r="O21" s="31" t="n">
        <v>6.62</v>
      </c>
      <c r="P21" s="31" t="n">
        <v>5934501</v>
      </c>
      <c r="Q21" s="30" t="n">
        <v>12</v>
      </c>
      <c r="R21" s="30" t="inlineStr">
        <is>
          <t>Underperforming</t>
        </is>
      </c>
      <c r="S21" s="31">
        <f>IF(R21="Underperforming",-5,IF(Q21&gt;=95,15,IF(Q21&gt;=90,10,IF(Q21&gt;=80,5,0))))</f>
        <v/>
      </c>
      <c r="T21" s="31" t="n">
        <v>58.15</v>
      </c>
      <c r="U21" s="31" t="n">
        <v>17.63</v>
      </c>
      <c r="V21" s="31" t="n">
        <v>353.73</v>
      </c>
      <c r="W21" s="30" t="inlineStr">
        <is>
          <t>Volume Spike / Accumulation</t>
        </is>
      </c>
      <c r="X21" s="30" t="inlineStr">
        <is>
          <t>Nifty Metal</t>
        </is>
      </c>
      <c r="Y21" s="31" t="n">
        <v>42.37</v>
      </c>
      <c r="Z21" s="31" t="n">
        <v>-17.27</v>
      </c>
      <c r="AA21" s="31" t="n">
        <v>-41.89</v>
      </c>
      <c r="AB21" s="31" t="n">
        <v>4.21</v>
      </c>
      <c r="AC21" s="30" t="inlineStr">
        <is>
          <t>Cyclical in an Upturn</t>
        </is>
      </c>
      <c r="AD21" s="30">
        <f>IF(AC21="Growing Industry",10,IF(AC21="Cyclical in an Upturn",5,0))</f>
        <v/>
      </c>
      <c r="AE21" s="30" t="inlineStr">
        <is>
          <t>Too Many Players with High ROCE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No</t>
        </is>
      </c>
      <c r="AH21" s="30">
        <f>IF(AG21="No",5,0)</f>
        <v/>
      </c>
      <c r="AI21" s="30" t="inlineStr">
        <is>
          <t>Tailwind</t>
        </is>
      </c>
      <c r="AJ21" s="30">
        <f>IF(AI21="Tailwind",10,0)</f>
        <v/>
      </c>
      <c r="AK21" s="30" t="inlineStr">
        <is>
          <t>Cyclical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Volatile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Yes</t>
        </is>
      </c>
      <c r="AV21" s="30">
        <f>IF(AU21="Yes",10,0)</f>
        <v/>
      </c>
      <c r="AW21" s="30" t="inlineStr">
        <is>
          <t>Higher One Time, Lower Annuity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0 to 20</t>
        </is>
      </c>
      <c r="BD21" s="30">
        <f>IF(BC21="Above 40",20,IF(BC21="20 to 40",10,IF(BC21="0 to 20",-5,0)))</f>
        <v/>
      </c>
      <c r="BE21" s="30" t="inlineStr">
        <is>
          <t>Between 50 to 75</t>
        </is>
      </c>
      <c r="BF21" s="30">
        <f>IF(BE21="Between 50 to 75",10,IF(BE21="Above 75",0,0))</f>
        <v/>
      </c>
      <c r="BG21" s="30" t="inlineStr">
        <is>
          <t>Stage 1</t>
        </is>
      </c>
      <c r="BH21" s="30">
        <f>IF(BG21="Stage 2",20,IF(BG21="Stage 1",0,IF(BG21="Stage 3",5,IF(BG21="Stage 4",-5,0))))</f>
        <v/>
      </c>
      <c r="BI21" s="30" t="inlineStr">
        <is>
          <t>Positive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Close to 52 week high or retracement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More than 20%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No</t>
        </is>
      </c>
      <c r="BX21" s="30">
        <f>IF(BW21="NO",5,0)</f>
        <v/>
      </c>
      <c r="BY21" s="30" t="inlineStr">
        <is>
          <t>Less than 1.5</t>
        </is>
      </c>
      <c r="BZ21" s="30">
        <f>IF(BY21="Above 2",0,IF(BY21="Between 1.5 to 2",5,IF(BY21="Less than 1.5",10,0)))</f>
        <v/>
      </c>
      <c r="CA21" s="30" t="inlineStr">
        <is>
          <t>Above 70%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Less than 0.7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  <row r="22">
      <c r="A22" s="30">
        <f>IF(B22=0,"",RANK(B22,$B$2:$B$22,0))</f>
        <v/>
      </c>
      <c r="B22" s="31">
        <f>SUM(S22,AD22,AF22,AH22,AJ22,AL22,AN22,AP22,AR22,AT22,AV22,AX22,AZ22,BB22,BD22,BF22,BH22,BJ22,BL22,BN22,BP22,BR22,BT22,BV22,BX22,BZ22,CB22,CD22,CF22,CH22,CJ22)</f>
        <v/>
      </c>
      <c r="C22" s="30" t="inlineStr">
        <is>
          <t>EMA Crossover</t>
        </is>
      </c>
      <c r="D22" s="31" t="n">
        <v>140.5</v>
      </c>
      <c r="E22" s="31" t="inlineStr">
        <is>
          <t>7%</t>
        </is>
      </c>
      <c r="F22" s="31" t="n">
        <v>70000</v>
      </c>
      <c r="G22" s="31" t="n">
        <v>51</v>
      </c>
      <c r="H22" s="30" t="inlineStr">
        <is>
          <t>UNITDSPR</t>
        </is>
      </c>
      <c r="I22" s="30" t="inlineStr">
        <is>
          <t>United Spirits Ltd</t>
        </is>
      </c>
      <c r="J22" s="30" t="inlineStr">
        <is>
          <t>fmcg</t>
        </is>
      </c>
      <c r="K22" s="30" t="inlineStr">
        <is>
          <t>breweries &amp; distilleries</t>
        </is>
      </c>
      <c r="L22" s="30" t="inlineStr">
        <is>
          <t>largecap</t>
        </is>
      </c>
      <c r="M22" s="31" t="n">
        <v>95137.49000000001</v>
      </c>
      <c r="N22" s="31" t="n">
        <v>1350.3</v>
      </c>
      <c r="O22" s="31" t="n">
        <v>3.23</v>
      </c>
      <c r="P22" s="31" t="n">
        <v>2744272</v>
      </c>
      <c r="Q22" s="30" t="n">
        <v>1</v>
      </c>
      <c r="R22" s="30" t="inlineStr">
        <is>
          <t>Outperforming</t>
        </is>
      </c>
      <c r="S22" s="31">
        <f>IF(R22="Underperforming",-5,IF(Q22&gt;=95,15,IF(Q22&gt;=90,10,IF(Q22&gt;=80,5,0))))</f>
        <v/>
      </c>
      <c r="T22" s="31" t="n">
        <v>52.91</v>
      </c>
      <c r="U22" s="31" t="n">
        <v>18.2</v>
      </c>
      <c r="V22" s="31" t="n">
        <v>1175.94</v>
      </c>
      <c r="W22" s="30" t="inlineStr">
        <is>
          <t>Earnings / Momentum Support</t>
        </is>
      </c>
      <c r="X22" s="30" t="inlineStr">
        <is>
          <t>Nifty FMCG</t>
        </is>
      </c>
      <c r="Y22" s="31" t="n">
        <v>-9.109999999999999</v>
      </c>
      <c r="Z22" s="31" t="n">
        <v>-6.47</v>
      </c>
      <c r="AA22" s="31" t="n">
        <v>2.91</v>
      </c>
      <c r="AB22" s="31" t="n">
        <v>-0.39</v>
      </c>
      <c r="AC22" s="30" t="inlineStr">
        <is>
          <t>Growing Industry</t>
        </is>
      </c>
      <c r="AD22" s="30">
        <f>IF(AC22="Growing Industry",10,IF(AC22="Cyclical in an Upturn",5,0))</f>
        <v/>
      </c>
      <c r="AE22" s="30" t="inlineStr">
        <is>
          <t>Too Many Players with High ROCE</t>
        </is>
      </c>
      <c r="AF22" s="30">
        <f>IF(AE22="Monopoly",10,IF(AE22="Oligopoly",5,IF(AE22="Duopoly that cooperate",10,IF(AE22="Duopoly that compete",5,IF(AE22="Too many players with High ROCE",5,0)))))</f>
        <v/>
      </c>
      <c r="AG22" s="30" t="inlineStr">
        <is>
          <t>No</t>
        </is>
      </c>
      <c r="AH22" s="30">
        <f>IF(AG22="No",5,0)</f>
        <v/>
      </c>
      <c r="AI22" s="30" t="inlineStr">
        <is>
          <t>Headwind</t>
        </is>
      </c>
      <c r="AJ22" s="30">
        <f>IF(AI22="Tailwind",10,0)</f>
        <v/>
      </c>
      <c r="AK22" s="30" t="inlineStr">
        <is>
          <t>Structural (10 Years Consistency)</t>
        </is>
      </c>
      <c r="AL22" s="30">
        <f>IF(AK22="Structural (10 Years Consistency)",10,IF(AK22="Shallow Cyclical (2 to 3 years growth)",5,0))</f>
        <v/>
      </c>
      <c r="AM22" s="30" t="inlineStr">
        <is>
          <t>No</t>
        </is>
      </c>
      <c r="AN22" s="30">
        <f>IF(AM22="Yes due to Product Mix change or Operating Leverage",10,IF(AM22="Yes, these are peak margins",-5,IF(AM22="No",5,0)))</f>
        <v/>
      </c>
      <c r="AO22" s="30" t="inlineStr">
        <is>
          <t>Stable</t>
        </is>
      </c>
      <c r="AP22" s="30">
        <f>IF(AO22="Stable",10,0)</f>
        <v/>
      </c>
      <c r="AQ22" s="30" t="inlineStr">
        <is>
          <t>Yes</t>
        </is>
      </c>
      <c r="AR22" s="30">
        <f>IF(AQ22="Yes",10,0)</f>
        <v/>
      </c>
      <c r="AS22" s="30" t="inlineStr">
        <is>
          <t>B2C</t>
        </is>
      </c>
      <c r="AT22" s="30">
        <f>IF(AS22="B2C",10,IF(AS22="B2B",5,0))</f>
        <v/>
      </c>
      <c r="AU22" s="30" t="inlineStr">
        <is>
          <t>No</t>
        </is>
      </c>
      <c r="AV22" s="30">
        <f>IF(AU22="Yes",10,0)</f>
        <v/>
      </c>
      <c r="AW22" s="30" t="inlineStr">
        <is>
          <t>Higher Annuity, Lower One Time</t>
        </is>
      </c>
      <c r="AX22" s="30">
        <f>IF(AW22="Fully Annuity",10,IF(AW22="Higher Annuity, Lower One Time",5,IF(AW22="Higher One Time, Lower Annuity",3,0)))</f>
        <v/>
      </c>
      <c r="AY22" s="30" t="inlineStr">
        <is>
          <t>Good</t>
        </is>
      </c>
      <c r="AZ22" s="30">
        <f>IF(AY22="Good",10,0)</f>
        <v/>
      </c>
      <c r="BA22" s="30" t="inlineStr">
        <is>
          <t>Yes for more than 2 years</t>
        </is>
      </c>
      <c r="BB22" s="30">
        <f>IF(BA22="Yes for more than 2 years",10,IF(BA22="Yes only for next 1 to 2 years",5,0))</f>
        <v/>
      </c>
      <c r="BC22" s="30" t="inlineStr">
        <is>
          <t>0 to 20</t>
        </is>
      </c>
      <c r="BD22" s="30">
        <f>IF(BC22="Above 40",20,IF(BC22="20 to 40",10,IF(BC22="0 to 20",-5,0)))</f>
        <v/>
      </c>
      <c r="BE22" s="30" t="inlineStr">
        <is>
          <t>Between 50 to 75</t>
        </is>
      </c>
      <c r="BF22" s="30">
        <f>IF(BE22="Between 50 to 75",10,IF(BE22="Above 75",0,0))</f>
        <v/>
      </c>
      <c r="BG22" s="30" t="inlineStr">
        <is>
          <t>Stage 1</t>
        </is>
      </c>
      <c r="BH22" s="30">
        <f>IF(BG22="Stage 2",20,IF(BG22="Stage 1",0,IF(BG22="Stage 3",5,IF(BG22="Stage 4",-5,0))))</f>
        <v/>
      </c>
      <c r="BI22" s="30" t="inlineStr">
        <is>
          <t>Positive Trend</t>
        </is>
      </c>
      <c r="BJ22" s="30">
        <f>IF(BI22="Positive Trend",20,IF(BI22="Negative Trend",-10,0))</f>
        <v/>
      </c>
      <c r="BK22" s="30" t="inlineStr">
        <is>
          <t>Uptrend</t>
        </is>
      </c>
      <c r="BL22" s="30">
        <f>IF(BK22="Uptrend",10,IF(BK22="Sideways",5,0))</f>
        <v/>
      </c>
      <c r="BM22" s="30" t="inlineStr">
        <is>
          <t>Uptrend</t>
        </is>
      </c>
      <c r="BN22" s="30">
        <f>IF(BM22="Uptrend",10,IF(BM22="Sideways",5,0))</f>
        <v/>
      </c>
      <c r="BO22" s="30" t="inlineStr">
        <is>
          <t>Close to 52 week high or retracement</t>
        </is>
      </c>
      <c r="BP22" s="30">
        <f>IF(BO22="Overhead supply in last 2 years in last 2 years",-5,IF(BO22="Close to 52 week high or retracement",5,IF(BO22="Blue sky scenario",10,IF(BO22="Long term Downtrend",-10,0))))</f>
        <v/>
      </c>
      <c r="BQ22" s="30" t="inlineStr">
        <is>
          <t>Yes</t>
        </is>
      </c>
      <c r="BR22" s="30">
        <f>IF(BQ22="Yes",10,0)</f>
        <v/>
      </c>
      <c r="BS22" s="30" t="inlineStr">
        <is>
          <t>More than 20%</t>
        </is>
      </c>
      <c r="BT22" s="30">
        <f>IF(BS22="More than 20%",10,IF(BS22="Between 12 to 20%",5,IF(BS22="Less than 12%",0,0)))</f>
        <v/>
      </c>
      <c r="BU22" s="30" t="inlineStr">
        <is>
          <t>No</t>
        </is>
      </c>
      <c r="BV22" s="30">
        <f>IF(BU22="No",10,0)</f>
        <v/>
      </c>
      <c r="BW22" s="30" t="inlineStr">
        <is>
          <t>Yes</t>
        </is>
      </c>
      <c r="BX22" s="30">
        <f>IF(BW22="NO",5,0)</f>
        <v/>
      </c>
      <c r="BY22" s="30" t="inlineStr">
        <is>
          <t>Above 2</t>
        </is>
      </c>
      <c r="BZ22" s="30">
        <f>IF(BY22="Above 2",0,IF(BY22="Between 1.5 to 2",5,IF(BY22="Less than 1.5",10,0)))</f>
        <v/>
      </c>
      <c r="CA22" s="30" t="inlineStr">
        <is>
          <t>Between 50% to 70%</t>
        </is>
      </c>
      <c r="CB22" s="30">
        <f>IF(CA22="Above 70%",10,IF(CA22="Between 50% to 70%",5,IF(CA22="Less than 50%",0,IF(CA22="Negative",-10,IF(CA22="Less than 50% and Borrowings are increasing",-5,0)))))</f>
        <v/>
      </c>
      <c r="CC22" s="30" t="inlineStr">
        <is>
          <t>Less than 0.7</t>
        </is>
      </c>
      <c r="CD22" s="30">
        <f>IF(CC22="More than 1.2",-10,IF(CC22="Between 0.7 to 1.2",0,IF(CC22="Less than 0.7",10,0)))</f>
        <v/>
      </c>
      <c r="CE22" s="30" t="inlineStr">
        <is>
          <t>No</t>
        </is>
      </c>
      <c r="CF22" s="30">
        <f>IF(CE22="Yes",-10,0)</f>
        <v/>
      </c>
      <c r="CG22" s="30" t="inlineStr">
        <is>
          <t>Less than 15%</t>
        </is>
      </c>
      <c r="CH22" s="30">
        <f>IF(CG22="More than 15%",-10,IF(CG22="Less than 15%",10,0))</f>
        <v/>
      </c>
      <c r="CI22" s="30" t="inlineStr">
        <is>
          <t>No</t>
        </is>
      </c>
      <c r="CJ22" s="30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IF(B2=0,"",RANK(B2,$B$2:$B$2,0))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139.7</v>
      </c>
      <c r="E2" s="31" t="inlineStr">
        <is>
          <t>5%</t>
        </is>
      </c>
      <c r="F2" s="31" t="n">
        <v>50000</v>
      </c>
      <c r="G2" s="31" t="n">
        <v>42</v>
      </c>
      <c r="H2" s="30" t="inlineStr">
        <is>
          <t>ABSLAMC</t>
        </is>
      </c>
      <c r="I2" s="30" t="inlineStr">
        <is>
          <t>Aditya Birla Sun Life AMC Ltd</t>
        </is>
      </c>
      <c r="J2" s="30" t="inlineStr">
        <is>
          <t>financials</t>
        </is>
      </c>
      <c r="K2" s="30" t="inlineStr">
        <is>
          <t>finance &amp; investments</t>
        </is>
      </c>
      <c r="L2" s="30" t="inlineStr">
        <is>
          <t>largecap</t>
        </is>
      </c>
      <c r="M2" s="31" t="n">
        <v>31708.03</v>
      </c>
      <c r="N2" s="31" t="n">
        <v>1167.1</v>
      </c>
      <c r="O2" s="31" t="n">
        <v>6.3</v>
      </c>
      <c r="P2" s="31" t="n">
        <v>541723</v>
      </c>
      <c r="Q2" s="30" t="n">
        <v>59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70.5</v>
      </c>
      <c r="U2" s="31" t="n">
        <v>42.03</v>
      </c>
      <c r="V2" s="31" t="n">
        <v>936.24</v>
      </c>
      <c r="W2" s="30" t="inlineStr">
        <is>
          <t>Near 52W High Breakout</t>
        </is>
      </c>
      <c r="X2" s="30" t="inlineStr">
        <is>
          <t>Nifty Bank</t>
        </is>
      </c>
      <c r="Y2" s="31" t="n">
        <v>3.04</v>
      </c>
      <c r="Z2" s="31" t="n">
        <v>58.63</v>
      </c>
      <c r="AA2" s="31" t="n">
        <v>53.95</v>
      </c>
      <c r="AB2" s="31" t="n">
        <v>15.12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above 5x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Above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3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IF(B2=0,"",RANK(B2,$B$2:$B$96,0))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VMARCIND</t>
        </is>
      </c>
      <c r="D2" s="30" t="inlineStr">
        <is>
          <t>V-Marc India Ltd</t>
        </is>
      </c>
      <c r="E2" s="30" t="inlineStr">
        <is>
          <t>unknown</t>
        </is>
      </c>
      <c r="F2" s="30" t="inlineStr">
        <is>
          <t>Cables - Power</t>
        </is>
      </c>
      <c r="G2" s="30" t="inlineStr">
        <is>
          <t>smallcap</t>
        </is>
      </c>
      <c r="H2" s="31" t="n">
        <v>3904.26</v>
      </c>
      <c r="I2" s="31" t="n">
        <v>1598.75</v>
      </c>
      <c r="J2" s="31" t="n">
        <v>-3.92</v>
      </c>
      <c r="K2" s="31" t="n">
        <v>0</v>
      </c>
      <c r="L2" s="30" t="n">
        <v>98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82.63</v>
      </c>
      <c r="P2" s="31" t="n">
        <v>45.1</v>
      </c>
      <c r="Q2" s="31" t="n">
        <v>1235.19</v>
      </c>
      <c r="R2" s="30" t="inlineStr">
        <is>
          <t>Near 52W High Breakout</t>
        </is>
      </c>
      <c r="S2" s="30" t="inlineStr">
        <is>
          <t>Nifty 50</t>
        </is>
      </c>
      <c r="T2" s="31" t="n">
        <v>-3.76</v>
      </c>
      <c r="U2" s="31" t="n">
        <v>466.58</v>
      </c>
      <c r="V2" s="31" t="n">
        <v>488.72</v>
      </c>
      <c r="W2" s="31" t="n">
        <v>82.53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Above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20</t>
        </is>
      </c>
      <c r="CG2" s="30">
        <f>IF(CF2&gt;20,10,IF(CF2&gt;=10,5,2))</f>
        <v/>
      </c>
    </row>
    <row r="3">
      <c r="A3" s="30">
        <f>IF(B3=0,"",RANK(B3,$B$2:$B$96,0))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IBULLSLTD</t>
        </is>
      </c>
      <c r="D3" s="30" t="inlineStr">
        <is>
          <t>Indiabulls Limited</t>
        </is>
      </c>
      <c r="E3" s="30" t="inlineStr">
        <is>
          <t>miscellaneous</t>
        </is>
      </c>
      <c r="F3" s="30" t="inlineStr">
        <is>
          <t>Diversified</t>
        </is>
      </c>
      <c r="G3" s="30" t="inlineStr">
        <is>
          <t>midcap</t>
        </is>
      </c>
      <c r="H3" s="31" t="n">
        <v>5882.1</v>
      </c>
      <c r="I3" s="31" t="n">
        <v>25.25</v>
      </c>
      <c r="J3" s="31" t="n">
        <v>4.99</v>
      </c>
      <c r="K3" s="31" t="n">
        <v>0</v>
      </c>
      <c r="L3" s="30" t="n">
        <v>96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74.90000000000001</v>
      </c>
      <c r="P3" s="31" t="n">
        <v>36.21</v>
      </c>
      <c r="Q3" s="31" t="n">
        <v>18.07</v>
      </c>
      <c r="R3" s="30" t="inlineStr">
        <is>
          <t>Near 52W High Breakout</t>
        </is>
      </c>
      <c r="S3" s="30" t="inlineStr">
        <is>
          <t>Nifty 50</t>
        </is>
      </c>
      <c r="T3" s="31" t="n">
        <v>-3.76</v>
      </c>
      <c r="U3" s="31" t="n">
        <v>43.87</v>
      </c>
      <c r="V3" s="31" t="n">
        <v>49.5</v>
      </c>
      <c r="W3" s="31" t="n">
        <v>52.68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Between 50% to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21</t>
        </is>
      </c>
      <c r="CG3" s="30">
        <f>IF(CF3&gt;20,10,IF(CF3&gt;=10,5,2))</f>
        <v/>
      </c>
    </row>
    <row r="4">
      <c r="A4" s="30">
        <f>IF(B4=0,"",RANK(B4,$B$2:$B$96,0))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BAJAJCON</t>
        </is>
      </c>
      <c r="D4" s="30" t="inlineStr">
        <is>
          <t>Bajaj Consumer Care Ltd</t>
        </is>
      </c>
      <c r="E4" s="30" t="inlineStr">
        <is>
          <t>fmcg</t>
        </is>
      </c>
      <c r="F4" s="30" t="inlineStr">
        <is>
          <t>FMCG - Personal Care</t>
        </is>
      </c>
      <c r="G4" s="30" t="inlineStr">
        <is>
          <t>midcap</t>
        </is>
      </c>
      <c r="H4" s="31" t="n">
        <v>8104.87</v>
      </c>
      <c r="I4" s="31" t="n">
        <v>620.5</v>
      </c>
      <c r="J4" s="31" t="n">
        <v>2.93</v>
      </c>
      <c r="K4" s="31" t="n">
        <v>0</v>
      </c>
      <c r="L4" s="30" t="n">
        <v>95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79.26000000000001</v>
      </c>
      <c r="P4" s="31" t="n">
        <v>56.08</v>
      </c>
      <c r="Q4" s="31" t="n">
        <v>488.94</v>
      </c>
      <c r="R4" s="30" t="inlineStr">
        <is>
          <t>Near 52W High Breakout</t>
        </is>
      </c>
      <c r="S4" s="30" t="inlineStr">
        <is>
          <t>Nifty FMCG</t>
        </is>
      </c>
      <c r="T4" s="31" t="n">
        <v>-9.109999999999999</v>
      </c>
      <c r="U4" s="31" t="n">
        <v>266.62</v>
      </c>
      <c r="V4" s="31" t="n">
        <v>303.36</v>
      </c>
      <c r="W4" s="31" t="n">
        <v>46.7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B2C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Annuity, Lower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Yes</t>
        </is>
      </c>
      <c r="BS4" s="30">
        <f>IF(BR4="NO",5,0)</f>
        <v/>
      </c>
      <c r="BT4" s="30" t="inlineStr">
        <is>
          <t>Above 2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25</t>
        </is>
      </c>
      <c r="CG4" s="30">
        <f>IF(CF4&gt;20,10,IF(CF4&gt;=10,5,2))</f>
        <v/>
      </c>
    </row>
    <row r="5">
      <c r="A5" s="30">
        <f>IF(B5=0,"",RANK(B5,$B$2:$B$96,0))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RPTECH</t>
        </is>
      </c>
      <c r="D5" s="30" t="inlineStr">
        <is>
          <t>Rashi Peripherals Ltd</t>
        </is>
      </c>
      <c r="E5" s="30" t="inlineStr">
        <is>
          <t>services</t>
        </is>
      </c>
      <c r="F5" s="30" t="inlineStr">
        <is>
          <t>Trading</t>
        </is>
      </c>
      <c r="G5" s="30" t="inlineStr">
        <is>
          <t>smallcap</t>
        </is>
      </c>
      <c r="H5" s="31" t="n">
        <v>4810.68</v>
      </c>
      <c r="I5" s="31" t="n">
        <v>730</v>
      </c>
      <c r="J5" s="31" t="n">
        <v>6.45</v>
      </c>
      <c r="K5" s="31" t="n">
        <v>0</v>
      </c>
      <c r="L5" s="30" t="n">
        <v>95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87.81999999999999</v>
      </c>
      <c r="P5" s="31" t="n">
        <v>53.82</v>
      </c>
      <c r="Q5" s="31" t="n">
        <v>570.38</v>
      </c>
      <c r="R5" s="30" t="inlineStr">
        <is>
          <t>Volume Spike &amp; Near 52W High Breakout</t>
        </is>
      </c>
      <c r="S5" s="30" t="inlineStr">
        <is>
          <t>Nifty 50</t>
        </is>
      </c>
      <c r="T5" s="31" t="n">
        <v>-3.76</v>
      </c>
      <c r="U5" s="31" t="n">
        <v>148.27</v>
      </c>
      <c r="V5" s="31" t="n">
        <v>157.97</v>
      </c>
      <c r="W5" s="31" t="n">
        <v>48.47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Less than 50%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28</t>
        </is>
      </c>
      <c r="CG5" s="30">
        <f>IF(CF5&gt;20,10,IF(CF5&gt;=10,5,2))</f>
        <v/>
      </c>
    </row>
    <row r="6">
      <c r="A6" s="30">
        <f>IF(B6=0,"",RANK(B6,$B$2:$B$96,0))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GVT&amp;D</t>
        </is>
      </c>
      <c r="D6" s="30" t="inlineStr">
        <is>
          <t>GE Vernova T&amp;D India Ltd</t>
        </is>
      </c>
      <c r="E6" s="30" t="inlineStr">
        <is>
          <t>industrials</t>
        </is>
      </c>
      <c r="F6" s="30" t="inlineStr">
        <is>
          <t>Electrical Equipments/HVDC</t>
        </is>
      </c>
      <c r="G6" s="30" t="inlineStr">
        <is>
          <t>largecap</t>
        </is>
      </c>
      <c r="H6" s="31" t="n">
        <v>134424.43</v>
      </c>
      <c r="I6" s="31" t="n">
        <v>5250</v>
      </c>
      <c r="J6" s="31" t="n">
        <v>1.89</v>
      </c>
      <c r="K6" s="31" t="n">
        <v>0</v>
      </c>
      <c r="L6" s="30" t="n">
        <v>84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72.83</v>
      </c>
      <c r="P6" s="31" t="n">
        <v>50.6</v>
      </c>
      <c r="Q6" s="31" t="n">
        <v>3988.07</v>
      </c>
      <c r="R6" s="30" t="inlineStr">
        <is>
          <t>Near 52W High Breakout</t>
        </is>
      </c>
      <c r="S6" s="30" t="inlineStr">
        <is>
          <t>Nifty 500</t>
        </is>
      </c>
      <c r="T6" s="31" t="n">
        <v>0.72</v>
      </c>
      <c r="U6" s="31" t="n">
        <v>123.22</v>
      </c>
      <c r="V6" s="31" t="n">
        <v>121.62</v>
      </c>
      <c r="W6" s="31" t="n">
        <v>27.39</v>
      </c>
      <c r="X6" s="30" t="inlineStr">
        <is>
          <t>Cyclical in an Upturn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20</t>
        </is>
      </c>
      <c r="CG6" s="30">
        <f>IF(CF6&gt;20,10,IF(CF6&gt;=10,5,2))</f>
        <v/>
      </c>
    </row>
    <row r="7">
      <c r="A7" s="30">
        <f>IF(B7=0,"",RANK(B7,$B$2:$B$96,0))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VENUSREM</t>
        </is>
      </c>
      <c r="D7" s="30" t="inlineStr">
        <is>
          <t>Venus Remedies Ltd</t>
        </is>
      </c>
      <c r="E7" s="30" t="inlineStr">
        <is>
          <t>healthcare</t>
        </is>
      </c>
      <c r="F7" s="30" t="inlineStr">
        <is>
          <t>Pharmaceuticals - I V Fluids</t>
        </is>
      </c>
      <c r="G7" s="30" t="inlineStr">
        <is>
          <t>smallcap</t>
        </is>
      </c>
      <c r="H7" s="31" t="n">
        <v>2324.65</v>
      </c>
      <c r="I7" s="31" t="n">
        <v>1739.1</v>
      </c>
      <c r="J7" s="31" t="n">
        <v>-1.99</v>
      </c>
      <c r="K7" s="31" t="n">
        <v>0</v>
      </c>
      <c r="L7" s="30" t="n">
        <v>96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79.03</v>
      </c>
      <c r="P7" s="31" t="n">
        <v>52.86</v>
      </c>
      <c r="Q7" s="31" t="n">
        <v>1352.57</v>
      </c>
      <c r="R7" s="30" t="inlineStr">
        <is>
          <t>Near 52W High Breakout</t>
        </is>
      </c>
      <c r="S7" s="30" t="inlineStr">
        <is>
          <t>Nifty Pharma</t>
        </is>
      </c>
      <c r="T7" s="31" t="n">
        <v>12.35</v>
      </c>
      <c r="U7" s="31" t="n">
        <v>301.32</v>
      </c>
      <c r="V7" s="31" t="n">
        <v>257.2</v>
      </c>
      <c r="W7" s="31" t="n">
        <v>58.23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Annuity, Lower One Time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Above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21</t>
        </is>
      </c>
      <c r="CG7" s="30">
        <f>IF(CF7&gt;20,10,IF(CF7&gt;=10,5,2))</f>
        <v/>
      </c>
    </row>
    <row r="8">
      <c r="A8" s="30">
        <f>IF(B8=0,"",RANK(B8,$B$2:$B$96,0))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THANGAMAYL</t>
        </is>
      </c>
      <c r="D8" s="30" t="inlineStr">
        <is>
          <t>Thangamayil Jewellery Ltd</t>
        </is>
      </c>
      <c r="E8" s="30" t="inlineStr">
        <is>
          <t>consumer discretionary</t>
        </is>
      </c>
      <c r="F8" s="30" t="inlineStr">
        <is>
          <t>Diamond, Gems &amp; Jewellery</t>
        </is>
      </c>
      <c r="G8" s="30" t="inlineStr">
        <is>
          <t>midcap</t>
        </is>
      </c>
      <c r="H8" s="31" t="n">
        <v>16895.25</v>
      </c>
      <c r="I8" s="31" t="n">
        <v>5435.7</v>
      </c>
      <c r="J8" s="31" t="n">
        <v>-3.5</v>
      </c>
      <c r="K8" s="31" t="n">
        <v>0</v>
      </c>
      <c r="L8" s="30" t="n">
        <v>93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70.42</v>
      </c>
      <c r="P8" s="31" t="n">
        <v>40.06</v>
      </c>
      <c r="Q8" s="31" t="n">
        <v>3980.52</v>
      </c>
      <c r="R8" s="30" t="inlineStr">
        <is>
          <t>Near 52W High Breakout</t>
        </is>
      </c>
      <c r="S8" s="30" t="inlineStr">
        <is>
          <t>Nifty 50</t>
        </is>
      </c>
      <c r="T8" s="31" t="n">
        <v>-3.76</v>
      </c>
      <c r="U8" s="31" t="n">
        <v>190.87</v>
      </c>
      <c r="V8" s="31" t="n">
        <v>202.24</v>
      </c>
      <c r="W8" s="31" t="n">
        <v>39.31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Yes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Between 50% to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28</t>
        </is>
      </c>
      <c r="CG8" s="30">
        <f>IF(CF8&gt;20,10,IF(CF8&gt;=10,5,2))</f>
        <v/>
      </c>
    </row>
    <row r="9">
      <c r="A9" s="30">
        <f>IF(B9=0,"",RANK(B9,$B$2:$B$96,0))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MTARTECH</t>
        </is>
      </c>
      <c r="D9" s="30" t="inlineStr">
        <is>
          <t>MTAR Technologies Ltd</t>
        </is>
      </c>
      <c r="E9" s="30" t="inlineStr">
        <is>
          <t>aerospace &amp; defence</t>
        </is>
      </c>
      <c r="F9" s="30" t="inlineStr">
        <is>
          <t>Aerospace &amp; Defence - Equipments</t>
        </is>
      </c>
      <c r="G9" s="30" t="inlineStr">
        <is>
          <t>largecap</t>
        </is>
      </c>
      <c r="H9" s="31" t="n">
        <v>25547.38</v>
      </c>
      <c r="I9" s="31" t="n">
        <v>8305.5</v>
      </c>
      <c r="J9" s="31" t="n">
        <v>-0.16</v>
      </c>
      <c r="K9" s="31" t="n">
        <v>0</v>
      </c>
      <c r="L9" s="30" t="n">
        <v>98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80.47</v>
      </c>
      <c r="P9" s="31" t="n">
        <v>63.6</v>
      </c>
      <c r="Q9" s="31" t="n">
        <v>5850.9</v>
      </c>
      <c r="R9" s="30" t="inlineStr">
        <is>
          <t>Volume Spike &amp; Near 52W High Breakout</t>
        </is>
      </c>
      <c r="S9" s="30" t="inlineStr">
        <is>
          <t>Nifty 50</t>
        </is>
      </c>
      <c r="T9" s="31" t="n">
        <v>-3.76</v>
      </c>
      <c r="U9" s="31" t="n">
        <v>383.81</v>
      </c>
      <c r="V9" s="31" t="n">
        <v>402.71</v>
      </c>
      <c r="W9" s="31" t="n">
        <v>71.34999999999999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Yes</t>
        </is>
      </c>
      <c r="BS9" s="30">
        <f>IF(BR9="NO",5,0)</f>
        <v/>
      </c>
      <c r="BT9" s="30" t="inlineStr">
        <is>
          <t>Above 2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26</t>
        </is>
      </c>
      <c r="CG9" s="30">
        <f>IF(CF9&gt;20,10,IF(CF9&gt;=10,5,2))</f>
        <v/>
      </c>
    </row>
    <row r="10">
      <c r="A10" s="30">
        <f>IF(B10=0,"",RANK(B10,$B$2:$B$96,0))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GAYAPROJ</t>
        </is>
      </c>
      <c r="D10" s="30" t="inlineStr">
        <is>
          <t>Gayatri Projects Ltd</t>
        </is>
      </c>
      <c r="E10" s="30" t="inlineStr">
        <is>
          <t>realty</t>
        </is>
      </c>
      <c r="F10" s="30" t="inlineStr">
        <is>
          <t>Construction - Civil/Turnkey</t>
        </is>
      </c>
      <c r="G10" s="30" t="inlineStr">
        <is>
          <t>smallcap</t>
        </is>
      </c>
      <c r="H10" s="31" t="n">
        <v>1148.21</v>
      </c>
      <c r="I10" s="31" t="n">
        <v>24.73</v>
      </c>
      <c r="J10" s="31" t="n">
        <v>-2.1</v>
      </c>
      <c r="K10" s="31" t="n">
        <v>0</v>
      </c>
      <c r="L10" s="30" t="n">
        <v>94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80.3</v>
      </c>
      <c r="P10" s="31" t="n">
        <v>60.48</v>
      </c>
      <c r="Q10" s="31" t="n">
        <v>19.74</v>
      </c>
      <c r="R10" s="30" t="inlineStr">
        <is>
          <t>Near 52W High Breakout</t>
        </is>
      </c>
      <c r="S10" s="30" t="inlineStr">
        <is>
          <t>Nifty Realty</t>
        </is>
      </c>
      <c r="T10" s="31" t="n">
        <v>-19.08</v>
      </c>
      <c r="U10" s="31" t="n">
        <v>189.24</v>
      </c>
      <c r="V10" s="31" t="n">
        <v>257.46</v>
      </c>
      <c r="W10" s="31" t="n">
        <v>43.85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Above 2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21</t>
        </is>
      </c>
      <c r="CG10" s="30">
        <f>IF(CF10&gt;20,10,IF(CF10&gt;=10,5,2))</f>
        <v/>
      </c>
    </row>
    <row r="11">
      <c r="A11" s="30">
        <f>IF(B11=0,"",RANK(B11,$B$2:$B$96,0))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NETWEB</t>
        </is>
      </c>
      <c r="D11" s="30" t="inlineStr">
        <is>
          <t>Netweb Technologies India Ltd</t>
        </is>
      </c>
      <c r="E11" s="30" t="inlineStr">
        <is>
          <t>i.t</t>
        </is>
      </c>
      <c r="F11" s="30" t="inlineStr">
        <is>
          <t>Data Centre</t>
        </is>
      </c>
      <c r="G11" s="30" t="inlineStr">
        <is>
          <t>largecap</t>
        </is>
      </c>
      <c r="H11" s="31" t="n">
        <v>28923.59</v>
      </c>
      <c r="I11" s="31" t="n">
        <v>5079.6</v>
      </c>
      <c r="J11" s="31" t="n">
        <v>3.42</v>
      </c>
      <c r="K11" s="31" t="n">
        <v>0</v>
      </c>
      <c r="L11" s="30" t="n">
        <v>93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69.48999999999999</v>
      </c>
      <c r="P11" s="31" t="n">
        <v>45.38</v>
      </c>
      <c r="Q11" s="31" t="n">
        <v>3599.77</v>
      </c>
      <c r="R11" s="30" t="inlineStr">
        <is>
          <t>Near 52W High Breakout</t>
        </is>
      </c>
      <c r="S11" s="30" t="inlineStr">
        <is>
          <t>Nifty IT</t>
        </is>
      </c>
      <c r="T11" s="31" t="n">
        <v>-26.99</v>
      </c>
      <c r="U11" s="31" t="n">
        <v>188.29</v>
      </c>
      <c r="V11" s="31" t="n">
        <v>294.88</v>
      </c>
      <c r="W11" s="31" t="n">
        <v>39.12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Between 50% to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21</t>
        </is>
      </c>
      <c r="CG11" s="30">
        <f>IF(CF11&gt;20,10,IF(CF11&gt;=10,5,2))</f>
        <v/>
      </c>
    </row>
    <row r="12">
      <c r="A12" s="30">
        <f>IF(B12=0,"",RANK(B12,$B$2:$B$96,0))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CUPID</t>
        </is>
      </c>
      <c r="D12" s="30" t="inlineStr">
        <is>
          <t>Cupid Ltd</t>
        </is>
      </c>
      <c r="E12" s="30" t="inlineStr">
        <is>
          <t>fmcg</t>
        </is>
      </c>
      <c r="F12" s="30" t="inlineStr">
        <is>
          <t>Contraceptives/Protectives</t>
        </is>
      </c>
      <c r="G12" s="30" t="inlineStr">
        <is>
          <t>largecap</t>
        </is>
      </c>
      <c r="H12" s="31" t="n">
        <v>22750.31</v>
      </c>
      <c r="I12" s="31" t="n">
        <v>169.19</v>
      </c>
      <c r="J12" s="31" t="n">
        <v>1.81</v>
      </c>
      <c r="K12" s="31" t="n">
        <v>0</v>
      </c>
      <c r="L12" s="30" t="n">
        <v>99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83.2</v>
      </c>
      <c r="P12" s="31" t="n">
        <v>48.57</v>
      </c>
      <c r="Q12" s="31" t="n">
        <v>131.64</v>
      </c>
      <c r="R12" s="30" t="inlineStr">
        <is>
          <t>Near 52W High Breakout</t>
        </is>
      </c>
      <c r="S12" s="30" t="inlineStr">
        <is>
          <t>Nifty FMCG</t>
        </is>
      </c>
      <c r="T12" s="31" t="n">
        <v>-9.109999999999999</v>
      </c>
      <c r="U12" s="31" t="n">
        <v>810.41</v>
      </c>
      <c r="V12" s="31" t="n">
        <v>901.65</v>
      </c>
      <c r="W12" s="31" t="n">
        <v>90.70999999999999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B2C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Less than 50%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24</t>
        </is>
      </c>
      <c r="CG12" s="30">
        <f>IF(CF12&gt;20,10,IF(CF12&gt;=10,5,2))</f>
        <v/>
      </c>
    </row>
    <row r="13">
      <c r="A13" s="30">
        <f>IF(B13=0,"",RANK(B13,$B$2:$B$96,0))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MODINSU</t>
        </is>
      </c>
      <c r="D13" s="30" t="inlineStr">
        <is>
          <t>Modern Insulators Ltd</t>
        </is>
      </c>
      <c r="E13" s="30" t="inlineStr">
        <is>
          <t>Technology</t>
        </is>
      </c>
      <c r="F13" s="30" t="inlineStr">
        <is>
          <t>Capital Goods - Electric General</t>
        </is>
      </c>
      <c r="G13" s="30" t="inlineStr">
        <is>
          <t>smallcap</t>
        </is>
      </c>
      <c r="H13" s="31" t="n">
        <v>2364.27</v>
      </c>
      <c r="I13" s="31" t="n">
        <v>501.5</v>
      </c>
      <c r="J13" s="31" t="n">
        <v>4.99</v>
      </c>
      <c r="K13" s="31" t="n">
        <v>0</v>
      </c>
      <c r="L13" s="30" t="n">
        <v>97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75.38</v>
      </c>
      <c r="P13" s="31" t="n">
        <v>43.86</v>
      </c>
      <c r="Q13" s="31" t="n">
        <v>358.95</v>
      </c>
      <c r="R13" s="30" t="inlineStr">
        <is>
          <t>Near 52W High Breakout</t>
        </is>
      </c>
      <c r="S13" s="30" t="inlineStr">
        <is>
          <t>Nifty 50</t>
        </is>
      </c>
      <c r="T13" s="31" t="n">
        <v>-3.76</v>
      </c>
      <c r="U13" s="31" t="n">
        <v>392.31</v>
      </c>
      <c r="V13" s="31" t="n">
        <v>411.55</v>
      </c>
      <c r="W13" s="31" t="n">
        <v>67.78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Above 2</t>
        </is>
      </c>
      <c r="BU13" s="30">
        <f>IF(BT13="Above 2",0,IF(BT13="Between 1.5 to 2",5,IF(BT13="Less than 1.5",10,0)))</f>
        <v/>
      </c>
      <c r="BV13" s="30" t="inlineStr">
        <is>
          <t>Less than 50%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23</t>
        </is>
      </c>
      <c r="CG13" s="30">
        <f>IF(CF13&gt;20,10,IF(CF13&gt;=10,5,2))</f>
        <v/>
      </c>
    </row>
    <row r="14">
      <c r="A14" s="30">
        <f>IF(B14=0,"",RANK(B14,$B$2:$B$96,0))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BLISSGVS</t>
        </is>
      </c>
      <c r="D14" s="30" t="inlineStr">
        <is>
          <t>Bliss GVS Pharma Ltd</t>
        </is>
      </c>
      <c r="E14" s="30" t="inlineStr">
        <is>
          <t>healthcare</t>
        </is>
      </c>
      <c r="F14" s="30" t="inlineStr">
        <is>
          <t>Pharma - Formulators</t>
        </is>
      </c>
      <c r="G14" s="30" t="inlineStr">
        <is>
          <t>midcap</t>
        </is>
      </c>
      <c r="H14" s="31" t="n">
        <v>5121.99</v>
      </c>
      <c r="I14" s="31" t="n">
        <v>482.95</v>
      </c>
      <c r="J14" s="31" t="n">
        <v>1.71</v>
      </c>
      <c r="K14" s="31" t="n">
        <v>0</v>
      </c>
      <c r="L14" s="30" t="n">
        <v>97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90.2</v>
      </c>
      <c r="P14" s="31" t="n">
        <v>63.5</v>
      </c>
      <c r="Q14" s="31" t="n">
        <v>372.21</v>
      </c>
      <c r="R14" s="30" t="inlineStr">
        <is>
          <t>Near 52W High Breakout</t>
        </is>
      </c>
      <c r="S14" s="30" t="inlineStr">
        <is>
          <t>Nifty Pharma</t>
        </is>
      </c>
      <c r="T14" s="31" t="n">
        <v>12.35</v>
      </c>
      <c r="U14" s="31" t="n">
        <v>250.73</v>
      </c>
      <c r="V14" s="31" t="n">
        <v>212.17</v>
      </c>
      <c r="W14" s="31" t="n">
        <v>61.05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21</t>
        </is>
      </c>
      <c r="CG14" s="30">
        <f>IF(CF14&gt;20,10,IF(CF14&gt;=10,5,2))</f>
        <v/>
      </c>
    </row>
    <row r="15">
      <c r="A15" s="30">
        <f>IF(B15=0,"",RANK(B15,$B$2:$B$96,0))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TIMEX</t>
        </is>
      </c>
      <c r="D15" s="30" t="inlineStr">
        <is>
          <t>Timex Group India Ltd</t>
        </is>
      </c>
      <c r="E15" s="30" t="inlineStr">
        <is>
          <t>Consumer Cyclical</t>
        </is>
      </c>
      <c r="F15" s="30" t="inlineStr">
        <is>
          <t>Watches</t>
        </is>
      </c>
      <c r="G15" s="30" t="inlineStr">
        <is>
          <t>smallcap</t>
        </is>
      </c>
      <c r="H15" s="31" t="n">
        <v>4842.57</v>
      </c>
      <c r="I15" s="31" t="n">
        <v>479.7</v>
      </c>
      <c r="J15" s="31" t="n">
        <v>-0.91</v>
      </c>
      <c r="K15" s="31" t="n">
        <v>0</v>
      </c>
      <c r="L15" s="30" t="n">
        <v>88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70.66</v>
      </c>
      <c r="P15" s="31" t="n">
        <v>30.01</v>
      </c>
      <c r="Q15" s="31" t="n">
        <v>372.06</v>
      </c>
      <c r="R15" s="30" t="inlineStr">
        <is>
          <t>Near 52W High Breakout</t>
        </is>
      </c>
      <c r="S15" s="30" t="inlineStr">
        <is>
          <t>Nifty 50</t>
        </is>
      </c>
      <c r="T15" s="31" t="n">
        <v>-3.76</v>
      </c>
      <c r="U15" s="31" t="n">
        <v>83.68000000000001</v>
      </c>
      <c r="V15" s="31" t="n">
        <v>90.86</v>
      </c>
      <c r="W15" s="31" t="n">
        <v>31.14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20 to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Yes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21</t>
        </is>
      </c>
      <c r="CG15" s="30">
        <f>IF(CF15&gt;20,10,IF(CF15&gt;=10,5,2))</f>
        <v/>
      </c>
    </row>
    <row r="16">
      <c r="A16" s="30">
        <f>IF(B16=0,"",RANK(B16,$B$2:$B$96,0))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MAYURUNIQ</t>
        </is>
      </c>
      <c r="D16" s="30" t="inlineStr">
        <is>
          <t>Mayur Uniquoters Ltd</t>
        </is>
      </c>
      <c r="E16" s="30" t="inlineStr">
        <is>
          <t>consumer discretionary</t>
        </is>
      </c>
      <c r="F16" s="30" t="inlineStr">
        <is>
          <t>Plastics - Plastic &amp; Plastic Products</t>
        </is>
      </c>
      <c r="G16" s="30" t="inlineStr">
        <is>
          <t>smallcap</t>
        </is>
      </c>
      <c r="H16" s="31" t="n">
        <v>3595.49</v>
      </c>
      <c r="I16" s="31" t="n">
        <v>827.45</v>
      </c>
      <c r="J16" s="31" t="n">
        <v>0.08</v>
      </c>
      <c r="K16" s="31" t="n">
        <v>0</v>
      </c>
      <c r="L16" s="30" t="n">
        <v>79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79.51000000000001</v>
      </c>
      <c r="P16" s="31" t="n">
        <v>40.58</v>
      </c>
      <c r="Q16" s="31" t="n">
        <v>649.53</v>
      </c>
      <c r="R16" s="30" t="inlineStr">
        <is>
          <t>Near 52W High Breakout</t>
        </is>
      </c>
      <c r="S16" s="30" t="inlineStr">
        <is>
          <t>Nifty 50</t>
        </is>
      </c>
      <c r="T16" s="31" t="n">
        <v>-3.76</v>
      </c>
      <c r="U16" s="31" t="n">
        <v>50.93</v>
      </c>
      <c r="V16" s="31" t="n">
        <v>56.83</v>
      </c>
      <c r="W16" s="31" t="n">
        <v>23.64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Between 50% to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18</t>
        </is>
      </c>
      <c r="CG16" s="30">
        <f>IF(CF16&gt;20,10,IF(CF16&gt;=10,5,2))</f>
        <v/>
      </c>
    </row>
    <row r="17">
      <c r="A17" s="30">
        <f>IF(B17=0,"",RANK(B17,$B$2:$B$96,0))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SANGHVIMOV</t>
        </is>
      </c>
      <c r="D17" s="30" t="inlineStr">
        <is>
          <t>Sanghvi Movers Ltd</t>
        </is>
      </c>
      <c r="E17" s="30" t="inlineStr">
        <is>
          <t>miscellaneous</t>
        </is>
      </c>
      <c r="F17" s="30" t="inlineStr">
        <is>
          <t>Capital Goods - EPC/Cranes</t>
        </is>
      </c>
      <c r="G17" s="30" t="inlineStr">
        <is>
          <t>smallcap</t>
        </is>
      </c>
      <c r="H17" s="31" t="n">
        <v>3569.53</v>
      </c>
      <c r="I17" s="31" t="n">
        <v>412.3</v>
      </c>
      <c r="J17" s="31" t="n">
        <v>-1.01</v>
      </c>
      <c r="K17" s="31" t="n">
        <v>0</v>
      </c>
      <c r="L17" s="30" t="n">
        <v>84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67.67</v>
      </c>
      <c r="P17" s="31" t="n">
        <v>21.36</v>
      </c>
      <c r="Q17" s="31" t="n">
        <v>299.59</v>
      </c>
      <c r="R17" s="30" t="inlineStr">
        <is>
          <t>Near 52W High Breakout</t>
        </is>
      </c>
      <c r="S17" s="30" t="inlineStr">
        <is>
          <t>Nifty 50</t>
        </is>
      </c>
      <c r="T17" s="31" t="n">
        <v>-3.76</v>
      </c>
      <c r="U17" s="31" t="n">
        <v>47.6</v>
      </c>
      <c r="V17" s="31" t="n">
        <v>53.37</v>
      </c>
      <c r="W17" s="31" t="n">
        <v>27.48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Between 50% to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17</t>
        </is>
      </c>
      <c r="CG17" s="30">
        <f>IF(CF17&gt;20,10,IF(CF17&gt;=10,5,2))</f>
        <v/>
      </c>
    </row>
    <row r="18">
      <c r="A18" s="30">
        <f>IF(B18=0,"",RANK(B18,$B$2:$B$96,0))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NGLFINE</t>
        </is>
      </c>
      <c r="D18" s="30" t="inlineStr">
        <is>
          <t>NGL Fine Chem Ltd</t>
        </is>
      </c>
      <c r="E18" s="30" t="inlineStr">
        <is>
          <t>healthcare</t>
        </is>
      </c>
      <c r="F18" s="30" t="inlineStr">
        <is>
          <t>Pharma - Animal</t>
        </is>
      </c>
      <c r="G18" s="30" t="inlineStr">
        <is>
          <t>smallcap</t>
        </is>
      </c>
      <c r="H18" s="31" t="n">
        <v>1881.46</v>
      </c>
      <c r="I18" s="31" t="n">
        <v>3045.4</v>
      </c>
      <c r="J18" s="31" t="n">
        <v>3.93</v>
      </c>
      <c r="K18" s="31" t="n">
        <v>0</v>
      </c>
      <c r="L18" s="30" t="n">
        <v>91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79.39</v>
      </c>
      <c r="P18" s="31" t="n">
        <v>65.51000000000001</v>
      </c>
      <c r="Q18" s="31" t="n">
        <v>2022.1</v>
      </c>
      <c r="R18" s="30" t="inlineStr">
        <is>
          <t>Volume Spike &amp; Near 52W High Breakout</t>
        </is>
      </c>
      <c r="S18" s="30" t="inlineStr">
        <is>
          <t>Nifty Pharma</t>
        </is>
      </c>
      <c r="T18" s="31" t="n">
        <v>12.35</v>
      </c>
      <c r="U18" s="31" t="n">
        <v>204.98</v>
      </c>
      <c r="V18" s="31" t="n">
        <v>171.45</v>
      </c>
      <c r="W18" s="31" t="n">
        <v>36.34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Between 50% to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26</t>
        </is>
      </c>
      <c r="CG18" s="30">
        <f>IF(CF18&gt;20,10,IF(CF18&gt;=10,5,2))</f>
        <v/>
      </c>
    </row>
    <row r="19">
      <c r="A19" s="30">
        <f>IF(B19=0,"",RANK(B19,$B$2:$B$96,0))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SKMEGGPROD</t>
        </is>
      </c>
      <c r="D19" s="30" t="inlineStr">
        <is>
          <t>SKM Egg Products Export (India) Ltd</t>
        </is>
      </c>
      <c r="E19" s="30" t="inlineStr">
        <is>
          <t>fmcg</t>
        </is>
      </c>
      <c r="F19" s="30" t="inlineStr">
        <is>
          <t>FMCG - Animal/Polutry</t>
        </is>
      </c>
      <c r="G19" s="30" t="inlineStr">
        <is>
          <t>smallcap</t>
        </is>
      </c>
      <c r="H19" s="31" t="n">
        <v>1258.36</v>
      </c>
      <c r="I19" s="31" t="n">
        <v>238.96</v>
      </c>
      <c r="J19" s="31" t="n">
        <v>-2.19</v>
      </c>
      <c r="K19" s="31" t="n">
        <v>0</v>
      </c>
      <c r="L19" s="30" t="n">
        <v>84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68.27</v>
      </c>
      <c r="P19" s="31" t="n">
        <v>22.1</v>
      </c>
      <c r="Q19" s="31" t="n">
        <v>171.07</v>
      </c>
      <c r="R19" s="30" t="inlineStr">
        <is>
          <t>Near 52W High Breakout</t>
        </is>
      </c>
      <c r="S19" s="30" t="inlineStr">
        <is>
          <t>Nifty FMCG</t>
        </is>
      </c>
      <c r="T19" s="31" t="n">
        <v>-9.109999999999999</v>
      </c>
      <c r="U19" s="31" t="n">
        <v>89.68000000000001</v>
      </c>
      <c r="V19" s="31" t="n">
        <v>108.7</v>
      </c>
      <c r="W19" s="31" t="n">
        <v>28.1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B2C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20 to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Less than 50%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23</t>
        </is>
      </c>
      <c r="CG19" s="30">
        <f>IF(CF19&gt;20,10,IF(CF19&gt;=10,5,2))</f>
        <v/>
      </c>
    </row>
    <row r="20">
      <c r="A20" s="30">
        <f>IF(B20=0,"",RANK(B20,$B$2:$B$96,0))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GVPIL</t>
        </is>
      </c>
      <c r="D20" s="30" t="inlineStr">
        <is>
          <t>GE Power India Ltd</t>
        </is>
      </c>
      <c r="E20" s="30" t="inlineStr">
        <is>
          <t>realty</t>
        </is>
      </c>
      <c r="F20" s="30" t="inlineStr">
        <is>
          <t>Infra - General</t>
        </is>
      </c>
      <c r="G20" s="30" t="inlineStr">
        <is>
          <t>midcap</t>
        </is>
      </c>
      <c r="H20" s="31" t="n">
        <v>6739.22</v>
      </c>
      <c r="I20" s="31" t="n">
        <v>1002.45</v>
      </c>
      <c r="J20" s="31" t="n">
        <v>-5</v>
      </c>
      <c r="K20" s="31" t="n">
        <v>0</v>
      </c>
      <c r="L20" s="30" t="n">
        <v>97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89.73</v>
      </c>
      <c r="P20" s="31" t="n">
        <v>58.79</v>
      </c>
      <c r="Q20" s="31" t="n">
        <v>769.08</v>
      </c>
      <c r="R20" s="30" t="inlineStr">
        <is>
          <t>Near 52W High Breakout</t>
        </is>
      </c>
      <c r="S20" s="30" t="inlineStr">
        <is>
          <t>Nifty Realty</t>
        </is>
      </c>
      <c r="T20" s="31" t="n">
        <v>-19.08</v>
      </c>
      <c r="U20" s="31" t="n">
        <v>229.92</v>
      </c>
      <c r="V20" s="31" t="n">
        <v>307.73</v>
      </c>
      <c r="W20" s="31" t="n">
        <v>62.36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Duopoly That Cooperate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Shallow Cyclical (2 to 3 Years Growth)</t>
        </is>
      </c>
      <c r="AG20" s="30">
        <f>IF(AF20="Structural (10 Years Consistency)",10,IF(AF20="Shallow Cyclical (2 to 3 years growth)",5,0))</f>
        <v/>
      </c>
      <c r="AH20" s="30" t="inlineStr">
        <is>
          <t>Yes due to Product Mix change or Operating Leverage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B2C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Fully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only for next 1 to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Between 50% to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Between 0.7 to 1.2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21</t>
        </is>
      </c>
      <c r="CG20" s="30">
        <f>IF(CF20&gt;20,10,IF(CF20&gt;=10,5,2))</f>
        <v/>
      </c>
    </row>
    <row r="21">
      <c r="A21" s="30">
        <f>IF(B21=0,"",RANK(B21,$B$2:$B$96,0))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AEGISLOG</t>
        </is>
      </c>
      <c r="D21" s="30" t="inlineStr">
        <is>
          <t>Aegis Logistics Ltd</t>
        </is>
      </c>
      <c r="E21" s="30" t="inlineStr">
        <is>
          <t>services</t>
        </is>
      </c>
      <c r="F21" s="30" t="inlineStr">
        <is>
          <t>Logistics</t>
        </is>
      </c>
      <c r="G21" s="30" t="inlineStr">
        <is>
          <t>largecap</t>
        </is>
      </c>
      <c r="H21" s="31" t="n">
        <v>35342.19</v>
      </c>
      <c r="I21" s="31" t="n">
        <v>1006.9</v>
      </c>
      <c r="J21" s="31" t="n">
        <v>0</v>
      </c>
      <c r="K21" s="31" t="n">
        <v>0</v>
      </c>
      <c r="L21" s="30" t="n">
        <v>73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75.48</v>
      </c>
      <c r="P21" s="31" t="n">
        <v>23.33</v>
      </c>
      <c r="Q21" s="31" t="n">
        <v>782.4400000000001</v>
      </c>
      <c r="R21" s="30" t="inlineStr">
        <is>
          <t>Near 52W High Breakout</t>
        </is>
      </c>
      <c r="S21" s="30" t="inlineStr">
        <is>
          <t>Nifty 50</t>
        </is>
      </c>
      <c r="T21" s="31" t="n">
        <v>-3.76</v>
      </c>
      <c r="U21" s="31" t="n">
        <v>29.23</v>
      </c>
      <c r="V21" s="31" t="n">
        <v>34.28</v>
      </c>
      <c r="W21" s="31" t="n">
        <v>21.38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20 to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28</t>
        </is>
      </c>
      <c r="CG21" s="30">
        <f>IF(CF21&gt;20,10,IF(CF21&gt;=10,5,2))</f>
        <v/>
      </c>
    </row>
    <row r="22">
      <c r="A22" s="30">
        <f>IF(B22=0,"",RANK(B22,$B$2:$B$96,0))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BHAGYANGR</t>
        </is>
      </c>
      <c r="D22" s="30" t="inlineStr">
        <is>
          <t>Bhagyanagar India Ltd</t>
        </is>
      </c>
      <c r="E22" s="30" t="inlineStr">
        <is>
          <t>power &amp; utilities</t>
        </is>
      </c>
      <c r="F22" s="30" t="inlineStr">
        <is>
          <t>Recycling</t>
        </is>
      </c>
      <c r="G22" s="30" t="inlineStr">
        <is>
          <t>smallcap</t>
        </is>
      </c>
      <c r="H22" s="31" t="n">
        <v>1207.65</v>
      </c>
      <c r="I22" s="31" t="n">
        <v>377.45</v>
      </c>
      <c r="J22" s="31" t="n">
        <v>4.99</v>
      </c>
      <c r="K22" s="31" t="n">
        <v>0</v>
      </c>
      <c r="L22" s="30" t="n">
        <v>98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81.56999999999999</v>
      </c>
      <c r="P22" s="31" t="n">
        <v>60.17</v>
      </c>
      <c r="Q22" s="31" t="n">
        <v>272.09</v>
      </c>
      <c r="R22" s="30" t="inlineStr">
        <is>
          <t>Near 52W High Breakout</t>
        </is>
      </c>
      <c r="S22" s="30" t="inlineStr">
        <is>
          <t>Nifty IT</t>
        </is>
      </c>
      <c r="T22" s="31" t="n">
        <v>-26.99</v>
      </c>
      <c r="U22" s="31" t="n">
        <v>381.01</v>
      </c>
      <c r="V22" s="31" t="n">
        <v>558.86</v>
      </c>
      <c r="W22" s="31" t="n">
        <v>77.83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Between 50% to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Between 0.7 to 1.2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23</t>
        </is>
      </c>
      <c r="CG22" s="30">
        <f>IF(CF22&gt;20,10,IF(CF22&gt;=10,5,2))</f>
        <v/>
      </c>
    </row>
    <row r="23">
      <c r="A23" s="30">
        <f>IF(B23=0,"",RANK(B23,$B$2:$B$96,0))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3" t="inlineStr">
        <is>
          <t>KRISHNADEF</t>
        </is>
      </c>
      <c r="D23" s="33" t="inlineStr">
        <is>
          <t>Krishna Defence &amp; Allied Industries Ltd</t>
        </is>
      </c>
      <c r="E23" s="30" t="inlineStr">
        <is>
          <t>Industrials</t>
        </is>
      </c>
      <c r="F23" s="30" t="inlineStr">
        <is>
          <t>Shipping - Proxy</t>
        </is>
      </c>
      <c r="G23" s="30" t="inlineStr">
        <is>
          <t>smallcap</t>
        </is>
      </c>
      <c r="H23" s="31" t="n">
        <v>1971.21</v>
      </c>
      <c r="I23" s="31" t="n">
        <v>1320</v>
      </c>
      <c r="J23" s="31" t="n">
        <v>1.07</v>
      </c>
      <c r="K23" s="31" t="n">
        <v>0</v>
      </c>
      <c r="L23" s="30" t="n">
        <v>69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69.12</v>
      </c>
      <c r="P23" s="31" t="n">
        <v>39.96</v>
      </c>
      <c r="Q23" s="31" t="n">
        <v>874.48</v>
      </c>
      <c r="R23" s="30" t="inlineStr">
        <is>
          <t>Near 52W High Breakout</t>
        </is>
      </c>
      <c r="S23" s="30" t="inlineStr">
        <is>
          <t>Nifty 50</t>
        </is>
      </c>
      <c r="T23" s="31" t="n">
        <v>-3.76</v>
      </c>
      <c r="U23" s="31" t="n">
        <v>46.01</v>
      </c>
      <c r="V23" s="31" t="n">
        <v>51.71</v>
      </c>
      <c r="W23" s="31" t="n">
        <v>19.35</v>
      </c>
      <c r="X23" s="30" t="inlineStr">
        <is>
          <t>Cyclical in an Upturn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20</t>
        </is>
      </c>
      <c r="CG23" s="30">
        <f>IF(CF23&gt;20,10,IF(CF23&gt;=10,5,2))</f>
        <v/>
      </c>
    </row>
    <row r="24">
      <c r="A24" s="30">
        <f>IF(B24=0,"",RANK(B24,$B$2:$B$96,0))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SANSERA</t>
        </is>
      </c>
      <c r="D24" s="30" t="inlineStr">
        <is>
          <t>Sansera Engineering Ltd</t>
        </is>
      </c>
      <c r="E24" s="30" t="inlineStr">
        <is>
          <t>auto</t>
        </is>
      </c>
      <c r="F24" s="30" t="inlineStr">
        <is>
          <t>Auto Ancillaries - Diversified</t>
        </is>
      </c>
      <c r="G24" s="30" t="inlineStr">
        <is>
          <t>midcap</t>
        </is>
      </c>
      <c r="H24" s="31" t="n">
        <v>17994.02</v>
      </c>
      <c r="I24" s="31" t="n">
        <v>2886.8</v>
      </c>
      <c r="J24" s="31" t="n">
        <v>0.26</v>
      </c>
      <c r="K24" s="31" t="n">
        <v>0</v>
      </c>
      <c r="L24" s="30" t="n">
        <v>79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71.70999999999999</v>
      </c>
      <c r="P24" s="31" t="n">
        <v>41.37</v>
      </c>
      <c r="Q24" s="31" t="n">
        <v>2296.55</v>
      </c>
      <c r="R24" s="30" t="inlineStr">
        <is>
          <t>Near 52W High Breakout</t>
        </is>
      </c>
      <c r="S24" s="30" t="inlineStr">
        <is>
          <t>Nifty Auto</t>
        </is>
      </c>
      <c r="T24" s="31" t="n">
        <v>12.95</v>
      </c>
      <c r="U24" s="31" t="n">
        <v>118.01</v>
      </c>
      <c r="V24" s="31" t="n">
        <v>93.01000000000001</v>
      </c>
      <c r="W24" s="31" t="n">
        <v>23.93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Between 50% to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17</t>
        </is>
      </c>
      <c r="CG24" s="30">
        <f>IF(CF24&gt;20,10,IF(CF24&gt;=10,5,2))</f>
        <v/>
      </c>
    </row>
    <row r="25">
      <c r="A25" s="30">
        <f>IF(B25=0,"",RANK(B25,$B$2:$B$96,0))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KPL</t>
        </is>
      </c>
      <c r="D25" s="30" t="inlineStr">
        <is>
          <t>Kwality Pharmaceuticals Ltd</t>
        </is>
      </c>
      <c r="E25" s="30" t="inlineStr">
        <is>
          <t>Healthcare</t>
        </is>
      </c>
      <c r="F25" s="30" t="inlineStr">
        <is>
          <t>Pharma - Formulators</t>
        </is>
      </c>
      <c r="G25" s="30" t="inlineStr">
        <is>
          <t>smallcap</t>
        </is>
      </c>
      <c r="H25" s="31" t="n">
        <v>2434.83</v>
      </c>
      <c r="I25" s="31" t="n">
        <v>2346.55</v>
      </c>
      <c r="J25" s="31" t="n">
        <v>-0.6</v>
      </c>
      <c r="K25" s="31" t="n">
        <v>0</v>
      </c>
      <c r="L25" s="30" t="n">
        <v>88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72.53</v>
      </c>
      <c r="P25" s="31" t="n">
        <v>52.94</v>
      </c>
      <c r="Q25" s="31" t="n">
        <v>1806.77</v>
      </c>
      <c r="R25" s="30" t="inlineStr">
        <is>
          <t>Earnings / Momentum Support</t>
        </is>
      </c>
      <c r="S25" s="30" t="inlineStr">
        <is>
          <t>Nifty Pharma</t>
        </is>
      </c>
      <c r="T25" s="31" t="n">
        <v>12.35</v>
      </c>
      <c r="U25" s="31" t="n">
        <v>127.37</v>
      </c>
      <c r="V25" s="31" t="n">
        <v>102.37</v>
      </c>
      <c r="W25" s="31" t="n">
        <v>31.41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No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Less than 50%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26</t>
        </is>
      </c>
      <c r="CG25" s="30">
        <f>IF(CF25&gt;20,10,IF(CF25&gt;=10,5,2))</f>
        <v/>
      </c>
    </row>
    <row r="26">
      <c r="A26" s="30">
        <f>IF(B26=0,"",RANK(B26,$B$2:$B$96,0))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3" t="inlineStr">
        <is>
          <t>MARKSANS</t>
        </is>
      </c>
      <c r="D26" s="33" t="inlineStr">
        <is>
          <t>Marksans Pharma Ltd</t>
        </is>
      </c>
      <c r="E26" s="30" t="inlineStr">
        <is>
          <t>healthcare</t>
        </is>
      </c>
      <c r="F26" s="30" t="inlineStr">
        <is>
          <t>Pharma - Formulators</t>
        </is>
      </c>
      <c r="G26" s="30" t="inlineStr">
        <is>
          <t>midcap</t>
        </is>
      </c>
      <c r="H26" s="31" t="n">
        <v>11847.97</v>
      </c>
      <c r="I26" s="31" t="n">
        <v>261.45</v>
      </c>
      <c r="J26" s="31" t="n">
        <v>2.63</v>
      </c>
      <c r="K26" s="31" t="n">
        <v>0</v>
      </c>
      <c r="L26" s="30" t="n">
        <v>60</v>
      </c>
      <c r="M26" s="30" t="inlineStr">
        <is>
          <t>Underperforming</t>
        </is>
      </c>
      <c r="N26" s="31">
        <f>IF(M26="Underperforming",-5,IF(L26&gt;=95,15,IF(L26&gt;=90,10,IF(L26&gt;=80,5,0))))</f>
        <v/>
      </c>
      <c r="O26" s="31" t="n">
        <v>73.76000000000001</v>
      </c>
      <c r="P26" s="31" t="n">
        <v>32.42</v>
      </c>
      <c r="Q26" s="31" t="n">
        <v>202.49</v>
      </c>
      <c r="R26" s="30" t="inlineStr">
        <is>
          <t>Near 52W High Breakout</t>
        </is>
      </c>
      <c r="S26" s="30" t="inlineStr">
        <is>
          <t>Nifty Pharma</t>
        </is>
      </c>
      <c r="T26" s="31" t="n">
        <v>12.35</v>
      </c>
      <c r="U26" s="31" t="n">
        <v>9.32</v>
      </c>
      <c r="V26" s="31" t="n">
        <v>-2.7</v>
      </c>
      <c r="W26" s="31" t="n">
        <v>15.5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22</t>
        </is>
      </c>
      <c r="CG26" s="30">
        <f>IF(CF26&gt;20,10,IF(CF26&gt;=10,5,2))</f>
        <v/>
      </c>
    </row>
    <row r="27">
      <c r="A27" s="30">
        <f>IF(B27=0,"",RANK(B27,$B$2:$B$96,0))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SPARC</t>
        </is>
      </c>
      <c r="D27" s="30" t="inlineStr">
        <is>
          <t>Sun Pharma Advanced Research Company Ltd</t>
        </is>
      </c>
      <c r="E27" s="30" t="inlineStr">
        <is>
          <t>healthcare</t>
        </is>
      </c>
      <c r="F27" s="30" t="inlineStr">
        <is>
          <t>Pharma - Others</t>
        </is>
      </c>
      <c r="G27" s="30" t="inlineStr">
        <is>
          <t>midcap</t>
        </is>
      </c>
      <c r="H27" s="31" t="n">
        <v>7868.67</v>
      </c>
      <c r="I27" s="31" t="n">
        <v>242.47</v>
      </c>
      <c r="J27" s="31" t="n">
        <v>1.19</v>
      </c>
      <c r="K27" s="31" t="n">
        <v>0</v>
      </c>
      <c r="L27" s="30" t="n">
        <v>92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79.44</v>
      </c>
      <c r="P27" s="31" t="n">
        <v>50.15</v>
      </c>
      <c r="Q27" s="31" t="n">
        <v>172.59</v>
      </c>
      <c r="R27" s="30" t="inlineStr">
        <is>
          <t>Near 52W High Breakout</t>
        </is>
      </c>
      <c r="S27" s="30" t="inlineStr">
        <is>
          <t>Nifty Pharma</t>
        </is>
      </c>
      <c r="T27" s="31" t="n">
        <v>12.35</v>
      </c>
      <c r="U27" s="31" t="n">
        <v>54.76</v>
      </c>
      <c r="V27" s="31" t="n">
        <v>37.75</v>
      </c>
      <c r="W27" s="31" t="n">
        <v>38.45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Negative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22</t>
        </is>
      </c>
      <c r="CG27" s="30">
        <f>IF(CF27&gt;20,10,IF(CF27&gt;=10,5,2))</f>
        <v/>
      </c>
    </row>
    <row r="28">
      <c r="A28" s="30">
        <f>IF(B28=0,"",RANK(B28,$B$2:$B$96,0))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SIGMAADV</t>
        </is>
      </c>
      <c r="D28" s="30" t="inlineStr">
        <is>
          <t>Sigma Advanced System Ltd</t>
        </is>
      </c>
      <c r="E28" s="30" t="inlineStr">
        <is>
          <t>aerospace &amp; defence</t>
        </is>
      </c>
      <c r="F28" s="30" t="inlineStr">
        <is>
          <t>Aerospace &amp; Defence - Equipments</t>
        </is>
      </c>
      <c r="G28" s="30" t="inlineStr">
        <is>
          <t>midcap</t>
        </is>
      </c>
      <c r="H28" s="31" t="n">
        <v>8812.870000000001</v>
      </c>
      <c r="I28" s="31" t="n">
        <v>500.05</v>
      </c>
      <c r="J28" s="31" t="n">
        <v>5</v>
      </c>
      <c r="K28" s="31" t="n">
        <v>0</v>
      </c>
      <c r="L28" s="30" t="n">
        <v>99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86.98</v>
      </c>
      <c r="P28" s="31" t="n">
        <v>43.45</v>
      </c>
      <c r="Q28" s="31" t="n">
        <v>377.36</v>
      </c>
      <c r="R28" s="30" t="inlineStr">
        <is>
          <t>Near 52W High Breakout</t>
        </is>
      </c>
      <c r="S28" s="30" t="inlineStr">
        <is>
          <t>Nifty 50</t>
        </is>
      </c>
      <c r="T28" s="31" t="n">
        <v>-3.76</v>
      </c>
      <c r="U28" s="31" t="n">
        <v>485.33</v>
      </c>
      <c r="V28" s="31" t="n">
        <v>508.21</v>
      </c>
      <c r="W28" s="31" t="n">
        <v>94.68000000000001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Negative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Between 0.7 to 1.2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26</t>
        </is>
      </c>
      <c r="CG28" s="30">
        <f>IF(CF28&gt;20,10,IF(CF28&gt;=10,5,2))</f>
        <v/>
      </c>
    </row>
    <row r="29">
      <c r="A29" s="30">
        <f>IF(B29=0,"",RANK(B29,$B$2:$B$96,0))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PARAS</t>
        </is>
      </c>
      <c r="D29" s="30" t="inlineStr">
        <is>
          <t>Paras Defence and Space Technologies Ltd</t>
        </is>
      </c>
      <c r="E29" s="30" t="inlineStr">
        <is>
          <t>aerospace &amp; defence</t>
        </is>
      </c>
      <c r="F29" s="30" t="inlineStr">
        <is>
          <t>Aerospace &amp; Defence - Equipments</t>
        </is>
      </c>
      <c r="G29" s="30" t="inlineStr">
        <is>
          <t>midcap</t>
        </is>
      </c>
      <c r="H29" s="31" t="n">
        <v>10559.36</v>
      </c>
      <c r="I29" s="31" t="n">
        <v>1310.3</v>
      </c>
      <c r="J29" s="31" t="n">
        <v>1.92</v>
      </c>
      <c r="K29" s="31" t="n">
        <v>0</v>
      </c>
      <c r="L29" s="30" t="n">
        <v>92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79.19</v>
      </c>
      <c r="P29" s="31" t="n">
        <v>41.28</v>
      </c>
      <c r="Q29" s="31" t="n">
        <v>982</v>
      </c>
      <c r="R29" s="30" t="inlineStr">
        <is>
          <t>Volume Spike &amp; Near 52W High Breakout</t>
        </is>
      </c>
      <c r="S29" s="30" t="inlineStr">
        <is>
          <t>Nifty 50</t>
        </is>
      </c>
      <c r="T29" s="31" t="n">
        <v>-3.76</v>
      </c>
      <c r="U29" s="31" t="n">
        <v>58.54</v>
      </c>
      <c r="V29" s="31" t="n">
        <v>64.73999999999999</v>
      </c>
      <c r="W29" s="31" t="n">
        <v>38.38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Close to 52 week high or retracement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Between 1.5 to 2</t>
        </is>
      </c>
      <c r="BU29" s="30">
        <f>IF(BT29="Above 2",0,IF(BT29="Between 1.5 to 2",5,IF(BT29="Less than 1.5",10,0)))</f>
        <v/>
      </c>
      <c r="BV29" s="30" t="inlineStr">
        <is>
          <t>Less than 50%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25</t>
        </is>
      </c>
      <c r="CG29" s="30">
        <f>IF(CF29&gt;20,10,IF(CF29&gt;=10,5,2))</f>
        <v/>
      </c>
    </row>
    <row r="30">
      <c r="A30" s="30">
        <f>IF(B30=0,"",RANK(B30,$B$2:$B$96,0))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UNIPARTS</t>
        </is>
      </c>
      <c r="D30" s="30" t="inlineStr">
        <is>
          <t>Uniparts India Ltd</t>
        </is>
      </c>
      <c r="E30" s="30" t="inlineStr">
        <is>
          <t>industrials</t>
        </is>
      </c>
      <c r="F30" s="30" t="inlineStr">
        <is>
          <t>Castings, Forgings &amp; Fastners</t>
        </is>
      </c>
      <c r="G30" s="30" t="inlineStr">
        <is>
          <t>smallcap</t>
        </is>
      </c>
      <c r="H30" s="31" t="n">
        <v>2947.39</v>
      </c>
      <c r="I30" s="31" t="n">
        <v>652.9</v>
      </c>
      <c r="J30" s="31" t="n">
        <v>-2.25</v>
      </c>
      <c r="K30" s="31" t="n">
        <v>0</v>
      </c>
      <c r="L30" s="30" t="n">
        <v>78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72.26000000000001</v>
      </c>
      <c r="P30" s="31" t="n">
        <v>37.9</v>
      </c>
      <c r="Q30" s="31" t="n">
        <v>515.5700000000001</v>
      </c>
      <c r="R30" s="30" t="inlineStr">
        <is>
          <t>Near 52W High Breakout</t>
        </is>
      </c>
      <c r="S30" s="30" t="inlineStr">
        <is>
          <t>Nifty 50</t>
        </is>
      </c>
      <c r="T30" s="31" t="n">
        <v>-3.76</v>
      </c>
      <c r="U30" s="31" t="n">
        <v>89.61</v>
      </c>
      <c r="V30" s="31" t="n">
        <v>97.02</v>
      </c>
      <c r="W30" s="31" t="n">
        <v>23.52</v>
      </c>
      <c r="X30" s="30" t="inlineStr">
        <is>
          <t>Cyclical in an Upturn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24</t>
        </is>
      </c>
      <c r="CG30" s="30">
        <f>IF(CF30&gt;20,10,IF(CF30&gt;=10,5,2))</f>
        <v/>
      </c>
    </row>
    <row r="31">
      <c r="A31" s="30">
        <f>IF(B31=0,"",RANK(B31,$B$2:$B$96,0))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GOLDIAM</t>
        </is>
      </c>
      <c r="D31" s="30" t="inlineStr">
        <is>
          <t>Goldiam International Ltd</t>
        </is>
      </c>
      <c r="E31" s="30" t="inlineStr">
        <is>
          <t>consumer discretionary</t>
        </is>
      </c>
      <c r="F31" s="30" t="inlineStr">
        <is>
          <t>Lab Grown Diamonds</t>
        </is>
      </c>
      <c r="G31" s="30" t="inlineStr">
        <is>
          <t>midcap</t>
        </is>
      </c>
      <c r="H31" s="31" t="n">
        <v>5416.67</v>
      </c>
      <c r="I31" s="31" t="n">
        <v>479.7</v>
      </c>
      <c r="J31" s="31" t="n">
        <v>-4.06</v>
      </c>
      <c r="K31" s="31" t="n">
        <v>0</v>
      </c>
      <c r="L31" s="30" t="n">
        <v>76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65.08</v>
      </c>
      <c r="P31" s="31" t="n">
        <v>28.74</v>
      </c>
      <c r="Q31" s="31" t="n">
        <v>343.37</v>
      </c>
      <c r="R31" s="30" t="inlineStr">
        <is>
          <t>Near 52W High Breakout</t>
        </is>
      </c>
      <c r="S31" s="30" t="inlineStr">
        <is>
          <t>Nifty 50</t>
        </is>
      </c>
      <c r="T31" s="31" t="n">
        <v>-3.76</v>
      </c>
      <c r="U31" s="31" t="n">
        <v>39.64</v>
      </c>
      <c r="V31" s="31" t="n">
        <v>45.1</v>
      </c>
      <c r="W31" s="31" t="n">
        <v>22.52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Less than 50%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23</t>
        </is>
      </c>
      <c r="CG31" s="30">
        <f>IF(CF31&gt;20,10,IF(CF31&gt;=10,5,2))</f>
        <v/>
      </c>
    </row>
    <row r="32">
      <c r="A32" s="30">
        <f>IF(B32=0,"",RANK(B32,$B$2:$B$96,0))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SEKURITIND</t>
        </is>
      </c>
      <c r="D32" s="30" t="inlineStr">
        <is>
          <t>Saint-Gobain Sekurit India Ltd</t>
        </is>
      </c>
      <c r="E32" s="30" t="inlineStr">
        <is>
          <t>Consumer Cyclical</t>
        </is>
      </c>
      <c r="F32" s="30" t="inlineStr">
        <is>
          <t>Glass &amp; Glass Products</t>
        </is>
      </c>
      <c r="G32" s="30" t="inlineStr">
        <is>
          <t>smallcap</t>
        </is>
      </c>
      <c r="H32" s="31" t="n">
        <v>1118.78</v>
      </c>
      <c r="I32" s="31" t="n">
        <v>122.8</v>
      </c>
      <c r="J32" s="31" t="n">
        <v>-1.41</v>
      </c>
      <c r="K32" s="31" t="n">
        <v>0</v>
      </c>
      <c r="L32" s="30" t="n">
        <v>42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63.66</v>
      </c>
      <c r="P32" s="31" t="n">
        <v>31.48</v>
      </c>
      <c r="Q32" s="31" t="n">
        <v>106.35</v>
      </c>
      <c r="R32" s="30" t="inlineStr">
        <is>
          <t>Earnings / Momentum Support</t>
        </is>
      </c>
      <c r="S32" s="30" t="inlineStr">
        <is>
          <t>Nifty Auto</t>
        </is>
      </c>
      <c r="T32" s="31" t="n">
        <v>12.95</v>
      </c>
      <c r="U32" s="31" t="n">
        <v>16.27</v>
      </c>
      <c r="V32" s="31" t="n">
        <v>2.94</v>
      </c>
      <c r="W32" s="31" t="n">
        <v>10.63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B2C</t>
        </is>
      </c>
      <c r="AO32" s="30">
        <f>IF(AN32="B2C",10,IF(AN32="B2B",5,0))</f>
        <v/>
      </c>
      <c r="AP32" s="30" t="inlineStr">
        <is>
          <t>No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Between 50% to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21</t>
        </is>
      </c>
      <c r="CG32" s="30">
        <f>IF(CF32&gt;20,10,IF(CF32&gt;=10,5,2))</f>
        <v/>
      </c>
    </row>
    <row r="33">
      <c r="A33" s="30">
        <f>IF(B33=0,"",RANK(B33,$B$2:$B$96,0))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CEIGALL</t>
        </is>
      </c>
      <c r="D33" s="30" t="inlineStr">
        <is>
          <t>Ceigall India Ltd</t>
        </is>
      </c>
      <c r="E33" s="30" t="inlineStr">
        <is>
          <t>realty</t>
        </is>
      </c>
      <c r="F33" s="30" t="inlineStr">
        <is>
          <t>Construction - Civil/Turnkey</t>
        </is>
      </c>
      <c r="G33" s="30" t="inlineStr">
        <is>
          <t>midcap</t>
        </is>
      </c>
      <c r="H33" s="31" t="n">
        <v>6616.3</v>
      </c>
      <c r="I33" s="31" t="n">
        <v>379.8</v>
      </c>
      <c r="J33" s="31" t="n">
        <v>1.96</v>
      </c>
      <c r="K33" s="31" t="n">
        <v>0</v>
      </c>
      <c r="L33" s="30" t="n">
        <v>68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72.89</v>
      </c>
      <c r="P33" s="31" t="n">
        <v>45.92</v>
      </c>
      <c r="Q33" s="31" t="n">
        <v>299.68</v>
      </c>
      <c r="R33" s="30" t="inlineStr">
        <is>
          <t>Near 52W High Breakout</t>
        </is>
      </c>
      <c r="S33" s="30" t="inlineStr">
        <is>
          <t>Nifty Realty</t>
        </is>
      </c>
      <c r="T33" s="31" t="n">
        <v>-19.08</v>
      </c>
      <c r="U33" s="31" t="n">
        <v>55.75</v>
      </c>
      <c r="V33" s="31" t="n">
        <v>92.48</v>
      </c>
      <c r="W33" s="31" t="n">
        <v>18.65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Negative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21</t>
        </is>
      </c>
      <c r="CG33" s="30">
        <f>IF(CF33&gt;20,10,IF(CF33&gt;=10,5,2))</f>
        <v/>
      </c>
    </row>
    <row r="34">
      <c r="A34" s="30">
        <f>IF(B34=0,"",RANK(B34,$B$2:$B$96,0))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PRECWIRE</t>
        </is>
      </c>
      <c r="D34" s="30" t="inlineStr">
        <is>
          <t>Precision Wires India Ltd</t>
        </is>
      </c>
      <c r="E34" s="30" t="inlineStr">
        <is>
          <t>metals &amp; mining</t>
        </is>
      </c>
      <c r="F34" s="30" t="inlineStr">
        <is>
          <t>Copper Wires</t>
        </is>
      </c>
      <c r="G34" s="30" t="inlineStr">
        <is>
          <t>midcap</t>
        </is>
      </c>
      <c r="H34" s="31" t="n">
        <v>7746.49</v>
      </c>
      <c r="I34" s="31" t="n">
        <v>423.75</v>
      </c>
      <c r="J34" s="31" t="n">
        <v>-1.2</v>
      </c>
      <c r="K34" s="31" t="n">
        <v>0</v>
      </c>
      <c r="L34" s="30" t="n">
        <v>85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66.97</v>
      </c>
      <c r="P34" s="31" t="n">
        <v>67.04000000000001</v>
      </c>
      <c r="Q34" s="31" t="n">
        <v>304.38</v>
      </c>
      <c r="R34" s="30" t="inlineStr">
        <is>
          <t>Near 52W High Breakout</t>
        </is>
      </c>
      <c r="S34" s="30" t="inlineStr">
        <is>
          <t>Nifty Metal</t>
        </is>
      </c>
      <c r="T34" s="31" t="n">
        <v>42.37</v>
      </c>
      <c r="U34" s="31" t="n">
        <v>140.9</v>
      </c>
      <c r="V34" s="31" t="n">
        <v>69.20999999999999</v>
      </c>
      <c r="W34" s="31" t="n">
        <v>28.32</v>
      </c>
      <c r="X34" s="30" t="inlineStr">
        <is>
          <t>Cyclical in an Upturn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Cyclical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Volatile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21</t>
        </is>
      </c>
      <c r="CG34" s="30">
        <f>IF(CF34&gt;20,10,IF(CF34&gt;=10,5,2))</f>
        <v/>
      </c>
    </row>
    <row r="35">
      <c r="A35" s="30">
        <f>IF(B35=0,"",RANK(B35,$B$2:$B$96,0))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SYRMA</t>
        </is>
      </c>
      <c r="D35" s="30" t="inlineStr">
        <is>
          <t>Syrma SGS Technology Ltd</t>
        </is>
      </c>
      <c r="E35" s="30" t="inlineStr">
        <is>
          <t>consumer discretionary</t>
        </is>
      </c>
      <c r="F35" s="30" t="inlineStr">
        <is>
          <t>Consumer Electronics - EMS</t>
        </is>
      </c>
      <c r="G35" s="30" t="inlineStr">
        <is>
          <t>largecap</t>
        </is>
      </c>
      <c r="H35" s="31" t="n">
        <v>25970.41</v>
      </c>
      <c r="I35" s="31" t="n">
        <v>1346.8</v>
      </c>
      <c r="J35" s="31" t="n">
        <v>3.74</v>
      </c>
      <c r="K35" s="31" t="n">
        <v>0</v>
      </c>
      <c r="L35" s="30" t="n">
        <v>93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77.09999999999999</v>
      </c>
      <c r="P35" s="31" t="n">
        <v>37.65</v>
      </c>
      <c r="Q35" s="31" t="n">
        <v>1061.32</v>
      </c>
      <c r="R35" s="30" t="inlineStr">
        <is>
          <t>Near 52W High Breakout</t>
        </is>
      </c>
      <c r="S35" s="30" t="inlineStr">
        <is>
          <t>Nifty 50</t>
        </is>
      </c>
      <c r="T35" s="31" t="n">
        <v>-3.76</v>
      </c>
      <c r="U35" s="31" t="n">
        <v>166.32</v>
      </c>
      <c r="V35" s="31" t="n">
        <v>176.72</v>
      </c>
      <c r="W35" s="31" t="n">
        <v>40.54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Between 1.5 to 2</t>
        </is>
      </c>
      <c r="BU35" s="30">
        <f>IF(BT35="Above 2",0,IF(BT35="Between 1.5 to 2",5,IF(BT35="Less than 1.5",10,0)))</f>
        <v/>
      </c>
      <c r="BV35" s="30" t="inlineStr">
        <is>
          <t>Between 50% to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19</t>
        </is>
      </c>
      <c r="CG35" s="30">
        <f>IF(CF35&gt;20,10,IF(CF35&gt;=10,5,2))</f>
        <v/>
      </c>
    </row>
    <row r="36">
      <c r="A36" s="30">
        <f>IF(B36=0,"",RANK(B36,$B$2:$B$96,0))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3" t="inlineStr">
        <is>
          <t>RATEGAIN</t>
        </is>
      </c>
      <c r="D36" s="33" t="inlineStr">
        <is>
          <t>Rategain Travel Technologies Ltd</t>
        </is>
      </c>
      <c r="E36" s="30" t="inlineStr">
        <is>
          <t>i.t</t>
        </is>
      </c>
      <c r="F36" s="30" t="inlineStr">
        <is>
          <t>IT Product Companies</t>
        </is>
      </c>
      <c r="G36" s="30" t="inlineStr">
        <is>
          <t>midcap</t>
        </is>
      </c>
      <c r="H36" s="31" t="n">
        <v>10504.91</v>
      </c>
      <c r="I36" s="31" t="n">
        <v>889</v>
      </c>
      <c r="J36" s="31" t="n">
        <v>0.32</v>
      </c>
      <c r="K36" s="31" t="n">
        <v>0</v>
      </c>
      <c r="L36" s="30" t="n">
        <v>92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78.73</v>
      </c>
      <c r="P36" s="31" t="n">
        <v>26.88</v>
      </c>
      <c r="Q36" s="31" t="n">
        <v>693.66</v>
      </c>
      <c r="R36" s="30" t="inlineStr">
        <is>
          <t>Near 52W High Breakout</t>
        </is>
      </c>
      <c r="S36" s="30" t="inlineStr">
        <is>
          <t>Nifty IT</t>
        </is>
      </c>
      <c r="T36" s="31" t="n">
        <v>-26.99</v>
      </c>
      <c r="U36" s="31" t="n">
        <v>105.34</v>
      </c>
      <c r="V36" s="31" t="n">
        <v>181.25</v>
      </c>
      <c r="W36" s="31" t="n">
        <v>38.57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Between 1.5 to 2</t>
        </is>
      </c>
      <c r="BU36" s="30">
        <f>IF(BT36="Above 2",0,IF(BT36="Between 1.5 to 2",5,IF(BT36="Less than 1.5",10,0)))</f>
        <v/>
      </c>
      <c r="BV36" s="30" t="inlineStr">
        <is>
          <t>Between 50% to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18</t>
        </is>
      </c>
      <c r="CG36" s="30">
        <f>IF(CF36&gt;20,10,IF(CF36&gt;=10,5,2))</f>
        <v/>
      </c>
    </row>
    <row r="37">
      <c r="A37" s="30">
        <f>IF(B37=0,"",RANK(B37,$B$2:$B$96,0))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SIS</t>
        </is>
      </c>
      <c r="D37" s="30" t="inlineStr">
        <is>
          <t>SIS Ltd</t>
        </is>
      </c>
      <c r="E37" s="30" t="inlineStr">
        <is>
          <t>miscellaneous</t>
        </is>
      </c>
      <c r="F37" s="30" t="inlineStr">
        <is>
          <t>Facility Management</t>
        </is>
      </c>
      <c r="G37" s="30" t="inlineStr">
        <is>
          <t>midcap</t>
        </is>
      </c>
      <c r="H37" s="31" t="n">
        <v>5993.98</v>
      </c>
      <c r="I37" s="31" t="n">
        <v>424.2</v>
      </c>
      <c r="J37" s="31" t="n">
        <v>-0.52</v>
      </c>
      <c r="K37" s="31" t="n">
        <v>0</v>
      </c>
      <c r="L37" s="30" t="n">
        <v>64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76.58</v>
      </c>
      <c r="P37" s="31" t="n">
        <v>41.22</v>
      </c>
      <c r="Q37" s="31" t="n">
        <v>338.77</v>
      </c>
      <c r="R37" s="30" t="inlineStr">
        <is>
          <t>Near 52W High Breakout</t>
        </is>
      </c>
      <c r="S37" s="30" t="inlineStr">
        <is>
          <t>Nifty 50</t>
        </is>
      </c>
      <c r="T37" s="31" t="n">
        <v>-3.76</v>
      </c>
      <c r="U37" s="31" t="n">
        <v>17.73</v>
      </c>
      <c r="V37" s="31" t="n">
        <v>22.33</v>
      </c>
      <c r="W37" s="31" t="n">
        <v>16.85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Between 0.7 to 1.2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18</t>
        </is>
      </c>
      <c r="CG37" s="30">
        <f>IF(CF37&gt;20,10,IF(CF37&gt;=10,5,2))</f>
        <v/>
      </c>
    </row>
    <row r="38">
      <c r="A38" s="30">
        <f>IF(B38=0,"",RANK(B38,$B$2:$B$96,0))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SENORES</t>
        </is>
      </c>
      <c r="D38" s="30" t="inlineStr">
        <is>
          <t>Senores Pharmaceuticals Ltd</t>
        </is>
      </c>
      <c r="E38" s="30" t="inlineStr">
        <is>
          <t>healthcare</t>
        </is>
      </c>
      <c r="F38" s="30" t="inlineStr">
        <is>
          <t>Pharma - API</t>
        </is>
      </c>
      <c r="G38" s="30" t="inlineStr">
        <is>
          <t>midcap</t>
        </is>
      </c>
      <c r="H38" s="31" t="n">
        <v>6057.89</v>
      </c>
      <c r="I38" s="31" t="n">
        <v>1315.4</v>
      </c>
      <c r="J38" s="31" t="n">
        <v>3.59</v>
      </c>
      <c r="K38" s="31" t="n">
        <v>0</v>
      </c>
      <c r="L38" s="30" t="n">
        <v>92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78.23</v>
      </c>
      <c r="P38" s="31" t="n">
        <v>44.88</v>
      </c>
      <c r="Q38" s="31" t="n">
        <v>1015.12</v>
      </c>
      <c r="R38" s="30" t="inlineStr">
        <is>
          <t>Near 52W High Breakout</t>
        </is>
      </c>
      <c r="S38" s="30" t="inlineStr">
        <is>
          <t>Nifty Pharma</t>
        </is>
      </c>
      <c r="T38" s="31" t="n">
        <v>12.35</v>
      </c>
      <c r="U38" s="31" t="n">
        <v>152.89</v>
      </c>
      <c r="V38" s="31" t="n">
        <v>125.09</v>
      </c>
      <c r="W38" s="31" t="n">
        <v>38.68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Less than 50%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27</t>
        </is>
      </c>
      <c r="CG38" s="30">
        <f>IF(CF38&gt;20,10,IF(CF38&gt;=10,5,2))</f>
        <v/>
      </c>
    </row>
    <row r="39">
      <c r="A39" s="30">
        <f>IF(B39=0,"",RANK(B39,$B$2:$B$96,0))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KMCSHIL</t>
        </is>
      </c>
      <c r="D39" s="30" t="inlineStr">
        <is>
          <t>KMC Speciality Hospitals (India) Ltd</t>
        </is>
      </c>
      <c r="E39" s="30" t="inlineStr">
        <is>
          <t>Healthcare</t>
        </is>
      </c>
      <c r="F39" s="30" t="inlineStr">
        <is>
          <t>Hospitals</t>
        </is>
      </c>
      <c r="G39" s="30" t="inlineStr">
        <is>
          <t>smallcap</t>
        </is>
      </c>
      <c r="H39" s="31" t="n">
        <v>1916.25</v>
      </c>
      <c r="I39" s="31" t="n">
        <v>117.5</v>
      </c>
      <c r="J39" s="31" t="n">
        <v>-0.3</v>
      </c>
      <c r="K39" s="31" t="n">
        <v>0</v>
      </c>
      <c r="L39" s="30" t="n">
        <v>76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81.64</v>
      </c>
      <c r="P39" s="31" t="n">
        <v>54.88</v>
      </c>
      <c r="Q39" s="31" t="n">
        <v>93.89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12.35</v>
      </c>
      <c r="U39" s="31" t="n">
        <v>78.58</v>
      </c>
      <c r="V39" s="31" t="n">
        <v>58.95</v>
      </c>
      <c r="W39" s="31" t="n">
        <v>22.35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24</t>
        </is>
      </c>
      <c r="CG39" s="30">
        <f>IF(CF39&gt;20,10,IF(CF39&gt;=10,5,2))</f>
        <v/>
      </c>
    </row>
    <row r="40">
      <c r="A40" s="30">
        <f>IF(B40=0,"",RANK(B40,$B$2:$B$96,0))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2" t="inlineStr">
        <is>
          <t>INNOVACAP</t>
        </is>
      </c>
      <c r="D40" s="32" t="inlineStr">
        <is>
          <t>Innova Captab Ltd</t>
        </is>
      </c>
      <c r="E40" s="30" t="inlineStr">
        <is>
          <t>healthcare</t>
        </is>
      </c>
      <c r="F40" s="30" t="inlineStr">
        <is>
          <t>Pharma - API</t>
        </is>
      </c>
      <c r="G40" s="30" t="inlineStr">
        <is>
          <t>midcap</t>
        </is>
      </c>
      <c r="H40" s="31" t="n">
        <v>5338.8</v>
      </c>
      <c r="I40" s="31" t="n">
        <v>932.95</v>
      </c>
      <c r="J40" s="31" t="n">
        <v>-0.21</v>
      </c>
      <c r="K40" s="31" t="n">
        <v>0</v>
      </c>
      <c r="L40" s="30" t="n">
        <v>43</v>
      </c>
      <c r="M40" s="30" t="inlineStr">
        <is>
          <t>Underperforming</t>
        </is>
      </c>
      <c r="N40" s="31">
        <f>IF(M40="Underperforming",-5,IF(L40&gt;=95,15,IF(L40&gt;=90,10,IF(L40&gt;=80,5,0))))</f>
        <v/>
      </c>
      <c r="O40" s="31" t="n">
        <v>69.70999999999999</v>
      </c>
      <c r="P40" s="31" t="n">
        <v>31.94</v>
      </c>
      <c r="Q40" s="31" t="n">
        <v>737.35</v>
      </c>
      <c r="R40" s="30" t="inlineStr">
        <is>
          <t>Near 52W High Breakout</t>
        </is>
      </c>
      <c r="S40" s="30" t="inlineStr">
        <is>
          <t>Nifty Pharma</t>
        </is>
      </c>
      <c r="T40" s="31" t="n">
        <v>12.35</v>
      </c>
      <c r="U40" s="31" t="n">
        <v>10.4</v>
      </c>
      <c r="V40" s="31" t="n">
        <v>-1.74</v>
      </c>
      <c r="W40" s="31" t="n">
        <v>11.02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Between 50% to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19</t>
        </is>
      </c>
      <c r="CG40" s="30">
        <f>IF(CF40&gt;20,10,IF(CF40&gt;=10,5,2))</f>
        <v/>
      </c>
    </row>
    <row r="41">
      <c r="A41" s="30">
        <f>IF(B41=0,"",RANK(B41,$B$2:$B$96,0))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CAPLIPOINT</t>
        </is>
      </c>
      <c r="D41" s="30" t="inlineStr">
        <is>
          <t>Caplin Point Laboratories Ltd</t>
        </is>
      </c>
      <c r="E41" s="30" t="inlineStr">
        <is>
          <t>healthcare</t>
        </is>
      </c>
      <c r="F41" s="30" t="inlineStr">
        <is>
          <t>Pharma - Formulators</t>
        </is>
      </c>
      <c r="G41" s="30" t="inlineStr">
        <is>
          <t>midcap</t>
        </is>
      </c>
      <c r="H41" s="31" t="n">
        <v>17934.2</v>
      </c>
      <c r="I41" s="31" t="n">
        <v>2359.4</v>
      </c>
      <c r="J41" s="31" t="n">
        <v>1.05</v>
      </c>
      <c r="K41" s="31" t="n">
        <v>0</v>
      </c>
      <c r="L41" s="30" t="n">
        <v>59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72.94</v>
      </c>
      <c r="P41" s="31" t="n">
        <v>25.58</v>
      </c>
      <c r="Q41" s="31" t="n">
        <v>1981.13</v>
      </c>
      <c r="R41" s="30" t="inlineStr">
        <is>
          <t>Near 52W High Breakout</t>
        </is>
      </c>
      <c r="S41" s="30" t="inlineStr">
        <is>
          <t>Nifty Pharma</t>
        </is>
      </c>
      <c r="T41" s="31" t="n">
        <v>12.35</v>
      </c>
      <c r="U41" s="31" t="n">
        <v>15.72</v>
      </c>
      <c r="V41" s="31" t="n">
        <v>3</v>
      </c>
      <c r="W41" s="31" t="n">
        <v>14.99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Between 12 to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Between 50% to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19</t>
        </is>
      </c>
      <c r="CG41" s="30">
        <f>IF(CF41&gt;20,10,IF(CF41&gt;=10,5,2))</f>
        <v/>
      </c>
    </row>
    <row r="42">
      <c r="A42" s="30">
        <f>IF(B42=0,"",RANK(B42,$B$2:$B$96,0))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RPEL</t>
        </is>
      </c>
      <c r="D42" s="30" t="inlineStr">
        <is>
          <t>Raghav Productivity Enhancers Ltd</t>
        </is>
      </c>
      <c r="E42" s="30" t="inlineStr">
        <is>
          <t>building materials</t>
        </is>
      </c>
      <c r="F42" s="30" t="inlineStr">
        <is>
          <t>Steel Products</t>
        </is>
      </c>
      <c r="G42" s="30" t="inlineStr">
        <is>
          <t>midcap</t>
        </is>
      </c>
      <c r="H42" s="31" t="n">
        <v>5484.69</v>
      </c>
      <c r="I42" s="31" t="n">
        <v>1194.35</v>
      </c>
      <c r="J42" s="31" t="n">
        <v>-0.5600000000000001</v>
      </c>
      <c r="K42" s="31" t="n">
        <v>0</v>
      </c>
      <c r="L42" s="30" t="n">
        <v>90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77.09</v>
      </c>
      <c r="P42" s="31" t="n">
        <v>32.05</v>
      </c>
      <c r="Q42" s="31" t="n">
        <v>916.41</v>
      </c>
      <c r="R42" s="30" t="inlineStr">
        <is>
          <t>Near 52W High Breakout</t>
        </is>
      </c>
      <c r="S42" s="30" t="inlineStr">
        <is>
          <t>Nifty Infra</t>
        </is>
      </c>
      <c r="T42" s="31" t="n">
        <v>4.04</v>
      </c>
      <c r="U42" s="31" t="n">
        <v>69.48</v>
      </c>
      <c r="V42" s="31" t="n">
        <v>62.9</v>
      </c>
      <c r="W42" s="31" t="n">
        <v>34.49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Between 1.5 to 2</t>
        </is>
      </c>
      <c r="BU42" s="30">
        <f>IF(BT42="Above 2",0,IF(BT42="Between 1.5 to 2",5,IF(BT42="Less than 1.5",10,0)))</f>
        <v/>
      </c>
      <c r="BV42" s="30" t="inlineStr">
        <is>
          <t>Less than 50%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24</t>
        </is>
      </c>
      <c r="CG42" s="30">
        <f>IF(CF42&gt;20,10,IF(CF42&gt;=10,5,2))</f>
        <v/>
      </c>
    </row>
    <row r="43">
      <c r="A43" s="30">
        <f>IF(B43=0,"",RANK(B43,$B$2:$B$96,0))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MMTC</t>
        </is>
      </c>
      <c r="D43" s="30" t="inlineStr">
        <is>
          <t>MMTC Ltd</t>
        </is>
      </c>
      <c r="E43" s="30" t="inlineStr">
        <is>
          <t>services</t>
        </is>
      </c>
      <c r="F43" s="30" t="inlineStr">
        <is>
          <t>Trading</t>
        </is>
      </c>
      <c r="G43" s="30" t="inlineStr">
        <is>
          <t>midcap</t>
        </is>
      </c>
      <c r="H43" s="31" t="n">
        <v>11242.5</v>
      </c>
      <c r="I43" s="31" t="n">
        <v>74.95</v>
      </c>
      <c r="J43" s="31" t="n">
        <v>-1.42</v>
      </c>
      <c r="K43" s="31" t="n">
        <v>0</v>
      </c>
      <c r="L43" s="30" t="n">
        <v>30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63.06</v>
      </c>
      <c r="P43" s="31" t="n">
        <v>15.8</v>
      </c>
      <c r="Q43" s="31" t="n">
        <v>54.61</v>
      </c>
      <c r="R43" s="30" t="inlineStr">
        <is>
          <t>Volume Spike &amp; Near 52W High Breakout</t>
        </is>
      </c>
      <c r="S43" s="30" t="inlineStr">
        <is>
          <t>Nifty 50</t>
        </is>
      </c>
      <c r="T43" s="31" t="n">
        <v>-3.76</v>
      </c>
      <c r="U43" s="31" t="n">
        <v>11.23</v>
      </c>
      <c r="V43" s="31" t="n">
        <v>15.58</v>
      </c>
      <c r="W43" s="31" t="n">
        <v>8.07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0 to 20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24</t>
        </is>
      </c>
      <c r="CG43" s="30">
        <f>IF(CF43&gt;20,10,IF(CF43&gt;=10,5,2))</f>
        <v/>
      </c>
    </row>
    <row r="44">
      <c r="A44" s="30">
        <f>IF(B44=0,"",RANK(B44,$B$2:$B$96,0))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3" t="inlineStr">
        <is>
          <t>KIRLPNU</t>
        </is>
      </c>
      <c r="D44" s="33" t="inlineStr">
        <is>
          <t>Kirloskar Pneumatic Company Ltd</t>
        </is>
      </c>
      <c r="E44" s="30" t="inlineStr">
        <is>
          <t>industrials</t>
        </is>
      </c>
      <c r="F44" s="30" t="inlineStr">
        <is>
          <t>Compressors</t>
        </is>
      </c>
      <c r="G44" s="30" t="inlineStr">
        <is>
          <t>midcap</t>
        </is>
      </c>
      <c r="H44" s="31" t="n">
        <v>11874.36</v>
      </c>
      <c r="I44" s="31" t="n">
        <v>1828</v>
      </c>
      <c r="J44" s="31" t="n">
        <v>-0.24</v>
      </c>
      <c r="K44" s="31" t="n">
        <v>0</v>
      </c>
      <c r="L44" s="30" t="n">
        <v>81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82.06999999999999</v>
      </c>
      <c r="P44" s="31" t="n">
        <v>39.7</v>
      </c>
      <c r="Q44" s="31" t="n">
        <v>1448.41</v>
      </c>
      <c r="R44" s="30" t="inlineStr">
        <is>
          <t>Near 52W High Breakout</t>
        </is>
      </c>
      <c r="S44" s="30" t="inlineStr">
        <is>
          <t>Nifty 50</t>
        </is>
      </c>
      <c r="T44" s="31" t="n">
        <v>-3.76</v>
      </c>
      <c r="U44" s="31" t="n">
        <v>36.96</v>
      </c>
      <c r="V44" s="31" t="n">
        <v>42.32</v>
      </c>
      <c r="W44" s="31" t="n">
        <v>25.2</v>
      </c>
      <c r="X44" s="30" t="inlineStr">
        <is>
          <t>Cyclical in an Upturn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Between 50% to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23</t>
        </is>
      </c>
      <c r="CG44" s="30">
        <f>IF(CF44&gt;20,10,IF(CF44&gt;=10,5,2))</f>
        <v/>
      </c>
    </row>
    <row r="45">
      <c r="A45" s="30">
        <f>IF(B45=0,"",RANK(B45,$B$2:$B$96,0))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AVALON</t>
        </is>
      </c>
      <c r="D45" s="30" t="inlineStr">
        <is>
          <t>Avalon Technologies Ltd</t>
        </is>
      </c>
      <c r="E45" s="30" t="inlineStr">
        <is>
          <t>consumer discretionary</t>
        </is>
      </c>
      <c r="F45" s="30" t="inlineStr">
        <is>
          <t>Consumer Electronics - EMS</t>
        </is>
      </c>
      <c r="G45" s="30" t="inlineStr">
        <is>
          <t>midcap</t>
        </is>
      </c>
      <c r="H45" s="31" t="n">
        <v>11723.24</v>
      </c>
      <c r="I45" s="31" t="n">
        <v>1755.3</v>
      </c>
      <c r="J45" s="31" t="n">
        <v>0.8</v>
      </c>
      <c r="K45" s="31" t="n">
        <v>0</v>
      </c>
      <c r="L45" s="30" t="n">
        <v>91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77.87</v>
      </c>
      <c r="P45" s="31" t="n">
        <v>37.55</v>
      </c>
      <c r="Q45" s="31" t="n">
        <v>1305.17</v>
      </c>
      <c r="R45" s="30" t="inlineStr">
        <is>
          <t>Near 52W High Breakout</t>
        </is>
      </c>
      <c r="S45" s="30" t="inlineStr">
        <is>
          <t>Nifty 50</t>
        </is>
      </c>
      <c r="T45" s="31" t="n">
        <v>-3.76</v>
      </c>
      <c r="U45" s="31" t="n">
        <v>110.08</v>
      </c>
      <c r="V45" s="31" t="n">
        <v>118.29</v>
      </c>
      <c r="W45" s="31" t="n">
        <v>36.8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Between 1.5 to 2</t>
        </is>
      </c>
      <c r="BU45" s="30">
        <f>IF(BT45="Above 2",0,IF(BT45="Between 1.5 to 2",5,IF(BT45="Less than 1.5",10,0)))</f>
        <v/>
      </c>
      <c r="BV45" s="30" t="inlineStr">
        <is>
          <t>Less than 50%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22</t>
        </is>
      </c>
      <c r="CG45" s="30">
        <f>IF(CF45&gt;20,10,IF(CF45&gt;=10,5,2))</f>
        <v/>
      </c>
    </row>
    <row r="46">
      <c r="A46" s="30">
        <f>IF(B46=0,"",RANK(B46,$B$2:$B$96,0))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KERNEX</t>
        </is>
      </c>
      <c r="D46" s="30" t="inlineStr">
        <is>
          <t>Kernex Microsystems (India) Ltd</t>
        </is>
      </c>
      <c r="E46" s="30" t="inlineStr">
        <is>
          <t>consumer discretionary</t>
        </is>
      </c>
      <c r="F46" s="30" t="inlineStr">
        <is>
          <t>Railways - Kavach/Springs</t>
        </is>
      </c>
      <c r="G46" s="30" t="inlineStr">
        <is>
          <t>smallcap</t>
        </is>
      </c>
      <c r="H46" s="31" t="n">
        <v>3491.04</v>
      </c>
      <c r="I46" s="31" t="n">
        <v>2077.7</v>
      </c>
      <c r="J46" s="31" t="n">
        <v>-1.23</v>
      </c>
      <c r="K46" s="31" t="n">
        <v>0</v>
      </c>
      <c r="L46" s="30" t="n">
        <v>94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74.76000000000001</v>
      </c>
      <c r="P46" s="31" t="n">
        <v>34.44</v>
      </c>
      <c r="Q46" s="31" t="n">
        <v>1549.69</v>
      </c>
      <c r="R46" s="30" t="inlineStr">
        <is>
          <t>Near 52W High Breakout</t>
        </is>
      </c>
      <c r="S46" s="30" t="inlineStr">
        <is>
          <t>Nifty 50</t>
        </is>
      </c>
      <c r="T46" s="31" t="n">
        <v>-3.76</v>
      </c>
      <c r="U46" s="31" t="n">
        <v>73.40000000000001</v>
      </c>
      <c r="V46" s="31" t="n">
        <v>80.18000000000001</v>
      </c>
      <c r="W46" s="31" t="n">
        <v>42.34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Negative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21</t>
        </is>
      </c>
      <c r="CG46" s="30">
        <f>IF(CF46&gt;20,10,IF(CF46&gt;=10,5,2))</f>
        <v/>
      </c>
    </row>
    <row r="47">
      <c r="A47" s="30">
        <f>IF(B47=0,"",RANK(B47,$B$2:$B$96,0))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3" t="inlineStr">
        <is>
          <t>STLTECH</t>
        </is>
      </c>
      <c r="D47" s="33" t="inlineStr">
        <is>
          <t>Sterlite Technologies Ltd</t>
        </is>
      </c>
      <c r="E47" s="30" t="inlineStr">
        <is>
          <t>industrials</t>
        </is>
      </c>
      <c r="F47" s="30" t="inlineStr">
        <is>
          <t>Cables - Telecom</t>
        </is>
      </c>
      <c r="G47" s="30" t="inlineStr">
        <is>
          <t>largecap</t>
        </is>
      </c>
      <c r="H47" s="31" t="n">
        <v>31594.21</v>
      </c>
      <c r="I47" s="31" t="n">
        <v>647.2</v>
      </c>
      <c r="J47" s="31" t="n">
        <v>4.96</v>
      </c>
      <c r="K47" s="31" t="n">
        <v>0</v>
      </c>
      <c r="L47" s="30" t="n">
        <v>99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89.56</v>
      </c>
      <c r="P47" s="31" t="n">
        <v>81.73</v>
      </c>
      <c r="Q47" s="31" t="n">
        <v>499.34</v>
      </c>
      <c r="R47" s="30" t="inlineStr">
        <is>
          <t>Near 52W High Breakout</t>
        </is>
      </c>
      <c r="S47" s="30" t="inlineStr">
        <is>
          <t>Nifty Infra</t>
        </is>
      </c>
      <c r="T47" s="31" t="n">
        <v>4.04</v>
      </c>
      <c r="U47" s="31" t="n">
        <v>510.85</v>
      </c>
      <c r="V47" s="31" t="n">
        <v>487.12</v>
      </c>
      <c r="W47" s="31" t="n">
        <v>114.59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Oligopoly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Between 0.7 to 1.2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20</t>
        </is>
      </c>
      <c r="CG47" s="30">
        <f>IF(CF47&gt;20,10,IF(CF47&gt;=10,5,2))</f>
        <v/>
      </c>
    </row>
    <row r="48">
      <c r="A48" s="30">
        <f>IF(B48=0,"",RANK(B48,$B$2:$B$96,0))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SKIPPER</t>
        </is>
      </c>
      <c r="D48" s="30" t="inlineStr">
        <is>
          <t>Skipper Ltd</t>
        </is>
      </c>
      <c r="E48" s="30" t="inlineStr">
        <is>
          <t>industrials</t>
        </is>
      </c>
      <c r="F48" s="30" t="inlineStr">
        <is>
          <t>Electrical Equipments/HVDC</t>
        </is>
      </c>
      <c r="G48" s="30" t="inlineStr">
        <is>
          <t>midcap</t>
        </is>
      </c>
      <c r="H48" s="31" t="n">
        <v>6178.23</v>
      </c>
      <c r="I48" s="31" t="n">
        <v>547.05</v>
      </c>
      <c r="J48" s="31" t="n">
        <v>-0.36</v>
      </c>
      <c r="K48" s="31" t="n">
        <v>0</v>
      </c>
      <c r="L48" s="30" t="n">
        <v>64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68.20999999999999</v>
      </c>
      <c r="P48" s="31" t="n">
        <v>33.2</v>
      </c>
      <c r="Q48" s="31" t="n">
        <v>420.51</v>
      </c>
      <c r="R48" s="30" t="inlineStr">
        <is>
          <t>Near 52W High Breakout</t>
        </is>
      </c>
      <c r="S48" s="30" t="inlineStr">
        <is>
          <t>Nifty 50</t>
        </is>
      </c>
      <c r="T48" s="31" t="n">
        <v>-3.76</v>
      </c>
      <c r="U48" s="31" t="n">
        <v>13.41</v>
      </c>
      <c r="V48" s="31" t="n">
        <v>17.84</v>
      </c>
      <c r="W48" s="31" t="n">
        <v>17.05</v>
      </c>
      <c r="X48" s="30" t="inlineStr">
        <is>
          <t>Cyclical in an Upturn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Less than 50%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19</t>
        </is>
      </c>
      <c r="CG48" s="30">
        <f>IF(CF48&gt;20,10,IF(CF48&gt;=10,5,2))</f>
        <v/>
      </c>
    </row>
    <row r="49">
      <c r="A49" s="30">
        <f>IF(B49=0,"",RANK(B49,$B$2:$B$96,0))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NRBBEARING</t>
        </is>
      </c>
      <c r="D49" s="30" t="inlineStr">
        <is>
          <t>NRB Bearings Ltd</t>
        </is>
      </c>
      <c r="E49" s="30" t="inlineStr">
        <is>
          <t>industrials</t>
        </is>
      </c>
      <c r="F49" s="30" t="inlineStr">
        <is>
          <t>Bearings</t>
        </is>
      </c>
      <c r="G49" s="30" t="inlineStr">
        <is>
          <t>smallcap</t>
        </is>
      </c>
      <c r="H49" s="31" t="n">
        <v>4068.81</v>
      </c>
      <c r="I49" s="31" t="n">
        <v>419.8</v>
      </c>
      <c r="J49" s="31" t="n">
        <v>-0.19</v>
      </c>
      <c r="K49" s="31" t="n">
        <v>0</v>
      </c>
      <c r="L49" s="30" t="n">
        <v>83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76.8</v>
      </c>
      <c r="P49" s="31" t="n">
        <v>33.01</v>
      </c>
      <c r="Q49" s="31" t="n">
        <v>330.94</v>
      </c>
      <c r="R49" s="30" t="inlineStr">
        <is>
          <t>Near 52W High Breakout</t>
        </is>
      </c>
      <c r="S49" s="30" t="inlineStr">
        <is>
          <t>Nifty 50</t>
        </is>
      </c>
      <c r="T49" s="31" t="n">
        <v>-3.76</v>
      </c>
      <c r="U49" s="31" t="n">
        <v>50.85</v>
      </c>
      <c r="V49" s="31" t="n">
        <v>56.75</v>
      </c>
      <c r="W49" s="31" t="n">
        <v>26.98</v>
      </c>
      <c r="X49" s="30" t="inlineStr">
        <is>
          <t>Cyclical in an Upturn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18</t>
        </is>
      </c>
      <c r="CG49" s="30">
        <f>IF(CF49&gt;20,10,IF(CF49&gt;=10,5,2))</f>
        <v/>
      </c>
    </row>
    <row r="50">
      <c r="A50" s="30">
        <f>IF(B50=0,"",RANK(B50,$B$2:$B$96,0))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POWERINDIA</t>
        </is>
      </c>
      <c r="D50" s="30" t="inlineStr">
        <is>
          <t>Hitachi Energy India Ltd</t>
        </is>
      </c>
      <c r="E50" s="30" t="inlineStr">
        <is>
          <t>industrials</t>
        </is>
      </c>
      <c r="F50" s="30" t="inlineStr">
        <is>
          <t>Electrical Equipments/HVDC</t>
        </is>
      </c>
      <c r="G50" s="30" t="inlineStr">
        <is>
          <t>largecap</t>
        </is>
      </c>
      <c r="H50" s="31" t="n">
        <v>161797.68</v>
      </c>
      <c r="I50" s="31" t="n">
        <v>36300</v>
      </c>
      <c r="J50" s="31" t="n">
        <v>0.97</v>
      </c>
      <c r="K50" s="31" t="n">
        <v>0</v>
      </c>
      <c r="L50" s="30" t="n">
        <v>81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68.84999999999999</v>
      </c>
      <c r="P50" s="31" t="n">
        <v>58.74</v>
      </c>
      <c r="Q50" s="31" t="n">
        <v>30512.94</v>
      </c>
      <c r="R50" s="30" t="inlineStr">
        <is>
          <t>Earnings / Momentum Support</t>
        </is>
      </c>
      <c r="S50" s="30" t="inlineStr">
        <is>
          <t>Nifty 50</t>
        </is>
      </c>
      <c r="T50" s="31" t="n">
        <v>-3.76</v>
      </c>
      <c r="U50" s="31" t="n">
        <v>94.34</v>
      </c>
      <c r="V50" s="31" t="n">
        <v>101.93</v>
      </c>
      <c r="W50" s="31" t="n">
        <v>24.87</v>
      </c>
      <c r="X50" s="30" t="inlineStr">
        <is>
          <t>Cyclical in an Upturn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No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17</t>
        </is>
      </c>
      <c r="CG50" s="30">
        <f>IF(CF50&gt;20,10,IF(CF50&gt;=10,5,2))</f>
        <v/>
      </c>
    </row>
    <row r="51">
      <c r="A51" s="30">
        <f>IF(B51=0,"",RANK(B51,$B$2:$B$96,0))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ACUTAAS</t>
        </is>
      </c>
      <c r="D51" s="30" t="inlineStr">
        <is>
          <t>Acutaas Chemicals Ltd</t>
        </is>
      </c>
      <c r="E51" s="30" t="inlineStr">
        <is>
          <t>healthcare</t>
        </is>
      </c>
      <c r="F51" s="30" t="inlineStr">
        <is>
          <t>Pharma - API &amp; CRAMS</t>
        </is>
      </c>
      <c r="G51" s="30" t="inlineStr">
        <is>
          <t>largecap</t>
        </is>
      </c>
      <c r="H51" s="31" t="n">
        <v>25677.24</v>
      </c>
      <c r="I51" s="31" t="n">
        <v>3136.3</v>
      </c>
      <c r="J51" s="31" t="n">
        <v>4.55</v>
      </c>
      <c r="K51" s="31" t="n">
        <v>0</v>
      </c>
      <c r="L51" s="30" t="n">
        <v>86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71.36</v>
      </c>
      <c r="P51" s="31" t="n">
        <v>65.34999999999999</v>
      </c>
      <c r="Q51" s="31" t="n">
        <v>2566.78</v>
      </c>
      <c r="R51" s="30" t="inlineStr">
        <is>
          <t>Earnings / Momentum Support</t>
        </is>
      </c>
      <c r="S51" s="30" t="inlineStr">
        <is>
          <t>Nifty Pharma</t>
        </is>
      </c>
      <c r="T51" s="31" t="n">
        <v>12.35</v>
      </c>
      <c r="U51" s="31" t="n">
        <v>177.29</v>
      </c>
      <c r="V51" s="31" t="n">
        <v>146.81</v>
      </c>
      <c r="W51" s="31" t="n">
        <v>29.78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No</t>
        </is>
      </c>
      <c r="AQ51" s="30">
        <f>IF(AP51="Yes",10,0)</f>
        <v/>
      </c>
      <c r="AR51" s="30" t="inlineStr">
        <is>
          <t>Higher Annuity, Lower One Time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Between 50% to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25</t>
        </is>
      </c>
      <c r="CG51" s="30">
        <f>IF(CF51&gt;20,10,IF(CF51&gt;=10,5,2))</f>
        <v/>
      </c>
    </row>
    <row r="52">
      <c r="A52" s="30">
        <f>IF(B52=0,"",RANK(B52,$B$2:$B$96,0))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APOLLO</t>
        </is>
      </c>
      <c r="D52" s="30" t="inlineStr">
        <is>
          <t>Apollo Micro Systems Ltd</t>
        </is>
      </c>
      <c r="E52" s="30" t="inlineStr">
        <is>
          <t>aerospace &amp; defence</t>
        </is>
      </c>
      <c r="F52" s="30" t="inlineStr">
        <is>
          <t>Aerospace &amp; Defence - Equipments</t>
        </is>
      </c>
      <c r="G52" s="30" t="inlineStr">
        <is>
          <t>midcap</t>
        </is>
      </c>
      <c r="H52" s="31" t="n">
        <v>15387.07</v>
      </c>
      <c r="I52" s="31" t="n">
        <v>426.6</v>
      </c>
      <c r="J52" s="31" t="n">
        <v>-2.77</v>
      </c>
      <c r="K52" s="31" t="n">
        <v>0</v>
      </c>
      <c r="L52" s="30" t="n">
        <v>96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73.45</v>
      </c>
      <c r="P52" s="31" t="n">
        <v>37.26</v>
      </c>
      <c r="Q52" s="31" t="n">
        <v>305.02</v>
      </c>
      <c r="R52" s="30" t="inlineStr">
        <is>
          <t>Near 52W High Breakout</t>
        </is>
      </c>
      <c r="S52" s="30" t="inlineStr">
        <is>
          <t>Nifty 50</t>
        </is>
      </c>
      <c r="T52" s="31" t="n">
        <v>-3.76</v>
      </c>
      <c r="U52" s="31" t="n">
        <v>119.46</v>
      </c>
      <c r="V52" s="31" t="n">
        <v>128.03</v>
      </c>
      <c r="W52" s="31" t="n">
        <v>51.82</v>
      </c>
      <c r="X52" s="30" t="inlineStr">
        <is>
          <t>Cyclical in an Upturn</t>
        </is>
      </c>
      <c r="Y52" s="30">
        <f>IF(X52="Growing Industry",10,IF(X52="Cyclical in an Upturn",5,0))</f>
        <v/>
      </c>
      <c r="Z52" s="30" t="inlineStr">
        <is>
          <t>Oligopoly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Cyclical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B2C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Fully One Time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Yes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Between 1.5 to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22</t>
        </is>
      </c>
      <c r="CG52" s="30">
        <f>IF(CF52&gt;20,10,IF(CF52&gt;=10,5,2))</f>
        <v/>
      </c>
    </row>
    <row r="53">
      <c r="A53" s="30">
        <f>IF(B53=0,"",RANK(B53,$B$2:$B$96,0))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JAYBARMARU</t>
        </is>
      </c>
      <c r="D53" s="30" t="inlineStr">
        <is>
          <t>Jay Bharat Maruti Ltd</t>
        </is>
      </c>
      <c r="E53" s="30" t="inlineStr">
        <is>
          <t>auto</t>
        </is>
      </c>
      <c r="F53" s="30" t="inlineStr">
        <is>
          <t>Auto Ancillaries - Diversified</t>
        </is>
      </c>
      <c r="G53" s="30" t="inlineStr">
        <is>
          <t>smallcap</t>
        </is>
      </c>
      <c r="H53" s="31" t="n">
        <v>1870.45</v>
      </c>
      <c r="I53" s="31" t="n">
        <v>172.79</v>
      </c>
      <c r="J53" s="31" t="n">
        <v>4.99</v>
      </c>
      <c r="K53" s="31" t="n">
        <v>0</v>
      </c>
      <c r="L53" s="30" t="n">
        <v>94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76.34</v>
      </c>
      <c r="P53" s="31" t="n">
        <v>20.78</v>
      </c>
      <c r="Q53" s="31" t="n">
        <v>129.49</v>
      </c>
      <c r="R53" s="30" t="inlineStr">
        <is>
          <t>Near 52W High Breakout</t>
        </is>
      </c>
      <c r="S53" s="30" t="inlineStr">
        <is>
          <t>Nifty Auto</t>
        </is>
      </c>
      <c r="T53" s="31" t="n">
        <v>12.95</v>
      </c>
      <c r="U53" s="31" t="n">
        <v>126.28</v>
      </c>
      <c r="V53" s="31" t="n">
        <v>100.33</v>
      </c>
      <c r="W53" s="31" t="n">
        <v>43.78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Between 50% to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Between 0.7 to 1.2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25</t>
        </is>
      </c>
      <c r="CG53" s="30">
        <f>IF(CF53&gt;20,10,IF(CF53&gt;=10,5,2))</f>
        <v/>
      </c>
    </row>
    <row r="54">
      <c r="A54" s="30">
        <f>IF(B54=0,"",RANK(B54,$B$2:$B$96,0))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HFCL</t>
        </is>
      </c>
      <c r="D54" s="30" t="inlineStr">
        <is>
          <t>HFCL Ltd</t>
        </is>
      </c>
      <c r="E54" s="30" t="inlineStr">
        <is>
          <t>telecom</t>
        </is>
      </c>
      <c r="F54" s="30" t="inlineStr">
        <is>
          <t>Telecom Services</t>
        </is>
      </c>
      <c r="G54" s="30" t="inlineStr">
        <is>
          <t>largecap</t>
        </is>
      </c>
      <c r="H54" s="31" t="n">
        <v>30555.42</v>
      </c>
      <c r="I54" s="31" t="n">
        <v>199.63</v>
      </c>
      <c r="J54" s="31" t="n">
        <v>5</v>
      </c>
      <c r="K54" s="31" t="n">
        <v>0</v>
      </c>
      <c r="L54" s="30" t="n">
        <v>98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83.61</v>
      </c>
      <c r="P54" s="31" t="n">
        <v>51.72</v>
      </c>
      <c r="Q54" s="31" t="n">
        <v>150.63</v>
      </c>
      <c r="R54" s="30" t="inlineStr">
        <is>
          <t>Near 52W High Breakout</t>
        </is>
      </c>
      <c r="S54" s="30" t="inlineStr">
        <is>
          <t>Nifty Infra</t>
        </is>
      </c>
      <c r="T54" s="31" t="n">
        <v>4.04</v>
      </c>
      <c r="U54" s="31" t="n">
        <v>144.64</v>
      </c>
      <c r="V54" s="31" t="n">
        <v>135.13</v>
      </c>
      <c r="W54" s="31" t="n">
        <v>69.92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Oligopoly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Negative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23</t>
        </is>
      </c>
      <c r="CG54" s="30">
        <f>IF(CF54&gt;20,10,IF(CF54&gt;=10,5,2))</f>
        <v/>
      </c>
    </row>
    <row r="55">
      <c r="A55" s="30">
        <f>IF(B55=0,"",RANK(B55,$B$2:$B$96,0))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3" t="inlineStr">
        <is>
          <t>NIBE</t>
        </is>
      </c>
      <c r="D55" s="33" t="inlineStr">
        <is>
          <t>NIBE Ltd</t>
        </is>
      </c>
      <c r="E55" s="30" t="inlineStr">
        <is>
          <t>aerospace &amp; defence</t>
        </is>
      </c>
      <c r="F55" s="30" t="inlineStr">
        <is>
          <t>Aerospace &amp; Defence - Equipments</t>
        </is>
      </c>
      <c r="G55" s="30" t="inlineStr">
        <is>
          <t>smallcap</t>
        </is>
      </c>
      <c r="H55" s="31" t="n">
        <v>2667.06</v>
      </c>
      <c r="I55" s="31" t="n">
        <v>1747.6</v>
      </c>
      <c r="J55" s="31" t="n">
        <v>7.6</v>
      </c>
      <c r="K55" s="31" t="n">
        <v>0</v>
      </c>
      <c r="L55" s="30" t="n">
        <v>77</v>
      </c>
      <c r="M55" s="30" t="inlineStr">
        <is>
          <t>Underperforming</t>
        </is>
      </c>
      <c r="N55" s="31">
        <f>IF(M55="Underperforming",-5,IF(L55&gt;=95,15,IF(L55&gt;=90,10,IF(L55&gt;=80,5,0))))</f>
        <v/>
      </c>
      <c r="O55" s="31" t="n">
        <v>73.17</v>
      </c>
      <c r="P55" s="31" t="n">
        <v>22</v>
      </c>
      <c r="Q55" s="31" t="n">
        <v>1260.61</v>
      </c>
      <c r="R55" s="30" t="inlineStr">
        <is>
          <t>Near 52W High Breakout</t>
        </is>
      </c>
      <c r="S55" s="30" t="inlineStr">
        <is>
          <t>Nifty Infra</t>
        </is>
      </c>
      <c r="T55" s="31" t="n">
        <v>4.04</v>
      </c>
      <c r="U55" s="31" t="n">
        <v>2.76</v>
      </c>
      <c r="V55" s="31" t="n">
        <v>-1.23</v>
      </c>
      <c r="W55" s="31" t="n">
        <v>22.67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23</t>
        </is>
      </c>
      <c r="CG55" s="30">
        <f>IF(CF55&gt;20,10,IF(CF55&gt;=10,5,2))</f>
        <v/>
      </c>
    </row>
    <row r="56">
      <c r="A56" s="30">
        <f>IF(B56=0,"",RANK(B56,$B$2:$B$96,0))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3" t="inlineStr">
        <is>
          <t>WABAG</t>
        </is>
      </c>
      <c r="D56" s="33" t="inlineStr">
        <is>
          <t>Va Tech Wabag Ltd</t>
        </is>
      </c>
      <c r="E56" s="30" t="inlineStr">
        <is>
          <t>realty</t>
        </is>
      </c>
      <c r="F56" s="30" t="inlineStr">
        <is>
          <t>Water Treatment</t>
        </is>
      </c>
      <c r="G56" s="30" t="inlineStr">
        <is>
          <t>midcap</t>
        </is>
      </c>
      <c r="H56" s="31" t="n">
        <v>11352.67</v>
      </c>
      <c r="I56" s="31" t="n">
        <v>1821.8</v>
      </c>
      <c r="J56" s="31" t="n">
        <v>3.13</v>
      </c>
      <c r="K56" s="31" t="n">
        <v>0</v>
      </c>
      <c r="L56" s="30" t="n">
        <v>61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73.5</v>
      </c>
      <c r="P56" s="31" t="n">
        <v>15.55</v>
      </c>
      <c r="Q56" s="31" t="n">
        <v>1452.22</v>
      </c>
      <c r="R56" s="30" t="inlineStr">
        <is>
          <t>Volume Spike &amp; Near 52W High Breakout</t>
        </is>
      </c>
      <c r="S56" s="30" t="inlineStr">
        <is>
          <t>Nifty Realty</t>
        </is>
      </c>
      <c r="T56" s="31" t="n">
        <v>-19.08</v>
      </c>
      <c r="U56" s="31" t="n">
        <v>23.91</v>
      </c>
      <c r="V56" s="31" t="n">
        <v>53.13</v>
      </c>
      <c r="W56" s="31" t="n">
        <v>15.86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0 to 20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Less than 1.5</t>
        </is>
      </c>
      <c r="BU56" s="30">
        <f>IF(BT56="Above 2",0,IF(BT56="Between 1.5 to 2",5,IF(BT56="Less than 1.5",10,0)))</f>
        <v/>
      </c>
      <c r="BV56" s="30" t="inlineStr">
        <is>
          <t>Less than 50%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21</t>
        </is>
      </c>
      <c r="CG56" s="30">
        <f>IF(CF56&gt;20,10,IF(CF56&gt;=10,5,2))</f>
        <v/>
      </c>
    </row>
    <row r="57">
      <c r="A57" s="30">
        <f>IF(B57=0,"",RANK(B57,$B$2:$B$96,0))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2" t="inlineStr">
        <is>
          <t>SFL</t>
        </is>
      </c>
      <c r="D57" s="32" t="inlineStr">
        <is>
          <t>Sheela Foam Ltd</t>
        </is>
      </c>
      <c r="E57" s="30" t="inlineStr">
        <is>
          <t>consumer discretionary</t>
        </is>
      </c>
      <c r="F57" s="30" t="inlineStr">
        <is>
          <t>Mattress</t>
        </is>
      </c>
      <c r="G57" s="30" t="inlineStr">
        <is>
          <t>midcap</t>
        </is>
      </c>
      <c r="H57" s="31" t="n">
        <v>7670.68</v>
      </c>
      <c r="I57" s="31" t="n">
        <v>702.45</v>
      </c>
      <c r="J57" s="31" t="n">
        <v>-1.03</v>
      </c>
      <c r="K57" s="31" t="n">
        <v>0</v>
      </c>
      <c r="L57" s="30" t="n">
        <v>28</v>
      </c>
      <c r="M57" s="30" t="inlineStr">
        <is>
          <t>Underperforming</t>
        </is>
      </c>
      <c r="N57" s="31">
        <f>IF(M57="Underperforming",-5,IF(L57&gt;=95,15,IF(L57&gt;=90,10,IF(L57&gt;=80,5,0))))</f>
        <v/>
      </c>
      <c r="O57" s="31" t="n">
        <v>65.81</v>
      </c>
      <c r="P57" s="31" t="n">
        <v>21.06</v>
      </c>
      <c r="Q57" s="31" t="n">
        <v>542.04</v>
      </c>
      <c r="R57" s="30" t="inlineStr">
        <is>
          <t>Near 52W High Breakout</t>
        </is>
      </c>
      <c r="S57" s="30" t="inlineStr">
        <is>
          <t>Nifty 50</t>
        </is>
      </c>
      <c r="T57" s="31" t="n">
        <v>-3.76</v>
      </c>
      <c r="U57" s="31" t="n">
        <v>-5.33</v>
      </c>
      <c r="V57" s="31" t="n">
        <v>-1.63</v>
      </c>
      <c r="W57" s="31" t="n">
        <v>7.64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20</t>
        </is>
      </c>
      <c r="CG57" s="30">
        <f>IF(CF57&gt;20,10,IF(CF57&gt;=10,5,2))</f>
        <v/>
      </c>
    </row>
    <row r="58">
      <c r="A58" s="30">
        <f>IF(B58=0,"",RANK(B58,$B$2:$B$96,0))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3" t="inlineStr">
        <is>
          <t>AFCOM</t>
        </is>
      </c>
      <c r="D58" s="33" t="inlineStr">
        <is>
          <t>Afcom Holdings Ltd</t>
        </is>
      </c>
      <c r="E58" s="30" t="inlineStr">
        <is>
          <t>Industrials</t>
        </is>
      </c>
      <c r="F58" s="30" t="inlineStr">
        <is>
          <t>Air Transport Service</t>
        </is>
      </c>
      <c r="G58" s="30" t="inlineStr">
        <is>
          <t>smallcap</t>
        </is>
      </c>
      <c r="H58" s="31" t="n">
        <v>3415.14</v>
      </c>
      <c r="I58" s="31" t="n">
        <v>1190</v>
      </c>
      <c r="J58" s="31" t="n">
        <v>4.16</v>
      </c>
      <c r="K58" s="31" t="n">
        <v>0</v>
      </c>
      <c r="L58" s="30" t="n">
        <v>75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68.54000000000001</v>
      </c>
      <c r="P58" s="31" t="n">
        <v>20.18</v>
      </c>
      <c r="Q58" s="31" t="n">
        <v>852.99</v>
      </c>
      <c r="R58" s="30" t="inlineStr">
        <is>
          <t>Near 52W High Breakout</t>
        </is>
      </c>
      <c r="S58" s="30" t="inlineStr">
        <is>
          <t>Nifty 50</t>
        </is>
      </c>
      <c r="T58" s="31" t="n">
        <v>-3.76</v>
      </c>
      <c r="U58" s="31" t="n">
        <v>41.17</v>
      </c>
      <c r="V58" s="31" t="n">
        <v>46.69</v>
      </c>
      <c r="W58" s="31" t="n">
        <v>21.99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Less than 50%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Between 0.7 to 1.2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20</t>
        </is>
      </c>
      <c r="CG58" s="30">
        <f>IF(CF58&gt;20,10,IF(CF58&gt;=10,5,2))</f>
        <v/>
      </c>
    </row>
    <row r="59">
      <c r="A59" s="30">
        <f>IF(B59=0,"",RANK(B59,$B$2:$B$96,0))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3" t="inlineStr">
        <is>
          <t>WALCHANNAG</t>
        </is>
      </c>
      <c r="D59" s="33" t="inlineStr">
        <is>
          <t>Walchandnagar Industries Ltd</t>
        </is>
      </c>
      <c r="E59" s="30" t="inlineStr">
        <is>
          <t>industrials</t>
        </is>
      </c>
      <c r="F59" s="30" t="inlineStr">
        <is>
          <t>Capital Goods - Engineering Heavy</t>
        </is>
      </c>
      <c r="G59" s="30" t="inlineStr">
        <is>
          <t>smallcap</t>
        </is>
      </c>
      <c r="H59" s="31" t="n">
        <v>2044.42</v>
      </c>
      <c r="I59" s="31" t="n">
        <v>301.35</v>
      </c>
      <c r="J59" s="31" t="n">
        <v>7.61</v>
      </c>
      <c r="K59" s="31" t="n">
        <v>0</v>
      </c>
      <c r="L59" s="30" t="n">
        <v>89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71.75</v>
      </c>
      <c r="P59" s="31" t="n">
        <v>29.33</v>
      </c>
      <c r="Q59" s="31" t="n">
        <v>212.07</v>
      </c>
      <c r="R59" s="30" t="inlineStr">
        <is>
          <t>Volume Spike &amp; Near 52W High Breakout</t>
        </is>
      </c>
      <c r="S59" s="30" t="inlineStr">
        <is>
          <t>Nifty 50</t>
        </is>
      </c>
      <c r="T59" s="31" t="n">
        <v>-3.76</v>
      </c>
      <c r="U59" s="31" t="n">
        <v>33.64</v>
      </c>
      <c r="V59" s="31" t="n">
        <v>38.86</v>
      </c>
      <c r="W59" s="31" t="n">
        <v>33.78</v>
      </c>
      <c r="X59" s="30" t="inlineStr">
        <is>
          <t>Cyclical in an Upturn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Negative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18</t>
        </is>
      </c>
      <c r="CG59" s="30">
        <f>IF(CF59&gt;20,10,IF(CF59&gt;=10,5,2))</f>
        <v/>
      </c>
    </row>
    <row r="60">
      <c r="A60" s="30">
        <f>IF(B60=0,"",RANK(B60,$B$2:$B$96,0))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3" t="inlineStr">
        <is>
          <t>SPECTRUM</t>
        </is>
      </c>
      <c r="D60" s="33" t="inlineStr">
        <is>
          <t>Spectrum Electrical Industries Ltd</t>
        </is>
      </c>
      <c r="E60" s="30" t="inlineStr">
        <is>
          <t>industrials</t>
        </is>
      </c>
      <c r="F60" s="30" t="inlineStr">
        <is>
          <t>Capital Goods - Electric General</t>
        </is>
      </c>
      <c r="G60" s="30" t="inlineStr">
        <is>
          <t>smallcap</t>
        </is>
      </c>
      <c r="H60" s="31" t="n">
        <v>2782.45</v>
      </c>
      <c r="I60" s="31" t="n">
        <v>1770.7</v>
      </c>
      <c r="J60" s="31" t="n">
        <v>7.67</v>
      </c>
      <c r="K60" s="31" t="n">
        <v>0</v>
      </c>
      <c r="L60" s="30" t="n">
        <v>38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63.27</v>
      </c>
      <c r="P60" s="31" t="n">
        <v>28.24</v>
      </c>
      <c r="Q60" s="31" t="n">
        <v>1191.13</v>
      </c>
      <c r="R60" s="30" t="inlineStr">
        <is>
          <t>Near 52W High Breakout</t>
        </is>
      </c>
      <c r="S60" s="30" t="inlineStr">
        <is>
          <t>Nifty Infra</t>
        </is>
      </c>
      <c r="T60" s="31" t="n">
        <v>4.04</v>
      </c>
      <c r="U60" s="31" t="n">
        <v>21.34</v>
      </c>
      <c r="V60" s="31" t="n">
        <v>16.62</v>
      </c>
      <c r="W60" s="31" t="n">
        <v>9.460000000000001</v>
      </c>
      <c r="X60" s="30" t="inlineStr">
        <is>
          <t>Cyclical in an Upturn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Between 0.7 to 1.2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18</t>
        </is>
      </c>
      <c r="CG60" s="30">
        <f>IF(CF60&gt;20,10,IF(CF60&gt;=10,5,2))</f>
        <v/>
      </c>
    </row>
    <row r="61">
      <c r="A61" s="30">
        <f>IF(B61=0,"",RANK(B61,$B$2:$B$96,0))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VADILALIND</t>
        </is>
      </c>
      <c r="D61" s="30" t="inlineStr">
        <is>
          <t>Vadilal Industries Ltd</t>
        </is>
      </c>
      <c r="E61" s="30" t="inlineStr">
        <is>
          <t>fmcg</t>
        </is>
      </c>
      <c r="F61" s="30" t="inlineStr">
        <is>
          <t>FMCG - Dairy Products</t>
        </is>
      </c>
      <c r="G61" s="30" t="inlineStr">
        <is>
          <t>smallcap</t>
        </is>
      </c>
      <c r="H61" s="31" t="n">
        <v>4465.3</v>
      </c>
      <c r="I61" s="31" t="n">
        <v>6212.3</v>
      </c>
      <c r="J61" s="31" t="n">
        <v>0.7</v>
      </c>
      <c r="K61" s="31" t="n">
        <v>0</v>
      </c>
      <c r="L61" s="30" t="n">
        <v>43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68.15000000000001</v>
      </c>
      <c r="P61" s="31" t="n">
        <v>15.37</v>
      </c>
      <c r="Q61" s="31" t="n">
        <v>4802.71</v>
      </c>
      <c r="R61" s="30" t="inlineStr">
        <is>
          <t>Near 52W High Breakout</t>
        </is>
      </c>
      <c r="S61" s="30" t="inlineStr">
        <is>
          <t>Nifty FMCG</t>
        </is>
      </c>
      <c r="T61" s="31" t="n">
        <v>-9.109999999999999</v>
      </c>
      <c r="U61" s="31" t="n">
        <v>12.64</v>
      </c>
      <c r="V61" s="31" t="n">
        <v>23.93</v>
      </c>
      <c r="W61" s="31" t="n">
        <v>11.13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B2C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Annuity, Lower One Time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0 to 20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Between 50% to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30</t>
        </is>
      </c>
      <c r="CG61" s="30">
        <f>IF(CF61&gt;20,10,IF(CF61&gt;=10,5,2))</f>
        <v/>
      </c>
    </row>
    <row r="62">
      <c r="A62" s="30">
        <f>IF(B62=0,"",RANK(B62,$B$2:$B$96,0))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3" t="inlineStr">
        <is>
          <t>EBGNG</t>
        </is>
      </c>
      <c r="D62" s="33" t="inlineStr">
        <is>
          <t>GNG Electronics Ltd</t>
        </is>
      </c>
      <c r="E62" s="30" t="inlineStr">
        <is>
          <t>Technology</t>
        </is>
      </c>
      <c r="F62" s="30" t="inlineStr">
        <is>
          <t>New age - Platform - E-Retail</t>
        </is>
      </c>
      <c r="G62" s="30" t="inlineStr">
        <is>
          <t>midcap</t>
        </is>
      </c>
      <c r="H62" s="31" t="n">
        <v>5202.92</v>
      </c>
      <c r="I62" s="31" t="n">
        <v>456.35</v>
      </c>
      <c r="J62" s="31" t="n">
        <v>1.12</v>
      </c>
      <c r="K62" s="31" t="n">
        <v>0</v>
      </c>
      <c r="L62" s="30" t="n">
        <v>49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64.41</v>
      </c>
      <c r="P62" s="31" t="n">
        <v>22.29</v>
      </c>
      <c r="Q62" s="31" t="n">
        <v>324.58</v>
      </c>
      <c r="R62" s="30" t="inlineStr">
        <is>
          <t>Near 52W High Breakout</t>
        </is>
      </c>
      <c r="S62" s="30" t="inlineStr">
        <is>
          <t>Nifty 50</t>
        </is>
      </c>
      <c r="T62" s="31" t="n">
        <v>-1.62</v>
      </c>
      <c r="U62" s="31" t="n">
        <v>46.03</v>
      </c>
      <c r="V62" s="31" t="n">
        <v>48.43</v>
      </c>
      <c r="W62" s="31" t="n">
        <v>12.38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B2C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Annuity, Lower One Time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Negative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20</t>
        </is>
      </c>
      <c r="CG62" s="30">
        <f>IF(CF62&gt;20,10,IF(CF62&gt;=10,5,2))</f>
        <v/>
      </c>
    </row>
    <row r="63">
      <c r="A63" s="30">
        <f>IF(B63=0,"",RANK(B63,$B$2:$B$96,0))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3" t="inlineStr">
        <is>
          <t>SASKEN</t>
        </is>
      </c>
      <c r="D63" s="33" t="inlineStr">
        <is>
          <t>Sasken Technologies Ltd</t>
        </is>
      </c>
      <c r="E63" s="30" t="inlineStr">
        <is>
          <t>i.t</t>
        </is>
      </c>
      <c r="F63" s="30" t="inlineStr">
        <is>
          <t>IT - Software</t>
        </is>
      </c>
      <c r="G63" s="30" t="inlineStr">
        <is>
          <t>smallcap</t>
        </is>
      </c>
      <c r="H63" s="31" t="n">
        <v>4021.23</v>
      </c>
      <c r="I63" s="31" t="n">
        <v>2647.9</v>
      </c>
      <c r="J63" s="31" t="n">
        <v>10</v>
      </c>
      <c r="K63" s="31" t="n">
        <v>0</v>
      </c>
      <c r="L63" s="30" t="n">
        <v>95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79.41</v>
      </c>
      <c r="P63" s="31" t="n">
        <v>34.5</v>
      </c>
      <c r="Q63" s="31" t="n">
        <v>1962.56</v>
      </c>
      <c r="R63" s="30" t="inlineStr">
        <is>
          <t>Near 52W High Breakout</t>
        </is>
      </c>
      <c r="S63" s="30" t="inlineStr">
        <is>
          <t>Nifty IT</t>
        </is>
      </c>
      <c r="T63" s="31" t="n">
        <v>-26.99</v>
      </c>
      <c r="U63" s="31" t="n">
        <v>93.06</v>
      </c>
      <c r="V63" s="31" t="n">
        <v>164.44</v>
      </c>
      <c r="W63" s="31" t="n">
        <v>47.64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Annuity, Lower One Time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Negative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19</t>
        </is>
      </c>
      <c r="CG63" s="30">
        <f>IF(CF63&gt;20,10,IF(CF63&gt;=10,5,2))</f>
        <v/>
      </c>
    </row>
    <row r="64">
      <c r="A64" s="30">
        <f>IF(B64=0,"",RANK(B64,$B$2:$B$96,0))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CRAFTSMAN</t>
        </is>
      </c>
      <c r="D64" s="30" t="inlineStr">
        <is>
          <t>Craftsman Automation Ltd</t>
        </is>
      </c>
      <c r="E64" s="30" t="inlineStr">
        <is>
          <t>auto</t>
        </is>
      </c>
      <c r="F64" s="30" t="inlineStr">
        <is>
          <t>Auto &amp; Auto Ancl - CV</t>
        </is>
      </c>
      <c r="G64" s="30" t="inlineStr">
        <is>
          <t>largecap</t>
        </is>
      </c>
      <c r="H64" s="31" t="n">
        <v>22662.8</v>
      </c>
      <c r="I64" s="31" t="n">
        <v>9500</v>
      </c>
      <c r="J64" s="31" t="n">
        <v>0.02</v>
      </c>
      <c r="K64" s="31" t="n">
        <v>0</v>
      </c>
      <c r="L64" s="30" t="n">
        <v>74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68.84</v>
      </c>
      <c r="P64" s="31" t="n">
        <v>36.96</v>
      </c>
      <c r="Q64" s="31" t="n">
        <v>7468.77</v>
      </c>
      <c r="R64" s="30" t="inlineStr">
        <is>
          <t>Near 52W High Breakout</t>
        </is>
      </c>
      <c r="S64" s="30" t="inlineStr">
        <is>
          <t>Nifty Auto</t>
        </is>
      </c>
      <c r="T64" s="31" t="n">
        <v>12.95</v>
      </c>
      <c r="U64" s="31" t="n">
        <v>84.26000000000001</v>
      </c>
      <c r="V64" s="31" t="n">
        <v>63.13</v>
      </c>
      <c r="W64" s="31" t="n">
        <v>21.68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Less than 50% and Borrowings are increasing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Between 0.7 to 1.2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21</t>
        </is>
      </c>
      <c r="CG64" s="30">
        <f>IF(CF64&gt;20,10,IF(CF64&gt;=10,5,2))</f>
        <v/>
      </c>
    </row>
    <row r="65">
      <c r="A65" s="30">
        <f>IF(B65=0,"",RANK(B65,$B$2:$B$96,0))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MINDACORP</t>
        </is>
      </c>
      <c r="D65" s="30" t="inlineStr">
        <is>
          <t>Minda Corporation Ltd</t>
        </is>
      </c>
      <c r="E65" s="30" t="inlineStr">
        <is>
          <t>auto</t>
        </is>
      </c>
      <c r="F65" s="30" t="inlineStr">
        <is>
          <t>Auto Ancillaries - Diversified</t>
        </is>
      </c>
      <c r="G65" s="30" t="inlineStr">
        <is>
          <t>midcap</t>
        </is>
      </c>
      <c r="H65" s="31" t="n">
        <v>15561.68</v>
      </c>
      <c r="I65" s="31" t="n">
        <v>650.9</v>
      </c>
      <c r="J65" s="31" t="n">
        <v>1.07</v>
      </c>
      <c r="K65" s="31" t="n">
        <v>0</v>
      </c>
      <c r="L65" s="30" t="n">
        <v>48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65.91</v>
      </c>
      <c r="P65" s="31" t="n">
        <v>19.66</v>
      </c>
      <c r="Q65" s="31" t="n">
        <v>521.01</v>
      </c>
      <c r="R65" s="30" t="inlineStr">
        <is>
          <t>Near 52W High Breakout</t>
        </is>
      </c>
      <c r="S65" s="30" t="inlineStr">
        <is>
          <t>Nifty Auto</t>
        </is>
      </c>
      <c r="T65" s="31" t="n">
        <v>12.95</v>
      </c>
      <c r="U65" s="31" t="n">
        <v>29.23</v>
      </c>
      <c r="V65" s="31" t="n">
        <v>14.41</v>
      </c>
      <c r="W65" s="31" t="n">
        <v>12.19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0 to 20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20</t>
        </is>
      </c>
      <c r="CG65" s="30">
        <f>IF(CF65&gt;20,10,IF(CF65&gt;=10,5,2))</f>
        <v/>
      </c>
    </row>
    <row r="66">
      <c r="A66" s="30">
        <f>IF(B66=0,"",RANK(B66,$B$2:$B$96,0))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3" t="inlineStr">
        <is>
          <t>PREMEXPLN</t>
        </is>
      </c>
      <c r="D66" s="33" t="inlineStr">
        <is>
          <t>Premier Explosives Ltd</t>
        </is>
      </c>
      <c r="E66" s="30" t="inlineStr">
        <is>
          <t>aerospace &amp; defence</t>
        </is>
      </c>
      <c r="F66" s="30" t="inlineStr">
        <is>
          <t>Industrial Explosives</t>
        </is>
      </c>
      <c r="G66" s="30" t="inlineStr">
        <is>
          <t>smallcap</t>
        </is>
      </c>
      <c r="H66" s="31" t="n">
        <v>3984.24</v>
      </c>
      <c r="I66" s="31" t="n">
        <v>741.1</v>
      </c>
      <c r="J66" s="31" t="n">
        <v>-3.24</v>
      </c>
      <c r="K66" s="31" t="n">
        <v>0</v>
      </c>
      <c r="L66" s="30" t="n">
        <v>76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71.18000000000001</v>
      </c>
      <c r="P66" s="31" t="n">
        <v>21.8</v>
      </c>
      <c r="Q66" s="31" t="n">
        <v>520.61</v>
      </c>
      <c r="R66" s="30" t="inlineStr">
        <is>
          <t>Near 52W High Breakout</t>
        </is>
      </c>
      <c r="S66" s="30" t="inlineStr">
        <is>
          <t>Nifty IT</t>
        </is>
      </c>
      <c r="T66" s="31" t="n">
        <v>-26.99</v>
      </c>
      <c r="U66" s="31" t="n">
        <v>25.12</v>
      </c>
      <c r="V66" s="31" t="n">
        <v>71.38</v>
      </c>
      <c r="W66" s="31" t="n">
        <v>22.31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Negative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20</t>
        </is>
      </c>
      <c r="CG66" s="30">
        <f>IF(CF66&gt;20,10,IF(CF66&gt;=10,5,2))</f>
        <v/>
      </c>
    </row>
    <row r="67">
      <c r="A67" s="30">
        <f>IF(B67=0,"",RANK(B67,$B$2:$B$96,0))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FCL</t>
        </is>
      </c>
      <c r="D67" s="30" t="inlineStr">
        <is>
          <t>Fineotex Chemical Ltd</t>
        </is>
      </c>
      <c r="E67" s="30" t="inlineStr">
        <is>
          <t>chemicals</t>
        </is>
      </c>
      <c r="F67" s="30" t="inlineStr">
        <is>
          <t>Speciality Chemicals</t>
        </is>
      </c>
      <c r="G67" s="30" t="inlineStr">
        <is>
          <t>midcap</t>
        </is>
      </c>
      <c r="H67" s="31" t="n">
        <v>5059.76</v>
      </c>
      <c r="I67" s="31" t="n">
        <v>43.45</v>
      </c>
      <c r="J67" s="31" t="n">
        <v>-3.08</v>
      </c>
      <c r="K67" s="31" t="n">
        <v>0</v>
      </c>
      <c r="L67" s="30" t="n">
        <v>90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76.3</v>
      </c>
      <c r="P67" s="31" t="n">
        <v>34.11</v>
      </c>
      <c r="Q67" s="31" t="n">
        <v>31.86</v>
      </c>
      <c r="R67" s="30" t="inlineStr">
        <is>
          <t>Near 52W High Breakout</t>
        </is>
      </c>
      <c r="S67" s="30" t="inlineStr">
        <is>
          <t>Nifty IT</t>
        </is>
      </c>
      <c r="T67" s="31" t="n">
        <v>-26.99</v>
      </c>
      <c r="U67" s="31" t="n">
        <v>57.22</v>
      </c>
      <c r="V67" s="31" t="n">
        <v>115.35</v>
      </c>
      <c r="W67" s="31" t="n">
        <v>35.41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Negative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19</t>
        </is>
      </c>
      <c r="CG67" s="30">
        <f>IF(CF67&gt;20,10,IF(CF67&gt;=10,5,2))</f>
        <v/>
      </c>
    </row>
    <row r="68">
      <c r="A68" s="30">
        <f>IF(B68=0,"",RANK(B68,$B$2:$B$96,0))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3" t="inlineStr">
        <is>
          <t>LLOYDSENGG</t>
        </is>
      </c>
      <c r="D68" s="33" t="inlineStr">
        <is>
          <t>Lloyds Engineering Works Ltd</t>
        </is>
      </c>
      <c r="E68" s="30" t="inlineStr">
        <is>
          <t>industrials</t>
        </is>
      </c>
      <c r="F68" s="30" t="inlineStr">
        <is>
          <t>Capital Goods - Electrical Equipment</t>
        </is>
      </c>
      <c r="G68" s="30" t="inlineStr">
        <is>
          <t>midcap</t>
        </is>
      </c>
      <c r="H68" s="31" t="n">
        <v>12384.55</v>
      </c>
      <c r="I68" s="31" t="n">
        <v>84.76000000000001</v>
      </c>
      <c r="J68" s="31" t="n">
        <v>-3.34</v>
      </c>
      <c r="K68" s="31" t="n">
        <v>0</v>
      </c>
      <c r="L68" s="30" t="n">
        <v>91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74.76000000000001</v>
      </c>
      <c r="P68" s="31" t="n">
        <v>30.43</v>
      </c>
      <c r="Q68" s="31" t="n">
        <v>63.06</v>
      </c>
      <c r="R68" s="30" t="inlineStr">
        <is>
          <t>Volume Spike &amp; Near 52W High Breakout</t>
        </is>
      </c>
      <c r="S68" s="30" t="inlineStr">
        <is>
          <t>Nifty 50</t>
        </is>
      </c>
      <c r="T68" s="31" t="n">
        <v>-3.76</v>
      </c>
      <c r="U68" s="31" t="n">
        <v>48.47</v>
      </c>
      <c r="V68" s="31" t="n">
        <v>54.27</v>
      </c>
      <c r="W68" s="31" t="n">
        <v>36.75</v>
      </c>
      <c r="X68" s="30" t="inlineStr">
        <is>
          <t>Cyclical in an Upturn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Negative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18</t>
        </is>
      </c>
      <c r="CG68" s="30">
        <f>IF(CF68&gt;20,10,IF(CF68&gt;=10,5,2))</f>
        <v/>
      </c>
    </row>
    <row r="69">
      <c r="A69" s="30">
        <f>IF(B69=0,"",RANK(B69,$B$2:$B$96,0))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AEROFLEX</t>
        </is>
      </c>
      <c r="D69" s="30" t="inlineStr">
        <is>
          <t>Aeroflex Industries Ltd</t>
        </is>
      </c>
      <c r="E69" s="30" t="inlineStr">
        <is>
          <t>metals &amp; mining</t>
        </is>
      </c>
      <c r="F69" s="30" t="inlineStr">
        <is>
          <t>Stainless Steel</t>
        </is>
      </c>
      <c r="G69" s="30" t="inlineStr">
        <is>
          <t>midcap</t>
        </is>
      </c>
      <c r="H69" s="31" t="n">
        <v>6470.97</v>
      </c>
      <c r="I69" s="31" t="n">
        <v>489</v>
      </c>
      <c r="J69" s="31" t="n">
        <v>-4.29</v>
      </c>
      <c r="K69" s="31" t="n">
        <v>0</v>
      </c>
      <c r="L69" s="30" t="n">
        <v>95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76.27</v>
      </c>
      <c r="P69" s="31" t="n">
        <v>61.09</v>
      </c>
      <c r="Q69" s="31" t="n">
        <v>346.46</v>
      </c>
      <c r="R69" s="30" t="inlineStr">
        <is>
          <t>Near 52W High Breakout</t>
        </is>
      </c>
      <c r="S69" s="30" t="inlineStr">
        <is>
          <t>Nifty Metal</t>
        </is>
      </c>
      <c r="T69" s="31" t="n">
        <v>42.37</v>
      </c>
      <c r="U69" s="31" t="n">
        <v>139.5</v>
      </c>
      <c r="V69" s="31" t="n">
        <v>68.23</v>
      </c>
      <c r="W69" s="31" t="n">
        <v>46.82</v>
      </c>
      <c r="X69" s="30" t="inlineStr">
        <is>
          <t>Cyclical in an Upturn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Cyclical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Volatile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Between 50% to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18</t>
        </is>
      </c>
      <c r="CG69" s="30">
        <f>IF(CF69&gt;20,10,IF(CF69&gt;=10,5,2))</f>
        <v/>
      </c>
    </row>
    <row r="70">
      <c r="A70" s="30">
        <f>IF(B70=0,"",RANK(B70,$B$2:$B$96,0))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PSPPROJECT</t>
        </is>
      </c>
      <c r="D70" s="30" t="inlineStr">
        <is>
          <t>PSP Projects Ltd</t>
        </is>
      </c>
      <c r="E70" s="30" t="inlineStr">
        <is>
          <t>realty</t>
        </is>
      </c>
      <c r="F70" s="30" t="inlineStr">
        <is>
          <t>Construction &amp; Contracting</t>
        </is>
      </c>
      <c r="G70" s="30" t="inlineStr">
        <is>
          <t>smallcap</t>
        </is>
      </c>
      <c r="H70" s="31" t="n">
        <v>3611.96</v>
      </c>
      <c r="I70" s="31" t="n">
        <v>911.15</v>
      </c>
      <c r="J70" s="31" t="n">
        <v>0.41</v>
      </c>
      <c r="K70" s="31" t="n">
        <v>0</v>
      </c>
      <c r="L70" s="30" t="n">
        <v>57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62.82</v>
      </c>
      <c r="P70" s="31" t="n">
        <v>23.51</v>
      </c>
      <c r="Q70" s="31" t="n">
        <v>680.92</v>
      </c>
      <c r="R70" s="30" t="inlineStr">
        <is>
          <t>Earnings / Momentum Support</t>
        </is>
      </c>
      <c r="S70" s="30" t="inlineStr">
        <is>
          <t>Nifty Realty</t>
        </is>
      </c>
      <c r="T70" s="31" t="n">
        <v>-19.08</v>
      </c>
      <c r="U70" s="31" t="n">
        <v>24.1</v>
      </c>
      <c r="V70" s="31" t="n">
        <v>53.37</v>
      </c>
      <c r="W70" s="31" t="n">
        <v>14.42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No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17</t>
        </is>
      </c>
      <c r="CG70" s="30">
        <f>IF(CF70&gt;20,10,IF(CF70&gt;=10,5,2))</f>
        <v/>
      </c>
    </row>
    <row r="71">
      <c r="A71" s="30">
        <f>IF(B71=0,"",RANK(B71,$B$2:$B$96,0))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3" t="inlineStr">
        <is>
          <t>ONEGLOBAL</t>
        </is>
      </c>
      <c r="D71" s="33" t="inlineStr">
        <is>
          <t>One Global Service Provider Ltd</t>
        </is>
      </c>
      <c r="E71" s="30" t="inlineStr">
        <is>
          <t>Healthcare</t>
        </is>
      </c>
      <c r="F71" s="30" t="inlineStr">
        <is>
          <t>Diagnostics</t>
        </is>
      </c>
      <c r="G71" s="30" t="inlineStr">
        <is>
          <t>smallcap</t>
        </is>
      </c>
      <c r="H71" s="31" t="n">
        <v>1356.28</v>
      </c>
      <c r="I71" s="31" t="n">
        <v>694</v>
      </c>
      <c r="J71" s="31" t="n">
        <v>-4.98</v>
      </c>
      <c r="K71" s="31" t="n">
        <v>0</v>
      </c>
      <c r="L71" s="30" t="n">
        <v>91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61.7</v>
      </c>
      <c r="P71" s="31" t="n">
        <v>11.36</v>
      </c>
      <c r="Q71" s="31" t="n">
        <v>409.2</v>
      </c>
      <c r="R71" s="30" t="inlineStr">
        <is>
          <t>Earnings / Momentum Support</t>
        </is>
      </c>
      <c r="S71" s="30" t="inlineStr">
        <is>
          <t>Nifty Pharma</t>
        </is>
      </c>
      <c r="T71" s="31" t="n">
        <v>12.35</v>
      </c>
      <c r="U71" s="31" t="n">
        <v>195.07</v>
      </c>
      <c r="V71" s="31" t="n">
        <v>162.63</v>
      </c>
      <c r="W71" s="31" t="n">
        <v>37.36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Yes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No</t>
        </is>
      </c>
      <c r="AQ71" s="30">
        <f>IF(AP71="Yes",10,0)</f>
        <v/>
      </c>
      <c r="AR71" s="30" t="inlineStr">
        <is>
          <t>Higher Annuity, Lower One Time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0 to 20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Less than 50%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18</t>
        </is>
      </c>
      <c r="CG71" s="30">
        <f>IF(CF71&gt;20,10,IF(CF71&gt;=10,5,2))</f>
        <v/>
      </c>
    </row>
    <row r="72">
      <c r="A72" s="30">
        <f>IF(B72=0,"",RANK(B72,$B$2:$B$96,0))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3" t="inlineStr">
        <is>
          <t>HCC</t>
        </is>
      </c>
      <c r="D72" s="33" t="inlineStr">
        <is>
          <t>Hindustan Construction Company Ltd</t>
        </is>
      </c>
      <c r="E72" s="30" t="inlineStr">
        <is>
          <t>Industrials</t>
        </is>
      </c>
      <c r="F72" s="30" t="inlineStr">
        <is>
          <t>Infra - Construction &amp; Contracting</t>
        </is>
      </c>
      <c r="G72" s="30" t="inlineStr">
        <is>
          <t>midcap</t>
        </is>
      </c>
      <c r="H72" s="31" t="n">
        <v>7164.25</v>
      </c>
      <c r="I72" s="31" t="n">
        <v>27.35</v>
      </c>
      <c r="J72" s="31" t="n">
        <v>1.82</v>
      </c>
      <c r="K72" s="31" t="n">
        <v>0</v>
      </c>
      <c r="L72" s="30" t="n">
        <v>70</v>
      </c>
      <c r="M72" s="30" t="inlineStr">
        <is>
          <t>Underperforming</t>
        </is>
      </c>
      <c r="N72" s="31">
        <f>IF(M72="Underperforming",-5,IF(L72&gt;=95,15,IF(L72&gt;=90,10,IF(L72&gt;=80,5,0))))</f>
        <v/>
      </c>
      <c r="O72" s="31" t="n">
        <v>65.72</v>
      </c>
      <c r="P72" s="31" t="n">
        <v>25.82</v>
      </c>
      <c r="Q72" s="31" t="n">
        <v>19.7</v>
      </c>
      <c r="R72" s="30" t="inlineStr">
        <is>
          <t>Volume Spike / Accumulation</t>
        </is>
      </c>
      <c r="S72" s="30" t="inlineStr">
        <is>
          <t>Nifty Infra</t>
        </is>
      </c>
      <c r="T72" s="31" t="n">
        <v>4.04</v>
      </c>
      <c r="U72" s="31" t="n">
        <v>-9.68</v>
      </c>
      <c r="V72" s="31" t="n">
        <v>-13.19</v>
      </c>
      <c r="W72" s="31" t="n">
        <v>19.43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Less than 12%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21</t>
        </is>
      </c>
      <c r="CG72" s="30">
        <f>IF(CF72&gt;20,10,IF(CF72&gt;=10,5,2))</f>
        <v/>
      </c>
    </row>
    <row r="73">
      <c r="A73" s="30">
        <f>IF(B73=0,"",RANK(B73,$B$2:$B$96,0))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YASHO</t>
        </is>
      </c>
      <c r="D73" s="30" t="inlineStr">
        <is>
          <t>Yasho Industries Ltd</t>
        </is>
      </c>
      <c r="E73" s="30" t="inlineStr">
        <is>
          <t>chemicals</t>
        </is>
      </c>
      <c r="F73" s="30" t="inlineStr">
        <is>
          <t>Speciality Chemicals</t>
        </is>
      </c>
      <c r="G73" s="30" t="inlineStr">
        <is>
          <t>smallcap</t>
        </is>
      </c>
      <c r="H73" s="31" t="n">
        <v>3487.39</v>
      </c>
      <c r="I73" s="31" t="n">
        <v>2892.4</v>
      </c>
      <c r="J73" s="31" t="n">
        <v>4.23</v>
      </c>
      <c r="K73" s="31" t="n">
        <v>0</v>
      </c>
      <c r="L73" s="30" t="n">
        <v>91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83.8</v>
      </c>
      <c r="P73" s="31" t="n">
        <v>26.77</v>
      </c>
      <c r="Q73" s="31" t="n">
        <v>2168.3</v>
      </c>
      <c r="R73" s="30" t="inlineStr">
        <is>
          <t>Near 52W High Breakout</t>
        </is>
      </c>
      <c r="S73" s="30" t="inlineStr">
        <is>
          <t>Nifty 50</t>
        </is>
      </c>
      <c r="T73" s="31" t="n">
        <v>-3.76</v>
      </c>
      <c r="U73" s="31" t="n">
        <v>49.36</v>
      </c>
      <c r="V73" s="31" t="n">
        <v>55.19</v>
      </c>
      <c r="W73" s="31" t="n">
        <v>36.02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Above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More than 1.2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20</t>
        </is>
      </c>
      <c r="CG73" s="30">
        <f>IF(CF73&gt;20,10,IF(CF73&gt;=10,5,2))</f>
        <v/>
      </c>
    </row>
    <row r="74">
      <c r="A74" s="30">
        <f>IF(B74=0,"",RANK(B74,$B$2:$B$96,0))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3" t="inlineStr">
        <is>
          <t>NYKAA</t>
        </is>
      </c>
      <c r="D74" s="33" t="inlineStr">
        <is>
          <t>FSN E-Commerce Ventures Ltd</t>
        </is>
      </c>
      <c r="E74" s="30" t="inlineStr">
        <is>
          <t>i.t</t>
        </is>
      </c>
      <c r="F74" s="30" t="inlineStr">
        <is>
          <t>New age - Platform - E-Retail</t>
        </is>
      </c>
      <c r="G74" s="30" t="inlineStr">
        <is>
          <t>largecap</t>
        </is>
      </c>
      <c r="H74" s="31" t="n">
        <v>85370.60000000001</v>
      </c>
      <c r="I74" s="31" t="n">
        <v>298.1</v>
      </c>
      <c r="J74" s="31" t="n">
        <v>6.1</v>
      </c>
      <c r="K74" s="31" t="n">
        <v>0</v>
      </c>
      <c r="L74" s="30" t="n">
        <v>55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66.3</v>
      </c>
      <c r="P74" s="31" t="n">
        <v>19.32</v>
      </c>
      <c r="Q74" s="31" t="n">
        <v>245.12</v>
      </c>
      <c r="R74" s="30" t="inlineStr">
        <is>
          <t>Volume Spike &amp; Near 52W High Breakout</t>
        </is>
      </c>
      <c r="S74" s="30" t="inlineStr">
        <is>
          <t>Nifty IT</t>
        </is>
      </c>
      <c r="T74" s="31" t="n">
        <v>-26.99</v>
      </c>
      <c r="U74" s="31" t="n">
        <v>51.27</v>
      </c>
      <c r="V74" s="31" t="n">
        <v>107.19</v>
      </c>
      <c r="W74" s="31" t="n">
        <v>14.05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B2C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0 to 20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Between 0.7 to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18</t>
        </is>
      </c>
      <c r="CG74" s="30">
        <f>IF(CF74&gt;20,10,IF(CF74&gt;=10,5,2))</f>
        <v/>
      </c>
    </row>
    <row r="75">
      <c r="A75" s="30">
        <f>IF(B75=0,"",RANK(B75,$B$2:$B$96,0))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2" t="inlineStr">
        <is>
          <t>BMW</t>
        </is>
      </c>
      <c r="D75" s="32" t="inlineStr">
        <is>
          <t>BMW Industries Ltd</t>
        </is>
      </c>
      <c r="E75" s="30" t="inlineStr">
        <is>
          <t>Basic Materials</t>
        </is>
      </c>
      <c r="F75" s="30" t="inlineStr">
        <is>
          <t>Steel Products</t>
        </is>
      </c>
      <c r="G75" s="30" t="inlineStr">
        <is>
          <t>smallcap</t>
        </is>
      </c>
      <c r="H75" s="31" t="n">
        <v>1389.91</v>
      </c>
      <c r="I75" s="31" t="n">
        <v>61.75</v>
      </c>
      <c r="J75" s="31" t="n">
        <v>0</v>
      </c>
      <c r="K75" s="31" t="n">
        <v>0</v>
      </c>
      <c r="L75" s="30" t="n">
        <v>86</v>
      </c>
      <c r="M75" s="30" t="inlineStr">
        <is>
          <t>Underperforming</t>
        </is>
      </c>
      <c r="N75" s="31">
        <f>IF(M75="Underperforming",-5,IF(L75&gt;=95,15,IF(L75&gt;=90,10,IF(L75&gt;=80,5,0))))</f>
        <v/>
      </c>
      <c r="O75" s="31" t="n">
        <v>73.76000000000001</v>
      </c>
      <c r="P75" s="31" t="n">
        <v>37.01</v>
      </c>
      <c r="Q75" s="31" t="n">
        <v>45.47</v>
      </c>
      <c r="R75" s="30" t="inlineStr">
        <is>
          <t>Near 52W High Breakout</t>
        </is>
      </c>
      <c r="S75" s="30" t="inlineStr">
        <is>
          <t>Nifty Metal</t>
        </is>
      </c>
      <c r="T75" s="31" t="n">
        <v>42.37</v>
      </c>
      <c r="U75" s="31" t="n">
        <v>20.97</v>
      </c>
      <c r="V75" s="31" t="n">
        <v>-15.03</v>
      </c>
      <c r="W75" s="31" t="n">
        <v>29.49</v>
      </c>
      <c r="X75" s="30" t="inlineStr">
        <is>
          <t>Cyclical in an Upturn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Cyclical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Volatile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Between 50% to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21</t>
        </is>
      </c>
      <c r="CG75" s="30">
        <f>IF(CF75&gt;20,10,IF(CF75&gt;=10,5,2))</f>
        <v/>
      </c>
    </row>
    <row r="76">
      <c r="A76" s="30">
        <f>IF(B76=0,"",RANK(B76,$B$2:$B$96,0))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3" t="inlineStr">
        <is>
          <t>SETL</t>
        </is>
      </c>
      <c r="D76" s="33" t="inlineStr">
        <is>
          <t>Standard Engineering Technology Ltd</t>
        </is>
      </c>
      <c r="E76" s="30" t="inlineStr">
        <is>
          <t>industrials</t>
        </is>
      </c>
      <c r="F76" s="30" t="inlineStr">
        <is>
          <t>Engineering - Heavy - Glass - lined Equipment</t>
        </is>
      </c>
      <c r="G76" s="30" t="inlineStr">
        <is>
          <t>smallcap</t>
        </is>
      </c>
      <c r="H76" s="31" t="n">
        <v>3594.24</v>
      </c>
      <c r="I76" s="31" t="n">
        <v>180.17</v>
      </c>
      <c r="J76" s="31" t="n">
        <v>3.87</v>
      </c>
      <c r="K76" s="31" t="n">
        <v>0</v>
      </c>
      <c r="L76" s="30" t="n">
        <v>61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69.56999999999999</v>
      </c>
      <c r="P76" s="31" t="n">
        <v>15.08</v>
      </c>
      <c r="Q76" s="31" t="n">
        <v>136.1</v>
      </c>
      <c r="R76" s="30" t="inlineStr">
        <is>
          <t>Volume Spike / Accumulation</t>
        </is>
      </c>
      <c r="S76" s="30" t="inlineStr">
        <is>
          <t>Nifty Infra</t>
        </is>
      </c>
      <c r="T76" s="31" t="n">
        <v>4.04</v>
      </c>
      <c r="U76" s="31" t="n">
        <v>6.26</v>
      </c>
      <c r="V76" s="31" t="n">
        <v>2.13</v>
      </c>
      <c r="W76" s="31" t="n">
        <v>15.64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0 to 20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Less than 50%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20</t>
        </is>
      </c>
      <c r="CG76" s="30">
        <f>IF(CF76&gt;20,10,IF(CF76&gt;=10,5,2))</f>
        <v/>
      </c>
    </row>
    <row r="77">
      <c r="A77" s="30">
        <f>IF(B77=0,"",RANK(B77,$B$2:$B$96,0))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SKYGOLD</t>
        </is>
      </c>
      <c r="D77" s="30" t="inlineStr">
        <is>
          <t>Sky Gold &amp; Diamonds Ltd</t>
        </is>
      </c>
      <c r="E77" s="30" t="inlineStr">
        <is>
          <t>consumer discretionary</t>
        </is>
      </c>
      <c r="F77" s="30" t="inlineStr">
        <is>
          <t>Diamond, Gems &amp; Jewellery</t>
        </is>
      </c>
      <c r="G77" s="30" t="inlineStr">
        <is>
          <t>midcap</t>
        </is>
      </c>
      <c r="H77" s="31" t="n">
        <v>8085.97</v>
      </c>
      <c r="I77" s="31" t="n">
        <v>522.1</v>
      </c>
      <c r="J77" s="31" t="n">
        <v>-0.24</v>
      </c>
      <c r="K77" s="31" t="n">
        <v>0</v>
      </c>
      <c r="L77" s="30" t="n">
        <v>76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64.98</v>
      </c>
      <c r="P77" s="31" t="n">
        <v>38.86</v>
      </c>
      <c r="Q77" s="31" t="n">
        <v>389.91</v>
      </c>
      <c r="R77" s="30" t="inlineStr">
        <is>
          <t>Near 52W High Breakout</t>
        </is>
      </c>
      <c r="S77" s="30" t="inlineStr">
        <is>
          <t>Nifty 50</t>
        </is>
      </c>
      <c r="T77" s="31" t="n">
        <v>-3.76</v>
      </c>
      <c r="U77" s="31" t="n">
        <v>64.16</v>
      </c>
      <c r="V77" s="31" t="n">
        <v>70.56999999999999</v>
      </c>
      <c r="W77" s="31" t="n">
        <v>22.18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Negative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Between 0.7 to 1.2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20</t>
        </is>
      </c>
      <c r="CG77" s="30">
        <f>IF(CF77&gt;20,10,IF(CF77&gt;=10,5,2))</f>
        <v/>
      </c>
    </row>
    <row r="78">
      <c r="A78" s="30">
        <f>IF(B78=0,"",RANK(B78,$B$2:$B$96,0))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GALAPREC</t>
        </is>
      </c>
      <c r="D78" s="30" t="inlineStr">
        <is>
          <t>Gala Precision Engineering Ltd</t>
        </is>
      </c>
      <c r="E78" s="30" t="inlineStr">
        <is>
          <t>industrials</t>
        </is>
      </c>
      <c r="F78" s="30" t="inlineStr">
        <is>
          <t>Castings, Forgings &amp; Fastners</t>
        </is>
      </c>
      <c r="G78" s="30" t="inlineStr">
        <is>
          <t>smallcap</t>
        </is>
      </c>
      <c r="H78" s="31" t="n">
        <v>1306.63</v>
      </c>
      <c r="I78" s="31" t="n">
        <v>1021</v>
      </c>
      <c r="J78" s="31" t="n">
        <v>-1.27</v>
      </c>
      <c r="K78" s="31" t="n">
        <v>0</v>
      </c>
      <c r="L78" s="30" t="n">
        <v>45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72.2</v>
      </c>
      <c r="P78" s="31" t="n">
        <v>23.71</v>
      </c>
      <c r="Q78" s="31" t="n">
        <v>777.6799999999999</v>
      </c>
      <c r="R78" s="30" t="inlineStr">
        <is>
          <t>Volume Spike &amp; Near 52W High Breakout</t>
        </is>
      </c>
      <c r="S78" s="30" t="inlineStr">
        <is>
          <t>Nifty 50</t>
        </is>
      </c>
      <c r="T78" s="31" t="n">
        <v>-3.76</v>
      </c>
      <c r="U78" s="31" t="n">
        <v>17.4</v>
      </c>
      <c r="V78" s="31" t="n">
        <v>21.99</v>
      </c>
      <c r="W78" s="31" t="n">
        <v>11.58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Less than 12%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Less than 50%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20</t>
        </is>
      </c>
      <c r="CG78" s="30">
        <f>IF(CF78&gt;20,10,IF(CF78&gt;=10,5,2))</f>
        <v/>
      </c>
    </row>
    <row r="79">
      <c r="A79" s="30">
        <f>IF(B79=0,"",RANK(B79,$B$2:$B$96,0))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0" t="inlineStr">
        <is>
          <t>ACCENTMIC</t>
        </is>
      </c>
      <c r="D79" s="30" t="inlineStr">
        <is>
          <t>Accent Microcell Ltd</t>
        </is>
      </c>
      <c r="E79" s="30" t="inlineStr">
        <is>
          <t>unknown</t>
        </is>
      </c>
      <c r="F79" s="30" t="inlineStr">
        <is>
          <t>Pharma - Formulators</t>
        </is>
      </c>
      <c r="G79" s="30" t="inlineStr">
        <is>
          <t>smallcap</t>
        </is>
      </c>
      <c r="H79" s="31" t="n">
        <v>1090.66</v>
      </c>
      <c r="I79" s="31" t="n">
        <v>454.65</v>
      </c>
      <c r="J79" s="31" t="n">
        <v>4.45</v>
      </c>
      <c r="K79" s="31" t="n">
        <v>0</v>
      </c>
      <c r="L79" s="30" t="n">
        <v>70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59.95</v>
      </c>
      <c r="P79" s="31" t="n">
        <v>55.49</v>
      </c>
      <c r="Q79" s="31" t="n">
        <v>369.16</v>
      </c>
      <c r="R79" s="30" t="inlineStr">
        <is>
          <t>Earnings / Momentum Support</t>
        </is>
      </c>
      <c r="S79" s="30" t="inlineStr">
        <is>
          <t>Nifty 50</t>
        </is>
      </c>
      <c r="T79" s="31" t="n">
        <v>-3.76</v>
      </c>
      <c r="U79" s="31" t="n">
        <v>100.04</v>
      </c>
      <c r="V79" s="31" t="n">
        <v>107.86</v>
      </c>
      <c r="W79" s="31" t="n">
        <v>19.6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Yes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No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Negative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20</t>
        </is>
      </c>
      <c r="CG79" s="30">
        <f>IF(CF79&gt;20,10,IF(CF79&gt;=10,5,2))</f>
        <v/>
      </c>
    </row>
    <row r="80">
      <c r="A80" s="30">
        <f>IF(B80=0,"",RANK(B80,$B$2:$B$96,0))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JNKINDIA</t>
        </is>
      </c>
      <c r="D80" s="30" t="inlineStr">
        <is>
          <t>JNK India Ltd</t>
        </is>
      </c>
      <c r="E80" s="30" t="inlineStr">
        <is>
          <t>realty</t>
        </is>
      </c>
      <c r="F80" s="30" t="inlineStr">
        <is>
          <t>Capital Goods - Engineering Heavy</t>
        </is>
      </c>
      <c r="G80" s="30" t="inlineStr">
        <is>
          <t>smallcap</t>
        </is>
      </c>
      <c r="H80" s="31" t="n">
        <v>2613.05</v>
      </c>
      <c r="I80" s="31" t="n">
        <v>467</v>
      </c>
      <c r="J80" s="31" t="n">
        <v>-0.89</v>
      </c>
      <c r="K80" s="31" t="n">
        <v>0</v>
      </c>
      <c r="L80" s="30" t="n">
        <v>88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69.70999999999999</v>
      </c>
      <c r="P80" s="31" t="n">
        <v>32.47</v>
      </c>
      <c r="Q80" s="31" t="n">
        <v>354.94</v>
      </c>
      <c r="R80" s="30" t="inlineStr">
        <is>
          <t>Earnings / Momentum Support</t>
        </is>
      </c>
      <c r="S80" s="30" t="inlineStr">
        <is>
          <t>Nifty Realty</t>
        </is>
      </c>
      <c r="T80" s="31" t="n">
        <v>-19.08</v>
      </c>
      <c r="U80" s="31" t="n">
        <v>29.76</v>
      </c>
      <c r="V80" s="31" t="n">
        <v>60.36</v>
      </c>
      <c r="W80" s="31" t="n">
        <v>31.56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Negative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31</t>
        </is>
      </c>
      <c r="CG80" s="30">
        <f>IF(CF80&gt;20,10,IF(CF80&gt;=10,5,2))</f>
        <v/>
      </c>
    </row>
    <row r="81">
      <c r="A81" s="30">
        <f>IF(B81=0,"",RANK(B81,$B$2:$B$96,0))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2" t="inlineStr">
        <is>
          <t>AEROENTER</t>
        </is>
      </c>
      <c r="D81" s="32" t="inlineStr">
        <is>
          <t>Aeroflex Enterprises Ltd</t>
        </is>
      </c>
      <c r="E81" s="30" t="inlineStr">
        <is>
          <t>metals &amp; mining</t>
        </is>
      </c>
      <c r="F81" s="30" t="inlineStr">
        <is>
          <t>Miscellaneous</t>
        </is>
      </c>
      <c r="G81" s="30" t="inlineStr">
        <is>
          <t>smallcap</t>
        </is>
      </c>
      <c r="H81" s="31" t="n">
        <v>1407</v>
      </c>
      <c r="I81" s="31" t="n">
        <v>124.42</v>
      </c>
      <c r="J81" s="31" t="n">
        <v>7.58</v>
      </c>
      <c r="K81" s="31" t="n">
        <v>0</v>
      </c>
      <c r="L81" s="30" t="n">
        <v>78</v>
      </c>
      <c r="M81" s="30" t="inlineStr">
        <is>
          <t>Underperforming</t>
        </is>
      </c>
      <c r="N81" s="31">
        <f>IF(M81="Underperforming",-5,IF(L81&gt;=95,15,IF(L81&gt;=90,10,IF(L81&gt;=80,5,0))))</f>
        <v/>
      </c>
      <c r="O81" s="31" t="n">
        <v>71.53</v>
      </c>
      <c r="P81" s="31" t="n">
        <v>35.55</v>
      </c>
      <c r="Q81" s="31" t="n">
        <v>91.01000000000001</v>
      </c>
      <c r="R81" s="30" t="inlineStr">
        <is>
          <t>Volume Spike &amp; Near 52W High Breakout</t>
        </is>
      </c>
      <c r="S81" s="30" t="inlineStr">
        <is>
          <t>Nifty Metal</t>
        </is>
      </c>
      <c r="T81" s="31" t="n">
        <v>42.37</v>
      </c>
      <c r="U81" s="31" t="n">
        <v>26.68</v>
      </c>
      <c r="V81" s="31" t="n">
        <v>-11.02</v>
      </c>
      <c r="W81" s="31" t="n">
        <v>22.94</v>
      </c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Cyclical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Volatile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Less than 50%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23</t>
        </is>
      </c>
      <c r="CG81" s="30">
        <f>IF(CF81&gt;20,10,IF(CF81&gt;=10,5,2))</f>
        <v/>
      </c>
    </row>
    <row r="82">
      <c r="A82" s="30">
        <f>IF(B82=0,"",RANK(B82,$B$2:$B$96,0))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SOTL</t>
        </is>
      </c>
      <c r="D82" s="30" t="inlineStr">
        <is>
          <t>Savita Oil Technologies Ltd</t>
        </is>
      </c>
      <c r="E82" s="30" t="inlineStr">
        <is>
          <t>energy</t>
        </is>
      </c>
      <c r="F82" s="30" t="inlineStr">
        <is>
          <t>Petrochem - Others</t>
        </is>
      </c>
      <c r="G82" s="30" t="inlineStr">
        <is>
          <t>smallcap</t>
        </is>
      </c>
      <c r="H82" s="31" t="n">
        <v>4040.95</v>
      </c>
      <c r="I82" s="31" t="n">
        <v>589.4</v>
      </c>
      <c r="J82" s="31" t="n">
        <v>-3.49</v>
      </c>
      <c r="K82" s="31" t="n">
        <v>0</v>
      </c>
      <c r="L82" s="30" t="n">
        <v>81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76.67</v>
      </c>
      <c r="P82" s="31" t="n">
        <v>31.46</v>
      </c>
      <c r="Q82" s="31" t="n">
        <v>447.89</v>
      </c>
      <c r="R82" s="30" t="inlineStr">
        <is>
          <t>Near 52W High Breakout</t>
        </is>
      </c>
      <c r="S82" s="30" t="inlineStr">
        <is>
          <t>Nifty Energy</t>
        </is>
      </c>
      <c r="T82" s="31" t="n">
        <v>13.64</v>
      </c>
      <c r="U82" s="31" t="n">
        <v>43.64</v>
      </c>
      <c r="V82" s="31" t="n">
        <v>26.4</v>
      </c>
      <c r="W82" s="31" t="n">
        <v>25.35</v>
      </c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Oligopoly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Yes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Cyclical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Volatile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Above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Between 50% to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21</t>
        </is>
      </c>
      <c r="CG82" s="30">
        <f>IF(CF82&gt;20,10,IF(CF82&gt;=10,5,2))</f>
        <v/>
      </c>
    </row>
    <row r="83">
      <c r="A83" s="30">
        <f>IF(B83=0,"",RANK(B83,$B$2:$B$96,0))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3" t="inlineStr">
        <is>
          <t>RML</t>
        </is>
      </c>
      <c r="D83" s="33" t="inlineStr">
        <is>
          <t>Rane (Madras) Ltd</t>
        </is>
      </c>
      <c r="E83" s="30" t="inlineStr">
        <is>
          <t>auto</t>
        </is>
      </c>
      <c r="F83" s="30" t="inlineStr">
        <is>
          <t>Auto Ancillaries - Gears</t>
        </is>
      </c>
      <c r="G83" s="30" t="inlineStr">
        <is>
          <t>smallcap</t>
        </is>
      </c>
      <c r="H83" s="31" t="n">
        <v>2727.09</v>
      </c>
      <c r="I83" s="31" t="n">
        <v>986.75</v>
      </c>
      <c r="J83" s="31" t="n">
        <v>0.83</v>
      </c>
      <c r="K83" s="31" t="n">
        <v>0</v>
      </c>
      <c r="L83" s="30" t="n">
        <v>40</v>
      </c>
      <c r="M83" s="30" t="inlineStr">
        <is>
          <t>Underperforming</t>
        </is>
      </c>
      <c r="N83" s="31">
        <f>IF(M83="Underperforming",-5,IF(L83&gt;=95,15,IF(L83&gt;=90,10,IF(L83&gt;=80,5,0))))</f>
        <v/>
      </c>
      <c r="O83" s="31" t="n">
        <v>66.41</v>
      </c>
      <c r="P83" s="31" t="n">
        <v>22.1</v>
      </c>
      <c r="Q83" s="31" t="n">
        <v>786.75</v>
      </c>
      <c r="R83" s="30" t="inlineStr">
        <is>
          <t>Near 52W High Breakout</t>
        </is>
      </c>
      <c r="S83" s="30" t="inlineStr">
        <is>
          <t>Nifty Auto</t>
        </is>
      </c>
      <c r="T83" s="31" t="n">
        <v>12.95</v>
      </c>
      <c r="U83" s="31" t="n">
        <v>8.15</v>
      </c>
      <c r="V83" s="31" t="n">
        <v>-4.25</v>
      </c>
      <c r="W83" s="31" t="n">
        <v>10.14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Less than 12%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Between 50% to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Between 0.7 to 1.2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21</t>
        </is>
      </c>
      <c r="CG83" s="30">
        <f>IF(CF83&gt;20,10,IF(CF83&gt;=10,5,2))</f>
        <v/>
      </c>
    </row>
    <row r="84">
      <c r="A84" s="30">
        <f>IF(B84=0,"",RANK(B84,$B$2:$B$96,0))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0" t="inlineStr">
        <is>
          <t>TBZ</t>
        </is>
      </c>
      <c r="D84" s="30" t="inlineStr">
        <is>
          <t>Tribhovandas Bhimji Zaveri Ltd</t>
        </is>
      </c>
      <c r="E84" s="30" t="inlineStr">
        <is>
          <t>consumer discretionary</t>
        </is>
      </c>
      <c r="F84" s="30" t="inlineStr">
        <is>
          <t>Diamond, Gems &amp; Jewellery</t>
        </is>
      </c>
      <c r="G84" s="30" t="inlineStr">
        <is>
          <t>smallcap</t>
        </is>
      </c>
      <c r="H84" s="31" t="n">
        <v>1265.68</v>
      </c>
      <c r="I84" s="31" t="n">
        <v>189.67</v>
      </c>
      <c r="J84" s="31" t="n">
        <v>-2.43</v>
      </c>
      <c r="K84" s="31" t="n">
        <v>0</v>
      </c>
      <c r="L84" s="30" t="n">
        <v>49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63.92</v>
      </c>
      <c r="P84" s="31" t="n">
        <v>15.54</v>
      </c>
      <c r="Q84" s="31" t="n">
        <v>138.41</v>
      </c>
      <c r="R84" s="30" t="inlineStr">
        <is>
          <t>Near 52W High Breakout</t>
        </is>
      </c>
      <c r="S84" s="30" t="inlineStr">
        <is>
          <t>Nifty 50</t>
        </is>
      </c>
      <c r="T84" s="31" t="n">
        <v>-3.76</v>
      </c>
      <c r="U84" s="31" t="n">
        <v>2.99</v>
      </c>
      <c r="V84" s="31" t="n">
        <v>7.01</v>
      </c>
      <c r="W84" s="31" t="n">
        <v>12.36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0 to 20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Less than 50% and Borrowings are increasing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Between 0.7 to 1.2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21</t>
        </is>
      </c>
      <c r="CG84" s="30">
        <f>IF(CF84&gt;20,10,IF(CF84&gt;=10,5,2))</f>
        <v/>
      </c>
    </row>
    <row r="85">
      <c r="A85" s="30">
        <f>IF(B85=0,"",RANK(B85,$B$2:$B$96,0))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DIACABS</t>
        </is>
      </c>
      <c r="D85" s="30" t="inlineStr">
        <is>
          <t>Diamond Power Infrastructure Ltd</t>
        </is>
      </c>
      <c r="E85" s="30" t="inlineStr">
        <is>
          <t>industrials</t>
        </is>
      </c>
      <c r="F85" s="30" t="inlineStr">
        <is>
          <t>Cables - Power</t>
        </is>
      </c>
      <c r="G85" s="30" t="inlineStr">
        <is>
          <t>midcap</t>
        </is>
      </c>
      <c r="H85" s="31" t="n">
        <v>10657.99</v>
      </c>
      <c r="I85" s="31" t="n">
        <v>202.25</v>
      </c>
      <c r="J85" s="31" t="n">
        <v>-1.11</v>
      </c>
      <c r="K85" s="31" t="n">
        <v>0</v>
      </c>
      <c r="L85" s="30" t="n">
        <v>87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75.23999999999999</v>
      </c>
      <c r="P85" s="31" t="n">
        <v>35.79</v>
      </c>
      <c r="Q85" s="31" t="n">
        <v>150.54</v>
      </c>
      <c r="R85" s="30" t="inlineStr">
        <is>
          <t>Near 52W High Breakout</t>
        </is>
      </c>
      <c r="S85" s="30" t="inlineStr">
        <is>
          <t>Nifty Energy</t>
        </is>
      </c>
      <c r="T85" s="31" t="n">
        <v>13.64</v>
      </c>
      <c r="U85" s="31" t="n">
        <v>94.95999999999999</v>
      </c>
      <c r="V85" s="31" t="n">
        <v>71.55</v>
      </c>
      <c r="W85" s="31" t="n">
        <v>30.3</v>
      </c>
      <c r="X85" s="30" t="inlineStr">
        <is>
          <t>Cyclical in an Upturn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Negative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20</t>
        </is>
      </c>
      <c r="CG85" s="30">
        <f>IF(CF85&gt;20,10,IF(CF85&gt;=10,5,2))</f>
        <v/>
      </c>
    </row>
    <row r="86">
      <c r="A86" s="30">
        <f>IF(B86=0,"",RANK(B86,$B$2:$B$96,0))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SUNSHIEL</t>
        </is>
      </c>
      <c r="D86" s="30" t="inlineStr">
        <is>
          <t>Sunshield Chemicals Ltd</t>
        </is>
      </c>
      <c r="E86" s="30" t="inlineStr">
        <is>
          <t>Basic Materials</t>
        </is>
      </c>
      <c r="F86" s="30" t="inlineStr">
        <is>
          <t>Speciality Chemicals</t>
        </is>
      </c>
      <c r="G86" s="30" t="inlineStr">
        <is>
          <t>smallcap</t>
        </is>
      </c>
      <c r="H86" s="31" t="n">
        <v>1091.26</v>
      </c>
      <c r="I86" s="31" t="n">
        <v>1240.8</v>
      </c>
      <c r="J86" s="31" t="n">
        <v>0.4</v>
      </c>
      <c r="K86" s="31" t="n">
        <v>0</v>
      </c>
      <c r="L86" s="30" t="n">
        <v>79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75.04000000000001</v>
      </c>
      <c r="P86" s="31" t="n">
        <v>26.73</v>
      </c>
      <c r="Q86" s="31" t="n">
        <v>897.01</v>
      </c>
      <c r="R86" s="30" t="inlineStr">
        <is>
          <t>Near 52W High Breakout</t>
        </is>
      </c>
      <c r="S86" s="30" t="inlineStr">
        <is>
          <t>Nifty 50</t>
        </is>
      </c>
      <c r="T86" s="31" t="n">
        <v>-3.76</v>
      </c>
      <c r="U86" s="31" t="n">
        <v>59.47</v>
      </c>
      <c r="V86" s="31" t="n">
        <v>65.7</v>
      </c>
      <c r="W86" s="31" t="n">
        <v>23.77</v>
      </c>
      <c r="X86" s="30" t="inlineStr">
        <is>
          <t>Cyclical in an Upturn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Cyclical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Volatile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Less than 50%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20</t>
        </is>
      </c>
      <c r="CG86" s="30">
        <f>IF(CF86&gt;20,10,IF(CF86&gt;=10,5,2))</f>
        <v/>
      </c>
    </row>
    <row r="87">
      <c r="A87" s="30">
        <f>IF(B87=0,"",RANK(B87,$B$2:$B$96,0))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0" t="inlineStr">
        <is>
          <t>WHEELS</t>
        </is>
      </c>
      <c r="D87" s="30" t="inlineStr">
        <is>
          <t>Wheels India Ltd</t>
        </is>
      </c>
      <c r="E87" s="30" t="inlineStr">
        <is>
          <t>Consumer Cyclical</t>
        </is>
      </c>
      <c r="F87" s="30" t="inlineStr">
        <is>
          <t>Auto Ancillaries - Wheels</t>
        </is>
      </c>
      <c r="G87" s="30" t="inlineStr">
        <is>
          <t>smallcap</t>
        </is>
      </c>
      <c r="H87" s="31" t="n">
        <v>3731.41</v>
      </c>
      <c r="I87" s="31" t="n">
        <v>1527.2</v>
      </c>
      <c r="J87" s="31" t="n">
        <v>-1.9</v>
      </c>
      <c r="K87" s="31" t="n">
        <v>0</v>
      </c>
      <c r="L87" s="30" t="n">
        <v>82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66.51000000000001</v>
      </c>
      <c r="P87" s="31" t="n">
        <v>53.69</v>
      </c>
      <c r="Q87" s="31" t="n">
        <v>1269.89</v>
      </c>
      <c r="R87" s="30" t="inlineStr">
        <is>
          <t>Earnings / Momentum Support</t>
        </is>
      </c>
      <c r="S87" s="30" t="inlineStr">
        <is>
          <t>Nifty Auto</t>
        </is>
      </c>
      <c r="T87" s="31" t="n">
        <v>12.95</v>
      </c>
      <c r="U87" s="31" t="n">
        <v>104.1</v>
      </c>
      <c r="V87" s="31" t="n">
        <v>80.69</v>
      </c>
      <c r="W87" s="31" t="n">
        <v>26.29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B2C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Negative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Less than 12%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19</t>
        </is>
      </c>
      <c r="CG87" s="30">
        <f>IF(CF87&gt;20,10,IF(CF87&gt;=10,5,2))</f>
        <v/>
      </c>
    </row>
    <row r="88">
      <c r="A88" s="30">
        <f>IF(B88=0,"",RANK(B88,$B$2:$B$96,0))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DIFFNKG</t>
        </is>
      </c>
      <c r="D88" s="30" t="inlineStr">
        <is>
          <t>Diffusion Engineers Ltd</t>
        </is>
      </c>
      <c r="E88" s="30" t="inlineStr">
        <is>
          <t>industrials</t>
        </is>
      </c>
      <c r="F88" s="30" t="inlineStr">
        <is>
          <t>Welding Equipments</t>
        </is>
      </c>
      <c r="G88" s="30" t="inlineStr">
        <is>
          <t>smallcap</t>
        </is>
      </c>
      <c r="H88" s="31" t="n">
        <v>1393.19</v>
      </c>
      <c r="I88" s="31" t="n">
        <v>372.25</v>
      </c>
      <c r="J88" s="31" t="n">
        <v>-3.02</v>
      </c>
      <c r="K88" s="31" t="n">
        <v>0</v>
      </c>
      <c r="L88" s="30" t="n">
        <v>64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66.95</v>
      </c>
      <c r="P88" s="31" t="n">
        <v>16.24</v>
      </c>
      <c r="Q88" s="31" t="n">
        <v>275.75</v>
      </c>
      <c r="R88" s="30" t="inlineStr">
        <is>
          <t>Earnings / Momentum Support</t>
        </is>
      </c>
      <c r="S88" s="30" t="inlineStr">
        <is>
          <t>Nifty Infra</t>
        </is>
      </c>
      <c r="T88" s="31" t="n">
        <v>4.04</v>
      </c>
      <c r="U88" s="31" t="n">
        <v>22.78</v>
      </c>
      <c r="V88" s="31" t="n">
        <v>18</v>
      </c>
      <c r="W88" s="31" t="n">
        <v>16.64</v>
      </c>
      <c r="X88" s="30" t="inlineStr">
        <is>
          <t>Cyclical in an Upturn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0 to 20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Less than 50%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18</t>
        </is>
      </c>
      <c r="CG88" s="30">
        <f>IF(CF88&gt;20,10,IF(CF88&gt;=10,5,2))</f>
        <v/>
      </c>
    </row>
    <row r="89">
      <c r="A89" s="30">
        <f>IF(B89=0,"",RANK(B89,$B$2:$B$96,0))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0" t="inlineStr">
        <is>
          <t>PANAMAPET</t>
        </is>
      </c>
      <c r="D89" s="30" t="inlineStr">
        <is>
          <t>Panama Petrochem Ltd</t>
        </is>
      </c>
      <c r="E89" s="30" t="inlineStr">
        <is>
          <t>energy</t>
        </is>
      </c>
      <c r="F89" s="30" t="inlineStr">
        <is>
          <t>Speciality Chemicals</t>
        </is>
      </c>
      <c r="G89" s="30" t="inlineStr">
        <is>
          <t>smallcap</t>
        </is>
      </c>
      <c r="H89" s="31" t="n">
        <v>2469.65</v>
      </c>
      <c r="I89" s="31" t="n">
        <v>408.25</v>
      </c>
      <c r="J89" s="31" t="n">
        <v>9.130000000000001</v>
      </c>
      <c r="K89" s="31" t="n">
        <v>0</v>
      </c>
      <c r="L89" s="30" t="n">
        <v>63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74.73999999999999</v>
      </c>
      <c r="P89" s="31" t="n">
        <v>23</v>
      </c>
      <c r="Q89" s="31" t="n">
        <v>306.97</v>
      </c>
      <c r="R89" s="30" t="inlineStr">
        <is>
          <t>Near 52W High Breakout</t>
        </is>
      </c>
      <c r="S89" s="30" t="inlineStr">
        <is>
          <t>Nifty Energy</t>
        </is>
      </c>
      <c r="T89" s="31" t="n">
        <v>13.64</v>
      </c>
      <c r="U89" s="31" t="n">
        <v>13.77</v>
      </c>
      <c r="V89" s="31" t="n">
        <v>0.11</v>
      </c>
      <c r="W89" s="31" t="n">
        <v>16.36</v>
      </c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Oligopoly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Yes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Cyclical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Volatile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Negative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24</t>
        </is>
      </c>
      <c r="CG89" s="30">
        <f>IF(CF89&gt;20,10,IF(CF89&gt;=10,5,2))</f>
        <v/>
      </c>
    </row>
    <row r="90">
      <c r="A90" s="30">
        <f>IF(B90=0,"",RANK(B90,$B$2:$B$96,0))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3" t="inlineStr">
        <is>
          <t>WELSPLSOL</t>
        </is>
      </c>
      <c r="D90" s="33" t="inlineStr">
        <is>
          <t>Welspun Specialty Solutions Ltd</t>
        </is>
      </c>
      <c r="E90" s="30" t="inlineStr">
        <is>
          <t>Basic Materials</t>
        </is>
      </c>
      <c r="F90" s="30" t="inlineStr">
        <is>
          <t>Steel - Tubes/Pipes</t>
        </is>
      </c>
      <c r="G90" s="30" t="inlineStr">
        <is>
          <t>smallcap</t>
        </is>
      </c>
      <c r="H90" s="31" t="n">
        <v>4004.82</v>
      </c>
      <c r="I90" s="31" t="n">
        <v>60.44</v>
      </c>
      <c r="J90" s="31" t="n">
        <v>0.77</v>
      </c>
      <c r="K90" s="31" t="n">
        <v>0</v>
      </c>
      <c r="L90" s="30" t="n">
        <v>87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79.42</v>
      </c>
      <c r="P90" s="31" t="n">
        <v>33.01</v>
      </c>
      <c r="Q90" s="31" t="n">
        <v>44.26</v>
      </c>
      <c r="R90" s="30" t="inlineStr">
        <is>
          <t>Volume Spike &amp; Near 52W High Breakout</t>
        </is>
      </c>
      <c r="S90" s="30" t="inlineStr">
        <is>
          <t>Nifty Metal</t>
        </is>
      </c>
      <c r="T90" s="31" t="n">
        <v>42.37</v>
      </c>
      <c r="U90" s="31" t="n">
        <v>75.36</v>
      </c>
      <c r="V90" s="31" t="n">
        <v>23.17</v>
      </c>
      <c r="W90" s="31" t="n">
        <v>30.58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Cyclical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Volatile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Above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Blue sky scenario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Less than 12%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19</t>
        </is>
      </c>
      <c r="CG90" s="30">
        <f>IF(CF90&gt;20,10,IF(CF90&gt;=10,5,2))</f>
        <v/>
      </c>
    </row>
    <row r="91">
      <c r="A91" s="30">
        <f>IF(B91=0,"",RANK(B91,$B$2:$B$96,0))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0" t="inlineStr">
        <is>
          <t>VINCOFE</t>
        </is>
      </c>
      <c r="D91" s="30" t="inlineStr">
        <is>
          <t>Vintage Coffee &amp; Beverages Ltd</t>
        </is>
      </c>
      <c r="E91" s="30" t="inlineStr">
        <is>
          <t>consumer discretionary</t>
        </is>
      </c>
      <c r="F91" s="30" t="inlineStr">
        <is>
          <t>FMCG - Coffee</t>
        </is>
      </c>
      <c r="G91" s="30" t="inlineStr">
        <is>
          <t>smallcap</t>
        </is>
      </c>
      <c r="H91" s="31" t="n">
        <v>2201.35</v>
      </c>
      <c r="I91" s="31" t="n">
        <v>151.1</v>
      </c>
      <c r="J91" s="31" t="n">
        <v>-2.01</v>
      </c>
      <c r="K91" s="31" t="n">
        <v>0</v>
      </c>
      <c r="L91" s="30" t="n">
        <v>34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55.09</v>
      </c>
      <c r="P91" s="31" t="n">
        <v>13.94</v>
      </c>
      <c r="Q91" s="31" t="n">
        <v>118.78</v>
      </c>
      <c r="R91" s="30" t="inlineStr">
        <is>
          <t>Earnings / Momentum Support</t>
        </is>
      </c>
      <c r="S91" s="30" t="inlineStr">
        <is>
          <t>Nifty 50</t>
        </is>
      </c>
      <c r="T91" s="31" t="n">
        <v>-3.76</v>
      </c>
      <c r="U91" s="31" t="n">
        <v>26.41</v>
      </c>
      <c r="V91" s="31" t="n">
        <v>31.35</v>
      </c>
      <c r="W91" s="31" t="n">
        <v>8.69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Headwind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B2C</t>
        </is>
      </c>
      <c r="AO91" s="30">
        <f>IF(AN91="B2C",10,IF(AN91="B2B",5,0))</f>
        <v/>
      </c>
      <c r="AP91" s="30" t="inlineStr">
        <is>
          <t>No</t>
        </is>
      </c>
      <c r="AQ91" s="30">
        <f>IF(AP91="Yes",10,0)</f>
        <v/>
      </c>
      <c r="AR91" s="30" t="inlineStr">
        <is>
          <t>Higher Annuity, Lower One Time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0 to 20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Between 12 to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Between 1.5 to 2</t>
        </is>
      </c>
      <c r="BU91" s="30">
        <f>IF(BT91="Above 2",0,IF(BT91="Between 1.5 to 2",5,IF(BT91="Less than 1.5",10,0)))</f>
        <v/>
      </c>
      <c r="BV91" s="30" t="inlineStr">
        <is>
          <t>Less than 50%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18</t>
        </is>
      </c>
      <c r="CG91" s="30">
        <f>IF(CF91&gt;20,10,IF(CF91&gt;=10,5,2))</f>
        <v/>
      </c>
    </row>
    <row r="92">
      <c r="A92" s="30">
        <f>IF(B92=0,"",RANK(B92,$B$2:$B$96,0))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0" t="inlineStr">
        <is>
          <t>MSTCLTD</t>
        </is>
      </c>
      <c r="D92" s="30" t="inlineStr">
        <is>
          <t>MSTC Ltd</t>
        </is>
      </c>
      <c r="E92" s="30" t="inlineStr">
        <is>
          <t>i.t</t>
        </is>
      </c>
      <c r="F92" s="30" t="inlineStr">
        <is>
          <t>E-Commerce - Platform - Utility</t>
        </is>
      </c>
      <c r="G92" s="30" t="inlineStr">
        <is>
          <t>smallcap</t>
        </is>
      </c>
      <c r="H92" s="31" t="n">
        <v>4840.7</v>
      </c>
      <c r="I92" s="31" t="n">
        <v>687.6</v>
      </c>
      <c r="J92" s="31" t="n">
        <v>-0.03</v>
      </c>
      <c r="K92" s="31" t="n">
        <v>0</v>
      </c>
      <c r="L92" s="30" t="n">
        <v>77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75.09999999999999</v>
      </c>
      <c r="P92" s="31" t="n">
        <v>20.4</v>
      </c>
      <c r="Q92" s="31" t="n">
        <v>530.71</v>
      </c>
      <c r="R92" s="30" t="inlineStr">
        <is>
          <t>Volume Spike &amp; Near 52W High Breakout</t>
        </is>
      </c>
      <c r="S92" s="30" t="inlineStr">
        <is>
          <t>Nifty IT</t>
        </is>
      </c>
      <c r="T92" s="31" t="n">
        <v>-26.99</v>
      </c>
      <c r="U92" s="31" t="n">
        <v>39</v>
      </c>
      <c r="V92" s="31" t="n">
        <v>90.40000000000001</v>
      </c>
      <c r="W92" s="31" t="n">
        <v>22.92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Oligopoly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Less than 12%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Negative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20</t>
        </is>
      </c>
      <c r="CG92" s="30">
        <f>IF(CF92&gt;20,10,IF(CF92&gt;=10,5,2))</f>
        <v/>
      </c>
    </row>
    <row r="93">
      <c r="A93" s="30">
        <f>IF(B93=0,"",RANK(B93,$B$2:$B$96,0))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2" t="inlineStr">
        <is>
          <t>LLOYDSME</t>
        </is>
      </c>
      <c r="D93" s="32" t="inlineStr">
        <is>
          <t>Lloyds Metals &amp; Energy Ltd</t>
        </is>
      </c>
      <c r="E93" s="30" t="inlineStr">
        <is>
          <t>Basic Materials</t>
        </is>
      </c>
      <c r="F93" s="30" t="inlineStr">
        <is>
          <t>Mining/Minerals - Iron Ore</t>
        </is>
      </c>
      <c r="G93" s="30" t="inlineStr">
        <is>
          <t>largecap</t>
        </is>
      </c>
      <c r="H93" s="31" t="n">
        <v>98836.32000000001</v>
      </c>
      <c r="I93" s="31" t="n">
        <v>1756.2</v>
      </c>
      <c r="J93" s="31" t="n">
        <v>0.11</v>
      </c>
      <c r="K93" s="31" t="n">
        <v>0</v>
      </c>
      <c r="L93" s="30" t="n">
        <v>52</v>
      </c>
      <c r="M93" s="30" t="inlineStr">
        <is>
          <t>Underperforming</t>
        </is>
      </c>
      <c r="N93" s="31">
        <f>IF(M93="Underperforming",-5,IF(L93&gt;=95,15,IF(L93&gt;=90,10,IF(L93&gt;=80,5,0))))</f>
        <v/>
      </c>
      <c r="O93" s="31" t="n">
        <v>68.39</v>
      </c>
      <c r="P93" s="31" t="n">
        <v>40.59</v>
      </c>
      <c r="Q93" s="31" t="n">
        <v>1461.15</v>
      </c>
      <c r="R93" s="30" t="inlineStr">
        <is>
          <t>Near 52W High Breakout</t>
        </is>
      </c>
      <c r="S93" s="30" t="inlineStr">
        <is>
          <t>Nifty Metal</t>
        </is>
      </c>
      <c r="T93" s="31" t="n">
        <v>42.37</v>
      </c>
      <c r="U93" s="31" t="n">
        <v>19.71</v>
      </c>
      <c r="V93" s="31" t="n">
        <v>-15.91</v>
      </c>
      <c r="W93" s="31" t="n">
        <v>13.26</v>
      </c>
      <c r="X93" s="30" t="inlineStr">
        <is>
          <t>Cyclical in an Upturn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Cyclical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Volatile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Less than 50% and Borrowings are increasing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More than 1.2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  <c r="CF93" s="30" t="inlineStr">
        <is>
          <t>20</t>
        </is>
      </c>
      <c r="CG93" s="30">
        <f>IF(CF93&gt;20,10,IF(CF93&gt;=10,5,2))</f>
        <v/>
      </c>
    </row>
    <row r="94">
      <c r="A94" s="30">
        <f>IF(B94=0,"",RANK(B94,$B$2:$B$96,0))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3" t="inlineStr">
        <is>
          <t>LLOYDSENT</t>
        </is>
      </c>
      <c r="D94" s="33" t="inlineStr">
        <is>
          <t>Lloyds Enterprises Ltd</t>
        </is>
      </c>
      <c r="E94" s="30" t="inlineStr">
        <is>
          <t>Basic Materials</t>
        </is>
      </c>
      <c r="F94" s="30" t="inlineStr">
        <is>
          <t>Trading</t>
        </is>
      </c>
      <c r="G94" s="30" t="inlineStr">
        <is>
          <t>midcap</t>
        </is>
      </c>
      <c r="H94" s="31" t="n">
        <v>11565.93</v>
      </c>
      <c r="I94" s="31" t="n">
        <v>76.95</v>
      </c>
      <c r="J94" s="31" t="n">
        <v>1.84</v>
      </c>
      <c r="K94" s="31" t="n">
        <v>0</v>
      </c>
      <c r="L94" s="30" t="n">
        <v>72</v>
      </c>
      <c r="M94" s="30" t="inlineStr">
        <is>
          <t>Underperforming</t>
        </is>
      </c>
      <c r="N94" s="31">
        <f>IF(M94="Underperforming",-5,IF(L94&gt;=95,15,IF(L94&gt;=90,10,IF(L94&gt;=80,5,0))))</f>
        <v/>
      </c>
      <c r="O94" s="31" t="n">
        <v>63.33</v>
      </c>
      <c r="P94" s="31" t="n">
        <v>26.51</v>
      </c>
      <c r="Q94" s="31" t="n">
        <v>55.58</v>
      </c>
      <c r="R94" s="30" t="inlineStr">
        <is>
          <t>Volume Spike / Accumulation</t>
        </is>
      </c>
      <c r="S94" s="30" t="inlineStr">
        <is>
          <t>Nifty Metal</t>
        </is>
      </c>
      <c r="T94" s="31" t="n">
        <v>42.37</v>
      </c>
      <c r="U94" s="31" t="n">
        <v>9.65</v>
      </c>
      <c r="V94" s="31" t="n">
        <v>-22.98</v>
      </c>
      <c r="W94" s="31" t="n">
        <v>20.82</v>
      </c>
      <c r="X94" s="30" t="inlineStr">
        <is>
          <t>Cyclical in an Upturn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Cyclical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Volatile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20 to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Negative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  <c r="CF94" s="30" t="inlineStr">
        <is>
          <t>19</t>
        </is>
      </c>
      <c r="CG94" s="30">
        <f>IF(CF94&gt;20,10,IF(CF94&gt;=10,5,2))</f>
        <v/>
      </c>
    </row>
    <row r="95">
      <c r="A95" s="30">
        <f>IF(B95=0,"",RANK(B95,$B$2:$B$96,0))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3" t="inlineStr">
        <is>
          <t>V2RETAIL</t>
        </is>
      </c>
      <c r="D95" s="33" t="inlineStr">
        <is>
          <t>V2 Retail Ltd</t>
        </is>
      </c>
      <c r="E95" s="30" t="inlineStr">
        <is>
          <t>Consumer Cyclical</t>
        </is>
      </c>
      <c r="F95" s="30" t="inlineStr">
        <is>
          <t>Textiles - Readymade Apparel</t>
        </is>
      </c>
      <c r="G95" s="30" t="inlineStr">
        <is>
          <t>midcap</t>
        </is>
      </c>
      <c r="H95" s="31" t="n">
        <v>8402.709999999999</v>
      </c>
      <c r="I95" s="31" t="n">
        <v>230.44</v>
      </c>
      <c r="J95" s="31" t="n">
        <v>0.33</v>
      </c>
      <c r="K95" s="31" t="n">
        <v>0</v>
      </c>
      <c r="L95" s="30" t="n">
        <v>38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56.89</v>
      </c>
      <c r="P95" s="31" t="n">
        <v>31.4</v>
      </c>
      <c r="Q95" s="31" t="n">
        <v>182.06</v>
      </c>
      <c r="R95" s="30" t="inlineStr">
        <is>
          <t>Earnings / Momentum Support</t>
        </is>
      </c>
      <c r="S95" s="30" t="inlineStr">
        <is>
          <t>Nifty 50</t>
        </is>
      </c>
      <c r="T95" s="31" t="n">
        <v>-3.76</v>
      </c>
      <c r="U95" s="31" t="n">
        <v>25.45</v>
      </c>
      <c r="V95" s="31" t="n">
        <v>30.35</v>
      </c>
      <c r="W95" s="31" t="n">
        <v>9.56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Headwind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B2C</t>
        </is>
      </c>
      <c r="AO95" s="30">
        <f>IF(AN95="B2C",10,IF(AN95="B2B",5,0))</f>
        <v/>
      </c>
      <c r="AP95" s="30" t="inlineStr">
        <is>
          <t>No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20 to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Negative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Close to 52 week high or retracement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Negative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Between 0.7 to 1.2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  <c r="CF95" s="30" t="inlineStr">
        <is>
          <t>19</t>
        </is>
      </c>
      <c r="CG95" s="30">
        <f>IF(CF95&gt;20,10,IF(CF95&gt;=10,5,2))</f>
        <v/>
      </c>
    </row>
    <row r="96">
      <c r="A96" s="30">
        <f>IF(B96=0,"",RANK(B96,$B$2:$B$96,0))</f>
        <v/>
      </c>
      <c r="B96" s="31">
        <f>SUM(N96,Y96,AA96,AC96,AE96,AG96,AI96,AK96,AM96,AO96,AQ96,AS96,AU96,AW96,AY96,BA96,BC96,BE96,BG96,BI96,BK96,BM96,BO96,BQ96,BS96,BU96,BW96,BY96,CA96,CC96,CE96,CG96)</f>
        <v/>
      </c>
      <c r="C96" s="33" t="inlineStr">
        <is>
          <t>OBSCP</t>
        </is>
      </c>
      <c r="D96" s="33" t="inlineStr">
        <is>
          <t>OBSC Perfection Ltd</t>
        </is>
      </c>
      <c r="E96" s="30" t="inlineStr">
        <is>
          <t>unknown</t>
        </is>
      </c>
      <c r="F96" s="30" t="inlineStr">
        <is>
          <t>Auto Ancillaries - Diversified</t>
        </is>
      </c>
      <c r="G96" s="30" t="inlineStr">
        <is>
          <t>smallcap</t>
        </is>
      </c>
      <c r="H96" s="31" t="n">
        <v>1346.3</v>
      </c>
      <c r="I96" s="31" t="n">
        <v>520.9</v>
      </c>
      <c r="J96" s="31" t="n">
        <v>-2.58</v>
      </c>
      <c r="K96" s="31" t="n">
        <v>0</v>
      </c>
      <c r="L96" s="30" t="inlineStr"/>
      <c r="M96" s="30" t="inlineStr"/>
      <c r="N96" s="31">
        <f>IF(M96="Underperforming",-5,IF(L96&gt;=95,15,IF(L96&gt;=90,10,IF(L96&gt;=80,5,0))))</f>
        <v/>
      </c>
      <c r="O96" s="31" t="inlineStr"/>
      <c r="P96" s="31" t="inlineStr"/>
      <c r="Q96" s="31" t="inlineStr"/>
      <c r="R96" s="30" t="inlineStr"/>
      <c r="S96" s="30" t="inlineStr"/>
      <c r="T96" s="31" t="inlineStr"/>
      <c r="U96" s="31" t="inlineStr"/>
      <c r="V96" s="31" t="inlineStr"/>
      <c r="W96" s="31" t="inlineStr"/>
      <c r="X96" s="30" t="n"/>
      <c r="Y96" s="30">
        <f>IF(X96="Growing Industry",10,IF(X96="Cyclical in an Upturn",5,0))</f>
        <v/>
      </c>
      <c r="Z96" s="30" t="n"/>
      <c r="AA96" s="30">
        <f>IF(Z96="Monopoly",10,IF(Z96="Oligopoly",5,IF(Z96="Duopoly that cooperate",10,IF(Z96="Duopoly that compete",5,IF(Z96="Too many players with High ROCE",5,0)))))</f>
        <v/>
      </c>
      <c r="AB96" s="30" t="n"/>
      <c r="AC96" s="30">
        <f>IF(AB96="No",5,0)</f>
        <v/>
      </c>
      <c r="AD96" s="30" t="n"/>
      <c r="AE96" s="30">
        <f>IF(AD96="Tailwind",10,0)</f>
        <v/>
      </c>
      <c r="AF96" s="30" t="n"/>
      <c r="AG96" s="30">
        <f>IF(AF96="Structural (10 Years Consistency)",10,IF(AF96="Shallow Cyclical (2 to 3 years growth)",5,0))</f>
        <v/>
      </c>
      <c r="AH96" s="30" t="n"/>
      <c r="AI96" s="30">
        <f>IF(AH96="Yes due to Product Mix change or Operating Leverage",10,IF(AH96="Yes, these are peak margins",-5,IF(AH96="No",5,0)))</f>
        <v/>
      </c>
      <c r="AJ96" s="30" t="n"/>
      <c r="AK96" s="30">
        <f>IF(AJ96="Stable",10,0)</f>
        <v/>
      </c>
      <c r="AL96" s="30" t="n"/>
      <c r="AM96" s="30">
        <f>IF(AL96="Yes",10,0)</f>
        <v/>
      </c>
      <c r="AN96" s="30" t="n"/>
      <c r="AO96" s="30">
        <f>IF(AN96="B2C",10,IF(AN96="B2B",5,0))</f>
        <v/>
      </c>
      <c r="AP96" s="30" t="n"/>
      <c r="AQ96" s="30">
        <f>IF(AP96="Yes",10,0)</f>
        <v/>
      </c>
      <c r="AR96" s="30" t="n"/>
      <c r="AS96" s="30">
        <f>IF(AR96="Fully Annuity",10,IF(AR96="Higher Annuity, Lower One Time",5,IF(AR96="Higher One Time, Lower Annuity",3,0)))</f>
        <v/>
      </c>
      <c r="AT96" s="30" t="n"/>
      <c r="AU96" s="30">
        <f>IF(AT96="Good",10,0)</f>
        <v/>
      </c>
      <c r="AV96" s="30" t="n"/>
      <c r="AW96" s="30">
        <f>IF(AV96="Yes for more than 2 years",10,IF(AV96="Yes only for next 1 to 2 years",5,0))</f>
        <v/>
      </c>
      <c r="AX96" s="30" t="n"/>
      <c r="AY96" s="30">
        <f>IF(AX96="Above 40",20,IF(AX96="20 to 40",10,IF(AX96="0 to 20",-5,0)))</f>
        <v/>
      </c>
      <c r="AZ96" s="30" t="n"/>
      <c r="BA96" s="30">
        <f>IF(AZ96="Between 50 to 75",10,IF(AZ96="Above 75",0,0))</f>
        <v/>
      </c>
      <c r="BB96" s="30" t="n"/>
      <c r="BC96" s="30">
        <f>IF(BB96="Stage 2",20,IF(BB96="Stage 1",0,IF(BB96="Stage 3",5,IF(BB96="Stage 4",-5,0))))</f>
        <v/>
      </c>
      <c r="BD96" s="30" t="n"/>
      <c r="BE96" s="30">
        <f>IF(BD96="Positive Trend",20,IF(BD96="Negative Trend",-10,0))</f>
        <v/>
      </c>
      <c r="BF96" s="30" t="n"/>
      <c r="BG96" s="30">
        <f>IF(BF96="Uptrend",10,IF(BF96="Sideways",5,0))</f>
        <v/>
      </c>
      <c r="BH96" s="30" t="n"/>
      <c r="BI96" s="30">
        <f>IF(BH96="Uptrend",10,IF(BH96="Sideways",5,0))</f>
        <v/>
      </c>
      <c r="BJ96" s="30" t="n"/>
      <c r="BK96" s="30">
        <f>IF(BJ96="Overhead supply in last 2 years in last 2 years",-5,IF(BJ96="Close to 52 week high or retracement",5,IF(BJ96="Blue sky scenario",10,IF(BJ96="Long term Downtrend",-10,0))))</f>
        <v/>
      </c>
      <c r="BL96" s="30" t="n"/>
      <c r="BM96" s="30">
        <f>IF(BL96="Yes",10,0)</f>
        <v/>
      </c>
      <c r="BN96" s="30" t="n"/>
      <c r="BO96" s="30">
        <f>IF(BN96="More than 20%",10,IF(BN96="Between 12 to 20%",5,IF(BN96="Less than 12%",0,0)))</f>
        <v/>
      </c>
      <c r="BP96" s="30" t="n"/>
      <c r="BQ96" s="30">
        <f>IF(BP96="No",10,0)</f>
        <v/>
      </c>
      <c r="BR96" s="30" t="n"/>
      <c r="BS96" s="30">
        <f>IF(BR96="NO",5,0)</f>
        <v/>
      </c>
      <c r="BT96" s="30" t="n"/>
      <c r="BU96" s="30">
        <f>IF(BT96="Above 2",0,IF(BT96="Between 1.5 to 2",5,IF(BT96="Less than 1.5",10,0)))</f>
        <v/>
      </c>
      <c r="BV96" s="30" t="n"/>
      <c r="BW96" s="30">
        <f>IF(BV96="Above 70%",10,IF(BV96="Between 50% to 70%",5,IF(BV96="Less than 50%",0,IF(BV96="Negative",-10,IF(BV96="Less than 50% and Borrowings are increasing",-5,0)))))</f>
        <v/>
      </c>
      <c r="BX96" s="30" t="n"/>
      <c r="BY96" s="30">
        <f>IF(BX96="More than 1.2",-10,IF(BX96="Between 0.7 to 1.2",0,IF(BX96="Less than 0.7",10,0)))</f>
        <v/>
      </c>
      <c r="BZ96" s="30" t="n"/>
      <c r="CA96" s="30">
        <f>IF(BZ96="Yes",-10,0)</f>
        <v/>
      </c>
      <c r="CB96" s="30" t="n"/>
      <c r="CC96" s="30">
        <f>IF(CB96="More than 15%",-10,IF(CB96="Less than 15%",10,0))</f>
        <v/>
      </c>
      <c r="CD96" s="30" t="n"/>
      <c r="CE96" s="30">
        <f>IF(CD96="Yes, more than 10%",-10,IF(CD96="No",10,0))</f>
        <v/>
      </c>
      <c r="CF96" s="30" t="n"/>
      <c r="CG96" s="30">
        <f>IF(CF96&gt;20,10,IF(CF96&gt;=10,5,2))</f>
        <v/>
      </c>
    </row>
    <row r="100">
      <c r="A100" s="24" t="inlineStr">
        <is>
          <t>❌ REMOVED SCAN MATCH STOCKS (THIS WEEK)</t>
        </is>
      </c>
    </row>
    <row r="101">
      <c r="A101" s="34" t="inlineStr">
        <is>
          <t>Symbol</t>
        </is>
      </c>
      <c r="B101" s="34" t="inlineStr">
        <is>
          <t>Company Name</t>
        </is>
      </c>
      <c r="C101" s="34" t="inlineStr">
        <is>
          <t>Sector</t>
        </is>
      </c>
      <c r="D101" s="34" t="inlineStr">
        <is>
          <t>Date of Removal</t>
        </is>
      </c>
    </row>
    <row r="102">
      <c r="A102" s="35" t="inlineStr">
        <is>
          <t>ADFFOODS</t>
        </is>
      </c>
      <c r="B102" s="36" t="inlineStr">
        <is>
          <t>ADF Foods Limited</t>
        </is>
      </c>
      <c r="C102" s="36" t="inlineStr">
        <is>
          <t>Consumer Defensive</t>
        </is>
      </c>
      <c r="D102" s="37" t="inlineStr">
        <is>
          <t>2026-06-18</t>
        </is>
      </c>
    </row>
    <row r="103">
      <c r="A103" s="35" t="inlineStr">
        <is>
          <t>ADVAIT</t>
        </is>
      </c>
      <c r="B103" s="36" t="inlineStr">
        <is>
          <t>ADVAIT</t>
        </is>
      </c>
      <c r="C103" s="36" t="inlineStr">
        <is>
          <t>unknown</t>
        </is>
      </c>
      <c r="D103" s="37" t="inlineStr">
        <is>
          <t>2026-06-18</t>
        </is>
      </c>
    </row>
    <row r="104">
      <c r="A104" s="35" t="inlineStr">
        <is>
          <t>AKUMS</t>
        </is>
      </c>
      <c r="B104" s="36" t="inlineStr">
        <is>
          <t>AKUMS</t>
        </is>
      </c>
      <c r="C104" s="36" t="inlineStr">
        <is>
          <t>Healthcare</t>
        </is>
      </c>
      <c r="D104" s="37" t="inlineStr">
        <is>
          <t>2026-06-16</t>
        </is>
      </c>
    </row>
    <row r="105">
      <c r="A105" s="35" t="inlineStr">
        <is>
          <t>ATHERENERG</t>
        </is>
      </c>
      <c r="B105" s="36" t="inlineStr">
        <is>
          <t>ATHERENERG</t>
        </is>
      </c>
      <c r="C105" s="36" t="inlineStr">
        <is>
          <t>unknown</t>
        </is>
      </c>
      <c r="D105" s="37" t="inlineStr">
        <is>
          <t>2026-06-16</t>
        </is>
      </c>
    </row>
    <row r="106">
      <c r="A106" s="35" t="inlineStr">
        <is>
          <t>BSE</t>
        </is>
      </c>
      <c r="B106" s="36" t="inlineStr">
        <is>
          <t>BSE</t>
        </is>
      </c>
      <c r="C106" s="36" t="inlineStr">
        <is>
          <t>unknown</t>
        </is>
      </c>
      <c r="D106" s="37" t="inlineStr">
        <is>
          <t>2026-06-17</t>
        </is>
      </c>
    </row>
    <row r="107">
      <c r="A107" s="35" t="inlineStr">
        <is>
          <t>CEMPRO</t>
        </is>
      </c>
      <c r="B107" s="36" t="inlineStr">
        <is>
          <t>Cemindia Projects Limited</t>
        </is>
      </c>
      <c r="C107" s="36" t="inlineStr">
        <is>
          <t>Industrials</t>
        </is>
      </c>
      <c r="D107" s="37" t="inlineStr">
        <is>
          <t>2026-06-16</t>
        </is>
      </c>
    </row>
    <row r="108">
      <c r="A108" s="35" t="inlineStr">
        <is>
          <t>CHENNPETRO</t>
        </is>
      </c>
      <c r="B108" s="36" t="inlineStr">
        <is>
          <t>CHENNPETRO</t>
        </is>
      </c>
      <c r="C108" s="36" t="inlineStr">
        <is>
          <t>unknown</t>
        </is>
      </c>
      <c r="D108" s="37" t="inlineStr">
        <is>
          <t>2026-06-16</t>
        </is>
      </c>
    </row>
    <row r="109">
      <c r="A109" s="35" t="inlineStr">
        <is>
          <t>COCKERILL</t>
        </is>
      </c>
      <c r="B109" s="36" t="inlineStr">
        <is>
          <t>COCKERILL</t>
        </is>
      </c>
      <c r="C109" s="36" t="inlineStr">
        <is>
          <t>unknown</t>
        </is>
      </c>
      <c r="D109" s="37" t="inlineStr">
        <is>
          <t>2026-06-17</t>
        </is>
      </c>
    </row>
    <row r="110">
      <c r="A110" s="35" t="inlineStr">
        <is>
          <t>DIVGIITTS</t>
        </is>
      </c>
      <c r="B110" s="36" t="inlineStr">
        <is>
          <t>Divgi TorqTransfer Systems Limited</t>
        </is>
      </c>
      <c r="C110" s="36" t="inlineStr">
        <is>
          <t>Consumer Cyclical</t>
        </is>
      </c>
      <c r="D110" s="37" t="inlineStr">
        <is>
          <t>2026-06-17</t>
        </is>
      </c>
    </row>
    <row r="111">
      <c r="A111" s="35" t="inlineStr">
        <is>
          <t>HARSHA</t>
        </is>
      </c>
      <c r="B111" s="36" t="inlineStr">
        <is>
          <t>Harsha Engineers International Limited</t>
        </is>
      </c>
      <c r="C111" s="36" t="inlineStr">
        <is>
          <t>Industrials</t>
        </is>
      </c>
      <c r="D111" s="37" t="inlineStr">
        <is>
          <t>2026-06-17</t>
        </is>
      </c>
    </row>
    <row r="112">
      <c r="A112" s="35" t="inlineStr">
        <is>
          <t>INDNIPPON</t>
        </is>
      </c>
      <c r="B112" s="36" t="inlineStr">
        <is>
          <t>India Nippon Electricals Limited</t>
        </is>
      </c>
      <c r="C112" s="36" t="inlineStr">
        <is>
          <t>Consumer Cyclical</t>
        </is>
      </c>
      <c r="D112" s="37" t="inlineStr">
        <is>
          <t>2026-06-16</t>
        </is>
      </c>
    </row>
    <row r="113">
      <c r="A113" s="35" t="inlineStr">
        <is>
          <t>INDOBORAX</t>
        </is>
      </c>
      <c r="B113" s="36" t="inlineStr">
        <is>
          <t>Indo Borax &amp; Chemicals Limited</t>
        </is>
      </c>
      <c r="C113" s="36" t="inlineStr">
        <is>
          <t>Basic Materials</t>
        </is>
      </c>
      <c r="D113" s="37" t="inlineStr">
        <is>
          <t>2026-06-17</t>
        </is>
      </c>
    </row>
    <row r="114">
      <c r="A114" s="35" t="inlineStr">
        <is>
          <t>IOLCP</t>
        </is>
      </c>
      <c r="B114" s="36" t="inlineStr">
        <is>
          <t>IOL Chemicals and Pharmaceuticals Limited</t>
        </is>
      </c>
      <c r="C114" s="36" t="inlineStr">
        <is>
          <t>Healthcare</t>
        </is>
      </c>
      <c r="D114" s="37" t="inlineStr">
        <is>
          <t>2026-06-16</t>
        </is>
      </c>
    </row>
    <row r="115">
      <c r="A115" s="35" t="inlineStr">
        <is>
          <t>IZMO</t>
        </is>
      </c>
      <c r="B115" s="36" t="inlineStr">
        <is>
          <t>IZMO</t>
        </is>
      </c>
      <c r="C115" s="36" t="inlineStr">
        <is>
          <t>unknown</t>
        </is>
      </c>
      <c r="D115" s="37" t="inlineStr">
        <is>
          <t>2026-06-17</t>
        </is>
      </c>
    </row>
    <row r="116">
      <c r="A116" s="35" t="inlineStr">
        <is>
          <t>KMEW</t>
        </is>
      </c>
      <c r="B116" s="36" t="inlineStr">
        <is>
          <t>Knowledge Marine &amp; Engineering Works Limited</t>
        </is>
      </c>
      <c r="C116" s="36" t="inlineStr">
        <is>
          <t>Industrials</t>
        </is>
      </c>
      <c r="D116" s="37" t="inlineStr">
        <is>
          <t>2026-06-18</t>
        </is>
      </c>
    </row>
    <row r="117">
      <c r="A117" s="35" t="inlineStr">
        <is>
          <t>MOBAVENUE</t>
        </is>
      </c>
      <c r="B117" s="36" t="inlineStr">
        <is>
          <t>MOBAVENUE</t>
        </is>
      </c>
      <c r="C117" s="36" t="inlineStr">
        <is>
          <t>unknown</t>
        </is>
      </c>
      <c r="D117" s="37" t="inlineStr">
        <is>
          <t>2026-06-18</t>
        </is>
      </c>
    </row>
    <row r="118">
      <c r="A118" s="35" t="inlineStr">
        <is>
          <t>POWERINDIA</t>
        </is>
      </c>
      <c r="B118" s="36" t="inlineStr">
        <is>
          <t>Hitachi Energy India Limited</t>
        </is>
      </c>
      <c r="C118" s="36" t="inlineStr">
        <is>
          <t>Industrials</t>
        </is>
      </c>
      <c r="D118" s="37" t="inlineStr">
        <is>
          <t>2026-06-16</t>
        </is>
      </c>
    </row>
    <row r="119">
      <c r="A119" s="35" t="inlineStr">
        <is>
          <t>PREMIERENE</t>
        </is>
      </c>
      <c r="B119" s="36" t="inlineStr">
        <is>
          <t>PREMIERENE</t>
        </is>
      </c>
      <c r="C119" s="36" t="inlineStr">
        <is>
          <t>Technology</t>
        </is>
      </c>
      <c r="D119" s="37" t="inlineStr">
        <is>
          <t>2026-06-18</t>
        </is>
      </c>
    </row>
    <row r="120">
      <c r="A120" s="35" t="inlineStr">
        <is>
          <t>PSPPROJECT</t>
        </is>
      </c>
      <c r="B120" s="36" t="inlineStr">
        <is>
          <t>PSP Projects Limited</t>
        </is>
      </c>
      <c r="C120" s="36" t="inlineStr">
        <is>
          <t>Industrials</t>
        </is>
      </c>
      <c r="D120" s="37" t="inlineStr">
        <is>
          <t>2026-06-18</t>
        </is>
      </c>
    </row>
    <row r="121">
      <c r="A121" s="35" t="inlineStr">
        <is>
          <t>PTCIL</t>
        </is>
      </c>
      <c r="B121" s="36" t="inlineStr">
        <is>
          <t>PTCIL</t>
        </is>
      </c>
      <c r="C121" s="36" t="inlineStr">
        <is>
          <t>unknown</t>
        </is>
      </c>
      <c r="D121" s="37" t="inlineStr">
        <is>
          <t>2026-06-16</t>
        </is>
      </c>
    </row>
    <row r="122">
      <c r="A122" s="35" t="inlineStr">
        <is>
          <t>RAIN</t>
        </is>
      </c>
      <c r="B122" s="36" t="inlineStr">
        <is>
          <t>Rain Industries Limited</t>
        </is>
      </c>
      <c r="C122" s="36" t="inlineStr">
        <is>
          <t>Basic Materials</t>
        </is>
      </c>
      <c r="D122" s="37" t="inlineStr">
        <is>
          <t>2026-06-16</t>
        </is>
      </c>
    </row>
    <row r="123">
      <c r="A123" s="35" t="inlineStr">
        <is>
          <t>RAMCOSYS</t>
        </is>
      </c>
      <c r="B123" s="36" t="inlineStr">
        <is>
          <t>Ramco Systems Limited</t>
        </is>
      </c>
      <c r="C123" s="36" t="inlineStr">
        <is>
          <t>Technology</t>
        </is>
      </c>
      <c r="D123" s="37" t="inlineStr">
        <is>
          <t>2026-06-18</t>
        </is>
      </c>
    </row>
    <row r="124">
      <c r="A124" s="35" t="inlineStr">
        <is>
          <t>RHETAN</t>
        </is>
      </c>
      <c r="B124" s="36" t="inlineStr">
        <is>
          <t>RHETAN</t>
        </is>
      </c>
      <c r="C124" s="36" t="inlineStr">
        <is>
          <t>unknown</t>
        </is>
      </c>
      <c r="D124" s="37" t="inlineStr">
        <is>
          <t>2026-06-17</t>
        </is>
      </c>
    </row>
    <row r="125">
      <c r="A125" s="35" t="inlineStr">
        <is>
          <t>ROBU</t>
        </is>
      </c>
      <c r="B125" s="36" t="inlineStr">
        <is>
          <t>ROBU</t>
        </is>
      </c>
      <c r="C125" s="36" t="inlineStr">
        <is>
          <t>unknown</t>
        </is>
      </c>
      <c r="D125" s="37" t="inlineStr">
        <is>
          <t>2026-06-18</t>
        </is>
      </c>
    </row>
    <row r="126">
      <c r="A126" s="35" t="inlineStr">
        <is>
          <t>RRKABEL</t>
        </is>
      </c>
      <c r="B126" s="36" t="inlineStr">
        <is>
          <t>R R Kabel Limited</t>
        </is>
      </c>
      <c r="C126" s="36" t="inlineStr">
        <is>
          <t>Industrials</t>
        </is>
      </c>
      <c r="D126" s="37" t="inlineStr">
        <is>
          <t>2026-06-16</t>
        </is>
      </c>
    </row>
    <row r="127">
      <c r="A127" s="35" t="inlineStr">
        <is>
          <t>SAKAR</t>
        </is>
      </c>
      <c r="B127" s="36" t="inlineStr">
        <is>
          <t>SAKAR</t>
        </is>
      </c>
      <c r="C127" s="36" t="inlineStr">
        <is>
          <t>unknown</t>
        </is>
      </c>
      <c r="D127" s="37" t="inlineStr">
        <is>
          <t>2026-06-18</t>
        </is>
      </c>
    </row>
    <row r="128">
      <c r="A128" s="35" t="inlineStr">
        <is>
          <t>SANDHAR</t>
        </is>
      </c>
      <c r="B128" s="36" t="inlineStr">
        <is>
          <t>Sandhar Technologies Limited</t>
        </is>
      </c>
      <c r="C128" s="36" t="inlineStr">
        <is>
          <t>Consumer Cyclical</t>
        </is>
      </c>
      <c r="D128" s="37" t="inlineStr">
        <is>
          <t>2026-06-17</t>
        </is>
      </c>
    </row>
    <row r="129">
      <c r="A129" s="35" t="inlineStr">
        <is>
          <t>SANSERA</t>
        </is>
      </c>
      <c r="B129" s="36" t="inlineStr">
        <is>
          <t>Sansera Engineering Limited</t>
        </is>
      </c>
      <c r="C129" s="36" t="inlineStr">
        <is>
          <t>Consumer Cyclical</t>
        </is>
      </c>
      <c r="D129" s="37" t="inlineStr">
        <is>
          <t>2026-06-16</t>
        </is>
      </c>
    </row>
    <row r="130">
      <c r="A130" s="35" t="inlineStr">
        <is>
          <t>SEAMECLTD</t>
        </is>
      </c>
      <c r="B130" s="36" t="inlineStr">
        <is>
          <t>SEAMECLTD</t>
        </is>
      </c>
      <c r="C130" s="36" t="inlineStr">
        <is>
          <t>unknown</t>
        </is>
      </c>
      <c r="D130" s="37" t="inlineStr">
        <is>
          <t>2026-06-17</t>
        </is>
      </c>
    </row>
    <row r="131">
      <c r="A131" s="35" t="inlineStr">
        <is>
          <t>SGFIN</t>
        </is>
      </c>
      <c r="B131" s="36" t="inlineStr">
        <is>
          <t>SGFIN</t>
        </is>
      </c>
      <c r="C131" s="36" t="inlineStr">
        <is>
          <t>unknown</t>
        </is>
      </c>
      <c r="D131" s="37" t="inlineStr">
        <is>
          <t>2026-06-16</t>
        </is>
      </c>
    </row>
    <row r="132">
      <c r="A132" s="35" t="inlineStr">
        <is>
          <t>SHILPAMED</t>
        </is>
      </c>
      <c r="B132" s="36" t="inlineStr">
        <is>
          <t>Shilpa Medicare Limited</t>
        </is>
      </c>
      <c r="C132" s="36" t="inlineStr">
        <is>
          <t>Healthcare</t>
        </is>
      </c>
      <c r="D132" s="37" t="inlineStr">
        <is>
          <t>2026-06-18</t>
        </is>
      </c>
    </row>
    <row r="133">
      <c r="A133" s="35" t="inlineStr">
        <is>
          <t>SILVERTUC</t>
        </is>
      </c>
      <c r="B133" s="36" t="inlineStr">
        <is>
          <t>Silver Touch Technologies Limited</t>
        </is>
      </c>
      <c r="C133" s="36" t="inlineStr">
        <is>
          <t>Technology</t>
        </is>
      </c>
      <c r="D133" s="37" t="inlineStr">
        <is>
          <t>2026-06-18</t>
        </is>
      </c>
    </row>
    <row r="134">
      <c r="A134" s="35" t="inlineStr">
        <is>
          <t>SUPRIYA</t>
        </is>
      </c>
      <c r="B134" s="36" t="inlineStr">
        <is>
          <t>Supriya Lifescience Limited</t>
        </is>
      </c>
      <c r="C134" s="36" t="inlineStr">
        <is>
          <t>Healthcare</t>
        </is>
      </c>
      <c r="D134" s="37" t="inlineStr">
        <is>
          <t>2026-06-17</t>
        </is>
      </c>
    </row>
  </sheetData>
  <autoFilter ref="A1:CG96"/>
  <conditionalFormatting sqref="B2:B9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6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6">
    <cfRule type="cellIs" priority="37" operator="equal" dxfId="3" stopIfTrue="1">
      <formula>"Underperforming"</formula>
    </cfRule>
  </conditionalFormatting>
  <conditionalFormatting sqref="N2:N96">
    <cfRule type="cellIs" priority="38" operator="equal" dxfId="3" stopIfTrue="1">
      <formula>-5</formula>
    </cfRule>
  </conditionalFormatting>
  <conditionalFormatting sqref="Q2:Q96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6" showDropDown="0" showInputMessage="0" showErrorMessage="0" allowBlank="1" type="list">
      <formula1>"Growing Industry,Stagnant Industry,Cyclical in an Upturn"</formula1>
    </dataValidation>
    <dataValidation sqref="Z2:Z9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6" showDropDown="0" showInputMessage="0" showErrorMessage="0" allowBlank="1" type="list">
      <formula1>"Yes,No"</formula1>
    </dataValidation>
    <dataValidation sqref="AD2:AD96" showDropDown="0" showInputMessage="0" showErrorMessage="0" allowBlank="1" type="list">
      <formula1>"Tailwind,Headwind"</formula1>
    </dataValidation>
    <dataValidation sqref="AF2:AF96" showDropDown="0" showInputMessage="0" showErrorMessage="0" allowBlank="1" type="list">
      <formula1>"Structural (10 Years Consistency),Shallow Cyclical (2 to 3 Years Growth),Cyclical"</formula1>
    </dataValidation>
    <dataValidation sqref="AH2:AH96" showDropDown="0" showInputMessage="0" showErrorMessage="0" allowBlank="1" type="list">
      <formula1>"Yes due to Product Mix change or Operating Leverage,Yes, these are peak margins,No"</formula1>
    </dataValidation>
    <dataValidation sqref="AJ2:AJ96" showDropDown="0" showInputMessage="0" showErrorMessage="0" allowBlank="1" type="list">
      <formula1>"Stable,Volatile"</formula1>
    </dataValidation>
    <dataValidation sqref="AL2:AL96" showDropDown="0" showInputMessage="0" showErrorMessage="0" allowBlank="1" type="list">
      <formula1>"Yes,No"</formula1>
    </dataValidation>
    <dataValidation sqref="AN2:AN96" showDropDown="0" showInputMessage="0" showErrorMessage="0" allowBlank="1" type="list">
      <formula1>"B2C,B2B,B2G"</formula1>
    </dataValidation>
    <dataValidation sqref="AP2:AP96" showDropDown="0" showInputMessage="0" showErrorMessage="0" allowBlank="1" type="list">
      <formula1>"Yes,No"</formula1>
    </dataValidation>
    <dataValidation sqref="AR2:AR96" showDropDown="0" showInputMessage="0" showErrorMessage="0" allowBlank="1" type="list">
      <formula1>"Fully Annuity,Higher Annuity, Lower One time,Higher One Time, Lower Annuity,Fully One Time"</formula1>
    </dataValidation>
    <dataValidation sqref="AT2:AT96" showDropDown="0" showInputMessage="0" showErrorMessage="0" allowBlank="1" type="list">
      <formula1>"Good,Allocated capital in Non-core Areas"</formula1>
    </dataValidation>
    <dataValidation sqref="AV2:AV96" showDropDown="0" showInputMessage="0" showErrorMessage="0" allowBlank="1" type="list">
      <formula1>"Yes for more than 2 years,Yes only for next 1 to 2 years,No"</formula1>
    </dataValidation>
    <dataValidation sqref="AX2:AX96" showDropDown="0" showInputMessage="0" showErrorMessage="0" allowBlank="1" type="list">
      <formula1>"Above 40,20 to 40,0 to 20"</formula1>
    </dataValidation>
    <dataValidation sqref="AZ2:AZ96" showDropDown="0" showInputMessage="0" showErrorMessage="0" allowBlank="1" type="list">
      <formula1>"Between 50 to 75,Above 75,Below 45"</formula1>
    </dataValidation>
    <dataValidation sqref="BB2:BB96" showDropDown="0" showInputMessage="0" showErrorMessage="0" allowBlank="1" type="list">
      <formula1>"Stage 1,Stage 2,Stage 3,Stage 4"</formula1>
    </dataValidation>
    <dataValidation sqref="BD2:BD96" showDropDown="0" showInputMessage="0" showErrorMessage="0" allowBlank="1" type="list">
      <formula1>"Positive Trend,Negative Trend"</formula1>
    </dataValidation>
    <dataValidation sqref="BF2:BF96" showDropDown="0" showInputMessage="0" showErrorMessage="0" allowBlank="1" type="list">
      <formula1>"Uptrend,Sideways,Downtrend"</formula1>
    </dataValidation>
    <dataValidation sqref="BH2:BH96" showDropDown="0" showInputMessage="0" showErrorMessage="0" allowBlank="1" type="list">
      <formula1>"Uptrend,Sideways,Downtrend"</formula1>
    </dataValidation>
    <dataValidation sqref="BJ2:BJ9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6" showDropDown="0" showInputMessage="0" showErrorMessage="0" allowBlank="1" type="list">
      <formula1>"Yes,No"</formula1>
    </dataValidation>
    <dataValidation sqref="BN2:BN96" showDropDown="0" showInputMessage="0" showErrorMessage="0" allowBlank="1" type="list">
      <formula1>"More than 20%,Between 12 to 20%,Less than 12%"</formula1>
    </dataValidation>
    <dataValidation sqref="BP2:BP96" showDropDown="0" showInputMessage="0" showErrorMessage="0" allowBlank="1" type="list">
      <formula1>"Yes,No"</formula1>
    </dataValidation>
    <dataValidation sqref="BR2:BR96" showDropDown="0" showInputMessage="0" showErrorMessage="0" allowBlank="1" type="list">
      <formula1>"Yes,No"</formula1>
    </dataValidation>
    <dataValidation sqref="BT2:BT96" showDropDown="0" showInputMessage="0" showErrorMessage="0" allowBlank="1" type="list">
      <formula1>"Above 2,Between 1.5 to 2,Less than 1.5"</formula1>
    </dataValidation>
    <dataValidation sqref="BV2:BV96" showDropDown="0" showInputMessage="0" showErrorMessage="0" allowBlank="1" type="list">
      <formula1>"Above 70%,Between 50% to 70%,Less than 50%,Less than 50% and Borrowings are increasing,Negative"</formula1>
    </dataValidation>
    <dataValidation sqref="BX2:BX96" showDropDown="0" showInputMessage="0" showErrorMessage="0" allowBlank="1" type="list">
      <formula1>"More than 1.2,Between 0.7 to 1.2,Less than 0.7"</formula1>
    </dataValidation>
    <dataValidation sqref="BZ2:BZ96" showDropDown="0" showInputMessage="0" showErrorMessage="0" allowBlank="1" type="list">
      <formula1>"Yes,No"</formula1>
    </dataValidation>
    <dataValidation sqref="CB2:CB96" showDropDown="0" showInputMessage="0" showErrorMessage="0" allowBlank="1" type="list">
      <formula1>"More than 15%,Less than 15%"</formula1>
    </dataValidation>
    <dataValidation sqref="CD2:CD9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IF(B2=0,"",RANK(B2,$B$2:$B$6,0))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SATIN</t>
        </is>
      </c>
      <c r="D2" s="30" t="inlineStr">
        <is>
          <t>Satin Creditcare Network Ltd</t>
        </is>
      </c>
      <c r="E2" s="30" t="inlineStr">
        <is>
          <t>financials</t>
        </is>
      </c>
      <c r="F2" s="30" t="inlineStr">
        <is>
          <t>Finance &amp; Investments - Microfinance</t>
        </is>
      </c>
      <c r="G2" s="30" t="inlineStr">
        <is>
          <t>smallcap</t>
        </is>
      </c>
      <c r="H2" s="31" t="n">
        <v>2556.63</v>
      </c>
      <c r="I2" s="31" t="n">
        <v>231.43</v>
      </c>
      <c r="J2" s="31" t="n">
        <v>-1.77</v>
      </c>
      <c r="K2" s="31" t="n">
        <v>0</v>
      </c>
      <c r="L2" s="30" t="n">
        <v>78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69.77</v>
      </c>
      <c r="P2" s="31" t="n">
        <v>45.82</v>
      </c>
      <c r="Q2" s="31" t="n">
        <v>187.8</v>
      </c>
      <c r="R2" s="30" t="inlineStr">
        <is>
          <t>Near 52W High Breakout</t>
        </is>
      </c>
      <c r="S2" s="30" t="inlineStr">
        <is>
          <t>Nifty Bank</t>
        </is>
      </c>
      <c r="T2" s="31" t="n">
        <v>3.04</v>
      </c>
      <c r="U2" s="31" t="n">
        <v>52.64</v>
      </c>
      <c r="V2" s="31" t="n">
        <v>48.13</v>
      </c>
      <c r="W2" s="31" t="n">
        <v>22.94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21</t>
        </is>
      </c>
      <c r="CC2" s="30">
        <f>IF(CB2&gt;20,10,IF(CB2&gt;=10,5,2))</f>
        <v/>
      </c>
    </row>
    <row r="3">
      <c r="A3" s="30">
        <f>IF(B3=0,"",RANK(B3,$B$2:$B$6,0))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MAHABANK</t>
        </is>
      </c>
      <c r="D3" s="30" t="inlineStr">
        <is>
          <t>Bank of Maharashtra</t>
        </is>
      </c>
      <c r="E3" s="30" t="inlineStr">
        <is>
          <t>bank</t>
        </is>
      </c>
      <c r="F3" s="30" t="inlineStr">
        <is>
          <t>Banks - PSU</t>
        </is>
      </c>
      <c r="G3" s="30" t="inlineStr">
        <is>
          <t>largecap</t>
        </is>
      </c>
      <c r="H3" s="31" t="n">
        <v>68839.42</v>
      </c>
      <c r="I3" s="31" t="n">
        <v>89.5</v>
      </c>
      <c r="J3" s="31" t="n">
        <v>-0.71</v>
      </c>
      <c r="K3" s="31" t="n">
        <v>0</v>
      </c>
      <c r="L3" s="30" t="n">
        <v>71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72.83</v>
      </c>
      <c r="P3" s="31" t="n">
        <v>43.78</v>
      </c>
      <c r="Q3" s="31" t="n">
        <v>73.19</v>
      </c>
      <c r="R3" s="30" t="inlineStr">
        <is>
          <t>Near 52W High Breakout</t>
        </is>
      </c>
      <c r="S3" s="30" t="inlineStr">
        <is>
          <t>Nifty Bank</t>
        </is>
      </c>
      <c r="T3" s="31" t="n">
        <v>3.04</v>
      </c>
      <c r="U3" s="31" t="n">
        <v>71.23999999999999</v>
      </c>
      <c r="V3" s="31" t="n">
        <v>66.18000000000001</v>
      </c>
      <c r="W3" s="31" t="n">
        <v>19.98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20</t>
        </is>
      </c>
      <c r="CC3" s="30">
        <f>IF(CB3&gt;20,10,IF(CB3&gt;=10,5,2))</f>
        <v/>
      </c>
    </row>
    <row r="4">
      <c r="A4" s="30">
        <f>IF(B4=0,"",RANK(B4,$B$2:$B$6,0))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PAISALO</t>
        </is>
      </c>
      <c r="D4" s="30" t="inlineStr">
        <is>
          <t>Paisalo Digital Ltd</t>
        </is>
      </c>
      <c r="E4" s="30" t="inlineStr">
        <is>
          <t>financials</t>
        </is>
      </c>
      <c r="F4" s="30" t="inlineStr">
        <is>
          <t>Finance - Capital Markets - Brokers</t>
        </is>
      </c>
      <c r="G4" s="30" t="inlineStr">
        <is>
          <t>midcap</t>
        </is>
      </c>
      <c r="H4" s="31" t="n">
        <v>5321.61</v>
      </c>
      <c r="I4" s="31" t="n">
        <v>58.51</v>
      </c>
      <c r="J4" s="31" t="n">
        <v>0.45</v>
      </c>
      <c r="K4" s="31" t="n">
        <v>0</v>
      </c>
      <c r="L4" s="30" t="n">
        <v>88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75.34</v>
      </c>
      <c r="P4" s="31" t="n">
        <v>35.42</v>
      </c>
      <c r="Q4" s="31" t="n">
        <v>46.84</v>
      </c>
      <c r="R4" s="30" t="inlineStr">
        <is>
          <t>Near 52W High Breakout</t>
        </is>
      </c>
      <c r="S4" s="30" t="inlineStr">
        <is>
          <t>Nifty Bank</t>
        </is>
      </c>
      <c r="T4" s="31" t="n">
        <v>3.04</v>
      </c>
      <c r="U4" s="31" t="n">
        <v>94.81999999999999</v>
      </c>
      <c r="V4" s="31" t="n">
        <v>89.06999999999999</v>
      </c>
      <c r="W4" s="31" t="n">
        <v>30.65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Above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20</t>
        </is>
      </c>
      <c r="CC4" s="30">
        <f>IF(CB4&gt;20,10,IF(CB4&gt;=10,5,2))</f>
        <v/>
      </c>
    </row>
    <row r="5">
      <c r="A5" s="30">
        <f>IF(B5=0,"",RANK(B5,$B$2:$B$6,0))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CGCL</t>
        </is>
      </c>
      <c r="D5" s="30" t="inlineStr">
        <is>
          <t>Capri Global Capital Ltd</t>
        </is>
      </c>
      <c r="E5" s="30" t="inlineStr">
        <is>
          <t>financials</t>
        </is>
      </c>
      <c r="F5" s="30" t="inlineStr">
        <is>
          <t>Finance &amp; Investments - Gold Loan</t>
        </is>
      </c>
      <c r="G5" s="30" t="inlineStr">
        <is>
          <t>largecap</t>
        </is>
      </c>
      <c r="H5" s="31" t="n">
        <v>21245.32</v>
      </c>
      <c r="I5" s="31" t="n">
        <v>220.81</v>
      </c>
      <c r="J5" s="31" t="n">
        <v>1.62</v>
      </c>
      <c r="K5" s="31" t="n">
        <v>0</v>
      </c>
      <c r="L5" s="30" t="n">
        <v>50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70.39</v>
      </c>
      <c r="P5" s="31" t="n">
        <v>19.33</v>
      </c>
      <c r="Q5" s="31" t="n">
        <v>180.25</v>
      </c>
      <c r="R5" s="30" t="inlineStr">
        <is>
          <t>Near 52W High Breakout</t>
        </is>
      </c>
      <c r="S5" s="30" t="inlineStr">
        <is>
          <t>Nifty Bank</t>
        </is>
      </c>
      <c r="T5" s="31" t="n">
        <v>3.04</v>
      </c>
      <c r="U5" s="31" t="n">
        <v>31.94</v>
      </c>
      <c r="V5" s="31" t="n">
        <v>28.04</v>
      </c>
      <c r="W5" s="31" t="n">
        <v>12.49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0 to 20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25</t>
        </is>
      </c>
      <c r="CC5" s="30">
        <f>IF(CB5&gt;20,10,IF(CB5&gt;=10,5,2))</f>
        <v/>
      </c>
    </row>
    <row r="6">
      <c r="A6" s="30">
        <f>IF(B6=0,"",RANK(B6,$B$2:$B$6,0))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ANGELONE</t>
        </is>
      </c>
      <c r="D6" s="30" t="inlineStr">
        <is>
          <t>Angel One Ltd</t>
        </is>
      </c>
      <c r="E6" s="30" t="inlineStr">
        <is>
          <t>financials</t>
        </is>
      </c>
      <c r="F6" s="30" t="inlineStr">
        <is>
          <t>Finance - Capital Markets - Brokers</t>
        </is>
      </c>
      <c r="G6" s="30" t="inlineStr">
        <is>
          <t>largecap</t>
        </is>
      </c>
      <c r="H6" s="31" t="n">
        <v>32222.97</v>
      </c>
      <c r="I6" s="31" t="n">
        <v>352.8</v>
      </c>
      <c r="J6" s="31" t="n">
        <v>1.18</v>
      </c>
      <c r="K6" s="31" t="n">
        <v>0</v>
      </c>
      <c r="L6" s="30" t="n">
        <v>67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67.22</v>
      </c>
      <c r="P6" s="31" t="n">
        <v>25.66</v>
      </c>
      <c r="Q6" s="31" t="n">
        <v>275.11</v>
      </c>
      <c r="R6" s="30" t="inlineStr">
        <is>
          <t>Near 52W High Breakout</t>
        </is>
      </c>
      <c r="S6" s="30" t="inlineStr">
        <is>
          <t>Nifty Bank</t>
        </is>
      </c>
      <c r="T6" s="31" t="n">
        <v>3.04</v>
      </c>
      <c r="U6" s="31" t="n">
        <v>26.78</v>
      </c>
      <c r="V6" s="31" t="n">
        <v>23.04</v>
      </c>
      <c r="W6" s="31" t="n">
        <v>18.24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above 5x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19</t>
        </is>
      </c>
      <c r="CC6" s="30">
        <f>IF(CB6&gt;20,10,IF(CB6&gt;=10,5,2))</f>
        <v/>
      </c>
    </row>
    <row r="10">
      <c r="A10" s="24" t="inlineStr">
        <is>
          <t>❌ REMOVED SCAN MATCH STOCKS (THIS WEEK)</t>
        </is>
      </c>
    </row>
    <row r="11">
      <c r="A11" s="34" t="inlineStr">
        <is>
          <t>Symbol</t>
        </is>
      </c>
      <c r="B11" s="34" t="inlineStr">
        <is>
          <t>Company Name</t>
        </is>
      </c>
      <c r="C11" s="34" t="inlineStr">
        <is>
          <t>Sector</t>
        </is>
      </c>
      <c r="D11" s="34" t="inlineStr">
        <is>
          <t>Date of Removal</t>
        </is>
      </c>
    </row>
    <row r="12">
      <c r="A12" s="35" t="inlineStr">
        <is>
          <t>MONARCH</t>
        </is>
      </c>
      <c r="B12" s="36" t="inlineStr">
        <is>
          <t>Monarch Networth Capital Limited</t>
        </is>
      </c>
      <c r="C12" s="36" t="inlineStr">
        <is>
          <t>Financial Services</t>
        </is>
      </c>
      <c r="D12" s="37" t="inlineStr">
        <is>
          <t>2026-06-17</t>
        </is>
      </c>
    </row>
    <row r="13">
      <c r="A13" s="35" t="inlineStr">
        <is>
          <t>NAM-INDIA</t>
        </is>
      </c>
      <c r="B13" s="36" t="inlineStr">
        <is>
          <t>Nippon Life India Asset Management Limited</t>
        </is>
      </c>
      <c r="C13" s="36" t="inlineStr">
        <is>
          <t>Financial Services</t>
        </is>
      </c>
      <c r="D13" s="37" t="inlineStr">
        <is>
          <t>2026-06-18</t>
        </is>
      </c>
    </row>
  </sheetData>
  <autoFilter ref="A1:CC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6">
    <cfRule type="cellIs" priority="35" operator="equal" dxfId="3" stopIfTrue="1">
      <formula>"Underperforming"</formula>
    </cfRule>
  </conditionalFormatting>
  <conditionalFormatting sqref="N2:N6">
    <cfRule type="cellIs" priority="36" operator="equal" dxfId="3" stopIfTrue="1">
      <formula>-5</formula>
    </cfRule>
  </conditionalFormatting>
  <conditionalFormatting sqref="Q2:Q6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6" showDropDown="0" showInputMessage="0" showErrorMessage="0" allowBlank="1" type="list">
      <formula1>"Growing Industry,Stagnant Industry,Cyclical in an Upturn"</formula1>
    </dataValidation>
    <dataValidation sqref="Z2:Z6" showDropDown="0" showInputMessage="0" showErrorMessage="0" allowBlank="1" type="list">
      <formula1>"Fragmented with Low ROE,Fragmented with High ROE,Highly Cyclical"</formula1>
    </dataValidation>
    <dataValidation sqref="AB2:AB6" showDropDown="0" showInputMessage="0" showErrorMessage="0" allowBlank="1" type="list">
      <formula1>"Yes,No"</formula1>
    </dataValidation>
    <dataValidation sqref="AD2:AD6" showDropDown="0" showInputMessage="0" showErrorMessage="0" allowBlank="1" type="list">
      <formula1>"Tailwind,Headwind"</formula1>
    </dataValidation>
    <dataValidation sqref="AF2:AF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" showDropDown="0" showInputMessage="0" showErrorMessage="0" allowBlank="1" type="list">
      <formula1>"Yes,No"</formula1>
    </dataValidation>
    <dataValidation sqref="AJ2:AJ6" showDropDown="0" showInputMessage="0" showErrorMessage="0" allowBlank="1" type="list">
      <formula1>"Yes,No,Not Applicable"</formula1>
    </dataValidation>
    <dataValidation sqref="AL2:AL6" showDropDown="0" showInputMessage="0" showErrorMessage="0" allowBlank="1" type="list">
      <formula1>"Yes,No"</formula1>
    </dataValidation>
    <dataValidation sqref="AN2:AN6" showDropDown="0" showInputMessage="0" showErrorMessage="0" allowBlank="1" type="list">
      <formula1>"Yes,No"</formula1>
    </dataValidation>
    <dataValidation sqref="AP2:AP6" showDropDown="0" showInputMessage="0" showErrorMessage="0" allowBlank="1" type="list">
      <formula1>"Yes,No"</formula1>
    </dataValidation>
    <dataValidation sqref="AR2:AR6" showDropDown="0" showInputMessage="0" showErrorMessage="0" allowBlank="1" type="list">
      <formula1>"Yes,No"</formula1>
    </dataValidation>
    <dataValidation sqref="AT2:AT6" showDropDown="0" showInputMessage="0" showErrorMessage="0" allowBlank="1" type="list">
      <formula1>"No,Yes"</formula1>
    </dataValidation>
    <dataValidation sqref="AV2:AV6" showDropDown="0" showInputMessage="0" showErrorMessage="0" allowBlank="1" type="list">
      <formula1>"No,Yes"</formula1>
    </dataValidation>
    <dataValidation sqref="AX2:AX6" showDropDown="0" showInputMessage="0" showErrorMessage="0" allowBlank="1" type="list">
      <formula1>"No,Yes CEO Resignation,Yes CEO Retirement"</formula1>
    </dataValidation>
    <dataValidation sqref="AZ2:AZ6" showDropDown="0" showInputMessage="0" showErrorMessage="0" allowBlank="1" type="list">
      <formula1>"No,Yes"</formula1>
    </dataValidation>
    <dataValidation sqref="BB2:BB6" showDropDown="0" showInputMessage="0" showErrorMessage="0" allowBlank="1" type="list">
      <formula1>"No,Yes"</formula1>
    </dataValidation>
    <dataValidation sqref="BD2:BD6" showDropDown="0" showInputMessage="0" showErrorMessage="0" allowBlank="1" type="list">
      <formula1>"Yes,No"</formula1>
    </dataValidation>
    <dataValidation sqref="BF2:BF6" showDropDown="0" showInputMessage="0" showErrorMessage="0" allowBlank="1" type="list">
      <formula1>"Yes,No"</formula1>
    </dataValidation>
    <dataValidation sqref="BH2:BH6" showDropDown="0" showInputMessage="0" showErrorMessage="0" allowBlank="1" type="list">
      <formula1>"Yes,No"</formula1>
    </dataValidation>
    <dataValidation sqref="BJ2:BJ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" showDropDown="0" showInputMessage="0" showErrorMessage="0" allowBlank="1" type="list">
      <formula1>"Above 40,20 to 40,0 to 20"</formula1>
    </dataValidation>
    <dataValidation sqref="BN2:BN6" showDropDown="0" showInputMessage="0" showErrorMessage="0" allowBlank="1" type="list">
      <formula1>"Between 50 to 75,Above 75,Below 45"</formula1>
    </dataValidation>
    <dataValidation sqref="BP2:BP6" showDropDown="0" showInputMessage="0" showErrorMessage="0" allowBlank="1" type="list">
      <formula1>"Stage 1,Stage 2,Stage 3,Stage 4"</formula1>
    </dataValidation>
    <dataValidation sqref="BR2:BR6" showDropDown="0" showInputMessage="0" showErrorMessage="0" allowBlank="1" type="list">
      <formula1>"Positive Trend,Negative Trend"</formula1>
    </dataValidation>
    <dataValidation sqref="BT2:BT6" showDropDown="0" showInputMessage="0" showErrorMessage="0" allowBlank="1" type="list">
      <formula1>"Uptrend,Sideways,Downtrend"</formula1>
    </dataValidation>
    <dataValidation sqref="BV2:BV6" showDropDown="0" showInputMessage="0" showErrorMessage="0" allowBlank="1" type="list">
      <formula1>"Uptrend,Sideways,Downtrend"</formula1>
    </dataValidation>
    <dataValidation sqref="BX2:BX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2026-06-18T13:46:18Z</dcterms:created>
  <dcterms:modified xmlns:dcterms="http://purl.org/dc/terms/" xmlns:xsi="http://www.w3.org/2001/XMLSchema-instance" xsi:type="dcterms:W3CDTF">2026-06-18T13:47:09Z</dcterms:modified>
</cp:coreProperties>
</file>