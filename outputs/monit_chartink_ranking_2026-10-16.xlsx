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Universe'!$A$1:$J$195</definedName>
    <definedName name="_xlnm._FilterDatabase" localSheetId="3" hidden="1">'Confluence Overlap'!$A$1:$K$23</definedName>
    <definedName name="_xlnm._FilterDatabase" localSheetId="4" hidden="1">'Monit Non Financial'!$A$1:$CE$171</definedName>
    <definedName name="_xlnm._FilterDatabase" localSheetId="5" hidden="1">'Monit Banks NBFC'!$A$1:$CA$25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16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25" customWidth="1" min="3" max="3"/>
    <col width="45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486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66</v>
      </c>
      <c r="G6" s="19" t="n">
        <v>3155.56</v>
      </c>
      <c r="H6" s="18" t="inlineStr">
        <is>
          <t>Potential Leader</t>
        </is>
      </c>
      <c r="J6" s="18" t="inlineStr">
        <is>
          <t>bank</t>
        </is>
      </c>
      <c r="K6" s="16" t="n">
        <v>42</v>
      </c>
      <c r="L6" s="16" t="n">
        <v>18</v>
      </c>
      <c r="M6" s="20" t="inlineStr">
        <is>
          <t>133.3%</t>
        </is>
      </c>
    </row>
    <row r="7">
      <c r="A7" s="16" t="n">
        <v>2</v>
      </c>
      <c r="B7" s="17" t="n">
        <v>324</v>
      </c>
      <c r="C7" s="17" t="inlineStr">
        <is>
          <t>BAFNAPH</t>
        </is>
      </c>
      <c r="D7" s="18" t="inlineStr">
        <is>
          <t>Bafna Pharmaceuticals Ltd</t>
        </is>
      </c>
      <c r="E7" s="18" t="inlineStr">
        <is>
          <t>healthcare</t>
        </is>
      </c>
      <c r="F7" s="16" t="n">
        <v>39</v>
      </c>
      <c r="G7" s="19" t="n">
        <v>1070.09</v>
      </c>
      <c r="H7" s="18" t="inlineStr">
        <is>
          <t>Potential Leader</t>
        </is>
      </c>
      <c r="J7" s="18" t="inlineStr">
        <is>
          <t>media</t>
        </is>
      </c>
      <c r="K7" s="16" t="n">
        <v>16</v>
      </c>
      <c r="L7" s="16" t="n">
        <v>9</v>
      </c>
      <c r="M7" s="20" t="inlineStr">
        <is>
          <t>77.8%</t>
        </is>
      </c>
    </row>
    <row r="8">
      <c r="A8" s="16" t="n">
        <v>3</v>
      </c>
      <c r="B8" s="17" t="n">
        <v>318</v>
      </c>
      <c r="C8" s="17" t="inlineStr">
        <is>
          <t>ROSSTECH</t>
        </is>
      </c>
      <c r="D8" s="18" t="inlineStr">
        <is>
          <t>Rossell Techsys Ltd</t>
        </is>
      </c>
      <c r="E8" s="18" t="inlineStr">
        <is>
          <t>aerospace &amp; defence</t>
        </is>
      </c>
      <c r="F8" s="16" t="n">
        <v>38</v>
      </c>
      <c r="G8" s="19" t="n">
        <v>5896.86</v>
      </c>
      <c r="H8" s="18" t="inlineStr">
        <is>
          <t>Potential Leader</t>
        </is>
      </c>
      <c r="J8" s="18" t="inlineStr">
        <is>
          <t>miscellaneous</t>
        </is>
      </c>
      <c r="K8" s="16" t="n">
        <v>32</v>
      </c>
      <c r="L8" s="16" t="n">
        <v>20</v>
      </c>
      <c r="M8" s="20" t="inlineStr">
        <is>
          <t>60.0%</t>
        </is>
      </c>
    </row>
    <row r="9">
      <c r="A9" s="16" t="n">
        <v>4</v>
      </c>
      <c r="B9" s="17" t="n">
        <v>312</v>
      </c>
      <c r="C9" s="17" t="inlineStr">
        <is>
          <t>NRL</t>
        </is>
      </c>
      <c r="D9" s="18" t="inlineStr">
        <is>
          <t>Nupur Recyclers Ltd</t>
        </is>
      </c>
      <c r="E9" s="18" t="inlineStr">
        <is>
          <t>services</t>
        </is>
      </c>
      <c r="F9" s="16" t="n">
        <v>37</v>
      </c>
      <c r="G9" s="19" t="n">
        <v>1143.37</v>
      </c>
      <c r="H9" s="18" t="inlineStr">
        <is>
          <t>Potential Leader</t>
        </is>
      </c>
      <c r="J9" s="18" t="inlineStr">
        <is>
          <t>telecom-service</t>
        </is>
      </c>
      <c r="K9" s="16" t="n">
        <v>6</v>
      </c>
      <c r="L9" s="16" t="n">
        <v>4</v>
      </c>
      <c r="M9" s="20" t="inlineStr">
        <is>
          <t>50.0%</t>
        </is>
      </c>
    </row>
    <row r="10">
      <c r="A10" s="16" t="n">
        <v>5</v>
      </c>
      <c r="B10" s="17" t="n">
        <v>312</v>
      </c>
      <c r="C10" s="17" t="inlineStr">
        <is>
          <t>SBC</t>
        </is>
      </c>
      <c r="D10" s="18" t="inlineStr">
        <is>
          <t>SBC Exports Ltd</t>
        </is>
      </c>
      <c r="E10" s="18" t="inlineStr">
        <is>
          <t>textiles</t>
        </is>
      </c>
      <c r="F10" s="16" t="n">
        <v>37</v>
      </c>
      <c r="G10" s="19" t="n">
        <v>3057.62</v>
      </c>
      <c r="H10" s="18" t="inlineStr">
        <is>
          <t>Potential Leader</t>
        </is>
      </c>
      <c r="J10" s="18" t="inlineStr">
        <is>
          <t>i.t</t>
        </is>
      </c>
      <c r="K10" s="16" t="n">
        <v>78</v>
      </c>
      <c r="L10" s="16" t="n">
        <v>53</v>
      </c>
      <c r="M10" s="20" t="inlineStr">
        <is>
          <t>47.2%</t>
        </is>
      </c>
    </row>
    <row r="11">
      <c r="A11" s="16" t="n">
        <v>6</v>
      </c>
      <c r="B11" s="17" t="n">
        <v>312</v>
      </c>
      <c r="C11" s="17" t="inlineStr">
        <is>
          <t>WHEELS</t>
        </is>
      </c>
      <c r="D11" s="18" t="inlineStr">
        <is>
          <t>Wheels India Limited</t>
        </is>
      </c>
      <c r="E11" s="18" t="inlineStr">
        <is>
          <t>auto</t>
        </is>
      </c>
      <c r="F11" s="16" t="n">
        <v>37</v>
      </c>
      <c r="G11" s="19" t="n">
        <v>6445.62</v>
      </c>
      <c r="H11" s="18" t="inlineStr">
        <is>
          <t>Potential Leader</t>
        </is>
      </c>
      <c r="J11" s="18" t="inlineStr">
        <is>
          <t>textiles</t>
        </is>
      </c>
      <c r="K11" s="16" t="n">
        <v>53</v>
      </c>
      <c r="L11" s="16" t="n">
        <v>38</v>
      </c>
      <c r="M11" s="20" t="inlineStr">
        <is>
          <t>39.5%</t>
        </is>
      </c>
    </row>
    <row r="12">
      <c r="A12" s="16" t="n">
        <v>7</v>
      </c>
      <c r="B12" s="17" t="n">
        <v>294</v>
      </c>
      <c r="C12" s="17" t="inlineStr">
        <is>
          <t>GLOBAL</t>
        </is>
      </c>
      <c r="D12" s="18" t="inlineStr">
        <is>
          <t>Global Education Ltd</t>
        </is>
      </c>
      <c r="E12" s="18" t="inlineStr">
        <is>
          <t>services</t>
        </is>
      </c>
      <c r="F12" s="16" t="n">
        <v>34</v>
      </c>
      <c r="G12" s="19" t="n">
        <v>735.53</v>
      </c>
      <c r="H12" s="18" t="inlineStr">
        <is>
          <t>Potential Leader</t>
        </is>
      </c>
      <c r="J12" s="18" t="inlineStr">
        <is>
          <t>fmcg</t>
        </is>
      </c>
      <c r="K12" s="16" t="n">
        <v>89</v>
      </c>
      <c r="L12" s="16" t="n">
        <v>70</v>
      </c>
      <c r="M12" s="20" t="inlineStr">
        <is>
          <t>27.1%</t>
        </is>
      </c>
    </row>
    <row r="13">
      <c r="A13" s="16" t="n">
        <v>8</v>
      </c>
      <c r="B13" s="17" t="n">
        <v>294</v>
      </c>
      <c r="C13" s="17" t="inlineStr">
        <is>
          <t>RAYMOND</t>
        </is>
      </c>
      <c r="D13" s="18" t="inlineStr">
        <is>
          <t>Raymond Limited</t>
        </is>
      </c>
      <c r="E13" s="18" t="inlineStr">
        <is>
          <t>transportation</t>
        </is>
      </c>
      <c r="F13" s="16" t="n">
        <v>34</v>
      </c>
      <c r="G13" s="19" t="n">
        <v>7603.39</v>
      </c>
      <c r="H13" s="18" t="inlineStr">
        <is>
          <t>Potential Leader</t>
        </is>
      </c>
      <c r="J13" s="18" t="inlineStr">
        <is>
          <t>financials</t>
        </is>
      </c>
      <c r="K13" s="16" t="n">
        <v>72</v>
      </c>
      <c r="L13" s="16" t="n">
        <v>59</v>
      </c>
      <c r="M13" s="20" t="inlineStr">
        <is>
          <t>22.0%</t>
        </is>
      </c>
    </row>
    <row r="14">
      <c r="A14" s="16" t="n">
        <v>9</v>
      </c>
      <c r="B14" s="17" t="n">
        <v>282</v>
      </c>
      <c r="C14" s="17" t="inlineStr">
        <is>
          <t>LOTUSDEV</t>
        </is>
      </c>
      <c r="D14" s="18" t="inlineStr">
        <is>
          <t>Sri Lotus Developers &amp; Realty Ltd</t>
        </is>
      </c>
      <c r="E14" s="18" t="inlineStr">
        <is>
          <t>realty</t>
        </is>
      </c>
      <c r="F14" s="16" t="n">
        <v>32</v>
      </c>
      <c r="G14" s="19" t="n">
        <v>11736.21</v>
      </c>
      <c r="H14" s="18" t="inlineStr">
        <is>
          <t>Potential Leader</t>
        </is>
      </c>
      <c r="J14" s="18" t="inlineStr">
        <is>
          <t>services</t>
        </is>
      </c>
      <c r="K14" s="16" t="n">
        <v>45</v>
      </c>
      <c r="L14" s="16" t="n">
        <v>37</v>
      </c>
      <c r="M14" s="20" t="inlineStr">
        <is>
          <t>21.6%</t>
        </is>
      </c>
    </row>
    <row r="15">
      <c r="A15" s="16" t="n">
        <v>10</v>
      </c>
      <c r="B15" s="17" t="n">
        <v>282</v>
      </c>
      <c r="C15" s="17" t="inlineStr">
        <is>
          <t>SHREEJISPG</t>
        </is>
      </c>
      <c r="D15" s="18" t="inlineStr">
        <is>
          <t>Shreeji Shipping Global Ltd</t>
        </is>
      </c>
      <c r="E15" s="18" t="inlineStr">
        <is>
          <t>transportation</t>
        </is>
      </c>
      <c r="F15" s="16" t="n">
        <v>32</v>
      </c>
      <c r="G15" s="19" t="n">
        <v>13606.12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88</v>
      </c>
      <c r="L15" s="16" t="n">
        <v>78</v>
      </c>
      <c r="M15" s="20" t="inlineStr">
        <is>
          <t>12.8%</t>
        </is>
      </c>
    </row>
    <row r="16">
      <c r="A16" s="16" t="n">
        <v>11</v>
      </c>
      <c r="B16" s="17" t="n">
        <v>276</v>
      </c>
      <c r="C16" s="17" t="inlineStr">
        <is>
          <t>KILITCH</t>
        </is>
      </c>
      <c r="D16" s="18" t="inlineStr">
        <is>
          <t>Kilitch Drugs (india) Limited</t>
        </is>
      </c>
      <c r="E16" s="18" t="inlineStr">
        <is>
          <t>healthcare</t>
        </is>
      </c>
      <c r="F16" s="16" t="n">
        <v>31</v>
      </c>
      <c r="G16" s="19" t="n">
        <v>825.79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33</v>
      </c>
      <c r="L16" s="16" t="n">
        <v>30</v>
      </c>
      <c r="M16" s="20" t="inlineStr">
        <is>
          <t>10.0%</t>
        </is>
      </c>
    </row>
    <row r="17">
      <c r="A17" s="16" t="n">
        <v>12</v>
      </c>
      <c r="B17" s="17" t="n">
        <v>276</v>
      </c>
      <c r="C17" s="17" t="inlineStr">
        <is>
          <t>SPECTRUM</t>
        </is>
      </c>
      <c r="D17" s="18" t="inlineStr">
        <is>
          <t>Spectrum Electrical Industries Ltd</t>
        </is>
      </c>
      <c r="E17" s="18" t="inlineStr">
        <is>
          <t>industrials</t>
        </is>
      </c>
      <c r="F17" s="16" t="n">
        <v>31</v>
      </c>
      <c r="G17" s="19" t="n">
        <v>6491.19</v>
      </c>
      <c r="H17" s="18" t="inlineStr">
        <is>
          <t>Potential Leader</t>
        </is>
      </c>
      <c r="J17" s="18" t="inlineStr">
        <is>
          <t>readymade garments/apparels</t>
        </is>
      </c>
      <c r="K17" s="16" t="n">
        <v>6</v>
      </c>
      <c r="L17" s="16" t="n">
        <v>6</v>
      </c>
      <c r="M17" s="20" t="inlineStr">
        <is>
          <t>0.0%</t>
        </is>
      </c>
    </row>
    <row r="18">
      <c r="A18" s="16" t="n">
        <v>13</v>
      </c>
      <c r="B18" s="17" t="n">
        <v>276</v>
      </c>
      <c r="C18" s="17" t="inlineStr">
        <is>
          <t>UNITEDPOLY</t>
        </is>
      </c>
      <c r="D18" s="18" t="inlineStr">
        <is>
          <t>United Polyfab Gujarat Ltd</t>
        </is>
      </c>
      <c r="E18" s="18" t="inlineStr">
        <is>
          <t>textiles</t>
        </is>
      </c>
      <c r="F18" s="16" t="n">
        <v>31</v>
      </c>
      <c r="G18" s="19" t="n">
        <v>1182.69</v>
      </c>
      <c r="H18" s="18" t="inlineStr">
        <is>
          <t>Potential Leader</t>
        </is>
      </c>
      <c r="J18" s="18" t="inlineStr">
        <is>
          <t>auto</t>
        </is>
      </c>
      <c r="K18" s="16" t="n">
        <v>26</v>
      </c>
      <c r="L18" s="16" t="n">
        <v>27</v>
      </c>
      <c r="M18" s="21" t="inlineStr">
        <is>
          <t>-3.7%</t>
        </is>
      </c>
    </row>
    <row r="19">
      <c r="A19" s="16" t="n">
        <v>14</v>
      </c>
      <c r="B19" s="17" t="n">
        <v>276</v>
      </c>
      <c r="C19" s="17" t="inlineStr">
        <is>
          <t>VALIANTORG</t>
        </is>
      </c>
      <c r="D19" s="18" t="inlineStr">
        <is>
          <t>Valiant Organics Ltd</t>
        </is>
      </c>
      <c r="E19" s="18" t="inlineStr">
        <is>
          <t>chemicals</t>
        </is>
      </c>
      <c r="F19" s="16" t="n">
        <v>31</v>
      </c>
      <c r="G19" s="19" t="n">
        <v>1312.86</v>
      </c>
      <c r="H19" s="18" t="inlineStr">
        <is>
          <t>Potential Leader</t>
        </is>
      </c>
      <c r="J19" s="18" t="inlineStr">
        <is>
          <t>transportation</t>
        </is>
      </c>
      <c r="K19" s="16" t="n">
        <v>31</v>
      </c>
      <c r="L19" s="16" t="n">
        <v>33</v>
      </c>
      <c r="M19" s="21" t="inlineStr">
        <is>
          <t>-6.1%</t>
        </is>
      </c>
    </row>
    <row r="20">
      <c r="A20" s="16" t="n">
        <v>15</v>
      </c>
      <c r="B20" s="17" t="n">
        <v>270</v>
      </c>
      <c r="C20" s="17" t="inlineStr">
        <is>
          <t>LAURUSLABS</t>
        </is>
      </c>
      <c r="D20" s="18" t="inlineStr">
        <is>
          <t>Laurus Labs Limited</t>
        </is>
      </c>
      <c r="E20" s="18" t="inlineStr">
        <is>
          <t>healthcare</t>
        </is>
      </c>
      <c r="F20" s="16" t="n">
        <v>30</v>
      </c>
      <c r="G20" s="19" t="n">
        <v>109049.38</v>
      </c>
      <c r="H20" s="18" t="inlineStr">
        <is>
          <t>Potential Leader</t>
        </is>
      </c>
      <c r="J20" s="18" t="inlineStr">
        <is>
          <t>realty</t>
        </is>
      </c>
      <c r="K20" s="16" t="n">
        <v>44</v>
      </c>
      <c r="L20" s="16" t="n">
        <v>51</v>
      </c>
      <c r="M20" s="21" t="inlineStr">
        <is>
          <t>-13.7%</t>
        </is>
      </c>
    </row>
    <row r="21">
      <c r="A21" s="16" t="n">
        <v>16</v>
      </c>
      <c r="B21" s="17" t="n">
        <v>243</v>
      </c>
      <c r="C21" s="17" t="inlineStr">
        <is>
          <t>DYNAMATECH</t>
        </is>
      </c>
      <c r="D21" s="18" t="inlineStr">
        <is>
          <t>Dynamatic Technologies Limited</t>
        </is>
      </c>
      <c r="E21" s="18" t="inlineStr">
        <is>
          <t>aerospace &amp; defence</t>
        </is>
      </c>
      <c r="F21" s="16" t="n">
        <v>26</v>
      </c>
      <c r="G21" s="19" t="n">
        <v>9262.17</v>
      </c>
      <c r="H21" s="18" t="inlineStr">
        <is>
          <t>Potential Leader</t>
        </is>
      </c>
    </row>
    <row r="22">
      <c r="A22" s="16" t="n">
        <v>17</v>
      </c>
      <c r="B22" s="17" t="n">
        <v>243</v>
      </c>
      <c r="C22" s="17" t="inlineStr">
        <is>
          <t>GCSL</t>
        </is>
      </c>
      <c r="D22" s="18" t="inlineStr">
        <is>
          <t>Gretex Corporate Services Ltd</t>
        </is>
      </c>
      <c r="E22" s="18" t="inlineStr">
        <is>
          <t>financials</t>
        </is>
      </c>
      <c r="F22" s="16" t="n">
        <v>27</v>
      </c>
      <c r="G22" s="19" t="n">
        <v>1838.65</v>
      </c>
      <c r="H22" s="18" t="inlineStr">
        <is>
          <t>Potential Leader</t>
        </is>
      </c>
    </row>
    <row r="23">
      <c r="A23" s="16" t="n">
        <v>18</v>
      </c>
      <c r="B23" s="17" t="n">
        <v>234</v>
      </c>
      <c r="C23" s="17" t="inlineStr">
        <is>
          <t>ABDL</t>
        </is>
      </c>
      <c r="D23" s="18" t="inlineStr">
        <is>
          <t>Allied Blenders &amp; Distillers Ltd</t>
        </is>
      </c>
      <c r="E23" s="18" t="inlineStr">
        <is>
          <t>fmcg</t>
        </is>
      </c>
      <c r="F23" s="16" t="n">
        <v>26</v>
      </c>
      <c r="G23" s="19" t="n">
        <v>20677.57</v>
      </c>
      <c r="H23" s="18" t="inlineStr">
        <is>
          <t>Potential Leader</t>
        </is>
      </c>
    </row>
    <row r="24">
      <c r="A24" s="16" t="n">
        <v>19</v>
      </c>
      <c r="B24" s="17" t="n">
        <v>234</v>
      </c>
      <c r="C24" s="17" t="inlineStr">
        <is>
          <t>FILATEX</t>
        </is>
      </c>
      <c r="D24" s="18" t="inlineStr">
        <is>
          <t>Filatex India Limited</t>
        </is>
      </c>
      <c r="E24" s="18" t="inlineStr">
        <is>
          <t>textiles</t>
        </is>
      </c>
      <c r="F24" s="16" t="n">
        <v>26</v>
      </c>
      <c r="G24" s="19" t="n">
        <v>4706.13</v>
      </c>
      <c r="H24" s="18" t="inlineStr">
        <is>
          <t>Potential Leader</t>
        </is>
      </c>
    </row>
    <row r="25">
      <c r="A25" s="16" t="n">
        <v>20</v>
      </c>
      <c r="B25" s="17" t="n">
        <v>225</v>
      </c>
      <c r="C25" s="17" t="inlineStr">
        <is>
          <t>MBECL</t>
        </is>
      </c>
      <c r="D25" s="18" t="inlineStr">
        <is>
          <t>Mcnally Bharat Engineering Company Limited</t>
        </is>
      </c>
      <c r="E25" s="18" t="inlineStr">
        <is>
          <t>realty</t>
        </is>
      </c>
      <c r="F25" s="16" t="n">
        <v>25</v>
      </c>
      <c r="G25" s="19" t="n">
        <v>1429.5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ISGEC</t>
        </is>
      </c>
      <c r="B30" s="18" t="inlineStr">
        <is>
          <t>ISGEC Heavy Engineering  Ltd</t>
        </is>
      </c>
      <c r="C30" s="18" t="inlineStr">
        <is>
          <t>realty</t>
        </is>
      </c>
      <c r="D30" s="16" t="n">
        <v>10</v>
      </c>
      <c r="E30" s="16" t="n">
        <v>2</v>
      </c>
      <c r="F30" s="19" t="n">
        <v>6750.38</v>
      </c>
      <c r="J30" s="17" t="inlineStr">
        <is>
          <t>MANBA</t>
        </is>
      </c>
      <c r="K30" s="18" t="inlineStr">
        <is>
          <t>financials</t>
        </is>
      </c>
      <c r="L30" s="19" t="n">
        <v>290</v>
      </c>
      <c r="M30" s="19" t="n">
        <v>706.5700000000001</v>
      </c>
      <c r="N30" s="16" t="n">
        <v>23</v>
      </c>
    </row>
    <row r="31">
      <c r="A31" s="17" t="inlineStr">
        <is>
          <t>PATELRMART</t>
        </is>
      </c>
      <c r="B31" s="18" t="inlineStr">
        <is>
          <t>Patel Retail Ltd</t>
        </is>
      </c>
      <c r="C31" s="18" t="inlineStr">
        <is>
          <t>consumer discretionary</t>
        </is>
      </c>
      <c r="D31" s="16" t="n">
        <v>10</v>
      </c>
      <c r="E31" s="16" t="n">
        <v>0</v>
      </c>
      <c r="F31" s="19" t="n">
        <v>790.1900000000001</v>
      </c>
      <c r="J31" s="17" t="inlineStr">
        <is>
          <t>SHANTIGOLD</t>
        </is>
      </c>
      <c r="K31" s="18" t="inlineStr">
        <is>
          <t>consumer discretionary</t>
        </is>
      </c>
      <c r="L31" s="19" t="n">
        <v>288</v>
      </c>
      <c r="M31" s="19" t="n">
        <v>3000.13</v>
      </c>
      <c r="N31" s="16" t="n">
        <v>26</v>
      </c>
    </row>
    <row r="32">
      <c r="A32" s="17" t="inlineStr">
        <is>
          <t>GPTINFRA</t>
        </is>
      </c>
      <c r="B32" s="18" t="inlineStr">
        <is>
          <t>Gpt Infraprojects Limited</t>
        </is>
      </c>
      <c r="C32" s="18" t="inlineStr">
        <is>
          <t>realty</t>
        </is>
      </c>
      <c r="D32" s="16" t="n">
        <v>9</v>
      </c>
      <c r="E32" s="16" t="n">
        <v>0</v>
      </c>
      <c r="F32" s="19" t="n">
        <v>1576.52</v>
      </c>
      <c r="J32" s="17" t="inlineStr">
        <is>
          <t>IBULLSLTD</t>
        </is>
      </c>
      <c r="K32" s="18" t="inlineStr">
        <is>
          <t>miscellaneous</t>
        </is>
      </c>
      <c r="L32" s="19" t="n">
        <v>288</v>
      </c>
      <c r="M32" s="19" t="n">
        <v>8346.75</v>
      </c>
      <c r="N32" s="16" t="n">
        <v>23</v>
      </c>
    </row>
    <row r="33">
      <c r="A33" s="17" t="inlineStr">
        <is>
          <t>MAYURUNIQ</t>
        </is>
      </c>
      <c r="B33" s="18" t="inlineStr">
        <is>
          <t>Mayur Uniquoters Ltd</t>
        </is>
      </c>
      <c r="C33" s="18" t="inlineStr">
        <is>
          <t>consumer discretionary</t>
        </is>
      </c>
      <c r="D33" s="16" t="n">
        <v>8</v>
      </c>
      <c r="E33" s="16" t="n">
        <v>0</v>
      </c>
      <c r="F33" s="19" t="n">
        <v>3435.58</v>
      </c>
      <c r="J33" s="17" t="inlineStr">
        <is>
          <t>PASUPTAC</t>
        </is>
      </c>
      <c r="K33" s="18" t="inlineStr">
        <is>
          <t>textiles</t>
        </is>
      </c>
      <c r="L33" s="19" t="n">
        <v>288</v>
      </c>
      <c r="M33" s="19" t="n">
        <v>709.05</v>
      </c>
      <c r="N33" s="16" t="n">
        <v>24</v>
      </c>
    </row>
    <row r="34">
      <c r="A34" s="17" t="inlineStr">
        <is>
          <t>ARIHANTCAP</t>
        </is>
      </c>
      <c r="B34" s="18" t="inlineStr">
        <is>
          <t>Arihant Capital Markets Ltd</t>
        </is>
      </c>
      <c r="C34" s="18" t="inlineStr">
        <is>
          <t>financials</t>
        </is>
      </c>
      <c r="D34" s="16" t="n">
        <v>7</v>
      </c>
      <c r="E34" s="16" t="n">
        <v>0</v>
      </c>
      <c r="F34" s="19" t="n">
        <v>1088.56</v>
      </c>
      <c r="J34" s="17" t="inlineStr">
        <is>
          <t>MODISONLTD</t>
        </is>
      </c>
      <c r="K34" s="18" t="inlineStr">
        <is>
          <t>industrials</t>
        </is>
      </c>
      <c r="L34" s="19" t="n">
        <v>288</v>
      </c>
      <c r="M34" s="19" t="n">
        <v>1705.25</v>
      </c>
      <c r="N34" s="16" t="n">
        <v>23</v>
      </c>
    </row>
    <row r="35">
      <c r="A35" s="17" t="inlineStr">
        <is>
          <t>PARAGMILK</t>
        </is>
      </c>
      <c r="B35" s="18" t="inlineStr">
        <is>
          <t>Parag Milk Foods Limited</t>
        </is>
      </c>
      <c r="C35" s="18" t="inlineStr">
        <is>
          <t>Consumer Defensive</t>
        </is>
      </c>
      <c r="D35" s="16" t="n">
        <v>7</v>
      </c>
      <c r="E35" s="16" t="n">
        <v>0</v>
      </c>
      <c r="F35" s="19" t="n">
        <v>3454.12</v>
      </c>
      <c r="J35" s="17" t="inlineStr">
        <is>
          <t>KROSS</t>
        </is>
      </c>
      <c r="K35" s="18" t="inlineStr">
        <is>
          <t>auto</t>
        </is>
      </c>
      <c r="L35" s="19" t="n">
        <v>288</v>
      </c>
      <c r="M35" s="19" t="n">
        <v>1748.21</v>
      </c>
      <c r="N35" s="16" t="n">
        <v>24</v>
      </c>
    </row>
    <row r="36">
      <c r="A36" s="17" t="inlineStr">
        <is>
          <t>MOBIKWIK</t>
        </is>
      </c>
      <c r="B36" s="18" t="inlineStr">
        <is>
          <t>One MobiKwik Systems Limited</t>
        </is>
      </c>
      <c r="C36" s="18" t="inlineStr">
        <is>
          <t>Technology</t>
        </is>
      </c>
      <c r="D36" s="16" t="n">
        <v>7</v>
      </c>
      <c r="E36" s="16" t="n">
        <v>0</v>
      </c>
      <c r="F36" s="19" t="n">
        <v>1800.15</v>
      </c>
      <c r="J36" s="17" t="inlineStr">
        <is>
          <t>PGIL</t>
        </is>
      </c>
      <c r="K36" s="18" t="inlineStr">
        <is>
          <t>readymade garments/apparels</t>
        </is>
      </c>
      <c r="L36" s="19" t="n">
        <v>288</v>
      </c>
      <c r="M36" s="19" t="n">
        <v>11670.5</v>
      </c>
      <c r="N36" s="16" t="n">
        <v>21</v>
      </c>
    </row>
    <row r="37">
      <c r="A37" s="17" t="inlineStr">
        <is>
          <t>BLKASHYAP</t>
        </is>
      </c>
      <c r="B37" s="18" t="inlineStr">
        <is>
          <t>B. L. Kashyap And Sons Limited</t>
        </is>
      </c>
      <c r="C37" s="18" t="inlineStr">
        <is>
          <t>realty</t>
        </is>
      </c>
      <c r="D37" s="16" t="n">
        <v>6</v>
      </c>
      <c r="E37" s="16" t="n">
        <v>1</v>
      </c>
      <c r="F37" s="19" t="n">
        <v>1325.14</v>
      </c>
      <c r="J37" s="17" t="inlineStr">
        <is>
          <t>VINDHYATEL</t>
        </is>
      </c>
      <c r="K37" s="18" t="inlineStr">
        <is>
          <t>realty</t>
        </is>
      </c>
      <c r="L37" s="19" t="n">
        <v>288</v>
      </c>
      <c r="M37" s="19" t="n">
        <v>3359.48</v>
      </c>
      <c r="N37" s="16" t="n">
        <v>19</v>
      </c>
    </row>
    <row r="38">
      <c r="A38" s="17" t="inlineStr">
        <is>
          <t>BBOX</t>
        </is>
      </c>
      <c r="B38" s="18" t="inlineStr">
        <is>
          <t>Black Box Ltd</t>
        </is>
      </c>
      <c r="C38" s="18" t="inlineStr">
        <is>
          <t>i.t</t>
        </is>
      </c>
      <c r="D38" s="16" t="n">
        <v>6</v>
      </c>
      <c r="E38" s="16" t="n">
        <v>0</v>
      </c>
      <c r="F38" s="19" t="n">
        <v>15632.28</v>
      </c>
      <c r="J38" s="17" t="inlineStr">
        <is>
          <t>ORBTEXP</t>
        </is>
      </c>
      <c r="K38" s="18" t="inlineStr">
        <is>
          <t>textiles</t>
        </is>
      </c>
      <c r="L38" s="19" t="n">
        <v>288</v>
      </c>
      <c r="M38" s="19" t="n">
        <v>686.9</v>
      </c>
      <c r="N38" s="16" t="n">
        <v>8</v>
      </c>
    </row>
    <row r="39">
      <c r="A39" s="17" t="inlineStr">
        <is>
          <t>ATLANTAELE</t>
        </is>
      </c>
      <c r="B39" s="18" t="inlineStr">
        <is>
          <t>Atlanta Electricals Limited</t>
        </is>
      </c>
      <c r="C39" s="18" t="inlineStr">
        <is>
          <t>Industrials</t>
        </is>
      </c>
      <c r="D39" s="16" t="n">
        <v>5</v>
      </c>
      <c r="E39" s="16" t="n">
        <v>0</v>
      </c>
      <c r="F39" s="19" t="n">
        <v>13035.52</v>
      </c>
      <c r="J39" s="17" t="inlineStr">
        <is>
          <t>E2E</t>
        </is>
      </c>
      <c r="K39" s="18" t="inlineStr">
        <is>
          <t>i.t</t>
        </is>
      </c>
      <c r="L39" s="19" t="n">
        <v>285</v>
      </c>
      <c r="M39" s="19" t="n">
        <v>14613.61</v>
      </c>
      <c r="N39" s="16" t="n">
        <v>19</v>
      </c>
    </row>
    <row r="40">
      <c r="A40" s="17" t="inlineStr">
        <is>
          <t>BMWVENTLTD</t>
        </is>
      </c>
      <c r="B40" s="18" t="inlineStr">
        <is>
          <t>BMW Ventures Ltd</t>
        </is>
      </c>
      <c r="C40" s="18" t="inlineStr">
        <is>
          <t>services</t>
        </is>
      </c>
      <c r="D40" s="16" t="n">
        <v>5</v>
      </c>
      <c r="E40" s="16" t="n">
        <v>0</v>
      </c>
      <c r="F40" s="19" t="n">
        <v>618.02</v>
      </c>
      <c r="J40" s="17" t="inlineStr">
        <is>
          <t>AVTNPL</t>
        </is>
      </c>
      <c r="K40" s="18" t="inlineStr">
        <is>
          <t>fmcg</t>
        </is>
      </c>
      <c r="L40" s="19" t="n">
        <v>285</v>
      </c>
      <c r="M40" s="19" t="n">
        <v>1519.03</v>
      </c>
      <c r="N40" s="16" t="n">
        <v>18</v>
      </c>
    </row>
    <row r="41">
      <c r="A41" s="17" t="inlineStr">
        <is>
          <t>AXISBANK</t>
        </is>
      </c>
      <c r="B41" s="18" t="inlineStr">
        <is>
          <t>Axis Bank Limited</t>
        </is>
      </c>
      <c r="C41" s="18" t="inlineStr">
        <is>
          <t>bank</t>
        </is>
      </c>
      <c r="D41" s="16" t="n">
        <v>4</v>
      </c>
      <c r="E41" s="16" t="n">
        <v>1</v>
      </c>
      <c r="F41" s="19" t="n">
        <v>401043.24</v>
      </c>
      <c r="J41" s="17" t="inlineStr">
        <is>
          <t>SOUTHBANK</t>
        </is>
      </c>
      <c r="K41" s="18" t="inlineStr">
        <is>
          <t>bank</t>
        </is>
      </c>
      <c r="L41" s="19" t="n">
        <v>285</v>
      </c>
      <c r="M41" s="19" t="n">
        <v>13485.21</v>
      </c>
      <c r="N41" s="16" t="n">
        <v>13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89.03</v>
      </c>
      <c r="D47" s="28" t="n">
        <v>283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4824.62</v>
      </c>
    </row>
    <row r="48">
      <c r="A48" s="16" t="n">
        <v>2</v>
      </c>
      <c r="B48" s="27" t="n">
        <v>98</v>
      </c>
      <c r="C48" s="28" t="n">
        <v>65.7</v>
      </c>
      <c r="D48" s="28" t="n">
        <v>253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3155.56</v>
      </c>
    </row>
    <row r="49">
      <c r="A49" s="16" t="n">
        <v>3</v>
      </c>
      <c r="B49" s="27" t="n">
        <v>98</v>
      </c>
      <c r="C49" s="28" t="n">
        <v>53.7</v>
      </c>
      <c r="D49" s="28" t="n">
        <v>265</v>
      </c>
      <c r="E49" s="17" t="inlineStr">
        <is>
          <t>BAFNAPH</t>
        </is>
      </c>
      <c r="F49" s="18" t="inlineStr">
        <is>
          <t>Bafna Pharmaceuticals Ltd</t>
        </is>
      </c>
      <c r="G49" s="18" t="inlineStr">
        <is>
          <t>healthcare</t>
        </is>
      </c>
      <c r="H49" s="19" t="n">
        <v>1070.09</v>
      </c>
    </row>
    <row r="50">
      <c r="A50" s="16" t="n">
        <v>4</v>
      </c>
      <c r="B50" s="27" t="n">
        <v>97</v>
      </c>
      <c r="C50" s="28" t="n">
        <v>52.05</v>
      </c>
      <c r="D50" s="28" t="n">
        <v>278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15513.84</v>
      </c>
    </row>
    <row r="51">
      <c r="A51" s="16" t="n">
        <v>5</v>
      </c>
      <c r="B51" s="27" t="n">
        <v>96</v>
      </c>
      <c r="C51" s="28" t="n">
        <v>48.27</v>
      </c>
      <c r="D51" s="28" t="n">
        <v>263</v>
      </c>
      <c r="E51" s="17" t="inlineStr">
        <is>
          <t>SPECTRUM</t>
        </is>
      </c>
      <c r="F51" s="18" t="inlineStr">
        <is>
          <t>Spectrum Electrical Industries Ltd</t>
        </is>
      </c>
      <c r="G51" s="18" t="inlineStr">
        <is>
          <t>industrials</t>
        </is>
      </c>
      <c r="H51" s="19" t="n">
        <v>6491.19</v>
      </c>
    </row>
    <row r="52">
      <c r="A52" s="16" t="n">
        <v>6</v>
      </c>
      <c r="B52" s="27" t="n">
        <v>96</v>
      </c>
      <c r="C52" s="28" t="n">
        <v>47.33</v>
      </c>
      <c r="D52" s="28" t="n">
        <v>288</v>
      </c>
      <c r="E52" s="17" t="inlineStr">
        <is>
          <t>MODISONLTD</t>
        </is>
      </c>
      <c r="F52" s="18" t="inlineStr">
        <is>
          <t>Modison Ltd</t>
        </is>
      </c>
      <c r="G52" s="18" t="inlineStr">
        <is>
          <t>industrials</t>
        </is>
      </c>
      <c r="H52" s="19" t="n">
        <v>1705.25</v>
      </c>
    </row>
    <row r="53">
      <c r="A53" s="16" t="n">
        <v>7</v>
      </c>
      <c r="B53" s="27" t="n">
        <v>95</v>
      </c>
      <c r="C53" s="28" t="n">
        <v>43.13</v>
      </c>
      <c r="D53" s="28" t="n">
        <v>268</v>
      </c>
      <c r="E53" s="17" t="inlineStr">
        <is>
          <t>SKYGOLD</t>
        </is>
      </c>
      <c r="F53" s="18" t="inlineStr">
        <is>
          <t>Sky Gold Ltd</t>
        </is>
      </c>
      <c r="G53" s="18" t="inlineStr">
        <is>
          <t>consumer discretionary</t>
        </is>
      </c>
      <c r="H53" s="19" t="n">
        <v>15509.85</v>
      </c>
    </row>
    <row r="54">
      <c r="A54" s="16" t="n">
        <v>8</v>
      </c>
      <c r="B54" s="29" t="n">
        <v>94</v>
      </c>
      <c r="C54" s="28" t="n">
        <v>40.41</v>
      </c>
      <c r="D54" s="28" t="n">
        <v>288</v>
      </c>
      <c r="E54" s="17" t="inlineStr">
        <is>
          <t>SHANTIGOLD</t>
        </is>
      </c>
      <c r="F54" s="18" t="inlineStr">
        <is>
          <t>Shanti Gold International Ltd</t>
        </is>
      </c>
      <c r="G54" s="18" t="inlineStr">
        <is>
          <t>consumer discretionary</t>
        </is>
      </c>
      <c r="H54" s="19" t="n">
        <v>3000.13</v>
      </c>
    </row>
    <row r="55">
      <c r="A55" s="16" t="n">
        <v>9</v>
      </c>
      <c r="B55" s="29" t="n">
        <v>94</v>
      </c>
      <c r="C55" s="28" t="n">
        <v>40.23</v>
      </c>
      <c r="D55" s="28" t="n">
        <v>260</v>
      </c>
      <c r="E55" s="17" t="inlineStr">
        <is>
          <t>VALIANTLAB</t>
        </is>
      </c>
      <c r="F55" s="18" t="inlineStr">
        <is>
          <t>Valiant Laboratories Ltd</t>
        </is>
      </c>
      <c r="G55" s="18" t="inlineStr">
        <is>
          <t>healthcare</t>
        </is>
      </c>
      <c r="H55" s="19" t="n">
        <v>696.5</v>
      </c>
    </row>
    <row r="56">
      <c r="A56" s="16" t="n">
        <v>10</v>
      </c>
      <c r="B56" s="29" t="n">
        <v>93</v>
      </c>
      <c r="C56" s="28" t="n">
        <v>39.58</v>
      </c>
      <c r="D56" s="28" t="n">
        <v>263</v>
      </c>
      <c r="E56" s="17" t="inlineStr">
        <is>
          <t>SHREEJISPG</t>
        </is>
      </c>
      <c r="F56" s="18" t="inlineStr">
        <is>
          <t>Shreeji Shipping Global Ltd</t>
        </is>
      </c>
      <c r="G56" s="18" t="inlineStr">
        <is>
          <t>transportation</t>
        </is>
      </c>
      <c r="H56" s="19" t="n">
        <v>13606.12</v>
      </c>
    </row>
    <row r="57">
      <c r="A57" s="16" t="n">
        <v>11</v>
      </c>
      <c r="B57" s="29" t="n">
        <v>92</v>
      </c>
      <c r="C57" s="28" t="n">
        <v>38.71</v>
      </c>
      <c r="D57" s="28" t="n">
        <v>248</v>
      </c>
      <c r="E57" s="17" t="inlineStr">
        <is>
          <t>RAYMOND</t>
        </is>
      </c>
      <c r="F57" s="18" t="inlineStr">
        <is>
          <t>Raymond Limited</t>
        </is>
      </c>
      <c r="G57" s="18" t="inlineStr">
        <is>
          <t>transportation</t>
        </is>
      </c>
      <c r="H57" s="19" t="n">
        <v>7603.39</v>
      </c>
    </row>
    <row r="58">
      <c r="A58" s="16" t="n">
        <v>12</v>
      </c>
      <c r="B58" s="29" t="n">
        <v>92</v>
      </c>
      <c r="C58" s="28" t="n">
        <v>38.14</v>
      </c>
      <c r="D58" s="28" t="n">
        <v>283</v>
      </c>
      <c r="E58" s="17" t="inlineStr">
        <is>
          <t>NRL</t>
        </is>
      </c>
      <c r="F58" s="18" t="inlineStr">
        <is>
          <t>Nupur Recyclers Ltd</t>
        </is>
      </c>
      <c r="G58" s="18" t="inlineStr">
        <is>
          <t>services</t>
        </is>
      </c>
      <c r="H58" s="19" t="n">
        <v>1143.37</v>
      </c>
    </row>
    <row r="59">
      <c r="A59" s="16" t="n">
        <v>13</v>
      </c>
      <c r="B59" s="29" t="n">
        <v>91</v>
      </c>
      <c r="C59" s="28" t="n">
        <v>38.07</v>
      </c>
      <c r="D59" s="28" t="n">
        <v>260</v>
      </c>
      <c r="E59" s="17" t="inlineStr">
        <is>
          <t>GCSL</t>
        </is>
      </c>
      <c r="F59" s="18" t="inlineStr">
        <is>
          <t>Gretex Corporate Services Ltd</t>
        </is>
      </c>
      <c r="G59" s="18" t="inlineStr">
        <is>
          <t>financials</t>
        </is>
      </c>
      <c r="H59" s="19" t="n">
        <v>1838.65</v>
      </c>
    </row>
    <row r="60">
      <c r="A60" s="16" t="n">
        <v>14</v>
      </c>
      <c r="B60" s="29" t="n">
        <v>90</v>
      </c>
      <c r="C60" s="28" t="n">
        <v>36.86</v>
      </c>
      <c r="D60" s="28" t="n">
        <v>270</v>
      </c>
      <c r="E60" s="17" t="inlineStr">
        <is>
          <t>TFCILTD</t>
        </is>
      </c>
      <c r="F60" s="18" t="inlineStr">
        <is>
          <t>Tourism Finance Corporation Of India Limited</t>
        </is>
      </c>
      <c r="G60" s="18" t="inlineStr">
        <is>
          <t>financials</t>
        </is>
      </c>
      <c r="H60" s="19" t="n">
        <v>7306.71</v>
      </c>
    </row>
    <row r="61">
      <c r="A61" s="16" t="n">
        <v>15</v>
      </c>
      <c r="B61" s="29" t="n">
        <v>90</v>
      </c>
      <c r="C61" s="28" t="n">
        <v>36.44</v>
      </c>
      <c r="D61" s="28" t="n">
        <v>285</v>
      </c>
      <c r="E61" s="17" t="inlineStr">
        <is>
          <t>E2E</t>
        </is>
      </c>
      <c r="F61" s="18" t="inlineStr">
        <is>
          <t>E2E Networks Ltd</t>
        </is>
      </c>
      <c r="G61" s="18" t="inlineStr">
        <is>
          <t>i.t</t>
        </is>
      </c>
      <c r="H61" s="19" t="n">
        <v>14613.61</v>
      </c>
    </row>
    <row r="6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ONWARDTEC</t>
        </is>
      </c>
      <c r="B2" s="31" t="inlineStr">
        <is>
          <t>Onward Technologies Limited</t>
        </is>
      </c>
      <c r="C2" s="31" t="inlineStr">
        <is>
          <t>i.t</t>
        </is>
      </c>
      <c r="D2" s="31" t="inlineStr">
        <is>
          <t>computers - software - medium / small</t>
        </is>
      </c>
      <c r="E2" s="31" t="inlineStr">
        <is>
          <t>smallcap</t>
        </is>
      </c>
      <c r="F2" s="31" t="n">
        <v>792.52</v>
      </c>
      <c r="G2" s="31" t="n">
        <v>427.4</v>
      </c>
      <c r="H2" s="31" t="n">
        <v>19.99</v>
      </c>
      <c r="I2" s="31" t="n">
        <v>2394243</v>
      </c>
      <c r="J2" s="31" t="inlineStr">
        <is>
          <t>517536</t>
        </is>
      </c>
    </row>
    <row r="3">
      <c r="A3" s="31" t="inlineStr">
        <is>
          <t>SHREERAMA</t>
        </is>
      </c>
      <c r="B3" s="31" t="inlineStr">
        <is>
          <t>Shree Rama Multi-tech Limited</t>
        </is>
      </c>
      <c r="C3" s="31" t="inlineStr">
        <is>
          <t>industrials</t>
        </is>
      </c>
      <c r="D3" s="31" t="inlineStr">
        <is>
          <t>packaging</t>
        </is>
      </c>
      <c r="E3" s="31" t="inlineStr">
        <is>
          <t>smallcap</t>
        </is>
      </c>
      <c r="F3" s="31" t="n">
        <v>677.35</v>
      </c>
      <c r="G3" s="31" t="n">
        <v>58.53</v>
      </c>
      <c r="H3" s="31" t="n">
        <v>15.33</v>
      </c>
      <c r="I3" s="31" t="n">
        <v>1421529</v>
      </c>
      <c r="J3" s="31" t="inlineStr">
        <is>
          <t>532310</t>
        </is>
      </c>
    </row>
    <row r="4">
      <c r="A4" s="31" t="inlineStr">
        <is>
          <t>PCJEWELLER</t>
        </is>
      </c>
      <c r="B4" s="31" t="inlineStr">
        <is>
          <t>Pc Jeweller Limited</t>
        </is>
      </c>
      <c r="C4" s="31" t="inlineStr">
        <is>
          <t>consumer discretionary</t>
        </is>
      </c>
      <c r="D4" s="31" t="inlineStr">
        <is>
          <t>diamond cutting / jewellery</t>
        </is>
      </c>
      <c r="E4" s="31" t="inlineStr">
        <is>
          <t>midcap</t>
        </is>
      </c>
      <c r="F4" s="31" t="n">
        <v>14172.21</v>
      </c>
      <c r="G4" s="31" t="n">
        <v>16.28</v>
      </c>
      <c r="H4" s="31" t="n">
        <v>12.66</v>
      </c>
      <c r="I4" s="31" t="n">
        <v>1854200053</v>
      </c>
      <c r="J4" s="31" t="inlineStr">
        <is>
          <t>534809</t>
        </is>
      </c>
    </row>
    <row r="5">
      <c r="A5" s="31" t="inlineStr">
        <is>
          <t>TIPSMUSIC</t>
        </is>
      </c>
      <c r="B5" s="31" t="inlineStr">
        <is>
          <t>Tips Music Ltd</t>
        </is>
      </c>
      <c r="C5" s="31" t="inlineStr">
        <is>
          <t>media</t>
        </is>
      </c>
      <c r="D5" s="31" t="inlineStr">
        <is>
          <t>entertainment / electronic media software</t>
        </is>
      </c>
      <c r="E5" s="31" t="inlineStr">
        <is>
          <t>midcap</t>
        </is>
      </c>
      <c r="F5" s="31" t="n">
        <v>8726.57</v>
      </c>
      <c r="G5" s="31" t="n">
        <v>746.9</v>
      </c>
      <c r="H5" s="31" t="n">
        <v>9.130000000000001</v>
      </c>
      <c r="I5" s="31" t="n">
        <v>4468460</v>
      </c>
      <c r="J5" s="31" t="inlineStr">
        <is>
          <t>532375</t>
        </is>
      </c>
    </row>
    <row r="6">
      <c r="A6" s="31" t="inlineStr">
        <is>
          <t>OAL</t>
        </is>
      </c>
      <c r="B6" s="31" t="inlineStr">
        <is>
          <t>Oriental Aromatics Ltd</t>
        </is>
      </c>
      <c r="C6" s="31" t="inlineStr">
        <is>
          <t>chemicals</t>
        </is>
      </c>
      <c r="D6" s="31" t="inlineStr">
        <is>
          <t>chemicals</t>
        </is>
      </c>
      <c r="E6" s="31" t="inlineStr">
        <is>
          <t>smallcap</t>
        </is>
      </c>
      <c r="F6" s="31" t="n">
        <v>1949.05</v>
      </c>
      <c r="G6" s="31" t="n">
        <v>629.55</v>
      </c>
      <c r="H6" s="31" t="n">
        <v>8.699999999999999</v>
      </c>
      <c r="I6" s="31" t="n">
        <v>1100954</v>
      </c>
      <c r="J6" s="31" t="inlineStr">
        <is>
          <t>500078</t>
        </is>
      </c>
    </row>
    <row r="7">
      <c r="A7" s="31" t="inlineStr">
        <is>
          <t>TECHM</t>
        </is>
      </c>
      <c r="B7" s="31" t="inlineStr">
        <is>
          <t>Tech Mahindra Limited</t>
        </is>
      </c>
      <c r="C7" s="31" t="inlineStr">
        <is>
          <t>i.t</t>
        </is>
      </c>
      <c r="D7" s="31" t="inlineStr">
        <is>
          <t>computers - software - large</t>
        </is>
      </c>
      <c r="E7" s="31" t="inlineStr">
        <is>
          <t>largecap</t>
        </is>
      </c>
      <c r="F7" s="31" t="n">
        <v>161709.56</v>
      </c>
      <c r="G7" s="31" t="n">
        <v>1790</v>
      </c>
      <c r="H7" s="31" t="n">
        <v>8.48</v>
      </c>
      <c r="I7" s="31" t="n">
        <v>20829435</v>
      </c>
      <c r="J7" s="31" t="inlineStr">
        <is>
          <t>532755</t>
        </is>
      </c>
    </row>
    <row r="8">
      <c r="A8" s="31" t="inlineStr">
        <is>
          <t>SHANTIGOLD</t>
        </is>
      </c>
      <c r="B8" s="31" t="inlineStr">
        <is>
          <t>Shanti Gold International Ltd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smallcap</t>
        </is>
      </c>
      <c r="F8" s="31" t="n">
        <v>3000.13</v>
      </c>
      <c r="G8" s="31" t="n">
        <v>423.3</v>
      </c>
      <c r="H8" s="31" t="n">
        <v>8.27</v>
      </c>
      <c r="I8" s="31" t="n">
        <v>5873640</v>
      </c>
      <c r="J8" s="31" t="inlineStr">
        <is>
          <t>544459</t>
        </is>
      </c>
    </row>
    <row r="9">
      <c r="A9" s="31" t="inlineStr">
        <is>
          <t>MVGJL</t>
        </is>
      </c>
      <c r="B9" s="31" t="inlineStr">
        <is>
          <t>Manoj Vaibhav Gems N Jewellers Ltd</t>
        </is>
      </c>
      <c r="C9" s="31" t="inlineStr">
        <is>
          <t>consumer discretionary</t>
        </is>
      </c>
      <c r="D9" s="31" t="inlineStr">
        <is>
          <t>diamond cutting / jewellery</t>
        </is>
      </c>
      <c r="E9" s="31" t="inlineStr">
        <is>
          <t>smallcap</t>
        </is>
      </c>
      <c r="F9" s="31" t="n">
        <v>1022.96</v>
      </c>
      <c r="G9" s="31" t="n">
        <v>225.27</v>
      </c>
      <c r="H9" s="31" t="n">
        <v>7.57</v>
      </c>
      <c r="I9" s="31" t="n">
        <v>1383314</v>
      </c>
      <c r="J9" s="31" t="inlineStr">
        <is>
          <t>543995</t>
        </is>
      </c>
    </row>
    <row r="10">
      <c r="A10" s="31" t="inlineStr">
        <is>
          <t>DHANBANK</t>
        </is>
      </c>
      <c r="B10" s="31" t="inlineStr">
        <is>
          <t>Dhanlaxmi Bank Limited</t>
        </is>
      </c>
      <c r="C10" s="31" t="inlineStr">
        <is>
          <t>bank</t>
        </is>
      </c>
      <c r="D10" s="31" t="inlineStr">
        <is>
          <t>banks - private sector</t>
        </is>
      </c>
      <c r="E10" s="31" t="inlineStr">
        <is>
          <t>smallcap</t>
        </is>
      </c>
      <c r="F10" s="31" t="n">
        <v>1319.08</v>
      </c>
      <c r="G10" s="31" t="n">
        <v>35.79</v>
      </c>
      <c r="H10" s="31" t="n">
        <v>7.09</v>
      </c>
      <c r="I10" s="31" t="n">
        <v>4036553</v>
      </c>
      <c r="J10" s="31" t="inlineStr">
        <is>
          <t>532180</t>
        </is>
      </c>
    </row>
    <row r="11">
      <c r="A11" s="31" t="inlineStr">
        <is>
          <t>SHRIPISTON</t>
        </is>
      </c>
      <c r="B11" s="31" t="inlineStr">
        <is>
          <t>Shriram Pistons &amp; Rings Limited</t>
        </is>
      </c>
      <c r="C11" s="31" t="inlineStr">
        <is>
          <t>auto</t>
        </is>
      </c>
      <c r="D11" s="31" t="inlineStr">
        <is>
          <t>auto ancillaries</t>
        </is>
      </c>
      <c r="E11" s="31" t="inlineStr">
        <is>
          <t>largecap</t>
        </is>
      </c>
      <c r="F11" s="31" t="n">
        <v>20099.17</v>
      </c>
      <c r="G11" s="31" t="n">
        <v>4629.9</v>
      </c>
      <c r="H11" s="31" t="n">
        <v>6.85</v>
      </c>
      <c r="I11" s="31" t="n">
        <v>168717</v>
      </c>
      <c r="J11" s="31" t="n"/>
    </row>
    <row r="12">
      <c r="A12" s="31" t="inlineStr">
        <is>
          <t>SKYGOLD</t>
        </is>
      </c>
      <c r="B12" s="31" t="inlineStr">
        <is>
          <t>Sky Gold Ltd</t>
        </is>
      </c>
      <c r="C12" s="31" t="inlineStr">
        <is>
          <t>consumer discretionary</t>
        </is>
      </c>
      <c r="D12" s="31" t="inlineStr">
        <is>
          <t>diamond cutting / jewellery</t>
        </is>
      </c>
      <c r="E12" s="31" t="inlineStr">
        <is>
          <t>midcap</t>
        </is>
      </c>
      <c r="F12" s="31" t="n">
        <v>15509.85</v>
      </c>
      <c r="G12" s="31" t="n">
        <v>1060.6</v>
      </c>
      <c r="H12" s="31" t="n">
        <v>5.91</v>
      </c>
      <c r="I12" s="31" t="n">
        <v>2530213</v>
      </c>
      <c r="J12" s="31" t="inlineStr">
        <is>
          <t>541967</t>
        </is>
      </c>
    </row>
    <row r="13">
      <c r="A13" s="31" t="inlineStr">
        <is>
          <t>RPGLIFE</t>
        </is>
      </c>
      <c r="B13" s="31" t="inlineStr">
        <is>
          <t>Rpg Life Sciences Limited</t>
        </is>
      </c>
      <c r="C13" s="31" t="inlineStr">
        <is>
          <t>healthcare</t>
        </is>
      </c>
      <c r="D13" s="31" t="inlineStr">
        <is>
          <t>pharmaceuticals - indian - bulk drugs &amp; formln</t>
        </is>
      </c>
      <c r="E13" s="31" t="inlineStr">
        <is>
          <t>smallcap</t>
        </is>
      </c>
      <c r="F13" s="31" t="n">
        <v>4595.37</v>
      </c>
      <c r="G13" s="31" t="n">
        <v>2940.6</v>
      </c>
      <c r="H13" s="31" t="n">
        <v>5.83</v>
      </c>
      <c r="I13" s="31" t="n">
        <v>49381</v>
      </c>
      <c r="J13" s="31" t="inlineStr">
        <is>
          <t>532983</t>
        </is>
      </c>
    </row>
    <row r="14">
      <c r="A14" s="31" t="inlineStr">
        <is>
          <t>SGMART</t>
        </is>
      </c>
      <c r="B14" s="31" t="inlineStr">
        <is>
          <t>SG Mart Ltd</t>
        </is>
      </c>
      <c r="C14" s="31" t="inlineStr">
        <is>
          <t>services</t>
        </is>
      </c>
      <c r="D14" s="31" t="inlineStr">
        <is>
          <t>trading</t>
        </is>
      </c>
      <c r="E14" s="31" t="inlineStr">
        <is>
          <t>midcap</t>
        </is>
      </c>
      <c r="F14" s="31" t="n">
        <v>9519.879999999999</v>
      </c>
      <c r="G14" s="31" t="n">
        <v>798.2</v>
      </c>
      <c r="H14" s="31" t="n">
        <v>5.71</v>
      </c>
      <c r="I14" s="31" t="n">
        <v>385388</v>
      </c>
      <c r="J14" s="31" t="inlineStr">
        <is>
          <t>512329</t>
        </is>
      </c>
    </row>
    <row r="15">
      <c r="A15" s="31" t="inlineStr">
        <is>
          <t>SAMBHV</t>
        </is>
      </c>
      <c r="B15" s="31" t="inlineStr">
        <is>
          <t>Sambhv Steel Tubes Ltd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smallcap</t>
        </is>
      </c>
      <c r="F15" s="31" t="n">
        <v>4807.56</v>
      </c>
      <c r="G15" s="31" t="n">
        <v>172.47</v>
      </c>
      <c r="H15" s="31" t="n">
        <v>5.71</v>
      </c>
      <c r="I15" s="31" t="n">
        <v>7051078</v>
      </c>
      <c r="J15" s="31" t="inlineStr">
        <is>
          <t>544430</t>
        </is>
      </c>
    </row>
    <row r="16">
      <c r="A16" s="31" t="inlineStr">
        <is>
          <t>AIIL</t>
        </is>
      </c>
      <c r="B16" s="31" t="inlineStr">
        <is>
          <t>Authum Investment &amp; Infrastructure Ltd</t>
        </is>
      </c>
      <c r="C16" s="31" t="inlineStr">
        <is>
          <t>financials</t>
        </is>
      </c>
      <c r="D16" s="31" t="inlineStr">
        <is>
          <t>finance &amp; investments</t>
        </is>
      </c>
      <c r="E16" s="31" t="inlineStr">
        <is>
          <t>largecap</t>
        </is>
      </c>
      <c r="F16" s="31" t="n">
        <v>45972.82</v>
      </c>
      <c r="G16" s="31" t="n">
        <v>571.9</v>
      </c>
      <c r="H16" s="31" t="n">
        <v>5.64</v>
      </c>
      <c r="I16" s="31" t="n">
        <v>694873</v>
      </c>
      <c r="J16" s="31" t="inlineStr">
        <is>
          <t>539177</t>
        </is>
      </c>
    </row>
    <row r="17">
      <c r="A17" s="31" t="inlineStr">
        <is>
          <t>SHRINGARMS</t>
        </is>
      </c>
      <c r="B17" s="31" t="inlineStr">
        <is>
          <t>Shringar House of Mangalsutra Ltd</t>
        </is>
      </c>
      <c r="C17" s="31" t="inlineStr">
        <is>
          <t>consumer discretionary</t>
        </is>
      </c>
      <c r="D17" s="31" t="inlineStr">
        <is>
          <t>diamond cutting / jewellery</t>
        </is>
      </c>
      <c r="E17" s="31" t="inlineStr">
        <is>
          <t>smallcap</t>
        </is>
      </c>
      <c r="F17" s="31" t="n">
        <v>2868.08</v>
      </c>
      <c r="G17" s="31" t="n">
        <v>313.83</v>
      </c>
      <c r="H17" s="31" t="n">
        <v>5.52</v>
      </c>
      <c r="I17" s="31" t="n">
        <v>3937970</v>
      </c>
      <c r="J17" s="31" t="inlineStr">
        <is>
          <t>544512</t>
        </is>
      </c>
    </row>
    <row r="18">
      <c r="A18" s="31" t="inlineStr">
        <is>
          <t>LLOYDSENGG</t>
        </is>
      </c>
      <c r="B18" s="31" t="inlineStr">
        <is>
          <t>Lloyds Engineering Works Ltd</t>
        </is>
      </c>
      <c r="C18" s="31" t="inlineStr">
        <is>
          <t>industrials</t>
        </is>
      </c>
      <c r="D18" s="31" t="inlineStr">
        <is>
          <t>engineering</t>
        </is>
      </c>
      <c r="E18" s="31" t="inlineStr">
        <is>
          <t>midcap</t>
        </is>
      </c>
      <c r="F18" s="31" t="n">
        <v>14174.94</v>
      </c>
      <c r="G18" s="31" t="n">
        <v>96.37</v>
      </c>
      <c r="H18" s="31" t="n">
        <v>5.45</v>
      </c>
      <c r="I18" s="31" t="n">
        <v>30533327</v>
      </c>
      <c r="J18" s="31" t="inlineStr">
        <is>
          <t>539992</t>
        </is>
      </c>
    </row>
    <row r="19">
      <c r="A19" s="31" t="inlineStr">
        <is>
          <t>NITINSPIN</t>
        </is>
      </c>
      <c r="B19" s="31" t="inlineStr">
        <is>
          <t>Nitin Spinners Limited</t>
        </is>
      </c>
      <c r="C19" s="31" t="inlineStr">
        <is>
          <t>textiles</t>
        </is>
      </c>
      <c r="D19" s="31" t="inlineStr">
        <is>
          <t>textiles - cotton/blended</t>
        </is>
      </c>
      <c r="E19" s="31" t="inlineStr">
        <is>
          <t>smallcap</t>
        </is>
      </c>
      <c r="F19" s="31" t="n">
        <v>3495.2</v>
      </c>
      <c r="G19" s="31" t="n">
        <v>653.85</v>
      </c>
      <c r="H19" s="31" t="n">
        <v>5.17</v>
      </c>
      <c r="I19" s="31" t="n">
        <v>558125</v>
      </c>
      <c r="J19" s="31" t="inlineStr">
        <is>
          <t>532698</t>
        </is>
      </c>
    </row>
    <row r="20">
      <c r="A20" s="31" t="inlineStr">
        <is>
          <t>SIMPLEXINF</t>
        </is>
      </c>
      <c r="B20" s="31" t="inlineStr">
        <is>
          <t>Simplex Infrastructures Limited</t>
        </is>
      </c>
      <c r="C20" s="31" t="inlineStr">
        <is>
          <t>realty</t>
        </is>
      </c>
      <c r="D20" s="31" t="inlineStr">
        <is>
          <t>construction</t>
        </is>
      </c>
      <c r="E20" s="31" t="inlineStr">
        <is>
          <t>smallcap</t>
        </is>
      </c>
      <c r="F20" s="31" t="n">
        <v>2076.25</v>
      </c>
      <c r="G20" s="31" t="n">
        <v>275.84</v>
      </c>
      <c r="H20" s="31" t="n">
        <v>5.08</v>
      </c>
      <c r="I20" s="31" t="n">
        <v>581026</v>
      </c>
      <c r="J20" s="31" t="inlineStr">
        <is>
          <t>523838</t>
        </is>
      </c>
    </row>
    <row r="21">
      <c r="A21" s="31" t="inlineStr">
        <is>
          <t>PREMIERPOL</t>
        </is>
      </c>
      <c r="B21" s="31" t="inlineStr">
        <is>
          <t>Premier Polyfilm Limited</t>
        </is>
      </c>
      <c r="C21" s="31" t="inlineStr">
        <is>
          <t>plastic products</t>
        </is>
      </c>
      <c r="D21" s="31" t="inlineStr">
        <is>
          <t>plastics products</t>
        </is>
      </c>
      <c r="E21" s="31" t="inlineStr">
        <is>
          <t>smallcap</t>
        </is>
      </c>
      <c r="F21" s="31" t="n">
        <v>1111.63</v>
      </c>
      <c r="G21" s="31" t="n">
        <v>111.51</v>
      </c>
      <c r="H21" s="31" t="n">
        <v>5.07</v>
      </c>
      <c r="I21" s="31" t="n">
        <v>751419</v>
      </c>
      <c r="J21" s="31" t="inlineStr">
        <is>
          <t>514354</t>
        </is>
      </c>
    </row>
    <row r="22">
      <c r="A22" s="31" t="inlineStr">
        <is>
          <t>TBZ</t>
        </is>
      </c>
      <c r="B22" s="31" t="inlineStr">
        <is>
          <t>Tribhovandas Bhimji Zaveri Limited</t>
        </is>
      </c>
      <c r="C22" s="31" t="inlineStr">
        <is>
          <t>consumer discretionary</t>
        </is>
      </c>
      <c r="D22" s="31" t="inlineStr">
        <is>
          <t>diamond cutting / jewellery</t>
        </is>
      </c>
      <c r="E22" s="31" t="inlineStr">
        <is>
          <t>smallcap</t>
        </is>
      </c>
      <c r="F22" s="31" t="n">
        <v>4824.62</v>
      </c>
      <c r="G22" s="31" t="n">
        <v>759.15</v>
      </c>
      <c r="H22" s="31" t="n">
        <v>5</v>
      </c>
      <c r="I22" s="31" t="n">
        <v>344428</v>
      </c>
      <c r="J22" s="31" t="inlineStr">
        <is>
          <t>534369</t>
        </is>
      </c>
    </row>
    <row r="23">
      <c r="A23" s="31" t="inlineStr">
        <is>
          <t>MAHASTEEL</t>
        </is>
      </c>
      <c r="B23" s="31" t="inlineStr">
        <is>
          <t>Mahamaya Steel Industries Limited</t>
        </is>
      </c>
      <c r="C23" s="31" t="inlineStr">
        <is>
          <t>metals &amp; mining</t>
        </is>
      </c>
      <c r="D23" s="31" t="inlineStr">
        <is>
          <t>steel - medium / small</t>
        </is>
      </c>
      <c r="E23" s="31" t="inlineStr">
        <is>
          <t>smallcap</t>
        </is>
      </c>
      <c r="F23" s="31" t="n">
        <v>1927.26</v>
      </c>
      <c r="G23" s="31" t="n">
        <v>1231.3</v>
      </c>
      <c r="H23" s="31" t="n">
        <v>5</v>
      </c>
      <c r="I23" s="31" t="n">
        <v>18834</v>
      </c>
      <c r="J23" s="31" t="inlineStr">
        <is>
          <t>513554</t>
        </is>
      </c>
    </row>
    <row r="24">
      <c r="A24" s="31" t="inlineStr">
        <is>
          <t>VALIANTLAB</t>
        </is>
      </c>
      <c r="B24" s="31" t="inlineStr">
        <is>
          <t>Valiant Laboratories Ltd</t>
        </is>
      </c>
      <c r="C24" s="31" t="inlineStr">
        <is>
          <t>healthcare</t>
        </is>
      </c>
      <c r="D24" s="31" t="inlineStr">
        <is>
          <t>pharmaceuticals - indian - bulk drugs &amp; formln</t>
        </is>
      </c>
      <c r="E24" s="31" t="inlineStr">
        <is>
          <t>smallcap</t>
        </is>
      </c>
      <c r="F24" s="31" t="n">
        <v>696.5</v>
      </c>
      <c r="G24" s="31" t="n">
        <v>134.65</v>
      </c>
      <c r="H24" s="31" t="n">
        <v>5</v>
      </c>
      <c r="I24" s="31" t="n">
        <v>104608</v>
      </c>
      <c r="J24" s="31" t="n"/>
    </row>
    <row r="25">
      <c r="A25" s="31" t="inlineStr">
        <is>
          <t>HFCL</t>
        </is>
      </c>
      <c r="B25" s="31" t="inlineStr">
        <is>
          <t>HFCL Ltd</t>
        </is>
      </c>
      <c r="C25" s="31" t="inlineStr">
        <is>
          <t>telecom</t>
        </is>
      </c>
      <c r="D25" s="31" t="inlineStr">
        <is>
          <t>cables - telephone</t>
        </is>
      </c>
      <c r="E25" s="31" t="inlineStr">
        <is>
          <t>largecap</t>
        </is>
      </c>
      <c r="F25" s="31" t="n">
        <v>37319.15</v>
      </c>
      <c r="G25" s="31" t="n">
        <v>256.01</v>
      </c>
      <c r="H25" s="31" t="n">
        <v>5</v>
      </c>
      <c r="I25" s="31" t="n">
        <v>8411757</v>
      </c>
      <c r="J25" s="31" t="inlineStr">
        <is>
          <t>500183</t>
        </is>
      </c>
    </row>
    <row r="26">
      <c r="A26" s="31" t="inlineStr">
        <is>
          <t>RBZJEWEL</t>
        </is>
      </c>
      <c r="B26" s="31" t="inlineStr">
        <is>
          <t>RBZ Jewellers Ltd</t>
        </is>
      </c>
      <c r="C26" s="31" t="inlineStr">
        <is>
          <t>consumer discretionary</t>
        </is>
      </c>
      <c r="D26" s="31" t="inlineStr">
        <is>
          <t>diamond cutting / jewellery</t>
        </is>
      </c>
      <c r="E26" s="31" t="inlineStr">
        <is>
          <t>smallcap</t>
        </is>
      </c>
      <c r="F26" s="31" t="n">
        <v>759.6799999999999</v>
      </c>
      <c r="G26" s="31" t="n">
        <v>199.41</v>
      </c>
      <c r="H26" s="31" t="n">
        <v>5</v>
      </c>
      <c r="I26" s="31" t="n">
        <v>92437</v>
      </c>
      <c r="J26" s="31" t="inlineStr">
        <is>
          <t>544060</t>
        </is>
      </c>
    </row>
    <row r="27">
      <c r="A27" s="31" t="inlineStr">
        <is>
          <t>OMAXE</t>
        </is>
      </c>
      <c r="B27" s="31" t="inlineStr">
        <is>
          <t>Omaxe Limited</t>
        </is>
      </c>
      <c r="C27" s="31" t="inlineStr">
        <is>
          <t>realty</t>
        </is>
      </c>
      <c r="D27" s="31" t="inlineStr">
        <is>
          <t>construction</t>
        </is>
      </c>
      <c r="E27" s="31" t="inlineStr">
        <is>
          <t>smallcap</t>
        </is>
      </c>
      <c r="F27" s="31" t="n">
        <v>1988.13</v>
      </c>
      <c r="G27" s="31" t="n">
        <v>113.94</v>
      </c>
      <c r="H27" s="31" t="n">
        <v>4.82</v>
      </c>
      <c r="I27" s="31" t="n">
        <v>1528915</v>
      </c>
      <c r="J27" s="31" t="inlineStr">
        <is>
          <t>532880</t>
        </is>
      </c>
    </row>
    <row r="28">
      <c r="A28" s="31" t="inlineStr">
        <is>
          <t>JUSTDIAL</t>
        </is>
      </c>
      <c r="B28" s="31" t="inlineStr">
        <is>
          <t>Just Dial Limited</t>
        </is>
      </c>
      <c r="C28" s="31" t="inlineStr">
        <is>
          <t>i.t</t>
        </is>
      </c>
      <c r="D28" s="31" t="inlineStr">
        <is>
          <t>miscellaneous</t>
        </is>
      </c>
      <c r="E28" s="31" t="inlineStr">
        <is>
          <t>midcap</t>
        </is>
      </c>
      <c r="F28" s="31" t="n">
        <v>5789.29</v>
      </c>
      <c r="G28" s="31" t="n">
        <v>713.25</v>
      </c>
      <c r="H28" s="31" t="n">
        <v>4.78</v>
      </c>
      <c r="I28" s="31" t="n">
        <v>503845</v>
      </c>
      <c r="J28" s="31" t="inlineStr">
        <is>
          <t>535648</t>
        </is>
      </c>
    </row>
    <row r="29">
      <c r="A29" s="31" t="inlineStr">
        <is>
          <t>AXISCADES</t>
        </is>
      </c>
      <c r="B29" s="31" t="inlineStr">
        <is>
          <t>AXISCADES Technologies Ltd</t>
        </is>
      </c>
      <c r="C29" s="31" t="inlineStr">
        <is>
          <t>aerospace &amp; defence</t>
        </is>
      </c>
      <c r="D29" s="31" t="inlineStr">
        <is>
          <t>computers - software - medium / small</t>
        </is>
      </c>
      <c r="E29" s="31" t="inlineStr">
        <is>
          <t>midcap</t>
        </is>
      </c>
      <c r="F29" s="31" t="n">
        <v>8593.389999999999</v>
      </c>
      <c r="G29" s="31" t="n">
        <v>2116</v>
      </c>
      <c r="H29" s="31" t="n">
        <v>4.73</v>
      </c>
      <c r="I29" s="31" t="n">
        <v>207495</v>
      </c>
      <c r="J29" s="31" t="inlineStr">
        <is>
          <t>532395</t>
        </is>
      </c>
    </row>
    <row r="30">
      <c r="A30" s="31" t="inlineStr">
        <is>
          <t>JAYNECOIND</t>
        </is>
      </c>
      <c r="B30" s="31" t="inlineStr">
        <is>
          <t>Jayaswal Neco Industries Limited</t>
        </is>
      </c>
      <c r="C30" s="31" t="inlineStr">
        <is>
          <t>metals &amp; mining</t>
        </is>
      </c>
      <c r="D30" s="31" t="inlineStr">
        <is>
          <t>steel - large</t>
        </is>
      </c>
      <c r="E30" s="31" t="inlineStr">
        <is>
          <t>midcap</t>
        </is>
      </c>
      <c r="F30" s="31" t="n">
        <v>9355.57</v>
      </c>
      <c r="G30" s="31" t="n">
        <v>100.62</v>
      </c>
      <c r="H30" s="31" t="n">
        <v>4.43</v>
      </c>
      <c r="I30" s="31" t="n">
        <v>17313134</v>
      </c>
      <c r="J30" s="31" t="inlineStr">
        <is>
          <t>522285</t>
        </is>
      </c>
    </row>
    <row r="31">
      <c r="A31" s="31" t="inlineStr">
        <is>
          <t>RATNAVEER</t>
        </is>
      </c>
      <c r="B31" s="31" t="inlineStr">
        <is>
          <t>Ratnaveer Precision Engineering Ltd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2756.14</v>
      </c>
      <c r="G31" s="31" t="n">
        <v>342.9</v>
      </c>
      <c r="H31" s="31" t="n">
        <v>4.42</v>
      </c>
      <c r="I31" s="31" t="n">
        <v>4778914</v>
      </c>
      <c r="J31" s="31" t="inlineStr">
        <is>
          <t>543978</t>
        </is>
      </c>
    </row>
    <row r="32">
      <c r="A32" s="31" t="inlineStr">
        <is>
          <t>ORIENTHOT</t>
        </is>
      </c>
      <c r="B32" s="31" t="inlineStr">
        <is>
          <t>Oriental Hotels Limited</t>
        </is>
      </c>
      <c r="C32" s="31" t="inlineStr">
        <is>
          <t>services</t>
        </is>
      </c>
      <c r="D32" s="31" t="inlineStr">
        <is>
          <t>hotels</t>
        </is>
      </c>
      <c r="E32" s="31" t="inlineStr">
        <is>
          <t>smallcap</t>
        </is>
      </c>
      <c r="F32" s="31" t="n">
        <v>2600.05</v>
      </c>
      <c r="G32" s="31" t="n">
        <v>151.8</v>
      </c>
      <c r="H32" s="31" t="n">
        <v>4.27</v>
      </c>
      <c r="I32" s="31" t="n">
        <v>3639816</v>
      </c>
      <c r="J32" s="31" t="inlineStr">
        <is>
          <t>500314</t>
        </is>
      </c>
    </row>
    <row r="33">
      <c r="A33" s="31" t="inlineStr">
        <is>
          <t>INDHOTEL</t>
        </is>
      </c>
      <c r="B33" s="31" t="inlineStr">
        <is>
          <t>The Indian Hotels Company Limited</t>
        </is>
      </c>
      <c r="C33" s="31" t="inlineStr">
        <is>
          <t>services</t>
        </is>
      </c>
      <c r="D33" s="31" t="inlineStr">
        <is>
          <t>hotels</t>
        </is>
      </c>
      <c r="E33" s="31" t="inlineStr">
        <is>
          <t>largecap</t>
        </is>
      </c>
      <c r="F33" s="31" t="n">
        <v>105540.38</v>
      </c>
      <c r="G33" s="31" t="n">
        <v>772.1</v>
      </c>
      <c r="H33" s="31" t="n">
        <v>4.13</v>
      </c>
      <c r="I33" s="31" t="n">
        <v>9335235</v>
      </c>
      <c r="J33" s="31" t="inlineStr">
        <is>
          <t>500850</t>
        </is>
      </c>
    </row>
    <row r="34">
      <c r="A34" s="31" t="inlineStr">
        <is>
          <t>STYLEBAAZA</t>
        </is>
      </c>
      <c r="B34" s="31" t="inlineStr">
        <is>
          <t>Baazar Style Retail Ltd</t>
        </is>
      </c>
      <c r="C34" s="31" t="inlineStr">
        <is>
          <t>consumer discretionary</t>
        </is>
      </c>
      <c r="D34" s="31" t="inlineStr">
        <is>
          <t>trading</t>
        </is>
      </c>
      <c r="E34" s="31" t="inlineStr">
        <is>
          <t>smallcap</t>
        </is>
      </c>
      <c r="F34" s="31" t="n">
        <v>2961.69</v>
      </c>
      <c r="G34" s="31" t="n">
        <v>399.5</v>
      </c>
      <c r="H34" s="31" t="n">
        <v>4.02</v>
      </c>
      <c r="I34" s="31" t="n">
        <v>3887318</v>
      </c>
      <c r="J34" s="31" t="inlineStr">
        <is>
          <t>544243</t>
        </is>
      </c>
    </row>
    <row r="35">
      <c r="A35" s="31" t="inlineStr">
        <is>
          <t>SSWL</t>
        </is>
      </c>
      <c r="B35" s="31" t="inlineStr">
        <is>
          <t>Steel Strips Wheels Limited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midcap</t>
        </is>
      </c>
      <c r="F35" s="31" t="n">
        <v>6331.23</v>
      </c>
      <c r="G35" s="31" t="n">
        <v>418.1</v>
      </c>
      <c r="H35" s="31" t="n">
        <v>3.8</v>
      </c>
      <c r="I35" s="31" t="n">
        <v>620474</v>
      </c>
      <c r="J35" s="31" t="inlineStr">
        <is>
          <t>513262</t>
        </is>
      </c>
    </row>
    <row r="36">
      <c r="A36" s="31" t="inlineStr">
        <is>
          <t>OPTIEMUS</t>
        </is>
      </c>
      <c r="B36" s="31" t="inlineStr">
        <is>
          <t>Optiemus Infracom Ltd</t>
        </is>
      </c>
      <c r="C36" s="31" t="inlineStr">
        <is>
          <t>telecom</t>
        </is>
      </c>
      <c r="D36" s="31" t="inlineStr">
        <is>
          <t>trading</t>
        </is>
      </c>
      <c r="E36" s="31" t="inlineStr">
        <is>
          <t>midcap</t>
        </is>
      </c>
      <c r="F36" s="31" t="n">
        <v>6852.65</v>
      </c>
      <c r="G36" s="31" t="n">
        <v>788.65</v>
      </c>
      <c r="H36" s="31" t="n">
        <v>3.77</v>
      </c>
      <c r="I36" s="31" t="n">
        <v>610376</v>
      </c>
      <c r="J36" s="31" t="inlineStr">
        <is>
          <t>530135</t>
        </is>
      </c>
    </row>
    <row r="37">
      <c r="A37" s="31" t="inlineStr">
        <is>
          <t>MAGADSUGAR</t>
        </is>
      </c>
      <c r="B37" s="31" t="inlineStr">
        <is>
          <t>Magadh Sugar &amp; Energy Ltd</t>
        </is>
      </c>
      <c r="C37" s="31" t="inlineStr">
        <is>
          <t>fmcg</t>
        </is>
      </c>
      <c r="D37" s="31" t="inlineStr">
        <is>
          <t>sugar</t>
        </is>
      </c>
      <c r="E37" s="31" t="inlineStr">
        <is>
          <t>smallcap</t>
        </is>
      </c>
      <c r="F37" s="31" t="n">
        <v>818.9400000000001</v>
      </c>
      <c r="G37" s="31" t="n">
        <v>602.15</v>
      </c>
      <c r="H37" s="31" t="n">
        <v>3.61</v>
      </c>
      <c r="I37" s="31" t="n">
        <v>80613</v>
      </c>
      <c r="J37" s="31" t="inlineStr">
        <is>
          <t>540650</t>
        </is>
      </c>
    </row>
    <row r="38">
      <c r="A38" s="31" t="inlineStr">
        <is>
          <t>SHYAMMETL</t>
        </is>
      </c>
      <c r="B38" s="31" t="inlineStr">
        <is>
          <t>Shyam Metalics &amp; Energy Ltd</t>
        </is>
      </c>
      <c r="C38" s="31" t="inlineStr">
        <is>
          <t>metals &amp; mining</t>
        </is>
      </c>
      <c r="D38" s="31" t="inlineStr">
        <is>
          <t>steel - large</t>
        </is>
      </c>
      <c r="E38" s="31" t="inlineStr">
        <is>
          <t>largecap</t>
        </is>
      </c>
      <c r="F38" s="31" t="n">
        <v>32295.56</v>
      </c>
      <c r="G38" s="31" t="n">
        <v>1198.5</v>
      </c>
      <c r="H38" s="31" t="n">
        <v>3.59</v>
      </c>
      <c r="I38" s="31" t="n">
        <v>963477</v>
      </c>
      <c r="J38" s="31" t="inlineStr">
        <is>
          <t>543299</t>
        </is>
      </c>
    </row>
    <row r="39">
      <c r="A39" s="31" t="inlineStr">
        <is>
          <t>MANBA</t>
        </is>
      </c>
      <c r="B39" s="31" t="inlineStr">
        <is>
          <t>Manba Finance Ltd</t>
        </is>
      </c>
      <c r="C39" s="31" t="inlineStr">
        <is>
          <t>financials</t>
        </is>
      </c>
      <c r="D39" s="31" t="inlineStr">
        <is>
          <t>finance &amp; investments</t>
        </is>
      </c>
      <c r="E39" s="31" t="inlineStr">
        <is>
          <t>smallcap</t>
        </is>
      </c>
      <c r="F39" s="31" t="n">
        <v>706.5700000000001</v>
      </c>
      <c r="G39" s="31" t="n">
        <v>145.69</v>
      </c>
      <c r="H39" s="31" t="n">
        <v>3.59</v>
      </c>
      <c r="I39" s="31" t="n">
        <v>128680</v>
      </c>
      <c r="J39" s="31" t="inlineStr">
        <is>
          <t>544262</t>
        </is>
      </c>
    </row>
    <row r="40">
      <c r="A40" s="31" t="inlineStr">
        <is>
          <t>RPEL</t>
        </is>
      </c>
      <c r="B40" s="31" t="inlineStr">
        <is>
          <t>Raghav Productivity Enhancers Ltd</t>
        </is>
      </c>
      <c r="C40" s="31" t="inlineStr">
        <is>
          <t>building materials</t>
        </is>
      </c>
      <c r="D40" s="31" t="inlineStr">
        <is>
          <t>refractories / intermediates</t>
        </is>
      </c>
      <c r="E40" s="31" t="inlineStr">
        <is>
          <t>midcap</t>
        </is>
      </c>
      <c r="F40" s="31" t="n">
        <v>8033.59</v>
      </c>
      <c r="G40" s="31" t="n">
        <v>1811.5</v>
      </c>
      <c r="H40" s="31" t="n">
        <v>3.55</v>
      </c>
      <c r="I40" s="31" t="n">
        <v>146711</v>
      </c>
      <c r="J40" s="31" t="inlineStr">
        <is>
          <t>539837</t>
        </is>
      </c>
    </row>
    <row r="41">
      <c r="A41" s="31" t="inlineStr">
        <is>
          <t>NINSYS</t>
        </is>
      </c>
      <c r="B41" s="31" t="inlineStr">
        <is>
          <t>NINtec Systems Ltd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smallcap</t>
        </is>
      </c>
      <c r="F41" s="31" t="n">
        <v>1534.93</v>
      </c>
      <c r="G41" s="31" t="n">
        <v>855.2</v>
      </c>
      <c r="H41" s="31" t="n">
        <v>3.5</v>
      </c>
      <c r="I41" s="31" t="n">
        <v>8002</v>
      </c>
      <c r="J41" s="31" t="inlineStr">
        <is>
          <t>539843</t>
        </is>
      </c>
    </row>
    <row r="42">
      <c r="A42" s="31" t="inlineStr">
        <is>
          <t>TEXINFRA</t>
        </is>
      </c>
      <c r="B42" s="31" t="inlineStr">
        <is>
          <t>Texmaco Infrastructure &amp; Holdings Limited</t>
        </is>
      </c>
      <c r="C42" s="31" t="inlineStr">
        <is>
          <t>realty</t>
        </is>
      </c>
      <c r="D42" s="31" t="inlineStr">
        <is>
          <t>construction</t>
        </is>
      </c>
      <c r="E42" s="31" t="inlineStr">
        <is>
          <t>smallcap</t>
        </is>
      </c>
      <c r="F42" s="31" t="n">
        <v>1579.83</v>
      </c>
      <c r="G42" s="31" t="n">
        <v>128.14</v>
      </c>
      <c r="H42" s="31" t="n">
        <v>3.36</v>
      </c>
      <c r="I42" s="31" t="n">
        <v>621459</v>
      </c>
      <c r="J42" s="31" t="inlineStr">
        <is>
          <t>505400</t>
        </is>
      </c>
    </row>
    <row r="43">
      <c r="A43" s="31" t="inlineStr">
        <is>
          <t>THELEELA</t>
        </is>
      </c>
      <c r="B43" s="31" t="inlineStr">
        <is>
          <t>Leela Palaces Hotels &amp; Resorts Ltd</t>
        </is>
      </c>
      <c r="C43" s="31" t="inlineStr">
        <is>
          <t>services</t>
        </is>
      </c>
      <c r="D43" s="31" t="inlineStr">
        <is>
          <t>hotels</t>
        </is>
      </c>
      <c r="E43" s="31" t="inlineStr">
        <is>
          <t>midcap</t>
        </is>
      </c>
      <c r="F43" s="31" t="n">
        <v>19920.59</v>
      </c>
      <c r="G43" s="31" t="n">
        <v>616.3</v>
      </c>
      <c r="H43" s="31" t="n">
        <v>3.32</v>
      </c>
      <c r="I43" s="31" t="n">
        <v>785589</v>
      </c>
      <c r="J43" s="31" t="inlineStr">
        <is>
          <t>544408</t>
        </is>
      </c>
    </row>
    <row r="44">
      <c r="A44" s="31" t="inlineStr">
        <is>
          <t>ZIMLAB</t>
        </is>
      </c>
      <c r="B44" s="31" t="inlineStr">
        <is>
          <t>Zim Laboratories Ltd</t>
        </is>
      </c>
      <c r="C44" s="31" t="inlineStr">
        <is>
          <t>healthcare</t>
        </is>
      </c>
      <c r="D44" s="31" t="inlineStr">
        <is>
          <t>pharmaceuticals - indian - bulk drugs &amp; formln</t>
        </is>
      </c>
      <c r="E44" s="31" t="inlineStr">
        <is>
          <t>smallcap</t>
        </is>
      </c>
      <c r="F44" s="31" t="n">
        <v>752.83</v>
      </c>
      <c r="G44" s="31" t="n">
        <v>144.76</v>
      </c>
      <c r="H44" s="31" t="n">
        <v>3.18</v>
      </c>
      <c r="I44" s="31" t="n">
        <v>175033</v>
      </c>
      <c r="J44" s="31" t="inlineStr">
        <is>
          <t>541400</t>
        </is>
      </c>
    </row>
    <row r="45">
      <c r="A45" s="31" t="inlineStr">
        <is>
          <t>INDORAMA</t>
        </is>
      </c>
      <c r="B45" s="31" t="inlineStr">
        <is>
          <t>Indo Rama Synthetics (india) Limited</t>
        </is>
      </c>
      <c r="C45" s="31" t="inlineStr">
        <is>
          <t>textiles</t>
        </is>
      </c>
      <c r="D45" s="31" t="inlineStr">
        <is>
          <t>textiles - manmade</t>
        </is>
      </c>
      <c r="E45" s="31" t="inlineStr">
        <is>
          <t>smallcap</t>
        </is>
      </c>
      <c r="F45" s="31" t="n">
        <v>2469.09</v>
      </c>
      <c r="G45" s="31" t="n">
        <v>97.56</v>
      </c>
      <c r="H45" s="31" t="n">
        <v>3.17</v>
      </c>
      <c r="I45" s="31" t="n">
        <v>2168378</v>
      </c>
      <c r="J45" s="31" t="inlineStr">
        <is>
          <t>500207</t>
        </is>
      </c>
    </row>
    <row r="46">
      <c r="A46" s="31" t="inlineStr">
        <is>
          <t>ARIS</t>
        </is>
      </c>
      <c r="B46" s="31" t="inlineStr">
        <is>
          <t>Arisinfra Solutions Ltd</t>
        </is>
      </c>
      <c r="C46" s="31" t="inlineStr">
        <is>
          <t>services</t>
        </is>
      </c>
      <c r="D46" s="31" t="inlineStr">
        <is>
          <t>trading</t>
        </is>
      </c>
      <c r="E46" s="31" t="inlineStr">
        <is>
          <t>smallcap</t>
        </is>
      </c>
      <c r="F46" s="31" t="n">
        <v>1144.38</v>
      </c>
      <c r="G46" s="31" t="n">
        <v>144.22</v>
      </c>
      <c r="H46" s="31" t="n">
        <v>3.08</v>
      </c>
      <c r="I46" s="31" t="n">
        <v>1302278</v>
      </c>
      <c r="J46" s="31" t="inlineStr">
        <is>
          <t>544419</t>
        </is>
      </c>
    </row>
    <row r="47">
      <c r="A47" s="31" t="inlineStr">
        <is>
          <t>BBOX</t>
        </is>
      </c>
      <c r="B47" s="31" t="inlineStr">
        <is>
          <t>Black Box Ltd</t>
        </is>
      </c>
      <c r="C47" s="31" t="inlineStr">
        <is>
          <t>i.t</t>
        </is>
      </c>
      <c r="D47" s="31" t="inlineStr">
        <is>
          <t>computers - software - medium / small</t>
        </is>
      </c>
      <c r="E47" s="31" t="inlineStr">
        <is>
          <t>midcap</t>
        </is>
      </c>
      <c r="F47" s="31" t="n">
        <v>15632.28</v>
      </c>
      <c r="G47" s="31" t="n">
        <v>907.25</v>
      </c>
      <c r="H47" s="31" t="n">
        <v>3.07</v>
      </c>
      <c r="I47" s="31" t="n">
        <v>813029</v>
      </c>
      <c r="J47" s="31" t="inlineStr">
        <is>
          <t>500463</t>
        </is>
      </c>
    </row>
    <row r="48">
      <c r="A48" s="31" t="inlineStr">
        <is>
          <t>ZOTA</t>
        </is>
      </c>
      <c r="B48" s="31" t="inlineStr">
        <is>
          <t>Zota Health Care Ltd</t>
        </is>
      </c>
      <c r="C48" s="31" t="inlineStr">
        <is>
          <t>healthcare</t>
        </is>
      </c>
      <c r="D48" s="31" t="inlineStr">
        <is>
          <t>pharmaceuticals - indian - bulk drugs &amp; formln</t>
        </is>
      </c>
      <c r="E48" s="31" t="inlineStr">
        <is>
          <t>smallcap</t>
        </is>
      </c>
      <c r="F48" s="31" t="n">
        <v>4738.78</v>
      </c>
      <c r="G48" s="31" t="n">
        <v>1409.3</v>
      </c>
      <c r="H48" s="31" t="n">
        <v>3</v>
      </c>
      <c r="I48" s="31" t="n">
        <v>50289</v>
      </c>
      <c r="J48" s="31" t="inlineStr">
        <is>
          <t>538426</t>
        </is>
      </c>
    </row>
    <row r="49">
      <c r="A49" s="31" t="inlineStr">
        <is>
          <t>KARURVYSYA</t>
        </is>
      </c>
      <c r="B49" s="31" t="inlineStr">
        <is>
          <t>Karur Vysya Bank Limited</t>
        </is>
      </c>
      <c r="C49" s="31" t="inlineStr">
        <is>
          <t>bank</t>
        </is>
      </c>
      <c r="D49" s="31" t="inlineStr">
        <is>
          <t>banks - private sector</t>
        </is>
      </c>
      <c r="E49" s="31" t="inlineStr">
        <is>
          <t>largecap</t>
        </is>
      </c>
      <c r="F49" s="31" t="n">
        <v>33412.91</v>
      </c>
      <c r="G49" s="31" t="n">
        <v>355.65</v>
      </c>
      <c r="H49" s="31" t="n">
        <v>2.89</v>
      </c>
      <c r="I49" s="31" t="n">
        <v>17935620</v>
      </c>
      <c r="J49" s="31" t="inlineStr">
        <is>
          <t>590003</t>
        </is>
      </c>
    </row>
    <row r="50">
      <c r="A50" s="31" t="inlineStr">
        <is>
          <t>APOLLO</t>
        </is>
      </c>
      <c r="B50" s="31" t="inlineStr">
        <is>
          <t>Apollo Micro Systems Ltd</t>
        </is>
      </c>
      <c r="C50" s="31" t="inlineStr">
        <is>
          <t>aerospace &amp; defence</t>
        </is>
      </c>
      <c r="D50" s="31" t="inlineStr">
        <is>
          <t>electronics - components</t>
        </is>
      </c>
      <c r="E50" s="31" t="inlineStr">
        <is>
          <t>midcap</t>
        </is>
      </c>
      <c r="F50" s="31" t="n">
        <v>15499.42</v>
      </c>
      <c r="G50" s="31" t="n">
        <v>429</v>
      </c>
      <c r="H50" s="31" t="n">
        <v>2.85</v>
      </c>
      <c r="I50" s="31" t="n">
        <v>14129273</v>
      </c>
      <c r="J50" s="31" t="inlineStr">
        <is>
          <t>540879</t>
        </is>
      </c>
    </row>
    <row r="51">
      <c r="A51" s="31" t="inlineStr">
        <is>
          <t>NAZARA</t>
        </is>
      </c>
      <c r="B51" s="31" t="inlineStr">
        <is>
          <t>Nazara Technologies Ltd</t>
        </is>
      </c>
      <c r="C51" s="31" t="inlineStr">
        <is>
          <t>i.t</t>
        </is>
      </c>
      <c r="D51" s="31" t="inlineStr">
        <is>
          <t>telecommunications - service provider</t>
        </is>
      </c>
      <c r="E51" s="31" t="inlineStr">
        <is>
          <t>midcap</t>
        </is>
      </c>
      <c r="F51" s="31" t="n">
        <v>15645.59</v>
      </c>
      <c r="G51" s="31" t="n">
        <v>418.15</v>
      </c>
      <c r="H51" s="31" t="n">
        <v>2.82</v>
      </c>
      <c r="I51" s="31" t="n">
        <v>1797992</v>
      </c>
      <c r="J51" s="31" t="inlineStr">
        <is>
          <t>543280</t>
        </is>
      </c>
    </row>
    <row r="52">
      <c r="A52" s="31" t="inlineStr">
        <is>
          <t>GOODLUCK</t>
        </is>
      </c>
      <c r="B52" s="31" t="inlineStr">
        <is>
          <t>Goodluck India Limited</t>
        </is>
      </c>
      <c r="C52" s="31" t="inlineStr">
        <is>
          <t>metals &amp; mining</t>
        </is>
      </c>
      <c r="D52" s="31" t="inlineStr">
        <is>
          <t>steel - medium / small</t>
        </is>
      </c>
      <c r="E52" s="31" t="inlineStr">
        <is>
          <t>midcap</t>
        </is>
      </c>
      <c r="F52" s="31" t="n">
        <v>5755.58</v>
      </c>
      <c r="G52" s="31" t="n">
        <v>593.05</v>
      </c>
      <c r="H52" s="31" t="n">
        <v>2.75</v>
      </c>
      <c r="I52" s="31" t="n">
        <v>785818</v>
      </c>
      <c r="J52" s="31" t="inlineStr">
        <is>
          <t>530655</t>
        </is>
      </c>
    </row>
    <row r="53">
      <c r="A53" s="31" t="inlineStr">
        <is>
          <t>BHARTIARTL</t>
        </is>
      </c>
      <c r="B53" s="31" t="inlineStr">
        <is>
          <t>Bharti Airtel Limited</t>
        </is>
      </c>
      <c r="C53" s="31" t="inlineStr">
        <is>
          <t>telecom-service</t>
        </is>
      </c>
      <c r="D53" s="31" t="inlineStr">
        <is>
          <t>telecommunications - service provider</t>
        </is>
      </c>
      <c r="E53" s="31" t="inlineStr">
        <is>
          <t>largecap</t>
        </is>
      </c>
      <c r="F53" s="31" t="n">
        <v>1157110.01</v>
      </c>
      <c r="G53" s="31" t="n">
        <v>1905</v>
      </c>
      <c r="H53" s="31" t="n">
        <v>2.75</v>
      </c>
      <c r="I53" s="31" t="n">
        <v>25484107</v>
      </c>
      <c r="J53" s="31" t="inlineStr">
        <is>
          <t>532454</t>
        </is>
      </c>
    </row>
    <row r="54">
      <c r="A54" s="31" t="inlineStr">
        <is>
          <t>FEDFINA</t>
        </is>
      </c>
      <c r="B54" s="31" t="inlineStr">
        <is>
          <t>Fedbank Financial Services Ltd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midcap</t>
        </is>
      </c>
      <c r="F54" s="31" t="n">
        <v>5907.77</v>
      </c>
      <c r="G54" s="31" t="n">
        <v>161.86</v>
      </c>
      <c r="H54" s="31" t="n">
        <v>2.72</v>
      </c>
      <c r="I54" s="31" t="n">
        <v>1723668</v>
      </c>
      <c r="J54" s="31" t="inlineStr">
        <is>
          <t>544027</t>
        </is>
      </c>
    </row>
    <row r="55">
      <c r="A55" s="31" t="inlineStr">
        <is>
          <t>KMEW</t>
        </is>
      </c>
      <c r="B55" s="31" t="inlineStr">
        <is>
          <t>Knowledge Marine &amp; Engineering Works Ltd</t>
        </is>
      </c>
      <c r="C55" s="31" t="inlineStr">
        <is>
          <t>transportation</t>
        </is>
      </c>
      <c r="D55" s="31" t="inlineStr">
        <is>
          <t>miscellaneous</t>
        </is>
      </c>
      <c r="E55" s="31" t="inlineStr">
        <is>
          <t>midcap</t>
        </is>
      </c>
      <c r="F55" s="31" t="n">
        <v>8173.33</v>
      </c>
      <c r="G55" s="31" t="n">
        <v>3327.7</v>
      </c>
      <c r="H55" s="31" t="n">
        <v>2.63</v>
      </c>
      <c r="I55" s="31" t="n">
        <v>103405</v>
      </c>
      <c r="J55" s="31" t="inlineStr">
        <is>
          <t>543273</t>
        </is>
      </c>
    </row>
    <row r="56">
      <c r="A56" s="31" t="inlineStr">
        <is>
          <t>AVADHSUGAR</t>
        </is>
      </c>
      <c r="B56" s="31" t="inlineStr">
        <is>
          <t>Avadh Sugar &amp; Energy</t>
        </is>
      </c>
      <c r="C56" s="31" t="inlineStr">
        <is>
          <t>fmcg</t>
        </is>
      </c>
      <c r="D56" s="31" t="inlineStr">
        <is>
          <t>sugar</t>
        </is>
      </c>
      <c r="E56" s="31" t="inlineStr">
        <is>
          <t>smallcap</t>
        </is>
      </c>
      <c r="F56" s="31" t="n">
        <v>1942.29</v>
      </c>
      <c r="G56" s="31" t="n">
        <v>995.4</v>
      </c>
      <c r="H56" s="31" t="n">
        <v>2.59</v>
      </c>
      <c r="I56" s="31" t="n">
        <v>112101</v>
      </c>
      <c r="J56" s="31" t="inlineStr">
        <is>
          <t>540649</t>
        </is>
      </c>
    </row>
    <row r="57">
      <c r="A57" s="31" t="inlineStr">
        <is>
          <t>VENKEYS</t>
        </is>
      </c>
      <c r="B57" s="31" t="inlineStr">
        <is>
          <t>Venky's (india) Limited</t>
        </is>
      </c>
      <c r="C57" s="31" t="inlineStr">
        <is>
          <t>fmcg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2336.81</v>
      </c>
      <c r="G57" s="31" t="n">
        <v>1701.7</v>
      </c>
      <c r="H57" s="31" t="n">
        <v>2.59</v>
      </c>
      <c r="I57" s="31" t="n">
        <v>58868</v>
      </c>
      <c r="J57" s="31" t="inlineStr">
        <is>
          <t>523261</t>
        </is>
      </c>
    </row>
    <row r="58">
      <c r="A58" s="31" t="inlineStr">
        <is>
          <t>LOTUSDEV</t>
        </is>
      </c>
      <c r="B58" s="31" t="inlineStr">
        <is>
          <t>Sri Lotus Developers &amp; Realty Ltd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midcap</t>
        </is>
      </c>
      <c r="F58" s="31" t="n">
        <v>11736.21</v>
      </c>
      <c r="G58" s="31" t="n">
        <v>246.25</v>
      </c>
      <c r="H58" s="31" t="n">
        <v>2.54</v>
      </c>
      <c r="I58" s="31" t="n">
        <v>1052328</v>
      </c>
      <c r="J58" s="31" t="inlineStr">
        <is>
          <t>544469</t>
        </is>
      </c>
    </row>
    <row r="59">
      <c r="A59" s="31" t="inlineStr">
        <is>
          <t>CONSOFINVT</t>
        </is>
      </c>
      <c r="B59" s="31" t="inlineStr">
        <is>
          <t>Consolidated Finvest &amp; Holdings Limited</t>
        </is>
      </c>
      <c r="C59" s="31" t="inlineStr">
        <is>
          <t>financials</t>
        </is>
      </c>
      <c r="D59" s="31" t="inlineStr">
        <is>
          <t>finance &amp; investments</t>
        </is>
      </c>
      <c r="E59" s="31" t="inlineStr">
        <is>
          <t>smallcap</t>
        </is>
      </c>
      <c r="F59" s="31" t="n">
        <v>937.3</v>
      </c>
      <c r="G59" s="31" t="n">
        <v>296.8</v>
      </c>
      <c r="H59" s="31" t="n">
        <v>2.36</v>
      </c>
      <c r="I59" s="31" t="n">
        <v>15593</v>
      </c>
      <c r="J59" s="31" t="inlineStr">
        <is>
          <t>500226</t>
        </is>
      </c>
    </row>
    <row r="60">
      <c r="A60" s="31" t="inlineStr">
        <is>
          <t>INDIANB</t>
        </is>
      </c>
      <c r="B60" s="31" t="inlineStr">
        <is>
          <t>Indian Bank Ltd</t>
        </is>
      </c>
      <c r="C60" s="31" t="inlineStr">
        <is>
          <t>bank</t>
        </is>
      </c>
      <c r="D60" s="31" t="inlineStr">
        <is>
          <t>banks - public sector</t>
        </is>
      </c>
      <c r="E60" s="31" t="inlineStr">
        <is>
          <t>largecap</t>
        </is>
      </c>
      <c r="F60" s="31" t="n">
        <v>112471.49</v>
      </c>
      <c r="G60" s="31" t="n">
        <v>854.1</v>
      </c>
      <c r="H60" s="31" t="n">
        <v>2.29</v>
      </c>
      <c r="I60" s="31" t="n">
        <v>2556003</v>
      </c>
      <c r="J60" s="31" t="inlineStr">
        <is>
          <t>532814</t>
        </is>
      </c>
    </row>
    <row r="61">
      <c r="A61" s="31" t="inlineStr">
        <is>
          <t>EBGNG</t>
        </is>
      </c>
      <c r="B61" s="31" t="inlineStr">
        <is>
          <t>GNG Electronics Ltd</t>
        </is>
      </c>
      <c r="C61" s="31" t="inlineStr">
        <is>
          <t>services</t>
        </is>
      </c>
      <c r="D61" s="31" t="inlineStr">
        <is>
          <t>trading</t>
        </is>
      </c>
      <c r="E61" s="31" t="inlineStr">
        <is>
          <t>midcap</t>
        </is>
      </c>
      <c r="F61" s="31" t="n">
        <v>7892.45</v>
      </c>
      <c r="G61" s="31" t="n">
        <v>708.05</v>
      </c>
      <c r="H61" s="31" t="n">
        <v>2.28</v>
      </c>
      <c r="I61" s="31" t="n">
        <v>402805</v>
      </c>
      <c r="J61" s="31" t="inlineStr">
        <is>
          <t>544455</t>
        </is>
      </c>
    </row>
    <row r="62">
      <c r="A62" s="31" t="inlineStr">
        <is>
          <t>VISAKAIND</t>
        </is>
      </c>
      <c r="B62" s="31" t="inlineStr">
        <is>
          <t>Visaka Industries Limited</t>
        </is>
      </c>
      <c r="C62" s="31" t="inlineStr">
        <is>
          <t>building materials</t>
        </is>
      </c>
      <c r="D62" s="31" t="inlineStr">
        <is>
          <t>cement products</t>
        </is>
      </c>
      <c r="E62" s="31" t="inlineStr">
        <is>
          <t>smallcap</t>
        </is>
      </c>
      <c r="F62" s="31" t="n">
        <v>770.47</v>
      </c>
      <c r="G62" s="31" t="n">
        <v>91.18000000000001</v>
      </c>
      <c r="H62" s="31" t="n">
        <v>2.25</v>
      </c>
      <c r="I62" s="31" t="n">
        <v>85264</v>
      </c>
      <c r="J62" s="31" t="inlineStr">
        <is>
          <t>509055</t>
        </is>
      </c>
    </row>
    <row r="63">
      <c r="A63" s="31" t="inlineStr">
        <is>
          <t>WHEELS</t>
        </is>
      </c>
      <c r="B63" s="31" t="inlineStr">
        <is>
          <t>Wheels India Limited</t>
        </is>
      </c>
      <c r="C63" s="31" t="inlineStr">
        <is>
          <t>auto</t>
        </is>
      </c>
      <c r="D63" s="31" t="inlineStr">
        <is>
          <t>auto ancillaries</t>
        </is>
      </c>
      <c r="E63" s="31" t="inlineStr">
        <is>
          <t>midcap</t>
        </is>
      </c>
      <c r="F63" s="31" t="n">
        <v>6445.62</v>
      </c>
      <c r="G63" s="31" t="n">
        <v>2452.7</v>
      </c>
      <c r="H63" s="31" t="n">
        <v>2.22</v>
      </c>
      <c r="I63" s="31" t="n">
        <v>91941</v>
      </c>
      <c r="J63" s="31" t="inlineStr">
        <is>
          <t>590073</t>
        </is>
      </c>
    </row>
    <row r="64">
      <c r="A64" s="31" t="inlineStr">
        <is>
          <t>SPORTKING</t>
        </is>
      </c>
      <c r="B64" s="31" t="inlineStr">
        <is>
          <t>Sportking India Ltd</t>
        </is>
      </c>
      <c r="C64" s="31" t="inlineStr">
        <is>
          <t>textiles</t>
        </is>
      </c>
      <c r="D64" s="31" t="inlineStr">
        <is>
          <t>textiles - spinning - synthetic / blended</t>
        </is>
      </c>
      <c r="E64" s="31" t="inlineStr">
        <is>
          <t>smallcap</t>
        </is>
      </c>
      <c r="F64" s="31" t="n">
        <v>2762.04</v>
      </c>
      <c r="G64" s="31" t="n">
        <v>222.15</v>
      </c>
      <c r="H64" s="31" t="n">
        <v>2.2</v>
      </c>
      <c r="I64" s="31" t="n">
        <v>257083</v>
      </c>
      <c r="J64" s="31" t="inlineStr">
        <is>
          <t>539221</t>
        </is>
      </c>
    </row>
    <row r="65">
      <c r="A65" s="31" t="inlineStr">
        <is>
          <t>WSTCSTPAPR</t>
        </is>
      </c>
      <c r="B65" s="31" t="inlineStr">
        <is>
          <t>West Coast Paper Mills Limited</t>
        </is>
      </c>
      <c r="C65" s="31" t="inlineStr">
        <is>
          <t>building materials</t>
        </is>
      </c>
      <c r="D65" s="31" t="inlineStr">
        <is>
          <t>paper</t>
        </is>
      </c>
      <c r="E65" s="31" t="inlineStr">
        <is>
          <t>midcap</t>
        </is>
      </c>
      <c r="F65" s="31" t="n">
        <v>5431.86</v>
      </c>
      <c r="G65" s="31" t="n">
        <v>840</v>
      </c>
      <c r="H65" s="31" t="n">
        <v>2.14</v>
      </c>
      <c r="I65" s="31" t="n">
        <v>2630701</v>
      </c>
      <c r="J65" s="31" t="inlineStr">
        <is>
          <t>500444</t>
        </is>
      </c>
    </row>
    <row r="66">
      <c r="A66" s="31" t="inlineStr">
        <is>
          <t>PRINCEPIPE</t>
        </is>
      </c>
      <c r="B66" s="31" t="inlineStr">
        <is>
          <t>Prince Pipes &amp; Fittings Ltd</t>
        </is>
      </c>
      <c r="C66" s="31" t="inlineStr">
        <is>
          <t>plastic products</t>
        </is>
      </c>
      <c r="D66" s="31" t="inlineStr">
        <is>
          <t>plastics products</t>
        </is>
      </c>
      <c r="E66" s="31" t="inlineStr">
        <is>
          <t>smallcap</t>
        </is>
      </c>
      <c r="F66" s="31" t="n">
        <v>3057.57</v>
      </c>
      <c r="G66" s="31" t="n">
        <v>282.35</v>
      </c>
      <c r="H66" s="31" t="n">
        <v>2.1</v>
      </c>
      <c r="I66" s="31" t="n">
        <v>252148</v>
      </c>
      <c r="J66" s="31" t="inlineStr">
        <is>
          <t>542907</t>
        </is>
      </c>
    </row>
    <row r="67">
      <c r="A67" s="31" t="inlineStr">
        <is>
          <t>LAURUSLABS</t>
        </is>
      </c>
      <c r="B67" s="31" t="inlineStr">
        <is>
          <t>Laurus Labs Limited</t>
        </is>
      </c>
      <c r="C67" s="31" t="inlineStr">
        <is>
          <t>healthcare</t>
        </is>
      </c>
      <c r="D67" s="31" t="inlineStr">
        <is>
          <t>pharmaceuticals - indian - bulk drugs &amp; formln</t>
        </is>
      </c>
      <c r="E67" s="31" t="inlineStr">
        <is>
          <t>largecap</t>
        </is>
      </c>
      <c r="F67" s="31" t="n">
        <v>109049.38</v>
      </c>
      <c r="G67" s="31" t="n">
        <v>2060.1</v>
      </c>
      <c r="H67" s="31" t="n">
        <v>2.06</v>
      </c>
      <c r="I67" s="31" t="n">
        <v>1606547</v>
      </c>
      <c r="J67" s="31" t="inlineStr">
        <is>
          <t>540222</t>
        </is>
      </c>
    </row>
    <row r="68">
      <c r="A68" s="31" t="inlineStr">
        <is>
          <t>PGIL</t>
        </is>
      </c>
      <c r="B68" s="31" t="inlineStr">
        <is>
          <t>Pearl Global Industries Limited</t>
        </is>
      </c>
      <c r="C68" s="31" t="inlineStr">
        <is>
          <t>readymade garments/apparels</t>
        </is>
      </c>
      <c r="D68" s="31" t="inlineStr">
        <is>
          <t>textiles - products</t>
        </is>
      </c>
      <c r="E68" s="31" t="inlineStr">
        <is>
          <t>midcap</t>
        </is>
      </c>
      <c r="F68" s="31" t="n">
        <v>11670.5</v>
      </c>
      <c r="G68" s="31" t="n">
        <v>1289.2</v>
      </c>
      <c r="H68" s="31" t="n">
        <v>2.05</v>
      </c>
      <c r="I68" s="31" t="n">
        <v>83828</v>
      </c>
      <c r="J68" s="31" t="inlineStr">
        <is>
          <t>532808</t>
        </is>
      </c>
    </row>
    <row r="69">
      <c r="A69" s="31" t="inlineStr">
        <is>
          <t>NRL</t>
        </is>
      </c>
      <c r="B69" s="31" t="inlineStr">
        <is>
          <t>Nupur Recyclers Ltd</t>
        </is>
      </c>
      <c r="C69" s="31" t="inlineStr">
        <is>
          <t>services</t>
        </is>
      </c>
      <c r="D69" s="31" t="inlineStr">
        <is>
          <t>trading</t>
        </is>
      </c>
      <c r="E69" s="31" t="inlineStr">
        <is>
          <t>smallcap</t>
        </is>
      </c>
      <c r="F69" s="31" t="n">
        <v>1143.37</v>
      </c>
      <c r="G69" s="31" t="n">
        <v>168.85</v>
      </c>
      <c r="H69" s="31" t="n">
        <v>2</v>
      </c>
      <c r="I69" s="31" t="n">
        <v>29508</v>
      </c>
      <c r="J69" s="31" t="inlineStr">
        <is>
          <t>535413</t>
        </is>
      </c>
    </row>
    <row r="70">
      <c r="A70" s="31" t="inlineStr">
        <is>
          <t>PANACHE</t>
        </is>
      </c>
      <c r="B70" s="31" t="inlineStr">
        <is>
          <t>Panache Digilife Ltd</t>
        </is>
      </c>
      <c r="C70" s="31" t="inlineStr">
        <is>
          <t>i.t</t>
        </is>
      </c>
      <c r="D70" s="31" t="inlineStr">
        <is>
          <t>computers - hardware</t>
        </is>
      </c>
      <c r="E70" s="31" t="inlineStr">
        <is>
          <t>smallcap</t>
        </is>
      </c>
      <c r="F70" s="31" t="n">
        <v>1030.66</v>
      </c>
      <c r="G70" s="31" t="n">
        <v>656.45</v>
      </c>
      <c r="H70" s="31" t="n">
        <v>2</v>
      </c>
      <c r="I70" s="31" t="n">
        <v>3460</v>
      </c>
      <c r="J70" s="31" t="inlineStr">
        <is>
          <t>538424</t>
        </is>
      </c>
    </row>
    <row r="71">
      <c r="A71" s="31" t="inlineStr">
        <is>
          <t>BAFNAPH</t>
        </is>
      </c>
      <c r="B71" s="31" t="inlineStr">
        <is>
          <t>Bafna Pharmaceuticals Ltd</t>
        </is>
      </c>
      <c r="C71" s="31" t="inlineStr">
        <is>
          <t>healthcare</t>
        </is>
      </c>
      <c r="D71" s="31" t="inlineStr">
        <is>
          <t>pharmaceuticals - indian - formulations</t>
        </is>
      </c>
      <c r="E71" s="31" t="inlineStr">
        <is>
          <t>smallcap</t>
        </is>
      </c>
      <c r="F71" s="31" t="n">
        <v>1070.09</v>
      </c>
      <c r="G71" s="31" t="n">
        <v>461.35</v>
      </c>
      <c r="H71" s="31" t="n">
        <v>1.99</v>
      </c>
      <c r="I71" s="31" t="n">
        <v>20755</v>
      </c>
      <c r="J71" s="31" t="inlineStr">
        <is>
          <t>532989</t>
        </is>
      </c>
    </row>
    <row r="72">
      <c r="A72" s="31" t="inlineStr">
        <is>
          <t>NYKAA</t>
        </is>
      </c>
      <c r="B72" s="31" t="inlineStr">
        <is>
          <t>FSN E-Commerce Ventures Ltd</t>
        </is>
      </c>
      <c r="C72" s="31" t="inlineStr">
        <is>
          <t>i.t</t>
        </is>
      </c>
      <c r="D72" s="31" t="inlineStr">
        <is>
          <t>trading</t>
        </is>
      </c>
      <c r="E72" s="31" t="inlineStr">
        <is>
          <t>largecap</t>
        </is>
      </c>
      <c r="F72" s="31" t="n">
        <v>96911.81</v>
      </c>
      <c r="G72" s="31" t="n">
        <v>345</v>
      </c>
      <c r="H72" s="31" t="n">
        <v>1.95</v>
      </c>
      <c r="I72" s="31" t="n">
        <v>2669786</v>
      </c>
      <c r="J72" s="31" t="inlineStr">
        <is>
          <t>543384</t>
        </is>
      </c>
    </row>
    <row r="73">
      <c r="A73" s="31" t="inlineStr">
        <is>
          <t>IRISDOREME</t>
        </is>
      </c>
      <c r="B73" s="31" t="inlineStr">
        <is>
          <t>Iris Clothings Ltd</t>
        </is>
      </c>
      <c r="C73" s="31" t="inlineStr">
        <is>
          <t>readymade garments/apparels</t>
        </is>
      </c>
      <c r="D73" s="31" t="inlineStr">
        <is>
          <t>textiles - products</t>
        </is>
      </c>
      <c r="E73" s="31" t="inlineStr">
        <is>
          <t>smallcap</t>
        </is>
      </c>
      <c r="F73" s="31" t="n">
        <v>1250.22</v>
      </c>
      <c r="G73" s="31" t="n">
        <v>64.34</v>
      </c>
      <c r="H73" s="31" t="n">
        <v>1.92</v>
      </c>
      <c r="I73" s="31" t="n">
        <v>1684849</v>
      </c>
      <c r="J73" s="31" t="inlineStr">
        <is>
          <t>535123</t>
        </is>
      </c>
    </row>
    <row r="74">
      <c r="A74" s="31" t="inlineStr">
        <is>
          <t>ORIENTELEC</t>
        </is>
      </c>
      <c r="B74" s="31" t="inlineStr">
        <is>
          <t>Orient Electric Ltd</t>
        </is>
      </c>
      <c r="C74" s="31" t="inlineStr">
        <is>
          <t>consumer discretionary</t>
        </is>
      </c>
      <c r="D74" s="31" t="inlineStr">
        <is>
          <t>domestic appliances</t>
        </is>
      </c>
      <c r="E74" s="31" t="inlineStr">
        <is>
          <t>smallcap</t>
        </is>
      </c>
      <c r="F74" s="31" t="n">
        <v>4206.3</v>
      </c>
      <c r="G74" s="31" t="n">
        <v>200.91</v>
      </c>
      <c r="H74" s="31" t="n">
        <v>1.91</v>
      </c>
      <c r="I74" s="31" t="n">
        <v>40313285</v>
      </c>
      <c r="J74" s="31" t="inlineStr">
        <is>
          <t>541301</t>
        </is>
      </c>
    </row>
    <row r="75">
      <c r="A75" s="31" t="inlineStr">
        <is>
          <t>MPHASIS</t>
        </is>
      </c>
      <c r="B75" s="31" t="inlineStr">
        <is>
          <t>Mphasis Limited</t>
        </is>
      </c>
      <c r="C75" s="31" t="inlineStr">
        <is>
          <t>i.t</t>
        </is>
      </c>
      <c r="D75" s="31" t="inlineStr">
        <is>
          <t>computers - software - large</t>
        </is>
      </c>
      <c r="E75" s="31" t="inlineStr">
        <is>
          <t>largecap</t>
        </is>
      </c>
      <c r="F75" s="31" t="n">
        <v>46843.86</v>
      </c>
      <c r="G75" s="31" t="n">
        <v>2500</v>
      </c>
      <c r="H75" s="31" t="n">
        <v>1.91</v>
      </c>
      <c r="I75" s="31" t="n">
        <v>1282732</v>
      </c>
      <c r="J75" s="31" t="inlineStr">
        <is>
          <t>526299</t>
        </is>
      </c>
    </row>
    <row r="76">
      <c r="A76" s="31" t="inlineStr">
        <is>
          <t>UNIMECH</t>
        </is>
      </c>
      <c r="B76" s="31" t="inlineStr">
        <is>
          <t>Unimech Aerospace and Manufacturing Ltd</t>
        </is>
      </c>
      <c r="C76" s="31" t="inlineStr">
        <is>
          <t>aerospace &amp; defence</t>
        </is>
      </c>
      <c r="D76" s="31" t="inlineStr">
        <is>
          <t>engineering</t>
        </is>
      </c>
      <c r="E76" s="31" t="inlineStr">
        <is>
          <t>midcap</t>
        </is>
      </c>
      <c r="F76" s="31" t="n">
        <v>8947.549999999999</v>
      </c>
      <c r="G76" s="31" t="n">
        <v>1791.3</v>
      </c>
      <c r="H76" s="31" t="n">
        <v>1.91</v>
      </c>
      <c r="I76" s="31" t="n">
        <v>82933</v>
      </c>
      <c r="J76" s="31" t="inlineStr">
        <is>
          <t>544322</t>
        </is>
      </c>
    </row>
    <row r="77">
      <c r="A77" s="31" t="inlineStr">
        <is>
          <t>SANATHAN</t>
        </is>
      </c>
      <c r="B77" s="31" t="inlineStr">
        <is>
          <t>Sanathan Textiles Ltd</t>
        </is>
      </c>
      <c r="C77" s="31" t="inlineStr">
        <is>
          <t>textiles</t>
        </is>
      </c>
      <c r="D77" s="31" t="inlineStr">
        <is>
          <t>textiles - cotton/blended</t>
        </is>
      </c>
      <c r="E77" s="31" t="inlineStr">
        <is>
          <t>smallcap</t>
        </is>
      </c>
      <c r="F77" s="31" t="n">
        <v>4614.37</v>
      </c>
      <c r="G77" s="31" t="n">
        <v>556.65</v>
      </c>
      <c r="H77" s="31" t="n">
        <v>1.82</v>
      </c>
      <c r="I77" s="31" t="n">
        <v>135269</v>
      </c>
      <c r="J77" s="31" t="inlineStr">
        <is>
          <t>544314</t>
        </is>
      </c>
    </row>
    <row r="78">
      <c r="A78" s="31" t="inlineStr">
        <is>
          <t>RAIN</t>
        </is>
      </c>
      <c r="B78" s="31" t="inlineStr">
        <is>
          <t>Rain Industries Limited</t>
        </is>
      </c>
      <c r="C78" s="31" t="inlineStr">
        <is>
          <t>miscellaneous</t>
        </is>
      </c>
      <c r="D78" s="31" t="inlineStr">
        <is>
          <t>miscellaneous</t>
        </is>
      </c>
      <c r="E78" s="31" t="inlineStr">
        <is>
          <t>midcap</t>
        </is>
      </c>
      <c r="F78" s="31" t="n">
        <v>7551.97</v>
      </c>
      <c r="G78" s="31" t="n">
        <v>228.55</v>
      </c>
      <c r="H78" s="31" t="n">
        <v>1.79</v>
      </c>
      <c r="I78" s="31" t="n">
        <v>3152031</v>
      </c>
      <c r="J78" s="31" t="inlineStr">
        <is>
          <t>500339</t>
        </is>
      </c>
    </row>
    <row r="79">
      <c r="A79" s="31" t="inlineStr">
        <is>
          <t>ORBTEXP</t>
        </is>
      </c>
      <c r="B79" s="31" t="inlineStr">
        <is>
          <t>Orbit Exports Limited</t>
        </is>
      </c>
      <c r="C79" s="31" t="inlineStr">
        <is>
          <t>textiles</t>
        </is>
      </c>
      <c r="D79" s="31" t="inlineStr">
        <is>
          <t>textiles - processing</t>
        </is>
      </c>
      <c r="E79" s="31" t="inlineStr">
        <is>
          <t>smallcap</t>
        </is>
      </c>
      <c r="F79" s="31" t="n">
        <v>686.9</v>
      </c>
      <c r="G79" s="31" t="n">
        <v>263.55</v>
      </c>
      <c r="H79" s="31" t="n">
        <v>1.72</v>
      </c>
      <c r="I79" s="31" t="n">
        <v>8283</v>
      </c>
      <c r="J79" s="31" t="inlineStr">
        <is>
          <t>512626</t>
        </is>
      </c>
    </row>
    <row r="80">
      <c r="A80" s="31" t="inlineStr">
        <is>
          <t>DELTACORP</t>
        </is>
      </c>
      <c r="B80" s="31" t="inlineStr">
        <is>
          <t>Delta Corp Limited</t>
        </is>
      </c>
      <c r="C80" s="31" t="inlineStr">
        <is>
          <t>miscellaneous</t>
        </is>
      </c>
      <c r="D80" s="31" t="inlineStr">
        <is>
          <t>recreation / amusement parks</t>
        </is>
      </c>
      <c r="E80" s="31" t="inlineStr">
        <is>
          <t>smallcap</t>
        </is>
      </c>
      <c r="F80" s="31" t="n">
        <v>2134.67</v>
      </c>
      <c r="G80" s="31" t="n">
        <v>81.04000000000001</v>
      </c>
      <c r="H80" s="31" t="n">
        <v>1.66</v>
      </c>
      <c r="I80" s="31" t="n">
        <v>4870876</v>
      </c>
      <c r="J80" s="31" t="inlineStr">
        <is>
          <t>532848</t>
        </is>
      </c>
    </row>
    <row r="81">
      <c r="A81" s="31" t="inlineStr">
        <is>
          <t>SUNFLAG</t>
        </is>
      </c>
      <c r="B81" s="31" t="inlineStr">
        <is>
          <t>Sunflag Iron And Steel Company Limited</t>
        </is>
      </c>
      <c r="C81" s="31" t="inlineStr">
        <is>
          <t>metals &amp; mining</t>
        </is>
      </c>
      <c r="D81" s="31" t="inlineStr">
        <is>
          <t>steel - medium / small</t>
        </is>
      </c>
      <c r="E81" s="31" t="inlineStr">
        <is>
          <t>midcap</t>
        </is>
      </c>
      <c r="F81" s="31" t="n">
        <v>7631.39</v>
      </c>
      <c r="G81" s="31" t="n">
        <v>430.4</v>
      </c>
      <c r="H81" s="31" t="n">
        <v>1.64</v>
      </c>
      <c r="I81" s="31" t="n">
        <v>121316</v>
      </c>
      <c r="J81" s="31" t="inlineStr">
        <is>
          <t>500404</t>
        </is>
      </c>
    </row>
    <row r="82">
      <c r="A82" s="31" t="inlineStr">
        <is>
          <t>HAL</t>
        </is>
      </c>
      <c r="B82" s="31" t="inlineStr">
        <is>
          <t>Hindustan Aeronautics Ltd</t>
        </is>
      </c>
      <c r="C82" s="31" t="inlineStr">
        <is>
          <t>aerospace &amp; defence</t>
        </is>
      </c>
      <c r="D82" s="31" t="inlineStr">
        <is>
          <t>engineering</t>
        </is>
      </c>
      <c r="E82" s="31" t="inlineStr">
        <is>
          <t>largecap</t>
        </is>
      </c>
      <c r="F82" s="31" t="n">
        <v>328368.53</v>
      </c>
      <c r="G82" s="31" t="n">
        <v>4989</v>
      </c>
      <c r="H82" s="31" t="n">
        <v>1.61</v>
      </c>
      <c r="I82" s="31" t="n">
        <v>942758</v>
      </c>
      <c r="J82" s="31" t="inlineStr">
        <is>
          <t>541154</t>
        </is>
      </c>
    </row>
    <row r="83">
      <c r="A83" s="31" t="inlineStr">
        <is>
          <t>SVLL</t>
        </is>
      </c>
      <c r="B83" s="31" t="inlineStr">
        <is>
          <t>Shree Vasu Logistics Ltd</t>
        </is>
      </c>
      <c r="C83" s="31" t="inlineStr">
        <is>
          <t>transportation</t>
        </is>
      </c>
      <c r="D83" s="31" t="inlineStr">
        <is>
          <t>miscellaneous</t>
        </is>
      </c>
      <c r="E83" s="31" t="inlineStr">
        <is>
          <t>smallcap</t>
        </is>
      </c>
      <c r="F83" s="31" t="n">
        <v>997.6</v>
      </c>
      <c r="G83" s="31" t="n">
        <v>881.45</v>
      </c>
      <c r="H83" s="31" t="n">
        <v>1.56</v>
      </c>
      <c r="I83" s="31" t="n">
        <v>6697</v>
      </c>
      <c r="J83" s="31" t="inlineStr">
        <is>
          <t>535084</t>
        </is>
      </c>
    </row>
    <row r="84">
      <c r="A84" s="31" t="inlineStr">
        <is>
          <t>SMCGLOBAL</t>
        </is>
      </c>
      <c r="B84" s="31" t="inlineStr">
        <is>
          <t>SMC Global Securities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2270.52</v>
      </c>
      <c r="G84" s="31" t="n">
        <v>110.11</v>
      </c>
      <c r="H84" s="31" t="n">
        <v>1.55</v>
      </c>
      <c r="I84" s="31" t="n">
        <v>8594649</v>
      </c>
      <c r="J84" s="31" t="inlineStr">
        <is>
          <t>543263</t>
        </is>
      </c>
    </row>
    <row r="85">
      <c r="A85" s="31" t="inlineStr">
        <is>
          <t>HATSUN</t>
        </is>
      </c>
      <c r="B85" s="31" t="inlineStr">
        <is>
          <t>Hatsun Agro Product Limited</t>
        </is>
      </c>
      <c r="C85" s="31" t="inlineStr">
        <is>
          <t>fmcg</t>
        </is>
      </c>
      <c r="D85" s="31" t="inlineStr">
        <is>
          <t>food - processing - indian</t>
        </is>
      </c>
      <c r="E85" s="31" t="inlineStr">
        <is>
          <t>largecap</t>
        </is>
      </c>
      <c r="F85" s="31" t="n">
        <v>25518.04</v>
      </c>
      <c r="G85" s="31" t="n">
        <v>1162.1</v>
      </c>
      <c r="H85" s="31" t="n">
        <v>1.44</v>
      </c>
      <c r="I85" s="31" t="n">
        <v>20810</v>
      </c>
      <c r="J85" s="31" t="inlineStr">
        <is>
          <t>531531</t>
        </is>
      </c>
    </row>
    <row r="86">
      <c r="A86" s="31" t="inlineStr">
        <is>
          <t>SUNTV</t>
        </is>
      </c>
      <c r="B86" s="31" t="inlineStr">
        <is>
          <t>Sun Tv Network Limited</t>
        </is>
      </c>
      <c r="C86" s="31" t="inlineStr">
        <is>
          <t>media</t>
        </is>
      </c>
      <c r="D86" s="31" t="inlineStr">
        <is>
          <t>entertainment / electronic media software</t>
        </is>
      </c>
      <c r="E86" s="31" t="inlineStr">
        <is>
          <t>largecap</t>
        </is>
      </c>
      <c r="F86" s="31" t="n">
        <v>24793.83</v>
      </c>
      <c r="G86" s="31" t="n">
        <v>638</v>
      </c>
      <c r="H86" s="31" t="n">
        <v>1.41</v>
      </c>
      <c r="I86" s="31" t="n">
        <v>555965</v>
      </c>
      <c r="J86" s="31" t="inlineStr">
        <is>
          <t>532733</t>
        </is>
      </c>
    </row>
    <row r="87">
      <c r="A87" s="31" t="inlineStr">
        <is>
          <t>PVRINOX</t>
        </is>
      </c>
      <c r="B87" s="31" t="inlineStr">
        <is>
          <t>PVR Inox Ltd</t>
        </is>
      </c>
      <c r="C87" s="31" t="inlineStr">
        <is>
          <t>media</t>
        </is>
      </c>
      <c r="D87" s="31" t="inlineStr">
        <is>
          <t>entertainment / electronic media software</t>
        </is>
      </c>
      <c r="E87" s="31" t="inlineStr">
        <is>
          <t>midcap</t>
        </is>
      </c>
      <c r="F87" s="31" t="n">
        <v>13284.34</v>
      </c>
      <c r="G87" s="31" t="n">
        <v>1401</v>
      </c>
      <c r="H87" s="31" t="n">
        <v>1.38</v>
      </c>
      <c r="I87" s="31" t="n">
        <v>651034</v>
      </c>
      <c r="J87" s="31" t="inlineStr">
        <is>
          <t>532689</t>
        </is>
      </c>
    </row>
    <row r="88">
      <c r="A88" s="31" t="inlineStr">
        <is>
          <t>ESAFSFB</t>
        </is>
      </c>
      <c r="B88" s="31" t="inlineStr">
        <is>
          <t>ESAF Small Finance Bank Ltd</t>
        </is>
      </c>
      <c r="C88" s="31" t="inlineStr">
        <is>
          <t>bank</t>
        </is>
      </c>
      <c r="D88" s="31" t="inlineStr">
        <is>
          <t>banks - private sector</t>
        </is>
      </c>
      <c r="E88" s="31" t="inlineStr">
        <is>
          <t>smallcap</t>
        </is>
      </c>
      <c r="F88" s="31" t="n">
        <v>2253.68</v>
      </c>
      <c r="G88" s="31" t="n">
        <v>44.28</v>
      </c>
      <c r="H88" s="31" t="n">
        <v>1.37</v>
      </c>
      <c r="I88" s="31" t="n">
        <v>589268</v>
      </c>
      <c r="J88" s="31" t="inlineStr">
        <is>
          <t>544020</t>
        </is>
      </c>
    </row>
    <row r="89">
      <c r="A89" s="31" t="inlineStr">
        <is>
          <t>SHREEPUSHK</t>
        </is>
      </c>
      <c r="B89" s="31" t="inlineStr">
        <is>
          <t>Shree Pushkar Chemicals &amp; Fertilisers Limited</t>
        </is>
      </c>
      <c r="C89" s="31" t="inlineStr">
        <is>
          <t>chemicals</t>
        </is>
      </c>
      <c r="D89" s="31" t="inlineStr">
        <is>
          <t>dyes and pigments</t>
        </is>
      </c>
      <c r="E89" s="31" t="inlineStr">
        <is>
          <t>smallcap</t>
        </is>
      </c>
      <c r="F89" s="31" t="n">
        <v>1608.48</v>
      </c>
      <c r="G89" s="31" t="n">
        <v>503.8</v>
      </c>
      <c r="H89" s="31" t="n">
        <v>1.29</v>
      </c>
      <c r="I89" s="31" t="n">
        <v>44931</v>
      </c>
      <c r="J89" s="31" t="inlineStr">
        <is>
          <t>539334</t>
        </is>
      </c>
    </row>
    <row r="90">
      <c r="A90" s="31" t="inlineStr">
        <is>
          <t>ABDL</t>
        </is>
      </c>
      <c r="B90" s="31" t="inlineStr">
        <is>
          <t>Allied Blenders &amp; Distillers Ltd</t>
        </is>
      </c>
      <c r="C90" s="31" t="inlineStr">
        <is>
          <t>fmcg</t>
        </is>
      </c>
      <c r="D90" s="31" t="inlineStr">
        <is>
          <t>breweries &amp; distilleries</t>
        </is>
      </c>
      <c r="E90" s="31" t="inlineStr">
        <is>
          <t>largecap</t>
        </is>
      </c>
      <c r="F90" s="31" t="n">
        <v>20677.57</v>
      </c>
      <c r="G90" s="31" t="n">
        <v>748.65</v>
      </c>
      <c r="H90" s="31" t="n">
        <v>1.27</v>
      </c>
      <c r="I90" s="31" t="n">
        <v>271019</v>
      </c>
      <c r="J90" s="31" t="inlineStr">
        <is>
          <t>544203</t>
        </is>
      </c>
    </row>
    <row r="91">
      <c r="A91" s="31" t="inlineStr">
        <is>
          <t>VHL</t>
        </is>
      </c>
      <c r="B91" s="31" t="inlineStr">
        <is>
          <t>Vardhman Holdings Limited</t>
        </is>
      </c>
      <c r="C91" s="31" t="inlineStr">
        <is>
          <t>financials</t>
        </is>
      </c>
      <c r="D91" s="31" t="inlineStr">
        <is>
          <t>finance &amp; investments</t>
        </is>
      </c>
      <c r="E91" s="31" t="inlineStr">
        <is>
          <t>smallcap</t>
        </is>
      </c>
      <c r="F91" s="31" t="n">
        <v>1179.08</v>
      </c>
      <c r="G91" s="31" t="n">
        <v>3740.4</v>
      </c>
      <c r="H91" s="31" t="n">
        <v>1.25</v>
      </c>
      <c r="I91" s="31" t="n">
        <v>1163</v>
      </c>
      <c r="J91" s="31" t="inlineStr">
        <is>
          <t>500439</t>
        </is>
      </c>
    </row>
    <row r="92">
      <c r="A92" s="31" t="inlineStr">
        <is>
          <t>AVTNPL</t>
        </is>
      </c>
      <c r="B92" s="31" t="inlineStr">
        <is>
          <t>Avt Natural Products Limited</t>
        </is>
      </c>
      <c r="C92" s="31" t="inlineStr">
        <is>
          <t>fmcg</t>
        </is>
      </c>
      <c r="D92" s="31" t="inlineStr">
        <is>
          <t>solvent extraction</t>
        </is>
      </c>
      <c r="E92" s="31" t="inlineStr">
        <is>
          <t>smallcap</t>
        </is>
      </c>
      <c r="F92" s="31" t="n">
        <v>1519.03</v>
      </c>
      <c r="G92" s="31" t="n">
        <v>101</v>
      </c>
      <c r="H92" s="31" t="n">
        <v>1.25</v>
      </c>
      <c r="I92" s="31" t="n">
        <v>2324339</v>
      </c>
      <c r="J92" s="31" t="inlineStr">
        <is>
          <t>519105</t>
        </is>
      </c>
    </row>
    <row r="93">
      <c r="A93" s="31" t="inlineStr">
        <is>
          <t>YUKEN</t>
        </is>
      </c>
      <c r="B93" s="31" t="inlineStr">
        <is>
          <t>Yuken India Ltd</t>
        </is>
      </c>
      <c r="C93" s="31" t="inlineStr">
        <is>
          <t>industrials</t>
        </is>
      </c>
      <c r="D93" s="31" t="inlineStr">
        <is>
          <t>engineering</t>
        </is>
      </c>
      <c r="E93" s="31" t="inlineStr">
        <is>
          <t>smallcap</t>
        </is>
      </c>
      <c r="F93" s="31" t="n">
        <v>1546.54</v>
      </c>
      <c r="G93" s="31" t="n">
        <v>1152.6</v>
      </c>
      <c r="H93" s="31" t="n">
        <v>1.24</v>
      </c>
      <c r="I93" s="31" t="n">
        <v>4801</v>
      </c>
      <c r="J93" s="31" t="inlineStr">
        <is>
          <t>522108</t>
        </is>
      </c>
    </row>
    <row r="94">
      <c r="A94" s="31" t="inlineStr">
        <is>
          <t>DRREDDY</t>
        </is>
      </c>
      <c r="B94" s="31" t="inlineStr">
        <is>
          <t>Dr. Reddy's Laboratories Limited</t>
        </is>
      </c>
      <c r="C94" s="31" t="inlineStr">
        <is>
          <t>healthcare</t>
        </is>
      </c>
      <c r="D94" s="31" t="inlineStr">
        <is>
          <t>pharmaceuticals - indian - bulk drugs &amp; formln</t>
        </is>
      </c>
      <c r="E94" s="31" t="inlineStr">
        <is>
          <t>largecap</t>
        </is>
      </c>
      <c r="F94" s="31" t="n">
        <v>101730.29</v>
      </c>
      <c r="G94" s="31" t="n">
        <v>1233</v>
      </c>
      <c r="H94" s="31" t="n">
        <v>1.17</v>
      </c>
      <c r="I94" s="31" t="n">
        <v>1261028</v>
      </c>
      <c r="J94" s="31" t="inlineStr">
        <is>
          <t>500124</t>
        </is>
      </c>
    </row>
    <row r="95">
      <c r="A95" s="31" t="inlineStr">
        <is>
          <t>GABRIEL</t>
        </is>
      </c>
      <c r="B95" s="31" t="inlineStr">
        <is>
          <t>Gabriel India Limited</t>
        </is>
      </c>
      <c r="C95" s="31" t="inlineStr">
        <is>
          <t>auto</t>
        </is>
      </c>
      <c r="D95" s="31" t="inlineStr">
        <is>
          <t>auto ancillaries</t>
        </is>
      </c>
      <c r="E95" s="31" t="inlineStr">
        <is>
          <t>largecap</t>
        </is>
      </c>
      <c r="F95" s="31" t="n">
        <v>27447.77</v>
      </c>
      <c r="G95" s="31" t="n">
        <v>1448.9</v>
      </c>
      <c r="H95" s="31" t="n">
        <v>1.16</v>
      </c>
      <c r="I95" s="31" t="n">
        <v>152555</v>
      </c>
      <c r="J95" s="31" t="inlineStr">
        <is>
          <t>505714</t>
        </is>
      </c>
    </row>
    <row r="96">
      <c r="A96" s="31" t="inlineStr">
        <is>
          <t>FAIRCHEMOR</t>
        </is>
      </c>
      <c r="B96" s="31" t="inlineStr">
        <is>
          <t>Fairchem Organics Ltd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smallcap</t>
        </is>
      </c>
      <c r="F96" s="31" t="n">
        <v>955.46</v>
      </c>
      <c r="G96" s="31" t="n">
        <v>767.35</v>
      </c>
      <c r="H96" s="31" t="n">
        <v>1.16</v>
      </c>
      <c r="I96" s="31" t="n">
        <v>28835</v>
      </c>
      <c r="J96" s="31" t="inlineStr">
        <is>
          <t>543252</t>
        </is>
      </c>
    </row>
    <row r="97">
      <c r="A97" s="31" t="inlineStr">
        <is>
          <t>FINEORG</t>
        </is>
      </c>
      <c r="B97" s="31" t="inlineStr">
        <is>
          <t>Fine Organic Industries Ltd</t>
        </is>
      </c>
      <c r="C97" s="31" t="inlineStr">
        <is>
          <t>chemicals</t>
        </is>
      </c>
      <c r="D97" s="31" t="inlineStr">
        <is>
          <t>chemicals</t>
        </is>
      </c>
      <c r="E97" s="31" t="inlineStr">
        <is>
          <t>midcap</t>
        </is>
      </c>
      <c r="F97" s="31" t="n">
        <v>16564.05</v>
      </c>
      <c r="G97" s="31" t="n">
        <v>5461.5</v>
      </c>
      <c r="H97" s="31" t="n">
        <v>1.09</v>
      </c>
      <c r="I97" s="31" t="n">
        <v>14663</v>
      </c>
      <c r="J97" s="31" t="inlineStr">
        <is>
          <t>541557</t>
        </is>
      </c>
    </row>
    <row r="98">
      <c r="A98" s="31" t="inlineStr">
        <is>
          <t>NPST</t>
        </is>
      </c>
      <c r="B98" s="31" t="inlineStr">
        <is>
          <t>Network People Services Technologies Ltd</t>
        </is>
      </c>
      <c r="C98" s="31" t="inlineStr">
        <is>
          <t>i.t</t>
        </is>
      </c>
      <c r="D98" s="31" t="inlineStr">
        <is>
          <t>computers - software - medium / small</t>
        </is>
      </c>
      <c r="E98" s="31" t="inlineStr">
        <is>
          <t>smallcap</t>
        </is>
      </c>
      <c r="F98" s="31" t="n">
        <v>3805.29</v>
      </c>
      <c r="G98" s="31" t="n">
        <v>1843.6</v>
      </c>
      <c r="H98" s="31" t="n">
        <v>1.08</v>
      </c>
      <c r="I98" s="31" t="n">
        <v>49122</v>
      </c>
      <c r="J98" s="31" t="inlineStr">
        <is>
          <t>535391</t>
        </is>
      </c>
    </row>
    <row r="99">
      <c r="A99" s="31" t="inlineStr">
        <is>
          <t>INDIAGLYCO</t>
        </is>
      </c>
      <c r="B99" s="31" t="inlineStr">
        <is>
          <t>India Glycols Limited</t>
        </is>
      </c>
      <c r="C99" s="31" t="inlineStr">
        <is>
          <t>fmcg</t>
        </is>
      </c>
      <c r="D99" s="31" t="inlineStr">
        <is>
          <t>breweries &amp; distilleries</t>
        </is>
      </c>
      <c r="E99" s="31" t="inlineStr">
        <is>
          <t>smallcap</t>
        </is>
      </c>
      <c r="F99" s="31" t="n">
        <v>2202.16</v>
      </c>
      <c r="G99" s="31" t="n">
        <v>331.95</v>
      </c>
      <c r="H99" s="31" t="n">
        <v>1.03</v>
      </c>
      <c r="I99" s="31" t="n">
        <v>689568</v>
      </c>
      <c r="J99" s="31" t="inlineStr">
        <is>
          <t>500201</t>
        </is>
      </c>
    </row>
    <row r="100">
      <c r="A100" s="31" t="inlineStr">
        <is>
          <t>DYNAMATECH</t>
        </is>
      </c>
      <c r="B100" s="31" t="inlineStr">
        <is>
          <t>Dynamatic Technologies Limited</t>
        </is>
      </c>
      <c r="C100" s="31" t="inlineStr">
        <is>
          <t>aerospace &amp; defence</t>
        </is>
      </c>
      <c r="D100" s="31" t="inlineStr">
        <is>
          <t>engineering</t>
        </is>
      </c>
      <c r="E100" s="31" t="inlineStr">
        <is>
          <t>midcap</t>
        </is>
      </c>
      <c r="F100" s="31" t="n">
        <v>9262.17</v>
      </c>
      <c r="G100" s="31" t="n">
        <v>13774</v>
      </c>
      <c r="H100" s="31" t="n">
        <v>1</v>
      </c>
      <c r="I100" s="31" t="n">
        <v>19591</v>
      </c>
      <c r="J100" s="31" t="inlineStr">
        <is>
          <t>505242</t>
        </is>
      </c>
    </row>
    <row r="101">
      <c r="A101" s="31" t="inlineStr">
        <is>
          <t>MUKANDLTD</t>
        </is>
      </c>
      <c r="B101" s="31" t="inlineStr">
        <is>
          <t>Mukand Limited</t>
        </is>
      </c>
      <c r="C101" s="31" t="inlineStr">
        <is>
          <t>metals &amp; mining</t>
        </is>
      </c>
      <c r="D101" s="31" t="inlineStr">
        <is>
          <t>steel - medium / small</t>
        </is>
      </c>
      <c r="E101" s="31" t="inlineStr">
        <is>
          <t>smallcap</t>
        </is>
      </c>
      <c r="F101" s="31" t="n">
        <v>2461.48</v>
      </c>
      <c r="G101" s="31" t="n">
        <v>171.99</v>
      </c>
      <c r="H101" s="31" t="n">
        <v>0.96</v>
      </c>
      <c r="I101" s="31" t="n">
        <v>134706</v>
      </c>
      <c r="J101" s="31" t="inlineStr">
        <is>
          <t>500460</t>
        </is>
      </c>
    </row>
    <row r="102">
      <c r="A102" s="31" t="inlineStr">
        <is>
          <t>GREENPLY</t>
        </is>
      </c>
      <c r="B102" s="31" t="inlineStr">
        <is>
          <t>Greenply Industries Limited</t>
        </is>
      </c>
      <c r="C102" s="31" t="inlineStr">
        <is>
          <t>building materials</t>
        </is>
      </c>
      <c r="D102" s="31" t="inlineStr">
        <is>
          <t>miscellaneous</t>
        </is>
      </c>
      <c r="E102" s="31" t="inlineStr">
        <is>
          <t>smallcap</t>
        </is>
      </c>
      <c r="F102" s="31" t="n">
        <v>3838.24</v>
      </c>
      <c r="G102" s="31" t="n">
        <v>310.25</v>
      </c>
      <c r="H102" s="31" t="n">
        <v>0.96</v>
      </c>
      <c r="I102" s="31" t="n">
        <v>63145</v>
      </c>
      <c r="J102" s="31" t="inlineStr">
        <is>
          <t>526797</t>
        </is>
      </c>
    </row>
    <row r="103">
      <c r="A103" s="31" t="inlineStr">
        <is>
          <t>COFORGE</t>
        </is>
      </c>
      <c r="B103" s="31" t="inlineStr">
        <is>
          <t>Coforge (Niit Tech) Ltd</t>
        </is>
      </c>
      <c r="C103" s="31" t="inlineStr">
        <is>
          <t>i.t</t>
        </is>
      </c>
      <c r="D103" s="31" t="inlineStr">
        <is>
          <t>computers - software - large</t>
        </is>
      </c>
      <c r="E103" s="31" t="inlineStr">
        <is>
          <t>largecap</t>
        </is>
      </c>
      <c r="F103" s="31" t="n">
        <v>85629.67999999999</v>
      </c>
      <c r="G103" s="31" t="n">
        <v>1951.9</v>
      </c>
      <c r="H103" s="31" t="n">
        <v>0.91</v>
      </c>
      <c r="I103" s="31" t="n">
        <v>2071569</v>
      </c>
      <c r="J103" s="31" t="inlineStr">
        <is>
          <t>532541</t>
        </is>
      </c>
    </row>
    <row r="104">
      <c r="A104" s="31" t="inlineStr">
        <is>
          <t>FEDERALBNK</t>
        </is>
      </c>
      <c r="B104" s="31" t="inlineStr">
        <is>
          <t>The Federal Bank  Limited</t>
        </is>
      </c>
      <c r="C104" s="31" t="inlineStr">
        <is>
          <t>bank</t>
        </is>
      </c>
      <c r="D104" s="31" t="inlineStr">
        <is>
          <t>banks - private sector</t>
        </is>
      </c>
      <c r="E104" s="31" t="inlineStr">
        <is>
          <t>largecap</t>
        </is>
      </c>
      <c r="F104" s="31" t="n">
        <v>82679.31</v>
      </c>
      <c r="G104" s="31" t="n">
        <v>338</v>
      </c>
      <c r="H104" s="31" t="n">
        <v>0.9</v>
      </c>
      <c r="I104" s="31" t="n">
        <v>28529726</v>
      </c>
      <c r="J104" s="31" t="inlineStr">
        <is>
          <t>500469</t>
        </is>
      </c>
    </row>
    <row r="105">
      <c r="A105" s="31" t="inlineStr">
        <is>
          <t>VINDHYATEL</t>
        </is>
      </c>
      <c r="B105" s="31" t="inlineStr">
        <is>
          <t>Vindhya Telelinks Limited</t>
        </is>
      </c>
      <c r="C105" s="31" t="inlineStr">
        <is>
          <t>realty</t>
        </is>
      </c>
      <c r="D105" s="31" t="inlineStr">
        <is>
          <t>construction</t>
        </is>
      </c>
      <c r="E105" s="31" t="inlineStr">
        <is>
          <t>smallcap</t>
        </is>
      </c>
      <c r="F105" s="31" t="n">
        <v>3359.48</v>
      </c>
      <c r="G105" s="31" t="n">
        <v>2860.2</v>
      </c>
      <c r="H105" s="31" t="n">
        <v>0.9</v>
      </c>
      <c r="I105" s="31" t="n">
        <v>51831</v>
      </c>
      <c r="J105" s="31" t="inlineStr">
        <is>
          <t>517015</t>
        </is>
      </c>
    </row>
    <row r="106">
      <c r="A106" s="31" t="inlineStr">
        <is>
          <t>MGEL</t>
        </is>
      </c>
      <c r="B106" s="31" t="inlineStr">
        <is>
          <t>Mangalam Global Enterprise Ltd</t>
        </is>
      </c>
      <c r="C106" s="31" t="inlineStr">
        <is>
          <t>services</t>
        </is>
      </c>
      <c r="D106" s="31" t="inlineStr">
        <is>
          <t>trading</t>
        </is>
      </c>
      <c r="E106" s="31" t="inlineStr">
        <is>
          <t>smallcap</t>
        </is>
      </c>
      <c r="F106" s="31" t="n">
        <v>555.96</v>
      </c>
      <c r="G106" s="31" t="n">
        <v>17.01</v>
      </c>
      <c r="H106" s="31" t="n">
        <v>0.83</v>
      </c>
      <c r="I106" s="31" t="n">
        <v>793033</v>
      </c>
      <c r="J106" s="31" t="inlineStr">
        <is>
          <t>535349</t>
        </is>
      </c>
    </row>
    <row r="107">
      <c r="A107" s="31" t="inlineStr">
        <is>
          <t>JINDALSAW</t>
        </is>
      </c>
      <c r="B107" s="31" t="inlineStr">
        <is>
          <t>Jindal Saw Limited</t>
        </is>
      </c>
      <c r="C107" s="31" t="inlineStr">
        <is>
          <t>industrials</t>
        </is>
      </c>
      <c r="D107" s="31" t="inlineStr">
        <is>
          <t>steel - large</t>
        </is>
      </c>
      <c r="E107" s="31" t="inlineStr">
        <is>
          <t>midcap</t>
        </is>
      </c>
      <c r="F107" s="31" t="n">
        <v>19134.09</v>
      </c>
      <c r="G107" s="31" t="n">
        <v>301.55</v>
      </c>
      <c r="H107" s="31" t="n">
        <v>0.79</v>
      </c>
      <c r="I107" s="31" t="n">
        <v>3597362</v>
      </c>
      <c r="J107" s="31" t="inlineStr">
        <is>
          <t>500378</t>
        </is>
      </c>
    </row>
    <row r="108">
      <c r="A108" s="31" t="inlineStr">
        <is>
          <t>CASTROLIND</t>
        </is>
      </c>
      <c r="B108" s="31" t="inlineStr">
        <is>
          <t>Castrol India Limited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midcap</t>
        </is>
      </c>
      <c r="F108" s="31" t="n">
        <v>19409.55</v>
      </c>
      <c r="G108" s="31" t="n">
        <v>197.74</v>
      </c>
      <c r="H108" s="31" t="n">
        <v>0.77</v>
      </c>
      <c r="I108" s="31" t="n">
        <v>2150950</v>
      </c>
      <c r="J108" s="31" t="inlineStr">
        <is>
          <t>500870</t>
        </is>
      </c>
    </row>
    <row r="109">
      <c r="A109" s="31" t="inlineStr">
        <is>
          <t>GCSL</t>
        </is>
      </c>
      <c r="B109" s="31" t="inlineStr">
        <is>
          <t>Gretex Corporate Services Ltd</t>
        </is>
      </c>
      <c r="C109" s="31" t="inlineStr">
        <is>
          <t>financials</t>
        </is>
      </c>
      <c r="D109" s="31" t="inlineStr">
        <is>
          <t>finance &amp; investments</t>
        </is>
      </c>
      <c r="E109" s="31" t="inlineStr">
        <is>
          <t>smallcap</t>
        </is>
      </c>
      <c r="F109" s="31" t="n">
        <v>1838.65</v>
      </c>
      <c r="G109" s="31" t="n">
        <v>740.45</v>
      </c>
      <c r="H109" s="31" t="n">
        <v>0.7</v>
      </c>
      <c r="I109" s="31" t="n">
        <v>300862</v>
      </c>
      <c r="J109" s="31" t="inlineStr">
        <is>
          <t>543324</t>
        </is>
      </c>
    </row>
    <row r="110">
      <c r="A110" s="31" t="inlineStr">
        <is>
          <t>MANAKSTEEL</t>
        </is>
      </c>
      <c r="B110" s="31" t="inlineStr">
        <is>
          <t>Manaksia Steels Limited</t>
        </is>
      </c>
      <c r="C110" s="31" t="inlineStr">
        <is>
          <t>metals &amp; mining</t>
        </is>
      </c>
      <c r="D110" s="31" t="inlineStr">
        <is>
          <t>steel - medium / small</t>
        </is>
      </c>
      <c r="E110" s="31" t="inlineStr">
        <is>
          <t>smallcap</t>
        </is>
      </c>
      <c r="F110" s="31" t="n">
        <v>722.71</v>
      </c>
      <c r="G110" s="31" t="n">
        <v>111.04</v>
      </c>
      <c r="H110" s="31" t="n">
        <v>0.6899999999999999</v>
      </c>
      <c r="I110" s="31" t="n">
        <v>50478</v>
      </c>
      <c r="J110" s="31" t="inlineStr">
        <is>
          <t>539044</t>
        </is>
      </c>
    </row>
    <row r="111">
      <c r="A111" s="31" t="inlineStr">
        <is>
          <t>GPTINFRA</t>
        </is>
      </c>
      <c r="B111" s="31" t="inlineStr">
        <is>
          <t>Gpt Infraprojects Limited</t>
        </is>
      </c>
      <c r="C111" s="31" t="inlineStr">
        <is>
          <t>realty</t>
        </is>
      </c>
      <c r="D111" s="31" t="inlineStr">
        <is>
          <t>construction</t>
        </is>
      </c>
      <c r="E111" s="31" t="inlineStr">
        <is>
          <t>smallcap</t>
        </is>
      </c>
      <c r="F111" s="31" t="n">
        <v>1576.52</v>
      </c>
      <c r="G111" s="31" t="n">
        <v>125.6</v>
      </c>
      <c r="H111" s="31" t="n">
        <v>0.67</v>
      </c>
      <c r="I111" s="31" t="n">
        <v>78948</v>
      </c>
      <c r="J111" s="31" t="inlineStr">
        <is>
          <t>533761</t>
        </is>
      </c>
    </row>
    <row r="112">
      <c r="A112" s="31" t="inlineStr">
        <is>
          <t>DLF</t>
        </is>
      </c>
      <c r="B112" s="31" t="inlineStr">
        <is>
          <t>Dlf Limited</t>
        </is>
      </c>
      <c r="C112" s="31" t="inlineStr">
        <is>
          <t>realty</t>
        </is>
      </c>
      <c r="D112" s="31" t="inlineStr">
        <is>
          <t>construction</t>
        </is>
      </c>
      <c r="E112" s="31" t="inlineStr">
        <is>
          <t>largecap</t>
        </is>
      </c>
      <c r="F112" s="31" t="n">
        <v>165969.65</v>
      </c>
      <c r="G112" s="31" t="n">
        <v>675</v>
      </c>
      <c r="H112" s="31" t="n">
        <v>0.67</v>
      </c>
      <c r="I112" s="31" t="n">
        <v>1906820</v>
      </c>
      <c r="J112" s="31" t="inlineStr">
        <is>
          <t>532868</t>
        </is>
      </c>
    </row>
    <row r="113">
      <c r="A113" s="31" t="inlineStr">
        <is>
          <t>STOVEKRAFT</t>
        </is>
      </c>
      <c r="B113" s="31" t="inlineStr">
        <is>
          <t>Stove Kraft Ltd</t>
        </is>
      </c>
      <c r="C113" s="31" t="inlineStr">
        <is>
          <t>consumer discretionary</t>
        </is>
      </c>
      <c r="D113" s="31" t="inlineStr">
        <is>
          <t>domestic appliances</t>
        </is>
      </c>
      <c r="E113" s="31" t="inlineStr">
        <is>
          <t>smallcap</t>
        </is>
      </c>
      <c r="F113" s="31" t="n">
        <v>2800.88</v>
      </c>
      <c r="G113" s="31" t="n">
        <v>851.35</v>
      </c>
      <c r="H113" s="31" t="n">
        <v>0.63</v>
      </c>
      <c r="I113" s="31" t="n">
        <v>80138</v>
      </c>
      <c r="J113" s="31" t="inlineStr">
        <is>
          <t>543260</t>
        </is>
      </c>
    </row>
    <row r="114">
      <c r="A114" s="31" t="inlineStr">
        <is>
          <t>CEIGALL</t>
        </is>
      </c>
      <c r="B114" s="31" t="inlineStr">
        <is>
          <t>Ceigall India Ltd</t>
        </is>
      </c>
      <c r="C114" s="31" t="inlineStr">
        <is>
          <t>realty</t>
        </is>
      </c>
      <c r="D114" s="31" t="inlineStr">
        <is>
          <t>construction</t>
        </is>
      </c>
      <c r="E114" s="31" t="inlineStr">
        <is>
          <t>midcap</t>
        </is>
      </c>
      <c r="F114" s="31" t="n">
        <v>6776.57</v>
      </c>
      <c r="G114" s="31" t="n">
        <v>391.45</v>
      </c>
      <c r="H114" s="31" t="n">
        <v>0.63</v>
      </c>
      <c r="I114" s="31" t="n">
        <v>303195</v>
      </c>
      <c r="J114" s="31" t="inlineStr">
        <is>
          <t>544223</t>
        </is>
      </c>
    </row>
    <row r="115">
      <c r="A115" s="31" t="inlineStr">
        <is>
          <t>FILATEX</t>
        </is>
      </c>
      <c r="B115" s="31" t="inlineStr">
        <is>
          <t>Filatex India Limited</t>
        </is>
      </c>
      <c r="C115" s="31" t="inlineStr">
        <is>
          <t>textiles</t>
        </is>
      </c>
      <c r="D115" s="31" t="inlineStr">
        <is>
          <t>textiles - manmade</t>
        </is>
      </c>
      <c r="E115" s="31" t="inlineStr">
        <is>
          <t>smallcap</t>
        </is>
      </c>
      <c r="F115" s="31" t="n">
        <v>4706.13</v>
      </c>
      <c r="G115" s="31" t="n">
        <v>106.63</v>
      </c>
      <c r="H115" s="31" t="n">
        <v>0.61</v>
      </c>
      <c r="I115" s="31" t="n">
        <v>718261</v>
      </c>
      <c r="J115" s="31" t="inlineStr">
        <is>
          <t>526227</t>
        </is>
      </c>
    </row>
    <row r="116">
      <c r="A116" s="31" t="inlineStr">
        <is>
          <t>SHREEJISPG</t>
        </is>
      </c>
      <c r="B116" s="31" t="inlineStr">
        <is>
          <t>Shreeji Shipping Global Ltd</t>
        </is>
      </c>
      <c r="C116" s="31" t="inlineStr">
        <is>
          <t>transportation</t>
        </is>
      </c>
      <c r="D116" s="31" t="inlineStr">
        <is>
          <t>shipping</t>
        </is>
      </c>
      <c r="E116" s="31" t="inlineStr">
        <is>
          <t>midcap</t>
        </is>
      </c>
      <c r="F116" s="31" t="n">
        <v>13606.12</v>
      </c>
      <c r="G116" s="31" t="n">
        <v>840</v>
      </c>
      <c r="H116" s="31" t="n">
        <v>0.58</v>
      </c>
      <c r="I116" s="31" t="n">
        <v>774541</v>
      </c>
      <c r="J116" s="31" t="inlineStr">
        <is>
          <t>544490</t>
        </is>
      </c>
    </row>
    <row r="117">
      <c r="A117" s="31" t="inlineStr">
        <is>
          <t>HITECHCORP</t>
        </is>
      </c>
      <c r="B117" s="31" t="inlineStr">
        <is>
          <t>Hitech Corporation</t>
        </is>
      </c>
      <c r="C117" s="31" t="inlineStr">
        <is>
          <t>industrials</t>
        </is>
      </c>
      <c r="D117" s="31" t="inlineStr">
        <is>
          <t>packaging</t>
        </is>
      </c>
      <c r="E117" s="31" t="inlineStr">
        <is>
          <t>smallcap</t>
        </is>
      </c>
      <c r="F117" s="31" t="n">
        <v>706.6900000000001</v>
      </c>
      <c r="G117" s="31" t="n">
        <v>413.75</v>
      </c>
      <c r="H117" s="31" t="n">
        <v>0.5600000000000001</v>
      </c>
      <c r="I117" s="31" t="n">
        <v>19612</v>
      </c>
      <c r="J117" s="31" t="inlineStr">
        <is>
          <t>526217</t>
        </is>
      </c>
    </row>
    <row r="118">
      <c r="A118" s="31" t="inlineStr">
        <is>
          <t>ICICIBANK</t>
        </is>
      </c>
      <c r="B118" s="31" t="inlineStr">
        <is>
          <t>Icici Bank Limited</t>
        </is>
      </c>
      <c r="C118" s="31" t="inlineStr">
        <is>
          <t>bank</t>
        </is>
      </c>
      <c r="D118" s="31" t="inlineStr">
        <is>
          <t>banks - private sector</t>
        </is>
      </c>
      <c r="E118" s="31" t="inlineStr">
        <is>
          <t>largecap</t>
        </is>
      </c>
      <c r="F118" s="31" t="n">
        <v>997415</v>
      </c>
      <c r="G118" s="31" t="n">
        <v>1397</v>
      </c>
      <c r="H118" s="31" t="n">
        <v>0.55</v>
      </c>
      <c r="I118" s="31" t="n">
        <v>14925887</v>
      </c>
      <c r="J118" s="31" t="inlineStr">
        <is>
          <t>532174</t>
        </is>
      </c>
    </row>
    <row r="119">
      <c r="A119" s="31" t="inlineStr">
        <is>
          <t>LOKESHMACH</t>
        </is>
      </c>
      <c r="B119" s="31" t="inlineStr">
        <is>
          <t>Lokesh Machines Limited</t>
        </is>
      </c>
      <c r="C119" s="31" t="inlineStr">
        <is>
          <t>industrials</t>
        </is>
      </c>
      <c r="D119" s="31" t="inlineStr">
        <is>
          <t>engineering</t>
        </is>
      </c>
      <c r="E119" s="31" t="inlineStr">
        <is>
          <t>smallcap</t>
        </is>
      </c>
      <c r="F119" s="31" t="n">
        <v>928.22</v>
      </c>
      <c r="G119" s="31" t="n">
        <v>428.1</v>
      </c>
      <c r="H119" s="31" t="n">
        <v>0.53</v>
      </c>
      <c r="I119" s="31" t="n">
        <v>65887</v>
      </c>
      <c r="J119" s="31" t="inlineStr">
        <is>
          <t>532740</t>
        </is>
      </c>
    </row>
    <row r="120">
      <c r="A120" s="31" t="inlineStr">
        <is>
          <t>UNITEDPOLY</t>
        </is>
      </c>
      <c r="B120" s="31" t="inlineStr">
        <is>
          <t>United Polyfab Gujarat Ltd</t>
        </is>
      </c>
      <c r="C120" s="31" t="inlineStr">
        <is>
          <t>textiles</t>
        </is>
      </c>
      <c r="D120" s="31" t="inlineStr">
        <is>
          <t>textiles - products</t>
        </is>
      </c>
      <c r="E120" s="31" t="inlineStr">
        <is>
          <t>smallcap</t>
        </is>
      </c>
      <c r="F120" s="31" t="n">
        <v>1182.69</v>
      </c>
      <c r="G120" s="31" t="n">
        <v>51.78</v>
      </c>
      <c r="H120" s="31" t="n">
        <v>0.49</v>
      </c>
      <c r="I120" s="31" t="n">
        <v>660662</v>
      </c>
      <c r="J120" s="31" t="inlineStr">
        <is>
          <t>533024</t>
        </is>
      </c>
    </row>
    <row r="121">
      <c r="A121" s="31" t="inlineStr">
        <is>
          <t>MAYURUNIQ</t>
        </is>
      </c>
      <c r="B121" s="31" t="inlineStr">
        <is>
          <t>Mayur Uniquoters Ltd</t>
        </is>
      </c>
      <c r="C121" s="31" t="inlineStr">
        <is>
          <t>consumer discretionary</t>
        </is>
      </c>
      <c r="D121" s="31" t="inlineStr">
        <is>
          <t>leather / leather products</t>
        </is>
      </c>
      <c r="E121" s="31" t="inlineStr">
        <is>
          <t>smallcap</t>
        </is>
      </c>
      <c r="F121" s="31" t="n">
        <v>3435.58</v>
      </c>
      <c r="G121" s="31" t="n">
        <v>794.2</v>
      </c>
      <c r="H121" s="31" t="n">
        <v>0.45</v>
      </c>
      <c r="I121" s="31" t="n">
        <v>48046</v>
      </c>
      <c r="J121" s="31" t="inlineStr">
        <is>
          <t>522249</t>
        </is>
      </c>
    </row>
    <row r="122">
      <c r="A122" s="31" t="inlineStr">
        <is>
          <t>BIL</t>
        </is>
      </c>
      <c r="B122" s="31" t="inlineStr">
        <is>
          <t>Bhartiya International Limited</t>
        </is>
      </c>
      <c r="C122" s="31" t="inlineStr">
        <is>
          <t>consumer discretionary</t>
        </is>
      </c>
      <c r="D122" s="31" t="inlineStr">
        <is>
          <t>leather / leather products</t>
        </is>
      </c>
      <c r="E122" s="31" t="inlineStr">
        <is>
          <t>smallcap</t>
        </is>
      </c>
      <c r="F122" s="31" t="n">
        <v>1406.28</v>
      </c>
      <c r="G122" s="31" t="n">
        <v>1053.35</v>
      </c>
      <c r="H122" s="31" t="n">
        <v>0.45</v>
      </c>
      <c r="I122" s="31" t="n">
        <v>1533</v>
      </c>
      <c r="J122" s="31" t="inlineStr">
        <is>
          <t>526666</t>
        </is>
      </c>
    </row>
    <row r="123">
      <c r="A123" s="31" t="inlineStr">
        <is>
          <t>CYIENT</t>
        </is>
      </c>
      <c r="B123" s="31" t="inlineStr">
        <is>
          <t>Cyient Limited</t>
        </is>
      </c>
      <c r="C123" s="31" t="inlineStr">
        <is>
          <t>i.t</t>
        </is>
      </c>
      <c r="D123" s="31" t="inlineStr">
        <is>
          <t>computers - software - medium / small</t>
        </is>
      </c>
      <c r="E123" s="31" t="inlineStr">
        <is>
          <t>midcap</t>
        </is>
      </c>
      <c r="F123" s="31" t="n">
        <v>12462.18</v>
      </c>
      <c r="G123" s="31" t="n">
        <v>1194.5</v>
      </c>
      <c r="H123" s="31" t="n">
        <v>0.4</v>
      </c>
      <c r="I123" s="31" t="n">
        <v>583099</v>
      </c>
      <c r="J123" s="31" t="inlineStr">
        <is>
          <t>532175</t>
        </is>
      </c>
    </row>
    <row r="124">
      <c r="A124" s="31" t="inlineStr">
        <is>
          <t>MATRIMONY</t>
        </is>
      </c>
      <c r="B124" s="31" t="inlineStr">
        <is>
          <t>Matrimony.com Ltd</t>
        </is>
      </c>
      <c r="C124" s="31" t="inlineStr">
        <is>
          <t>miscellaneous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1109.85</v>
      </c>
      <c r="G124" s="31" t="n">
        <v>538.85</v>
      </c>
      <c r="H124" s="31" t="n">
        <v>0.37</v>
      </c>
      <c r="I124" s="31" t="n">
        <v>7298</v>
      </c>
      <c r="J124" s="31" t="inlineStr">
        <is>
          <t>540704</t>
        </is>
      </c>
    </row>
    <row r="125">
      <c r="A125" s="31" t="inlineStr">
        <is>
          <t>KROSS</t>
        </is>
      </c>
      <c r="B125" s="31" t="inlineStr">
        <is>
          <t>Kross Ltd</t>
        </is>
      </c>
      <c r="C125" s="31" t="inlineStr">
        <is>
          <t>auto</t>
        </is>
      </c>
      <c r="D125" s="31" t="inlineStr">
        <is>
          <t>auto ancillaries</t>
        </is>
      </c>
      <c r="E125" s="31" t="inlineStr">
        <is>
          <t>smallcap</t>
        </is>
      </c>
      <c r="F125" s="31" t="n">
        <v>1748.21</v>
      </c>
      <c r="G125" s="31" t="n">
        <v>272</v>
      </c>
      <c r="H125" s="31" t="n">
        <v>0.37</v>
      </c>
      <c r="I125" s="31" t="n">
        <v>1662326</v>
      </c>
      <c r="J125" s="31" t="inlineStr">
        <is>
          <t>544253</t>
        </is>
      </c>
    </row>
    <row r="126">
      <c r="A126" s="31" t="inlineStr">
        <is>
          <t>DHAMPURSUG</t>
        </is>
      </c>
      <c r="B126" s="31" t="inlineStr">
        <is>
          <t>Dhampur Sugar Mills Limited</t>
        </is>
      </c>
      <c r="C126" s="31" t="inlineStr">
        <is>
          <t>fmcg</t>
        </is>
      </c>
      <c r="D126" s="31" t="inlineStr">
        <is>
          <t>sugar</t>
        </is>
      </c>
      <c r="E126" s="31" t="inlineStr">
        <is>
          <t>smallcap</t>
        </is>
      </c>
      <c r="F126" s="31" t="n">
        <v>1266.77</v>
      </c>
      <c r="G126" s="31" t="n">
        <v>197.67</v>
      </c>
      <c r="H126" s="31" t="n">
        <v>0.35</v>
      </c>
      <c r="I126" s="31" t="n">
        <v>914218</v>
      </c>
      <c r="J126" s="31" t="inlineStr">
        <is>
          <t>500119</t>
        </is>
      </c>
    </row>
    <row r="127">
      <c r="A127" s="31" t="inlineStr">
        <is>
          <t>CUPID</t>
        </is>
      </c>
      <c r="B127" s="31" t="inlineStr">
        <is>
          <t>Cupid Limited</t>
        </is>
      </c>
      <c r="C127" s="31" t="inlineStr">
        <is>
          <t>fmcg</t>
        </is>
      </c>
      <c r="D127" s="31" t="inlineStr">
        <is>
          <t>personal care - indian</t>
        </is>
      </c>
      <c r="E127" s="31" t="inlineStr">
        <is>
          <t>largecap</t>
        </is>
      </c>
      <c r="F127" s="31" t="n">
        <v>47399.29</v>
      </c>
      <c r="G127" s="31" t="n">
        <v>353.7</v>
      </c>
      <c r="H127" s="31" t="n">
        <v>0.34</v>
      </c>
      <c r="I127" s="31" t="n">
        <v>15386844</v>
      </c>
      <c r="J127" s="31" t="inlineStr">
        <is>
          <t>530843</t>
        </is>
      </c>
    </row>
    <row r="128">
      <c r="A128" s="31" t="inlineStr">
        <is>
          <t>TRENT</t>
        </is>
      </c>
      <c r="B128" s="31" t="inlineStr">
        <is>
          <t>Trent Limited</t>
        </is>
      </c>
      <c r="C128" s="31" t="inlineStr">
        <is>
          <t>consumer discretionary</t>
        </is>
      </c>
      <c r="D128" s="31" t="inlineStr">
        <is>
          <t>trading</t>
        </is>
      </c>
      <c r="E128" s="31" t="inlineStr">
        <is>
          <t>largecap</t>
        </is>
      </c>
      <c r="F128" s="31" t="n">
        <v>157287.53</v>
      </c>
      <c r="G128" s="31" t="n">
        <v>2958.7</v>
      </c>
      <c r="H128" s="31" t="n">
        <v>0.31</v>
      </c>
      <c r="I128" s="31" t="n">
        <v>521694</v>
      </c>
      <c r="J128" s="31" t="inlineStr">
        <is>
          <t>500251</t>
        </is>
      </c>
    </row>
    <row r="129">
      <c r="A129" s="31" t="inlineStr">
        <is>
          <t>UDS</t>
        </is>
      </c>
      <c r="B129" s="31" t="inlineStr">
        <is>
          <t>Updater Services Ltd</t>
        </is>
      </c>
      <c r="C129" s="31" t="inlineStr">
        <is>
          <t>miscellaneous</t>
        </is>
      </c>
      <c r="D129" s="31" t="inlineStr">
        <is>
          <t>miscellaneous</t>
        </is>
      </c>
      <c r="E129" s="31" t="inlineStr">
        <is>
          <t>smallcap</t>
        </is>
      </c>
      <c r="F129" s="31" t="n">
        <v>1469.09</v>
      </c>
      <c r="G129" s="31" t="n">
        <v>220.09</v>
      </c>
      <c r="H129" s="31" t="n">
        <v>0.31</v>
      </c>
      <c r="I129" s="31" t="n">
        <v>350966</v>
      </c>
      <c r="J129" s="31" t="inlineStr">
        <is>
          <t>543996</t>
        </is>
      </c>
    </row>
    <row r="130">
      <c r="A130" s="31" t="inlineStr">
        <is>
          <t>5PAISA</t>
        </is>
      </c>
      <c r="B130" s="31" t="inlineStr">
        <is>
          <t>5Paisa Capital Ltd</t>
        </is>
      </c>
      <c r="C130" s="31" t="inlineStr">
        <is>
          <t>financials</t>
        </is>
      </c>
      <c r="D130" s="31" t="inlineStr">
        <is>
          <t>finance &amp; investments</t>
        </is>
      </c>
      <c r="E130" s="31" t="inlineStr">
        <is>
          <t>smallcap</t>
        </is>
      </c>
      <c r="F130" s="31" t="n">
        <v>1620.25</v>
      </c>
      <c r="G130" s="31" t="n">
        <v>346.55</v>
      </c>
      <c r="H130" s="31" t="n">
        <v>0.27</v>
      </c>
      <c r="I130" s="31" t="n">
        <v>60446</v>
      </c>
      <c r="J130" s="31" t="inlineStr">
        <is>
          <t>540776</t>
        </is>
      </c>
    </row>
    <row r="131">
      <c r="A131" s="31" t="inlineStr">
        <is>
          <t>ONEPOINT</t>
        </is>
      </c>
      <c r="B131" s="31" t="inlineStr">
        <is>
          <t>One Point One Solutions Ltd</t>
        </is>
      </c>
      <c r="C131" s="31" t="inlineStr">
        <is>
          <t>i.t</t>
        </is>
      </c>
      <c r="D131" s="31" t="inlineStr">
        <is>
          <t>computers - software - medium / small</t>
        </is>
      </c>
      <c r="E131" s="31" t="inlineStr">
        <is>
          <t>smallcap</t>
        </is>
      </c>
      <c r="F131" s="31" t="n">
        <v>2228.92</v>
      </c>
      <c r="G131" s="31" t="n">
        <v>84.98</v>
      </c>
      <c r="H131" s="31" t="n">
        <v>0.25</v>
      </c>
      <c r="I131" s="31" t="n">
        <v>1236491</v>
      </c>
      <c r="J131" s="31" t="inlineStr">
        <is>
          <t>535039</t>
        </is>
      </c>
    </row>
    <row r="132">
      <c r="A132" s="31" t="inlineStr">
        <is>
          <t>GAEL</t>
        </is>
      </c>
      <c r="B132" s="31" t="inlineStr">
        <is>
          <t>Gujarat Ambuja Exports Limited</t>
        </is>
      </c>
      <c r="C132" s="31" t="inlineStr">
        <is>
          <t>fmcg</t>
        </is>
      </c>
      <c r="D132" s="31" t="inlineStr">
        <is>
          <t>miscellaneous</t>
        </is>
      </c>
      <c r="E132" s="31" t="inlineStr">
        <is>
          <t>midcap</t>
        </is>
      </c>
      <c r="F132" s="31" t="n">
        <v>7967.11</v>
      </c>
      <c r="G132" s="31" t="n">
        <v>174.14</v>
      </c>
      <c r="H132" s="31" t="n">
        <v>0.25</v>
      </c>
      <c r="I132" s="31" t="n">
        <v>675501</v>
      </c>
      <c r="J132" s="31" t="inlineStr">
        <is>
          <t>524226</t>
        </is>
      </c>
    </row>
    <row r="133">
      <c r="A133" s="31" t="inlineStr">
        <is>
          <t>CRAFTSMAN</t>
        </is>
      </c>
      <c r="B133" s="31" t="inlineStr">
        <is>
          <t>Craftsman Automation Ltd</t>
        </is>
      </c>
      <c r="C133" s="31" t="inlineStr">
        <is>
          <t>auto</t>
        </is>
      </c>
      <c r="D133" s="31" t="inlineStr">
        <is>
          <t>auto ancillaries</t>
        </is>
      </c>
      <c r="E133" s="31" t="inlineStr">
        <is>
          <t>largecap</t>
        </is>
      </c>
      <c r="F133" s="31" t="n">
        <v>28615.57</v>
      </c>
      <c r="G133" s="31" t="n">
        <v>10960</v>
      </c>
      <c r="H133" s="31" t="n">
        <v>0.17</v>
      </c>
      <c r="I133" s="31" t="n">
        <v>22601</v>
      </c>
      <c r="J133" s="31" t="inlineStr">
        <is>
          <t>543276</t>
        </is>
      </c>
    </row>
    <row r="134">
      <c r="A134" s="31" t="inlineStr">
        <is>
          <t>TATVA</t>
        </is>
      </c>
      <c r="B134" s="31" t="inlineStr">
        <is>
          <t>Tatva Chintan Pharma Chem Ltd</t>
        </is>
      </c>
      <c r="C134" s="31" t="inlineStr">
        <is>
          <t>chemicals</t>
        </is>
      </c>
      <c r="D134" s="31" t="inlineStr">
        <is>
          <t>chemicals</t>
        </is>
      </c>
      <c r="E134" s="31" t="inlineStr">
        <is>
          <t>smallcap</t>
        </is>
      </c>
      <c r="F134" s="31" t="n">
        <v>4539.7</v>
      </c>
      <c r="G134" s="31" t="n">
        <v>1944</v>
      </c>
      <c r="H134" s="31" t="n">
        <v>0.17</v>
      </c>
      <c r="I134" s="31" t="n">
        <v>84327</v>
      </c>
      <c r="J134" s="31" t="inlineStr">
        <is>
          <t>543321</t>
        </is>
      </c>
    </row>
    <row r="135">
      <c r="A135" s="31" t="inlineStr">
        <is>
          <t>AXISBANK</t>
        </is>
      </c>
      <c r="B135" s="31" t="inlineStr">
        <is>
          <t>Axis Bank Limited</t>
        </is>
      </c>
      <c r="C135" s="31" t="inlineStr">
        <is>
          <t>bank</t>
        </is>
      </c>
      <c r="D135" s="31" t="inlineStr">
        <is>
          <t>banks - private sector</t>
        </is>
      </c>
      <c r="E135" s="31" t="inlineStr">
        <is>
          <t>largecap</t>
        </is>
      </c>
      <c r="F135" s="31" t="n">
        <v>401043.24</v>
      </c>
      <c r="G135" s="31" t="n">
        <v>1290</v>
      </c>
      <c r="H135" s="31" t="n">
        <v>0.16</v>
      </c>
      <c r="I135" s="31" t="n">
        <v>8767105</v>
      </c>
      <c r="J135" s="31" t="inlineStr">
        <is>
          <t>532215</t>
        </is>
      </c>
    </row>
    <row r="136">
      <c r="A136" s="31" t="inlineStr">
        <is>
          <t>BMWVENTLTD</t>
        </is>
      </c>
      <c r="B136" s="31" t="inlineStr">
        <is>
          <t>BMW Ventures Ltd</t>
        </is>
      </c>
      <c r="C136" s="31" t="inlineStr">
        <is>
          <t>services</t>
        </is>
      </c>
      <c r="D136" s="31" t="inlineStr">
        <is>
          <t>trading</t>
        </is>
      </c>
      <c r="E136" s="31" t="inlineStr">
        <is>
          <t>smallcap</t>
        </is>
      </c>
      <c r="F136" s="31" t="n">
        <v>618.02</v>
      </c>
      <c r="G136" s="31" t="n">
        <v>71.38</v>
      </c>
      <c r="H136" s="31" t="n">
        <v>0.15</v>
      </c>
      <c r="I136" s="31" t="n">
        <v>519614</v>
      </c>
      <c r="J136" s="31" t="inlineStr">
        <is>
          <t>544543</t>
        </is>
      </c>
    </row>
    <row r="137">
      <c r="A137" s="31" t="inlineStr">
        <is>
          <t>PREMEXPLN</t>
        </is>
      </c>
      <c r="B137" s="31" t="inlineStr">
        <is>
          <t>Premier Explosives Limited</t>
        </is>
      </c>
      <c r="C137" s="31" t="inlineStr">
        <is>
          <t>aerospace &amp; defence</t>
        </is>
      </c>
      <c r="D137" s="31" t="inlineStr">
        <is>
          <t>chemicals</t>
        </is>
      </c>
      <c r="E137" s="31" t="inlineStr">
        <is>
          <t>smallcap</t>
        </is>
      </c>
      <c r="F137" s="31" t="n">
        <v>3712.75</v>
      </c>
      <c r="G137" s="31" t="n">
        <v>691.4</v>
      </c>
      <c r="H137" s="31" t="n">
        <v>0.12</v>
      </c>
      <c r="I137" s="31" t="n">
        <v>198254</v>
      </c>
      <c r="J137" s="31" t="inlineStr">
        <is>
          <t>526247</t>
        </is>
      </c>
    </row>
    <row r="138">
      <c r="A138" s="31" t="inlineStr">
        <is>
          <t>VHLTD</t>
        </is>
      </c>
      <c r="B138" s="31" t="inlineStr">
        <is>
          <t>Viceroy Hotels Ltd</t>
        </is>
      </c>
      <c r="C138" s="31" t="inlineStr">
        <is>
          <t>services</t>
        </is>
      </c>
      <c r="D138" s="31" t="inlineStr">
        <is>
          <t>hotels</t>
        </is>
      </c>
      <c r="E138" s="31" t="inlineStr">
        <is>
          <t>smallcap</t>
        </is>
      </c>
      <c r="F138" s="31" t="n">
        <v>1197.26</v>
      </c>
      <c r="G138" s="31" t="n">
        <v>156.07</v>
      </c>
      <c r="H138" s="31" t="n">
        <v>0.09</v>
      </c>
      <c r="I138" s="31" t="n">
        <v>41834</v>
      </c>
      <c r="J138" s="31" t="inlineStr">
        <is>
          <t>523796</t>
        </is>
      </c>
    </row>
    <row r="139">
      <c r="A139" s="31" t="inlineStr">
        <is>
          <t>IIFLCAPS</t>
        </is>
      </c>
      <c r="B139" s="31" t="inlineStr">
        <is>
          <t>IIFL Capital Services Ltd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midcap</t>
        </is>
      </c>
      <c r="F139" s="31" t="n">
        <v>10879.87</v>
      </c>
      <c r="G139" s="31" t="n">
        <v>347.35</v>
      </c>
      <c r="H139" s="31" t="n">
        <v>0.07000000000000001</v>
      </c>
      <c r="I139" s="31" t="n">
        <v>253118</v>
      </c>
      <c r="J139" s="31" t="inlineStr">
        <is>
          <t>542773</t>
        </is>
      </c>
    </row>
    <row r="140">
      <c r="A140" s="31" t="inlineStr">
        <is>
          <t>VALIANTORG</t>
        </is>
      </c>
      <c r="B140" s="31" t="inlineStr">
        <is>
          <t>Valiant Organics Ltd</t>
        </is>
      </c>
      <c r="C140" s="31" t="inlineStr">
        <is>
          <t>chemicals</t>
        </is>
      </c>
      <c r="D140" s="31" t="inlineStr">
        <is>
          <t>chemicals</t>
        </is>
      </c>
      <c r="E140" s="31" t="inlineStr">
        <is>
          <t>smallcap</t>
        </is>
      </c>
      <c r="F140" s="31" t="n">
        <v>1312.86</v>
      </c>
      <c r="G140" s="31" t="n">
        <v>468.55</v>
      </c>
      <c r="H140" s="31" t="n">
        <v>0.05</v>
      </c>
      <c r="I140" s="31" t="n">
        <v>61006</v>
      </c>
      <c r="J140" s="31" t="inlineStr">
        <is>
          <t>540145</t>
        </is>
      </c>
    </row>
    <row r="141">
      <c r="A141" s="31" t="inlineStr">
        <is>
          <t>SWANDEF</t>
        </is>
      </c>
      <c r="B141" s="31" t="inlineStr">
        <is>
          <t>Swan Defence and Heavy Industries Ltd</t>
        </is>
      </c>
      <c r="C141" s="31" t="inlineStr">
        <is>
          <t>transportation</t>
        </is>
      </c>
      <c r="D141" s="31" t="inlineStr">
        <is>
          <t>miscellaneous</t>
        </is>
      </c>
      <c r="E141" s="31" t="inlineStr">
        <is>
          <t>midcap</t>
        </is>
      </c>
      <c r="F141" s="31" t="n">
        <v>15513.84</v>
      </c>
      <c r="G141" s="31" t="n">
        <v>2944.7</v>
      </c>
      <c r="H141" s="31" t="n">
        <v>0</v>
      </c>
      <c r="I141" s="31" t="n">
        <v>10977</v>
      </c>
      <c r="J141" s="31" t="inlineStr">
        <is>
          <t>533107</t>
        </is>
      </c>
    </row>
    <row r="142">
      <c r="A142" s="31" t="inlineStr">
        <is>
          <t>SOUTHBANK</t>
        </is>
      </c>
      <c r="B142" s="31" t="inlineStr">
        <is>
          <t>The South Indian Bank Limited</t>
        </is>
      </c>
      <c r="C142" s="31" t="inlineStr">
        <is>
          <t>bank</t>
        </is>
      </c>
      <c r="D142" s="31" t="inlineStr">
        <is>
          <t>banks - private sector</t>
        </is>
      </c>
      <c r="E142" s="31" t="inlineStr">
        <is>
          <t>midcap</t>
        </is>
      </c>
      <c r="F142" s="31" t="n">
        <v>13485.21</v>
      </c>
      <c r="G142" s="31" t="n">
        <v>51.45</v>
      </c>
      <c r="H142" s="31" t="n">
        <v>-0.06</v>
      </c>
      <c r="I142" s="31" t="n">
        <v>36758983</v>
      </c>
      <c r="J142" s="31" t="inlineStr">
        <is>
          <t>532218</t>
        </is>
      </c>
    </row>
    <row r="143">
      <c r="A143" s="31" t="inlineStr">
        <is>
          <t>PATELRMART</t>
        </is>
      </c>
      <c r="B143" s="31" t="inlineStr">
        <is>
          <t>Patel Retail Ltd</t>
        </is>
      </c>
      <c r="C143" s="31" t="inlineStr">
        <is>
          <t>consumer discretionary</t>
        </is>
      </c>
      <c r="D143" s="31" t="inlineStr">
        <is>
          <t>trading</t>
        </is>
      </c>
      <c r="E143" s="31" t="inlineStr">
        <is>
          <t>smallcap</t>
        </is>
      </c>
      <c r="F143" s="31" t="n">
        <v>790.1900000000001</v>
      </c>
      <c r="G143" s="31" t="n">
        <v>236.45</v>
      </c>
      <c r="H143" s="31" t="n">
        <v>-0.06</v>
      </c>
      <c r="I143" s="31" t="n">
        <v>32875</v>
      </c>
      <c r="J143" s="31" t="inlineStr">
        <is>
          <t>544487</t>
        </is>
      </c>
    </row>
    <row r="144">
      <c r="A144" s="31" t="inlineStr">
        <is>
          <t>EMAMIPAP</t>
        </is>
      </c>
      <c r="B144" s="31" t="inlineStr">
        <is>
          <t>Emami Paper Mills Ltd</t>
        </is>
      </c>
      <c r="C144" s="31" t="inlineStr">
        <is>
          <t>building materials</t>
        </is>
      </c>
      <c r="D144" s="31" t="inlineStr">
        <is>
          <t>paper</t>
        </is>
      </c>
      <c r="E144" s="31" t="inlineStr">
        <is>
          <t>smallcap</t>
        </is>
      </c>
      <c r="F144" s="31" t="n">
        <v>735.67</v>
      </c>
      <c r="G144" s="31" t="n">
        <v>121.48</v>
      </c>
      <c r="H144" s="31" t="n">
        <v>-0.1</v>
      </c>
      <c r="I144" s="31" t="n">
        <v>26942</v>
      </c>
      <c r="J144" s="31" t="inlineStr">
        <is>
          <t>533208</t>
        </is>
      </c>
    </row>
    <row r="145">
      <c r="A145" s="31" t="inlineStr">
        <is>
          <t>GALAXYSURF</t>
        </is>
      </c>
      <c r="B145" s="31" t="inlineStr">
        <is>
          <t>Galaxy Surfactants Ltd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midcap</t>
        </is>
      </c>
      <c r="F145" s="31" t="n">
        <v>8880.709999999999</v>
      </c>
      <c r="G145" s="31" t="n">
        <v>2502</v>
      </c>
      <c r="H145" s="31" t="n">
        <v>-0.11</v>
      </c>
      <c r="I145" s="31" t="n">
        <v>30200</v>
      </c>
      <c r="J145" s="31" t="inlineStr">
        <is>
          <t>540935</t>
        </is>
      </c>
    </row>
    <row r="146">
      <c r="A146" s="31" t="inlineStr">
        <is>
          <t>KOTAKBANK</t>
        </is>
      </c>
      <c r="B146" s="31" t="inlineStr">
        <is>
          <t>Kotak Mahindra Bank Limited</t>
        </is>
      </c>
      <c r="C146" s="31" t="inlineStr">
        <is>
          <t>bank</t>
        </is>
      </c>
      <c r="D146" s="31" t="inlineStr">
        <is>
          <t>banks - private sector</t>
        </is>
      </c>
      <c r="E146" s="31" t="inlineStr">
        <is>
          <t>largecap</t>
        </is>
      </c>
      <c r="F146" s="31" t="n">
        <v>445562.84</v>
      </c>
      <c r="G146" s="31" t="n">
        <v>447.4</v>
      </c>
      <c r="H146" s="31" t="n">
        <v>-0.12</v>
      </c>
      <c r="I146" s="31" t="n">
        <v>25165107</v>
      </c>
      <c r="J146" s="31" t="inlineStr">
        <is>
          <t>500247</t>
        </is>
      </c>
    </row>
    <row r="147">
      <c r="A147" s="31" t="inlineStr">
        <is>
          <t>63MOONS</t>
        </is>
      </c>
      <c r="B147" s="31" t="inlineStr">
        <is>
          <t>63 Moons Technologies Ltd</t>
        </is>
      </c>
      <c r="C147" s="31" t="inlineStr">
        <is>
          <t>i.t</t>
        </is>
      </c>
      <c r="D147" s="31" t="inlineStr">
        <is>
          <t>computers - software - medium / small</t>
        </is>
      </c>
      <c r="E147" s="31" t="inlineStr">
        <is>
          <t>smallcap</t>
        </is>
      </c>
      <c r="F147" s="31" t="n">
        <v>4243.14</v>
      </c>
      <c r="G147" s="31" t="n">
        <v>919.6</v>
      </c>
      <c r="H147" s="31" t="n">
        <v>-0.14</v>
      </c>
      <c r="I147" s="31" t="n">
        <v>507360</v>
      </c>
      <c r="J147" s="31" t="inlineStr">
        <is>
          <t>526881</t>
        </is>
      </c>
    </row>
    <row r="148">
      <c r="A148" s="31" t="inlineStr">
        <is>
          <t>DALMIASUG</t>
        </is>
      </c>
      <c r="B148" s="31" t="inlineStr">
        <is>
          <t>Dalmia Bharat Sugar And Industries Limited</t>
        </is>
      </c>
      <c r="C148" s="31" t="inlineStr">
        <is>
          <t>fmcg</t>
        </is>
      </c>
      <c r="D148" s="31" t="inlineStr">
        <is>
          <t>sugar</t>
        </is>
      </c>
      <c r="E148" s="31" t="inlineStr">
        <is>
          <t>smallcap</t>
        </is>
      </c>
      <c r="F148" s="31" t="n">
        <v>3904.11</v>
      </c>
      <c r="G148" s="31" t="n">
        <v>481.4</v>
      </c>
      <c r="H148" s="31" t="n">
        <v>-0.2</v>
      </c>
      <c r="I148" s="31" t="n">
        <v>179381</v>
      </c>
      <c r="J148" s="31" t="inlineStr">
        <is>
          <t>500097</t>
        </is>
      </c>
    </row>
    <row r="149">
      <c r="A149" s="31" t="inlineStr">
        <is>
          <t>ADVANCE</t>
        </is>
      </c>
      <c r="B149" s="31" t="inlineStr">
        <is>
          <t>Advance Agrolife Ltd</t>
        </is>
      </c>
      <c r="C149" s="31" t="inlineStr">
        <is>
          <t>chemicals</t>
        </is>
      </c>
      <c r="D149" s="31" t="inlineStr">
        <is>
          <t>pesticides / agrochemicals - indian</t>
        </is>
      </c>
      <c r="E149" s="31" t="inlineStr">
        <is>
          <t>smallcap</t>
        </is>
      </c>
      <c r="F149" s="31" t="n">
        <v>1018.48</v>
      </c>
      <c r="G149" s="31" t="n">
        <v>158.08</v>
      </c>
      <c r="H149" s="31" t="n">
        <v>-0.22</v>
      </c>
      <c r="I149" s="31" t="n">
        <v>1496517</v>
      </c>
      <c r="J149" s="31" t="inlineStr">
        <is>
          <t>544562</t>
        </is>
      </c>
    </row>
    <row r="150">
      <c r="A150" s="31" t="inlineStr">
        <is>
          <t>BAJAJHLDNG</t>
        </is>
      </c>
      <c r="B150" s="31" t="inlineStr">
        <is>
          <t>Bajaj Holdings &amp; Investment Limited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largecap</t>
        </is>
      </c>
      <c r="F150" s="31" t="n">
        <v>124926.97</v>
      </c>
      <c r="G150" s="31" t="n">
        <v>11198</v>
      </c>
      <c r="H150" s="31" t="n">
        <v>-0.24</v>
      </c>
      <c r="I150" s="31" t="n">
        <v>26275</v>
      </c>
      <c r="J150" s="31" t="inlineStr">
        <is>
          <t>500490</t>
        </is>
      </c>
    </row>
    <row r="151">
      <c r="A151" s="31" t="inlineStr">
        <is>
          <t>SPECTRUM</t>
        </is>
      </c>
      <c r="B151" s="31" t="inlineStr">
        <is>
          <t>Spectrum Electrical Industries Ltd</t>
        </is>
      </c>
      <c r="C151" s="31" t="inlineStr">
        <is>
          <t>industrials</t>
        </is>
      </c>
      <c r="D151" s="31" t="inlineStr">
        <is>
          <t>electric equipment</t>
        </is>
      </c>
      <c r="E151" s="31" t="inlineStr">
        <is>
          <t>midcap</t>
        </is>
      </c>
      <c r="F151" s="31" t="n">
        <v>6491.19</v>
      </c>
      <c r="G151" s="31" t="n">
        <v>3786.7</v>
      </c>
      <c r="H151" s="31" t="n">
        <v>-0.32</v>
      </c>
      <c r="I151" s="31" t="n">
        <v>26430</v>
      </c>
      <c r="J151" s="31" t="inlineStr">
        <is>
          <t>535112</t>
        </is>
      </c>
    </row>
    <row r="152">
      <c r="A152" s="31" t="inlineStr">
        <is>
          <t>RUBYMILLS</t>
        </is>
      </c>
      <c r="B152" s="31" t="inlineStr">
        <is>
          <t>The Ruby Mills Limited</t>
        </is>
      </c>
      <c r="C152" s="31" t="inlineStr">
        <is>
          <t>textiles</t>
        </is>
      </c>
      <c r="D152" s="31" t="inlineStr">
        <is>
          <t>textiles - composite</t>
        </is>
      </c>
      <c r="E152" s="31" t="inlineStr">
        <is>
          <t>smallcap</t>
        </is>
      </c>
      <c r="F152" s="31" t="n">
        <v>1731.19</v>
      </c>
      <c r="G152" s="31" t="n">
        <v>515.95</v>
      </c>
      <c r="H152" s="31" t="n">
        <v>-0.34</v>
      </c>
      <c r="I152" s="31" t="n">
        <v>36570</v>
      </c>
      <c r="J152" s="31" t="inlineStr">
        <is>
          <t>503169</t>
        </is>
      </c>
    </row>
    <row r="153">
      <c r="A153" s="31" t="inlineStr">
        <is>
          <t>AARTIIND</t>
        </is>
      </c>
      <c r="B153" s="31" t="inlineStr">
        <is>
          <t>Aarti Industries Limited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midcap</t>
        </is>
      </c>
      <c r="F153" s="31" t="n">
        <v>18319.51</v>
      </c>
      <c r="G153" s="31" t="n">
        <v>503</v>
      </c>
      <c r="H153" s="31" t="n">
        <v>-0.41</v>
      </c>
      <c r="I153" s="31" t="n">
        <v>1337811</v>
      </c>
      <c r="J153" s="31" t="inlineStr">
        <is>
          <t>524208</t>
        </is>
      </c>
    </row>
    <row r="154">
      <c r="A154" s="31" t="inlineStr">
        <is>
          <t>BLKASHYAP</t>
        </is>
      </c>
      <c r="B154" s="31" t="inlineStr">
        <is>
          <t>B. L. Kashyap And Sons Limited</t>
        </is>
      </c>
      <c r="C154" s="31" t="inlineStr">
        <is>
          <t>realty</t>
        </is>
      </c>
      <c r="D154" s="31" t="inlineStr">
        <is>
          <t>construction</t>
        </is>
      </c>
      <c r="E154" s="31" t="inlineStr">
        <is>
          <t>smallcap</t>
        </is>
      </c>
      <c r="F154" s="31" t="n">
        <v>1325.14</v>
      </c>
      <c r="G154" s="31" t="n">
        <v>58.54</v>
      </c>
      <c r="H154" s="31" t="n">
        <v>-0.41</v>
      </c>
      <c r="I154" s="31" t="n">
        <v>1313447</v>
      </c>
      <c r="J154" s="31" t="inlineStr">
        <is>
          <t>532719</t>
        </is>
      </c>
    </row>
    <row r="155">
      <c r="A155" s="31" t="inlineStr">
        <is>
          <t>MOTILALOFS</t>
        </is>
      </c>
      <c r="B155" s="31" t="inlineStr">
        <is>
          <t>Motilal Oswal Financial Services Limited</t>
        </is>
      </c>
      <c r="C155" s="31" t="inlineStr">
        <is>
          <t>financials</t>
        </is>
      </c>
      <c r="D155" s="31" t="inlineStr">
        <is>
          <t>finance &amp; investments</t>
        </is>
      </c>
      <c r="E155" s="31" t="inlineStr">
        <is>
          <t>largecap</t>
        </is>
      </c>
      <c r="F155" s="31" t="n">
        <v>64005.18</v>
      </c>
      <c r="G155" s="31" t="n">
        <v>1057.6</v>
      </c>
      <c r="H155" s="31" t="n">
        <v>-0.5</v>
      </c>
      <c r="I155" s="31" t="n">
        <v>601008</v>
      </c>
      <c r="J155" s="31" t="inlineStr">
        <is>
          <t>532892</t>
        </is>
      </c>
    </row>
    <row r="156">
      <c r="A156" s="31" t="inlineStr">
        <is>
          <t>PASUPTAC</t>
        </is>
      </c>
      <c r="B156" s="31" t="inlineStr">
        <is>
          <t>Pasupati Acrylon Ltd</t>
        </is>
      </c>
      <c r="C156" s="31" t="inlineStr">
        <is>
          <t>textiles</t>
        </is>
      </c>
      <c r="D156" s="31" t="inlineStr">
        <is>
          <t>textiles - manmade</t>
        </is>
      </c>
      <c r="E156" s="31" t="inlineStr">
        <is>
          <t>smallcap</t>
        </is>
      </c>
      <c r="F156" s="31" t="n">
        <v>709.05</v>
      </c>
      <c r="G156" s="31" t="n">
        <v>79.08</v>
      </c>
      <c r="H156" s="31" t="n">
        <v>-0.59</v>
      </c>
      <c r="I156" s="31" t="n">
        <v>408379</v>
      </c>
      <c r="J156" s="31" t="inlineStr">
        <is>
          <t>500456</t>
        </is>
      </c>
    </row>
    <row r="157">
      <c r="A157" s="31" t="inlineStr">
        <is>
          <t>BALRAMCHIN</t>
        </is>
      </c>
      <c r="B157" s="31" t="inlineStr">
        <is>
          <t>Balrampur Chini Mills Limited</t>
        </is>
      </c>
      <c r="C157" s="31" t="inlineStr">
        <is>
          <t>fmcg</t>
        </is>
      </c>
      <c r="D157" s="31" t="inlineStr">
        <is>
          <t>sugar</t>
        </is>
      </c>
      <c r="E157" s="31" t="inlineStr">
        <is>
          <t>midcap</t>
        </is>
      </c>
      <c r="F157" s="31" t="n">
        <v>15361.98</v>
      </c>
      <c r="G157" s="31" t="n">
        <v>721.15</v>
      </c>
      <c r="H157" s="31" t="n">
        <v>-0.67</v>
      </c>
      <c r="I157" s="31" t="n">
        <v>1364294</v>
      </c>
      <c r="J157" s="31" t="inlineStr">
        <is>
          <t>500038</t>
        </is>
      </c>
    </row>
    <row r="158">
      <c r="A158" s="31" t="inlineStr">
        <is>
          <t>MMP</t>
        </is>
      </c>
      <c r="B158" s="31" t="inlineStr">
        <is>
          <t>MMP Industries Ltd</t>
        </is>
      </c>
      <c r="C158" s="31" t="inlineStr">
        <is>
          <t>metals &amp; mining</t>
        </is>
      </c>
      <c r="D158" s="31" t="inlineStr">
        <is>
          <t>aluminium and aluminium products</t>
        </is>
      </c>
      <c r="E158" s="31" t="inlineStr">
        <is>
          <t>smallcap</t>
        </is>
      </c>
      <c r="F158" s="31" t="n">
        <v>1256.92</v>
      </c>
      <c r="G158" s="31" t="n">
        <v>491.45</v>
      </c>
      <c r="H158" s="31" t="n">
        <v>-0.68</v>
      </c>
      <c r="I158" s="31" t="n">
        <v>26544</v>
      </c>
      <c r="J158" s="31" t="inlineStr">
        <is>
          <t>535071</t>
        </is>
      </c>
    </row>
    <row r="159">
      <c r="A159" s="31" t="inlineStr">
        <is>
          <t>RAYMOND</t>
        </is>
      </c>
      <c r="B159" s="31" t="inlineStr">
        <is>
          <t>Raymond Limited</t>
        </is>
      </c>
      <c r="C159" s="31" t="inlineStr">
        <is>
          <t>transportation</t>
        </is>
      </c>
      <c r="D159" s="31" t="inlineStr">
        <is>
          <t>transport - airlines</t>
        </is>
      </c>
      <c r="E159" s="31" t="inlineStr">
        <is>
          <t>midcap</t>
        </is>
      </c>
      <c r="F159" s="31" t="n">
        <v>7603.39</v>
      </c>
      <c r="G159" s="31" t="n">
        <v>1133.9</v>
      </c>
      <c r="H159" s="31" t="n">
        <v>-0.72</v>
      </c>
      <c r="I159" s="31" t="n">
        <v>513640</v>
      </c>
      <c r="J159" s="31" t="inlineStr">
        <is>
          <t>500330</t>
        </is>
      </c>
    </row>
    <row r="160">
      <c r="A160" s="31" t="inlineStr">
        <is>
          <t>KABRAEXTRU</t>
        </is>
      </c>
      <c r="B160" s="31" t="inlineStr">
        <is>
          <t>Kabra Extrusion Technik Limited</t>
        </is>
      </c>
      <c r="C160" s="31" t="inlineStr">
        <is>
          <t>industrials</t>
        </is>
      </c>
      <c r="D160" s="31" t="inlineStr">
        <is>
          <t>engineering</t>
        </is>
      </c>
      <c r="E160" s="31" t="inlineStr">
        <is>
          <t>smallcap</t>
        </is>
      </c>
      <c r="F160" s="31" t="n">
        <v>3155.56</v>
      </c>
      <c r="G160" s="31" t="n">
        <v>808.75</v>
      </c>
      <c r="H160" s="31" t="n">
        <v>-0.73</v>
      </c>
      <c r="I160" s="31" t="n">
        <v>133310</v>
      </c>
      <c r="J160" s="31" t="inlineStr">
        <is>
          <t>524109</t>
        </is>
      </c>
    </row>
    <row r="161">
      <c r="A161" s="31" t="inlineStr">
        <is>
          <t>GLAND</t>
        </is>
      </c>
      <c r="B161" s="31" t="inlineStr">
        <is>
          <t>Gland Pharma Ltd</t>
        </is>
      </c>
      <c r="C161" s="31" t="inlineStr">
        <is>
          <t>healthcare</t>
        </is>
      </c>
      <c r="D161" s="31" t="inlineStr">
        <is>
          <t>pharmaceuticals - indian - formulations</t>
        </is>
      </c>
      <c r="E161" s="31" t="inlineStr">
        <is>
          <t>largecap</t>
        </is>
      </c>
      <c r="F161" s="31" t="n">
        <v>50581.59</v>
      </c>
      <c r="G161" s="31" t="n">
        <v>3043.4</v>
      </c>
      <c r="H161" s="31" t="n">
        <v>-0.75</v>
      </c>
      <c r="I161" s="31" t="n">
        <v>165156</v>
      </c>
      <c r="J161" s="31" t="inlineStr">
        <is>
          <t>543245</t>
        </is>
      </c>
    </row>
    <row r="162">
      <c r="A162" s="31" t="inlineStr">
        <is>
          <t>GANDHAR</t>
        </is>
      </c>
      <c r="B162" s="31" t="inlineStr">
        <is>
          <t>Gandhar Oil Refinery (India) Ltd</t>
        </is>
      </c>
      <c r="C162" s="31" t="inlineStr">
        <is>
          <t>energy</t>
        </is>
      </c>
      <c r="D162" s="31" t="inlineStr">
        <is>
          <t>refineries</t>
        </is>
      </c>
      <c r="E162" s="31" t="inlineStr">
        <is>
          <t>smallcap</t>
        </is>
      </c>
      <c r="F162" s="31" t="n">
        <v>2927.58</v>
      </c>
      <c r="G162" s="31" t="n">
        <v>296.65</v>
      </c>
      <c r="H162" s="31" t="n">
        <v>-0.82</v>
      </c>
      <c r="I162" s="31" t="n">
        <v>388450</v>
      </c>
      <c r="J162" s="31" t="inlineStr">
        <is>
          <t>544029</t>
        </is>
      </c>
    </row>
    <row r="163">
      <c r="A163" s="31" t="inlineStr">
        <is>
          <t>MUFIN</t>
        </is>
      </c>
      <c r="B163" s="31" t="inlineStr">
        <is>
          <t>Mufin Green Finance Ltd</t>
        </is>
      </c>
      <c r="C163" s="31" t="inlineStr">
        <is>
          <t>financials</t>
        </is>
      </c>
      <c r="D163" s="31" t="inlineStr">
        <is>
          <t>finance &amp; investments</t>
        </is>
      </c>
      <c r="E163" s="31" t="inlineStr">
        <is>
          <t>smallcap</t>
        </is>
      </c>
      <c r="F163" s="31" t="n">
        <v>2765.16</v>
      </c>
      <c r="G163" s="31" t="n">
        <v>138.35</v>
      </c>
      <c r="H163" s="31" t="n">
        <v>-0.85</v>
      </c>
      <c r="I163" s="31" t="n">
        <v>771156</v>
      </c>
      <c r="J163" s="31" t="inlineStr">
        <is>
          <t>542774</t>
        </is>
      </c>
    </row>
    <row r="164">
      <c r="A164" s="31" t="inlineStr">
        <is>
          <t>ALICON</t>
        </is>
      </c>
      <c r="B164" s="31" t="inlineStr">
        <is>
          <t>Alicon Castalloy Limited</t>
        </is>
      </c>
      <c r="C164" s="31" t="inlineStr">
        <is>
          <t>castings, forgings &amp; fasteners</t>
        </is>
      </c>
      <c r="D164" s="31" t="inlineStr">
        <is>
          <t>castings &amp; forgings</t>
        </is>
      </c>
      <c r="E164" s="31" t="inlineStr">
        <is>
          <t>smallcap</t>
        </is>
      </c>
      <c r="F164" s="31" t="n">
        <v>1417.65</v>
      </c>
      <c r="G164" s="31" t="n">
        <v>854.65</v>
      </c>
      <c r="H164" s="31" t="n">
        <v>-1.06</v>
      </c>
      <c r="I164" s="31" t="n">
        <v>9228</v>
      </c>
      <c r="J164" s="31" t="inlineStr">
        <is>
          <t>531147</t>
        </is>
      </c>
    </row>
    <row r="165">
      <c r="A165" s="31" t="inlineStr">
        <is>
          <t>IBULLSLTD</t>
        </is>
      </c>
      <c r="B165" s="31" t="inlineStr">
        <is>
          <t>Indiabulls Limited</t>
        </is>
      </c>
      <c r="C165" s="31" t="inlineStr">
        <is>
          <t>miscellaneous</t>
        </is>
      </c>
      <c r="D165" s="31" t="inlineStr">
        <is>
          <t>diversified - medium / small</t>
        </is>
      </c>
      <c r="E165" s="31" t="inlineStr">
        <is>
          <t>midcap</t>
        </is>
      </c>
      <c r="F165" s="31" t="n">
        <v>8346.75</v>
      </c>
      <c r="G165" s="31" t="n">
        <v>35.42</v>
      </c>
      <c r="H165" s="31" t="n">
        <v>-1.14</v>
      </c>
      <c r="I165" s="31" t="n">
        <v>10718630</v>
      </c>
      <c r="J165" s="31" t="inlineStr">
        <is>
          <t>533520</t>
        </is>
      </c>
    </row>
    <row r="166">
      <c r="A166" s="31" t="inlineStr">
        <is>
          <t>TATACOMM</t>
        </is>
      </c>
      <c r="B166" s="31" t="inlineStr">
        <is>
          <t>Tata Communications Limited</t>
        </is>
      </c>
      <c r="C166" s="31" t="inlineStr">
        <is>
          <t>telecom-service</t>
        </is>
      </c>
      <c r="D166" s="31" t="inlineStr">
        <is>
          <t>telecommunications - service provider</t>
        </is>
      </c>
      <c r="E166" s="31" t="inlineStr">
        <is>
          <t>largecap</t>
        </is>
      </c>
      <c r="F166" s="31" t="n">
        <v>50268.4</v>
      </c>
      <c r="G166" s="31" t="n">
        <v>1742.8</v>
      </c>
      <c r="H166" s="31" t="n">
        <v>-1.19</v>
      </c>
      <c r="I166" s="31" t="n">
        <v>1151400</v>
      </c>
      <c r="J166" s="31" t="inlineStr">
        <is>
          <t>500483</t>
        </is>
      </c>
    </row>
    <row r="167">
      <c r="A167" s="31" t="inlineStr">
        <is>
          <t>KANORICHEM</t>
        </is>
      </c>
      <c r="B167" s="31" t="inlineStr">
        <is>
          <t>Kanoria Chemicals &amp; Industries Limited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smallcap</t>
        </is>
      </c>
      <c r="F167" s="31" t="n">
        <v>830.35</v>
      </c>
      <c r="G167" s="31" t="n">
        <v>187.7</v>
      </c>
      <c r="H167" s="31" t="n">
        <v>-1.23</v>
      </c>
      <c r="I167" s="31" t="n">
        <v>37994</v>
      </c>
      <c r="J167" s="31" t="inlineStr">
        <is>
          <t>506525</t>
        </is>
      </c>
    </row>
    <row r="168">
      <c r="A168" s="31" t="inlineStr">
        <is>
          <t>GLOBAL</t>
        </is>
      </c>
      <c r="B168" s="31" t="inlineStr">
        <is>
          <t>Global Education Ltd</t>
        </is>
      </c>
      <c r="C168" s="31" t="inlineStr">
        <is>
          <t>services</t>
        </is>
      </c>
      <c r="D168" s="31" t="inlineStr">
        <is>
          <t>miscellaneous</t>
        </is>
      </c>
      <c r="E168" s="31" t="inlineStr">
        <is>
          <t>smallcap</t>
        </is>
      </c>
      <c r="F168" s="31" t="n">
        <v>735.53</v>
      </c>
      <c r="G168" s="31" t="n">
        <v>142.7</v>
      </c>
      <c r="H168" s="31" t="n">
        <v>-1.25</v>
      </c>
      <c r="I168" s="31" t="n">
        <v>42994</v>
      </c>
      <c r="J168" s="31" t="inlineStr">
        <is>
          <t>538406</t>
        </is>
      </c>
    </row>
    <row r="169">
      <c r="A169" s="31" t="inlineStr">
        <is>
          <t>ARFIN</t>
        </is>
      </c>
      <c r="B169" s="31" t="inlineStr">
        <is>
          <t>Arfin India Ltd</t>
        </is>
      </c>
      <c r="C169" s="31" t="inlineStr">
        <is>
          <t>metals &amp; mining</t>
        </is>
      </c>
      <c r="D169" s="31" t="inlineStr">
        <is>
          <t>aluminium and aluminium products</t>
        </is>
      </c>
      <c r="E169" s="31" t="inlineStr">
        <is>
          <t>smallcap</t>
        </is>
      </c>
      <c r="F169" s="31" t="n">
        <v>1756.57</v>
      </c>
      <c r="G169" s="31" t="n">
        <v>102.72</v>
      </c>
      <c r="H169" s="31" t="n">
        <v>-1.34</v>
      </c>
      <c r="I169" s="31" t="n">
        <v>2036116</v>
      </c>
      <c r="J169" s="31" t="inlineStr">
        <is>
          <t>539151</t>
        </is>
      </c>
    </row>
    <row r="170">
      <c r="A170" s="31" t="inlineStr">
        <is>
          <t>TFCILTD</t>
        </is>
      </c>
      <c r="B170" s="31" t="inlineStr">
        <is>
          <t>Tourism Finance Corporation Of India Limited</t>
        </is>
      </c>
      <c r="C170" s="31" t="inlineStr">
        <is>
          <t>financials</t>
        </is>
      </c>
      <c r="D170" s="31" t="inlineStr">
        <is>
          <t>finance - term-lending institutions</t>
        </is>
      </c>
      <c r="E170" s="31" t="inlineStr">
        <is>
          <t>midcap</t>
        </is>
      </c>
      <c r="F170" s="31" t="n">
        <v>7306.71</v>
      </c>
      <c r="G170" s="31" t="n">
        <v>155.69</v>
      </c>
      <c r="H170" s="31" t="n">
        <v>-1.35</v>
      </c>
      <c r="I170" s="31" t="n">
        <v>6582981</v>
      </c>
      <c r="J170" s="31" t="inlineStr">
        <is>
          <t>526650</t>
        </is>
      </c>
    </row>
    <row r="171">
      <c r="A171" s="31" t="inlineStr">
        <is>
          <t>SBC</t>
        </is>
      </c>
      <c r="B171" s="31" t="inlineStr">
        <is>
          <t>SBC Exports Ltd</t>
        </is>
      </c>
      <c r="C171" s="31" t="inlineStr">
        <is>
          <t>textiles</t>
        </is>
      </c>
      <c r="D171" s="31" t="inlineStr">
        <is>
          <t>textiles - products</t>
        </is>
      </c>
      <c r="E171" s="31" t="inlineStr">
        <is>
          <t>smallcap</t>
        </is>
      </c>
      <c r="F171" s="31" t="n">
        <v>3057.62</v>
      </c>
      <c r="G171" s="31" t="n">
        <v>63.33</v>
      </c>
      <c r="H171" s="31" t="n">
        <v>-1.37</v>
      </c>
      <c r="I171" s="31" t="n">
        <v>13070840</v>
      </c>
      <c r="J171" s="31" t="inlineStr">
        <is>
          <t>542725</t>
        </is>
      </c>
    </row>
    <row r="172">
      <c r="A172" s="31" t="inlineStr">
        <is>
          <t>PTCIL</t>
        </is>
      </c>
      <c r="B172" s="31" t="inlineStr">
        <is>
          <t>PTC Industries Ltd</t>
        </is>
      </c>
      <c r="C172" s="31" t="inlineStr">
        <is>
          <t>castings, forgings &amp; fasteners</t>
        </is>
      </c>
      <c r="D172" s="31" t="inlineStr">
        <is>
          <t>castings &amp; forgings</t>
        </is>
      </c>
      <c r="E172" s="31" t="inlineStr">
        <is>
          <t>largecap</t>
        </is>
      </c>
      <c r="F172" s="31" t="n">
        <v>37548.84</v>
      </c>
      <c r="G172" s="31" t="n">
        <v>24680</v>
      </c>
      <c r="H172" s="31" t="n">
        <v>-1.46</v>
      </c>
      <c r="I172" s="31" t="n">
        <v>12523</v>
      </c>
      <c r="J172" s="31" t="inlineStr">
        <is>
          <t>539006</t>
        </is>
      </c>
    </row>
    <row r="173">
      <c r="A173" s="31" t="inlineStr">
        <is>
          <t>KRISHANA</t>
        </is>
      </c>
      <c r="B173" s="31" t="inlineStr">
        <is>
          <t>Krishana Phoschem Ltd</t>
        </is>
      </c>
      <c r="C173" s="31" t="inlineStr">
        <is>
          <t>chemicals</t>
        </is>
      </c>
      <c r="D173" s="31" t="inlineStr">
        <is>
          <t>fertilizers</t>
        </is>
      </c>
      <c r="E173" s="31" t="inlineStr">
        <is>
          <t>smallcap</t>
        </is>
      </c>
      <c r="F173" s="31" t="n">
        <v>1310.44</v>
      </c>
      <c r="G173" s="31" t="n">
        <v>208.71</v>
      </c>
      <c r="H173" s="31" t="n">
        <v>-1.53</v>
      </c>
      <c r="I173" s="31" t="n">
        <v>663866</v>
      </c>
      <c r="J173" s="31" t="inlineStr">
        <is>
          <t>538405</t>
        </is>
      </c>
    </row>
    <row r="174">
      <c r="A174" s="31" t="inlineStr">
        <is>
          <t>PERSISTENT</t>
        </is>
      </c>
      <c r="B174" s="31" t="inlineStr">
        <is>
          <t>Persistent Systems Limited</t>
        </is>
      </c>
      <c r="C174" s="31" t="inlineStr">
        <is>
          <t>i.t</t>
        </is>
      </c>
      <c r="D174" s="31" t="inlineStr">
        <is>
          <t>computers - software - large</t>
        </is>
      </c>
      <c r="E174" s="31" t="inlineStr">
        <is>
          <t>largecap</t>
        </is>
      </c>
      <c r="F174" s="31" t="n">
        <v>92126</v>
      </c>
      <c r="G174" s="31" t="n">
        <v>5741</v>
      </c>
      <c r="H174" s="31" t="n">
        <v>-1.7</v>
      </c>
      <c r="I174" s="31" t="n">
        <v>2196570</v>
      </c>
      <c r="J174" s="31" t="inlineStr">
        <is>
          <t>533179</t>
        </is>
      </c>
    </row>
    <row r="175">
      <c r="A175" s="31" t="inlineStr">
        <is>
          <t>BHARTIHEXA</t>
        </is>
      </c>
      <c r="B175" s="31" t="inlineStr">
        <is>
          <t>Bharti Hexacom Ltd</t>
        </is>
      </c>
      <c r="C175" s="31" t="inlineStr">
        <is>
          <t>telecom-service</t>
        </is>
      </c>
      <c r="D175" s="31" t="inlineStr">
        <is>
          <t>telecommunications - service provider</t>
        </is>
      </c>
      <c r="E175" s="31" t="inlineStr">
        <is>
          <t>largecap</t>
        </is>
      </c>
      <c r="F175" s="31" t="n">
        <v>82525</v>
      </c>
      <c r="G175" s="31" t="n">
        <v>1621.9</v>
      </c>
      <c r="H175" s="31" t="n">
        <v>-1.73</v>
      </c>
      <c r="I175" s="31" t="n">
        <v>101279</v>
      </c>
      <c r="J175" s="31" t="inlineStr">
        <is>
          <t>544162</t>
        </is>
      </c>
    </row>
    <row r="176">
      <c r="A176" s="31" t="inlineStr">
        <is>
          <t>RAJRILTD</t>
        </is>
      </c>
      <c r="B176" s="31" t="inlineStr">
        <is>
          <t>Raj Rayon Industries Ltd</t>
        </is>
      </c>
      <c r="C176" s="31" t="inlineStr">
        <is>
          <t>textiles</t>
        </is>
      </c>
      <c r="D176" s="31" t="inlineStr">
        <is>
          <t>textiles - manmade</t>
        </is>
      </c>
      <c r="E176" s="31" t="inlineStr">
        <is>
          <t>smallcap</t>
        </is>
      </c>
      <c r="F176" s="31" t="n">
        <v>1276.77</v>
      </c>
      <c r="G176" s="31" t="n">
        <v>22.51</v>
      </c>
      <c r="H176" s="31" t="n">
        <v>-1.96</v>
      </c>
      <c r="I176" s="31" t="n">
        <v>28959</v>
      </c>
      <c r="J176" s="31" t="inlineStr">
        <is>
          <t>530699</t>
        </is>
      </c>
    </row>
    <row r="177">
      <c r="A177" s="31" t="inlineStr">
        <is>
          <t>ISGEC</t>
        </is>
      </c>
      <c r="B177" s="31" t="inlineStr">
        <is>
          <t>ISGEC Heavy Engineering  Ltd</t>
        </is>
      </c>
      <c r="C177" s="31" t="inlineStr">
        <is>
          <t>realty</t>
        </is>
      </c>
      <c r="D177" s="31" t="inlineStr">
        <is>
          <t>engineering - turnkey services</t>
        </is>
      </c>
      <c r="E177" s="31" t="inlineStr">
        <is>
          <t>midcap</t>
        </is>
      </c>
      <c r="F177" s="31" t="n">
        <v>6750.38</v>
      </c>
      <c r="G177" s="31" t="n">
        <v>899.75</v>
      </c>
      <c r="H177" s="31" t="n">
        <v>-1.99</v>
      </c>
      <c r="I177" s="31" t="n">
        <v>27789</v>
      </c>
      <c r="J177" s="31" t="inlineStr">
        <is>
          <t>533033</t>
        </is>
      </c>
    </row>
    <row r="178">
      <c r="A178" s="31" t="inlineStr">
        <is>
          <t>UTTAMSUGAR</t>
        </is>
      </c>
      <c r="B178" s="31" t="inlineStr">
        <is>
          <t>Uttam Sugar Mills Limited</t>
        </is>
      </c>
      <c r="C178" s="31" t="inlineStr">
        <is>
          <t>fmcg</t>
        </is>
      </c>
      <c r="D178" s="31" t="inlineStr">
        <is>
          <t>sugar</t>
        </is>
      </c>
      <c r="E178" s="31" t="inlineStr">
        <is>
          <t>smallcap</t>
        </is>
      </c>
      <c r="F178" s="31" t="n">
        <v>1436.47</v>
      </c>
      <c r="G178" s="31" t="n">
        <v>369.15</v>
      </c>
      <c r="H178" s="31" t="n">
        <v>-1.99</v>
      </c>
      <c r="I178" s="31" t="n">
        <v>351516</v>
      </c>
      <c r="J178" s="31" t="inlineStr">
        <is>
          <t>532729</t>
        </is>
      </c>
    </row>
    <row r="179">
      <c r="A179" s="31" t="inlineStr">
        <is>
          <t>MBECL</t>
        </is>
      </c>
      <c r="B179" s="31" t="inlineStr">
        <is>
          <t>Mcnally Bharat Engineering Company Limited</t>
        </is>
      </c>
      <c r="C179" s="31" t="inlineStr">
        <is>
          <t>realty</t>
        </is>
      </c>
      <c r="D179" s="31" t="inlineStr">
        <is>
          <t>engineering - turnkey services</t>
        </is>
      </c>
      <c r="E179" s="31" t="inlineStr">
        <is>
          <t>smallcap</t>
        </is>
      </c>
      <c r="F179" s="31" t="n">
        <v>1429.5</v>
      </c>
      <c r="G179" s="31" t="n">
        <v>420.3</v>
      </c>
      <c r="H179" s="31" t="n">
        <v>-1.99</v>
      </c>
      <c r="I179" s="31" t="n">
        <v>31</v>
      </c>
      <c r="J179" s="31" t="inlineStr">
        <is>
          <t>532629</t>
        </is>
      </c>
    </row>
    <row r="180">
      <c r="A180" s="31" t="inlineStr">
        <is>
          <t>ARIHANTCAP</t>
        </is>
      </c>
      <c r="B180" s="31" t="inlineStr">
        <is>
          <t>Arihant Capital Markets Ltd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smallcap</t>
        </is>
      </c>
      <c r="F180" s="31" t="n">
        <v>1088.56</v>
      </c>
      <c r="G180" s="31" t="n">
        <v>97.31</v>
      </c>
      <c r="H180" s="31" t="n">
        <v>-2.01</v>
      </c>
      <c r="I180" s="31" t="n">
        <v>348035</v>
      </c>
      <c r="J180" s="31" t="inlineStr">
        <is>
          <t>511605</t>
        </is>
      </c>
    </row>
    <row r="181">
      <c r="A181" s="31" t="inlineStr">
        <is>
          <t>MAWANASUG</t>
        </is>
      </c>
      <c r="B181" s="31" t="inlineStr">
        <is>
          <t>Mawana Sugars Limited</t>
        </is>
      </c>
      <c r="C181" s="31" t="inlineStr">
        <is>
          <t>fmcg</t>
        </is>
      </c>
      <c r="D181" s="31" t="inlineStr">
        <is>
          <t>sugar</t>
        </is>
      </c>
      <c r="E181" s="31" t="inlineStr">
        <is>
          <t>smallcap</t>
        </is>
      </c>
      <c r="F181" s="31" t="n">
        <v>675.04</v>
      </c>
      <c r="G181" s="31" t="n">
        <v>169.05</v>
      </c>
      <c r="H181" s="31" t="n">
        <v>-2.04</v>
      </c>
      <c r="I181" s="31" t="n">
        <v>132162</v>
      </c>
      <c r="J181" s="31" t="inlineStr">
        <is>
          <t>523371</t>
        </is>
      </c>
    </row>
    <row r="182">
      <c r="A182" s="31" t="inlineStr">
        <is>
          <t>E2E</t>
        </is>
      </c>
      <c r="B182" s="31" t="inlineStr">
        <is>
          <t>E2E Networks Ltd</t>
        </is>
      </c>
      <c r="C182" s="31" t="inlineStr">
        <is>
          <t>i.t</t>
        </is>
      </c>
      <c r="D182" s="31" t="inlineStr">
        <is>
          <t>computers - software - medium / small</t>
        </is>
      </c>
      <c r="E182" s="31" t="inlineStr">
        <is>
          <t>midcap</t>
        </is>
      </c>
      <c r="F182" s="31" t="n">
        <v>14613.61</v>
      </c>
      <c r="G182" s="31" t="n">
        <v>694.85</v>
      </c>
      <c r="H182" s="31" t="n">
        <v>-2.26</v>
      </c>
      <c r="I182" s="31" t="n">
        <v>2362448</v>
      </c>
      <c r="J182" s="31" t="inlineStr">
        <is>
          <t>535080</t>
        </is>
      </c>
    </row>
    <row r="183">
      <c r="A183" s="31" t="inlineStr">
        <is>
          <t>DBOL</t>
        </is>
      </c>
      <c r="B183" s="31" t="inlineStr">
        <is>
          <t>Dhampur Bio Organics Ltd</t>
        </is>
      </c>
      <c r="C183" s="31" t="inlineStr">
        <is>
          <t>fmcg</t>
        </is>
      </c>
      <c r="D183" s="31" t="inlineStr">
        <is>
          <t>sugar</t>
        </is>
      </c>
      <c r="E183" s="31" t="inlineStr">
        <is>
          <t>smallcap</t>
        </is>
      </c>
      <c r="F183" s="31" t="n">
        <v>956.25</v>
      </c>
      <c r="G183" s="31" t="n">
        <v>140.73</v>
      </c>
      <c r="H183" s="31" t="n">
        <v>-2.3</v>
      </c>
      <c r="I183" s="31" t="n">
        <v>147736</v>
      </c>
      <c r="J183" s="31" t="inlineStr">
        <is>
          <t>543593</t>
        </is>
      </c>
    </row>
    <row r="184">
      <c r="A184" s="31" t="inlineStr">
        <is>
          <t>KILITCH</t>
        </is>
      </c>
      <c r="B184" s="31" t="inlineStr">
        <is>
          <t>Kilitch Drugs (india) Limited</t>
        </is>
      </c>
      <c r="C184" s="31" t="inlineStr">
        <is>
          <t>healthcare</t>
        </is>
      </c>
      <c r="D184" s="31" t="inlineStr">
        <is>
          <t>pharmaceuticals - indian - formulations</t>
        </is>
      </c>
      <c r="E184" s="31" t="inlineStr">
        <is>
          <t>smallcap</t>
        </is>
      </c>
      <c r="F184" s="31" t="n">
        <v>825.79</v>
      </c>
      <c r="G184" s="31" t="n">
        <v>230.4</v>
      </c>
      <c r="H184" s="31" t="n">
        <v>-2.46</v>
      </c>
      <c r="I184" s="31" t="n">
        <v>36196</v>
      </c>
      <c r="J184" s="31" t="inlineStr">
        <is>
          <t>524500</t>
        </is>
      </c>
    </row>
    <row r="185">
      <c r="A185" s="31" t="inlineStr">
        <is>
          <t>SGFIN</t>
        </is>
      </c>
      <c r="B185" s="31" t="inlineStr">
        <is>
          <t>SG Finserve Ltd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smallcap</t>
        </is>
      </c>
      <c r="F185" s="31" t="n">
        <v>4574.76</v>
      </c>
      <c r="G185" s="31" t="n">
        <v>676.7</v>
      </c>
      <c r="H185" s="31" t="n">
        <v>-2.53</v>
      </c>
      <c r="I185" s="31" t="n">
        <v>4110056</v>
      </c>
      <c r="J185" s="31" t="inlineStr">
        <is>
          <t>539199</t>
        </is>
      </c>
    </row>
    <row r="186">
      <c r="A186" s="31" t="inlineStr">
        <is>
          <t>ROSSTECH</t>
        </is>
      </c>
      <c r="B186" s="31" t="inlineStr">
        <is>
          <t>Rossell Techsys Ltd</t>
        </is>
      </c>
      <c r="C186" s="31" t="inlineStr">
        <is>
          <t>aerospace &amp; defence</t>
        </is>
      </c>
      <c r="D186" s="31" t="inlineStr">
        <is>
          <t>engineering</t>
        </is>
      </c>
      <c r="E186" s="31" t="inlineStr">
        <is>
          <t>midcap</t>
        </is>
      </c>
      <c r="F186" s="31" t="n">
        <v>5896.86</v>
      </c>
      <c r="G186" s="31" t="n">
        <v>1523.5</v>
      </c>
      <c r="H186" s="31" t="n">
        <v>-2.61</v>
      </c>
      <c r="I186" s="31" t="n">
        <v>65467</v>
      </c>
      <c r="J186" s="31" t="inlineStr">
        <is>
          <t>544294</t>
        </is>
      </c>
    </row>
    <row r="187">
      <c r="A187" s="31" t="inlineStr">
        <is>
          <t>TCPLPACK</t>
        </is>
      </c>
      <c r="B187" s="31" t="inlineStr">
        <is>
          <t>TCPL Packaging Ltd</t>
        </is>
      </c>
      <c r="C187" s="31" t="inlineStr">
        <is>
          <t>industrials</t>
        </is>
      </c>
      <c r="D187" s="31" t="inlineStr">
        <is>
          <t>packaging</t>
        </is>
      </c>
      <c r="E187" s="31" t="inlineStr">
        <is>
          <t>smallcap</t>
        </is>
      </c>
      <c r="F187" s="31" t="n">
        <v>4081.35</v>
      </c>
      <c r="G187" s="31" t="n">
        <v>4316.8</v>
      </c>
      <c r="H187" s="31" t="n">
        <v>-3.75</v>
      </c>
      <c r="I187" s="31" t="n">
        <v>8049</v>
      </c>
      <c r="J187" s="31" t="inlineStr">
        <is>
          <t>523301</t>
        </is>
      </c>
    </row>
    <row r="188">
      <c r="A188" s="31" t="inlineStr">
        <is>
          <t>NRAIL</t>
        </is>
      </c>
      <c r="B188" s="31" t="inlineStr">
        <is>
          <t>N R Agarwal Industries Ltd</t>
        </is>
      </c>
      <c r="C188" s="31" t="inlineStr">
        <is>
          <t>building materials</t>
        </is>
      </c>
      <c r="D188" s="31" t="inlineStr">
        <is>
          <t>paper</t>
        </is>
      </c>
      <c r="E188" s="31" t="inlineStr">
        <is>
          <t>smallcap</t>
        </is>
      </c>
      <c r="F188" s="31" t="n">
        <v>1296</v>
      </c>
      <c r="G188" s="31" t="n">
        <v>731.75</v>
      </c>
      <c r="H188" s="31" t="n">
        <v>-3.91</v>
      </c>
      <c r="I188" s="31" t="n">
        <v>32353</v>
      </c>
      <c r="J188" s="31" t="inlineStr">
        <is>
          <t>516082</t>
        </is>
      </c>
    </row>
    <row r="189">
      <c r="A189" s="31" t="inlineStr">
        <is>
          <t>DPABHUSHAN</t>
        </is>
      </c>
      <c r="B189" s="31" t="inlineStr">
        <is>
          <t>D.P. Abhushan Ltd</t>
        </is>
      </c>
      <c r="C189" s="31" t="inlineStr">
        <is>
          <t>consumer discretionary</t>
        </is>
      </c>
      <c r="D189" s="31" t="inlineStr">
        <is>
          <t>trading</t>
        </is>
      </c>
      <c r="E189" s="31" t="inlineStr">
        <is>
          <t>midcap</t>
        </is>
      </c>
      <c r="F189" s="31" t="n">
        <v>5461.58</v>
      </c>
      <c r="G189" s="31" t="n">
        <v>2293.5</v>
      </c>
      <c r="H189" s="31" t="n">
        <v>-4.14</v>
      </c>
      <c r="I189" s="31" t="n">
        <v>65834</v>
      </c>
      <c r="J189" s="31" t="inlineStr">
        <is>
          <t>535026</t>
        </is>
      </c>
    </row>
    <row r="190">
      <c r="A190" s="31" t="inlineStr">
        <is>
          <t>KRONOX</t>
        </is>
      </c>
      <c r="B190" s="31" t="inlineStr">
        <is>
          <t>Kronox Lab Sciences Ltd</t>
        </is>
      </c>
      <c r="C190" s="31" t="inlineStr">
        <is>
          <t>chemicals</t>
        </is>
      </c>
      <c r="D190" s="31" t="inlineStr">
        <is>
          <t>chemicals</t>
        </is>
      </c>
      <c r="E190" s="31" t="inlineStr">
        <is>
          <t>smallcap</t>
        </is>
      </c>
      <c r="F190" s="31" t="n">
        <v>809.54</v>
      </c>
      <c r="G190" s="31" t="n">
        <v>209.15</v>
      </c>
      <c r="H190" s="31" t="n">
        <v>-4.14</v>
      </c>
      <c r="I190" s="31" t="n">
        <v>83343</v>
      </c>
      <c r="J190" s="31" t="inlineStr">
        <is>
          <t>544187</t>
        </is>
      </c>
    </row>
    <row r="191">
      <c r="A191" s="31" t="inlineStr">
        <is>
          <t>BLUSPRING</t>
        </is>
      </c>
      <c r="B191" s="31" t="inlineStr">
        <is>
          <t>Bluspring Enterprises Ltd</t>
        </is>
      </c>
      <c r="C191" s="31" t="inlineStr">
        <is>
          <t>miscellaneous</t>
        </is>
      </c>
      <c r="D191" s="31" t="inlineStr">
        <is>
          <t>diversified - large</t>
        </is>
      </c>
      <c r="E191" s="31" t="inlineStr">
        <is>
          <t>smallcap</t>
        </is>
      </c>
      <c r="F191" s="31" t="n">
        <v>2581.6</v>
      </c>
      <c r="G191" s="31" t="n">
        <v>165.19</v>
      </c>
      <c r="H191" s="31" t="n">
        <v>-4.34</v>
      </c>
      <c r="I191" s="31" t="n">
        <v>556087</v>
      </c>
      <c r="J191" s="31" t="inlineStr">
        <is>
          <t>544414</t>
        </is>
      </c>
    </row>
    <row r="192">
      <c r="A192" s="31" t="inlineStr">
        <is>
          <t>MAZDA</t>
        </is>
      </c>
      <c r="B192" s="31" t="inlineStr">
        <is>
          <t>Mazda Limited</t>
        </is>
      </c>
      <c r="C192" s="31" t="inlineStr">
        <is>
          <t>industrials</t>
        </is>
      </c>
      <c r="D192" s="31" t="inlineStr">
        <is>
          <t>engineering</t>
        </is>
      </c>
      <c r="E192" s="31" t="inlineStr">
        <is>
          <t>smallcap</t>
        </is>
      </c>
      <c r="F192" s="31" t="n">
        <v>616.0700000000001</v>
      </c>
      <c r="G192" s="31" t="n">
        <v>293.95</v>
      </c>
      <c r="H192" s="31" t="n">
        <v>-4.45</v>
      </c>
      <c r="I192" s="31" t="n">
        <v>43507</v>
      </c>
      <c r="J192" s="31" t="inlineStr">
        <is>
          <t>523792</t>
        </is>
      </c>
    </row>
    <row r="193">
      <c r="A193" s="31" t="inlineStr">
        <is>
          <t>MODISONLTD</t>
        </is>
      </c>
      <c r="B193" s="31" t="inlineStr">
        <is>
          <t>Modison Ltd</t>
        </is>
      </c>
      <c r="C193" s="31" t="inlineStr">
        <is>
          <t>industrials</t>
        </is>
      </c>
      <c r="D193" s="31" t="inlineStr">
        <is>
          <t>electric equipment</t>
        </is>
      </c>
      <c r="E193" s="31" t="inlineStr">
        <is>
          <t>smallcap</t>
        </is>
      </c>
      <c r="F193" s="31" t="n">
        <v>1705.25</v>
      </c>
      <c r="G193" s="31" t="n">
        <v>499.25</v>
      </c>
      <c r="H193" s="31" t="n">
        <v>-5</v>
      </c>
      <c r="I193" s="31" t="n">
        <v>131299</v>
      </c>
      <c r="J193" s="31" t="inlineStr">
        <is>
          <t>506261</t>
        </is>
      </c>
    </row>
    <row r="194">
      <c r="A194" s="31" t="inlineStr">
        <is>
          <t>HINDCOMPOS</t>
        </is>
      </c>
      <c r="B194" s="31" t="inlineStr">
        <is>
          <t>Hindustan Composites Limited</t>
        </is>
      </c>
      <c r="C194" s="31" t="inlineStr">
        <is>
          <t>miscellaneous</t>
        </is>
      </c>
      <c r="D194" s="31" t="inlineStr">
        <is>
          <t>diversified - medium / small</t>
        </is>
      </c>
      <c r="E194" s="31" t="inlineStr">
        <is>
          <t>smallcap</t>
        </is>
      </c>
      <c r="F194" s="31" t="n">
        <v>706.25</v>
      </c>
      <c r="G194" s="31" t="n">
        <v>443.25</v>
      </c>
      <c r="H194" s="31" t="n">
        <v>-7.31</v>
      </c>
      <c r="I194" s="31" t="n">
        <v>147941</v>
      </c>
      <c r="J194" s="31" t="inlineStr">
        <is>
          <t>509635</t>
        </is>
      </c>
    </row>
    <row r="195">
      <c r="A195" s="31" t="inlineStr">
        <is>
          <t>SEJALLTD</t>
        </is>
      </c>
      <c r="B195" s="31" t="inlineStr">
        <is>
          <t>Sejal Glass Ltd</t>
        </is>
      </c>
      <c r="C195" s="31" t="inlineStr">
        <is>
          <t>building materials</t>
        </is>
      </c>
      <c r="D195" s="31" t="inlineStr">
        <is>
          <t>glass &amp; glass products</t>
        </is>
      </c>
      <c r="E195" s="31" t="inlineStr">
        <is>
          <t>smallcap</t>
        </is>
      </c>
      <c r="F195" s="31" t="n">
        <v>1101.41</v>
      </c>
      <c r="G195" s="31" t="n">
        <v>870.35</v>
      </c>
      <c r="H195" s="31" t="n">
        <v>-9.92</v>
      </c>
      <c r="I195" s="31" t="n">
        <v>148125</v>
      </c>
      <c r="J195" s="31" t="inlineStr">
        <is>
          <t>532993</t>
        </is>
      </c>
    </row>
  </sheetData>
  <autoFilter ref="A1:J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SHANTIGOLD</t>
        </is>
      </c>
      <c r="E2" s="31" t="inlineStr">
        <is>
          <t>Shanti Gold International Ltd</t>
        </is>
      </c>
      <c r="F2" s="31" t="inlineStr">
        <is>
          <t>unknown</t>
        </is>
      </c>
      <c r="G2" s="31" t="n">
        <v>2</v>
      </c>
      <c r="H2" s="31" t="inlineStr">
        <is>
          <t>52W Breakout</t>
        </is>
      </c>
      <c r="I2" s="31" t="inlineStr">
        <is>
          <t>Yes</t>
        </is>
      </c>
      <c r="J2" s="31" t="n">
        <v>0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unknown</t>
        </is>
      </c>
      <c r="G3" s="31" t="n">
        <v>2</v>
      </c>
      <c r="H3" s="31" t="inlineStr">
        <is>
          <t>52W Breakout</t>
        </is>
      </c>
      <c r="I3" s="31" t="inlineStr">
        <is>
          <t>Yes</t>
        </is>
      </c>
      <c r="J3" s="31" t="n">
        <v>0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NRL</t>
        </is>
      </c>
      <c r="E4" s="31" t="inlineStr">
        <is>
          <t>Nupur Recyclers Ltd</t>
        </is>
      </c>
      <c r="F4" s="31" t="inlineStr">
        <is>
          <t>unknown</t>
        </is>
      </c>
      <c r="G4" s="31" t="n">
        <v>2</v>
      </c>
      <c r="H4" s="31" t="inlineStr">
        <is>
          <t>52W Breakout</t>
        </is>
      </c>
      <c r="I4" s="31" t="inlineStr">
        <is>
          <t>Yes</t>
        </is>
      </c>
      <c r="J4" s="31" t="n">
        <v>0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NITINSPIN</t>
        </is>
      </c>
      <c r="E5" s="31" t="inlineStr">
        <is>
          <t>Nitin Spinners Limited</t>
        </is>
      </c>
      <c r="F5" s="31" t="inlineStr">
        <is>
          <t>unknown</t>
        </is>
      </c>
      <c r="G5" s="31" t="n">
        <v>2</v>
      </c>
      <c r="H5" s="31" t="inlineStr">
        <is>
          <t>52W Breakout</t>
        </is>
      </c>
      <c r="I5" s="31" t="inlineStr">
        <is>
          <t>Yes</t>
        </is>
      </c>
      <c r="J5" s="31" t="n">
        <v>0</v>
      </c>
      <c r="K5" s="31" t="n">
        <v>10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HITECHCORP</t>
        </is>
      </c>
      <c r="E6" s="31" t="inlineStr">
        <is>
          <t>Hitech Corporation</t>
        </is>
      </c>
      <c r="F6" s="31" t="inlineStr">
        <is>
          <t>unknown</t>
        </is>
      </c>
      <c r="G6" s="31" t="n">
        <v>2</v>
      </c>
      <c r="H6" s="31" t="inlineStr">
        <is>
          <t>52W Breakout</t>
        </is>
      </c>
      <c r="I6" s="31" t="inlineStr">
        <is>
          <t>Yes</t>
        </is>
      </c>
      <c r="J6" s="31" t="n">
        <v>0</v>
      </c>
      <c r="K6" s="31" t="n">
        <v>21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WHEELS</t>
        </is>
      </c>
      <c r="E7" s="31" t="inlineStr">
        <is>
          <t>Wheels India Limited</t>
        </is>
      </c>
      <c r="F7" s="31" t="inlineStr">
        <is>
          <t>unknown</t>
        </is>
      </c>
      <c r="G7" s="31" t="n">
        <v>2</v>
      </c>
      <c r="H7" s="31" t="inlineStr">
        <is>
          <t>52W Breakout</t>
        </is>
      </c>
      <c r="I7" s="31" t="inlineStr">
        <is>
          <t>Yes</t>
        </is>
      </c>
      <c r="J7" s="31" t="n">
        <v>0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SKYGOLD</t>
        </is>
      </c>
      <c r="E8" s="31" t="inlineStr">
        <is>
          <t>Sky Gold Ltd</t>
        </is>
      </c>
      <c r="F8" s="31" t="inlineStr">
        <is>
          <t>unknown</t>
        </is>
      </c>
      <c r="G8" s="31" t="n">
        <v>2</v>
      </c>
      <c r="H8" s="31" t="inlineStr">
        <is>
          <t>52W Breakout</t>
        </is>
      </c>
      <c r="I8" s="31" t="inlineStr">
        <is>
          <t>Yes</t>
        </is>
      </c>
      <c r="J8" s="31" t="n">
        <v>0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PANACHE</t>
        </is>
      </c>
      <c r="E9" s="31" t="inlineStr">
        <is>
          <t>Panache Digilife Ltd</t>
        </is>
      </c>
      <c r="F9" s="31" t="inlineStr">
        <is>
          <t>unknown</t>
        </is>
      </c>
      <c r="G9" s="31" t="n">
        <v>2</v>
      </c>
      <c r="H9" s="31" t="inlineStr">
        <is>
          <t>52W Breakout</t>
        </is>
      </c>
      <c r="I9" s="31" t="inlineStr">
        <is>
          <t>Yes</t>
        </is>
      </c>
      <c r="J9" s="31" t="n">
        <v>0</v>
      </c>
      <c r="K9" s="31" t="n">
        <v>18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SHREEJISPG</t>
        </is>
      </c>
      <c r="E10" s="31" t="inlineStr">
        <is>
          <t>Shreeji Shipping Global Ltd</t>
        </is>
      </c>
      <c r="F10" s="31" t="inlineStr">
        <is>
          <t>unknown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0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VALIANTLAB</t>
        </is>
      </c>
      <c r="E11" s="31" t="inlineStr">
        <is>
          <t>Valiant Laboratories Ltd</t>
        </is>
      </c>
      <c r="F11" s="31" t="inlineStr">
        <is>
          <t>unknown</t>
        </is>
      </c>
      <c r="G11" s="31" t="n">
        <v>2</v>
      </c>
      <c r="H11" s="31" t="inlineStr">
        <is>
          <t>52W Breakout</t>
        </is>
      </c>
      <c r="I11" s="31" t="inlineStr">
        <is>
          <t>Yes</t>
        </is>
      </c>
      <c r="J11" s="31" t="n">
        <v>0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GCSL</t>
        </is>
      </c>
      <c r="E12" s="31" t="inlineStr">
        <is>
          <t>Gretex Corporate Services Ltd</t>
        </is>
      </c>
      <c r="F12" s="31" t="inlineStr">
        <is>
          <t>unknown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0</v>
      </c>
      <c r="K12" s="31" t="n">
        <v>27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TECHM</t>
        </is>
      </c>
      <c r="E13" s="31" t="inlineStr">
        <is>
          <t>Tech Mahindra Limited</t>
        </is>
      </c>
      <c r="F13" s="31" t="inlineStr">
        <is>
          <t>unknown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0</v>
      </c>
      <c r="K13" s="31" t="n">
        <v>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NAZARA</t>
        </is>
      </c>
      <c r="E14" s="31" t="inlineStr">
        <is>
          <t>Nazara Technologies Ltd</t>
        </is>
      </c>
      <c r="F14" s="31" t="inlineStr">
        <is>
          <t>unknown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0</v>
      </c>
      <c r="K14" s="31" t="n">
        <v>26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SAMBHV</t>
        </is>
      </c>
      <c r="E15" s="31" t="inlineStr">
        <is>
          <t>Sambhv Steel Tubes Ltd</t>
        </is>
      </c>
      <c r="F15" s="31" t="inlineStr">
        <is>
          <t>unknown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0</v>
      </c>
      <c r="K15" s="31" t="n">
        <v>26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SHYAMMETL</t>
        </is>
      </c>
      <c r="E16" s="31" t="inlineStr">
        <is>
          <t>Shyam Metalics &amp; Energy Ltd</t>
        </is>
      </c>
      <c r="F16" s="31" t="inlineStr">
        <is>
          <t>unknown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0</v>
      </c>
      <c r="K16" s="31" t="n">
        <v>18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LOTUSDEV</t>
        </is>
      </c>
      <c r="E17" s="31" t="inlineStr">
        <is>
          <t>Sri Lotus Developers &amp; Realty Ltd</t>
        </is>
      </c>
      <c r="F17" s="31" t="inlineStr">
        <is>
          <t>unknown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0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ONWARDTEC</t>
        </is>
      </c>
      <c r="E18" s="31" t="inlineStr">
        <is>
          <t>Onward Technologies Limited</t>
        </is>
      </c>
      <c r="F18" s="31" t="inlineStr">
        <is>
          <t>unknown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0</v>
      </c>
      <c r="K18" s="31" t="n">
        <v>11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SVLL</t>
        </is>
      </c>
      <c r="E19" s="31" t="inlineStr">
        <is>
          <t>Shree Vasu Logistics Ltd</t>
        </is>
      </c>
      <c r="F19" s="31" t="inlineStr">
        <is>
          <t>unknown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0</v>
      </c>
      <c r="K19" s="31" t="n">
        <v>19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VHLTD</t>
        </is>
      </c>
      <c r="E20" s="31" t="inlineStr">
        <is>
          <t>Viceroy Hotels Ltd</t>
        </is>
      </c>
      <c r="F20" s="31" t="inlineStr">
        <is>
          <t>unknown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0</v>
      </c>
      <c r="K20" s="31" t="n">
        <v>11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SANATHAN</t>
        </is>
      </c>
      <c r="E21" s="31" t="inlineStr">
        <is>
          <t>Sanathan Textiles Ltd</t>
        </is>
      </c>
      <c r="F21" s="31" t="inlineStr">
        <is>
          <t>unknown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0</v>
      </c>
      <c r="K21" s="31" t="n">
        <v>22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BHARTIARTL</t>
        </is>
      </c>
      <c r="E22" s="31" t="inlineStr">
        <is>
          <t>Bharti Airtel Limited</t>
        </is>
      </c>
      <c r="F22" s="31" t="inlineStr">
        <is>
          <t>unknown</t>
        </is>
      </c>
      <c r="G22" s="31" t="n">
        <v>2</v>
      </c>
      <c r="H22" s="31" t="inlineStr">
        <is>
          <t>EMA Crossover</t>
        </is>
      </c>
      <c r="I22" s="31" t="inlineStr">
        <is>
          <t>Yes</t>
        </is>
      </c>
      <c r="J22" s="31" t="n">
        <v>0</v>
      </c>
      <c r="K22" s="31" t="n">
        <v>1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UNITEDPOLY</t>
        </is>
      </c>
      <c r="E23" s="31" t="inlineStr">
        <is>
          <t>United Polyfab Gujarat Ltd</t>
        </is>
      </c>
      <c r="F23" s="31" t="inlineStr">
        <is>
          <t>unknown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0</v>
      </c>
      <c r="K23" s="31" t="n">
        <v>30</v>
      </c>
    </row>
  </sheetData>
  <autoFilter ref="A1:K23"/>
  <conditionalFormatting sqref="G2:G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7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IF(B2=0,"",RANK(B2,$B$2:$B$171,0))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SHANTIGOLD</t>
        </is>
      </c>
      <c r="D2" s="31" t="inlineStr">
        <is>
          <t>Shanti Gold International Ltd</t>
        </is>
      </c>
      <c r="E2" s="31" t="inlineStr">
        <is>
          <t>consumer discretionary</t>
        </is>
      </c>
      <c r="F2" s="31" t="inlineStr">
        <is>
          <t>diamond cutting / jewellery</t>
        </is>
      </c>
      <c r="G2" s="31" t="inlineStr">
        <is>
          <t>smallcap</t>
        </is>
      </c>
      <c r="H2" s="32" t="n">
        <v>3000.13</v>
      </c>
      <c r="I2" s="32" t="n">
        <v>423.3</v>
      </c>
      <c r="J2" s="32" t="n">
        <v>8.27</v>
      </c>
      <c r="K2" s="32" t="n">
        <v>5873640</v>
      </c>
      <c r="L2" s="31" t="n">
        <v>94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79.36</v>
      </c>
      <c r="P2" s="32" t="n">
        <v>48.03</v>
      </c>
      <c r="Q2" s="32" t="n">
        <v>321.14</v>
      </c>
      <c r="R2" s="31" t="inlineStr">
        <is>
          <t>Near 52W High Breakout</t>
        </is>
      </c>
      <c r="S2" s="31" t="inlineStr">
        <is>
          <t>Nifty 50</t>
        </is>
      </c>
      <c r="T2" s="32" t="n">
        <v>-9.970000000000001</v>
      </c>
      <c r="U2" s="32" t="n">
        <v>106.49</v>
      </c>
      <c r="V2" s="32" t="n">
        <v>129.36</v>
      </c>
      <c r="W2" s="32" t="n">
        <v>40.41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IF(B3=0,"",RANK(B3,$B$2:$B$171,0))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PGIL</t>
        </is>
      </c>
      <c r="D3" s="31" t="inlineStr">
        <is>
          <t>Pearl Global Industries Limited</t>
        </is>
      </c>
      <c r="E3" s="31" t="inlineStr">
        <is>
          <t>readymade garments/apparels</t>
        </is>
      </c>
      <c r="F3" s="31" t="inlineStr">
        <is>
          <t>textiles - products</t>
        </is>
      </c>
      <c r="G3" s="31" t="inlineStr">
        <is>
          <t>midcap</t>
        </is>
      </c>
      <c r="H3" s="32" t="n">
        <v>11670.5</v>
      </c>
      <c r="I3" s="32" t="n">
        <v>1289.2</v>
      </c>
      <c r="J3" s="32" t="n">
        <v>2.05</v>
      </c>
      <c r="K3" s="32" t="n">
        <v>83828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67.06999999999999</v>
      </c>
      <c r="P3" s="32" t="n">
        <v>59.84</v>
      </c>
      <c r="Q3" s="32" t="n">
        <v>1012.24</v>
      </c>
      <c r="R3" s="31" t="inlineStr">
        <is>
          <t>Near 52W High Breakout</t>
        </is>
      </c>
      <c r="S3" s="31" t="inlineStr">
        <is>
          <t>Nifty 50</t>
        </is>
      </c>
      <c r="T3" s="32" t="n">
        <v>-9.970000000000001</v>
      </c>
      <c r="U3" s="32" t="n">
        <v>92.95</v>
      </c>
      <c r="V3" s="32" t="n">
        <v>114.32</v>
      </c>
      <c r="W3" s="32" t="n">
        <v>19.74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IF(B4=0,"",RANK(B4,$B$2:$B$171,0))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ORBTEXP</t>
        </is>
      </c>
      <c r="D4" s="31" t="inlineStr">
        <is>
          <t>Orbit Exports Limited</t>
        </is>
      </c>
      <c r="E4" s="31" t="inlineStr">
        <is>
          <t>textiles</t>
        </is>
      </c>
      <c r="F4" s="31" t="inlineStr">
        <is>
          <t>textiles - processing</t>
        </is>
      </c>
      <c r="G4" s="31" t="inlineStr">
        <is>
          <t>smallcap</t>
        </is>
      </c>
      <c r="H4" s="32" t="n">
        <v>686.9</v>
      </c>
      <c r="I4" s="32" t="n">
        <v>263.55</v>
      </c>
      <c r="J4" s="32" t="n">
        <v>1.72</v>
      </c>
      <c r="K4" s="32" t="n">
        <v>8283</v>
      </c>
      <c r="L4" s="31" t="n">
        <v>45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67.03</v>
      </c>
      <c r="P4" s="32" t="n">
        <v>55.31</v>
      </c>
      <c r="Q4" s="32" t="n">
        <v>190.17</v>
      </c>
      <c r="R4" s="31" t="inlineStr">
        <is>
          <t>Near 52W High Breakout</t>
        </is>
      </c>
      <c r="S4" s="31" t="inlineStr">
        <is>
          <t>Nifty 50</t>
        </is>
      </c>
      <c r="T4" s="32" t="n">
        <v>-9.970000000000001</v>
      </c>
      <c r="U4" s="32" t="n">
        <v>30.38</v>
      </c>
      <c r="V4" s="32" t="n">
        <v>44.82</v>
      </c>
      <c r="W4" s="32" t="n">
        <v>10.73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IF(B5=0,"",RANK(B5,$B$2:$B$171,0))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VINDHYATEL</t>
        </is>
      </c>
      <c r="D5" s="31" t="inlineStr">
        <is>
          <t>Vindhya Telelinks Limited</t>
        </is>
      </c>
      <c r="E5" s="31" t="inlineStr">
        <is>
          <t>realty</t>
        </is>
      </c>
      <c r="F5" s="31" t="inlineStr">
        <is>
          <t>construction</t>
        </is>
      </c>
      <c r="G5" s="31" t="inlineStr">
        <is>
          <t>smallcap</t>
        </is>
      </c>
      <c r="H5" s="32" t="n">
        <v>3359.48</v>
      </c>
      <c r="I5" s="32" t="n">
        <v>2860.2</v>
      </c>
      <c r="J5" s="32" t="n">
        <v>0.9</v>
      </c>
      <c r="K5" s="32" t="n">
        <v>51831</v>
      </c>
      <c r="L5" s="31" t="inlineStr"/>
      <c r="M5" s="31" t="inlineStr"/>
      <c r="N5" s="32">
        <f>IF(M5="Underperforming",-5,IF(L5&gt;=95,15,IF(L5&gt;=90,10,IF(L5&gt;=80,5,0))))</f>
        <v/>
      </c>
      <c r="O5" s="32" t="n">
        <v>68.59</v>
      </c>
      <c r="P5" s="32" t="n">
        <v>46.66</v>
      </c>
      <c r="Q5" s="32" t="n">
        <v>2058.56</v>
      </c>
      <c r="R5" s="31" t="inlineStr">
        <is>
          <t>Near 52W High Breakout</t>
        </is>
      </c>
      <c r="S5" s="31" t="inlineStr">
        <is>
          <t>Nifty Realty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IF(B6=0,"",RANK(B6,$B$2:$B$171,0))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KROSS</t>
        </is>
      </c>
      <c r="D6" s="31" t="inlineStr">
        <is>
          <t>Kross Ltd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1748.21</v>
      </c>
      <c r="I6" s="32" t="n">
        <v>272</v>
      </c>
      <c r="J6" s="32" t="n">
        <v>0.37</v>
      </c>
      <c r="K6" s="32" t="n">
        <v>1662326</v>
      </c>
      <c r="L6" s="31" t="inlineStr"/>
      <c r="M6" s="31" t="inlineStr"/>
      <c r="N6" s="32">
        <f>IF(M6="Underperforming",-5,IF(L6&gt;=95,15,IF(L6&gt;=90,10,IF(L6&gt;=80,5,0))))</f>
        <v/>
      </c>
      <c r="O6" s="32" t="n">
        <v>67.77</v>
      </c>
      <c r="P6" s="32" t="n">
        <v>40.4</v>
      </c>
      <c r="Q6" s="32" t="n">
        <v>200.29</v>
      </c>
      <c r="R6" s="31" t="inlineStr">
        <is>
          <t>Volume Spike &amp; Near 52W High Breakout</t>
        </is>
      </c>
      <c r="S6" s="31" t="inlineStr">
        <is>
          <t>Nifty Auto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IF(B7=0,"",RANK(B7,$B$2:$B$171,0))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PASUPTAC</t>
        </is>
      </c>
      <c r="D7" s="31" t="inlineStr">
        <is>
          <t>Pasupati Acrylon Ltd</t>
        </is>
      </c>
      <c r="E7" s="31" t="inlineStr">
        <is>
          <t>textiles</t>
        </is>
      </c>
      <c r="F7" s="31" t="inlineStr">
        <is>
          <t>textiles - manmade</t>
        </is>
      </c>
      <c r="G7" s="31" t="inlineStr">
        <is>
          <t>smallcap</t>
        </is>
      </c>
      <c r="H7" s="32" t="n">
        <v>709.05</v>
      </c>
      <c r="I7" s="32" t="n">
        <v>79.08</v>
      </c>
      <c r="J7" s="32" t="n">
        <v>-0.59</v>
      </c>
      <c r="K7" s="32" t="n">
        <v>408379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67.23999999999999</v>
      </c>
      <c r="P7" s="32" t="n">
        <v>49.43</v>
      </c>
      <c r="Q7" s="32" t="n">
        <v>56.98</v>
      </c>
      <c r="R7" s="31" t="inlineStr">
        <is>
          <t>Volume Spike &amp; Near 52W High Breakout</t>
        </is>
      </c>
      <c r="S7" s="31" t="inlineStr">
        <is>
          <t>Nifty 50</t>
        </is>
      </c>
      <c r="T7" s="32" t="n">
        <v>-9.970000000000001</v>
      </c>
      <c r="U7" s="32" t="n">
        <v>82.93000000000001</v>
      </c>
      <c r="V7" s="32" t="n">
        <v>103.19</v>
      </c>
      <c r="W7" s="32" t="n">
        <v>20.58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IF(B8=0,"",RANK(B8,$B$2:$B$171,0))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IBULLSLTD</t>
        </is>
      </c>
      <c r="D8" s="31" t="inlineStr">
        <is>
          <t>Indiabulls Limited</t>
        </is>
      </c>
      <c r="E8" s="31" t="inlineStr">
        <is>
          <t>miscellaneous</t>
        </is>
      </c>
      <c r="F8" s="31" t="inlineStr">
        <is>
          <t>diversified - medium / small</t>
        </is>
      </c>
      <c r="G8" s="31" t="inlineStr">
        <is>
          <t>midcap</t>
        </is>
      </c>
      <c r="H8" s="32" t="n">
        <v>8346.75</v>
      </c>
      <c r="I8" s="32" t="n">
        <v>35.42</v>
      </c>
      <c r="J8" s="32" t="n">
        <v>-1.14</v>
      </c>
      <c r="K8" s="32" t="n">
        <v>10718630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69.88</v>
      </c>
      <c r="P8" s="32" t="n">
        <v>40.06</v>
      </c>
      <c r="Q8" s="32" t="n">
        <v>25.82</v>
      </c>
      <c r="R8" s="31" t="inlineStr">
        <is>
          <t>Near 52W High Breakout</t>
        </is>
      </c>
      <c r="S8" s="31" t="inlineStr">
        <is>
          <t>Nifty 50</t>
        </is>
      </c>
      <c r="T8" s="32" t="n">
        <v>-9.970000000000001</v>
      </c>
      <c r="U8" s="32" t="n">
        <v>98.77</v>
      </c>
      <c r="V8" s="32" t="n">
        <v>120.78</v>
      </c>
      <c r="W8" s="32" t="n">
        <v>23.48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IF(B9=0,"",RANK(B9,$B$2:$B$171,0))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MODISONLTD</t>
        </is>
      </c>
      <c r="D9" s="31" t="inlineStr">
        <is>
          <t>Modison Ltd</t>
        </is>
      </c>
      <c r="E9" s="31" t="inlineStr">
        <is>
          <t>industrials</t>
        </is>
      </c>
      <c r="F9" s="31" t="inlineStr">
        <is>
          <t>electric equipment</t>
        </is>
      </c>
      <c r="G9" s="31" t="inlineStr">
        <is>
          <t>smallcap</t>
        </is>
      </c>
      <c r="H9" s="32" t="n">
        <v>1705.25</v>
      </c>
      <c r="I9" s="32" t="n">
        <v>499.25</v>
      </c>
      <c r="J9" s="32" t="n">
        <v>-5</v>
      </c>
      <c r="K9" s="32" t="n">
        <v>131299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72.34</v>
      </c>
      <c r="P9" s="32" t="n">
        <v>57.62</v>
      </c>
      <c r="Q9" s="32" t="n">
        <v>350.45</v>
      </c>
      <c r="R9" s="31" t="inlineStr">
        <is>
          <t>Near 52W High Breakout</t>
        </is>
      </c>
      <c r="S9" s="31" t="inlineStr">
        <is>
          <t>Nifty 50</t>
        </is>
      </c>
      <c r="T9" s="32" t="n">
        <v>-9.970000000000001</v>
      </c>
      <c r="U9" s="32" t="n">
        <v>229.16</v>
      </c>
      <c r="V9" s="32" t="n">
        <v>265.62</v>
      </c>
      <c r="W9" s="32" t="n">
        <v>47.33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IF(B10=0,"",RANK(B10,$B$2:$B$171,0))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AVTNPL</t>
        </is>
      </c>
      <c r="D10" s="31" t="inlineStr">
        <is>
          <t>Avt Natural Products Limited</t>
        </is>
      </c>
      <c r="E10" s="31" t="inlineStr">
        <is>
          <t>fmcg</t>
        </is>
      </c>
      <c r="F10" s="31" t="inlineStr">
        <is>
          <t>solvent extraction</t>
        </is>
      </c>
      <c r="G10" s="31" t="inlineStr">
        <is>
          <t>smallcap</t>
        </is>
      </c>
      <c r="H10" s="32" t="n">
        <v>1519.03</v>
      </c>
      <c r="I10" s="32" t="n">
        <v>101</v>
      </c>
      <c r="J10" s="32" t="n">
        <v>1.25</v>
      </c>
      <c r="K10" s="32" t="n">
        <v>2324339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72.45999999999999</v>
      </c>
      <c r="P10" s="32" t="n">
        <v>55.52</v>
      </c>
      <c r="Q10" s="32" t="n">
        <v>76.05</v>
      </c>
      <c r="R10" s="31" t="inlineStr">
        <is>
          <t>Volume Spike &amp; Near 52W High Breakout</t>
        </is>
      </c>
      <c r="S10" s="31" t="inlineStr">
        <is>
          <t>Nifty FMCG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IF(B11=0,"",RANK(B11,$B$2:$B$171,0))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E2E</t>
        </is>
      </c>
      <c r="D11" s="31" t="inlineStr">
        <is>
          <t>E2E Networks Ltd</t>
        </is>
      </c>
      <c r="E11" s="31" t="inlineStr">
        <is>
          <t>i.t</t>
        </is>
      </c>
      <c r="F11" s="31" t="inlineStr">
        <is>
          <t>computers - software - medium / small</t>
        </is>
      </c>
      <c r="G11" s="31" t="inlineStr">
        <is>
          <t>midcap</t>
        </is>
      </c>
      <c r="H11" s="32" t="n">
        <v>14613.61</v>
      </c>
      <c r="I11" s="32" t="n">
        <v>694.85</v>
      </c>
      <c r="J11" s="32" t="n">
        <v>-2.26</v>
      </c>
      <c r="K11" s="32" t="n">
        <v>2362448</v>
      </c>
      <c r="L11" s="31" t="n">
        <v>90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73.87</v>
      </c>
      <c r="P11" s="32" t="n">
        <v>57.38</v>
      </c>
      <c r="Q11" s="32" t="n">
        <v>495.94</v>
      </c>
      <c r="R11" s="31" t="inlineStr">
        <is>
          <t>Volume Spike &amp; Near 52W High Breakout</t>
        </is>
      </c>
      <c r="S11" s="31" t="inlineStr">
        <is>
          <t>Nifty IT</t>
        </is>
      </c>
      <c r="T11" s="32" t="n">
        <v>-8.66</v>
      </c>
      <c r="U11" s="32" t="n">
        <v>114.37</v>
      </c>
      <c r="V11" s="32" t="n">
        <v>134.7</v>
      </c>
      <c r="W11" s="32" t="n">
        <v>36.44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IF(B12=0,"",RANK(B12,$B$2:$B$171,0))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PREMIERPOL</t>
        </is>
      </c>
      <c r="D12" s="31" t="inlineStr">
        <is>
          <t>Premier Polyfilm Limited</t>
        </is>
      </c>
      <c r="E12" s="31" t="inlineStr">
        <is>
          <t>plastic products</t>
        </is>
      </c>
      <c r="F12" s="31" t="inlineStr">
        <is>
          <t>plastics products</t>
        </is>
      </c>
      <c r="G12" s="31" t="inlineStr">
        <is>
          <t>smallcap</t>
        </is>
      </c>
      <c r="H12" s="32" t="n">
        <v>1111.63</v>
      </c>
      <c r="I12" s="32" t="n">
        <v>111.51</v>
      </c>
      <c r="J12" s="32" t="n">
        <v>5.07</v>
      </c>
      <c r="K12" s="32" t="n">
        <v>751419</v>
      </c>
      <c r="L12" s="31" t="n">
        <v>87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71.45999999999999</v>
      </c>
      <c r="P12" s="32" t="n">
        <v>60.71</v>
      </c>
      <c r="Q12" s="32" t="n">
        <v>76.64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-9.970000000000001</v>
      </c>
      <c r="U12" s="32" t="n">
        <v>153.66</v>
      </c>
      <c r="V12" s="32" t="n">
        <v>181.76</v>
      </c>
      <c r="W12" s="32" t="n">
        <v>32.4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IF(B13=0,"",RANK(B13,$B$2:$B$171,0))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TBZ</t>
        </is>
      </c>
      <c r="D13" s="31" t="inlineStr">
        <is>
          <t>Tribhovandas Bhimji Zaveri Limited</t>
        </is>
      </c>
      <c r="E13" s="31" t="inlineStr">
        <is>
          <t>consumer discretionary</t>
        </is>
      </c>
      <c r="F13" s="31" t="inlineStr">
        <is>
          <t>diamond cutting / jewellery</t>
        </is>
      </c>
      <c r="G13" s="31" t="inlineStr">
        <is>
          <t>smallcap</t>
        </is>
      </c>
      <c r="H13" s="32" t="n">
        <v>4824.62</v>
      </c>
      <c r="I13" s="32" t="n">
        <v>759.15</v>
      </c>
      <c r="J13" s="32" t="n">
        <v>5</v>
      </c>
      <c r="K13" s="32" t="n">
        <v>344428</v>
      </c>
      <c r="L13" s="31" t="n">
        <v>99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86.02</v>
      </c>
      <c r="P13" s="32" t="n">
        <v>66.22</v>
      </c>
      <c r="Q13" s="32" t="n">
        <v>569.27</v>
      </c>
      <c r="R13" s="31" t="inlineStr">
        <is>
          <t>Near 52W High Breakout</t>
        </is>
      </c>
      <c r="S13" s="31" t="inlineStr">
        <is>
          <t>Nifty 50</t>
        </is>
      </c>
      <c r="T13" s="32" t="n">
        <v>-9.970000000000001</v>
      </c>
      <c r="U13" s="32" t="n">
        <v>316.14</v>
      </c>
      <c r="V13" s="32" t="n">
        <v>362.23</v>
      </c>
      <c r="W13" s="32" t="n">
        <v>89.03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IF(B14=0,"",RANK(B14,$B$2:$B$171,0))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NRL</t>
        </is>
      </c>
      <c r="D14" s="31" t="inlineStr">
        <is>
          <t>Nupur Recyclers Ltd</t>
        </is>
      </c>
      <c r="E14" s="31" t="inlineStr">
        <is>
          <t>services</t>
        </is>
      </c>
      <c r="F14" s="31" t="inlineStr">
        <is>
          <t>trading</t>
        </is>
      </c>
      <c r="G14" s="31" t="inlineStr">
        <is>
          <t>smallcap</t>
        </is>
      </c>
      <c r="H14" s="32" t="n">
        <v>1143.37</v>
      </c>
      <c r="I14" s="32" t="n">
        <v>168.85</v>
      </c>
      <c r="J14" s="32" t="n">
        <v>2</v>
      </c>
      <c r="K14" s="32" t="n">
        <v>29508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88.56999999999999</v>
      </c>
      <c r="P14" s="32" t="n">
        <v>79.16</v>
      </c>
      <c r="Q14" s="32" t="n">
        <v>140.68</v>
      </c>
      <c r="R14" s="31" t="inlineStr">
        <is>
          <t>Near 52W High Breakout</t>
        </is>
      </c>
      <c r="S14" s="31" t="inlineStr">
        <is>
          <t>Nifty 50</t>
        </is>
      </c>
      <c r="T14" s="32" t="n">
        <v>-9.970000000000001</v>
      </c>
      <c r="U14" s="32" t="n">
        <v>152.24</v>
      </c>
      <c r="V14" s="32" t="n">
        <v>180.18</v>
      </c>
      <c r="W14" s="32" t="n">
        <v>38.14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IF(B15=0,"",RANK(B15,$B$2:$B$171,0))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VALIANTORG</t>
        </is>
      </c>
      <c r="D15" s="31" t="inlineStr">
        <is>
          <t>Valiant Organics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1312.86</v>
      </c>
      <c r="I15" s="32" t="n">
        <v>468.55</v>
      </c>
      <c r="J15" s="32" t="n">
        <v>0.05</v>
      </c>
      <c r="K15" s="32" t="n">
        <v>61006</v>
      </c>
      <c r="L15" s="31" t="n">
        <v>81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73.11</v>
      </c>
      <c r="P15" s="32" t="n">
        <v>51.26</v>
      </c>
      <c r="Q15" s="32" t="n">
        <v>345.02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-9.970000000000001</v>
      </c>
      <c r="U15" s="32" t="n">
        <v>60.38</v>
      </c>
      <c r="V15" s="32" t="n">
        <v>78.14</v>
      </c>
      <c r="W15" s="32" t="n">
        <v>27.97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IF(B16=0,"",RANK(B16,$B$2:$B$171,0))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DPABHUSHAN</t>
        </is>
      </c>
      <c r="D16" s="31" t="inlineStr">
        <is>
          <t>D.P. Abhushan Ltd</t>
        </is>
      </c>
      <c r="E16" s="31" t="inlineStr">
        <is>
          <t>consumer discretionary</t>
        </is>
      </c>
      <c r="F16" s="31" t="inlineStr">
        <is>
          <t>trading</t>
        </is>
      </c>
      <c r="G16" s="31" t="inlineStr">
        <is>
          <t>midcap</t>
        </is>
      </c>
      <c r="H16" s="32" t="n">
        <v>5461.58</v>
      </c>
      <c r="I16" s="32" t="n">
        <v>2293.5</v>
      </c>
      <c r="J16" s="32" t="n">
        <v>-4.14</v>
      </c>
      <c r="K16" s="32" t="n">
        <v>65834</v>
      </c>
      <c r="L16" s="31" t="n">
        <v>83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78.43000000000001</v>
      </c>
      <c r="P16" s="32" t="n">
        <v>43.21</v>
      </c>
      <c r="Q16" s="32" t="n">
        <v>1771.02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-9.970000000000001</v>
      </c>
      <c r="U16" s="32" t="n">
        <v>65</v>
      </c>
      <c r="V16" s="32" t="n">
        <v>83.28</v>
      </c>
      <c r="W16" s="32" t="n">
        <v>29.03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IF(B17=0,"",RANK(B17,$B$2:$B$171,0))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VENKEYS</t>
        </is>
      </c>
      <c r="D17" s="31" t="inlineStr">
        <is>
          <t>Venky's (india) Limited</t>
        </is>
      </c>
      <c r="E17" s="31" t="inlineStr">
        <is>
          <t>fmcg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2336.81</v>
      </c>
      <c r="I17" s="32" t="n">
        <v>1701.7</v>
      </c>
      <c r="J17" s="32" t="n">
        <v>2.59</v>
      </c>
      <c r="K17" s="32" t="n">
        <v>58868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59.87</v>
      </c>
      <c r="P17" s="32" t="n">
        <v>50.26</v>
      </c>
      <c r="Q17" s="32" t="n">
        <v>1398.41</v>
      </c>
      <c r="R17" s="31" t="inlineStr">
        <is>
          <t>Near 52W High Breakout</t>
        </is>
      </c>
      <c r="S17" s="31" t="inlineStr">
        <is>
          <t>Nifty FMCG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IF(B18=0,"",RANK(B18,$B$2:$B$171,0))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COFORGE</t>
        </is>
      </c>
      <c r="D18" s="31" t="inlineStr">
        <is>
          <t>Coforge (Niit Tech) Ltd</t>
        </is>
      </c>
      <c r="E18" s="31" t="inlineStr">
        <is>
          <t>i.t</t>
        </is>
      </c>
      <c r="F18" s="31" t="inlineStr">
        <is>
          <t>computers - software - large</t>
        </is>
      </c>
      <c r="G18" s="31" t="inlineStr">
        <is>
          <t>largecap</t>
        </is>
      </c>
      <c r="H18" s="32" t="n">
        <v>85629.67999999999</v>
      </c>
      <c r="I18" s="32" t="n">
        <v>1951.9</v>
      </c>
      <c r="J18" s="32" t="n">
        <v>0.91</v>
      </c>
      <c r="K18" s="32" t="n">
        <v>2071569</v>
      </c>
      <c r="L18" s="31" t="n">
        <v>41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65.48</v>
      </c>
      <c r="P18" s="32" t="n">
        <v>23.53</v>
      </c>
      <c r="Q18" s="32" t="n">
        <v>1635.66</v>
      </c>
      <c r="R18" s="31" t="inlineStr">
        <is>
          <t>Near 52W High Breakout</t>
        </is>
      </c>
      <c r="S18" s="31" t="inlineStr">
        <is>
          <t>Nifty IT</t>
        </is>
      </c>
      <c r="T18" s="32" t="n">
        <v>-8.66</v>
      </c>
      <c r="U18" s="32" t="n">
        <v>13.29</v>
      </c>
      <c r="V18" s="32" t="n">
        <v>24.03</v>
      </c>
      <c r="W18" s="32" t="n">
        <v>10.05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IF(B19=0,"",RANK(B19,$B$2:$B$171,0))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GLAND</t>
        </is>
      </c>
      <c r="D19" s="31" t="inlineStr">
        <is>
          <t>Gland Pharma Ltd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largecap</t>
        </is>
      </c>
      <c r="H19" s="32" t="n">
        <v>50581.59</v>
      </c>
      <c r="I19" s="32" t="n">
        <v>3043.4</v>
      </c>
      <c r="J19" s="32" t="n">
        <v>-0.75</v>
      </c>
      <c r="K19" s="32" t="n">
        <v>165156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72.26000000000001</v>
      </c>
      <c r="P19" s="32" t="n">
        <v>62.67</v>
      </c>
      <c r="Q19" s="32" t="n">
        <v>2525.01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15.85</v>
      </c>
      <c r="U19" s="32" t="n">
        <v>58.24</v>
      </c>
      <c r="V19" s="32" t="n">
        <v>36.59</v>
      </c>
      <c r="W19" s="32" t="n">
        <v>16.02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IF(B20=0,"",RANK(B20,$B$2:$B$171,0))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LLOYDSENGG</t>
        </is>
      </c>
      <c r="D20" s="31" t="inlineStr">
        <is>
          <t>Lloyds Engineering Works Ltd</t>
        </is>
      </c>
      <c r="E20" s="31" t="inlineStr">
        <is>
          <t>industrials</t>
        </is>
      </c>
      <c r="F20" s="31" t="inlineStr">
        <is>
          <t>engineering</t>
        </is>
      </c>
      <c r="G20" s="31" t="inlineStr">
        <is>
          <t>midcap</t>
        </is>
      </c>
      <c r="H20" s="32" t="n">
        <v>14174.94</v>
      </c>
      <c r="I20" s="32" t="n">
        <v>96.37</v>
      </c>
      <c r="J20" s="32" t="n">
        <v>5.45</v>
      </c>
      <c r="K20" s="32" t="n">
        <v>30533327</v>
      </c>
      <c r="L20" s="31" t="n">
        <v>56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65.05</v>
      </c>
      <c r="P20" s="32" t="n">
        <v>42.98</v>
      </c>
      <c r="Q20" s="32" t="n">
        <v>72.87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-9.970000000000001</v>
      </c>
      <c r="U20" s="32" t="n">
        <v>64.56999999999999</v>
      </c>
      <c r="V20" s="32" t="n">
        <v>82.8</v>
      </c>
      <c r="W20" s="32" t="n">
        <v>14.77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IF(B21=0,"",RANK(B21,$B$2:$B$171,0))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NITINSPIN</t>
        </is>
      </c>
      <c r="D21" s="31" t="inlineStr">
        <is>
          <t>Nitin Spinners Limited</t>
        </is>
      </c>
      <c r="E21" s="31" t="inlineStr">
        <is>
          <t>textiles</t>
        </is>
      </c>
      <c r="F21" s="31" t="inlineStr">
        <is>
          <t>textiles - cotton/blended</t>
        </is>
      </c>
      <c r="G21" s="31" t="inlineStr">
        <is>
          <t>smallcap</t>
        </is>
      </c>
      <c r="H21" s="32" t="n">
        <v>3495.2</v>
      </c>
      <c r="I21" s="32" t="n">
        <v>653.85</v>
      </c>
      <c r="J21" s="32" t="n">
        <v>5.17</v>
      </c>
      <c r="K21" s="32" t="n">
        <v>558125</v>
      </c>
      <c r="L21" s="31" t="n">
        <v>69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69.37</v>
      </c>
      <c r="P21" s="32" t="n">
        <v>52.51</v>
      </c>
      <c r="Q21" s="32" t="n">
        <v>518.92</v>
      </c>
      <c r="R21" s="31" t="inlineStr">
        <is>
          <t>Near 52W High Breakout</t>
        </is>
      </c>
      <c r="S21" s="31" t="inlineStr">
        <is>
          <t>Nifty 50</t>
        </is>
      </c>
      <c r="T21" s="32" t="n">
        <v>-9.970000000000001</v>
      </c>
      <c r="U21" s="32" t="n">
        <v>106.28</v>
      </c>
      <c r="V21" s="32" t="n">
        <v>129.12</v>
      </c>
      <c r="W21" s="32" t="n">
        <v>20.17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IF(B22=0,"",RANK(B22,$B$2:$B$171,0))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SSWL</t>
        </is>
      </c>
      <c r="D22" s="31" t="inlineStr">
        <is>
          <t>Steel Strips Wheels Limited</t>
        </is>
      </c>
      <c r="E22" s="31" t="inlineStr">
        <is>
          <t>auto</t>
        </is>
      </c>
      <c r="F22" s="31" t="inlineStr">
        <is>
          <t>auto ancillaries</t>
        </is>
      </c>
      <c r="G22" s="31" t="inlineStr">
        <is>
          <t>midcap</t>
        </is>
      </c>
      <c r="H22" s="32" t="n">
        <v>6331.23</v>
      </c>
      <c r="I22" s="32" t="n">
        <v>418.1</v>
      </c>
      <c r="J22" s="32" t="n">
        <v>3.8</v>
      </c>
      <c r="K22" s="32" t="n">
        <v>620474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84.41</v>
      </c>
      <c r="P22" s="32" t="n">
        <v>51.48</v>
      </c>
      <c r="Q22" s="32" t="n">
        <v>328.45</v>
      </c>
      <c r="R22" s="31" t="inlineStr">
        <is>
          <t>Near 52W High Breakout</t>
        </is>
      </c>
      <c r="S22" s="31" t="inlineStr">
        <is>
          <t>Nifty Auto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IF(B23=0,"",RANK(B23,$B$2:$B$171,0))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RPEL</t>
        </is>
      </c>
      <c r="D23" s="31" t="inlineStr">
        <is>
          <t>Raghav Productivity Enhancers Ltd</t>
        </is>
      </c>
      <c r="E23" s="31" t="inlineStr">
        <is>
          <t>building materials</t>
        </is>
      </c>
      <c r="F23" s="31" t="inlineStr">
        <is>
          <t>refractories / intermediates</t>
        </is>
      </c>
      <c r="G23" s="31" t="inlineStr">
        <is>
          <t>midcap</t>
        </is>
      </c>
      <c r="H23" s="32" t="n">
        <v>8033.59</v>
      </c>
      <c r="I23" s="32" t="n">
        <v>1811.5</v>
      </c>
      <c r="J23" s="32" t="n">
        <v>3.55</v>
      </c>
      <c r="K23" s="32" t="n">
        <v>146711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70.79000000000001</v>
      </c>
      <c r="P23" s="32" t="n">
        <v>61.66</v>
      </c>
      <c r="Q23" s="32" t="n">
        <v>1331.76</v>
      </c>
      <c r="R23" s="31" t="inlineStr">
        <is>
          <t>Near 52W High Breakout</t>
        </is>
      </c>
      <c r="S23" s="31" t="inlineStr">
        <is>
          <t>Nifty Infra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IF(B24=0,"",RANK(B24,$B$2:$B$171,0))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SPORTKING</t>
        </is>
      </c>
      <c r="D24" s="31" t="inlineStr">
        <is>
          <t>Sportking India Ltd</t>
        </is>
      </c>
      <c r="E24" s="31" t="inlineStr">
        <is>
          <t>textiles</t>
        </is>
      </c>
      <c r="F24" s="31" t="inlineStr">
        <is>
          <t>textiles - spinning - synthetic / blended</t>
        </is>
      </c>
      <c r="G24" s="31" t="inlineStr">
        <is>
          <t>smallcap</t>
        </is>
      </c>
      <c r="H24" s="32" t="n">
        <v>2762.04</v>
      </c>
      <c r="I24" s="32" t="n">
        <v>222.15</v>
      </c>
      <c r="J24" s="32" t="n">
        <v>2.2</v>
      </c>
      <c r="K24" s="32" t="n">
        <v>257083</v>
      </c>
      <c r="L24" s="31" t="n">
        <v>75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63.09</v>
      </c>
      <c r="P24" s="32" t="n">
        <v>63.03</v>
      </c>
      <c r="Q24" s="32" t="n">
        <v>167.1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-9.970000000000001</v>
      </c>
      <c r="U24" s="32" t="n">
        <v>133.9</v>
      </c>
      <c r="V24" s="32" t="n">
        <v>159.81</v>
      </c>
      <c r="W24" s="32" t="n">
        <v>24.29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IF(B25=0,"",RANK(B25,$B$2:$B$171,0))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GABRIEL</t>
        </is>
      </c>
      <c r="D25" s="31" t="inlineStr">
        <is>
          <t>Gabriel India Limited</t>
        </is>
      </c>
      <c r="E25" s="31" t="inlineStr">
        <is>
          <t>auto</t>
        </is>
      </c>
      <c r="F25" s="31" t="inlineStr">
        <is>
          <t>auto ancillaries</t>
        </is>
      </c>
      <c r="G25" s="31" t="inlineStr">
        <is>
          <t>largecap</t>
        </is>
      </c>
      <c r="H25" s="32" t="n">
        <v>27447.77</v>
      </c>
      <c r="I25" s="32" t="n">
        <v>1448.9</v>
      </c>
      <c r="J25" s="32" t="n">
        <v>1.16</v>
      </c>
      <c r="K25" s="32" t="n">
        <v>152555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63.75</v>
      </c>
      <c r="P25" s="32" t="n">
        <v>44.4</v>
      </c>
      <c r="Q25" s="32" t="n">
        <v>1166.22</v>
      </c>
      <c r="R25" s="31" t="inlineStr">
        <is>
          <t>Near 52W High Breakout</t>
        </is>
      </c>
      <c r="S25" s="31" t="inlineStr">
        <is>
          <t>Nifty Auto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IF(B26=0,"",RANK(B26,$B$2:$B$171,0))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CASTROLIND</t>
        </is>
      </c>
      <c r="D26" s="31" t="inlineStr">
        <is>
          <t>Castrol India Limited</t>
        </is>
      </c>
      <c r="E26" s="31" t="inlineStr">
        <is>
          <t>chemicals</t>
        </is>
      </c>
      <c r="F26" s="31" t="inlineStr">
        <is>
          <t>chemicals</t>
        </is>
      </c>
      <c r="G26" s="31" t="inlineStr">
        <is>
          <t>midcap</t>
        </is>
      </c>
      <c r="H26" s="32" t="n">
        <v>19409.55</v>
      </c>
      <c r="I26" s="32" t="n">
        <v>197.74</v>
      </c>
      <c r="J26" s="32" t="n">
        <v>0.77</v>
      </c>
      <c r="K26" s="32" t="n">
        <v>2150950</v>
      </c>
      <c r="L26" s="31" t="n">
        <v>18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65.16</v>
      </c>
      <c r="P26" s="32" t="n">
        <v>47.22</v>
      </c>
      <c r="Q26" s="32" t="n">
        <v>183.35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-9.970000000000001</v>
      </c>
      <c r="U26" s="32" t="n">
        <v>5.67</v>
      </c>
      <c r="V26" s="32" t="n">
        <v>17.37</v>
      </c>
      <c r="W26" s="32" t="n">
        <v>3.42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IF(B27=0,"",RANK(B27,$B$2:$B$171,0))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STOVEKRAFT</t>
        </is>
      </c>
      <c r="D27" s="31" t="inlineStr">
        <is>
          <t>Stove Kraft Ltd</t>
        </is>
      </c>
      <c r="E27" s="31" t="inlineStr">
        <is>
          <t>consumer discretionary</t>
        </is>
      </c>
      <c r="F27" s="31" t="inlineStr">
        <is>
          <t>domestic appliances</t>
        </is>
      </c>
      <c r="G27" s="31" t="inlineStr">
        <is>
          <t>smallcap</t>
        </is>
      </c>
      <c r="H27" s="32" t="n">
        <v>2800.88</v>
      </c>
      <c r="I27" s="32" t="n">
        <v>851.35</v>
      </c>
      <c r="J27" s="32" t="n">
        <v>0.63</v>
      </c>
      <c r="K27" s="32" t="n">
        <v>80138</v>
      </c>
      <c r="L27" s="31" t="n">
        <v>34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69.26000000000001</v>
      </c>
      <c r="P27" s="32" t="n">
        <v>43.05</v>
      </c>
      <c r="Q27" s="32" t="n">
        <v>672.6900000000001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-9.970000000000001</v>
      </c>
      <c r="U27" s="32" t="n">
        <v>24.17</v>
      </c>
      <c r="V27" s="32" t="n">
        <v>37.92</v>
      </c>
      <c r="W27" s="32" t="n">
        <v>8.550000000000001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IF(B28=0,"",RANK(B28,$B$2:$B$171,0))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CEIGALL</t>
        </is>
      </c>
      <c r="D28" s="31" t="inlineStr">
        <is>
          <t>Ceigall India Ltd</t>
        </is>
      </c>
      <c r="E28" s="31" t="inlineStr">
        <is>
          <t>realty</t>
        </is>
      </c>
      <c r="F28" s="31" t="inlineStr">
        <is>
          <t>construction</t>
        </is>
      </c>
      <c r="G28" s="31" t="inlineStr">
        <is>
          <t>midcap</t>
        </is>
      </c>
      <c r="H28" s="32" t="n">
        <v>6776.57</v>
      </c>
      <c r="I28" s="32" t="n">
        <v>391.45</v>
      </c>
      <c r="J28" s="32" t="n">
        <v>0.63</v>
      </c>
      <c r="K28" s="32" t="n">
        <v>303195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63.7</v>
      </c>
      <c r="P28" s="32" t="n">
        <v>22.03</v>
      </c>
      <c r="Q28" s="32" t="n">
        <v>310.46</v>
      </c>
      <c r="R28" s="31" t="inlineStr">
        <is>
          <t>Near 52W High Breakout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IF(B29=0,"",RANK(B29,$B$2:$B$171,0))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FILATEX</t>
        </is>
      </c>
      <c r="D29" s="31" t="inlineStr">
        <is>
          <t>Filatex India Limited</t>
        </is>
      </c>
      <c r="E29" s="31" t="inlineStr">
        <is>
          <t>textiles</t>
        </is>
      </c>
      <c r="F29" s="31" t="inlineStr">
        <is>
          <t>textiles - manmade</t>
        </is>
      </c>
      <c r="G29" s="31" t="inlineStr">
        <is>
          <t>smallcap</t>
        </is>
      </c>
      <c r="H29" s="32" t="n">
        <v>4706.13</v>
      </c>
      <c r="I29" s="32" t="n">
        <v>106.63</v>
      </c>
      <c r="J29" s="32" t="n">
        <v>0.61</v>
      </c>
      <c r="K29" s="32" t="n">
        <v>718261</v>
      </c>
      <c r="L29" s="31" t="n">
        <v>81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79.16</v>
      </c>
      <c r="P29" s="32" t="n">
        <v>55.98</v>
      </c>
      <c r="Q29" s="32" t="n">
        <v>81.19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-9.970000000000001</v>
      </c>
      <c r="U29" s="32" t="n">
        <v>93.42</v>
      </c>
      <c r="V29" s="32" t="n">
        <v>114.84</v>
      </c>
      <c r="W29" s="32" t="n">
        <v>27.88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IF(B30=0,"",RANK(B30,$B$2:$B$171,0))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SWANDEF</t>
        </is>
      </c>
      <c r="D30" s="31" t="inlineStr">
        <is>
          <t>Swan Defence and Heavy Industries Ltd</t>
        </is>
      </c>
      <c r="E30" s="31" t="inlineStr">
        <is>
          <t>transportation</t>
        </is>
      </c>
      <c r="F30" s="31" t="inlineStr">
        <is>
          <t>miscellaneous</t>
        </is>
      </c>
      <c r="G30" s="31" t="inlineStr">
        <is>
          <t>midcap</t>
        </is>
      </c>
      <c r="H30" s="32" t="n">
        <v>15513.84</v>
      </c>
      <c r="I30" s="32" t="n">
        <v>2944.7</v>
      </c>
      <c r="J30" s="32" t="n">
        <v>0</v>
      </c>
      <c r="K30" s="32" t="n">
        <v>10977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71.67</v>
      </c>
      <c r="P30" s="32" t="n">
        <v>57.06</v>
      </c>
      <c r="Q30" s="32" t="n">
        <v>2278.79</v>
      </c>
      <c r="R30" s="31" t="inlineStr">
        <is>
          <t>Near 52W High Breakout</t>
        </is>
      </c>
      <c r="S30" s="31" t="inlineStr">
        <is>
          <t>Nifty 50</t>
        </is>
      </c>
      <c r="T30" s="32" t="n">
        <v>-9.970000000000001</v>
      </c>
      <c r="U30" s="32" t="n">
        <v>340.82</v>
      </c>
      <c r="V30" s="32" t="n">
        <v>389.65</v>
      </c>
      <c r="W30" s="32" t="n">
        <v>52.05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Negative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IF(B31=0,"",RANK(B31,$B$2:$B$171,0))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ADVANCE</t>
        </is>
      </c>
      <c r="D31" s="31" t="inlineStr">
        <is>
          <t>Advance Agrolife Ltd</t>
        </is>
      </c>
      <c r="E31" s="31" t="inlineStr">
        <is>
          <t>chemicals</t>
        </is>
      </c>
      <c r="F31" s="31" t="inlineStr">
        <is>
          <t>pesticides / agrochemicals - indian</t>
        </is>
      </c>
      <c r="G31" s="31" t="inlineStr">
        <is>
          <t>smallcap</t>
        </is>
      </c>
      <c r="H31" s="32" t="n">
        <v>1018.48</v>
      </c>
      <c r="I31" s="32" t="n">
        <v>158.08</v>
      </c>
      <c r="J31" s="32" t="n">
        <v>-0.22</v>
      </c>
      <c r="K31" s="32" t="n">
        <v>1496517</v>
      </c>
      <c r="L31" s="31" t="n">
        <v>60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69.91</v>
      </c>
      <c r="P31" s="32" t="n">
        <v>21.67</v>
      </c>
      <c r="Q31" s="32" t="n">
        <v>115.95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-9.970000000000001</v>
      </c>
      <c r="U31" s="32" t="n">
        <v>45.21</v>
      </c>
      <c r="V31" s="32" t="n">
        <v>61.3</v>
      </c>
      <c r="W31" s="32" t="n">
        <v>16.72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IF(B32=0,"",RANK(B32,$B$2:$B$171,0))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KANORICHEM</t>
        </is>
      </c>
      <c r="D32" s="31" t="inlineStr">
        <is>
          <t>Kanoria Chemicals &amp; Industries Limited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smallcap</t>
        </is>
      </c>
      <c r="H32" s="32" t="n">
        <v>830.35</v>
      </c>
      <c r="I32" s="32" t="n">
        <v>187.7</v>
      </c>
      <c r="J32" s="32" t="n">
        <v>-1.23</v>
      </c>
      <c r="K32" s="32" t="n">
        <v>37994</v>
      </c>
      <c r="L32" s="31" t="n">
        <v>83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68.65000000000001</v>
      </c>
      <c r="P32" s="32" t="n">
        <v>69.22</v>
      </c>
      <c r="Q32" s="32" t="n">
        <v>142.62</v>
      </c>
      <c r="R32" s="31" t="inlineStr">
        <is>
          <t>Volume Spike / Accumulation</t>
        </is>
      </c>
      <c r="S32" s="31" t="inlineStr">
        <is>
          <t>Nifty 50</t>
        </is>
      </c>
      <c r="T32" s="32" t="n">
        <v>-9.970000000000001</v>
      </c>
      <c r="U32" s="32" t="n">
        <v>136.46</v>
      </c>
      <c r="V32" s="32" t="n">
        <v>162.65</v>
      </c>
      <c r="W32" s="32" t="n">
        <v>29.29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IF(B33=0,"",RANK(B33,$B$2:$B$171,0))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KRONOX</t>
        </is>
      </c>
      <c r="D33" s="31" t="inlineStr">
        <is>
          <t>Kronox Lab Sciences Ltd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smallcap</t>
        </is>
      </c>
      <c r="H33" s="32" t="n">
        <v>809.54</v>
      </c>
      <c r="I33" s="32" t="n">
        <v>209.15</v>
      </c>
      <c r="J33" s="32" t="n">
        <v>-4.14</v>
      </c>
      <c r="K33" s="32" t="n">
        <v>83343</v>
      </c>
      <c r="L33" s="31" t="n">
        <v>58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63.9</v>
      </c>
      <c r="P33" s="32" t="n">
        <v>53.34</v>
      </c>
      <c r="Q33" s="32" t="n">
        <v>145.79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-9.970000000000001</v>
      </c>
      <c r="U33" s="32" t="n">
        <v>38.49</v>
      </c>
      <c r="V33" s="32" t="n">
        <v>53.83</v>
      </c>
      <c r="W33" s="32" t="n">
        <v>15.7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Between 12 to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Between 1.5 to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IF(B34=0,"",RANK(B34,$B$2:$B$171,0))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63MOONS</t>
        </is>
      </c>
      <c r="D34" s="31" t="inlineStr">
        <is>
          <t>63 Moons Technologies Ltd</t>
        </is>
      </c>
      <c r="E34" s="31" t="inlineStr">
        <is>
          <t>i.t</t>
        </is>
      </c>
      <c r="F34" s="31" t="inlineStr">
        <is>
          <t>computers - software - medium / small</t>
        </is>
      </c>
      <c r="G34" s="31" t="inlineStr">
        <is>
          <t>smallcap</t>
        </is>
      </c>
      <c r="H34" s="32" t="n">
        <v>4243.14</v>
      </c>
      <c r="I34" s="32" t="n">
        <v>919.6</v>
      </c>
      <c r="J34" s="32" t="n">
        <v>-0.14</v>
      </c>
      <c r="K34" s="32" t="n">
        <v>507360</v>
      </c>
      <c r="L34" s="31" t="n">
        <v>38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60.57</v>
      </c>
      <c r="P34" s="32" t="n">
        <v>37.54</v>
      </c>
      <c r="Q34" s="32" t="n">
        <v>646.4</v>
      </c>
      <c r="R34" s="31" t="inlineStr">
        <is>
          <t>Volume Spike &amp; Near 52W High Breakout</t>
        </is>
      </c>
      <c r="S34" s="31" t="inlineStr">
        <is>
          <t>Nifty IT</t>
        </is>
      </c>
      <c r="T34" s="32" t="n">
        <v>-8.66</v>
      </c>
      <c r="U34" s="32" t="n">
        <v>16.32</v>
      </c>
      <c r="V34" s="32" t="n">
        <v>27.35</v>
      </c>
      <c r="W34" s="32" t="n">
        <v>9.43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IF(B35=0,"",RANK(B35,$B$2:$B$171,0))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DALMIASUG</t>
        </is>
      </c>
      <c r="D35" s="31" t="inlineStr">
        <is>
          <t>Dalmia Bharat Sugar And Industries Limited</t>
        </is>
      </c>
      <c r="E35" s="31" t="inlineStr">
        <is>
          <t>fmcg</t>
        </is>
      </c>
      <c r="F35" s="31" t="inlineStr">
        <is>
          <t>sugar</t>
        </is>
      </c>
      <c r="G35" s="31" t="inlineStr">
        <is>
          <t>smallcap</t>
        </is>
      </c>
      <c r="H35" s="32" t="n">
        <v>3904.11</v>
      </c>
      <c r="I35" s="32" t="n">
        <v>481.4</v>
      </c>
      <c r="J35" s="32" t="n">
        <v>-0.2</v>
      </c>
      <c r="K35" s="32" t="n">
        <v>179381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62.81</v>
      </c>
      <c r="P35" s="32" t="n">
        <v>41.97</v>
      </c>
      <c r="Q35" s="32" t="n">
        <v>351.89</v>
      </c>
      <c r="R35" s="31" t="inlineStr">
        <is>
          <t>Volume Spike &amp; Near 52W High Breakout</t>
        </is>
      </c>
      <c r="S35" s="31" t="inlineStr">
        <is>
          <t>Nifty FMCG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Less than 12%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IF(B36=0,"",RANK(B36,$B$2:$B$171,0))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MAWANASUG</t>
        </is>
      </c>
      <c r="D36" s="31" t="inlineStr">
        <is>
          <t>Mawana Sugars Limited</t>
        </is>
      </c>
      <c r="E36" s="31" t="inlineStr">
        <is>
          <t>fmcg</t>
        </is>
      </c>
      <c r="F36" s="31" t="inlineStr">
        <is>
          <t>sugar</t>
        </is>
      </c>
      <c r="G36" s="31" t="inlineStr">
        <is>
          <t>smallcap</t>
        </is>
      </c>
      <c r="H36" s="32" t="n">
        <v>675.04</v>
      </c>
      <c r="I36" s="32" t="n">
        <v>169.05</v>
      </c>
      <c r="J36" s="32" t="n">
        <v>-2.04</v>
      </c>
      <c r="K36" s="32" t="n">
        <v>132162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70.81999999999999</v>
      </c>
      <c r="P36" s="32" t="n">
        <v>46.26</v>
      </c>
      <c r="Q36" s="32" t="n">
        <v>117.97</v>
      </c>
      <c r="R36" s="31" t="inlineStr">
        <is>
          <t>Volume Spike &amp; Near 52W High Breakout</t>
        </is>
      </c>
      <c r="S36" s="31" t="inlineStr">
        <is>
          <t>Nifty FMCG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IF(B37=0,"",RANK(B37,$B$2:$B$171,0))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PCJEWELLER</t>
        </is>
      </c>
      <c r="D37" s="31" t="inlineStr">
        <is>
          <t>Pc Jeweller Limited</t>
        </is>
      </c>
      <c r="E37" s="31" t="inlineStr">
        <is>
          <t>consumer discretionary</t>
        </is>
      </c>
      <c r="F37" s="31" t="inlineStr">
        <is>
          <t>diamond cutting / jewellery</t>
        </is>
      </c>
      <c r="G37" s="31" t="inlineStr">
        <is>
          <t>midcap</t>
        </is>
      </c>
      <c r="H37" s="32" t="n">
        <v>14172.21</v>
      </c>
      <c r="I37" s="32" t="n">
        <v>16.28</v>
      </c>
      <c r="J37" s="32" t="n">
        <v>12.66</v>
      </c>
      <c r="K37" s="32" t="n">
        <v>1854200053</v>
      </c>
      <c r="L37" s="31" t="n">
        <v>72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71.55</v>
      </c>
      <c r="P37" s="32" t="n">
        <v>39.56</v>
      </c>
      <c r="Q37" s="32" t="n">
        <v>11.47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-9.970000000000001</v>
      </c>
      <c r="U37" s="32" t="n">
        <v>34.88</v>
      </c>
      <c r="V37" s="32" t="n">
        <v>49.82</v>
      </c>
      <c r="W37" s="32" t="n">
        <v>23.06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IF(B38=0,"",RANK(B38,$B$2:$B$171,0))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MVGJL</t>
        </is>
      </c>
      <c r="D38" s="31" t="inlineStr">
        <is>
          <t>Manoj Vaibhav Gems N Jewellers Ltd</t>
        </is>
      </c>
      <c r="E38" s="31" t="inlineStr">
        <is>
          <t>consumer discretionary</t>
        </is>
      </c>
      <c r="F38" s="31" t="inlineStr">
        <is>
          <t>diamond cutting / jewellery</t>
        </is>
      </c>
      <c r="G38" s="31" t="inlineStr">
        <is>
          <t>smallcap</t>
        </is>
      </c>
      <c r="H38" s="32" t="n">
        <v>1022.96</v>
      </c>
      <c r="I38" s="32" t="n">
        <v>225.27</v>
      </c>
      <c r="J38" s="32" t="n">
        <v>7.57</v>
      </c>
      <c r="K38" s="32" t="n">
        <v>1383314</v>
      </c>
      <c r="L38" s="31" t="n">
        <v>54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67.54000000000001</v>
      </c>
      <c r="P38" s="32" t="n">
        <v>25.84</v>
      </c>
      <c r="Q38" s="32" t="n">
        <v>160.9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-9.970000000000001</v>
      </c>
      <c r="U38" s="32" t="n">
        <v>20.49</v>
      </c>
      <c r="V38" s="32" t="n">
        <v>33.84</v>
      </c>
      <c r="W38" s="32" t="n">
        <v>14.46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IF(B39=0,"",RANK(B39,$B$2:$B$171,0))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SGMART</t>
        </is>
      </c>
      <c r="D39" s="31" t="inlineStr">
        <is>
          <t>SG Mart Ltd</t>
        </is>
      </c>
      <c r="E39" s="31" t="inlineStr">
        <is>
          <t>services</t>
        </is>
      </c>
      <c r="F39" s="31" t="inlineStr">
        <is>
          <t>trading</t>
        </is>
      </c>
      <c r="G39" s="31" t="inlineStr">
        <is>
          <t>midcap</t>
        </is>
      </c>
      <c r="H39" s="32" t="n">
        <v>9519.879999999999</v>
      </c>
      <c r="I39" s="32" t="n">
        <v>798.2</v>
      </c>
      <c r="J39" s="32" t="n">
        <v>5.71</v>
      </c>
      <c r="K39" s="32" t="n">
        <v>385388</v>
      </c>
      <c r="L39" s="31" t="n">
        <v>77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68.25</v>
      </c>
      <c r="P39" s="32" t="n">
        <v>62.55</v>
      </c>
      <c r="Q39" s="32" t="n">
        <v>643.35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-9.970000000000001</v>
      </c>
      <c r="U39" s="32" t="n">
        <v>131.63</v>
      </c>
      <c r="V39" s="32" t="n">
        <v>157.29</v>
      </c>
      <c r="W39" s="32" t="n">
        <v>25.35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IF(B40=0,"",RANK(B40,$B$2:$B$171,0))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RBZJEWEL</t>
        </is>
      </c>
      <c r="D40" s="31" t="inlineStr">
        <is>
          <t>RBZ Jewellers Ltd</t>
        </is>
      </c>
      <c r="E40" s="31" t="inlineStr">
        <is>
          <t>consumer discretionary</t>
        </is>
      </c>
      <c r="F40" s="31" t="inlineStr">
        <is>
          <t>diamond cutting / jewellery</t>
        </is>
      </c>
      <c r="G40" s="31" t="inlineStr">
        <is>
          <t>smallcap</t>
        </is>
      </c>
      <c r="H40" s="32" t="n">
        <v>759.6799999999999</v>
      </c>
      <c r="I40" s="32" t="n">
        <v>199.41</v>
      </c>
      <c r="J40" s="32" t="n">
        <v>5</v>
      </c>
      <c r="K40" s="32" t="n">
        <v>92437</v>
      </c>
      <c r="L40" s="31" t="n">
        <v>51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64.48</v>
      </c>
      <c r="P40" s="32" t="n">
        <v>36.95</v>
      </c>
      <c r="Q40" s="32" t="n">
        <v>142.26</v>
      </c>
      <c r="R40" s="31" t="inlineStr">
        <is>
          <t>Near 52W High Breakout</t>
        </is>
      </c>
      <c r="S40" s="31" t="inlineStr">
        <is>
          <t>Nifty 50</t>
        </is>
      </c>
      <c r="T40" s="32" t="n">
        <v>-9.970000000000001</v>
      </c>
      <c r="U40" s="32" t="n">
        <v>37.14</v>
      </c>
      <c r="V40" s="32" t="n">
        <v>52.33</v>
      </c>
      <c r="W40" s="32" t="n">
        <v>13.68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IF(B41=0,"",RANK(B41,$B$2:$B$171,0))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THELEELA</t>
        </is>
      </c>
      <c r="D41" s="31" t="inlineStr">
        <is>
          <t>Leela Palaces Hotels &amp; Resorts Ltd</t>
        </is>
      </c>
      <c r="E41" s="31" t="inlineStr">
        <is>
          <t>services</t>
        </is>
      </c>
      <c r="F41" s="31" t="inlineStr">
        <is>
          <t>hotels</t>
        </is>
      </c>
      <c r="G41" s="31" t="inlineStr">
        <is>
          <t>midcap</t>
        </is>
      </c>
      <c r="H41" s="32" t="n">
        <v>19920.59</v>
      </c>
      <c r="I41" s="32" t="n">
        <v>616.3</v>
      </c>
      <c r="J41" s="32" t="n">
        <v>3.32</v>
      </c>
      <c r="K41" s="32" t="n">
        <v>785589</v>
      </c>
      <c r="L41" s="31" t="n">
        <v>49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75.73</v>
      </c>
      <c r="P41" s="32" t="n">
        <v>43.42</v>
      </c>
      <c r="Q41" s="32" t="n">
        <v>497.13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-9.970000000000001</v>
      </c>
      <c r="U41" s="32" t="n">
        <v>39.54</v>
      </c>
      <c r="V41" s="32" t="n">
        <v>55</v>
      </c>
      <c r="W41" s="32" t="n">
        <v>12.84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IF(B42=0,"",RANK(B42,$B$2:$B$171,0))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DELTACORP</t>
        </is>
      </c>
      <c r="D42" s="31" t="inlineStr">
        <is>
          <t>Delta Corp Limited</t>
        </is>
      </c>
      <c r="E42" s="31" t="inlineStr">
        <is>
          <t>miscellaneous</t>
        </is>
      </c>
      <c r="F42" s="31" t="inlineStr">
        <is>
          <t>recreation / amusement parks</t>
        </is>
      </c>
      <c r="G42" s="31" t="inlineStr">
        <is>
          <t>smallcap</t>
        </is>
      </c>
      <c r="H42" s="32" t="n">
        <v>2134.67</v>
      </c>
      <c r="I42" s="32" t="n">
        <v>81.04000000000001</v>
      </c>
      <c r="J42" s="32" t="n">
        <v>1.66</v>
      </c>
      <c r="K42" s="32" t="n">
        <v>4870876</v>
      </c>
      <c r="L42" s="31" t="n">
        <v>28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65.02</v>
      </c>
      <c r="P42" s="32" t="n">
        <v>26.27</v>
      </c>
      <c r="Q42" s="32" t="n">
        <v>57.36</v>
      </c>
      <c r="R42" s="31" t="inlineStr">
        <is>
          <t>Near 52W High Breakout</t>
        </is>
      </c>
      <c r="S42" s="31" t="inlineStr">
        <is>
          <t>Nifty 50</t>
        </is>
      </c>
      <c r="T42" s="32" t="n">
        <v>-9.970000000000001</v>
      </c>
      <c r="U42" s="32" t="n">
        <v>3.2</v>
      </c>
      <c r="V42" s="32" t="n">
        <v>14.63</v>
      </c>
      <c r="W42" s="32" t="n">
        <v>7.02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IF(B43=0,"",RANK(B43,$B$2:$B$171,0))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HITECHCORP</t>
        </is>
      </c>
      <c r="D43" s="31" t="inlineStr">
        <is>
          <t>Hitech Corporation</t>
        </is>
      </c>
      <c r="E43" s="31" t="inlineStr">
        <is>
          <t>industrials</t>
        </is>
      </c>
      <c r="F43" s="31" t="inlineStr">
        <is>
          <t>packaging</t>
        </is>
      </c>
      <c r="G43" s="31" t="inlineStr">
        <is>
          <t>smallcap</t>
        </is>
      </c>
      <c r="H43" s="32" t="n">
        <v>706.6900000000001</v>
      </c>
      <c r="I43" s="32" t="n">
        <v>413.75</v>
      </c>
      <c r="J43" s="32" t="n">
        <v>0.5600000000000001</v>
      </c>
      <c r="K43" s="32" t="n">
        <v>19612</v>
      </c>
      <c r="L43" s="31" t="n">
        <v>85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87.89</v>
      </c>
      <c r="P43" s="32" t="n">
        <v>66.41</v>
      </c>
      <c r="Q43" s="32" t="n">
        <v>346.34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-9.970000000000001</v>
      </c>
      <c r="U43" s="32" t="n">
        <v>120.04</v>
      </c>
      <c r="V43" s="32" t="n">
        <v>144.42</v>
      </c>
      <c r="W43" s="32" t="n">
        <v>31.17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IF(B44=0,"",RANK(B44,$B$2:$B$171,0))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MATRIMONY</t>
        </is>
      </c>
      <c r="D44" s="31" t="inlineStr">
        <is>
          <t>Matrimony.com Ltd</t>
        </is>
      </c>
      <c r="E44" s="31" t="inlineStr">
        <is>
          <t>miscellaneous</t>
        </is>
      </c>
      <c r="F44" s="31" t="inlineStr">
        <is>
          <t>miscellaneous</t>
        </is>
      </c>
      <c r="G44" s="31" t="inlineStr">
        <is>
          <t>smallcap</t>
        </is>
      </c>
      <c r="H44" s="32" t="n">
        <v>1109.85</v>
      </c>
      <c r="I44" s="32" t="n">
        <v>538.85</v>
      </c>
      <c r="J44" s="32" t="n">
        <v>0.37</v>
      </c>
      <c r="K44" s="32" t="n">
        <v>7298</v>
      </c>
      <c r="L44" s="31" t="n">
        <v>31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61.28</v>
      </c>
      <c r="P44" s="32" t="n">
        <v>44.82</v>
      </c>
      <c r="Q44" s="32" t="n">
        <v>411.91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-9.970000000000001</v>
      </c>
      <c r="U44" s="32" t="n">
        <v>7.78</v>
      </c>
      <c r="V44" s="32" t="n">
        <v>19.72</v>
      </c>
      <c r="W44" s="32" t="n">
        <v>8.08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IF(B45=0,"",RANK(B45,$B$2:$B$171,0))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TATVA</t>
        </is>
      </c>
      <c r="D45" s="31" t="inlineStr">
        <is>
          <t>Tatva Chintan Pharma Chem Ltd</t>
        </is>
      </c>
      <c r="E45" s="31" t="inlineStr">
        <is>
          <t>chemicals</t>
        </is>
      </c>
      <c r="F45" s="31" t="inlineStr">
        <is>
          <t>chemicals</t>
        </is>
      </c>
      <c r="G45" s="31" t="inlineStr">
        <is>
          <t>smallcap</t>
        </is>
      </c>
      <c r="H45" s="32" t="n">
        <v>4539.7</v>
      </c>
      <c r="I45" s="32" t="n">
        <v>1944</v>
      </c>
      <c r="J45" s="32" t="n">
        <v>0.17</v>
      </c>
      <c r="K45" s="32" t="n">
        <v>84327</v>
      </c>
      <c r="L45" s="31" t="n">
        <v>59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71.16</v>
      </c>
      <c r="P45" s="32" t="n">
        <v>44.12</v>
      </c>
      <c r="Q45" s="32" t="n">
        <v>1455.25</v>
      </c>
      <c r="R45" s="31" t="inlineStr">
        <is>
          <t>Near 52W High Breakout</t>
        </is>
      </c>
      <c r="S45" s="31" t="inlineStr">
        <is>
          <t>Nifty 50</t>
        </is>
      </c>
      <c r="T45" s="32" t="n">
        <v>-9.970000000000001</v>
      </c>
      <c r="U45" s="32" t="n">
        <v>46.4</v>
      </c>
      <c r="V45" s="32" t="n">
        <v>62.61</v>
      </c>
      <c r="W45" s="32" t="n">
        <v>16.15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IF(B46=0,"",RANK(B46,$B$2:$B$171,0))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ZIMLAB</t>
        </is>
      </c>
      <c r="D46" s="31" t="inlineStr">
        <is>
          <t>Zim Laboratories Ltd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smallcap</t>
        </is>
      </c>
      <c r="H46" s="32" t="n">
        <v>752.83</v>
      </c>
      <c r="I46" s="32" t="n">
        <v>144.76</v>
      </c>
      <c r="J46" s="32" t="n">
        <v>3.18</v>
      </c>
      <c r="K46" s="32" t="n">
        <v>175033</v>
      </c>
      <c r="L46" s="31" t="n">
        <v>71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68.75</v>
      </c>
      <c r="P46" s="32" t="n">
        <v>58.67</v>
      </c>
      <c r="Q46" s="32" t="n">
        <v>108.89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15.85</v>
      </c>
      <c r="U46" s="32" t="n">
        <v>111.51</v>
      </c>
      <c r="V46" s="32" t="n">
        <v>82.56999999999999</v>
      </c>
      <c r="W46" s="32" t="n">
        <v>21.55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IF(B47=0,"",RANK(B47,$B$2:$B$171,0))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SUNTV</t>
        </is>
      </c>
      <c r="D47" s="31" t="inlineStr">
        <is>
          <t>Sun Tv Network Limited</t>
        </is>
      </c>
      <c r="E47" s="31" t="inlineStr">
        <is>
          <t>media</t>
        </is>
      </c>
      <c r="F47" s="31" t="inlineStr">
        <is>
          <t>entertainment / electronic media software</t>
        </is>
      </c>
      <c r="G47" s="31" t="inlineStr">
        <is>
          <t>largecap</t>
        </is>
      </c>
      <c r="H47" s="32" t="n">
        <v>24793.83</v>
      </c>
      <c r="I47" s="32" t="n">
        <v>638</v>
      </c>
      <c r="J47" s="32" t="n">
        <v>1.41</v>
      </c>
      <c r="K47" s="32" t="n">
        <v>555965</v>
      </c>
      <c r="L47" s="31" t="n">
        <v>42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68.62</v>
      </c>
      <c r="P47" s="32" t="n">
        <v>23.49</v>
      </c>
      <c r="Q47" s="32" t="n">
        <v>499.66</v>
      </c>
      <c r="R47" s="31" t="inlineStr">
        <is>
          <t>Near 52W High Breakout</t>
        </is>
      </c>
      <c r="S47" s="31" t="inlineStr">
        <is>
          <t>Nifty IT</t>
        </is>
      </c>
      <c r="T47" s="32" t="n">
        <v>-8.66</v>
      </c>
      <c r="U47" s="32" t="n">
        <v>15.02</v>
      </c>
      <c r="V47" s="32" t="n">
        <v>25.92</v>
      </c>
      <c r="W47" s="32" t="n">
        <v>10.26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IF(B48=0,"",RANK(B48,$B$2:$B$171,0))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CUPID</t>
        </is>
      </c>
      <c r="D48" s="31" t="inlineStr">
        <is>
          <t>Cupid Limited</t>
        </is>
      </c>
      <c r="E48" s="31" t="inlineStr">
        <is>
          <t>fmcg</t>
        </is>
      </c>
      <c r="F48" s="31" t="inlineStr">
        <is>
          <t>personal care - indian</t>
        </is>
      </c>
      <c r="G48" s="31" t="inlineStr">
        <is>
          <t>largecap</t>
        </is>
      </c>
      <c r="H48" s="32" t="n">
        <v>47399.29</v>
      </c>
      <c r="I48" s="32" t="n">
        <v>353.7</v>
      </c>
      <c r="J48" s="32" t="n">
        <v>0.34</v>
      </c>
      <c r="K48" s="32" t="n">
        <v>15386844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81.79000000000001</v>
      </c>
      <c r="P48" s="32" t="n">
        <v>65.09999999999999</v>
      </c>
      <c r="Q48" s="32" t="n">
        <v>281.76</v>
      </c>
      <c r="R48" s="31" t="inlineStr">
        <is>
          <t>Near 52W High Breakout</t>
        </is>
      </c>
      <c r="S48" s="31" t="inlineStr">
        <is>
          <t>Nifty FMCG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IF(B49=0,"",RANK(B49,$B$2:$B$171,0))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ONEPOINT</t>
        </is>
      </c>
      <c r="D49" s="31" t="inlineStr">
        <is>
          <t>One Point One Solutions Ltd</t>
        </is>
      </c>
      <c r="E49" s="31" t="inlineStr">
        <is>
          <t>i.t</t>
        </is>
      </c>
      <c r="F49" s="31" t="inlineStr">
        <is>
          <t>computers - software - medium / small</t>
        </is>
      </c>
      <c r="G49" s="31" t="inlineStr">
        <is>
          <t>smallcap</t>
        </is>
      </c>
      <c r="H49" s="32" t="n">
        <v>2228.92</v>
      </c>
      <c r="I49" s="32" t="n">
        <v>84.98</v>
      </c>
      <c r="J49" s="32" t="n">
        <v>0.25</v>
      </c>
      <c r="K49" s="32" t="n">
        <v>1236491</v>
      </c>
      <c r="L49" s="31" t="n">
        <v>80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78.97</v>
      </c>
      <c r="P49" s="32" t="n">
        <v>23.73</v>
      </c>
      <c r="Q49" s="32" t="n">
        <v>67.78</v>
      </c>
      <c r="R49" s="31" t="inlineStr">
        <is>
          <t>Near 52W High Breakout</t>
        </is>
      </c>
      <c r="S49" s="31" t="inlineStr">
        <is>
          <t>Nifty IT</t>
        </is>
      </c>
      <c r="T49" s="32" t="n">
        <v>-8.66</v>
      </c>
      <c r="U49" s="32" t="n">
        <v>90.79000000000001</v>
      </c>
      <c r="V49" s="32" t="n">
        <v>108.88</v>
      </c>
      <c r="W49" s="32" t="n">
        <v>26.97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IF(B50=0,"",RANK(B50,$B$2:$B$171,0))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OAL</t>
        </is>
      </c>
      <c r="D50" s="31" t="inlineStr">
        <is>
          <t>Oriental Aromatics Ltd</t>
        </is>
      </c>
      <c r="E50" s="31" t="inlineStr">
        <is>
          <t>chemicals</t>
        </is>
      </c>
      <c r="F50" s="31" t="inlineStr">
        <is>
          <t>chemicals</t>
        </is>
      </c>
      <c r="G50" s="31" t="inlineStr">
        <is>
          <t>smallcap</t>
        </is>
      </c>
      <c r="H50" s="32" t="n">
        <v>1949.05</v>
      </c>
      <c r="I50" s="32" t="n">
        <v>629.55</v>
      </c>
      <c r="J50" s="32" t="n">
        <v>8.699999999999999</v>
      </c>
      <c r="K50" s="32" t="n">
        <v>1100954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79.23</v>
      </c>
      <c r="P50" s="32" t="n">
        <v>44.87</v>
      </c>
      <c r="Q50" s="32" t="n">
        <v>462.42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-9.970000000000001</v>
      </c>
      <c r="U50" s="32" t="n">
        <v>86.94</v>
      </c>
      <c r="V50" s="32" t="n">
        <v>107.65</v>
      </c>
      <c r="W50" s="32" t="n">
        <v>32.37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IF(B51=0,"",RANK(B51,$B$2:$B$171,0))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SHRIPISTON</t>
        </is>
      </c>
      <c r="D51" s="31" t="inlineStr">
        <is>
          <t>Shriram Pistons &amp; Rings Limited</t>
        </is>
      </c>
      <c r="E51" s="31" t="inlineStr">
        <is>
          <t>auto</t>
        </is>
      </c>
      <c r="F51" s="31" t="inlineStr">
        <is>
          <t>auto ancillaries</t>
        </is>
      </c>
      <c r="G51" s="31" t="inlineStr">
        <is>
          <t>largecap</t>
        </is>
      </c>
      <c r="H51" s="32" t="n">
        <v>20099.17</v>
      </c>
      <c r="I51" s="32" t="n">
        <v>4629.9</v>
      </c>
      <c r="J51" s="32" t="n">
        <v>6.85</v>
      </c>
      <c r="K51" s="32" t="n">
        <v>168717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63.12</v>
      </c>
      <c r="P51" s="32" t="n">
        <v>53.89</v>
      </c>
      <c r="Q51" s="32" t="n">
        <v>3760.79</v>
      </c>
      <c r="R51" s="31" t="inlineStr">
        <is>
          <t>Near 52W High Breakout</t>
        </is>
      </c>
      <c r="S51" s="31" t="inlineStr">
        <is>
          <t>Nifty Auto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IF(B52=0,"",RANK(B52,$B$2:$B$171,0))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SKYGOLD</t>
        </is>
      </c>
      <c r="D52" s="31" t="inlineStr">
        <is>
          <t>Sky Gold Ltd</t>
        </is>
      </c>
      <c r="E52" s="31" t="inlineStr">
        <is>
          <t>consumer discretionary</t>
        </is>
      </c>
      <c r="F52" s="31" t="inlineStr">
        <is>
          <t>diamond cutting / jewellery</t>
        </is>
      </c>
      <c r="G52" s="31" t="inlineStr">
        <is>
          <t>midcap</t>
        </is>
      </c>
      <c r="H52" s="32" t="n">
        <v>15509.85</v>
      </c>
      <c r="I52" s="32" t="n">
        <v>1060.6</v>
      </c>
      <c r="J52" s="32" t="n">
        <v>5.91</v>
      </c>
      <c r="K52" s="32" t="n">
        <v>2530213</v>
      </c>
      <c r="L52" s="31" t="n">
        <v>95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83.75</v>
      </c>
      <c r="P52" s="32" t="n">
        <v>69.59999999999999</v>
      </c>
      <c r="Q52" s="32" t="n">
        <v>829.1799999999999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-9.970000000000001</v>
      </c>
      <c r="U52" s="32" t="n">
        <v>217.45</v>
      </c>
      <c r="V52" s="32" t="n">
        <v>252.61</v>
      </c>
      <c r="W52" s="32" t="n">
        <v>43.13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IF(B53=0,"",RANK(B53,$B$2:$B$171,0))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cables - telephone</t>
        </is>
      </c>
      <c r="G53" s="31" t="inlineStr">
        <is>
          <t>largecap</t>
        </is>
      </c>
      <c r="H53" s="32" t="n">
        <v>37319.15</v>
      </c>
      <c r="I53" s="32" t="n">
        <v>256.01</v>
      </c>
      <c r="J53" s="32" t="n">
        <v>5</v>
      </c>
      <c r="K53" s="32" t="n">
        <v>8411757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69.45999999999999</v>
      </c>
      <c r="P53" s="32" t="n">
        <v>48.32</v>
      </c>
      <c r="Q53" s="32" t="n">
        <v>184.9</v>
      </c>
      <c r="R53" s="31" t="inlineStr">
        <is>
          <t>Near 52W High Breakout</t>
        </is>
      </c>
      <c r="S53" s="31" t="inlineStr">
        <is>
          <t>Nifty Infra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IF(B54=0,"",RANK(B54,$B$2:$B$171,0))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OPTIEMUS</t>
        </is>
      </c>
      <c r="D54" s="31" t="inlineStr">
        <is>
          <t>Optiemus Infracom Ltd</t>
        </is>
      </c>
      <c r="E54" s="31" t="inlineStr">
        <is>
          <t>telecom</t>
        </is>
      </c>
      <c r="F54" s="31" t="inlineStr">
        <is>
          <t>trading</t>
        </is>
      </c>
      <c r="G54" s="31" t="inlineStr">
        <is>
          <t>midcap</t>
        </is>
      </c>
      <c r="H54" s="32" t="n">
        <v>6852.65</v>
      </c>
      <c r="I54" s="32" t="n">
        <v>788.65</v>
      </c>
      <c r="J54" s="32" t="n">
        <v>3.77</v>
      </c>
      <c r="K54" s="32" t="n">
        <v>610376</v>
      </c>
      <c r="L54" s="31" t="n">
        <v>55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72.34999999999999</v>
      </c>
      <c r="P54" s="32" t="n">
        <v>46.56</v>
      </c>
      <c r="Q54" s="32" t="n">
        <v>593.1900000000001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-9.970000000000001</v>
      </c>
      <c r="U54" s="32" t="n">
        <v>25.51</v>
      </c>
      <c r="V54" s="32" t="n">
        <v>39.41</v>
      </c>
      <c r="W54" s="32" t="n">
        <v>14.72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IF(B55=0,"",RANK(B55,$B$2:$B$171,0))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KMEW</t>
        </is>
      </c>
      <c r="D55" s="31" t="inlineStr">
        <is>
          <t>Knowledge Marine &amp; Engineering Works Ltd</t>
        </is>
      </c>
      <c r="E55" s="31" t="inlineStr">
        <is>
          <t>transportation</t>
        </is>
      </c>
      <c r="F55" s="31" t="inlineStr">
        <is>
          <t>miscellaneous</t>
        </is>
      </c>
      <c r="G55" s="31" t="inlineStr">
        <is>
          <t>midcap</t>
        </is>
      </c>
      <c r="H55" s="32" t="n">
        <v>8173.33</v>
      </c>
      <c r="I55" s="32" t="n">
        <v>3327.7</v>
      </c>
      <c r="J55" s="32" t="n">
        <v>2.63</v>
      </c>
      <c r="K55" s="32" t="n">
        <v>103405</v>
      </c>
      <c r="L55" s="31" t="n">
        <v>88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79.55</v>
      </c>
      <c r="P55" s="32" t="n">
        <v>58.88</v>
      </c>
      <c r="Q55" s="32" t="n">
        <v>2471.98</v>
      </c>
      <c r="R55" s="31" t="inlineStr">
        <is>
          <t>Near 52W High Breakout</t>
        </is>
      </c>
      <c r="S55" s="31" t="inlineStr">
        <is>
          <t>Nifty 50</t>
        </is>
      </c>
      <c r="T55" s="32" t="n">
        <v>-9.970000000000001</v>
      </c>
      <c r="U55" s="32" t="n">
        <v>202.7</v>
      </c>
      <c r="V55" s="32" t="n">
        <v>236.22</v>
      </c>
      <c r="W55" s="32" t="n">
        <v>35.52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IF(B56=0,"",RANK(B56,$B$2:$B$171,0))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WHEELS</t>
        </is>
      </c>
      <c r="D56" s="31" t="inlineStr">
        <is>
          <t>Wheels India Limited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midcap</t>
        </is>
      </c>
      <c r="H56" s="32" t="n">
        <v>6445.62</v>
      </c>
      <c r="I56" s="32" t="n">
        <v>2452.7</v>
      </c>
      <c r="J56" s="32" t="n">
        <v>2.22</v>
      </c>
      <c r="K56" s="32" t="n">
        <v>91941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77.56999999999999</v>
      </c>
      <c r="P56" s="32" t="n">
        <v>61.92</v>
      </c>
      <c r="Q56" s="32" t="n">
        <v>1828.5</v>
      </c>
      <c r="R56" s="31" t="inlineStr">
        <is>
          <t>Near 52W High Breakout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IF(B57=0,"",RANK(B57,$B$2:$B$171,0))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WSTCSTPAPR</t>
        </is>
      </c>
      <c r="D57" s="31" t="inlineStr">
        <is>
          <t>West Coast Paper Mills Limited</t>
        </is>
      </c>
      <c r="E57" s="31" t="inlineStr">
        <is>
          <t>building materials</t>
        </is>
      </c>
      <c r="F57" s="31" t="inlineStr">
        <is>
          <t>paper</t>
        </is>
      </c>
      <c r="G57" s="31" t="inlineStr">
        <is>
          <t>midcap</t>
        </is>
      </c>
      <c r="H57" s="32" t="n">
        <v>5431.86</v>
      </c>
      <c r="I57" s="32" t="n">
        <v>840</v>
      </c>
      <c r="J57" s="32" t="n">
        <v>2.14</v>
      </c>
      <c r="K57" s="32" t="n">
        <v>2630701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78.76000000000001</v>
      </c>
      <c r="P57" s="32" t="n">
        <v>67.01000000000001</v>
      </c>
      <c r="Q57" s="32" t="n">
        <v>639.35</v>
      </c>
      <c r="R57" s="31" t="inlineStr">
        <is>
          <t>Volume Spike &amp; Near 52W High Breakout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IF(B58=0,"",RANK(B58,$B$2:$B$171,0))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EMAMIPAP</t>
        </is>
      </c>
      <c r="D58" s="31" t="inlineStr">
        <is>
          <t>Emami Paper Mills Ltd</t>
        </is>
      </c>
      <c r="E58" s="31" t="inlineStr">
        <is>
          <t>building materials</t>
        </is>
      </c>
      <c r="F58" s="31" t="inlineStr">
        <is>
          <t>paper</t>
        </is>
      </c>
      <c r="G58" s="31" t="inlineStr">
        <is>
          <t>smallcap</t>
        </is>
      </c>
      <c r="H58" s="32" t="n">
        <v>735.67</v>
      </c>
      <c r="I58" s="32" t="n">
        <v>121.48</v>
      </c>
      <c r="J58" s="32" t="n">
        <v>-0.1</v>
      </c>
      <c r="K58" s="32" t="n">
        <v>26942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70.15000000000001</v>
      </c>
      <c r="P58" s="32" t="n">
        <v>43.73</v>
      </c>
      <c r="Q58" s="32" t="n">
        <v>91.81</v>
      </c>
      <c r="R58" s="31" t="inlineStr">
        <is>
          <t>Near 52W High Breakout</t>
        </is>
      </c>
      <c r="S58" s="31" t="inlineStr">
        <is>
          <t>Nifty Infra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More than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IF(B59=0,"",RANK(B59,$B$2:$B$171,0))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TCPLPACK</t>
        </is>
      </c>
      <c r="D59" s="31" t="inlineStr">
        <is>
          <t>TCPL Packaging Ltd</t>
        </is>
      </c>
      <c r="E59" s="31" t="inlineStr">
        <is>
          <t>industrials</t>
        </is>
      </c>
      <c r="F59" s="31" t="inlineStr">
        <is>
          <t>packaging</t>
        </is>
      </c>
      <c r="G59" s="31" t="inlineStr">
        <is>
          <t>smallcap</t>
        </is>
      </c>
      <c r="H59" s="32" t="n">
        <v>4081.35</v>
      </c>
      <c r="I59" s="32" t="n">
        <v>4316.8</v>
      </c>
      <c r="J59" s="32" t="n">
        <v>-3.75</v>
      </c>
      <c r="K59" s="32" t="n">
        <v>8049</v>
      </c>
      <c r="L59" s="31" t="n">
        <v>50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68.34999999999999</v>
      </c>
      <c r="P59" s="32" t="n">
        <v>52.76</v>
      </c>
      <c r="Q59" s="32" t="n">
        <v>3305.47</v>
      </c>
      <c r="R59" s="31" t="inlineStr">
        <is>
          <t>Near 52W High Breakout</t>
        </is>
      </c>
      <c r="S59" s="31" t="inlineStr">
        <is>
          <t>Nifty 50</t>
        </is>
      </c>
      <c r="T59" s="32" t="n">
        <v>-9.970000000000001</v>
      </c>
      <c r="U59" s="32" t="n">
        <v>22.7</v>
      </c>
      <c r="V59" s="32" t="n">
        <v>36.29</v>
      </c>
      <c r="W59" s="32" t="n">
        <v>13.09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IF(B60=0,"",RANK(B60,$B$2:$B$171,0))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NRAIL</t>
        </is>
      </c>
      <c r="D60" s="31" t="inlineStr">
        <is>
          <t>N R Agarwal Industries Ltd</t>
        </is>
      </c>
      <c r="E60" s="31" t="inlineStr">
        <is>
          <t>building materials</t>
        </is>
      </c>
      <c r="F60" s="31" t="inlineStr">
        <is>
          <t>paper</t>
        </is>
      </c>
      <c r="G60" s="31" t="inlineStr">
        <is>
          <t>smallcap</t>
        </is>
      </c>
      <c r="H60" s="32" t="n">
        <v>1296</v>
      </c>
      <c r="I60" s="32" t="n">
        <v>731.75</v>
      </c>
      <c r="J60" s="32" t="n">
        <v>-3.91</v>
      </c>
      <c r="K60" s="32" t="n">
        <v>32353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72.55</v>
      </c>
      <c r="P60" s="32" t="n">
        <v>51.3</v>
      </c>
      <c r="Q60" s="32" t="n">
        <v>521.74</v>
      </c>
      <c r="R60" s="31" t="inlineStr">
        <is>
          <t>Volume Spike &amp; Near 52W High Breakout</t>
        </is>
      </c>
      <c r="S60" s="31" t="inlineStr">
        <is>
          <t>Nifty Infra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IF(B61=0,"",RANK(B61,$B$2:$B$171,0))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BLUSPRING</t>
        </is>
      </c>
      <c r="D61" s="31" t="inlineStr">
        <is>
          <t>Bluspring Enterprises Ltd</t>
        </is>
      </c>
      <c r="E61" s="31" t="inlineStr">
        <is>
          <t>miscellaneous</t>
        </is>
      </c>
      <c r="F61" s="31" t="inlineStr">
        <is>
          <t>diversified - large</t>
        </is>
      </c>
      <c r="G61" s="31" t="inlineStr">
        <is>
          <t>smallcap</t>
        </is>
      </c>
      <c r="H61" s="32" t="n">
        <v>2581.6</v>
      </c>
      <c r="I61" s="32" t="n">
        <v>165.19</v>
      </c>
      <c r="J61" s="32" t="n">
        <v>-4.34</v>
      </c>
      <c r="K61" s="32" t="n">
        <v>556087</v>
      </c>
      <c r="L61" s="31" t="n">
        <v>84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75.01000000000001</v>
      </c>
      <c r="P61" s="32" t="n">
        <v>59</v>
      </c>
      <c r="Q61" s="32" t="n">
        <v>113.64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-9.970000000000001</v>
      </c>
      <c r="U61" s="32" t="n">
        <v>106.8</v>
      </c>
      <c r="V61" s="32" t="n">
        <v>129.7</v>
      </c>
      <c r="W61" s="32" t="n">
        <v>29.52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IF(B62=0,"",RANK(B62,$B$2:$B$171,0))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MAZDA</t>
        </is>
      </c>
      <c r="D62" s="31" t="inlineStr">
        <is>
          <t>Mazda Limited</t>
        </is>
      </c>
      <c r="E62" s="31" t="inlineStr">
        <is>
          <t>industrials</t>
        </is>
      </c>
      <c r="F62" s="31" t="inlineStr">
        <is>
          <t>engineering</t>
        </is>
      </c>
      <c r="G62" s="31" t="inlineStr">
        <is>
          <t>smallcap</t>
        </is>
      </c>
      <c r="H62" s="32" t="n">
        <v>616.0700000000001</v>
      </c>
      <c r="I62" s="32" t="n">
        <v>293.95</v>
      </c>
      <c r="J62" s="32" t="n">
        <v>-4.45</v>
      </c>
      <c r="K62" s="32" t="n">
        <v>43507</v>
      </c>
      <c r="L62" s="31" t="n">
        <v>37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68.68000000000001</v>
      </c>
      <c r="P62" s="32" t="n">
        <v>37.32</v>
      </c>
      <c r="Q62" s="32" t="n">
        <v>216.57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-9.970000000000001</v>
      </c>
      <c r="U62" s="32" t="n">
        <v>6.95</v>
      </c>
      <c r="V62" s="32" t="n">
        <v>18.79</v>
      </c>
      <c r="W62" s="32" t="n">
        <v>9.17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IF(B63=0,"",RANK(B63,$B$2:$B$171,0))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RPGLIFE</t>
        </is>
      </c>
      <c r="D63" s="31" t="inlineStr">
        <is>
          <t>Rpg Life Sciences Limited</t>
        </is>
      </c>
      <c r="E63" s="31" t="inlineStr">
        <is>
          <t>healthcare</t>
        </is>
      </c>
      <c r="F63" s="31" t="inlineStr">
        <is>
          <t>pharmaceuticals - indian - bulk drugs &amp; formln</t>
        </is>
      </c>
      <c r="G63" s="31" t="inlineStr">
        <is>
          <t>smallcap</t>
        </is>
      </c>
      <c r="H63" s="32" t="n">
        <v>4595.37</v>
      </c>
      <c r="I63" s="32" t="n">
        <v>2940.6</v>
      </c>
      <c r="J63" s="32" t="n">
        <v>5.83</v>
      </c>
      <c r="K63" s="32" t="n">
        <v>49381</v>
      </c>
      <c r="L63" s="31" t="n">
        <v>30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60.42</v>
      </c>
      <c r="P63" s="32" t="n">
        <v>42.29</v>
      </c>
      <c r="Q63" s="32" t="n">
        <v>2321.49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15.85</v>
      </c>
      <c r="U63" s="32" t="n">
        <v>30.37</v>
      </c>
      <c r="V63" s="32" t="n">
        <v>12.53</v>
      </c>
      <c r="W63" s="32" t="n">
        <v>7.47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IF(B64=0,"",RANK(B64,$B$2:$B$171,0))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NINSYS</t>
        </is>
      </c>
      <c r="D64" s="31" t="inlineStr">
        <is>
          <t>NINtec Systems Ltd</t>
        </is>
      </c>
      <c r="E64" s="31" t="inlineStr">
        <is>
          <t>i.t</t>
        </is>
      </c>
      <c r="F64" s="31" t="inlineStr">
        <is>
          <t>computers - software - medium / small</t>
        </is>
      </c>
      <c r="G64" s="31" t="inlineStr">
        <is>
          <t>smallcap</t>
        </is>
      </c>
      <c r="H64" s="32" t="n">
        <v>1534.93</v>
      </c>
      <c r="I64" s="32" t="n">
        <v>855.2</v>
      </c>
      <c r="J64" s="32" t="n">
        <v>3.5</v>
      </c>
      <c r="K64" s="32" t="n">
        <v>8002</v>
      </c>
      <c r="L64" s="31" t="n">
        <v>65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70.97</v>
      </c>
      <c r="P64" s="32" t="n">
        <v>36.23</v>
      </c>
      <c r="Q64" s="32" t="n">
        <v>690.5</v>
      </c>
      <c r="R64" s="31" t="inlineStr">
        <is>
          <t>Near 52W High Breakout</t>
        </is>
      </c>
      <c r="S64" s="31" t="inlineStr">
        <is>
          <t>Nifty IT</t>
        </is>
      </c>
      <c r="T64" s="32" t="n">
        <v>-8.66</v>
      </c>
      <c r="U64" s="32" t="n">
        <v>94.31999999999999</v>
      </c>
      <c r="V64" s="32" t="n">
        <v>112.74</v>
      </c>
      <c r="W64" s="32" t="n">
        <v>18.87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IF(B65=0,"",RANK(B65,$B$2:$B$171,0))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BAFNAPH</t>
        </is>
      </c>
      <c r="D65" s="31" t="inlineStr">
        <is>
          <t>Bafna Pharmaceuticals Ltd</t>
        </is>
      </c>
      <c r="E65" s="31" t="inlineStr">
        <is>
          <t>healthcare</t>
        </is>
      </c>
      <c r="F65" s="31" t="inlineStr">
        <is>
          <t>pharmaceuticals - indian - formulations</t>
        </is>
      </c>
      <c r="G65" s="31" t="inlineStr">
        <is>
          <t>smallcap</t>
        </is>
      </c>
      <c r="H65" s="32" t="n">
        <v>1070.09</v>
      </c>
      <c r="I65" s="32" t="n">
        <v>461.35</v>
      </c>
      <c r="J65" s="32" t="n">
        <v>1.99</v>
      </c>
      <c r="K65" s="32" t="n">
        <v>20755</v>
      </c>
      <c r="L65" s="31" t="n">
        <v>98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85.59999999999999</v>
      </c>
      <c r="P65" s="32" t="n">
        <v>64.8</v>
      </c>
      <c r="Q65" s="32" t="n">
        <v>380.71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15.85</v>
      </c>
      <c r="U65" s="32" t="n">
        <v>220.6</v>
      </c>
      <c r="V65" s="32" t="n">
        <v>176.73</v>
      </c>
      <c r="W65" s="32" t="n">
        <v>53.7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IF(B66=0,"",RANK(B66,$B$2:$B$171,0))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BALRAMCHIN</t>
        </is>
      </c>
      <c r="D66" s="31" t="inlineStr">
        <is>
          <t>Balrampur Chini Mills Limited</t>
        </is>
      </c>
      <c r="E66" s="31" t="inlineStr">
        <is>
          <t>fmcg</t>
        </is>
      </c>
      <c r="F66" s="31" t="inlineStr">
        <is>
          <t>sugar</t>
        </is>
      </c>
      <c r="G66" s="31" t="inlineStr">
        <is>
          <t>midcap</t>
        </is>
      </c>
      <c r="H66" s="32" t="n">
        <v>15361.98</v>
      </c>
      <c r="I66" s="32" t="n">
        <v>721.15</v>
      </c>
      <c r="J66" s="32" t="n">
        <v>-0.67</v>
      </c>
      <c r="K66" s="32" t="n">
        <v>1364294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66.03</v>
      </c>
      <c r="P66" s="32" t="n">
        <v>60.9</v>
      </c>
      <c r="Q66" s="32" t="n">
        <v>557.51</v>
      </c>
      <c r="R66" s="31" t="inlineStr">
        <is>
          <t>Near 52W High Breakout</t>
        </is>
      </c>
      <c r="S66" s="31" t="inlineStr">
        <is>
          <t>Nifty FMCG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IF(B67=0,"",RANK(B67,$B$2:$B$171,0))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DBOL</t>
        </is>
      </c>
      <c r="D67" s="31" t="inlineStr">
        <is>
          <t>Dhampur Bio Organics Ltd</t>
        </is>
      </c>
      <c r="E67" s="31" t="inlineStr">
        <is>
          <t>fmcg</t>
        </is>
      </c>
      <c r="F67" s="31" t="inlineStr">
        <is>
          <t>sugar</t>
        </is>
      </c>
      <c r="G67" s="31" t="inlineStr">
        <is>
          <t>smallcap</t>
        </is>
      </c>
      <c r="H67" s="32" t="n">
        <v>956.25</v>
      </c>
      <c r="I67" s="32" t="n">
        <v>140.73</v>
      </c>
      <c r="J67" s="32" t="n">
        <v>-2.3</v>
      </c>
      <c r="K67" s="32" t="n">
        <v>147736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66.72</v>
      </c>
      <c r="P67" s="32" t="n">
        <v>36.6</v>
      </c>
      <c r="Q67" s="32" t="n">
        <v>103.8</v>
      </c>
      <c r="R67" s="31" t="inlineStr">
        <is>
          <t>Near 52W High Breakout</t>
        </is>
      </c>
      <c r="S67" s="31" t="inlineStr">
        <is>
          <t>Nifty FMCG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B2C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IF(B68=0,"",RANK(B68,$B$2:$B$171,0))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INDORAMA</t>
        </is>
      </c>
      <c r="D68" s="31" t="inlineStr">
        <is>
          <t>Indo Rama Synthetics (india) Limited</t>
        </is>
      </c>
      <c r="E68" s="31" t="inlineStr">
        <is>
          <t>textiles</t>
        </is>
      </c>
      <c r="F68" s="31" t="inlineStr">
        <is>
          <t>textiles - manmade</t>
        </is>
      </c>
      <c r="G68" s="31" t="inlineStr">
        <is>
          <t>smallcap</t>
        </is>
      </c>
      <c r="H68" s="32" t="n">
        <v>2469.09</v>
      </c>
      <c r="I68" s="32" t="n">
        <v>97.56</v>
      </c>
      <c r="J68" s="32" t="n">
        <v>3.17</v>
      </c>
      <c r="K68" s="32" t="n">
        <v>2168378</v>
      </c>
      <c r="L68" s="31" t="n">
        <v>89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78.33</v>
      </c>
      <c r="P68" s="32" t="n">
        <v>68.47</v>
      </c>
      <c r="Q68" s="32" t="n">
        <v>69.64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-9.970000000000001</v>
      </c>
      <c r="U68" s="32" t="n">
        <v>61.79</v>
      </c>
      <c r="V68" s="32" t="n">
        <v>79.70999999999999</v>
      </c>
      <c r="W68" s="32" t="n">
        <v>35.92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IF(B69=0,"",RANK(B69,$B$2:$B$171,0))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EBGNG</t>
        </is>
      </c>
      <c r="D69" s="31" t="inlineStr">
        <is>
          <t>GNG Electronics Ltd</t>
        </is>
      </c>
      <c r="E69" s="31" t="inlineStr">
        <is>
          <t>services</t>
        </is>
      </c>
      <c r="F69" s="31" t="inlineStr">
        <is>
          <t>trading</t>
        </is>
      </c>
      <c r="G69" s="31" t="inlineStr">
        <is>
          <t>midcap</t>
        </is>
      </c>
      <c r="H69" s="32" t="n">
        <v>7892.45</v>
      </c>
      <c r="I69" s="32" t="n">
        <v>708.05</v>
      </c>
      <c r="J69" s="32" t="n">
        <v>2.28</v>
      </c>
      <c r="K69" s="32" t="n">
        <v>402805</v>
      </c>
      <c r="L69" s="31" t="n">
        <v>77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66.63</v>
      </c>
      <c r="P69" s="32" t="n">
        <v>37.24</v>
      </c>
      <c r="Q69" s="32" t="n">
        <v>500.95</v>
      </c>
      <c r="R69" s="31" t="inlineStr">
        <is>
          <t>Near 52W High Breakout</t>
        </is>
      </c>
      <c r="S69" s="31" t="inlineStr">
        <is>
          <t>Nifty 50</t>
        </is>
      </c>
      <c r="T69" s="32" t="n">
        <v>-9.970000000000001</v>
      </c>
      <c r="U69" s="32" t="n">
        <v>119.45</v>
      </c>
      <c r="V69" s="32" t="n">
        <v>143.75</v>
      </c>
      <c r="W69" s="32" t="n">
        <v>25.26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IF(B70=0,"",RANK(B70,$B$2:$B$171,0))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PANACHE</t>
        </is>
      </c>
      <c r="D70" s="31" t="inlineStr">
        <is>
          <t>Panache Digilife Ltd</t>
        </is>
      </c>
      <c r="E70" s="31" t="inlineStr">
        <is>
          <t>i.t</t>
        </is>
      </c>
      <c r="F70" s="31" t="inlineStr">
        <is>
          <t>computers - hardware</t>
        </is>
      </c>
      <c r="G70" s="31" t="inlineStr">
        <is>
          <t>smallcap</t>
        </is>
      </c>
      <c r="H70" s="32" t="n">
        <v>1030.66</v>
      </c>
      <c r="I70" s="32" t="n">
        <v>656.45</v>
      </c>
      <c r="J70" s="32" t="n">
        <v>2</v>
      </c>
      <c r="K70" s="32" t="n">
        <v>3460</v>
      </c>
      <c r="L70" s="31" t="n">
        <v>74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80.54000000000001</v>
      </c>
      <c r="P70" s="32" t="n">
        <v>42.49</v>
      </c>
      <c r="Q70" s="32" t="n">
        <v>530.8200000000001</v>
      </c>
      <c r="R70" s="31" t="inlineStr">
        <is>
          <t>Near 52W High Breakout</t>
        </is>
      </c>
      <c r="S70" s="31" t="inlineStr">
        <is>
          <t>Nifty IT</t>
        </is>
      </c>
      <c r="T70" s="32" t="n">
        <v>-8.66</v>
      </c>
      <c r="U70" s="32" t="n">
        <v>56.45</v>
      </c>
      <c r="V70" s="32" t="n">
        <v>71.28</v>
      </c>
      <c r="W70" s="32" t="n">
        <v>23.79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IF(B71=0,"",RANK(B71,$B$2:$B$171,0))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NYKAA</t>
        </is>
      </c>
      <c r="D71" s="31" t="inlineStr">
        <is>
          <t>FSN E-Commerce Ventures Ltd</t>
        </is>
      </c>
      <c r="E71" s="31" t="inlineStr">
        <is>
          <t>i.t</t>
        </is>
      </c>
      <c r="F71" s="31" t="inlineStr">
        <is>
          <t>trading</t>
        </is>
      </c>
      <c r="G71" s="31" t="inlineStr">
        <is>
          <t>largecap</t>
        </is>
      </c>
      <c r="H71" s="32" t="n">
        <v>96911.81</v>
      </c>
      <c r="I71" s="32" t="n">
        <v>345</v>
      </c>
      <c r="J71" s="32" t="n">
        <v>1.95</v>
      </c>
      <c r="K71" s="32" t="n">
        <v>2669786</v>
      </c>
      <c r="L71" s="31" t="n">
        <v>29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66.76000000000001</v>
      </c>
      <c r="P71" s="32" t="n">
        <v>48.9</v>
      </c>
      <c r="Q71" s="32" t="n">
        <v>293.08</v>
      </c>
      <c r="R71" s="31" t="inlineStr">
        <is>
          <t>Near 52W High Breakout</t>
        </is>
      </c>
      <c r="S71" s="31" t="inlineStr">
        <is>
          <t>Nifty IT</t>
        </is>
      </c>
      <c r="T71" s="32" t="n">
        <v>-8.66</v>
      </c>
      <c r="U71" s="32" t="n">
        <v>32.11</v>
      </c>
      <c r="V71" s="32" t="n">
        <v>44.64</v>
      </c>
      <c r="W71" s="32" t="n">
        <v>7.37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IF(B72=0,"",RANK(B72,$B$2:$B$171,0))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UNIMECH</t>
        </is>
      </c>
      <c r="D72" s="31" t="inlineStr">
        <is>
          <t>Unimech Aerospace and Manufacturing Ltd</t>
        </is>
      </c>
      <c r="E72" s="31" t="inlineStr">
        <is>
          <t>aerospace &amp; defence</t>
        </is>
      </c>
      <c r="F72" s="31" t="inlineStr">
        <is>
          <t>engineering</t>
        </is>
      </c>
      <c r="G72" s="31" t="inlineStr">
        <is>
          <t>midcap</t>
        </is>
      </c>
      <c r="H72" s="32" t="n">
        <v>8947.549999999999</v>
      </c>
      <c r="I72" s="32" t="n">
        <v>1791.3</v>
      </c>
      <c r="J72" s="32" t="n">
        <v>1.91</v>
      </c>
      <c r="K72" s="32" t="n">
        <v>82933</v>
      </c>
      <c r="L72" s="31" t="n">
        <v>71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78.23999999999999</v>
      </c>
      <c r="P72" s="32" t="n">
        <v>52.48</v>
      </c>
      <c r="Q72" s="32" t="n">
        <v>1361.83</v>
      </c>
      <c r="R72" s="31" t="inlineStr">
        <is>
          <t>Near 52W High Breakout</t>
        </is>
      </c>
      <c r="S72" s="31" t="inlineStr">
        <is>
          <t>Nifty 50</t>
        </is>
      </c>
      <c r="T72" s="32" t="n">
        <v>-9.970000000000001</v>
      </c>
      <c r="U72" s="32" t="n">
        <v>88.76000000000001</v>
      </c>
      <c r="V72" s="32" t="n">
        <v>109.66</v>
      </c>
      <c r="W72" s="32" t="n">
        <v>22.84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IF(B73=0,"",RANK(B73,$B$2:$B$171,0))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HAL</t>
        </is>
      </c>
      <c r="D73" s="31" t="inlineStr">
        <is>
          <t>Hindustan Aeronautics Ltd</t>
        </is>
      </c>
      <c r="E73" s="31" t="inlineStr">
        <is>
          <t>aerospace &amp; defence</t>
        </is>
      </c>
      <c r="F73" s="31" t="inlineStr">
        <is>
          <t>engineering</t>
        </is>
      </c>
      <c r="G73" s="31" t="inlineStr">
        <is>
          <t>largecap</t>
        </is>
      </c>
      <c r="H73" s="32" t="n">
        <v>328368.53</v>
      </c>
      <c r="I73" s="32" t="n">
        <v>4989</v>
      </c>
      <c r="J73" s="32" t="n">
        <v>1.61</v>
      </c>
      <c r="K73" s="32" t="n">
        <v>942758</v>
      </c>
      <c r="L73" s="31" t="n">
        <v>18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61.58</v>
      </c>
      <c r="P73" s="32" t="n">
        <v>25.09</v>
      </c>
      <c r="Q73" s="32" t="n">
        <v>4292.31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-9.970000000000001</v>
      </c>
      <c r="U73" s="32" t="n">
        <v>3.32</v>
      </c>
      <c r="V73" s="32" t="n">
        <v>14.77</v>
      </c>
      <c r="W73" s="32" t="n">
        <v>3.08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IF(B74=0,"",RANK(B74,$B$2:$B$171,0))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YUKEN</t>
        </is>
      </c>
      <c r="D74" s="31" t="inlineStr">
        <is>
          <t>Yuken India Ltd</t>
        </is>
      </c>
      <c r="E74" s="31" t="inlineStr">
        <is>
          <t>industrials</t>
        </is>
      </c>
      <c r="F74" s="31" t="inlineStr">
        <is>
          <t>engineering</t>
        </is>
      </c>
      <c r="G74" s="31" t="inlineStr">
        <is>
          <t>smallcap</t>
        </is>
      </c>
      <c r="H74" s="32" t="n">
        <v>1546.54</v>
      </c>
      <c r="I74" s="32" t="n">
        <v>1152.6</v>
      </c>
      <c r="J74" s="32" t="n">
        <v>1.24</v>
      </c>
      <c r="K74" s="32" t="n">
        <v>4801</v>
      </c>
      <c r="L74" s="31" t="n">
        <v>64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72.63</v>
      </c>
      <c r="P74" s="32" t="n">
        <v>44.45</v>
      </c>
      <c r="Q74" s="32" t="n">
        <v>866.1900000000001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-9.970000000000001</v>
      </c>
      <c r="U74" s="32" t="n">
        <v>24.28</v>
      </c>
      <c r="V74" s="32" t="n">
        <v>38.05</v>
      </c>
      <c r="W74" s="32" t="n">
        <v>18.15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IF(B75=0,"",RANK(B75,$B$2:$B$171,0))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MGEL</t>
        </is>
      </c>
      <c r="D75" s="31" t="inlineStr">
        <is>
          <t>Mangalam Global Enterprise Ltd</t>
        </is>
      </c>
      <c r="E75" s="31" t="inlineStr">
        <is>
          <t>services</t>
        </is>
      </c>
      <c r="F75" s="31" t="inlineStr">
        <is>
          <t>trading</t>
        </is>
      </c>
      <c r="G75" s="31" t="inlineStr">
        <is>
          <t>smallcap</t>
        </is>
      </c>
      <c r="H75" s="32" t="n">
        <v>555.96</v>
      </c>
      <c r="I75" s="32" t="n">
        <v>17.01</v>
      </c>
      <c r="J75" s="32" t="n">
        <v>0.83</v>
      </c>
      <c r="K75" s="32" t="n">
        <v>793033</v>
      </c>
      <c r="L75" s="31" t="n">
        <v>22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62.3</v>
      </c>
      <c r="P75" s="32" t="n">
        <v>29.83</v>
      </c>
      <c r="Q75" s="32" t="n">
        <v>12.5</v>
      </c>
      <c r="R75" s="31" t="inlineStr">
        <is>
          <t>Near 52W High Breakout</t>
        </is>
      </c>
      <c r="S75" s="31" t="inlineStr">
        <is>
          <t>Nifty 50</t>
        </is>
      </c>
      <c r="T75" s="32" t="n">
        <v>-9.970000000000001</v>
      </c>
      <c r="U75" s="32" t="n">
        <v>12.72</v>
      </c>
      <c r="V75" s="32" t="n">
        <v>25.2</v>
      </c>
      <c r="W75" s="32" t="n">
        <v>4.16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IF(B76=0,"",RANK(B76,$B$2:$B$171,0))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SHREEJISPG</t>
        </is>
      </c>
      <c r="D76" s="31" t="inlineStr">
        <is>
          <t>Shreeji Shipping Global Ltd</t>
        </is>
      </c>
      <c r="E76" s="31" t="inlineStr">
        <is>
          <t>transportation</t>
        </is>
      </c>
      <c r="F76" s="31" t="inlineStr">
        <is>
          <t>shipping</t>
        </is>
      </c>
      <c r="G76" s="31" t="inlineStr">
        <is>
          <t>midcap</t>
        </is>
      </c>
      <c r="H76" s="32" t="n">
        <v>13606.12</v>
      </c>
      <c r="I76" s="32" t="n">
        <v>840</v>
      </c>
      <c r="J76" s="32" t="n">
        <v>0.58</v>
      </c>
      <c r="K76" s="32" t="n">
        <v>774541</v>
      </c>
      <c r="L76" s="31" t="n">
        <v>93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86.45999999999999</v>
      </c>
      <c r="P76" s="32" t="n">
        <v>56.96</v>
      </c>
      <c r="Q76" s="32" t="n">
        <v>712.7</v>
      </c>
      <c r="R76" s="31" t="inlineStr">
        <is>
          <t>Near 52W High Breakout</t>
        </is>
      </c>
      <c r="S76" s="31" t="inlineStr">
        <is>
          <t>Nifty 50</t>
        </is>
      </c>
      <c r="T76" s="32" t="n">
        <v>-9.970000000000001</v>
      </c>
      <c r="U76" s="32" t="n">
        <v>257.32</v>
      </c>
      <c r="V76" s="32" t="n">
        <v>296.9</v>
      </c>
      <c r="W76" s="32" t="n">
        <v>39.58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IF(B77=0,"",RANK(B77,$B$2:$B$171,0))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MAYURUNIQ</t>
        </is>
      </c>
      <c r="D77" s="31" t="inlineStr">
        <is>
          <t>Mayur Uniquoters Ltd</t>
        </is>
      </c>
      <c r="E77" s="31" t="inlineStr">
        <is>
          <t>consumer discretionary</t>
        </is>
      </c>
      <c r="F77" s="31" t="inlineStr">
        <is>
          <t>leather / leather products</t>
        </is>
      </c>
      <c r="G77" s="31" t="inlineStr">
        <is>
          <t>smallcap</t>
        </is>
      </c>
      <c r="H77" s="32" t="n">
        <v>3435.58</v>
      </c>
      <c r="I77" s="32" t="n">
        <v>794.2</v>
      </c>
      <c r="J77" s="32" t="n">
        <v>0.45</v>
      </c>
      <c r="K77" s="32" t="n">
        <v>48046</v>
      </c>
      <c r="L77" s="31" t="n">
        <v>46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60.75</v>
      </c>
      <c r="P77" s="32" t="n">
        <v>36.72</v>
      </c>
      <c r="Q77" s="32" t="n">
        <v>599.1900000000001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-9.970000000000001</v>
      </c>
      <c r="U77" s="32" t="n">
        <v>59.47</v>
      </c>
      <c r="V77" s="32" t="n">
        <v>77.13</v>
      </c>
      <c r="W77" s="32" t="n">
        <v>11.05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IF(B78=0,"",RANK(B78,$B$2:$B$171,0))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GALAXYSURF</t>
        </is>
      </c>
      <c r="D78" s="31" t="inlineStr">
        <is>
          <t>Galaxy Surfactants Ltd</t>
        </is>
      </c>
      <c r="E78" s="31" t="inlineStr">
        <is>
          <t>chemicals</t>
        </is>
      </c>
      <c r="F78" s="31" t="inlineStr">
        <is>
          <t>chemicals</t>
        </is>
      </c>
      <c r="G78" s="31" t="inlineStr">
        <is>
          <t>midcap</t>
        </is>
      </c>
      <c r="H78" s="32" t="n">
        <v>8880.709999999999</v>
      </c>
      <c r="I78" s="32" t="n">
        <v>2502</v>
      </c>
      <c r="J78" s="32" t="n">
        <v>-0.11</v>
      </c>
      <c r="K78" s="32" t="n">
        <v>30200</v>
      </c>
      <c r="L78" s="31" t="n">
        <v>41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67.20999999999999</v>
      </c>
      <c r="P78" s="32" t="n">
        <v>34.07</v>
      </c>
      <c r="Q78" s="32" t="n">
        <v>1961.09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-9.970000000000001</v>
      </c>
      <c r="U78" s="32" t="n">
        <v>13.99</v>
      </c>
      <c r="V78" s="32" t="n">
        <v>26.62</v>
      </c>
      <c r="W78" s="32" t="n">
        <v>10.03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IF(B79=0,"",RANK(B79,$B$2:$B$171,0))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SPECTRUM</t>
        </is>
      </c>
      <c r="D79" s="31" t="inlineStr">
        <is>
          <t>Spectrum Electrical Industries Ltd</t>
        </is>
      </c>
      <c r="E79" s="31" t="inlineStr">
        <is>
          <t>industrials</t>
        </is>
      </c>
      <c r="F79" s="31" t="inlineStr">
        <is>
          <t>electric equipment</t>
        </is>
      </c>
      <c r="G79" s="31" t="inlineStr">
        <is>
          <t>midcap</t>
        </is>
      </c>
      <c r="H79" s="32" t="n">
        <v>6491.19</v>
      </c>
      <c r="I79" s="32" t="n">
        <v>3786.7</v>
      </c>
      <c r="J79" s="32" t="n">
        <v>-0.32</v>
      </c>
      <c r="K79" s="32" t="n">
        <v>26430</v>
      </c>
      <c r="L79" s="31" t="n">
        <v>96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82.23999999999999</v>
      </c>
      <c r="P79" s="32" t="n">
        <v>65.87</v>
      </c>
      <c r="Q79" s="32" t="n">
        <v>2869.53</v>
      </c>
      <c r="R79" s="31" t="inlineStr">
        <is>
          <t>Near 52W High Breakout</t>
        </is>
      </c>
      <c r="S79" s="31" t="inlineStr">
        <is>
          <t>Nifty 50</t>
        </is>
      </c>
      <c r="T79" s="32" t="n">
        <v>-9.970000000000001</v>
      </c>
      <c r="U79" s="32" t="n">
        <v>187.77</v>
      </c>
      <c r="V79" s="32" t="n">
        <v>219.64</v>
      </c>
      <c r="W79" s="32" t="n">
        <v>48.27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IF(B80=0,"",RANK(B80,$B$2:$B$171,0))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PTCIL</t>
        </is>
      </c>
      <c r="D80" s="31" t="inlineStr">
        <is>
          <t>PTC Industries Ltd</t>
        </is>
      </c>
      <c r="E80" s="31" t="inlineStr">
        <is>
          <t>castings, forgings &amp; fasteners</t>
        </is>
      </c>
      <c r="F80" s="31" t="inlineStr">
        <is>
          <t>castings &amp; forgings</t>
        </is>
      </c>
      <c r="G80" s="31" t="inlineStr">
        <is>
          <t>largecap</t>
        </is>
      </c>
      <c r="H80" s="32" t="n">
        <v>37548.84</v>
      </c>
      <c r="I80" s="32" t="n">
        <v>24680</v>
      </c>
      <c r="J80" s="32" t="n">
        <v>-1.46</v>
      </c>
      <c r="K80" s="32" t="n">
        <v>12523</v>
      </c>
      <c r="L80" s="31" t="n">
        <v>61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72.39</v>
      </c>
      <c r="P80" s="32" t="n">
        <v>47.19</v>
      </c>
      <c r="Q80" s="32" t="n">
        <v>19860.39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-9.970000000000001</v>
      </c>
      <c r="U80" s="32" t="n">
        <v>47.26</v>
      </c>
      <c r="V80" s="32" t="n">
        <v>63.57</v>
      </c>
      <c r="W80" s="32" t="n">
        <v>16.8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IF(B81=0,"",RANK(B81,$B$2:$B$171,0))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KRISHANA</t>
        </is>
      </c>
      <c r="D81" s="31" t="inlineStr">
        <is>
          <t>Krishana Phoschem Ltd</t>
        </is>
      </c>
      <c r="E81" s="31" t="inlineStr">
        <is>
          <t>chemicals</t>
        </is>
      </c>
      <c r="F81" s="31" t="inlineStr">
        <is>
          <t>fertilizers</t>
        </is>
      </c>
      <c r="G81" s="31" t="inlineStr">
        <is>
          <t>smallcap</t>
        </is>
      </c>
      <c r="H81" s="32" t="n">
        <v>1310.44</v>
      </c>
      <c r="I81" s="32" t="n">
        <v>208.71</v>
      </c>
      <c r="J81" s="32" t="n">
        <v>-1.53</v>
      </c>
      <c r="K81" s="32" t="n">
        <v>663866</v>
      </c>
      <c r="L81" s="31" t="n">
        <v>76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74.17</v>
      </c>
      <c r="P81" s="32" t="n">
        <v>54.41</v>
      </c>
      <c r="Q81" s="32" t="n">
        <v>161.35</v>
      </c>
      <c r="R81" s="31" t="inlineStr">
        <is>
          <t>Near 52W High Breakout</t>
        </is>
      </c>
      <c r="S81" s="31" t="inlineStr">
        <is>
          <t>Nifty 50</t>
        </is>
      </c>
      <c r="T81" s="32" t="n">
        <v>-9.970000000000001</v>
      </c>
      <c r="U81" s="32" t="n">
        <v>84.04000000000001</v>
      </c>
      <c r="V81" s="32" t="n">
        <v>104.42</v>
      </c>
      <c r="W81" s="32" t="n">
        <v>24.87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IF(B82=0,"",RANK(B82,$B$2:$B$171,0))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MBECL</t>
        </is>
      </c>
      <c r="D82" s="31" t="inlineStr">
        <is>
          <t>Mcnally Bharat Engineering Company Limited</t>
        </is>
      </c>
      <c r="E82" s="31" t="inlineStr">
        <is>
          <t>realty</t>
        </is>
      </c>
      <c r="F82" s="31" t="inlineStr">
        <is>
          <t>engineering - turnkey services</t>
        </is>
      </c>
      <c r="G82" s="31" t="inlineStr">
        <is>
          <t>smallcap</t>
        </is>
      </c>
      <c r="H82" s="32" t="n">
        <v>1429.5</v>
      </c>
      <c r="I82" s="32" t="n">
        <v>420.3</v>
      </c>
      <c r="J82" s="32" t="n">
        <v>-1.99</v>
      </c>
      <c r="K82" s="32" t="n">
        <v>31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80.84</v>
      </c>
      <c r="P82" s="32" t="n">
        <v>75.45</v>
      </c>
      <c r="Q82" s="32" t="n">
        <v>409.68</v>
      </c>
      <c r="R82" s="31" t="inlineStr">
        <is>
          <t>Earnings / Momentum Support</t>
        </is>
      </c>
      <c r="S82" s="31" t="inlineStr">
        <is>
          <t>Nifty Realty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IF(B83=0,"",RANK(B83,$B$2:$B$171,0))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TECHM</t>
        </is>
      </c>
      <c r="D83" s="31" t="inlineStr">
        <is>
          <t>Tech Mahindra Limited</t>
        </is>
      </c>
      <c r="E83" s="31" t="inlineStr">
        <is>
          <t>i.t</t>
        </is>
      </c>
      <c r="F83" s="31" t="inlineStr">
        <is>
          <t>computers - software - large</t>
        </is>
      </c>
      <c r="G83" s="31" t="inlineStr">
        <is>
          <t>largecap</t>
        </is>
      </c>
      <c r="H83" s="32" t="n">
        <v>161709.56</v>
      </c>
      <c r="I83" s="32" t="n">
        <v>1790</v>
      </c>
      <c r="J83" s="32" t="n">
        <v>8.48</v>
      </c>
      <c r="K83" s="32" t="n">
        <v>20829435</v>
      </c>
      <c r="L83" s="31" t="n">
        <v>32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68.04000000000001</v>
      </c>
      <c r="P83" s="32" t="n">
        <v>13.15</v>
      </c>
      <c r="Q83" s="32" t="n">
        <v>1477.74</v>
      </c>
      <c r="R83" s="31" t="inlineStr">
        <is>
          <t>Volume Spike &amp; Near 52W High Breakout</t>
        </is>
      </c>
      <c r="S83" s="31" t="inlineStr">
        <is>
          <t>Nifty IT</t>
        </is>
      </c>
      <c r="T83" s="32" t="n">
        <v>-8.66</v>
      </c>
      <c r="U83" s="32" t="n">
        <v>28.19</v>
      </c>
      <c r="V83" s="32" t="n">
        <v>40.35</v>
      </c>
      <c r="W83" s="32" t="n">
        <v>8.289999999999999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IF(B84=0,"",RANK(B84,$B$2:$B$171,0))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VALIANTLAB</t>
        </is>
      </c>
      <c r="D84" s="31" t="inlineStr">
        <is>
          <t>Valiant Laboratories Ltd</t>
        </is>
      </c>
      <c r="E84" s="31" t="inlineStr">
        <is>
          <t>healthcare</t>
        </is>
      </c>
      <c r="F84" s="31" t="inlineStr">
        <is>
          <t>pharmaceuticals - indian - bulk drugs &amp; formln</t>
        </is>
      </c>
      <c r="G84" s="31" t="inlineStr">
        <is>
          <t>smallcap</t>
        </is>
      </c>
      <c r="H84" s="32" t="n">
        <v>696.5</v>
      </c>
      <c r="I84" s="32" t="n">
        <v>134.65</v>
      </c>
      <c r="J84" s="32" t="n">
        <v>5</v>
      </c>
      <c r="K84" s="32" t="n">
        <v>104608</v>
      </c>
      <c r="L84" s="31" t="n">
        <v>94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77.27</v>
      </c>
      <c r="P84" s="32" t="n">
        <v>39.71</v>
      </c>
      <c r="Q84" s="32" t="n">
        <v>98.45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15.85</v>
      </c>
      <c r="U84" s="32" t="n">
        <v>62.74</v>
      </c>
      <c r="V84" s="32" t="n">
        <v>40.47</v>
      </c>
      <c r="W84" s="32" t="n">
        <v>40.23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IF(B85=0,"",RANK(B85,$B$2:$B$171,0))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MAGADSUGAR</t>
        </is>
      </c>
      <c r="D85" s="31" t="inlineStr">
        <is>
          <t>Magadh Sugar &amp; Energy Ltd</t>
        </is>
      </c>
      <c r="E85" s="31" t="inlineStr">
        <is>
          <t>fmcg</t>
        </is>
      </c>
      <c r="F85" s="31" t="inlineStr">
        <is>
          <t>sugar</t>
        </is>
      </c>
      <c r="G85" s="31" t="inlineStr">
        <is>
          <t>smallcap</t>
        </is>
      </c>
      <c r="H85" s="32" t="n">
        <v>818.9400000000001</v>
      </c>
      <c r="I85" s="32" t="n">
        <v>602.15</v>
      </c>
      <c r="J85" s="32" t="n">
        <v>3.61</v>
      </c>
      <c r="K85" s="32" t="n">
        <v>80613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62.44</v>
      </c>
      <c r="P85" s="32" t="n">
        <v>35.44</v>
      </c>
      <c r="Q85" s="32" t="n">
        <v>433.04</v>
      </c>
      <c r="R85" s="31" t="inlineStr">
        <is>
          <t>Near 52W High Breakout</t>
        </is>
      </c>
      <c r="S85" s="31" t="inlineStr">
        <is>
          <t>Nifty FMCG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IF(B86=0,"",RANK(B86,$B$2:$B$171,0))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LAURUSLABS</t>
        </is>
      </c>
      <c r="D86" s="31" t="inlineStr">
        <is>
          <t>Laurus Labs Limited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largecap</t>
        </is>
      </c>
      <c r="H86" s="32" t="n">
        <v>109049.38</v>
      </c>
      <c r="I86" s="32" t="n">
        <v>2060.1</v>
      </c>
      <c r="J86" s="32" t="n">
        <v>2.06</v>
      </c>
      <c r="K86" s="32" t="n">
        <v>1606547</v>
      </c>
      <c r="L86" s="31" t="n">
        <v>79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77.64</v>
      </c>
      <c r="P86" s="32" t="n">
        <v>78.84999999999999</v>
      </c>
      <c r="Q86" s="32" t="n">
        <v>1768.67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15.85</v>
      </c>
      <c r="U86" s="32" t="n">
        <v>129.3</v>
      </c>
      <c r="V86" s="32" t="n">
        <v>97.93000000000001</v>
      </c>
      <c r="W86" s="32" t="n">
        <v>25.87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IF(B87=0,"",RANK(B87,$B$2:$B$171,0))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ABDL</t>
        </is>
      </c>
      <c r="D87" s="31" t="inlineStr">
        <is>
          <t>Allied Blenders &amp; Distillers Ltd</t>
        </is>
      </c>
      <c r="E87" s="31" t="inlineStr">
        <is>
          <t>fmcg</t>
        </is>
      </c>
      <c r="F87" s="31" t="inlineStr">
        <is>
          <t>breweries &amp; distilleries</t>
        </is>
      </c>
      <c r="G87" s="31" t="inlineStr">
        <is>
          <t>largecap</t>
        </is>
      </c>
      <c r="H87" s="32" t="n">
        <v>20677.57</v>
      </c>
      <c r="I87" s="32" t="n">
        <v>748.65</v>
      </c>
      <c r="J87" s="32" t="n">
        <v>1.27</v>
      </c>
      <c r="K87" s="32" t="n">
        <v>271019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69.66</v>
      </c>
      <c r="P87" s="32" t="n">
        <v>26.7</v>
      </c>
      <c r="Q87" s="32" t="n">
        <v>586.1</v>
      </c>
      <c r="R87" s="31" t="inlineStr">
        <is>
          <t>Near 52W High Breakout</t>
        </is>
      </c>
      <c r="S87" s="31" t="inlineStr">
        <is>
          <t>Nifty FMCG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IF(B88=0,"",RANK(B88,$B$2:$B$171,0))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NPST</t>
        </is>
      </c>
      <c r="D88" s="31" t="inlineStr">
        <is>
          <t>Network People Services Technologies Ltd</t>
        </is>
      </c>
      <c r="E88" s="31" t="inlineStr">
        <is>
          <t>i.t</t>
        </is>
      </c>
      <c r="F88" s="31" t="inlineStr">
        <is>
          <t>computers - software - medium / small</t>
        </is>
      </c>
      <c r="G88" s="31" t="inlineStr">
        <is>
          <t>smallcap</t>
        </is>
      </c>
      <c r="H88" s="32" t="n">
        <v>3805.29</v>
      </c>
      <c r="I88" s="32" t="n">
        <v>1843.6</v>
      </c>
      <c r="J88" s="32" t="n">
        <v>1.08</v>
      </c>
      <c r="K88" s="32" t="n">
        <v>49122</v>
      </c>
      <c r="L88" s="31" t="n">
        <v>24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63.65</v>
      </c>
      <c r="P88" s="32" t="n">
        <v>32.8</v>
      </c>
      <c r="Q88" s="32" t="n">
        <v>1285.15</v>
      </c>
      <c r="R88" s="31" t="inlineStr">
        <is>
          <t>Near 52W High Breakout</t>
        </is>
      </c>
      <c r="S88" s="31" t="inlineStr">
        <is>
          <t>Nifty IT</t>
        </is>
      </c>
      <c r="T88" s="32" t="n">
        <v>-8.66</v>
      </c>
      <c r="U88" s="32" t="n">
        <v>-2.4</v>
      </c>
      <c r="V88" s="32" t="n">
        <v>6.85</v>
      </c>
      <c r="W88" s="32" t="n">
        <v>4.54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IF(B89=0,"",RANK(B89,$B$2:$B$171,0))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TEXINFRA</t>
        </is>
      </c>
      <c r="D89" s="31" t="inlineStr">
        <is>
          <t>Texmaco Infrastructure &amp; Holdings Limited</t>
        </is>
      </c>
      <c r="E89" s="31" t="inlineStr">
        <is>
          <t>realty</t>
        </is>
      </c>
      <c r="F89" s="31" t="inlineStr">
        <is>
          <t>construction</t>
        </is>
      </c>
      <c r="G89" s="31" t="inlineStr">
        <is>
          <t>smallcap</t>
        </is>
      </c>
      <c r="H89" s="32" t="n">
        <v>1579.83</v>
      </c>
      <c r="I89" s="32" t="n">
        <v>128.14</v>
      </c>
      <c r="J89" s="32" t="n">
        <v>3.36</v>
      </c>
      <c r="K89" s="32" t="n">
        <v>621459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72.89</v>
      </c>
      <c r="P89" s="32" t="n">
        <v>40.64</v>
      </c>
      <c r="Q89" s="32" t="n">
        <v>101.77</v>
      </c>
      <c r="R89" s="31" t="inlineStr">
        <is>
          <t>Volume Spike &amp; Near 52W High Breakout</t>
        </is>
      </c>
      <c r="S89" s="31" t="inlineStr">
        <is>
          <t>Nifty Realty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IF(B90=0,"",RANK(B90,$B$2:$B$171,0))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FAIRCHEMOR</t>
        </is>
      </c>
      <c r="D90" s="31" t="inlineStr">
        <is>
          <t>Fairchem Organics Ltd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smallcap</t>
        </is>
      </c>
      <c r="H90" s="32" t="n">
        <v>955.46</v>
      </c>
      <c r="I90" s="32" t="n">
        <v>767.35</v>
      </c>
      <c r="J90" s="32" t="n">
        <v>1.16</v>
      </c>
      <c r="K90" s="32" t="n">
        <v>28835</v>
      </c>
      <c r="L90" s="31" t="n">
        <v>17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61.1</v>
      </c>
      <c r="P90" s="32" t="n">
        <v>23.95</v>
      </c>
      <c r="Q90" s="32" t="n">
        <v>602.64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-9.970000000000001</v>
      </c>
      <c r="U90" s="32" t="n">
        <v>0.08</v>
      </c>
      <c r="V90" s="32" t="n">
        <v>11.17</v>
      </c>
      <c r="W90" s="32" t="n">
        <v>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IF(B91=0,"",RANK(B91,$B$2:$B$171,0))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GREENPLY</t>
        </is>
      </c>
      <c r="D91" s="31" t="inlineStr">
        <is>
          <t>Greenply Industries Limited</t>
        </is>
      </c>
      <c r="E91" s="31" t="inlineStr">
        <is>
          <t>building materials</t>
        </is>
      </c>
      <c r="F91" s="31" t="inlineStr">
        <is>
          <t>miscellaneous</t>
        </is>
      </c>
      <c r="G91" s="31" t="inlineStr">
        <is>
          <t>smallcap</t>
        </is>
      </c>
      <c r="H91" s="32" t="n">
        <v>3838.24</v>
      </c>
      <c r="I91" s="32" t="n">
        <v>310.25</v>
      </c>
      <c r="J91" s="32" t="n">
        <v>0.96</v>
      </c>
      <c r="K91" s="32" t="n">
        <v>63145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60.08</v>
      </c>
      <c r="P91" s="32" t="n">
        <v>18.02</v>
      </c>
      <c r="Q91" s="32" t="n">
        <v>245.25</v>
      </c>
      <c r="R91" s="31" t="inlineStr">
        <is>
          <t>Near 52W High Breakout</t>
        </is>
      </c>
      <c r="S91" s="31" t="inlineStr">
        <is>
          <t>Nifty Infra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IF(B92=0,"",RANK(B92,$B$2:$B$171,0))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JINDALSAW</t>
        </is>
      </c>
      <c r="D92" s="31" t="inlineStr">
        <is>
          <t>Jindal Saw Limited</t>
        </is>
      </c>
      <c r="E92" s="31" t="inlineStr">
        <is>
          <t>industrials</t>
        </is>
      </c>
      <c r="F92" s="31" t="inlineStr">
        <is>
          <t>steel - large</t>
        </is>
      </c>
      <c r="G92" s="31" t="inlineStr">
        <is>
          <t>midcap</t>
        </is>
      </c>
      <c r="H92" s="32" t="n">
        <v>19134.09</v>
      </c>
      <c r="I92" s="32" t="n">
        <v>301.55</v>
      </c>
      <c r="J92" s="32" t="n">
        <v>0.79</v>
      </c>
      <c r="K92" s="32" t="n">
        <v>3597362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62.13</v>
      </c>
      <c r="P92" s="32" t="n">
        <v>42.03</v>
      </c>
      <c r="Q92" s="32" t="n">
        <v>238.59</v>
      </c>
      <c r="R92" s="31" t="inlineStr">
        <is>
          <t>Near 52W High Breakout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IF(B93=0,"",RANK(B93,$B$2:$B$171,0))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RUBYMILLS</t>
        </is>
      </c>
      <c r="D93" s="31" t="inlineStr">
        <is>
          <t>The Ruby Mills Limited</t>
        </is>
      </c>
      <c r="E93" s="31" t="inlineStr">
        <is>
          <t>textiles</t>
        </is>
      </c>
      <c r="F93" s="31" t="inlineStr">
        <is>
          <t>textiles - composite</t>
        </is>
      </c>
      <c r="G93" s="31" t="inlineStr">
        <is>
          <t>smallcap</t>
        </is>
      </c>
      <c r="H93" s="32" t="n">
        <v>1731.19</v>
      </c>
      <c r="I93" s="32" t="n">
        <v>515.95</v>
      </c>
      <c r="J93" s="32" t="n">
        <v>-0.34</v>
      </c>
      <c r="K93" s="32" t="n">
        <v>36570</v>
      </c>
      <c r="L93" s="31" t="n">
        <v>79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75.91</v>
      </c>
      <c r="P93" s="32" t="n">
        <v>53.09</v>
      </c>
      <c r="Q93" s="32" t="n">
        <v>359.79</v>
      </c>
      <c r="R93" s="31" t="inlineStr">
        <is>
          <t>Volume Spike &amp; Near 52W High Breakout</t>
        </is>
      </c>
      <c r="S93" s="31" t="inlineStr">
        <is>
          <t>Nifty 50</t>
        </is>
      </c>
      <c r="T93" s="32" t="n">
        <v>-9.970000000000001</v>
      </c>
      <c r="U93" s="32" t="n">
        <v>135.56</v>
      </c>
      <c r="V93" s="32" t="n">
        <v>161.65</v>
      </c>
      <c r="W93" s="32" t="n">
        <v>26.72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IF(B94=0,"",RANK(B94,$B$2:$B$171,0))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ALICON</t>
        </is>
      </c>
      <c r="D94" s="31" t="inlineStr">
        <is>
          <t>Alicon Castalloy Limited</t>
        </is>
      </c>
      <c r="E94" s="31" t="inlineStr">
        <is>
          <t>castings, forgings &amp; fasteners</t>
        </is>
      </c>
      <c r="F94" s="31" t="inlineStr">
        <is>
          <t>castings &amp; forgings</t>
        </is>
      </c>
      <c r="G94" s="31" t="inlineStr">
        <is>
          <t>smallcap</t>
        </is>
      </c>
      <c r="H94" s="32" t="n">
        <v>1417.65</v>
      </c>
      <c r="I94" s="32" t="n">
        <v>854.65</v>
      </c>
      <c r="J94" s="32" t="n">
        <v>-1.06</v>
      </c>
      <c r="K94" s="32" t="n">
        <v>9228</v>
      </c>
      <c r="L94" s="31" t="n">
        <v>35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66.27</v>
      </c>
      <c r="P94" s="32" t="n">
        <v>25.74</v>
      </c>
      <c r="Q94" s="32" t="n">
        <v>665.48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-9.970000000000001</v>
      </c>
      <c r="U94" s="32" t="n">
        <v>1.14</v>
      </c>
      <c r="V94" s="32" t="n">
        <v>12.34</v>
      </c>
      <c r="W94" s="32" t="n">
        <v>8.65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IF(B95=0,"",RANK(B95,$B$2:$B$171,0))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AVADHSUGAR</t>
        </is>
      </c>
      <c r="D95" s="31" t="inlineStr">
        <is>
          <t>Avadh Sugar &amp; Energy</t>
        </is>
      </c>
      <c r="E95" s="31" t="inlineStr">
        <is>
          <t>fmcg</t>
        </is>
      </c>
      <c r="F95" s="31" t="inlineStr">
        <is>
          <t>sugar</t>
        </is>
      </c>
      <c r="G95" s="31" t="inlineStr">
        <is>
          <t>smallcap</t>
        </is>
      </c>
      <c r="H95" s="32" t="n">
        <v>1942.29</v>
      </c>
      <c r="I95" s="32" t="n">
        <v>995.4</v>
      </c>
      <c r="J95" s="32" t="n">
        <v>2.59</v>
      </c>
      <c r="K95" s="32" t="n">
        <v>112101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78.31999999999999</v>
      </c>
      <c r="P95" s="32" t="n">
        <v>59.75</v>
      </c>
      <c r="Q95" s="32" t="n">
        <v>757.12</v>
      </c>
      <c r="R95" s="31" t="inlineStr">
        <is>
          <t>Near 52W High Breakout</t>
        </is>
      </c>
      <c r="S95" s="31" t="inlineStr">
        <is>
          <t>Nifty FMCG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IF(B96=0,"",RANK(B96,$B$2:$B$171,0))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CYIENT</t>
        </is>
      </c>
      <c r="D96" s="31" t="inlineStr">
        <is>
          <t>Cyient Limited</t>
        </is>
      </c>
      <c r="E96" s="31" t="inlineStr">
        <is>
          <t>i.t</t>
        </is>
      </c>
      <c r="F96" s="31" t="inlineStr">
        <is>
          <t>computers - software - medium / small</t>
        </is>
      </c>
      <c r="G96" s="31" t="inlineStr">
        <is>
          <t>midcap</t>
        </is>
      </c>
      <c r="H96" s="32" t="n">
        <v>12462.18</v>
      </c>
      <c r="I96" s="32" t="n">
        <v>1194.5</v>
      </c>
      <c r="J96" s="32" t="n">
        <v>0.4</v>
      </c>
      <c r="K96" s="32" t="n">
        <v>583099</v>
      </c>
      <c r="L96" s="31" t="n">
        <v>43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71.25</v>
      </c>
      <c r="P96" s="32" t="n">
        <v>29.82</v>
      </c>
      <c r="Q96" s="32" t="n">
        <v>950.28</v>
      </c>
      <c r="R96" s="31" t="inlineStr">
        <is>
          <t>Near 52W High Breakout</t>
        </is>
      </c>
      <c r="S96" s="31" t="inlineStr">
        <is>
          <t>Nifty IT</t>
        </is>
      </c>
      <c r="T96" s="32" t="n">
        <v>-8.66</v>
      </c>
      <c r="U96" s="32" t="n">
        <v>3.4</v>
      </c>
      <c r="V96" s="32" t="n">
        <v>13.2</v>
      </c>
      <c r="W96" s="32" t="n">
        <v>10.52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IF(B97=0,"",RANK(B97,$B$2:$B$171,0))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DHAMPURSUG</t>
        </is>
      </c>
      <c r="D97" s="31" t="inlineStr">
        <is>
          <t>Dhampur Sugar Mills Limited</t>
        </is>
      </c>
      <c r="E97" s="31" t="inlineStr">
        <is>
          <t>fmcg</t>
        </is>
      </c>
      <c r="F97" s="31" t="inlineStr">
        <is>
          <t>sugar</t>
        </is>
      </c>
      <c r="G97" s="31" t="inlineStr">
        <is>
          <t>smallcap</t>
        </is>
      </c>
      <c r="H97" s="32" t="n">
        <v>1266.77</v>
      </c>
      <c r="I97" s="32" t="n">
        <v>197.67</v>
      </c>
      <c r="J97" s="32" t="n">
        <v>0.35</v>
      </c>
      <c r="K97" s="32" t="n">
        <v>914218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69.43000000000001</v>
      </c>
      <c r="P97" s="32" t="n">
        <v>28.35</v>
      </c>
      <c r="Q97" s="32" t="n">
        <v>145.48</v>
      </c>
      <c r="R97" s="31" t="inlineStr">
        <is>
          <t>Volume Spike &amp; Near 52W High Breakout</t>
        </is>
      </c>
      <c r="S97" s="31" t="inlineStr">
        <is>
          <t>Nifty FMCG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IF(B98=0,"",RANK(B98,$B$2:$B$171,0))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UTTAMSUGAR</t>
        </is>
      </c>
      <c r="D98" s="31" t="inlineStr">
        <is>
          <t>Uttam Sugar Mills Limited</t>
        </is>
      </c>
      <c r="E98" s="31" t="inlineStr">
        <is>
          <t>fmcg</t>
        </is>
      </c>
      <c r="F98" s="31" t="inlineStr">
        <is>
          <t>sugar</t>
        </is>
      </c>
      <c r="G98" s="31" t="inlineStr">
        <is>
          <t>smallcap</t>
        </is>
      </c>
      <c r="H98" s="32" t="n">
        <v>1436.47</v>
      </c>
      <c r="I98" s="32" t="n">
        <v>369.15</v>
      </c>
      <c r="J98" s="32" t="n">
        <v>-1.99</v>
      </c>
      <c r="K98" s="32" t="n">
        <v>351516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69.79000000000001</v>
      </c>
      <c r="P98" s="32" t="n">
        <v>33.1</v>
      </c>
      <c r="Q98" s="32" t="n">
        <v>255.48</v>
      </c>
      <c r="R98" s="31" t="inlineStr">
        <is>
          <t>Volume Spike &amp; Near 52W High Breakout</t>
        </is>
      </c>
      <c r="S98" s="31" t="inlineStr">
        <is>
          <t>Nifty FMCG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B2C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IF(B99=0,"",RANK(B99,$B$2:$B$171,0))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KILITCH</t>
        </is>
      </c>
      <c r="D99" s="31" t="inlineStr">
        <is>
          <t>Kilitch Drugs (india) Limited</t>
        </is>
      </c>
      <c r="E99" s="31" t="inlineStr">
        <is>
          <t>healthcare</t>
        </is>
      </c>
      <c r="F99" s="31" t="inlineStr">
        <is>
          <t>pharmaceuticals - indian - formulations</t>
        </is>
      </c>
      <c r="G99" s="31" t="inlineStr">
        <is>
          <t>smallcap</t>
        </is>
      </c>
      <c r="H99" s="32" t="n">
        <v>825.79</v>
      </c>
      <c r="I99" s="32" t="n">
        <v>230.4</v>
      </c>
      <c r="J99" s="32" t="n">
        <v>-2.46</v>
      </c>
      <c r="K99" s="32" t="n">
        <v>36196</v>
      </c>
      <c r="L99" s="31" t="n">
        <v>47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65.06</v>
      </c>
      <c r="P99" s="32" t="n">
        <v>30.56</v>
      </c>
      <c r="Q99" s="32" t="n">
        <v>175.87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15.85</v>
      </c>
      <c r="U99" s="32" t="n">
        <v>23.46</v>
      </c>
      <c r="V99" s="32" t="n">
        <v>6.56</v>
      </c>
      <c r="W99" s="32" t="n">
        <v>11.67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IF(B100=0,"",RANK(B100,$B$2:$B$171,0))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SAMBHV</t>
        </is>
      </c>
      <c r="D100" s="31" t="inlineStr">
        <is>
          <t>Sambhv Steel Tubes Ltd</t>
        </is>
      </c>
      <c r="E100" s="31" t="inlineStr">
        <is>
          <t>metals &amp; mining</t>
        </is>
      </c>
      <c r="F100" s="31" t="inlineStr">
        <is>
          <t>steel - medium / small</t>
        </is>
      </c>
      <c r="G100" s="31" t="inlineStr">
        <is>
          <t>smallcap</t>
        </is>
      </c>
      <c r="H100" s="32" t="n">
        <v>4807.56</v>
      </c>
      <c r="I100" s="32" t="n">
        <v>172.47</v>
      </c>
      <c r="J100" s="32" t="n">
        <v>5.71</v>
      </c>
      <c r="K100" s="32" t="n">
        <v>7051078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81.29000000000001</v>
      </c>
      <c r="P100" s="32" t="n">
        <v>52.53</v>
      </c>
      <c r="Q100" s="32" t="n">
        <v>134.29</v>
      </c>
      <c r="R100" s="31" t="inlineStr">
        <is>
          <t>Near 52W High Breakout</t>
        </is>
      </c>
      <c r="S100" s="31" t="inlineStr">
        <is>
          <t>Nifty Metal</t>
        </is>
      </c>
      <c r="T100" s="32" t="inlineStr"/>
      <c r="U100" s="32" t="inlineStr"/>
      <c r="V100" s="32" t="inlineStr"/>
      <c r="W100" s="32" t="inlineStr"/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Cyclical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Volatile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IF(B101=0,"",RANK(B101,$B$2:$B$171,0))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SHYAMMETL</t>
        </is>
      </c>
      <c r="D101" s="31" t="inlineStr">
        <is>
          <t>Shyam Metalics &amp; Energy Ltd</t>
        </is>
      </c>
      <c r="E101" s="31" t="inlineStr">
        <is>
          <t>metals &amp; mining</t>
        </is>
      </c>
      <c r="F101" s="31" t="inlineStr">
        <is>
          <t>steel - large</t>
        </is>
      </c>
      <c r="G101" s="31" t="inlineStr">
        <is>
          <t>largecap</t>
        </is>
      </c>
      <c r="H101" s="32" t="n">
        <v>32295.56</v>
      </c>
      <c r="I101" s="32" t="n">
        <v>1198.5</v>
      </c>
      <c r="J101" s="32" t="n">
        <v>3.59</v>
      </c>
      <c r="K101" s="32" t="n">
        <v>963477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70.97</v>
      </c>
      <c r="P101" s="32" t="n">
        <v>29.68</v>
      </c>
      <c r="Q101" s="32" t="n">
        <v>986.53</v>
      </c>
      <c r="R101" s="31" t="inlineStr">
        <is>
          <t>Near 52W High Breakout</t>
        </is>
      </c>
      <c r="S101" s="31" t="inlineStr">
        <is>
          <t>Nifty Metal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Cyclical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Volatile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IF(B102=0,"",RANK(B102,$B$2:$B$171,0))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NAZARA</t>
        </is>
      </c>
      <c r="D102" s="31" t="inlineStr">
        <is>
          <t>Nazara Technologies Ltd</t>
        </is>
      </c>
      <c r="E102" s="31" t="inlineStr">
        <is>
          <t>i.t</t>
        </is>
      </c>
      <c r="F102" s="31" t="inlineStr">
        <is>
          <t>telecommunications - service provider</t>
        </is>
      </c>
      <c r="G102" s="31" t="inlineStr">
        <is>
          <t>midcap</t>
        </is>
      </c>
      <c r="H102" s="32" t="n">
        <v>15645.59</v>
      </c>
      <c r="I102" s="32" t="n">
        <v>418.15</v>
      </c>
      <c r="J102" s="32" t="n">
        <v>2.82</v>
      </c>
      <c r="K102" s="32" t="n">
        <v>1797992</v>
      </c>
      <c r="L102" s="31" t="n">
        <v>64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78.88</v>
      </c>
      <c r="P102" s="32" t="n">
        <v>37.24</v>
      </c>
      <c r="Q102" s="32" t="n">
        <v>343.99</v>
      </c>
      <c r="R102" s="31" t="inlineStr">
        <is>
          <t>Near 52W High Breakout</t>
        </is>
      </c>
      <c r="S102" s="31" t="inlineStr">
        <is>
          <t>Nifty IT</t>
        </is>
      </c>
      <c r="T102" s="32" t="n">
        <v>-8.66</v>
      </c>
      <c r="U102" s="32" t="n">
        <v>57.94</v>
      </c>
      <c r="V102" s="32" t="n">
        <v>72.92</v>
      </c>
      <c r="W102" s="32" t="n">
        <v>17.84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Oligopoly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IF(B103=0,"",RANK(B103,$B$2:$B$171,0))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LOTUSDEV</t>
        </is>
      </c>
      <c r="D103" s="31" t="inlineStr">
        <is>
          <t>Sri Lotus Developers &amp; Realty Ltd</t>
        </is>
      </c>
      <c r="E103" s="31" t="inlineStr">
        <is>
          <t>realty</t>
        </is>
      </c>
      <c r="F103" s="31" t="inlineStr">
        <is>
          <t>construction</t>
        </is>
      </c>
      <c r="G103" s="31" t="inlineStr">
        <is>
          <t>midcap</t>
        </is>
      </c>
      <c r="H103" s="32" t="n">
        <v>11736.21</v>
      </c>
      <c r="I103" s="32" t="n">
        <v>246.25</v>
      </c>
      <c r="J103" s="32" t="n">
        <v>2.54</v>
      </c>
      <c r="K103" s="32" t="n">
        <v>1052328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74.01000000000001</v>
      </c>
      <c r="P103" s="32" t="n">
        <v>36.6</v>
      </c>
      <c r="Q103" s="32" t="n">
        <v>189.97</v>
      </c>
      <c r="R103" s="31" t="inlineStr">
        <is>
          <t>Near 52W High Breakout</t>
        </is>
      </c>
      <c r="S103" s="31" t="inlineStr">
        <is>
          <t>Nifty Realty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Negative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IF(B104=0,"",RANK(B104,$B$2:$B$171,0))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IRISDOREME</t>
        </is>
      </c>
      <c r="D104" s="31" t="inlineStr">
        <is>
          <t>Iris Clothings Ltd</t>
        </is>
      </c>
      <c r="E104" s="31" t="inlineStr">
        <is>
          <t>readymade garments/apparels</t>
        </is>
      </c>
      <c r="F104" s="31" t="inlineStr">
        <is>
          <t>textiles - products</t>
        </is>
      </c>
      <c r="G104" s="31" t="inlineStr">
        <is>
          <t>smallcap</t>
        </is>
      </c>
      <c r="H104" s="32" t="n">
        <v>1250.22</v>
      </c>
      <c r="I104" s="32" t="n">
        <v>64.34</v>
      </c>
      <c r="J104" s="32" t="n">
        <v>1.92</v>
      </c>
      <c r="K104" s="32" t="n">
        <v>1684849</v>
      </c>
      <c r="L104" s="31" t="n">
        <v>73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71.04000000000001</v>
      </c>
      <c r="P104" s="32" t="n">
        <v>51.65</v>
      </c>
      <c r="Q104" s="32" t="n">
        <v>50.17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-9.970000000000001</v>
      </c>
      <c r="U104" s="32" t="n">
        <v>95.8</v>
      </c>
      <c r="V104" s="32" t="n">
        <v>117.49</v>
      </c>
      <c r="W104" s="32" t="n">
        <v>23.11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IF(B105=0,"",RANK(B105,$B$2:$B$171,0))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RAIN</t>
        </is>
      </c>
      <c r="D105" s="31" t="inlineStr">
        <is>
          <t>Rain Industries Limited</t>
        </is>
      </c>
      <c r="E105" s="31" t="inlineStr">
        <is>
          <t>miscellaneous</t>
        </is>
      </c>
      <c r="F105" s="31" t="inlineStr">
        <is>
          <t>miscellaneous</t>
        </is>
      </c>
      <c r="G105" s="31" t="inlineStr">
        <is>
          <t>midcap</t>
        </is>
      </c>
      <c r="H105" s="32" t="n">
        <v>7551.97</v>
      </c>
      <c r="I105" s="32" t="n">
        <v>228.55</v>
      </c>
      <c r="J105" s="32" t="n">
        <v>1.79</v>
      </c>
      <c r="K105" s="32" t="n">
        <v>3152031</v>
      </c>
      <c r="L105" s="31" t="n">
        <v>60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65.19</v>
      </c>
      <c r="P105" s="32" t="n">
        <v>41.15</v>
      </c>
      <c r="Q105" s="32" t="n">
        <v>170.73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-9.970000000000001</v>
      </c>
      <c r="U105" s="32" t="n">
        <v>81.97</v>
      </c>
      <c r="V105" s="32" t="n">
        <v>102.12</v>
      </c>
      <c r="W105" s="32" t="n">
        <v>16.77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Between 50% to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IF(B106=0,"",RANK(B106,$B$2:$B$171,0))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DYNAMATECH</t>
        </is>
      </c>
      <c r="D106" s="31" t="inlineStr">
        <is>
          <t>Dynamatic Technologies Limited</t>
        </is>
      </c>
      <c r="E106" s="31" t="inlineStr">
        <is>
          <t>aerospace &amp; defence</t>
        </is>
      </c>
      <c r="F106" s="31" t="inlineStr">
        <is>
          <t>engineering</t>
        </is>
      </c>
      <c r="G106" s="31" t="inlineStr">
        <is>
          <t>midcap</t>
        </is>
      </c>
      <c r="H106" s="32" t="n">
        <v>9262.17</v>
      </c>
      <c r="I106" s="32" t="n">
        <v>13774</v>
      </c>
      <c r="J106" s="32" t="n">
        <v>1</v>
      </c>
      <c r="K106" s="32" t="n">
        <v>19591</v>
      </c>
      <c r="L106" s="31" t="n">
        <v>66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68.48</v>
      </c>
      <c r="P106" s="32" t="n">
        <v>35.55</v>
      </c>
      <c r="Q106" s="32" t="n">
        <v>10505.97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-9.970000000000001</v>
      </c>
      <c r="U106" s="32" t="n">
        <v>74.7</v>
      </c>
      <c r="V106" s="32" t="n">
        <v>94.05</v>
      </c>
      <c r="W106" s="32" t="n">
        <v>19.21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IF(B107=0,"",RANK(B107,$B$2:$B$171,0))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MUKANDLTD</t>
        </is>
      </c>
      <c r="D107" s="31" t="inlineStr">
        <is>
          <t>Mukand Limited</t>
        </is>
      </c>
      <c r="E107" s="31" t="inlineStr">
        <is>
          <t>metals &amp; mining</t>
        </is>
      </c>
      <c r="F107" s="31" t="inlineStr">
        <is>
          <t>steel - medium / small</t>
        </is>
      </c>
      <c r="G107" s="31" t="inlineStr">
        <is>
          <t>smallcap</t>
        </is>
      </c>
      <c r="H107" s="32" t="n">
        <v>2461.48</v>
      </c>
      <c r="I107" s="32" t="n">
        <v>171.99</v>
      </c>
      <c r="J107" s="32" t="n">
        <v>0.96</v>
      </c>
      <c r="K107" s="32" t="n">
        <v>134706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68.95999999999999</v>
      </c>
      <c r="P107" s="32" t="n">
        <v>45.76</v>
      </c>
      <c r="Q107" s="32" t="n">
        <v>137.95</v>
      </c>
      <c r="R107" s="31" t="inlineStr">
        <is>
          <t>Near 52W High Breakout</t>
        </is>
      </c>
      <c r="S107" s="31" t="inlineStr">
        <is>
          <t>Nifty Metal</t>
        </is>
      </c>
      <c r="T107" s="32" t="inlineStr"/>
      <c r="U107" s="32" t="inlineStr"/>
      <c r="V107" s="32" t="inlineStr"/>
      <c r="W107" s="32" t="inlineStr"/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Cyclical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Volatile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IF(B108=0,"",RANK(B108,$B$2:$B$171,0))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BIL</t>
        </is>
      </c>
      <c r="D108" s="31" t="inlineStr">
        <is>
          <t>Bhartiya International Limited</t>
        </is>
      </c>
      <c r="E108" s="31" t="inlineStr">
        <is>
          <t>consumer discretionary</t>
        </is>
      </c>
      <c r="F108" s="31" t="inlineStr">
        <is>
          <t>leather / leather products</t>
        </is>
      </c>
      <c r="G108" s="31" t="inlineStr">
        <is>
          <t>smallcap</t>
        </is>
      </c>
      <c r="H108" s="32" t="n">
        <v>1406.28</v>
      </c>
      <c r="I108" s="32" t="n">
        <v>1053.35</v>
      </c>
      <c r="J108" s="32" t="n">
        <v>0.45</v>
      </c>
      <c r="K108" s="32" t="n">
        <v>1533</v>
      </c>
      <c r="L108" s="31" t="n">
        <v>63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68.27</v>
      </c>
      <c r="P108" s="32" t="n">
        <v>34.14</v>
      </c>
      <c r="Q108" s="32" t="n">
        <v>800.0700000000001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-9.970000000000001</v>
      </c>
      <c r="U108" s="32" t="n">
        <v>39.41</v>
      </c>
      <c r="V108" s="32" t="n">
        <v>54.86</v>
      </c>
      <c r="W108" s="32" t="n">
        <v>17.71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IF(B109=0,"",RANK(B109,$B$2:$B$171,0))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MMP</t>
        </is>
      </c>
      <c r="D109" s="31" t="inlineStr">
        <is>
          <t>MMP Industries Ltd</t>
        </is>
      </c>
      <c r="E109" s="31" t="inlineStr">
        <is>
          <t>metals &amp; mining</t>
        </is>
      </c>
      <c r="F109" s="31" t="inlineStr">
        <is>
          <t>aluminium and aluminium products</t>
        </is>
      </c>
      <c r="G109" s="31" t="inlineStr">
        <is>
          <t>smallcap</t>
        </is>
      </c>
      <c r="H109" s="32" t="n">
        <v>1256.92</v>
      </c>
      <c r="I109" s="32" t="n">
        <v>491.45</v>
      </c>
      <c r="J109" s="32" t="n">
        <v>-0.68</v>
      </c>
      <c r="K109" s="32" t="n">
        <v>26544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78.54000000000001</v>
      </c>
      <c r="P109" s="32" t="n">
        <v>64.51000000000001</v>
      </c>
      <c r="Q109" s="32" t="n">
        <v>374.29</v>
      </c>
      <c r="R109" s="31" t="inlineStr">
        <is>
          <t>Near 52W High Breakout</t>
        </is>
      </c>
      <c r="S109" s="31" t="inlineStr">
        <is>
          <t>Nifty Metal</t>
        </is>
      </c>
      <c r="T109" s="32" t="inlineStr"/>
      <c r="U109" s="32" t="inlineStr"/>
      <c r="V109" s="32" t="inlineStr"/>
      <c r="W109" s="32" t="inlineStr"/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Cyclical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Volatile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IF(B110=0,"",RANK(B110,$B$2:$B$171,0))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KABRAEXTRU</t>
        </is>
      </c>
      <c r="D110" s="31" t="inlineStr">
        <is>
          <t>Kabra Extrusion Technik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3155.56</v>
      </c>
      <c r="I110" s="32" t="n">
        <v>808.75</v>
      </c>
      <c r="J110" s="32" t="n">
        <v>-0.73</v>
      </c>
      <c r="K110" s="32" t="n">
        <v>133310</v>
      </c>
      <c r="L110" s="31" t="n">
        <v>98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77.06999999999999</v>
      </c>
      <c r="P110" s="32" t="n">
        <v>77.47</v>
      </c>
      <c r="Q110" s="32" t="n">
        <v>615.96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-9.970000000000001</v>
      </c>
      <c r="U110" s="32" t="n">
        <v>229.7</v>
      </c>
      <c r="V110" s="32" t="n">
        <v>266.22</v>
      </c>
      <c r="W110" s="32" t="n">
        <v>65.7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Negative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IF(B111=0,"",RANK(B111,$B$2:$B$171,0))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GANDHAR</t>
        </is>
      </c>
      <c r="D111" s="31" t="inlineStr">
        <is>
          <t>Gandhar Oil Refinery (India) Ltd</t>
        </is>
      </c>
      <c r="E111" s="31" t="inlineStr">
        <is>
          <t>energy</t>
        </is>
      </c>
      <c r="F111" s="31" t="inlineStr">
        <is>
          <t>refineries</t>
        </is>
      </c>
      <c r="G111" s="31" t="inlineStr">
        <is>
          <t>smallcap</t>
        </is>
      </c>
      <c r="H111" s="32" t="n">
        <v>2927.58</v>
      </c>
      <c r="I111" s="32" t="n">
        <v>296.65</v>
      </c>
      <c r="J111" s="32" t="n">
        <v>-0.82</v>
      </c>
      <c r="K111" s="32" t="n">
        <v>388450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71.69</v>
      </c>
      <c r="P111" s="32" t="n">
        <v>78.88</v>
      </c>
      <c r="Q111" s="32" t="n">
        <v>226.99</v>
      </c>
      <c r="R111" s="31" t="inlineStr">
        <is>
          <t>Near 52W High Breakout</t>
        </is>
      </c>
      <c r="S111" s="31" t="inlineStr">
        <is>
          <t>Nifty Energy</t>
        </is>
      </c>
      <c r="T111" s="32" t="inlineStr"/>
      <c r="U111" s="32" t="inlineStr"/>
      <c r="V111" s="32" t="inlineStr"/>
      <c r="W111" s="32" t="inlineStr"/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Oligopoly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IF(B112=0,"",RANK(B112,$B$2:$B$171,0))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ONWARDTEC</t>
        </is>
      </c>
      <c r="D112" s="31" t="inlineStr">
        <is>
          <t>Onward Technologies Limited</t>
        </is>
      </c>
      <c r="E112" s="31" t="inlineStr">
        <is>
          <t>i.t</t>
        </is>
      </c>
      <c r="F112" s="31" t="inlineStr">
        <is>
          <t>computers - software - medium / small</t>
        </is>
      </c>
      <c r="G112" s="31" t="inlineStr">
        <is>
          <t>smallcap</t>
        </is>
      </c>
      <c r="H112" s="32" t="n">
        <v>792.52</v>
      </c>
      <c r="I112" s="32" t="n">
        <v>427.4</v>
      </c>
      <c r="J112" s="32" t="n">
        <v>19.99</v>
      </c>
      <c r="K112" s="32" t="n">
        <v>2394243</v>
      </c>
      <c r="L112" s="31" t="n">
        <v>68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84.83</v>
      </c>
      <c r="P112" s="32" t="n">
        <v>22.97</v>
      </c>
      <c r="Q112" s="32" t="n">
        <v>339.39</v>
      </c>
      <c r="R112" s="31" t="inlineStr">
        <is>
          <t>Volume Spike &amp; Near 52W High Breakout</t>
        </is>
      </c>
      <c r="S112" s="31" t="inlineStr">
        <is>
          <t>Nifty IT</t>
        </is>
      </c>
      <c r="T112" s="32" t="n">
        <v>-8.66</v>
      </c>
      <c r="U112" s="32" t="n">
        <v>43.39</v>
      </c>
      <c r="V112" s="32" t="n">
        <v>56.99</v>
      </c>
      <c r="W112" s="32" t="n">
        <v>19.74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IF(B113=0,"",RANK(B113,$B$2:$B$171,0))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PVRINOX</t>
        </is>
      </c>
      <c r="D113" s="31" t="inlineStr">
        <is>
          <t>PVR Inox Ltd</t>
        </is>
      </c>
      <c r="E113" s="31" t="inlineStr">
        <is>
          <t>media</t>
        </is>
      </c>
      <c r="F113" s="31" t="inlineStr">
        <is>
          <t>entertainment / electronic media software</t>
        </is>
      </c>
      <c r="G113" s="31" t="inlineStr">
        <is>
          <t>midcap</t>
        </is>
      </c>
      <c r="H113" s="32" t="n">
        <v>13284.34</v>
      </c>
      <c r="I113" s="32" t="n">
        <v>1401</v>
      </c>
      <c r="J113" s="32" t="n">
        <v>1.38</v>
      </c>
      <c r="K113" s="32" t="n">
        <v>651034</v>
      </c>
      <c r="L113" s="31" t="n">
        <v>54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72.97</v>
      </c>
      <c r="P113" s="32" t="n">
        <v>37.11</v>
      </c>
      <c r="Q113" s="32" t="n">
        <v>1145.7</v>
      </c>
      <c r="R113" s="31" t="inlineStr">
        <is>
          <t>Near 52W High Breakout</t>
        </is>
      </c>
      <c r="S113" s="31" t="inlineStr">
        <is>
          <t>Nifty IT</t>
        </is>
      </c>
      <c r="T113" s="32" t="n">
        <v>-8.66</v>
      </c>
      <c r="U113" s="32" t="n">
        <v>28.23</v>
      </c>
      <c r="V113" s="32" t="n">
        <v>40.38</v>
      </c>
      <c r="W113" s="32" t="n">
        <v>14.46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IF(B114=0,"",RANK(B114,$B$2:$B$171,0))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SHRINGARMS</t>
        </is>
      </c>
      <c r="D114" s="31" t="inlineStr">
        <is>
          <t>Shringar House of Mangalsutra Ltd</t>
        </is>
      </c>
      <c r="E114" s="31" t="inlineStr">
        <is>
          <t>consumer discretionary</t>
        </is>
      </c>
      <c r="F114" s="31" t="inlineStr">
        <is>
          <t>diamond cutting / jewellery</t>
        </is>
      </c>
      <c r="G114" s="31" t="inlineStr">
        <is>
          <t>smallcap</t>
        </is>
      </c>
      <c r="H114" s="32" t="n">
        <v>2868.08</v>
      </c>
      <c r="I114" s="32" t="n">
        <v>313.83</v>
      </c>
      <c r="J114" s="32" t="n">
        <v>5.52</v>
      </c>
      <c r="K114" s="32" t="n">
        <v>3937970</v>
      </c>
      <c r="L114" s="31" t="n">
        <v>67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77.3</v>
      </c>
      <c r="P114" s="32" t="n">
        <v>21.85</v>
      </c>
      <c r="Q114" s="32" t="n">
        <v>250.99</v>
      </c>
      <c r="R114" s="31" t="inlineStr">
        <is>
          <t>Volume Spike &amp; Near 52W High Breakout</t>
        </is>
      </c>
      <c r="S114" s="31" t="inlineStr">
        <is>
          <t>Nifty 50</t>
        </is>
      </c>
      <c r="T114" s="32" t="n">
        <v>-9.970000000000001</v>
      </c>
      <c r="U114" s="32" t="n">
        <v>59.22</v>
      </c>
      <c r="V114" s="32" t="n">
        <v>76.84999999999999</v>
      </c>
      <c r="W114" s="32" t="n">
        <v>19.45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IF(B115=0,"",RANK(B115,$B$2:$B$171,0))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ORIENTHOT</t>
        </is>
      </c>
      <c r="D115" s="31" t="inlineStr">
        <is>
          <t>Oriental Hotels Limited</t>
        </is>
      </c>
      <c r="E115" s="31" t="inlineStr">
        <is>
          <t>services</t>
        </is>
      </c>
      <c r="F115" s="31" t="inlineStr">
        <is>
          <t>hotels</t>
        </is>
      </c>
      <c r="G115" s="31" t="inlineStr">
        <is>
          <t>smallcap</t>
        </is>
      </c>
      <c r="H115" s="32" t="n">
        <v>2600.05</v>
      </c>
      <c r="I115" s="32" t="n">
        <v>151.8</v>
      </c>
      <c r="J115" s="32" t="n">
        <v>4.27</v>
      </c>
      <c r="K115" s="32" t="n">
        <v>3639816</v>
      </c>
      <c r="L115" s="31" t="n">
        <v>36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68.13</v>
      </c>
      <c r="P115" s="32" t="n">
        <v>39.8</v>
      </c>
      <c r="Q115" s="32" t="n">
        <v>118.45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-9.970000000000001</v>
      </c>
      <c r="U115" s="32" t="n">
        <v>19.96</v>
      </c>
      <c r="V115" s="32" t="n">
        <v>33.25</v>
      </c>
      <c r="W115" s="32" t="n">
        <v>9.1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IF(B116=0,"",RANK(B116,$B$2:$B$171,0))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SVLL</t>
        </is>
      </c>
      <c r="D116" s="31" t="inlineStr">
        <is>
          <t>Shree Vasu Logistics Ltd</t>
        </is>
      </c>
      <c r="E116" s="31" t="inlineStr">
        <is>
          <t>transportation</t>
        </is>
      </c>
      <c r="F116" s="31" t="inlineStr">
        <is>
          <t>miscellaneous</t>
        </is>
      </c>
      <c r="G116" s="31" t="inlineStr">
        <is>
          <t>smallcap</t>
        </is>
      </c>
      <c r="H116" s="32" t="n">
        <v>997.6</v>
      </c>
      <c r="I116" s="32" t="n">
        <v>881.45</v>
      </c>
      <c r="J116" s="32" t="n">
        <v>1.56</v>
      </c>
      <c r="K116" s="32" t="n">
        <v>6697</v>
      </c>
      <c r="L116" s="31" t="n">
        <v>27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66.89</v>
      </c>
      <c r="P116" s="32" t="n">
        <v>38.98</v>
      </c>
      <c r="Q116" s="32" t="n">
        <v>655.1900000000001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-9.970000000000001</v>
      </c>
      <c r="U116" s="32" t="n">
        <v>10.37</v>
      </c>
      <c r="V116" s="32" t="n">
        <v>22.6</v>
      </c>
      <c r="W116" s="32" t="n">
        <v>6.83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Between 1.5 to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More than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IF(B117=0,"",RANK(B117,$B$2:$B$171,0))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FINEORG</t>
        </is>
      </c>
      <c r="D117" s="31" t="inlineStr">
        <is>
          <t>Fine Organic Industries Ltd</t>
        </is>
      </c>
      <c r="E117" s="31" t="inlineStr">
        <is>
          <t>chemicals</t>
        </is>
      </c>
      <c r="F117" s="31" t="inlineStr">
        <is>
          <t>chemicals</t>
        </is>
      </c>
      <c r="G117" s="31" t="inlineStr">
        <is>
          <t>midcap</t>
        </is>
      </c>
      <c r="H117" s="32" t="n">
        <v>16564.05</v>
      </c>
      <c r="I117" s="32" t="n">
        <v>5461.5</v>
      </c>
      <c r="J117" s="32" t="n">
        <v>1.09</v>
      </c>
      <c r="K117" s="32" t="n">
        <v>14663</v>
      </c>
      <c r="L117" s="31" t="n">
        <v>26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64.72</v>
      </c>
      <c r="P117" s="32" t="n">
        <v>17.05</v>
      </c>
      <c r="Q117" s="32" t="n">
        <v>4520.81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-9.970000000000001</v>
      </c>
      <c r="U117" s="32" t="n">
        <v>21.08</v>
      </c>
      <c r="V117" s="32" t="n">
        <v>34.5</v>
      </c>
      <c r="W117" s="32" t="n">
        <v>5.96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0 to 20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Between 12 to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IF(B118=0,"",RANK(B118,$B$2:$B$171,0))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VHLTD</t>
        </is>
      </c>
      <c r="D118" s="31" t="inlineStr">
        <is>
          <t>Viceroy Hotels Ltd</t>
        </is>
      </c>
      <c r="E118" s="31" t="inlineStr">
        <is>
          <t>services</t>
        </is>
      </c>
      <c r="F118" s="31" t="inlineStr">
        <is>
          <t>hotels</t>
        </is>
      </c>
      <c r="G118" s="31" t="inlineStr">
        <is>
          <t>smallcap</t>
        </is>
      </c>
      <c r="H118" s="32" t="n">
        <v>1197.26</v>
      </c>
      <c r="I118" s="32" t="n">
        <v>156.07</v>
      </c>
      <c r="J118" s="32" t="n">
        <v>0.09</v>
      </c>
      <c r="K118" s="32" t="n">
        <v>41834</v>
      </c>
      <c r="L118" s="31" t="n">
        <v>33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68.92</v>
      </c>
      <c r="P118" s="32" t="n">
        <v>19.75</v>
      </c>
      <c r="Q118" s="32" t="n">
        <v>121.95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-9.970000000000001</v>
      </c>
      <c r="U118" s="32" t="n">
        <v>22.69</v>
      </c>
      <c r="V118" s="32" t="n">
        <v>36.28</v>
      </c>
      <c r="W118" s="32" t="n">
        <v>8.460000000000001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IF(B119=0,"",RANK(B119,$B$2:$B$171,0))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RAYMOND</t>
        </is>
      </c>
      <c r="D119" s="31" t="inlineStr">
        <is>
          <t>Raymond Limited</t>
        </is>
      </c>
      <c r="E119" s="31" t="inlineStr">
        <is>
          <t>transportation</t>
        </is>
      </c>
      <c r="F119" s="31" t="inlineStr">
        <is>
          <t>transport - airlines</t>
        </is>
      </c>
      <c r="G119" s="31" t="inlineStr">
        <is>
          <t>midcap</t>
        </is>
      </c>
      <c r="H119" s="32" t="n">
        <v>7603.39</v>
      </c>
      <c r="I119" s="32" t="n">
        <v>1133.9</v>
      </c>
      <c r="J119" s="32" t="n">
        <v>-0.72</v>
      </c>
      <c r="K119" s="32" t="n">
        <v>513640</v>
      </c>
      <c r="L119" s="31" t="n">
        <v>92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77.59999999999999</v>
      </c>
      <c r="P119" s="32" t="n">
        <v>61.55</v>
      </c>
      <c r="Q119" s="32" t="n">
        <v>895.08</v>
      </c>
      <c r="R119" s="31" t="inlineStr">
        <is>
          <t>Earnings / Momentum Support</t>
        </is>
      </c>
      <c r="S119" s="31" t="inlineStr">
        <is>
          <t>Nifty 50</t>
        </is>
      </c>
      <c r="T119" s="32" t="n">
        <v>-9.970000000000001</v>
      </c>
      <c r="U119" s="32" t="n">
        <v>96.7</v>
      </c>
      <c r="V119" s="32" t="n">
        <v>118.49</v>
      </c>
      <c r="W119" s="32" t="n">
        <v>38.71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IF(B120=0,"",RANK(B120,$B$2:$B$171,0))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HATSUN</t>
        </is>
      </c>
      <c r="D120" s="31" t="inlineStr">
        <is>
          <t>Hatsun Agro Product Limited</t>
        </is>
      </c>
      <c r="E120" s="31" t="inlineStr">
        <is>
          <t>fmcg</t>
        </is>
      </c>
      <c r="F120" s="31" t="inlineStr">
        <is>
          <t>food - processing - indian</t>
        </is>
      </c>
      <c r="G120" s="31" t="inlineStr">
        <is>
          <t>largecap</t>
        </is>
      </c>
      <c r="H120" s="32" t="n">
        <v>25518.04</v>
      </c>
      <c r="I120" s="32" t="n">
        <v>1162.1</v>
      </c>
      <c r="J120" s="32" t="n">
        <v>1.44</v>
      </c>
      <c r="K120" s="32" t="n">
        <v>20810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64.17</v>
      </c>
      <c r="P120" s="32" t="n">
        <v>43.6</v>
      </c>
      <c r="Q120" s="32" t="n">
        <v>976.51</v>
      </c>
      <c r="R120" s="31" t="inlineStr">
        <is>
          <t>Earnings / Momentum Support</t>
        </is>
      </c>
      <c r="S120" s="31" t="inlineStr">
        <is>
          <t>Nifty FMCG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IF(B121=0,"",RANK(B121,$B$2:$B$171,0))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OMAXE</t>
        </is>
      </c>
      <c r="D121" s="31" t="inlineStr">
        <is>
          <t>Omaxe Limited</t>
        </is>
      </c>
      <c r="E121" s="31" t="inlineStr">
        <is>
          <t>realty</t>
        </is>
      </c>
      <c r="F121" s="31" t="inlineStr">
        <is>
          <t>construction</t>
        </is>
      </c>
      <c r="G121" s="31" t="inlineStr">
        <is>
          <t>smallcap</t>
        </is>
      </c>
      <c r="H121" s="32" t="n">
        <v>1988.13</v>
      </c>
      <c r="I121" s="32" t="n">
        <v>113.94</v>
      </c>
      <c r="J121" s="32" t="n">
        <v>4.82</v>
      </c>
      <c r="K121" s="32" t="n">
        <v>1528915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58.5</v>
      </c>
      <c r="P121" s="32" t="n">
        <v>49.05</v>
      </c>
      <c r="Q121" s="32" t="n">
        <v>95.06999999999999</v>
      </c>
      <c r="R121" s="31" t="inlineStr">
        <is>
          <t>Earnings / Momentum Support</t>
        </is>
      </c>
      <c r="S121" s="31" t="inlineStr">
        <is>
          <t>Nifty Realty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IF(B122=0,"",RANK(B122,$B$2:$B$171,0))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INDHOTEL</t>
        </is>
      </c>
      <c r="D122" s="31" t="inlineStr">
        <is>
          <t>The Indian Hotels Company Limited</t>
        </is>
      </c>
      <c r="E122" s="31" t="inlineStr">
        <is>
          <t>services</t>
        </is>
      </c>
      <c r="F122" s="31" t="inlineStr">
        <is>
          <t>hotels</t>
        </is>
      </c>
      <c r="G122" s="31" t="inlineStr">
        <is>
          <t>largecap</t>
        </is>
      </c>
      <c r="H122" s="32" t="n">
        <v>105540.38</v>
      </c>
      <c r="I122" s="32" t="n">
        <v>772.1</v>
      </c>
      <c r="J122" s="32" t="n">
        <v>4.13</v>
      </c>
      <c r="K122" s="32" t="n">
        <v>9335235</v>
      </c>
      <c r="L122" s="31" t="n">
        <v>14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64.47</v>
      </c>
      <c r="P122" s="32" t="n">
        <v>12.2</v>
      </c>
      <c r="Q122" s="32" t="n">
        <v>666.4400000000001</v>
      </c>
      <c r="R122" s="31" t="inlineStr">
        <is>
          <t>Volume Spike &amp; Near 52W High Breakout</t>
        </is>
      </c>
      <c r="S122" s="31" t="inlineStr">
        <is>
          <t>Nifty 50</t>
        </is>
      </c>
      <c r="T122" s="32" t="n">
        <v>-9.970000000000001</v>
      </c>
      <c r="U122" s="32" t="n">
        <v>5.46</v>
      </c>
      <c r="V122" s="32" t="n">
        <v>17.14</v>
      </c>
      <c r="W122" s="32" t="n">
        <v>2.49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IF(B123=0,"",RANK(B123,$B$2:$B$171,0))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GOODLUCK</t>
        </is>
      </c>
      <c r="D123" s="31" t="inlineStr">
        <is>
          <t>Goodluck India Limited</t>
        </is>
      </c>
      <c r="E123" s="31" t="inlineStr">
        <is>
          <t>metals &amp; mining</t>
        </is>
      </c>
      <c r="F123" s="31" t="inlineStr">
        <is>
          <t>steel - medium / small</t>
        </is>
      </c>
      <c r="G123" s="31" t="inlineStr">
        <is>
          <t>midcap</t>
        </is>
      </c>
      <c r="H123" s="32" t="n">
        <v>5755.58</v>
      </c>
      <c r="I123" s="32" t="n">
        <v>593.05</v>
      </c>
      <c r="J123" s="32" t="n">
        <v>2.75</v>
      </c>
      <c r="K123" s="32" t="n">
        <v>785818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66.52</v>
      </c>
      <c r="P123" s="32" t="n">
        <v>30.54</v>
      </c>
      <c r="Q123" s="32" t="n">
        <v>436.09</v>
      </c>
      <c r="R123" s="31" t="inlineStr">
        <is>
          <t>Volume Spike &amp; Near 52W High Breakout</t>
        </is>
      </c>
      <c r="S123" s="31" t="inlineStr">
        <is>
          <t>Nifty Metal</t>
        </is>
      </c>
      <c r="T123" s="32" t="inlineStr"/>
      <c r="U123" s="32" t="inlineStr"/>
      <c r="V123" s="32" t="inlineStr"/>
      <c r="W123" s="32" t="inlineStr"/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Cyclical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Volatile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IF(B124=0,"",RANK(B124,$B$2:$B$171,0))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SANATHAN</t>
        </is>
      </c>
      <c r="D124" s="31" t="inlineStr">
        <is>
          <t>Sanathan Textiles Ltd</t>
        </is>
      </c>
      <c r="E124" s="31" t="inlineStr">
        <is>
          <t>textiles</t>
        </is>
      </c>
      <c r="F124" s="31" t="inlineStr">
        <is>
          <t>textiles - cotton/blended</t>
        </is>
      </c>
      <c r="G124" s="31" t="inlineStr">
        <is>
          <t>smallcap</t>
        </is>
      </c>
      <c r="H124" s="32" t="n">
        <v>4614.37</v>
      </c>
      <c r="I124" s="32" t="n">
        <v>556.65</v>
      </c>
      <c r="J124" s="32" t="n">
        <v>1.82</v>
      </c>
      <c r="K124" s="32" t="n">
        <v>135269</v>
      </c>
      <c r="L124" s="31" t="n">
        <v>33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71.45999999999999</v>
      </c>
      <c r="P124" s="32" t="n">
        <v>25.83</v>
      </c>
      <c r="Q124" s="32" t="n">
        <v>431.64</v>
      </c>
      <c r="R124" s="31" t="inlineStr">
        <is>
          <t>Volume Spike &amp; Near 52W High Breakout</t>
        </is>
      </c>
      <c r="S124" s="31" t="inlineStr">
        <is>
          <t>Nifty 50</t>
        </is>
      </c>
      <c r="T124" s="32" t="n">
        <v>-9.970000000000001</v>
      </c>
      <c r="U124" s="32" t="n">
        <v>12.67</v>
      </c>
      <c r="V124" s="32" t="n">
        <v>25.15</v>
      </c>
      <c r="W124" s="32" t="n">
        <v>8.43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IF(B125=0,"",RANK(B125,$B$2:$B$171,0))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LOKESHMACH</t>
        </is>
      </c>
      <c r="D125" s="31" t="inlineStr">
        <is>
          <t>Lokesh Machines Limited</t>
        </is>
      </c>
      <c r="E125" s="31" t="inlineStr">
        <is>
          <t>industrials</t>
        </is>
      </c>
      <c r="F125" s="31" t="inlineStr">
        <is>
          <t>engineering</t>
        </is>
      </c>
      <c r="G125" s="31" t="inlineStr">
        <is>
          <t>smallcap</t>
        </is>
      </c>
      <c r="H125" s="32" t="n">
        <v>928.22</v>
      </c>
      <c r="I125" s="32" t="n">
        <v>428.1</v>
      </c>
      <c r="J125" s="32" t="n">
        <v>0.53</v>
      </c>
      <c r="K125" s="32" t="n">
        <v>65887</v>
      </c>
      <c r="L125" s="31" t="n">
        <v>78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71.01000000000001</v>
      </c>
      <c r="P125" s="32" t="n">
        <v>40.01</v>
      </c>
      <c r="Q125" s="32" t="n">
        <v>330.89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-9.970000000000001</v>
      </c>
      <c r="U125" s="32" t="n">
        <v>132.6</v>
      </c>
      <c r="V125" s="32" t="n">
        <v>158.36</v>
      </c>
      <c r="W125" s="32" t="n">
        <v>25.48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IF(B126=0,"",RANK(B126,$B$2:$B$171,0))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UDS</t>
        </is>
      </c>
      <c r="D126" s="31" t="inlineStr">
        <is>
          <t>Updater Services Ltd</t>
        </is>
      </c>
      <c r="E126" s="31" t="inlineStr">
        <is>
          <t>miscellaneous</t>
        </is>
      </c>
      <c r="F126" s="31" t="inlineStr">
        <is>
          <t>miscellaneous</t>
        </is>
      </c>
      <c r="G126" s="31" t="inlineStr">
        <is>
          <t>smallcap</t>
        </is>
      </c>
      <c r="H126" s="32" t="n">
        <v>1469.09</v>
      </c>
      <c r="I126" s="32" t="n">
        <v>220.09</v>
      </c>
      <c r="J126" s="32" t="n">
        <v>0.31</v>
      </c>
      <c r="K126" s="32" t="n">
        <v>350966</v>
      </c>
      <c r="L126" s="31" t="n">
        <v>21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58.04</v>
      </c>
      <c r="P126" s="32" t="n">
        <v>36.9</v>
      </c>
      <c r="Q126" s="32" t="n">
        <v>181.99</v>
      </c>
      <c r="R126" s="31" t="inlineStr">
        <is>
          <t>Earnings / Momentum Support</t>
        </is>
      </c>
      <c r="S126" s="31" t="inlineStr">
        <is>
          <t>Nifty 50</t>
        </is>
      </c>
      <c r="T126" s="32" t="n">
        <v>-9.970000000000001</v>
      </c>
      <c r="U126" s="32" t="n">
        <v>-0.19</v>
      </c>
      <c r="V126" s="32" t="n">
        <v>10.87</v>
      </c>
      <c r="W126" s="32" t="n">
        <v>3.99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IF(B127=0,"",RANK(B127,$B$2:$B$171,0))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GLOBAL</t>
        </is>
      </c>
      <c r="D127" s="31" t="inlineStr">
        <is>
          <t>Global Education Ltd</t>
        </is>
      </c>
      <c r="E127" s="31" t="inlineStr">
        <is>
          <t>services</t>
        </is>
      </c>
      <c r="F127" s="31" t="inlineStr">
        <is>
          <t>miscellaneous</t>
        </is>
      </c>
      <c r="G127" s="31" t="inlineStr">
        <is>
          <t>smallcap</t>
        </is>
      </c>
      <c r="H127" s="32" t="n">
        <v>735.53</v>
      </c>
      <c r="I127" s="32" t="n">
        <v>142.7</v>
      </c>
      <c r="J127" s="32" t="n">
        <v>-1.25</v>
      </c>
      <c r="K127" s="32" t="n">
        <v>42994</v>
      </c>
      <c r="L127" s="31" t="n">
        <v>82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78.33</v>
      </c>
      <c r="P127" s="32" t="n">
        <v>33.82</v>
      </c>
      <c r="Q127" s="32" t="n">
        <v>111.68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-9.970000000000001</v>
      </c>
      <c r="U127" s="32" t="n">
        <v>136.4</v>
      </c>
      <c r="V127" s="32" t="n">
        <v>162.58</v>
      </c>
      <c r="W127" s="32" t="n">
        <v>28.95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IF(B128=0,"",RANK(B128,$B$2:$B$171,0))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ZOTA</t>
        </is>
      </c>
      <c r="D128" s="33" t="inlineStr">
        <is>
          <t>Zota Health Care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smallcap</t>
        </is>
      </c>
      <c r="H128" s="32" t="n">
        <v>4738.78</v>
      </c>
      <c r="I128" s="32" t="n">
        <v>1409.3</v>
      </c>
      <c r="J128" s="32" t="n">
        <v>3</v>
      </c>
      <c r="K128" s="32" t="n">
        <v>50289</v>
      </c>
      <c r="L128" s="31" t="n">
        <v>7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58.84</v>
      </c>
      <c r="P128" s="32" t="n">
        <v>19.53</v>
      </c>
      <c r="Q128" s="32" t="n">
        <v>1027.31</v>
      </c>
      <c r="R128" s="31" t="inlineStr">
        <is>
          <t>Earnings / Momentum Support</t>
        </is>
      </c>
      <c r="S128" s="31" t="inlineStr">
        <is>
          <t>Nifty Pharma</t>
        </is>
      </c>
      <c r="T128" s="32" t="n">
        <v>15.85</v>
      </c>
      <c r="U128" s="32" t="n">
        <v>-7.36</v>
      </c>
      <c r="V128" s="32" t="n">
        <v>-20.04</v>
      </c>
      <c r="W128" s="32" t="n">
        <v>-0.4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IF(B129=0,"",RANK(B129,$B$2:$B$171,0))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APOLLO</t>
        </is>
      </c>
      <c r="D129" s="31" t="inlineStr">
        <is>
          <t>Apollo Micro Systems Ltd</t>
        </is>
      </c>
      <c r="E129" s="31" t="inlineStr">
        <is>
          <t>aerospace &amp; defence</t>
        </is>
      </c>
      <c r="F129" s="31" t="inlineStr">
        <is>
          <t>electronics - components</t>
        </is>
      </c>
      <c r="G129" s="31" t="inlineStr">
        <is>
          <t>midcap</t>
        </is>
      </c>
      <c r="H129" s="32" t="n">
        <v>15499.42</v>
      </c>
      <c r="I129" s="32" t="n">
        <v>429</v>
      </c>
      <c r="J129" s="32" t="n">
        <v>2.85</v>
      </c>
      <c r="K129" s="32" t="n">
        <v>14129273</v>
      </c>
      <c r="L129" s="31" t="n">
        <v>46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60.82</v>
      </c>
      <c r="P129" s="32" t="n">
        <v>29.01</v>
      </c>
      <c r="Q129" s="32" t="n">
        <v>314.31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-9.970000000000001</v>
      </c>
      <c r="U129" s="32" t="n">
        <v>46.18</v>
      </c>
      <c r="V129" s="32" t="n">
        <v>62.37</v>
      </c>
      <c r="W129" s="32" t="n">
        <v>11.05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Oligopoly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Cyclical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Fully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Yes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Between 1.5 to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IF(B130=0,"",RANK(B130,$B$2:$B$171,0))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JUSTDIAL</t>
        </is>
      </c>
      <c r="D130" s="33" t="inlineStr">
        <is>
          <t>Just Dial Limited</t>
        </is>
      </c>
      <c r="E130" s="31" t="inlineStr">
        <is>
          <t>i.t</t>
        </is>
      </c>
      <c r="F130" s="31" t="inlineStr">
        <is>
          <t>miscellaneous</t>
        </is>
      </c>
      <c r="G130" s="31" t="inlineStr">
        <is>
          <t>midcap</t>
        </is>
      </c>
      <c r="H130" s="32" t="n">
        <v>5789.29</v>
      </c>
      <c r="I130" s="32" t="n">
        <v>713.25</v>
      </c>
      <c r="J130" s="32" t="n">
        <v>4.78</v>
      </c>
      <c r="K130" s="32" t="n">
        <v>503845</v>
      </c>
      <c r="L130" s="31" t="n">
        <v>3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60.27</v>
      </c>
      <c r="P130" s="32" t="n">
        <v>37.01</v>
      </c>
      <c r="Q130" s="32" t="n">
        <v>615.71</v>
      </c>
      <c r="R130" s="31" t="inlineStr">
        <is>
          <t>Earnings / Momentum Support</t>
        </is>
      </c>
      <c r="S130" s="31" t="inlineStr">
        <is>
          <t>Nifty IT</t>
        </is>
      </c>
      <c r="T130" s="32" t="n">
        <v>-8.66</v>
      </c>
      <c r="U130" s="32" t="n">
        <v>-9.77</v>
      </c>
      <c r="V130" s="32" t="n">
        <v>-1.21</v>
      </c>
      <c r="W130" s="32" t="n">
        <v>-1.43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IF(B131=0,"",RANK(B131,$B$2:$B$171,0))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SHREEPUSHK</t>
        </is>
      </c>
      <c r="D131" s="31" t="inlineStr">
        <is>
          <t>Shree Pushkar Chemicals &amp; Fertilisers Limited</t>
        </is>
      </c>
      <c r="E131" s="31" t="inlineStr">
        <is>
          <t>chemicals</t>
        </is>
      </c>
      <c r="F131" s="31" t="inlineStr">
        <is>
          <t>dyes and pigments</t>
        </is>
      </c>
      <c r="G131" s="31" t="inlineStr">
        <is>
          <t>smallcap</t>
        </is>
      </c>
      <c r="H131" s="32" t="n">
        <v>1608.48</v>
      </c>
      <c r="I131" s="32" t="n">
        <v>503.8</v>
      </c>
      <c r="J131" s="32" t="n">
        <v>1.29</v>
      </c>
      <c r="K131" s="32" t="n">
        <v>44931</v>
      </c>
      <c r="L131" s="31" t="n">
        <v>43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67.22</v>
      </c>
      <c r="P131" s="32" t="n">
        <v>45.44</v>
      </c>
      <c r="Q131" s="32" t="n">
        <v>385.55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-9.970000000000001</v>
      </c>
      <c r="U131" s="32" t="n">
        <v>26</v>
      </c>
      <c r="V131" s="32" t="n">
        <v>39.95</v>
      </c>
      <c r="W131" s="32" t="n">
        <v>10.53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IF(B132=0,"",RANK(B132,$B$2:$B$171,0))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MANAKSTEEL</t>
        </is>
      </c>
      <c r="D132" s="31" t="inlineStr">
        <is>
          <t>Manaksia Steels Limited</t>
        </is>
      </c>
      <c r="E132" s="31" t="inlineStr">
        <is>
          <t>metals &amp; mining</t>
        </is>
      </c>
      <c r="F132" s="31" t="inlineStr">
        <is>
          <t>steel - medium / small</t>
        </is>
      </c>
      <c r="G132" s="31" t="inlineStr">
        <is>
          <t>smallcap</t>
        </is>
      </c>
      <c r="H132" s="32" t="n">
        <v>722.71</v>
      </c>
      <c r="I132" s="32" t="n">
        <v>111.04</v>
      </c>
      <c r="J132" s="32" t="n">
        <v>0.6899999999999999</v>
      </c>
      <c r="K132" s="32" t="n">
        <v>50478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69.54000000000001</v>
      </c>
      <c r="P132" s="32" t="n">
        <v>49.22</v>
      </c>
      <c r="Q132" s="32" t="n">
        <v>86.92</v>
      </c>
      <c r="R132" s="31" t="inlineStr">
        <is>
          <t>Earnings / Momentum Support</t>
        </is>
      </c>
      <c r="S132" s="31" t="inlineStr">
        <is>
          <t>Nifty Metal</t>
        </is>
      </c>
      <c r="T132" s="32" t="inlineStr"/>
      <c r="U132" s="32" t="inlineStr"/>
      <c r="V132" s="32" t="inlineStr"/>
      <c r="W132" s="32" t="inlineStr"/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IF(B133=0,"",RANK(B133,$B$2:$B$171,0))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GPTINFRA</t>
        </is>
      </c>
      <c r="D133" s="31" t="inlineStr">
        <is>
          <t>Gpt Infraprojects Limited</t>
        </is>
      </c>
      <c r="E133" s="31" t="inlineStr">
        <is>
          <t>realty</t>
        </is>
      </c>
      <c r="F133" s="31" t="inlineStr">
        <is>
          <t>construction</t>
        </is>
      </c>
      <c r="G133" s="31" t="inlineStr">
        <is>
          <t>smallcap</t>
        </is>
      </c>
      <c r="H133" s="32" t="n">
        <v>1576.52</v>
      </c>
      <c r="I133" s="32" t="n">
        <v>125.6</v>
      </c>
      <c r="J133" s="32" t="n">
        <v>0.67</v>
      </c>
      <c r="K133" s="32" t="n">
        <v>78948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60.46</v>
      </c>
      <c r="P133" s="32" t="n">
        <v>16.26</v>
      </c>
      <c r="Q133" s="32" t="n">
        <v>96.15000000000001</v>
      </c>
      <c r="R133" s="31" t="inlineStr">
        <is>
          <t>Near 52W High Breakout</t>
        </is>
      </c>
      <c r="S133" s="31" t="inlineStr">
        <is>
          <t>Nifty Realty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IF(B134=0,"",RANK(B134,$B$2:$B$171,0))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PREMEXPLN</t>
        </is>
      </c>
      <c r="D134" s="31" t="inlineStr">
        <is>
          <t>Premier Explosives Limited</t>
        </is>
      </c>
      <c r="E134" s="31" t="inlineStr">
        <is>
          <t>aerospace &amp; defence</t>
        </is>
      </c>
      <c r="F134" s="31" t="inlineStr">
        <is>
          <t>chemicals</t>
        </is>
      </c>
      <c r="G134" s="31" t="inlineStr">
        <is>
          <t>smallcap</t>
        </is>
      </c>
      <c r="H134" s="32" t="n">
        <v>3712.75</v>
      </c>
      <c r="I134" s="32" t="n">
        <v>691.4</v>
      </c>
      <c r="J134" s="32" t="n">
        <v>0.12</v>
      </c>
      <c r="K134" s="32" t="n">
        <v>198254</v>
      </c>
      <c r="L134" s="31" t="n">
        <v>23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59.68</v>
      </c>
      <c r="P134" s="32" t="n">
        <v>30.83</v>
      </c>
      <c r="Q134" s="32" t="n">
        <v>571.1900000000001</v>
      </c>
      <c r="R134" s="31" t="inlineStr">
        <is>
          <t>Earnings / Momentum Support</t>
        </is>
      </c>
      <c r="S134" s="31" t="inlineStr">
        <is>
          <t>Nifty 50</t>
        </is>
      </c>
      <c r="T134" s="32" t="n">
        <v>-9.970000000000001</v>
      </c>
      <c r="U134" s="32" t="n">
        <v>12.07</v>
      </c>
      <c r="V134" s="32" t="n">
        <v>24.48</v>
      </c>
      <c r="W134" s="32" t="n">
        <v>4.39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IF(B135=0,"",RANK(B135,$B$2:$B$171,0))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ROSSTECH</t>
        </is>
      </c>
      <c r="D135" s="31" t="inlineStr">
        <is>
          <t>Rossell Techsys Ltd</t>
        </is>
      </c>
      <c r="E135" s="31" t="inlineStr">
        <is>
          <t>aerospace &amp; defence</t>
        </is>
      </c>
      <c r="F135" s="31" t="inlineStr">
        <is>
          <t>engineering</t>
        </is>
      </c>
      <c r="G135" s="31" t="inlineStr">
        <is>
          <t>midcap</t>
        </is>
      </c>
      <c r="H135" s="32" t="n">
        <v>5896.86</v>
      </c>
      <c r="I135" s="32" t="n">
        <v>1523.5</v>
      </c>
      <c r="J135" s="32" t="n">
        <v>-2.61</v>
      </c>
      <c r="K135" s="32" t="n">
        <v>65467</v>
      </c>
      <c r="L135" s="31" t="n">
        <v>85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76.65000000000001</v>
      </c>
      <c r="P135" s="32" t="n">
        <v>37.97</v>
      </c>
      <c r="Q135" s="32" t="n">
        <v>1175.23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-9.970000000000001</v>
      </c>
      <c r="U135" s="32" t="n">
        <v>131.6</v>
      </c>
      <c r="V135" s="32" t="n">
        <v>157.26</v>
      </c>
      <c r="W135" s="32" t="n">
        <v>32.04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IF(B136=0,"",RANK(B136,$B$2:$B$171,0))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SEJALLTD</t>
        </is>
      </c>
      <c r="D136" s="31" t="inlineStr">
        <is>
          <t>Sejal Glass Ltd</t>
        </is>
      </c>
      <c r="E136" s="31" t="inlineStr">
        <is>
          <t>building materials</t>
        </is>
      </c>
      <c r="F136" s="31" t="inlineStr">
        <is>
          <t>glass &amp; glass products</t>
        </is>
      </c>
      <c r="G136" s="31" t="inlineStr">
        <is>
          <t>smallcap</t>
        </is>
      </c>
      <c r="H136" s="32" t="n">
        <v>1101.41</v>
      </c>
      <c r="I136" s="32" t="n">
        <v>870.35</v>
      </c>
      <c r="J136" s="32" t="n">
        <v>-9.92</v>
      </c>
      <c r="K136" s="32" t="n">
        <v>148125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62.92</v>
      </c>
      <c r="P136" s="32" t="n">
        <v>9.98</v>
      </c>
      <c r="Q136" s="32" t="n">
        <v>567.13</v>
      </c>
      <c r="R136" s="31" t="inlineStr">
        <is>
          <t>Volume Spike / Accumulation</t>
        </is>
      </c>
      <c r="S136" s="31" t="inlineStr">
        <is>
          <t>Nifty Infra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More than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IF(B137=0,"",RANK(B137,$B$2:$B$171,0))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TIPSMUSIC</t>
        </is>
      </c>
      <c r="D137" s="31" t="inlineStr">
        <is>
          <t>Tips Music Ltd</t>
        </is>
      </c>
      <c r="E137" s="31" t="inlineStr">
        <is>
          <t>media</t>
        </is>
      </c>
      <c r="F137" s="31" t="inlineStr">
        <is>
          <t>entertainment / electronic media software</t>
        </is>
      </c>
      <c r="G137" s="31" t="inlineStr">
        <is>
          <t>midcap</t>
        </is>
      </c>
      <c r="H137" s="32" t="n">
        <v>8726.57</v>
      </c>
      <c r="I137" s="32" t="n">
        <v>746.9</v>
      </c>
      <c r="J137" s="32" t="n">
        <v>9.130000000000001</v>
      </c>
      <c r="K137" s="32" t="n">
        <v>4468460</v>
      </c>
      <c r="L137" s="31" t="n">
        <v>44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64.67</v>
      </c>
      <c r="P137" s="32" t="n">
        <v>17.27</v>
      </c>
      <c r="Q137" s="32" t="n">
        <v>589.72</v>
      </c>
      <c r="R137" s="31" t="inlineStr">
        <is>
          <t>Volume Spike &amp; Near 52W High Breakout</t>
        </is>
      </c>
      <c r="S137" s="31" t="inlineStr">
        <is>
          <t>Nifty IT</t>
        </is>
      </c>
      <c r="T137" s="32" t="n">
        <v>-8.66</v>
      </c>
      <c r="U137" s="32" t="n">
        <v>48.29</v>
      </c>
      <c r="V137" s="32" t="n">
        <v>62.35</v>
      </c>
      <c r="W137" s="32" t="n">
        <v>10.67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IF(B138=0,"",RANK(B138,$B$2:$B$171,0))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AXISCADES</t>
        </is>
      </c>
      <c r="D138" s="31" t="inlineStr">
        <is>
          <t>AXISCADES Technologies Ltd</t>
        </is>
      </c>
      <c r="E138" s="31" t="inlineStr">
        <is>
          <t>aerospace &amp; defence</t>
        </is>
      </c>
      <c r="F138" s="31" t="inlineStr">
        <is>
          <t>computers - software - medium / small</t>
        </is>
      </c>
      <c r="G138" s="31" t="inlineStr">
        <is>
          <t>midcap</t>
        </is>
      </c>
      <c r="H138" s="32" t="n">
        <v>8593.389999999999</v>
      </c>
      <c r="I138" s="32" t="n">
        <v>2116</v>
      </c>
      <c r="J138" s="32" t="n">
        <v>4.73</v>
      </c>
      <c r="K138" s="32" t="n">
        <v>207495</v>
      </c>
      <c r="L138" s="31" t="n">
        <v>62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62.08</v>
      </c>
      <c r="P138" s="32" t="n">
        <v>17.02</v>
      </c>
      <c r="Q138" s="32" t="n">
        <v>1677.4</v>
      </c>
      <c r="R138" s="31" t="inlineStr">
        <is>
          <t>Earnings / Momentum Support</t>
        </is>
      </c>
      <c r="S138" s="31" t="inlineStr">
        <is>
          <t>Nifty IT</t>
        </is>
      </c>
      <c r="T138" s="32" t="n">
        <v>-8.66</v>
      </c>
      <c r="U138" s="32" t="n">
        <v>39.47</v>
      </c>
      <c r="V138" s="32" t="n">
        <v>52.69</v>
      </c>
      <c r="W138" s="32" t="n">
        <v>17.42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IF(B139=0,"",RANK(B139,$B$2:$B$171,0))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INDIAGLYCO</t>
        </is>
      </c>
      <c r="D139" s="31" t="inlineStr">
        <is>
          <t>India Glycols Limited</t>
        </is>
      </c>
      <c r="E139" s="31" t="inlineStr">
        <is>
          <t>fmcg</t>
        </is>
      </c>
      <c r="F139" s="31" t="inlineStr">
        <is>
          <t>breweries &amp; distilleries</t>
        </is>
      </c>
      <c r="G139" s="31" t="inlineStr">
        <is>
          <t>smallcap</t>
        </is>
      </c>
      <c r="H139" s="32" t="n">
        <v>2202.16</v>
      </c>
      <c r="I139" s="32" t="n">
        <v>331.95</v>
      </c>
      <c r="J139" s="32" t="n">
        <v>1.03</v>
      </c>
      <c r="K139" s="32" t="n">
        <v>689568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29.15</v>
      </c>
      <c r="P139" s="32" t="n">
        <v>41.71</v>
      </c>
      <c r="Q139" s="32" t="n">
        <v>827.08</v>
      </c>
      <c r="R139" s="31" t="inlineStr">
        <is>
          <t>Volume Spike / Accumulation</t>
        </is>
      </c>
      <c r="S139" s="31" t="inlineStr">
        <is>
          <t>Nifty FMCG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B2C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Below 45</t>
        </is>
      </c>
      <c r="BA139" s="31">
        <f>IF(AZ139="Between 50 to 75",10,IF(AZ139="Above 75",0,0))</f>
        <v/>
      </c>
      <c r="BB139" s="31" t="inlineStr">
        <is>
          <t>Stage 4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No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IF(B140=0,"",RANK(B140,$B$2:$B$171,0))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SHREERAMA</t>
        </is>
      </c>
      <c r="D140" s="31" t="inlineStr">
        <is>
          <t>Shree Rama Multi-tech Limited</t>
        </is>
      </c>
      <c r="E140" s="31" t="inlineStr">
        <is>
          <t>industrials</t>
        </is>
      </c>
      <c r="F140" s="31" t="inlineStr">
        <is>
          <t>packaging</t>
        </is>
      </c>
      <c r="G140" s="31" t="inlineStr">
        <is>
          <t>smallcap</t>
        </is>
      </c>
      <c r="H140" s="32" t="n">
        <v>677.35</v>
      </c>
      <c r="I140" s="32" t="n">
        <v>58.53</v>
      </c>
      <c r="J140" s="32" t="n">
        <v>15.33</v>
      </c>
      <c r="K140" s="32" t="n">
        <v>1421529</v>
      </c>
      <c r="L140" s="31" t="n">
        <v>39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65.04000000000001</v>
      </c>
      <c r="P140" s="32" t="n">
        <v>12.72</v>
      </c>
      <c r="Q140" s="32" t="n">
        <v>39.9</v>
      </c>
      <c r="R140" s="31" t="inlineStr">
        <is>
          <t>Volume Spike / Accumulation</t>
        </is>
      </c>
      <c r="S140" s="31" t="inlineStr">
        <is>
          <t>Nifty 50</t>
        </is>
      </c>
      <c r="T140" s="32" t="n">
        <v>-9.970000000000001</v>
      </c>
      <c r="U140" s="32" t="n">
        <v>-0.44</v>
      </c>
      <c r="V140" s="32" t="n">
        <v>10.58</v>
      </c>
      <c r="W140" s="32" t="n">
        <v>9.65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IF(B141=0,"",RANK(B141,$B$2:$B$171,0))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SIMPLEXINF</t>
        </is>
      </c>
      <c r="D141" s="31" t="inlineStr">
        <is>
          <t>Simplex Infrastructures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smallcap</t>
        </is>
      </c>
      <c r="H141" s="32" t="n">
        <v>2076.25</v>
      </c>
      <c r="I141" s="32" t="n">
        <v>275.84</v>
      </c>
      <c r="J141" s="32" t="n">
        <v>5.08</v>
      </c>
      <c r="K141" s="32" t="n">
        <v>581026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58.72</v>
      </c>
      <c r="P141" s="32" t="n">
        <v>15.04</v>
      </c>
      <c r="Q141" s="32" t="n">
        <v>196.24</v>
      </c>
      <c r="R141" s="31" t="inlineStr">
        <is>
          <t>Volume Spike / Accumulation</t>
        </is>
      </c>
      <c r="S141" s="31" t="inlineStr">
        <is>
          <t>Nifty Realty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More than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IF(B142=0,"",RANK(B142,$B$2:$B$171,0))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RATNAVEER</t>
        </is>
      </c>
      <c r="D142" s="31" t="inlineStr">
        <is>
          <t>Ratnaveer Precision Engineering Ltd</t>
        </is>
      </c>
      <c r="E142" s="31" t="inlineStr">
        <is>
          <t>metals &amp; mining</t>
        </is>
      </c>
      <c r="F142" s="31" t="inlineStr">
        <is>
          <t>steel - medium / small</t>
        </is>
      </c>
      <c r="G142" s="31" t="inlineStr">
        <is>
          <t>smallcap</t>
        </is>
      </c>
      <c r="H142" s="32" t="n">
        <v>2756.14</v>
      </c>
      <c r="I142" s="32" t="n">
        <v>342.9</v>
      </c>
      <c r="J142" s="32" t="n">
        <v>4.42</v>
      </c>
      <c r="K142" s="32" t="n">
        <v>4778914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80.94</v>
      </c>
      <c r="P142" s="32" t="n">
        <v>71.41</v>
      </c>
      <c r="Q142" s="32" t="n">
        <v>255.74</v>
      </c>
      <c r="R142" s="31" t="inlineStr">
        <is>
          <t>Near 52W High Breakout</t>
        </is>
      </c>
      <c r="S142" s="31" t="inlineStr">
        <is>
          <t>Nifty Metal</t>
        </is>
      </c>
      <c r="T142" s="32" t="inlineStr"/>
      <c r="U142" s="32" t="inlineStr"/>
      <c r="V142" s="32" t="inlineStr"/>
      <c r="W142" s="32" t="inlineStr"/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Cyclical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Volatile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IF(B143=0,"",RANK(B143,$B$2:$B$171,0))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STYLEBAAZA</t>
        </is>
      </c>
      <c r="D143" s="31" t="inlineStr">
        <is>
          <t>Baazar Style Retail Ltd</t>
        </is>
      </c>
      <c r="E143" s="31" t="inlineStr">
        <is>
          <t>consumer discretionary</t>
        </is>
      </c>
      <c r="F143" s="31" t="inlineStr">
        <is>
          <t>trading</t>
        </is>
      </c>
      <c r="G143" s="31" t="inlineStr">
        <is>
          <t>smallcap</t>
        </is>
      </c>
      <c r="H143" s="32" t="n">
        <v>2961.69</v>
      </c>
      <c r="I143" s="32" t="n">
        <v>399.5</v>
      </c>
      <c r="J143" s="32" t="n">
        <v>4.02</v>
      </c>
      <c r="K143" s="32" t="n">
        <v>3887318</v>
      </c>
      <c r="L143" s="31" t="n">
        <v>48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59.07</v>
      </c>
      <c r="P143" s="32" t="n">
        <v>20.88</v>
      </c>
      <c r="Q143" s="32" t="n">
        <v>293.78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-9.970000000000001</v>
      </c>
      <c r="U143" s="32" t="n">
        <v>23.51</v>
      </c>
      <c r="V143" s="32" t="n">
        <v>37.19</v>
      </c>
      <c r="W143" s="32" t="n">
        <v>12.59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IF(B144=0,"",RANK(B144,$B$2:$B$171,0))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ARIS</t>
        </is>
      </c>
      <c r="D144" s="33" t="inlineStr">
        <is>
          <t>Arisinfra Solutions Ltd</t>
        </is>
      </c>
      <c r="E144" s="31" t="inlineStr">
        <is>
          <t>services</t>
        </is>
      </c>
      <c r="F144" s="31" t="inlineStr">
        <is>
          <t>trading</t>
        </is>
      </c>
      <c r="G144" s="31" t="inlineStr">
        <is>
          <t>smallcap</t>
        </is>
      </c>
      <c r="H144" s="32" t="n">
        <v>1144.38</v>
      </c>
      <c r="I144" s="32" t="n">
        <v>144.22</v>
      </c>
      <c r="J144" s="32" t="n">
        <v>3.08</v>
      </c>
      <c r="K144" s="32" t="n">
        <v>1302278</v>
      </c>
      <c r="L144" s="31" t="n">
        <v>24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57.64</v>
      </c>
      <c r="P144" s="32" t="n">
        <v>9.859999999999999</v>
      </c>
      <c r="Q144" s="32" t="n">
        <v>108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-9.970000000000001</v>
      </c>
      <c r="U144" s="32" t="n">
        <v>-14.34</v>
      </c>
      <c r="V144" s="32" t="n">
        <v>-4.85</v>
      </c>
      <c r="W144" s="32" t="n">
        <v>4.72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IF(B145=0,"",RANK(B145,$B$2:$B$171,0))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SUNFLAG</t>
        </is>
      </c>
      <c r="D145" s="31" t="inlineStr">
        <is>
          <t>Sunflag Iron And Steel Company Limited</t>
        </is>
      </c>
      <c r="E145" s="31" t="inlineStr">
        <is>
          <t>metals &amp; mining</t>
        </is>
      </c>
      <c r="F145" s="31" t="inlineStr">
        <is>
          <t>steel - medium / small</t>
        </is>
      </c>
      <c r="G145" s="31" t="inlineStr">
        <is>
          <t>midcap</t>
        </is>
      </c>
      <c r="H145" s="32" t="n">
        <v>7631.39</v>
      </c>
      <c r="I145" s="32" t="n">
        <v>430.4</v>
      </c>
      <c r="J145" s="32" t="n">
        <v>1.64</v>
      </c>
      <c r="K145" s="32" t="n">
        <v>121316</v>
      </c>
      <c r="L145" s="31" t="inlineStr"/>
      <c r="M145" s="31" t="inlineStr"/>
      <c r="N145" s="32">
        <f>IF(M145="Underperforming",-5,IF(L145&gt;=95,15,IF(L145&gt;=90,10,IF(L145&gt;=80,5,0))))</f>
        <v/>
      </c>
      <c r="O145" s="32" t="n">
        <v>68.16</v>
      </c>
      <c r="P145" s="32" t="n">
        <v>37.21</v>
      </c>
      <c r="Q145" s="32" t="n">
        <v>331.75</v>
      </c>
      <c r="R145" s="31" t="inlineStr">
        <is>
          <t>Near 52W High Breakout</t>
        </is>
      </c>
      <c r="S145" s="31" t="inlineStr">
        <is>
          <t>Nifty Metal</t>
        </is>
      </c>
      <c r="T145" s="32" t="inlineStr"/>
      <c r="U145" s="32" t="inlineStr"/>
      <c r="V145" s="32" t="inlineStr"/>
      <c r="W145" s="32" t="inlineStr"/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Cyclical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Volatile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IF(B146=0,"",RANK(B146,$B$2:$B$171,0))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HINDCOMPOS</t>
        </is>
      </c>
      <c r="D146" s="31" t="inlineStr">
        <is>
          <t>Hindustan Composites Limited</t>
        </is>
      </c>
      <c r="E146" s="31" t="inlineStr">
        <is>
          <t>miscellaneous</t>
        </is>
      </c>
      <c r="F146" s="31" t="inlineStr">
        <is>
          <t>diversified - medium / small</t>
        </is>
      </c>
      <c r="G146" s="31" t="inlineStr">
        <is>
          <t>smallcap</t>
        </is>
      </c>
      <c r="H146" s="32" t="n">
        <v>706.25</v>
      </c>
      <c r="I146" s="32" t="n">
        <v>443.25</v>
      </c>
      <c r="J146" s="32" t="n">
        <v>-7.31</v>
      </c>
      <c r="K146" s="32" t="n">
        <v>147941</v>
      </c>
      <c r="L146" s="31" t="n">
        <v>12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61.85</v>
      </c>
      <c r="P146" s="32" t="n">
        <v>23.19</v>
      </c>
      <c r="Q146" s="32" t="n">
        <v>335.06</v>
      </c>
      <c r="R146" s="31" t="inlineStr">
        <is>
          <t>Volume Spike &amp; Near 52W High Breakout</t>
        </is>
      </c>
      <c r="S146" s="31" t="inlineStr">
        <is>
          <t>Nifty 50</t>
        </is>
      </c>
      <c r="T146" s="32" t="n">
        <v>-9.970000000000001</v>
      </c>
      <c r="U146" s="32" t="n">
        <v>-2.1</v>
      </c>
      <c r="V146" s="32" t="n">
        <v>8.75</v>
      </c>
      <c r="W146" s="32" t="n">
        <v>1.36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1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Between 12 to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IF(B147=0,"",RANK(B147,$B$2:$B$171,0))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PERSISTENT</t>
        </is>
      </c>
      <c r="D147" s="31" t="inlineStr">
        <is>
          <t>Persistent Systems Limited</t>
        </is>
      </c>
      <c r="E147" s="31" t="inlineStr">
        <is>
          <t>i.t</t>
        </is>
      </c>
      <c r="F147" s="31" t="inlineStr">
        <is>
          <t>computers - software - large</t>
        </is>
      </c>
      <c r="G147" s="31" t="inlineStr">
        <is>
          <t>largecap</t>
        </is>
      </c>
      <c r="H147" s="32" t="n">
        <v>92126</v>
      </c>
      <c r="I147" s="32" t="n">
        <v>5741</v>
      </c>
      <c r="J147" s="32" t="n">
        <v>-1.7</v>
      </c>
      <c r="K147" s="32" t="n">
        <v>2196570</v>
      </c>
      <c r="L147" s="31" t="n">
        <v>15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58.32</v>
      </c>
      <c r="P147" s="32" t="n">
        <v>13.98</v>
      </c>
      <c r="Q147" s="32" t="n">
        <v>4736.17</v>
      </c>
      <c r="R147" s="31" t="inlineStr">
        <is>
          <t>Volume Spike / Accumulation</t>
        </is>
      </c>
      <c r="S147" s="31" t="inlineStr">
        <is>
          <t>Nifty IT</t>
        </is>
      </c>
      <c r="T147" s="32" t="n">
        <v>-8.66</v>
      </c>
      <c r="U147" s="32" t="n">
        <v>0.45</v>
      </c>
      <c r="V147" s="32" t="n">
        <v>9.970000000000001</v>
      </c>
      <c r="W147" s="32" t="n">
        <v>2.81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IF(B148=0,"",RANK(B148,$B$2:$B$171,0))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DLF</t>
        </is>
      </c>
      <c r="D148" s="31" t="inlineStr">
        <is>
          <t>Dlf Limited</t>
        </is>
      </c>
      <c r="E148" s="31" t="inlineStr">
        <is>
          <t>realty</t>
        </is>
      </c>
      <c r="F148" s="31" t="inlineStr">
        <is>
          <t>construction</t>
        </is>
      </c>
      <c r="G148" s="31" t="inlineStr">
        <is>
          <t>largecap</t>
        </is>
      </c>
      <c r="H148" s="32" t="n">
        <v>165969.65</v>
      </c>
      <c r="I148" s="32" t="n">
        <v>675</v>
      </c>
      <c r="J148" s="32" t="n">
        <v>0.67</v>
      </c>
      <c r="K148" s="32" t="n">
        <v>1906820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55.65</v>
      </c>
      <c r="P148" s="32" t="n">
        <v>8.720000000000001</v>
      </c>
      <c r="Q148" s="32" t="n">
        <v>565.3200000000001</v>
      </c>
      <c r="R148" s="31" t="inlineStr">
        <is>
          <t>Earnings / Momentum Support</t>
        </is>
      </c>
      <c r="S148" s="31" t="inlineStr">
        <is>
          <t>Nifty Realty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IF(B149=0,"",RANK(B149,$B$2:$B$171,0))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PATELRMART</t>
        </is>
      </c>
      <c r="D149" s="31" t="inlineStr">
        <is>
          <t>Patel Retail Ltd</t>
        </is>
      </c>
      <c r="E149" s="31" t="inlineStr">
        <is>
          <t>consumer discretionary</t>
        </is>
      </c>
      <c r="F149" s="31" t="inlineStr">
        <is>
          <t>trading</t>
        </is>
      </c>
      <c r="G149" s="31" t="inlineStr">
        <is>
          <t>smallcap</t>
        </is>
      </c>
      <c r="H149" s="32" t="n">
        <v>790.1900000000001</v>
      </c>
      <c r="I149" s="32" t="n">
        <v>236.45</v>
      </c>
      <c r="J149" s="32" t="n">
        <v>-0.06</v>
      </c>
      <c r="K149" s="32" t="n">
        <v>32875</v>
      </c>
      <c r="L149" s="31" t="n">
        <v>16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58.95</v>
      </c>
      <c r="P149" s="32" t="n">
        <v>16.01</v>
      </c>
      <c r="Q149" s="32" t="n">
        <v>181.09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-9.970000000000001</v>
      </c>
      <c r="U149" s="32" t="n">
        <v>2.1</v>
      </c>
      <c r="V149" s="32" t="n">
        <v>13.41</v>
      </c>
      <c r="W149" s="32" t="n">
        <v>2.91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IF(B150=0,"",RANK(B150,$B$2:$B$171,0))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ARFIN</t>
        </is>
      </c>
      <c r="D150" s="31" t="inlineStr">
        <is>
          <t>Arfin India Ltd</t>
        </is>
      </c>
      <c r="E150" s="31" t="inlineStr">
        <is>
          <t>metals &amp; mining</t>
        </is>
      </c>
      <c r="F150" s="31" t="inlineStr">
        <is>
          <t>aluminium and aluminium products</t>
        </is>
      </c>
      <c r="G150" s="31" t="inlineStr">
        <is>
          <t>smallcap</t>
        </is>
      </c>
      <c r="H150" s="32" t="n">
        <v>1756.57</v>
      </c>
      <c r="I150" s="32" t="n">
        <v>102.72</v>
      </c>
      <c r="J150" s="32" t="n">
        <v>-1.34</v>
      </c>
      <c r="K150" s="32" t="n">
        <v>2036116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64.56</v>
      </c>
      <c r="P150" s="32" t="n">
        <v>26.21</v>
      </c>
      <c r="Q150" s="32" t="n">
        <v>76.88</v>
      </c>
      <c r="R150" s="31" t="inlineStr">
        <is>
          <t>Volume Spike &amp; Near 52W High Breakout</t>
        </is>
      </c>
      <c r="S150" s="31" t="inlineStr">
        <is>
          <t>Nifty Metal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IF(B151=0,"",RANK(B151,$B$2:$B$171,0))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MAHASTEEL</t>
        </is>
      </c>
      <c r="D151" s="31" t="inlineStr">
        <is>
          <t>Mahamaya Steel Industries Limited</t>
        </is>
      </c>
      <c r="E151" s="31" t="inlineStr">
        <is>
          <t>metals &amp; mining</t>
        </is>
      </c>
      <c r="F151" s="31" t="inlineStr">
        <is>
          <t>steel - medium / small</t>
        </is>
      </c>
      <c r="G151" s="31" t="inlineStr">
        <is>
          <t>smallcap</t>
        </is>
      </c>
      <c r="H151" s="32" t="n">
        <v>1927.26</v>
      </c>
      <c r="I151" s="32" t="n">
        <v>1231.3</v>
      </c>
      <c r="J151" s="32" t="n">
        <v>5</v>
      </c>
      <c r="K151" s="32" t="n">
        <v>18834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61.16</v>
      </c>
      <c r="P151" s="32" t="n">
        <v>28.64</v>
      </c>
      <c r="Q151" s="32" t="n">
        <v>937.51</v>
      </c>
      <c r="R151" s="31" t="inlineStr">
        <is>
          <t>Earnings / Momentum Support</t>
        </is>
      </c>
      <c r="S151" s="31" t="inlineStr">
        <is>
          <t>Nifty Metal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Cyclical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Volatile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IF(B152=0,"",RANK(B152,$B$2:$B$171,0))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BHARTIARTL</t>
        </is>
      </c>
      <c r="D152" s="31" t="inlineStr">
        <is>
          <t>Bharti Airtel Limited</t>
        </is>
      </c>
      <c r="E152" s="31" t="inlineStr">
        <is>
          <t>telecom-service</t>
        </is>
      </c>
      <c r="F152" s="31" t="inlineStr">
        <is>
          <t>telecommunications - service provider</t>
        </is>
      </c>
      <c r="G152" s="31" t="inlineStr">
        <is>
          <t>largecap</t>
        </is>
      </c>
      <c r="H152" s="32" t="n">
        <v>1157110.01</v>
      </c>
      <c r="I152" s="32" t="n">
        <v>1905</v>
      </c>
      <c r="J152" s="32" t="n">
        <v>2.75</v>
      </c>
      <c r="K152" s="32" t="n">
        <v>25484107</v>
      </c>
      <c r="L152" s="31" t="n">
        <v>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52.74</v>
      </c>
      <c r="P152" s="32" t="n">
        <v>9.880000000000001</v>
      </c>
      <c r="Q152" s="32" t="n">
        <v>1723.92</v>
      </c>
      <c r="R152" s="31" t="inlineStr">
        <is>
          <t>Volume Spike / Accumulation</t>
        </is>
      </c>
      <c r="S152" s="31" t="inlineStr">
        <is>
          <t>Nifty 50</t>
        </is>
      </c>
      <c r="T152" s="32" t="n">
        <v>-9.970000000000001</v>
      </c>
      <c r="U152" s="32" t="n">
        <v>-4.13</v>
      </c>
      <c r="V152" s="32" t="n">
        <v>6.49</v>
      </c>
      <c r="W152" s="32" t="n">
        <v>-0.54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1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IF(B153=0,"",RANK(B153,$B$2:$B$171,0))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VISAKAIND</t>
        </is>
      </c>
      <c r="D153" s="31" t="inlineStr">
        <is>
          <t>Visaka Industries Limited</t>
        </is>
      </c>
      <c r="E153" s="31" t="inlineStr">
        <is>
          <t>building materials</t>
        </is>
      </c>
      <c r="F153" s="31" t="inlineStr">
        <is>
          <t>cement products</t>
        </is>
      </c>
      <c r="G153" s="31" t="inlineStr">
        <is>
          <t>smallcap</t>
        </is>
      </c>
      <c r="H153" s="32" t="n">
        <v>770.47</v>
      </c>
      <c r="I153" s="32" t="n">
        <v>91.18000000000001</v>
      </c>
      <c r="J153" s="32" t="n">
        <v>2.25</v>
      </c>
      <c r="K153" s="32" t="n">
        <v>85264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58.39</v>
      </c>
      <c r="P153" s="32" t="n">
        <v>41.31</v>
      </c>
      <c r="Q153" s="32" t="n">
        <v>73.05</v>
      </c>
      <c r="R153" s="31" t="inlineStr">
        <is>
          <t>Earnings / Momentum Support</t>
        </is>
      </c>
      <c r="S153" s="31" t="inlineStr">
        <is>
          <t>Nifty Infra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IF(B154=0,"",RANK(B154,$B$2:$B$171,0))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PRINCEPIPE</t>
        </is>
      </c>
      <c r="D154" s="33" t="inlineStr">
        <is>
          <t>Prince Pipes &amp; Fittings Ltd</t>
        </is>
      </c>
      <c r="E154" s="31" t="inlineStr">
        <is>
          <t>plastic products</t>
        </is>
      </c>
      <c r="F154" s="31" t="inlineStr">
        <is>
          <t>plastics products</t>
        </is>
      </c>
      <c r="G154" s="31" t="inlineStr">
        <is>
          <t>smallcap</t>
        </is>
      </c>
      <c r="H154" s="32" t="n">
        <v>3057.57</v>
      </c>
      <c r="I154" s="32" t="n">
        <v>282.35</v>
      </c>
      <c r="J154" s="32" t="n">
        <v>2.1</v>
      </c>
      <c r="K154" s="32" t="n">
        <v>252148</v>
      </c>
      <c r="L154" s="31" t="n">
        <v>5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55.54</v>
      </c>
      <c r="P154" s="32" t="n">
        <v>12.37</v>
      </c>
      <c r="Q154" s="32" t="n">
        <v>228.74</v>
      </c>
      <c r="R154" s="31" t="inlineStr">
        <is>
          <t>Volume Spike / Accumulation</t>
        </is>
      </c>
      <c r="S154" s="31" t="inlineStr">
        <is>
          <t>Nifty 50</t>
        </is>
      </c>
      <c r="T154" s="32" t="n">
        <v>-9.970000000000001</v>
      </c>
      <c r="U154" s="32" t="n">
        <v>-12.59</v>
      </c>
      <c r="V154" s="32" t="n">
        <v>-2.91</v>
      </c>
      <c r="W154" s="32" t="n">
        <v>-0.79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1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IF(B155=0,"",RANK(B155,$B$2:$B$171,0))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ORIENTELEC</t>
        </is>
      </c>
      <c r="D155" s="31" t="inlineStr">
        <is>
          <t>Orient Electric Ltd</t>
        </is>
      </c>
      <c r="E155" s="31" t="inlineStr">
        <is>
          <t>consumer discretionary</t>
        </is>
      </c>
      <c r="F155" s="31" t="inlineStr">
        <is>
          <t>domestic appliances</t>
        </is>
      </c>
      <c r="G155" s="31" t="inlineStr">
        <is>
          <t>smallcap</t>
        </is>
      </c>
      <c r="H155" s="32" t="n">
        <v>4206.3</v>
      </c>
      <c r="I155" s="32" t="n">
        <v>200.91</v>
      </c>
      <c r="J155" s="32" t="n">
        <v>1.91</v>
      </c>
      <c r="K155" s="32" t="n">
        <v>40313285</v>
      </c>
      <c r="L155" s="31" t="n">
        <v>19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61.91</v>
      </c>
      <c r="P155" s="32" t="n">
        <v>16.3</v>
      </c>
      <c r="Q155" s="32" t="n">
        <v>155.86</v>
      </c>
      <c r="R155" s="31" t="inlineStr">
        <is>
          <t>Volume Spike &amp; Near 52W High Breakout</t>
        </is>
      </c>
      <c r="S155" s="31" t="inlineStr">
        <is>
          <t>Nifty 50</t>
        </is>
      </c>
      <c r="T155" s="32" t="n">
        <v>-9.970000000000001</v>
      </c>
      <c r="U155" s="32" t="n">
        <v>-1.64</v>
      </c>
      <c r="V155" s="32" t="n">
        <v>9.26</v>
      </c>
      <c r="W155" s="32" t="n">
        <v>3.5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1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IF(B156=0,"",RANK(B156,$B$2:$B$171,0))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BMWVENTLTD</t>
        </is>
      </c>
      <c r="D156" s="31" t="inlineStr">
        <is>
          <t>BMW Ventures Ltd</t>
        </is>
      </c>
      <c r="E156" s="31" t="inlineStr">
        <is>
          <t>services</t>
        </is>
      </c>
      <c r="F156" s="31" t="inlineStr">
        <is>
          <t>trading</t>
        </is>
      </c>
      <c r="G156" s="31" t="inlineStr">
        <is>
          <t>smallcap</t>
        </is>
      </c>
      <c r="H156" s="32" t="n">
        <v>618.02</v>
      </c>
      <c r="I156" s="32" t="n">
        <v>71.38</v>
      </c>
      <c r="J156" s="32" t="n">
        <v>0.15</v>
      </c>
      <c r="K156" s="32" t="n">
        <v>519614</v>
      </c>
      <c r="L156" s="31" t="n">
        <v>40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64.29000000000001</v>
      </c>
      <c r="P156" s="32" t="n">
        <v>14.29</v>
      </c>
      <c r="Q156" s="32" t="n">
        <v>54.49</v>
      </c>
      <c r="R156" s="31" t="inlineStr">
        <is>
          <t>Volume Spike &amp; Near 52W High Breakout</t>
        </is>
      </c>
      <c r="S156" s="31" t="inlineStr">
        <is>
          <t>Nifty 50</t>
        </is>
      </c>
      <c r="T156" s="32" t="n">
        <v>-9.970000000000001</v>
      </c>
      <c r="U156" s="32" t="n">
        <v>21.83</v>
      </c>
      <c r="V156" s="32" t="n">
        <v>35.33</v>
      </c>
      <c r="W156" s="32" t="n">
        <v>9.83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1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IF(B157=0,"",RANK(B157,$B$2:$B$171,0))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BBOX</t>
        </is>
      </c>
      <c r="D157" s="31" t="inlineStr">
        <is>
          <t>Black Box Ltd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midcap</t>
        </is>
      </c>
      <c r="H157" s="32" t="n">
        <v>15632.28</v>
      </c>
      <c r="I157" s="32" t="n">
        <v>907.25</v>
      </c>
      <c r="J157" s="32" t="n">
        <v>3.07</v>
      </c>
      <c r="K157" s="32" t="n">
        <v>813029</v>
      </c>
      <c r="L157" s="31" t="n">
        <v>57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61.88</v>
      </c>
      <c r="P157" s="32" t="n">
        <v>9.220000000000001</v>
      </c>
      <c r="Q157" s="32" t="n">
        <v>650.28</v>
      </c>
      <c r="R157" s="31" t="inlineStr">
        <is>
          <t>Earnings / Momentum Support</t>
        </is>
      </c>
      <c r="S157" s="31" t="inlineStr">
        <is>
          <t>Nifty IT</t>
        </is>
      </c>
      <c r="T157" s="32" t="n">
        <v>-8.66</v>
      </c>
      <c r="U157" s="32" t="n">
        <v>69.54000000000001</v>
      </c>
      <c r="V157" s="32" t="n">
        <v>85.61</v>
      </c>
      <c r="W157" s="32" t="n">
        <v>14.8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IF(B158=0,"",RANK(B158,$B$2:$B$171,0))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CRAFTSMAN</t>
        </is>
      </c>
      <c r="D158" s="31" t="inlineStr">
        <is>
          <t>Craftsman Automation Ltd</t>
        </is>
      </c>
      <c r="E158" s="31" t="inlineStr">
        <is>
          <t>auto</t>
        </is>
      </c>
      <c r="F158" s="31" t="inlineStr">
        <is>
          <t>auto ancillaries</t>
        </is>
      </c>
      <c r="G158" s="31" t="inlineStr">
        <is>
          <t>largecap</t>
        </is>
      </c>
      <c r="H158" s="32" t="n">
        <v>28615.57</v>
      </c>
      <c r="I158" s="32" t="n">
        <v>10960</v>
      </c>
      <c r="J158" s="32" t="n">
        <v>0.17</v>
      </c>
      <c r="K158" s="32" t="n">
        <v>22601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62.2</v>
      </c>
      <c r="P158" s="32" t="n">
        <v>60.63</v>
      </c>
      <c r="Q158" s="32" t="n">
        <v>9442.15</v>
      </c>
      <c r="R158" s="31" t="inlineStr">
        <is>
          <t>Earnings / Momentum Support</t>
        </is>
      </c>
      <c r="S158" s="31" t="inlineStr">
        <is>
          <t>Nifty Auto</t>
        </is>
      </c>
      <c r="T158" s="32" t="inlineStr"/>
      <c r="U158" s="32" t="inlineStr"/>
      <c r="V158" s="32" t="inlineStr"/>
      <c r="W158" s="32" t="inlineStr"/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IF(B159=0,"",RANK(B159,$B$2:$B$171,0))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SBC</t>
        </is>
      </c>
      <c r="D159" s="31" t="inlineStr">
        <is>
          <t>SBC Exports Ltd</t>
        </is>
      </c>
      <c r="E159" s="31" t="inlineStr">
        <is>
          <t>textiles</t>
        </is>
      </c>
      <c r="F159" s="31" t="inlineStr">
        <is>
          <t>textiles - products</t>
        </is>
      </c>
      <c r="G159" s="31" t="inlineStr">
        <is>
          <t>smallcap</t>
        </is>
      </c>
      <c r="H159" s="32" t="n">
        <v>3057.62</v>
      </c>
      <c r="I159" s="32" t="n">
        <v>63.33</v>
      </c>
      <c r="J159" s="32" t="n">
        <v>-1.37</v>
      </c>
      <c r="K159" s="32" t="n">
        <v>13070840</v>
      </c>
      <c r="L159" s="31" t="n">
        <v>87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87.09</v>
      </c>
      <c r="P159" s="32" t="n">
        <v>32.85</v>
      </c>
      <c r="Q159" s="32" t="n">
        <v>52.15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-9.970000000000001</v>
      </c>
      <c r="U159" s="32" t="n">
        <v>172.15</v>
      </c>
      <c r="V159" s="32" t="n">
        <v>202.3</v>
      </c>
      <c r="W159" s="32" t="n">
        <v>33.21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Negative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More than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IF(B160=0,"",RANK(B160,$B$2:$B$171,0))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ISGEC</t>
        </is>
      </c>
      <c r="D160" s="31" t="inlineStr">
        <is>
          <t>ISGEC Heavy Engineering  Ltd</t>
        </is>
      </c>
      <c r="E160" s="31" t="inlineStr">
        <is>
          <t>realty</t>
        </is>
      </c>
      <c r="F160" s="31" t="inlineStr">
        <is>
          <t>engineering - turnkey services</t>
        </is>
      </c>
      <c r="G160" s="31" t="inlineStr">
        <is>
          <t>midcap</t>
        </is>
      </c>
      <c r="H160" s="32" t="n">
        <v>6750.38</v>
      </c>
      <c r="I160" s="32" t="n">
        <v>899.75</v>
      </c>
      <c r="J160" s="32" t="n">
        <v>-1.99</v>
      </c>
      <c r="K160" s="32" t="n">
        <v>27789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53.64</v>
      </c>
      <c r="P160" s="32" t="n">
        <v>19.71</v>
      </c>
      <c r="Q160" s="32" t="n">
        <v>727.05</v>
      </c>
      <c r="R160" s="31" t="inlineStr">
        <is>
          <t>Earnings / Momentum Support</t>
        </is>
      </c>
      <c r="S160" s="31" t="inlineStr">
        <is>
          <t>Nifty Realty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IF(B161=0,"",RANK(B161,$B$2:$B$171,0))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MPHASIS</t>
        </is>
      </c>
      <c r="D161" s="31" t="inlineStr">
        <is>
          <t>Mphasis Limited</t>
        </is>
      </c>
      <c r="E161" s="31" t="inlineStr">
        <is>
          <t>i.t</t>
        </is>
      </c>
      <c r="F161" s="31" t="inlineStr">
        <is>
          <t>computers - software - large</t>
        </is>
      </c>
      <c r="G161" s="31" t="inlineStr">
        <is>
          <t>largecap</t>
        </is>
      </c>
      <c r="H161" s="32" t="n">
        <v>46843.86</v>
      </c>
      <c r="I161" s="32" t="n">
        <v>2500</v>
      </c>
      <c r="J161" s="32" t="n">
        <v>1.91</v>
      </c>
      <c r="K161" s="32" t="n">
        <v>1282732</v>
      </c>
      <c r="L161" s="31" t="n">
        <v>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57.62</v>
      </c>
      <c r="P161" s="32" t="n">
        <v>9.789999999999999</v>
      </c>
      <c r="Q161" s="32" t="n">
        <v>2062.1</v>
      </c>
      <c r="R161" s="31" t="inlineStr">
        <is>
          <t>Volume Spike / Accumulation</t>
        </is>
      </c>
      <c r="S161" s="31" t="inlineStr">
        <is>
          <t>Nifty IT</t>
        </is>
      </c>
      <c r="T161" s="32" t="n">
        <v>-8.66</v>
      </c>
      <c r="U161" s="32" t="n">
        <v>-4.7</v>
      </c>
      <c r="V161" s="32" t="n">
        <v>4.33</v>
      </c>
      <c r="W161" s="32" t="n">
        <v>0.23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1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Between 50% to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IF(B162=0,"",RANK(B162,$B$2:$B$171,0))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BLKASHYAP</t>
        </is>
      </c>
      <c r="D162" s="31" t="inlineStr">
        <is>
          <t>B. L. Kashyap And Sons Limited</t>
        </is>
      </c>
      <c r="E162" s="31" t="inlineStr">
        <is>
          <t>realty</t>
        </is>
      </c>
      <c r="F162" s="31" t="inlineStr">
        <is>
          <t>construction</t>
        </is>
      </c>
      <c r="G162" s="31" t="inlineStr">
        <is>
          <t>smallcap</t>
        </is>
      </c>
      <c r="H162" s="32" t="n">
        <v>1325.14</v>
      </c>
      <c r="I162" s="32" t="n">
        <v>58.54</v>
      </c>
      <c r="J162" s="32" t="n">
        <v>-0.41</v>
      </c>
      <c r="K162" s="32" t="n">
        <v>1313447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55.48</v>
      </c>
      <c r="P162" s="32" t="n">
        <v>19.58</v>
      </c>
      <c r="Q162" s="32" t="n">
        <v>41.68</v>
      </c>
      <c r="R162" s="31" t="inlineStr">
        <is>
          <t>Volume Spike &amp; Near 52W High Breakout</t>
        </is>
      </c>
      <c r="S162" s="31" t="inlineStr">
        <is>
          <t>Nifty Realty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1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IF(B163=0,"",RANK(B163,$B$2:$B$171,0))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AARTIIND</t>
        </is>
      </c>
      <c r="D163" s="31" t="inlineStr">
        <is>
          <t>Aarti Industries Limited</t>
        </is>
      </c>
      <c r="E163" s="31" t="inlineStr">
        <is>
          <t>chemicals</t>
        </is>
      </c>
      <c r="F163" s="31" t="inlineStr">
        <is>
          <t>chemicals</t>
        </is>
      </c>
      <c r="G163" s="31" t="inlineStr">
        <is>
          <t>midcap</t>
        </is>
      </c>
      <c r="H163" s="32" t="n">
        <v>18319.51</v>
      </c>
      <c r="I163" s="32" t="n">
        <v>503</v>
      </c>
      <c r="J163" s="32" t="n">
        <v>-0.41</v>
      </c>
      <c r="K163" s="32" t="n">
        <v>1337811</v>
      </c>
      <c r="L163" s="31" t="n">
        <v>28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55.85</v>
      </c>
      <c r="P163" s="32" t="n">
        <v>18.93</v>
      </c>
      <c r="Q163" s="32" t="n">
        <v>432.57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-9.970000000000001</v>
      </c>
      <c r="U163" s="32" t="n">
        <v>34.47</v>
      </c>
      <c r="V163" s="32" t="n">
        <v>49.37</v>
      </c>
      <c r="W163" s="32" t="n">
        <v>7.01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1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IF(B164=0,"",RANK(B164,$B$2:$B$171,0))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JAYNECOIND</t>
        </is>
      </c>
      <c r="D164" s="31" t="inlineStr">
        <is>
          <t>Jayaswal Neco Industries Limited</t>
        </is>
      </c>
      <c r="E164" s="31" t="inlineStr">
        <is>
          <t>metals &amp; mining</t>
        </is>
      </c>
      <c r="F164" s="31" t="inlineStr">
        <is>
          <t>steel - large</t>
        </is>
      </c>
      <c r="G164" s="31" t="inlineStr">
        <is>
          <t>midcap</t>
        </is>
      </c>
      <c r="H164" s="32" t="n">
        <v>9355.57</v>
      </c>
      <c r="I164" s="32" t="n">
        <v>100.62</v>
      </c>
      <c r="J164" s="32" t="n">
        <v>4.43</v>
      </c>
      <c r="K164" s="32" t="n">
        <v>17313134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59.99</v>
      </c>
      <c r="P164" s="32" t="n">
        <v>7.18</v>
      </c>
      <c r="Q164" s="32" t="n">
        <v>75.23999999999999</v>
      </c>
      <c r="R164" s="31" t="inlineStr">
        <is>
          <t>Earnings / Momentum Support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IF(B165=0,"",RANK(B165,$B$2:$B$171,0))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TRENT</t>
        </is>
      </c>
      <c r="D165" s="33" t="inlineStr">
        <is>
          <t>Trent Limited</t>
        </is>
      </c>
      <c r="E165" s="31" t="inlineStr">
        <is>
          <t>consumer discretionary</t>
        </is>
      </c>
      <c r="F165" s="31" t="inlineStr">
        <is>
          <t>trading</t>
        </is>
      </c>
      <c r="G165" s="31" t="inlineStr">
        <is>
          <t>largecap</t>
        </is>
      </c>
      <c r="H165" s="32" t="n">
        <v>157287.53</v>
      </c>
      <c r="I165" s="32" t="n">
        <v>2958.7</v>
      </c>
      <c r="J165" s="32" t="n">
        <v>0.31</v>
      </c>
      <c r="K165" s="32" t="n">
        <v>521694</v>
      </c>
      <c r="L165" s="31" t="n">
        <v>1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50.93</v>
      </c>
      <c r="P165" s="32" t="n">
        <v>6.95</v>
      </c>
      <c r="Q165" s="32" t="n">
        <v>2463.68</v>
      </c>
      <c r="R165" s="31" t="inlineStr">
        <is>
          <t>Earnings / Momentum Support</t>
        </is>
      </c>
      <c r="S165" s="31" t="inlineStr">
        <is>
          <t>Nifty 50</t>
        </is>
      </c>
      <c r="T165" s="32" t="n">
        <v>-9.970000000000001</v>
      </c>
      <c r="U165" s="32" t="n">
        <v>-38.45</v>
      </c>
      <c r="V165" s="32" t="n">
        <v>-31.64</v>
      </c>
      <c r="W165" s="32" t="n">
        <v>-5.71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4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IF(B166=0,"",RANK(B166,$B$2:$B$171,0))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BHARTIHEXA</t>
        </is>
      </c>
      <c r="D166" s="31" t="inlineStr">
        <is>
          <t>Bharti Hexacom Ltd</t>
        </is>
      </c>
      <c r="E166" s="31" t="inlineStr">
        <is>
          <t>telecom-service</t>
        </is>
      </c>
      <c r="F166" s="31" t="inlineStr">
        <is>
          <t>telecommunications - service provider</t>
        </is>
      </c>
      <c r="G166" s="31" t="inlineStr">
        <is>
          <t>largecap</t>
        </is>
      </c>
      <c r="H166" s="32" t="n">
        <v>82525</v>
      </c>
      <c r="I166" s="32" t="n">
        <v>1621.9</v>
      </c>
      <c r="J166" s="32" t="n">
        <v>-1.73</v>
      </c>
      <c r="K166" s="32" t="n">
        <v>101279</v>
      </c>
      <c r="L166" s="31" t="n">
        <v>3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55.49</v>
      </c>
      <c r="P166" s="32" t="n">
        <v>15.13</v>
      </c>
      <c r="Q166" s="32" t="n">
        <v>1306.63</v>
      </c>
      <c r="R166" s="31" t="inlineStr">
        <is>
          <t>Earnings / Momentum Support</t>
        </is>
      </c>
      <c r="S166" s="31" t="inlineStr">
        <is>
          <t>Nifty 50</t>
        </is>
      </c>
      <c r="T166" s="32" t="n">
        <v>-9.970000000000001</v>
      </c>
      <c r="U166" s="32" t="n">
        <v>-9.720000000000001</v>
      </c>
      <c r="V166" s="32" t="n">
        <v>0.28</v>
      </c>
      <c r="W166" s="32" t="n">
        <v>-1.44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Oligopoly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1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Between 1.5 to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IF(B167=0,"",RANK(B167,$B$2:$B$171,0))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DRREDDY</t>
        </is>
      </c>
      <c r="D167" s="33" t="inlineStr">
        <is>
          <t>Dr. Reddy's Laboratories Limited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largecap</t>
        </is>
      </c>
      <c r="H167" s="32" t="n">
        <v>101730.29</v>
      </c>
      <c r="I167" s="32" t="n">
        <v>1233</v>
      </c>
      <c r="J167" s="32" t="n">
        <v>1.17</v>
      </c>
      <c r="K167" s="32" t="n">
        <v>1261028</v>
      </c>
      <c r="L167" s="31" t="n">
        <v>9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52.05</v>
      </c>
      <c r="P167" s="32" t="n">
        <v>16.73</v>
      </c>
      <c r="Q167" s="32" t="n">
        <v>1057.22</v>
      </c>
      <c r="R167" s="31" t="inlineStr">
        <is>
          <t>Earnings / Momentum Support</t>
        </is>
      </c>
      <c r="S167" s="31" t="inlineStr">
        <is>
          <t>Nifty Pharma</t>
        </is>
      </c>
      <c r="T167" s="32" t="n">
        <v>15.85</v>
      </c>
      <c r="U167" s="32" t="n">
        <v>-1.2</v>
      </c>
      <c r="V167" s="32" t="n">
        <v>-14.72</v>
      </c>
      <c r="W167" s="32" t="n">
        <v>0.19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1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Between 1.5 to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IF(B168=0,"",RANK(B168,$B$2:$B$171,0))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RAJRILTD</t>
        </is>
      </c>
      <c r="D168" s="31" t="inlineStr">
        <is>
          <t>Raj Rayon Industries Ltd</t>
        </is>
      </c>
      <c r="E168" s="31" t="inlineStr">
        <is>
          <t>textiles</t>
        </is>
      </c>
      <c r="F168" s="31" t="inlineStr">
        <is>
          <t>textiles - manmade</t>
        </is>
      </c>
      <c r="G168" s="31" t="inlineStr">
        <is>
          <t>smallcap</t>
        </is>
      </c>
      <c r="H168" s="32" t="n">
        <v>1276.77</v>
      </c>
      <c r="I168" s="32" t="n">
        <v>22.51</v>
      </c>
      <c r="J168" s="32" t="n">
        <v>-1.96</v>
      </c>
      <c r="K168" s="32" t="n">
        <v>28959</v>
      </c>
      <c r="L168" s="31" t="n">
        <v>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54.59</v>
      </c>
      <c r="P168" s="32" t="n">
        <v>8.210000000000001</v>
      </c>
      <c r="Q168" s="32" t="n">
        <v>18.54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-9.970000000000001</v>
      </c>
      <c r="U168" s="32" t="n">
        <v>-8.9</v>
      </c>
      <c r="V168" s="32" t="n">
        <v>1.19</v>
      </c>
      <c r="W168" s="32" t="n">
        <v>-0.71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1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Between 12 to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IF(B169=0,"",RANK(B169,$B$2:$B$171,0))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TATACOMM</t>
        </is>
      </c>
      <c r="D169" s="31" t="inlineStr">
        <is>
          <t>Tata Communications Limited</t>
        </is>
      </c>
      <c r="E169" s="31" t="inlineStr">
        <is>
          <t>telecom-service</t>
        </is>
      </c>
      <c r="F169" s="31" t="inlineStr">
        <is>
          <t>telecommunications - service provider</t>
        </is>
      </c>
      <c r="G169" s="31" t="inlineStr">
        <is>
          <t>largecap</t>
        </is>
      </c>
      <c r="H169" s="32" t="n">
        <v>50268.4</v>
      </c>
      <c r="I169" s="32" t="n">
        <v>1742.8</v>
      </c>
      <c r="J169" s="32" t="n">
        <v>-1.19</v>
      </c>
      <c r="K169" s="32" t="n">
        <v>1151400</v>
      </c>
      <c r="L169" s="31" t="n">
        <v>1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50.98</v>
      </c>
      <c r="P169" s="32" t="n">
        <v>6.68</v>
      </c>
      <c r="Q169" s="32" t="n">
        <v>1470.48</v>
      </c>
      <c r="R169" s="31" t="inlineStr">
        <is>
          <t>Volume Spike / Accumulation</t>
        </is>
      </c>
      <c r="S169" s="31" t="inlineStr">
        <is>
          <t>Nifty 50</t>
        </is>
      </c>
      <c r="T169" s="32" t="n">
        <v>-9.970000000000001</v>
      </c>
      <c r="U169" s="32" t="n">
        <v>-8.73</v>
      </c>
      <c r="V169" s="32" t="n">
        <v>1.38</v>
      </c>
      <c r="W169" s="32" t="n">
        <v>-1.98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1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More than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IF(B170=0,"",RANK(B170,$B$2:$B$171,0))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UNITEDPOLY</t>
        </is>
      </c>
      <c r="D170" s="31" t="inlineStr">
        <is>
          <t>United Polyfab Gujarat Ltd</t>
        </is>
      </c>
      <c r="E170" s="31" t="inlineStr">
        <is>
          <t>textiles</t>
        </is>
      </c>
      <c r="F170" s="31" t="inlineStr">
        <is>
          <t>textiles - products</t>
        </is>
      </c>
      <c r="G170" s="31" t="inlineStr">
        <is>
          <t>smallcap</t>
        </is>
      </c>
      <c r="H170" s="32" t="n">
        <v>1182.69</v>
      </c>
      <c r="I170" s="32" t="n">
        <v>51.78</v>
      </c>
      <c r="J170" s="32" t="n">
        <v>0.49</v>
      </c>
      <c r="K170" s="32" t="n">
        <v>660662</v>
      </c>
      <c r="L170" s="31" t="n">
        <v>75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79.69</v>
      </c>
      <c r="P170" s="32" t="n">
        <v>32.81</v>
      </c>
      <c r="Q170" s="32" t="n">
        <v>38.53</v>
      </c>
      <c r="R170" s="31" t="inlineStr">
        <is>
          <t>Volume Spike &amp; Near 52W High Breakout</t>
        </is>
      </c>
      <c r="S170" s="31" t="inlineStr">
        <is>
          <t>Nifty 50</t>
        </is>
      </c>
      <c r="T170" s="32" t="n">
        <v>-9.970000000000001</v>
      </c>
      <c r="U170" s="32" t="n">
        <v>21.35</v>
      </c>
      <c r="V170" s="32" t="n">
        <v>34.79</v>
      </c>
      <c r="W170" s="32" t="n">
        <v>24.04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Oligopoly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Shallow Cyclical (2 to 3 Years Growth)</t>
        </is>
      </c>
      <c r="AG170" s="31">
        <f>IF(AF170="Structural (10 Years Consistency)",10,IF(AF170="Shallow Cyclical (2 to 3 years growth)",5,0))</f>
        <v/>
      </c>
      <c r="AH170" s="31" t="inlineStr">
        <is>
          <t>Yes due to Product Mix change or Operating Leverage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Allocated capital in Non-core Areas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Sideways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Overhead supply in last 2 years in last 2 years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More than 15%</t>
        </is>
      </c>
      <c r="CC170" s="31">
        <f>IF(CB170="More than 15%",-10,IF(CB170="Less than 15%",10,0))</f>
        <v/>
      </c>
      <c r="CD170" s="31" t="inlineStr">
        <is>
          <t>Yes Upto 10%</t>
        </is>
      </c>
      <c r="CE170" s="31">
        <f>IF(CD170="Yes, more than 10%",-10,IF(CD170="No",10,0))</f>
        <v/>
      </c>
    </row>
    <row r="171">
      <c r="A171" s="31">
        <f>IF(B171=0,"",RANK(B171,$B$2:$B$171,0))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GAEL</t>
        </is>
      </c>
      <c r="D171" s="31" t="inlineStr">
        <is>
          <t>Gujarat Ambuja Exports Limited</t>
        </is>
      </c>
      <c r="E171" s="31" t="inlineStr">
        <is>
          <t>fmcg</t>
        </is>
      </c>
      <c r="F171" s="31" t="inlineStr">
        <is>
          <t>miscellaneous</t>
        </is>
      </c>
      <c r="G171" s="31" t="inlineStr">
        <is>
          <t>midcap</t>
        </is>
      </c>
      <c r="H171" s="32" t="n">
        <v>7967.11</v>
      </c>
      <c r="I171" s="32" t="n">
        <v>174.14</v>
      </c>
      <c r="J171" s="32" t="n">
        <v>0.25</v>
      </c>
      <c r="K171" s="32" t="n">
        <v>675501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59.66</v>
      </c>
      <c r="P171" s="32" t="n">
        <v>23.15</v>
      </c>
      <c r="Q171" s="32" t="n">
        <v>139.39</v>
      </c>
      <c r="R171" s="31" t="inlineStr">
        <is>
          <t>Volume Spike &amp; Near 52W High Breakout</t>
        </is>
      </c>
      <c r="S171" s="31" t="inlineStr">
        <is>
          <t>Nifty FMCG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Oligopoly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Shallow Cyclical (2 to 3 Years Growth)</t>
        </is>
      </c>
      <c r="AG171" s="31">
        <f>IF(AF171="Structural (10 Years Consistency)",10,IF(AF171="Shallow Cyclical (2 to 3 years growth)",5,0))</f>
        <v/>
      </c>
      <c r="AH171" s="31" t="inlineStr">
        <is>
          <t>Yes due to Product Mix change or Operating Leverage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Volatile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Allocated capital in Non-core Areas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Sideways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Overhead supply in last 2 years in last 2 years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More than 15%</t>
        </is>
      </c>
      <c r="CC171" s="31">
        <f>IF(CB171="More than 15%",-10,IF(CB171="Less than 15%",10,0))</f>
        <v/>
      </c>
      <c r="CD171" s="31" t="inlineStr">
        <is>
          <t>Yes Upto 10%</t>
        </is>
      </c>
      <c r="CE171" s="31">
        <f>IF(CD171="Yes, more than 10%",-10,IF(CD171="No",10,0))</f>
        <v/>
      </c>
    </row>
  </sheetData>
  <autoFilter ref="A1:CE171"/>
  <conditionalFormatting sqref="B2:B17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7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71">
    <cfRule type="cellIs" priority="36" operator="equal" dxfId="3" stopIfTrue="1">
      <formula>"Underperforming"</formula>
    </cfRule>
  </conditionalFormatting>
  <conditionalFormatting sqref="N2:N171">
    <cfRule type="cellIs" priority="37" operator="equal" dxfId="3" stopIfTrue="1">
      <formula>-5</formula>
    </cfRule>
  </conditionalFormatting>
  <conditionalFormatting sqref="Q2:Q17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71" showDropDown="0" showInputMessage="0" showErrorMessage="0" allowBlank="1" type="list">
      <formula1>"Growing Industry,Stagnant Industry,Cyclical in an Upturn"</formula1>
    </dataValidation>
    <dataValidation sqref="Z2:Z17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71" showDropDown="0" showInputMessage="0" showErrorMessage="0" allowBlank="1" type="list">
      <formula1>"Yes,No"</formula1>
    </dataValidation>
    <dataValidation sqref="AD2:AD171" showDropDown="0" showInputMessage="0" showErrorMessage="0" allowBlank="1" type="list">
      <formula1>"Tailwind,Headwind"</formula1>
    </dataValidation>
    <dataValidation sqref="AF2:AF171" showDropDown="0" showInputMessage="0" showErrorMessage="0" allowBlank="1" type="list">
      <formula1>"Structural (10 Years Consistency),Shallow Cyclical (2 to 3 Years Growth),Cyclical"</formula1>
    </dataValidation>
    <dataValidation sqref="AH2:AH171" showDropDown="0" showInputMessage="0" showErrorMessage="0" allowBlank="1" type="list">
      <formula1>"Yes due to Product Mix change or Operating Leverage,Yes, these are peak margins,No"</formula1>
    </dataValidation>
    <dataValidation sqref="AJ2:AJ171" showDropDown="0" showInputMessage="0" showErrorMessage="0" allowBlank="1" type="list">
      <formula1>"Stable,Volatile"</formula1>
    </dataValidation>
    <dataValidation sqref="AL2:AL171" showDropDown="0" showInputMessage="0" showErrorMessage="0" allowBlank="1" type="list">
      <formula1>"Yes,No"</formula1>
    </dataValidation>
    <dataValidation sqref="AN2:AN171" showDropDown="0" showInputMessage="0" showErrorMessage="0" allowBlank="1" type="list">
      <formula1>"B2C,B2B,B2G"</formula1>
    </dataValidation>
    <dataValidation sqref="AP2:AP171" showDropDown="0" showInputMessage="0" showErrorMessage="0" allowBlank="1" type="list">
      <formula1>"Yes,No"</formula1>
    </dataValidation>
    <dataValidation sqref="AR2:AR171" showDropDown="0" showInputMessage="0" showErrorMessage="0" allowBlank="1" type="list">
      <formula1>"Fully Annuity,Higher Annuity, Lower One time,Higher One Time, Lower Annuity,Fully One Time"</formula1>
    </dataValidation>
    <dataValidation sqref="AT2:AT171" showDropDown="0" showInputMessage="0" showErrorMessage="0" allowBlank="1" type="list">
      <formula1>"Good,Allocated capital in Non-core Areas"</formula1>
    </dataValidation>
    <dataValidation sqref="AV2:AV171" showDropDown="0" showInputMessage="0" showErrorMessage="0" allowBlank="1" type="list">
      <formula1>"Yes for more than 2 years,Yes only for next 1 to 2 years,No"</formula1>
    </dataValidation>
    <dataValidation sqref="AX2:AX171" showDropDown="0" showInputMessage="0" showErrorMessage="0" allowBlank="1" type="list">
      <formula1>"Above 40,20 to 40,0 to 20"</formula1>
    </dataValidation>
    <dataValidation sqref="AZ2:AZ171" showDropDown="0" showInputMessage="0" showErrorMessage="0" allowBlank="1" type="list">
      <formula1>"Between 50 to 75,Above 75,Below 45"</formula1>
    </dataValidation>
    <dataValidation sqref="BB2:BB171" showDropDown="0" showInputMessage="0" showErrorMessage="0" allowBlank="1" type="list">
      <formula1>"Stage 1,Stage 2,Stage 3,Stage 4"</formula1>
    </dataValidation>
    <dataValidation sqref="BD2:BD171" showDropDown="0" showInputMessage="0" showErrorMessage="0" allowBlank="1" type="list">
      <formula1>"Positive Trend,Negative Trend"</formula1>
    </dataValidation>
    <dataValidation sqref="BF2:BF171" showDropDown="0" showInputMessage="0" showErrorMessage="0" allowBlank="1" type="list">
      <formula1>"Uptrend,Sideways,Downtrend"</formula1>
    </dataValidation>
    <dataValidation sqref="BH2:BH171" showDropDown="0" showInputMessage="0" showErrorMessage="0" allowBlank="1" type="list">
      <formula1>"Uptrend,Sideways,Downtrend"</formula1>
    </dataValidation>
    <dataValidation sqref="BJ2:BJ17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71" showDropDown="0" showInputMessage="0" showErrorMessage="0" allowBlank="1" type="list">
      <formula1>"Yes,No"</formula1>
    </dataValidation>
    <dataValidation sqref="BN2:BN171" showDropDown="0" showInputMessage="0" showErrorMessage="0" allowBlank="1" type="list">
      <formula1>"More than 20%,Between 12 to 20%,Less than 12%"</formula1>
    </dataValidation>
    <dataValidation sqref="BP2:BP171" showDropDown="0" showInputMessage="0" showErrorMessage="0" allowBlank="1" type="list">
      <formula1>"Yes,No"</formula1>
    </dataValidation>
    <dataValidation sqref="BR2:BR171" showDropDown="0" showInputMessage="0" showErrorMessage="0" allowBlank="1" type="list">
      <formula1>"Yes,No"</formula1>
    </dataValidation>
    <dataValidation sqref="BT2:BT171" showDropDown="0" showInputMessage="0" showErrorMessage="0" allowBlank="1" type="list">
      <formula1>"Above 2,Between 1.5 to 2,Less than 1.5"</formula1>
    </dataValidation>
    <dataValidation sqref="BV2:BV171" showDropDown="0" showInputMessage="0" showErrorMessage="0" allowBlank="1" type="list">
      <formula1>"Above 70%,Between 50% to 70%,Less than 50%,Less than 50% and Borrowings are increasing,Negative"</formula1>
    </dataValidation>
    <dataValidation sqref="BX2:BX171" showDropDown="0" showInputMessage="0" showErrorMessage="0" allowBlank="1" type="list">
      <formula1>"More than 1.2,Between 0.7 to 1.2,Less than 0.7"</formula1>
    </dataValidation>
    <dataValidation sqref="BZ2:BZ171" showDropDown="0" showInputMessage="0" showErrorMessage="0" allowBlank="1" type="list">
      <formula1>"Yes,No"</formula1>
    </dataValidation>
    <dataValidation sqref="CB2:CB171" showDropDown="0" showInputMessage="0" showErrorMessage="0" allowBlank="1" type="list">
      <formula1>"More than 15%,Less than 15%"</formula1>
    </dataValidation>
    <dataValidation sqref="CD2:CD17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MANBA</t>
        </is>
      </c>
      <c r="D2" s="31" t="inlineStr">
        <is>
          <t>Manba Finance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706.5700000000001</v>
      </c>
      <c r="I2" s="32" t="n">
        <v>145.69</v>
      </c>
      <c r="J2" s="32" t="n">
        <v>3.59</v>
      </c>
      <c r="K2" s="32" t="n">
        <v>128680</v>
      </c>
      <c r="L2" s="31" t="n">
        <v>22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67.84</v>
      </c>
      <c r="P2" s="32" t="n">
        <v>40.66</v>
      </c>
      <c r="Q2" s="32" t="n">
        <v>116.84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-3.24</v>
      </c>
      <c r="U2" s="32" t="n">
        <v>10.25</v>
      </c>
      <c r="V2" s="32" t="n">
        <v>13.94</v>
      </c>
      <c r="W2" s="32" t="n">
        <v>4.24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FEDERALBNK</t>
        </is>
      </c>
      <c r="D3" s="31" t="inlineStr">
        <is>
          <t>The Federal Bank 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82679.31</v>
      </c>
      <c r="I3" s="32" t="n">
        <v>338</v>
      </c>
      <c r="J3" s="32" t="n">
        <v>0.9</v>
      </c>
      <c r="K3" s="32" t="n">
        <v>28529726</v>
      </c>
      <c r="L3" s="31" t="n">
        <v>39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58.15</v>
      </c>
      <c r="P3" s="32" t="n">
        <v>41.96</v>
      </c>
      <c r="Q3" s="32" t="n">
        <v>315.11</v>
      </c>
      <c r="R3" s="31" t="inlineStr">
        <is>
          <t>Volume Spike / Accumulation</t>
        </is>
      </c>
      <c r="S3" s="31" t="inlineStr">
        <is>
          <t>Nifty Bank</t>
        </is>
      </c>
      <c r="T3" s="32" t="n">
        <v>-3.24</v>
      </c>
      <c r="U3" s="32" t="n">
        <v>59.69</v>
      </c>
      <c r="V3" s="32" t="n">
        <v>65.04000000000001</v>
      </c>
      <c r="W3" s="32" t="n">
        <v>9.82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KARURVYSYA</t>
        </is>
      </c>
      <c r="D4" s="31" t="inlineStr">
        <is>
          <t>Karur Vysya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33412.91</v>
      </c>
      <c r="I4" s="32" t="n">
        <v>355.65</v>
      </c>
      <c r="J4" s="32" t="n">
        <v>2.89</v>
      </c>
      <c r="K4" s="32" t="n">
        <v>17935620</v>
      </c>
      <c r="L4" s="31" t="n">
        <v>50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66.94</v>
      </c>
      <c r="P4" s="32" t="n">
        <v>31.98</v>
      </c>
      <c r="Q4" s="32" t="n">
        <v>295.85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-3.24</v>
      </c>
      <c r="U4" s="32" t="n">
        <v>57.62</v>
      </c>
      <c r="V4" s="32" t="n">
        <v>62.9</v>
      </c>
      <c r="W4" s="32" t="n">
        <v>12.88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SOUTHBANK</t>
        </is>
      </c>
      <c r="D5" s="31" t="inlineStr">
        <is>
          <t>The South Indian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13485.21</v>
      </c>
      <c r="I5" s="32" t="n">
        <v>51.45</v>
      </c>
      <c r="J5" s="32" t="n">
        <v>-0.06</v>
      </c>
      <c r="K5" s="32" t="n">
        <v>36758983</v>
      </c>
      <c r="L5" s="31" t="n">
        <v>52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66.2</v>
      </c>
      <c r="P5" s="32" t="n">
        <v>39.87</v>
      </c>
      <c r="Q5" s="32" t="n">
        <v>41.57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-3.24</v>
      </c>
      <c r="U5" s="32" t="n">
        <v>59.13</v>
      </c>
      <c r="V5" s="32" t="n">
        <v>64.45999999999999</v>
      </c>
      <c r="W5" s="32" t="n">
        <v>14.16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DHANBANK</t>
        </is>
      </c>
      <c r="D6" s="31" t="inlineStr">
        <is>
          <t>Dhanlaxmi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1319.08</v>
      </c>
      <c r="I6" s="32" t="n">
        <v>35.79</v>
      </c>
      <c r="J6" s="32" t="n">
        <v>7.09</v>
      </c>
      <c r="K6" s="32" t="n">
        <v>4036553</v>
      </c>
      <c r="L6" s="31" t="n">
        <v>35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61.37</v>
      </c>
      <c r="P6" s="32" t="n">
        <v>23.04</v>
      </c>
      <c r="Q6" s="32" t="n">
        <v>26.6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-3.24</v>
      </c>
      <c r="U6" s="32" t="n">
        <v>43.56</v>
      </c>
      <c r="V6" s="32" t="n">
        <v>48.37</v>
      </c>
      <c r="W6" s="32" t="n">
        <v>9.01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SMCGLOBAL</t>
        </is>
      </c>
      <c r="D7" s="31" t="inlineStr">
        <is>
          <t>SMC Global Securities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2270.52</v>
      </c>
      <c r="I7" s="32" t="n">
        <v>110.11</v>
      </c>
      <c r="J7" s="32" t="n">
        <v>1.55</v>
      </c>
      <c r="K7" s="32" t="n">
        <v>8594649</v>
      </c>
      <c r="L7" s="31" t="n">
        <v>66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70.77</v>
      </c>
      <c r="P7" s="32" t="n">
        <v>43.18</v>
      </c>
      <c r="Q7" s="32" t="n">
        <v>86.28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-3.24</v>
      </c>
      <c r="U7" s="32" t="n">
        <v>64.93000000000001</v>
      </c>
      <c r="V7" s="32" t="n">
        <v>70.45</v>
      </c>
      <c r="W7" s="32" t="n">
        <v>19.39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ESAFSFB</t>
        </is>
      </c>
      <c r="D8" s="31" t="inlineStr">
        <is>
          <t>ESAF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2253.68</v>
      </c>
      <c r="I8" s="32" t="n">
        <v>44.28</v>
      </c>
      <c r="J8" s="32" t="n">
        <v>1.37</v>
      </c>
      <c r="K8" s="32" t="n">
        <v>589268</v>
      </c>
      <c r="L8" s="31" t="n">
        <v>62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63.62</v>
      </c>
      <c r="P8" s="32" t="n">
        <v>38.46</v>
      </c>
      <c r="Q8" s="32" t="n">
        <v>33.22</v>
      </c>
      <c r="R8" s="31" t="inlineStr">
        <is>
          <t>Near 52W High Breakout</t>
        </is>
      </c>
      <c r="S8" s="31" t="inlineStr">
        <is>
          <t>Nifty Bank</t>
        </is>
      </c>
      <c r="T8" s="32" t="n">
        <v>-3.24</v>
      </c>
      <c r="U8" s="32" t="n">
        <v>57.47</v>
      </c>
      <c r="V8" s="32" t="n">
        <v>62.74</v>
      </c>
      <c r="W8" s="32" t="n">
        <v>16.81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ARIHANTCAP</t>
        </is>
      </c>
      <c r="D9" s="31" t="inlineStr">
        <is>
          <t>Arihant Capital Markets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1088.56</v>
      </c>
      <c r="I9" s="32" t="n">
        <v>97.31</v>
      </c>
      <c r="J9" s="32" t="n">
        <v>-2.01</v>
      </c>
      <c r="K9" s="32" t="n">
        <v>348035</v>
      </c>
      <c r="L9" s="31" t="n">
        <v>31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68.25</v>
      </c>
      <c r="P9" s="32" t="n">
        <v>24.51</v>
      </c>
      <c r="Q9" s="32" t="n">
        <v>75.06</v>
      </c>
      <c r="R9" s="31" t="inlineStr">
        <is>
          <t>Near 52W High Breakout</t>
        </is>
      </c>
      <c r="S9" s="31" t="inlineStr">
        <is>
          <t>Nifty Bank</t>
        </is>
      </c>
      <c r="T9" s="32" t="n">
        <v>-3.24</v>
      </c>
      <c r="U9" s="32" t="n">
        <v>-1.82</v>
      </c>
      <c r="V9" s="32" t="n">
        <v>1.46</v>
      </c>
      <c r="W9" s="32" t="n">
        <v>8.09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MUFIN</t>
        </is>
      </c>
      <c r="D10" s="31" t="inlineStr">
        <is>
          <t>Mufin Green Finance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2765.16</v>
      </c>
      <c r="I10" s="32" t="n">
        <v>138.35</v>
      </c>
      <c r="J10" s="32" t="n">
        <v>-0.85</v>
      </c>
      <c r="K10" s="32" t="n">
        <v>771156</v>
      </c>
      <c r="L10" s="31" t="n">
        <v>37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62.05</v>
      </c>
      <c r="P10" s="32" t="n">
        <v>29.58</v>
      </c>
      <c r="Q10" s="32" t="n">
        <v>115.29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-3.24</v>
      </c>
      <c r="U10" s="32" t="n">
        <v>42.63</v>
      </c>
      <c r="V10" s="32" t="n">
        <v>47.4</v>
      </c>
      <c r="W10" s="32" t="n">
        <v>9.15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SGFIN</t>
        </is>
      </c>
      <c r="D11" s="31" t="inlineStr">
        <is>
          <t>SG Finserve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4574.76</v>
      </c>
      <c r="I11" s="32" t="n">
        <v>676.7</v>
      </c>
      <c r="J11" s="32" t="n">
        <v>-2.53</v>
      </c>
      <c r="K11" s="32" t="n">
        <v>4110056</v>
      </c>
      <c r="L11" s="31" t="n">
        <v>57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61.1</v>
      </c>
      <c r="P11" s="32" t="n">
        <v>26.84</v>
      </c>
      <c r="Q11" s="32" t="n">
        <v>516.74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-3.24</v>
      </c>
      <c r="U11" s="32" t="n">
        <v>82.73999999999999</v>
      </c>
      <c r="V11" s="32" t="n">
        <v>88.86</v>
      </c>
      <c r="W11" s="32" t="n">
        <v>14.8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KOTAKBANK</t>
        </is>
      </c>
      <c r="D12" s="31" t="inlineStr">
        <is>
          <t>Kotak Mahindra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445562.84</v>
      </c>
      <c r="I12" s="32" t="n">
        <v>447.4</v>
      </c>
      <c r="J12" s="32" t="n">
        <v>-0.12</v>
      </c>
      <c r="K12" s="32" t="n">
        <v>25165107</v>
      </c>
      <c r="L12" s="31" t="n">
        <v>20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66.23999999999999</v>
      </c>
      <c r="P12" s="32" t="n">
        <v>15.16</v>
      </c>
      <c r="Q12" s="32" t="n">
        <v>389.01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-3.24</v>
      </c>
      <c r="U12" s="32" t="n">
        <v>1.59</v>
      </c>
      <c r="V12" s="32" t="n">
        <v>4.99</v>
      </c>
      <c r="W12" s="32" t="n">
        <v>3.56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TFCILTD</t>
        </is>
      </c>
      <c r="D13" s="31" t="inlineStr">
        <is>
          <t>Tourism Finance Corporation Of India Limited</t>
        </is>
      </c>
      <c r="E13" s="31" t="inlineStr">
        <is>
          <t>financials</t>
        </is>
      </c>
      <c r="F13" s="31" t="inlineStr">
        <is>
          <t>finance - term-lending institutions</t>
        </is>
      </c>
      <c r="G13" s="31" t="inlineStr">
        <is>
          <t>midcap</t>
        </is>
      </c>
      <c r="H13" s="32" t="n">
        <v>7306.71</v>
      </c>
      <c r="I13" s="32" t="n">
        <v>155.69</v>
      </c>
      <c r="J13" s="32" t="n">
        <v>-1.35</v>
      </c>
      <c r="K13" s="32" t="n">
        <v>6582981</v>
      </c>
      <c r="L13" s="31" t="n">
        <v>90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84.84</v>
      </c>
      <c r="P13" s="32" t="n">
        <v>76.20999999999999</v>
      </c>
      <c r="Q13" s="32" t="n">
        <v>124.37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-3.24</v>
      </c>
      <c r="U13" s="32" t="n">
        <v>112.96</v>
      </c>
      <c r="V13" s="32" t="n">
        <v>120.09</v>
      </c>
      <c r="W13" s="32" t="n">
        <v>36.86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FEDFINA</t>
        </is>
      </c>
      <c r="D14" s="31" t="inlineStr">
        <is>
          <t>Fedbank Financial Services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midcap</t>
        </is>
      </c>
      <c r="H14" s="32" t="n">
        <v>5907.77</v>
      </c>
      <c r="I14" s="32" t="n">
        <v>161.86</v>
      </c>
      <c r="J14" s="32" t="n">
        <v>2.72</v>
      </c>
      <c r="K14" s="32" t="n">
        <v>1723668</v>
      </c>
      <c r="L14" s="31" t="n">
        <v>14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58.15</v>
      </c>
      <c r="P14" s="32" t="n">
        <v>23.91</v>
      </c>
      <c r="Q14" s="32" t="n">
        <v>127.58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-3.24</v>
      </c>
      <c r="U14" s="32" t="n">
        <v>7.95</v>
      </c>
      <c r="V14" s="32" t="n">
        <v>11.56</v>
      </c>
      <c r="W14" s="32" t="n">
        <v>2.11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1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IF(B15=0,"",RANK(B15,$B$2:$B$25,0))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VHL</t>
        </is>
      </c>
      <c r="D15" s="33" t="inlineStr">
        <is>
          <t>Vardhman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1179.08</v>
      </c>
      <c r="I15" s="32" t="n">
        <v>3740.4</v>
      </c>
      <c r="J15" s="32" t="n">
        <v>1.25</v>
      </c>
      <c r="K15" s="32" t="n">
        <v>1163</v>
      </c>
      <c r="L15" s="31" t="n">
        <v>10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60.08</v>
      </c>
      <c r="P15" s="32" t="n">
        <v>8</v>
      </c>
      <c r="Q15" s="32" t="n">
        <v>3106.87</v>
      </c>
      <c r="R15" s="31" t="inlineStr">
        <is>
          <t>Volume Spike / Accumulation</t>
        </is>
      </c>
      <c r="S15" s="31" t="inlineStr">
        <is>
          <t>Nifty Bank</t>
        </is>
      </c>
      <c r="T15" s="32" t="n">
        <v>-3.24</v>
      </c>
      <c r="U15" s="32" t="n">
        <v>-4.56</v>
      </c>
      <c r="V15" s="32" t="n">
        <v>-1.37</v>
      </c>
      <c r="W15" s="32" t="n">
        <v>0.68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GCSL</t>
        </is>
      </c>
      <c r="D16" s="31" t="inlineStr">
        <is>
          <t>Gretex Corporate Services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1838.65</v>
      </c>
      <c r="I16" s="32" t="n">
        <v>740.45</v>
      </c>
      <c r="J16" s="32" t="n">
        <v>0.7</v>
      </c>
      <c r="K16" s="32" t="n">
        <v>300862</v>
      </c>
      <c r="L16" s="31" t="n">
        <v>91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84.01000000000001</v>
      </c>
      <c r="P16" s="32" t="n">
        <v>35.38</v>
      </c>
      <c r="Q16" s="32" t="n">
        <v>610.46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-3.24</v>
      </c>
      <c r="U16" s="32" t="n">
        <v>236.26</v>
      </c>
      <c r="V16" s="32" t="n">
        <v>247.52</v>
      </c>
      <c r="W16" s="32" t="n">
        <v>38.07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IF(B17=0,"",RANK(B17,$B$2:$B$25,0))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IIFLCAPS</t>
        </is>
      </c>
      <c r="D17" s="31" t="inlineStr">
        <is>
          <t>IIFL Capital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10879.87</v>
      </c>
      <c r="I17" s="32" t="n">
        <v>347.35</v>
      </c>
      <c r="J17" s="32" t="n">
        <v>0.07000000000000001</v>
      </c>
      <c r="K17" s="32" t="n">
        <v>253118</v>
      </c>
      <c r="L17" s="31" t="n">
        <v>12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57.84</v>
      </c>
      <c r="P17" s="32" t="n">
        <v>21.63</v>
      </c>
      <c r="Q17" s="32" t="n">
        <v>307.7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-3.24</v>
      </c>
      <c r="U17" s="32" t="n">
        <v>2.84</v>
      </c>
      <c r="V17" s="32" t="n">
        <v>6.28</v>
      </c>
      <c r="W17" s="32" t="n">
        <v>1.64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IF(B18=0,"",RANK(B18,$B$2:$B$25,0))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MOTILALOFS</t>
        </is>
      </c>
      <c r="D18" s="31" t="inlineStr">
        <is>
          <t>Motilal Oswal Financial Services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64005.18</v>
      </c>
      <c r="I18" s="32" t="n">
        <v>1057.6</v>
      </c>
      <c r="J18" s="32" t="n">
        <v>-0.5</v>
      </c>
      <c r="K18" s="32" t="n">
        <v>601008</v>
      </c>
      <c r="L18" s="31" t="n">
        <v>20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63.8</v>
      </c>
      <c r="P18" s="32" t="n">
        <v>19.15</v>
      </c>
      <c r="Q18" s="32" t="n">
        <v>858.35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-3.24</v>
      </c>
      <c r="U18" s="32" t="n">
        <v>6.12</v>
      </c>
      <c r="V18" s="32" t="n">
        <v>9.67</v>
      </c>
      <c r="W18" s="32" t="n">
        <v>3.72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IF(B19=0,"",RANK(B19,$B$2:$B$25,0))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CONSOFINVT</t>
        </is>
      </c>
      <c r="D19" s="31" t="inlineStr">
        <is>
          <t>Consolidated Finvest &amp; Holdings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937.3</v>
      </c>
      <c r="I19" s="32" t="n">
        <v>296.8</v>
      </c>
      <c r="J19" s="32" t="n">
        <v>2.36</v>
      </c>
      <c r="K19" s="32" t="n">
        <v>15593</v>
      </c>
      <c r="L19" s="31" t="n">
        <v>52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64.13</v>
      </c>
      <c r="P19" s="32" t="n">
        <v>39.15</v>
      </c>
      <c r="Q19" s="32" t="n">
        <v>236.76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-3.24</v>
      </c>
      <c r="U19" s="32" t="n">
        <v>68.28</v>
      </c>
      <c r="V19" s="32" t="n">
        <v>73.91</v>
      </c>
      <c r="W19" s="32" t="n">
        <v>13.76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IF(B20=0,"",RANK(B20,$B$2:$B$25,0))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ICICIBANK</t>
        </is>
      </c>
      <c r="D20" s="31" t="inlineStr">
        <is>
          <t>Icici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997415</v>
      </c>
      <c r="I20" s="32" t="n">
        <v>1397</v>
      </c>
      <c r="J20" s="32" t="n">
        <v>0.55</v>
      </c>
      <c r="K20" s="32" t="n">
        <v>14925887</v>
      </c>
      <c r="L20" s="31" t="n">
        <v>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55.84</v>
      </c>
      <c r="P20" s="32" t="n">
        <v>20.53</v>
      </c>
      <c r="Q20" s="32" t="n">
        <v>1273.44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-3.24</v>
      </c>
      <c r="U20" s="32" t="n">
        <v>-1.94</v>
      </c>
      <c r="V20" s="32" t="n">
        <v>1.35</v>
      </c>
      <c r="W20" s="32" t="n">
        <v>-0.8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IF(B21=0,"",RANK(B21,$B$2:$B$25,0))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AXISBANK</t>
        </is>
      </c>
      <c r="D21" s="31" t="inlineStr">
        <is>
          <t>Axis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401043.24</v>
      </c>
      <c r="I21" s="32" t="n">
        <v>1290</v>
      </c>
      <c r="J21" s="32" t="n">
        <v>0.16</v>
      </c>
      <c r="K21" s="32" t="n">
        <v>8767105</v>
      </c>
      <c r="L21" s="31" t="n">
        <v>11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53.43</v>
      </c>
      <c r="P21" s="32" t="n">
        <v>11.1</v>
      </c>
      <c r="Q21" s="32" t="n">
        <v>1160.47</v>
      </c>
      <c r="R21" s="31" t="inlineStr">
        <is>
          <t>Volume Spike / Accumulation</t>
        </is>
      </c>
      <c r="S21" s="31" t="inlineStr">
        <is>
          <t>Nifty Bank</t>
        </is>
      </c>
      <c r="T21" s="32" t="n">
        <v>-3.24</v>
      </c>
      <c r="U21" s="32" t="n">
        <v>7.56</v>
      </c>
      <c r="V21" s="32" t="n">
        <v>11.17</v>
      </c>
      <c r="W21" s="32" t="n">
        <v>0.97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IF(B22=0,"",RANK(B22,$B$2:$B$25,0))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AIIL</t>
        </is>
      </c>
      <c r="D22" s="33" t="inlineStr">
        <is>
          <t>Authum Investment &amp; Infrastructure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45972.82</v>
      </c>
      <c r="I22" s="32" t="n">
        <v>571.9</v>
      </c>
      <c r="J22" s="32" t="n">
        <v>5.64</v>
      </c>
      <c r="K22" s="32" t="n">
        <v>694873</v>
      </c>
      <c r="L22" s="31" t="n">
        <v>6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56.13</v>
      </c>
      <c r="P22" s="32" t="n">
        <v>16.72</v>
      </c>
      <c r="Q22" s="32" t="n">
        <v>458.72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-3.24</v>
      </c>
      <c r="U22" s="32" t="n">
        <v>-9.57</v>
      </c>
      <c r="V22" s="32" t="n">
        <v>-6.55</v>
      </c>
      <c r="W22" s="32" t="n">
        <v>-0.58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IF(B23=0,"",RANK(B23,$B$2:$B$25,0))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INDIANB</t>
        </is>
      </c>
      <c r="D23" s="31" t="inlineStr">
        <is>
          <t>Indian Bank Ltd</t>
        </is>
      </c>
      <c r="E23" s="31" t="inlineStr">
        <is>
          <t>bank</t>
        </is>
      </c>
      <c r="F23" s="31" t="inlineStr">
        <is>
          <t>banks - public sector</t>
        </is>
      </c>
      <c r="G23" s="31" t="inlineStr">
        <is>
          <t>largecap</t>
        </is>
      </c>
      <c r="H23" s="32" t="n">
        <v>112471.49</v>
      </c>
      <c r="I23" s="32" t="n">
        <v>854.1</v>
      </c>
      <c r="J23" s="32" t="n">
        <v>2.29</v>
      </c>
      <c r="K23" s="32" t="n">
        <v>2556003</v>
      </c>
      <c r="L23" s="31" t="n">
        <v>16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51.52</v>
      </c>
      <c r="P23" s="32" t="n">
        <v>12.45</v>
      </c>
      <c r="Q23" s="32" t="n">
        <v>750.79</v>
      </c>
      <c r="R23" s="31" t="inlineStr">
        <is>
          <t>Volume Spike / Accumulation</t>
        </is>
      </c>
      <c r="S23" s="31" t="inlineStr">
        <is>
          <t>Nifty Bank</t>
        </is>
      </c>
      <c r="T23" s="32" t="n">
        <v>-3.24</v>
      </c>
      <c r="U23" s="32" t="n">
        <v>11.5</v>
      </c>
      <c r="V23" s="32" t="n">
        <v>15.23</v>
      </c>
      <c r="W23" s="32" t="n">
        <v>2.97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1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IF(B24=0,"",RANK(B24,$B$2:$B$25,0))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5PAISA</t>
        </is>
      </c>
      <c r="D24" s="31" t="inlineStr">
        <is>
          <t>5Paisa Capital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1620.25</v>
      </c>
      <c r="I24" s="32" t="n">
        <v>346.55</v>
      </c>
      <c r="J24" s="32" t="n">
        <v>0.27</v>
      </c>
      <c r="K24" s="32" t="n">
        <v>60446</v>
      </c>
      <c r="L24" s="31" t="n">
        <v>13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51.73</v>
      </c>
      <c r="P24" s="32" t="n">
        <v>18.65</v>
      </c>
      <c r="Q24" s="32" t="n">
        <v>283.53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-3.24</v>
      </c>
      <c r="U24" s="32" t="n">
        <v>10.79</v>
      </c>
      <c r="V24" s="32" t="n">
        <v>14.5</v>
      </c>
      <c r="W24" s="32" t="n">
        <v>1.75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1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IF(B25=0,"",RANK(B25,$B$2:$B$25,0))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BAJAJHLDNG</t>
        </is>
      </c>
      <c r="D25" s="33" t="inlineStr">
        <is>
          <t>Bajaj Holdings &amp; Investment Limited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124926.97</v>
      </c>
      <c r="I25" s="32" t="n">
        <v>11198</v>
      </c>
      <c r="J25" s="32" t="n">
        <v>-0.24</v>
      </c>
      <c r="K25" s="32" t="n">
        <v>26275</v>
      </c>
      <c r="L25" s="31" t="n">
        <v>8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55.68</v>
      </c>
      <c r="P25" s="32" t="n">
        <v>17.82</v>
      </c>
      <c r="Q25" s="32" t="n">
        <v>9677.639999999999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-3.24</v>
      </c>
      <c r="U25" s="32" t="n">
        <v>-9.890000000000001</v>
      </c>
      <c r="V25" s="32" t="n">
        <v>-6.88</v>
      </c>
      <c r="W25" s="32" t="n">
        <v>-0.07000000000000001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1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</sheetData>
  <autoFilter ref="A1:CA25"/>
  <conditionalFormatting sqref="B2:B2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5">
    <cfRule type="cellIs" priority="34" operator="equal" dxfId="3" stopIfTrue="1">
      <formula>"Underperforming"</formula>
    </cfRule>
  </conditionalFormatting>
  <conditionalFormatting sqref="N2:N25">
    <cfRule type="cellIs" priority="35" operator="equal" dxfId="3" stopIfTrue="1">
      <formula>-5</formula>
    </cfRule>
  </conditionalFormatting>
  <conditionalFormatting sqref="Q2:Q2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5" showDropDown="0" showInputMessage="0" showErrorMessage="0" allowBlank="1" type="list">
      <formula1>"Growing Industry,Stagnant Industry,Cyclical in an Upturn"</formula1>
    </dataValidation>
    <dataValidation sqref="Z2:Z25" showDropDown="0" showInputMessage="0" showErrorMessage="0" allowBlank="1" type="list">
      <formula1>"Fragmented with Low ROE,Fragmented with High ROE,Highly Cyclical"</formula1>
    </dataValidation>
    <dataValidation sqref="AB2:AB25" showDropDown="0" showInputMessage="0" showErrorMessage="0" allowBlank="1" type="list">
      <formula1>"Yes,No"</formula1>
    </dataValidation>
    <dataValidation sqref="AD2:AD25" showDropDown="0" showInputMessage="0" showErrorMessage="0" allowBlank="1" type="list">
      <formula1>"Tailwind,Headwind"</formula1>
    </dataValidation>
    <dataValidation sqref="AF2:AF2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5" showDropDown="0" showInputMessage="0" showErrorMessage="0" allowBlank="1" type="list">
      <formula1>"Yes,No"</formula1>
    </dataValidation>
    <dataValidation sqref="AJ2:AJ25" showDropDown="0" showInputMessage="0" showErrorMessage="0" allowBlank="1" type="list">
      <formula1>"Yes,No,Not Applicable"</formula1>
    </dataValidation>
    <dataValidation sqref="AL2:AL25" showDropDown="0" showInputMessage="0" showErrorMessage="0" allowBlank="1" type="list">
      <formula1>"Yes,No"</formula1>
    </dataValidation>
    <dataValidation sqref="AN2:AN25" showDropDown="0" showInputMessage="0" showErrorMessage="0" allowBlank="1" type="list">
      <formula1>"Yes,No"</formula1>
    </dataValidation>
    <dataValidation sqref="AP2:AP25" showDropDown="0" showInputMessage="0" showErrorMessage="0" allowBlank="1" type="list">
      <formula1>"Yes,No"</formula1>
    </dataValidation>
    <dataValidation sqref="AR2:AR25" showDropDown="0" showInputMessage="0" showErrorMessage="0" allowBlank="1" type="list">
      <formula1>"Yes,No"</formula1>
    </dataValidation>
    <dataValidation sqref="AT2:AT25" showDropDown="0" showInputMessage="0" showErrorMessage="0" allowBlank="1" type="list">
      <formula1>"No,Yes"</formula1>
    </dataValidation>
    <dataValidation sqref="AV2:AV25" showDropDown="0" showInputMessage="0" showErrorMessage="0" allowBlank="1" type="list">
      <formula1>"No,Yes"</formula1>
    </dataValidation>
    <dataValidation sqref="AX2:AX25" showDropDown="0" showInputMessage="0" showErrorMessage="0" allowBlank="1" type="list">
      <formula1>"No,Yes CEO Resignation,Yes CEO Retirement"</formula1>
    </dataValidation>
    <dataValidation sqref="AZ2:AZ25" showDropDown="0" showInputMessage="0" showErrorMessage="0" allowBlank="1" type="list">
      <formula1>"No,Yes"</formula1>
    </dataValidation>
    <dataValidation sqref="BB2:BB25" showDropDown="0" showInputMessage="0" showErrorMessage="0" allowBlank="1" type="list">
      <formula1>"No,Yes"</formula1>
    </dataValidation>
    <dataValidation sqref="BD2:BD25" showDropDown="0" showInputMessage="0" showErrorMessage="0" allowBlank="1" type="list">
      <formula1>"Yes,No"</formula1>
    </dataValidation>
    <dataValidation sqref="BF2:BF25" showDropDown="0" showInputMessage="0" showErrorMessage="0" allowBlank="1" type="list">
      <formula1>"Yes,No"</formula1>
    </dataValidation>
    <dataValidation sqref="BH2:BH25" showDropDown="0" showInputMessage="0" showErrorMessage="0" allowBlank="1" type="list">
      <formula1>"Yes,No"</formula1>
    </dataValidation>
    <dataValidation sqref="BJ2:BJ2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5" showDropDown="0" showInputMessage="0" showErrorMessage="0" allowBlank="1" type="list">
      <formula1>"Above 40,20 to 40,0 to 20"</formula1>
    </dataValidation>
    <dataValidation sqref="BN2:BN25" showDropDown="0" showInputMessage="0" showErrorMessage="0" allowBlank="1" type="list">
      <formula1>"Between 50 to 75,Above 75,Below 45"</formula1>
    </dataValidation>
    <dataValidation sqref="BP2:BP25" showDropDown="0" showInputMessage="0" showErrorMessage="0" allowBlank="1" type="list">
      <formula1>"Stage 1,Stage 2,Stage 3,Stage 4"</formula1>
    </dataValidation>
    <dataValidation sqref="BR2:BR25" showDropDown="0" showInputMessage="0" showErrorMessage="0" allowBlank="1" type="list">
      <formula1>"Positive Trend,Negative Trend"</formula1>
    </dataValidation>
    <dataValidation sqref="BT2:BT25" showDropDown="0" showInputMessage="0" showErrorMessage="0" allowBlank="1" type="list">
      <formula1>"Uptrend,Sideways,Downtrend"</formula1>
    </dataValidation>
    <dataValidation sqref="BV2:BV25" showDropDown="0" showInputMessage="0" showErrorMessage="0" allowBlank="1" type="list">
      <formula1>"Uptrend,Sideways,Downtrend"</formula1>
    </dataValidation>
    <dataValidation sqref="BX2:BX2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118</v>
      </c>
      <c r="H2" s="31" t="inlineStr">
        <is>
          <t>SHANTIGOLD</t>
        </is>
      </c>
      <c r="I2" s="31" t="inlineStr">
        <is>
          <t>Shanti Gold International Ltd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3000.13</v>
      </c>
      <c r="N2" s="32" t="n">
        <v>423.3</v>
      </c>
      <c r="O2" s="32" t="n">
        <v>8.27</v>
      </c>
      <c r="P2" s="32" t="n">
        <v>5873640</v>
      </c>
      <c r="Q2" s="31" t="n">
        <v>94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79.36</v>
      </c>
      <c r="U2" s="32" t="n">
        <v>48.03</v>
      </c>
      <c r="V2" s="32" t="n">
        <v>321.14</v>
      </c>
      <c r="W2" s="31" t="inlineStr">
        <is>
          <t>Near 52W High Breakout</t>
        </is>
      </c>
      <c r="X2" s="31" t="inlineStr">
        <is>
          <t>Nifty 50</t>
        </is>
      </c>
      <c r="Y2" s="32" t="n">
        <v>-9.970000000000001</v>
      </c>
      <c r="Z2" s="32" t="n">
        <v>106.49</v>
      </c>
      <c r="AA2" s="32" t="n">
        <v>129.36</v>
      </c>
      <c r="AB2" s="32" t="n">
        <v>40.41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296</v>
      </c>
      <c r="H3" s="31" t="inlineStr">
        <is>
          <t>NRL</t>
        </is>
      </c>
      <c r="I3" s="31" t="inlineStr">
        <is>
          <t>Nupur Recyclers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smallcap</t>
        </is>
      </c>
      <c r="M3" s="32" t="n">
        <v>1143.37</v>
      </c>
      <c r="N3" s="32" t="n">
        <v>168.85</v>
      </c>
      <c r="O3" s="32" t="n">
        <v>2</v>
      </c>
      <c r="P3" s="32" t="n">
        <v>29508</v>
      </c>
      <c r="Q3" s="31" t="n">
        <v>92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88.56999999999999</v>
      </c>
      <c r="U3" s="32" t="n">
        <v>79.16</v>
      </c>
      <c r="V3" s="32" t="n">
        <v>140.68</v>
      </c>
      <c r="W3" s="31" t="inlineStr">
        <is>
          <t>Near 52W High Breakout</t>
        </is>
      </c>
      <c r="X3" s="31" t="inlineStr">
        <is>
          <t>Nifty 50</t>
        </is>
      </c>
      <c r="Y3" s="32" t="n">
        <v>-9.970000000000001</v>
      </c>
      <c r="Z3" s="32" t="n">
        <v>152.24</v>
      </c>
      <c r="AA3" s="32" t="n">
        <v>180.18</v>
      </c>
      <c r="AB3" s="32" t="n">
        <v>38.14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65</v>
      </c>
      <c r="H4" s="31" t="inlineStr">
        <is>
          <t>TBZ</t>
        </is>
      </c>
      <c r="I4" s="31" t="inlineStr">
        <is>
          <t>Tribhovandas Bhimji Zaveri Limited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smallcap</t>
        </is>
      </c>
      <c r="M4" s="32" t="n">
        <v>4824.62</v>
      </c>
      <c r="N4" s="32" t="n">
        <v>759.15</v>
      </c>
      <c r="O4" s="32" t="n">
        <v>5</v>
      </c>
      <c r="P4" s="32" t="n">
        <v>344428</v>
      </c>
      <c r="Q4" s="31" t="n">
        <v>99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86.02</v>
      </c>
      <c r="U4" s="32" t="n">
        <v>66.22</v>
      </c>
      <c r="V4" s="32" t="n">
        <v>569.27</v>
      </c>
      <c r="W4" s="31" t="inlineStr">
        <is>
          <t>Near 52W High Breakout</t>
        </is>
      </c>
      <c r="X4" s="31" t="inlineStr">
        <is>
          <t>Nifty 50</t>
        </is>
      </c>
      <c r="Y4" s="32" t="n">
        <v>-9.970000000000001</v>
      </c>
      <c r="Z4" s="32" t="n">
        <v>316.14</v>
      </c>
      <c r="AA4" s="32" t="n">
        <v>362.23</v>
      </c>
      <c r="AB4" s="32" t="n">
        <v>89.03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Between 0.7 to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</v>
      </c>
      <c r="E5" s="32" t="inlineStr">
        <is>
          <t>5%</t>
        </is>
      </c>
      <c r="F5" s="32" t="n">
        <v>50000</v>
      </c>
      <c r="G5" s="32" t="n">
        <v>76</v>
      </c>
      <c r="H5" s="31" t="inlineStr">
        <is>
          <t>NITINSPIN</t>
        </is>
      </c>
      <c r="I5" s="31" t="inlineStr">
        <is>
          <t>Nitin Spinners Limited</t>
        </is>
      </c>
      <c r="J5" s="31" t="inlineStr">
        <is>
          <t>textiles</t>
        </is>
      </c>
      <c r="K5" s="31" t="inlineStr">
        <is>
          <t>textiles - cotton/blended</t>
        </is>
      </c>
      <c r="L5" s="31" t="inlineStr">
        <is>
          <t>smallcap</t>
        </is>
      </c>
      <c r="M5" s="32" t="n">
        <v>3495.2</v>
      </c>
      <c r="N5" s="32" t="n">
        <v>653.85</v>
      </c>
      <c r="O5" s="32" t="n">
        <v>5.17</v>
      </c>
      <c r="P5" s="32" t="n">
        <v>558125</v>
      </c>
      <c r="Q5" s="31" t="n">
        <v>69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69.37</v>
      </c>
      <c r="U5" s="32" t="n">
        <v>52.51</v>
      </c>
      <c r="V5" s="32" t="n">
        <v>518.92</v>
      </c>
      <c r="W5" s="31" t="inlineStr">
        <is>
          <t>Near 52W High Breakout</t>
        </is>
      </c>
      <c r="X5" s="31" t="inlineStr">
        <is>
          <t>Nifty 50</t>
        </is>
      </c>
      <c r="Y5" s="32" t="n">
        <v>-9.970000000000001</v>
      </c>
      <c r="Z5" s="32" t="n">
        <v>106.28</v>
      </c>
      <c r="AA5" s="32" t="n">
        <v>129.12</v>
      </c>
      <c r="AB5" s="32" t="n">
        <v>20.17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Between 0.7 to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138.8</v>
      </c>
      <c r="E6" s="32" t="inlineStr">
        <is>
          <t>5%</t>
        </is>
      </c>
      <c r="F6" s="32" t="n">
        <v>50000</v>
      </c>
      <c r="G6" s="32" t="n">
        <v>120</v>
      </c>
      <c r="H6" s="31" t="inlineStr">
        <is>
          <t>HITECHCORP</t>
        </is>
      </c>
      <c r="I6" s="31" t="inlineStr">
        <is>
          <t>Hitech Corporation</t>
        </is>
      </c>
      <c r="J6" s="31" t="inlineStr">
        <is>
          <t>industrials</t>
        </is>
      </c>
      <c r="K6" s="31" t="inlineStr">
        <is>
          <t>packaging</t>
        </is>
      </c>
      <c r="L6" s="31" t="inlineStr">
        <is>
          <t>smallcap</t>
        </is>
      </c>
      <c r="M6" s="32" t="n">
        <v>706.6900000000001</v>
      </c>
      <c r="N6" s="32" t="n">
        <v>413.75</v>
      </c>
      <c r="O6" s="32" t="n">
        <v>0.5600000000000001</v>
      </c>
      <c r="P6" s="32" t="n">
        <v>19612</v>
      </c>
      <c r="Q6" s="31" t="n">
        <v>85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87.89</v>
      </c>
      <c r="U6" s="32" t="n">
        <v>66.41</v>
      </c>
      <c r="V6" s="32" t="n">
        <v>346.34</v>
      </c>
      <c r="W6" s="31" t="inlineStr">
        <is>
          <t>Near 52W High Breakout</t>
        </is>
      </c>
      <c r="X6" s="31" t="inlineStr">
        <is>
          <t>Nifty 50</t>
        </is>
      </c>
      <c r="Y6" s="32" t="n">
        <v>-9.970000000000001</v>
      </c>
      <c r="Z6" s="32" t="n">
        <v>120.04</v>
      </c>
      <c r="AA6" s="32" t="n">
        <v>144.42</v>
      </c>
      <c r="AB6" s="32" t="n">
        <v>31.17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138.7</v>
      </c>
      <c r="E7" s="32" t="inlineStr">
        <is>
          <t>5%</t>
        </is>
      </c>
      <c r="F7" s="32" t="n">
        <v>50000</v>
      </c>
      <c r="G7" s="32" t="n">
        <v>47</v>
      </c>
      <c r="H7" s="31" t="inlineStr">
        <is>
          <t>SKYGOLD</t>
        </is>
      </c>
      <c r="I7" s="31" t="inlineStr">
        <is>
          <t>Sky Gold Ltd</t>
        </is>
      </c>
      <c r="J7" s="31" t="inlineStr">
        <is>
          <t>consumer discretionary</t>
        </is>
      </c>
      <c r="K7" s="31" t="inlineStr">
        <is>
          <t>diamond cutting / jewellery</t>
        </is>
      </c>
      <c r="L7" s="31" t="inlineStr">
        <is>
          <t>midcap</t>
        </is>
      </c>
      <c r="M7" s="32" t="n">
        <v>15509.85</v>
      </c>
      <c r="N7" s="32" t="n">
        <v>1060.6</v>
      </c>
      <c r="O7" s="32" t="n">
        <v>5.91</v>
      </c>
      <c r="P7" s="32" t="n">
        <v>2530213</v>
      </c>
      <c r="Q7" s="31" t="n">
        <v>95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83.75</v>
      </c>
      <c r="U7" s="32" t="n">
        <v>69.59999999999999</v>
      </c>
      <c r="V7" s="32" t="n">
        <v>829.1799999999999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-9.970000000000001</v>
      </c>
      <c r="Z7" s="32" t="n">
        <v>217.45</v>
      </c>
      <c r="AA7" s="32" t="n">
        <v>252.61</v>
      </c>
      <c r="AB7" s="32" t="n">
        <v>43.13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Between 0.7 to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138.2</v>
      </c>
      <c r="E8" s="32" t="inlineStr">
        <is>
          <t>5%</t>
        </is>
      </c>
      <c r="F8" s="32" t="n">
        <v>50000</v>
      </c>
      <c r="G8" s="32" t="n">
        <v>20</v>
      </c>
      <c r="H8" s="31" t="inlineStr">
        <is>
          <t>WHEELS</t>
        </is>
      </c>
      <c r="I8" s="31" t="inlineStr">
        <is>
          <t>Wheels India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midcap</t>
        </is>
      </c>
      <c r="M8" s="32" t="n">
        <v>6445.62</v>
      </c>
      <c r="N8" s="32" t="n">
        <v>2452.7</v>
      </c>
      <c r="O8" s="32" t="n">
        <v>2.22</v>
      </c>
      <c r="P8" s="32" t="n">
        <v>91941</v>
      </c>
      <c r="Q8" s="31" t="inlineStr"/>
      <c r="R8" s="31" t="inlineStr"/>
      <c r="S8" s="32">
        <f>IF(R8="Underperforming",-5,IF(Q8&gt;=95,15,IF(Q8&gt;=90,10,IF(Q8&gt;=80,5,0))))</f>
        <v/>
      </c>
      <c r="T8" s="32" t="n">
        <v>77.56999999999999</v>
      </c>
      <c r="U8" s="32" t="n">
        <v>61.92</v>
      </c>
      <c r="V8" s="32" t="n">
        <v>1828.5</v>
      </c>
      <c r="W8" s="31" t="inlineStr">
        <is>
          <t>Near 52W High Breakout</t>
        </is>
      </c>
      <c r="X8" s="31" t="inlineStr">
        <is>
          <t>Nifty Auto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140</v>
      </c>
      <c r="E9" s="32" t="inlineStr">
        <is>
          <t>5%</t>
        </is>
      </c>
      <c r="F9" s="32" t="n">
        <v>50000</v>
      </c>
      <c r="G9" s="32" t="n">
        <v>76</v>
      </c>
      <c r="H9" s="31" t="inlineStr">
        <is>
          <t>PANACHE</t>
        </is>
      </c>
      <c r="I9" s="31" t="inlineStr">
        <is>
          <t>Panache Digilife Ltd</t>
        </is>
      </c>
      <c r="J9" s="31" t="inlineStr">
        <is>
          <t>i.t</t>
        </is>
      </c>
      <c r="K9" s="31" t="inlineStr">
        <is>
          <t>computers - hardware</t>
        </is>
      </c>
      <c r="L9" s="31" t="inlineStr">
        <is>
          <t>smallcap</t>
        </is>
      </c>
      <c r="M9" s="32" t="n">
        <v>1030.66</v>
      </c>
      <c r="N9" s="32" t="n">
        <v>656.45</v>
      </c>
      <c r="O9" s="32" t="n">
        <v>2</v>
      </c>
      <c r="P9" s="32" t="n">
        <v>3460</v>
      </c>
      <c r="Q9" s="31" t="n">
        <v>74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80.54000000000001</v>
      </c>
      <c r="U9" s="32" t="n">
        <v>42.49</v>
      </c>
      <c r="V9" s="32" t="n">
        <v>530.8200000000001</v>
      </c>
      <c r="W9" s="31" t="inlineStr">
        <is>
          <t>Near 52W High Breakout</t>
        </is>
      </c>
      <c r="X9" s="31" t="inlineStr">
        <is>
          <t>Nifty IT</t>
        </is>
      </c>
      <c r="Y9" s="32" t="n">
        <v>-8.66</v>
      </c>
      <c r="Z9" s="32" t="n">
        <v>56.45</v>
      </c>
      <c r="AA9" s="32" t="n">
        <v>71.28</v>
      </c>
      <c r="AB9" s="32" t="n">
        <v>23.79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139.8</v>
      </c>
      <c r="E10" s="32" t="inlineStr">
        <is>
          <t>5%</t>
        </is>
      </c>
      <c r="F10" s="32" t="n">
        <v>50000</v>
      </c>
      <c r="G10" s="32" t="n">
        <v>59</v>
      </c>
      <c r="H10" s="31" t="inlineStr">
        <is>
          <t>SHREEJISPG</t>
        </is>
      </c>
      <c r="I10" s="31" t="inlineStr">
        <is>
          <t>Shreeji Shipping Global Ltd</t>
        </is>
      </c>
      <c r="J10" s="31" t="inlineStr">
        <is>
          <t>transportation</t>
        </is>
      </c>
      <c r="K10" s="31" t="inlineStr">
        <is>
          <t>shipping</t>
        </is>
      </c>
      <c r="L10" s="31" t="inlineStr">
        <is>
          <t>midcap</t>
        </is>
      </c>
      <c r="M10" s="32" t="n">
        <v>13606.12</v>
      </c>
      <c r="N10" s="32" t="n">
        <v>840</v>
      </c>
      <c r="O10" s="32" t="n">
        <v>0.58</v>
      </c>
      <c r="P10" s="32" t="n">
        <v>774541</v>
      </c>
      <c r="Q10" s="31" t="n">
        <v>93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86.45999999999999</v>
      </c>
      <c r="U10" s="32" t="n">
        <v>56.96</v>
      </c>
      <c r="V10" s="32" t="n">
        <v>712.7</v>
      </c>
      <c r="W10" s="31" t="inlineStr">
        <is>
          <t>Near 52W High Breakout</t>
        </is>
      </c>
      <c r="X10" s="31" t="inlineStr">
        <is>
          <t>Nifty 50</t>
        </is>
      </c>
      <c r="Y10" s="32" t="n">
        <v>-9.970000000000001</v>
      </c>
      <c r="Z10" s="32" t="n">
        <v>257.32</v>
      </c>
      <c r="AA10" s="32" t="n">
        <v>296.9</v>
      </c>
      <c r="AB10" s="32" t="n">
        <v>39.58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371</v>
      </c>
      <c r="H11" s="31" t="inlineStr">
        <is>
          <t>VALIANTLAB</t>
        </is>
      </c>
      <c r="I11" s="31" t="inlineStr">
        <is>
          <t>Valiant Laboratories Ltd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smallcap</t>
        </is>
      </c>
      <c r="M11" s="32" t="n">
        <v>696.5</v>
      </c>
      <c r="N11" s="32" t="n">
        <v>134.65</v>
      </c>
      <c r="O11" s="32" t="n">
        <v>5</v>
      </c>
      <c r="P11" s="32" t="n">
        <v>104608</v>
      </c>
      <c r="Q11" s="31" t="n">
        <v>94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77.27</v>
      </c>
      <c r="U11" s="32" t="n">
        <v>39.71</v>
      </c>
      <c r="V11" s="32" t="n">
        <v>98.45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15.85</v>
      </c>
      <c r="Z11" s="32" t="n">
        <v>62.74</v>
      </c>
      <c r="AA11" s="32" t="n">
        <v>40.47</v>
      </c>
      <c r="AB11" s="32" t="n">
        <v>40.23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139.1</v>
      </c>
      <c r="E12" s="32" t="inlineStr">
        <is>
          <t>5%</t>
        </is>
      </c>
      <c r="F12" s="32" t="n">
        <v>50000</v>
      </c>
      <c r="G12" s="32" t="n">
        <v>27</v>
      </c>
      <c r="H12" s="31" t="inlineStr">
        <is>
          <t>TECHM</t>
        </is>
      </c>
      <c r="I12" s="31" t="inlineStr">
        <is>
          <t>Tech Mahindra Limited</t>
        </is>
      </c>
      <c r="J12" s="31" t="inlineStr">
        <is>
          <t>i.t</t>
        </is>
      </c>
      <c r="K12" s="31" t="inlineStr">
        <is>
          <t>computers - software - large</t>
        </is>
      </c>
      <c r="L12" s="31" t="inlineStr">
        <is>
          <t>largecap</t>
        </is>
      </c>
      <c r="M12" s="32" t="n">
        <v>161709.56</v>
      </c>
      <c r="N12" s="32" t="n">
        <v>1790</v>
      </c>
      <c r="O12" s="32" t="n">
        <v>8.48</v>
      </c>
      <c r="P12" s="32" t="n">
        <v>20829435</v>
      </c>
      <c r="Q12" s="31" t="n">
        <v>32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68.04000000000001</v>
      </c>
      <c r="U12" s="32" t="n">
        <v>13.15</v>
      </c>
      <c r="V12" s="32" t="n">
        <v>1477.74</v>
      </c>
      <c r="W12" s="31" t="inlineStr">
        <is>
          <t>Volume Spike &amp; Near 52W High Breakout</t>
        </is>
      </c>
      <c r="X12" s="31" t="inlineStr">
        <is>
          <t>Nifty IT</t>
        </is>
      </c>
      <c r="Y12" s="32" t="n">
        <v>-8.66</v>
      </c>
      <c r="Z12" s="32" t="n">
        <v>28.19</v>
      </c>
      <c r="AA12" s="32" t="n">
        <v>40.35</v>
      </c>
      <c r="AB12" s="32" t="n">
        <v>8.289999999999999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139.6</v>
      </c>
      <c r="E13" s="32" t="inlineStr">
        <is>
          <t>5%</t>
        </is>
      </c>
      <c r="F13" s="32" t="n">
        <v>50000</v>
      </c>
      <c r="G13" s="32" t="n">
        <v>119</v>
      </c>
      <c r="H13" s="31" t="inlineStr">
        <is>
          <t>NAZARA</t>
        </is>
      </c>
      <c r="I13" s="31" t="inlineStr">
        <is>
          <t>Nazara Technologies Ltd</t>
        </is>
      </c>
      <c r="J13" s="31" t="inlineStr">
        <is>
          <t>i.t</t>
        </is>
      </c>
      <c r="K13" s="31" t="inlineStr">
        <is>
          <t>telecommunications - service provider</t>
        </is>
      </c>
      <c r="L13" s="31" t="inlineStr">
        <is>
          <t>midcap</t>
        </is>
      </c>
      <c r="M13" s="32" t="n">
        <v>15645.59</v>
      </c>
      <c r="N13" s="32" t="n">
        <v>418.15</v>
      </c>
      <c r="O13" s="32" t="n">
        <v>2.82</v>
      </c>
      <c r="P13" s="32" t="n">
        <v>1797992</v>
      </c>
      <c r="Q13" s="31" t="n">
        <v>64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78.88</v>
      </c>
      <c r="U13" s="32" t="n">
        <v>37.24</v>
      </c>
      <c r="V13" s="32" t="n">
        <v>343.99</v>
      </c>
      <c r="W13" s="31" t="inlineStr">
        <is>
          <t>Near 52W High Breakout</t>
        </is>
      </c>
      <c r="X13" s="31" t="inlineStr">
        <is>
          <t>Nifty IT</t>
        </is>
      </c>
      <c r="Y13" s="32" t="n">
        <v>-8.66</v>
      </c>
      <c r="Z13" s="32" t="n">
        <v>57.94</v>
      </c>
      <c r="AA13" s="32" t="n">
        <v>72.92</v>
      </c>
      <c r="AB13" s="32" t="n">
        <v>17.84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Oligopoly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203</v>
      </c>
      <c r="H14" s="31" t="inlineStr">
        <is>
          <t>LOTUSDEV</t>
        </is>
      </c>
      <c r="I14" s="31" t="inlineStr">
        <is>
          <t>Sri Lotus Developers &amp; Realty Ltd</t>
        </is>
      </c>
      <c r="J14" s="31" t="inlineStr">
        <is>
          <t>realty</t>
        </is>
      </c>
      <c r="K14" s="31" t="inlineStr">
        <is>
          <t>construction</t>
        </is>
      </c>
      <c r="L14" s="31" t="inlineStr">
        <is>
          <t>midcap</t>
        </is>
      </c>
      <c r="M14" s="32" t="n">
        <v>11736.21</v>
      </c>
      <c r="N14" s="32" t="n">
        <v>246.25</v>
      </c>
      <c r="O14" s="32" t="n">
        <v>2.54</v>
      </c>
      <c r="P14" s="32" t="n">
        <v>1052328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74.01000000000001</v>
      </c>
      <c r="U14" s="32" t="n">
        <v>36.6</v>
      </c>
      <c r="V14" s="32" t="n">
        <v>189.97</v>
      </c>
      <c r="W14" s="31" t="inlineStr">
        <is>
          <t>Near 52W High Breakout</t>
        </is>
      </c>
      <c r="X14" s="31" t="inlineStr">
        <is>
          <t>Nifty Realty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138.3</v>
      </c>
      <c r="E15" s="32" t="inlineStr">
        <is>
          <t>5%</t>
        </is>
      </c>
      <c r="F15" s="32" t="n">
        <v>50000</v>
      </c>
      <c r="G15" s="32" t="n">
        <v>289</v>
      </c>
      <c r="H15" s="31" t="inlineStr">
        <is>
          <t>SAMBHV</t>
        </is>
      </c>
      <c r="I15" s="31" t="inlineStr">
        <is>
          <t>Sambhv Steel Tubes Ltd</t>
        </is>
      </c>
      <c r="J15" s="31" t="inlineStr">
        <is>
          <t>metals &amp; mining</t>
        </is>
      </c>
      <c r="K15" s="31" t="inlineStr">
        <is>
          <t>steel - medium / small</t>
        </is>
      </c>
      <c r="L15" s="31" t="inlineStr">
        <is>
          <t>smallcap</t>
        </is>
      </c>
      <c r="M15" s="32" t="n">
        <v>4807.56</v>
      </c>
      <c r="N15" s="32" t="n">
        <v>172.47</v>
      </c>
      <c r="O15" s="32" t="n">
        <v>5.71</v>
      </c>
      <c r="P15" s="32" t="n">
        <v>7051078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81.29000000000001</v>
      </c>
      <c r="U15" s="32" t="n">
        <v>52.53</v>
      </c>
      <c r="V15" s="32" t="n">
        <v>134.29</v>
      </c>
      <c r="W15" s="31" t="inlineStr">
        <is>
          <t>Near 52W High Breakout</t>
        </is>
      </c>
      <c r="X15" s="31" t="inlineStr">
        <is>
          <t>Nifty Metal</t>
        </is>
      </c>
      <c r="Y15" s="32" t="inlineStr"/>
      <c r="Z15" s="32" t="inlineStr"/>
      <c r="AA15" s="32" t="inlineStr"/>
      <c r="AB15" s="32" t="inlineStr"/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Cyclical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Volatile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</v>
      </c>
      <c r="E16" s="32" t="inlineStr">
        <is>
          <t>5%</t>
        </is>
      </c>
      <c r="F16" s="32" t="n">
        <v>50000</v>
      </c>
      <c r="G16" s="32" t="n">
        <v>41</v>
      </c>
      <c r="H16" s="31" t="inlineStr">
        <is>
          <t>SHYAMMETL</t>
        </is>
      </c>
      <c r="I16" s="31" t="inlineStr">
        <is>
          <t>Shyam Metalics &amp; Energy Ltd</t>
        </is>
      </c>
      <c r="J16" s="31" t="inlineStr">
        <is>
          <t>metals &amp; mining</t>
        </is>
      </c>
      <c r="K16" s="31" t="inlineStr">
        <is>
          <t>steel - large</t>
        </is>
      </c>
      <c r="L16" s="31" t="inlineStr">
        <is>
          <t>largecap</t>
        </is>
      </c>
      <c r="M16" s="32" t="n">
        <v>32295.56</v>
      </c>
      <c r="N16" s="32" t="n">
        <v>1198.5</v>
      </c>
      <c r="O16" s="32" t="n">
        <v>3.59</v>
      </c>
      <c r="P16" s="32" t="n">
        <v>963477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70.97</v>
      </c>
      <c r="U16" s="32" t="n">
        <v>29.68</v>
      </c>
      <c r="V16" s="32" t="n">
        <v>986.53</v>
      </c>
      <c r="W16" s="31" t="inlineStr">
        <is>
          <t>Near 52W High Breakout</t>
        </is>
      </c>
      <c r="X16" s="31" t="inlineStr">
        <is>
          <t>Nifty Metal</t>
        </is>
      </c>
      <c r="Y16" s="32" t="inlineStr"/>
      <c r="Z16" s="32" t="inlineStr"/>
      <c r="AA16" s="32" t="inlineStr"/>
      <c r="AB16" s="32" t="inlineStr"/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140</v>
      </c>
      <c r="E17" s="32" t="inlineStr">
        <is>
          <t>5%</t>
        </is>
      </c>
      <c r="F17" s="32" t="n">
        <v>50000</v>
      </c>
      <c r="G17" s="32" t="n">
        <v>116</v>
      </c>
      <c r="H17" s="31" t="inlineStr">
        <is>
          <t>ONWARDTEC</t>
        </is>
      </c>
      <c r="I17" s="31" t="inlineStr">
        <is>
          <t>Onward Technologies Limited</t>
        </is>
      </c>
      <c r="J17" s="31" t="inlineStr">
        <is>
          <t>i.t</t>
        </is>
      </c>
      <c r="K17" s="31" t="inlineStr">
        <is>
          <t>computers - software - medium / small</t>
        </is>
      </c>
      <c r="L17" s="31" t="inlineStr">
        <is>
          <t>smallcap</t>
        </is>
      </c>
      <c r="M17" s="32" t="n">
        <v>792.52</v>
      </c>
      <c r="N17" s="32" t="n">
        <v>427.4</v>
      </c>
      <c r="O17" s="32" t="n">
        <v>19.99</v>
      </c>
      <c r="P17" s="32" t="n">
        <v>2394243</v>
      </c>
      <c r="Q17" s="31" t="n">
        <v>68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84.83</v>
      </c>
      <c r="U17" s="32" t="n">
        <v>22.97</v>
      </c>
      <c r="V17" s="32" t="n">
        <v>339.39</v>
      </c>
      <c r="W17" s="31" t="inlineStr">
        <is>
          <t>Volume Spike &amp; Near 52W High Breakout</t>
        </is>
      </c>
      <c r="X17" s="31" t="inlineStr">
        <is>
          <t>Nifty IT</t>
        </is>
      </c>
      <c r="Y17" s="32" t="n">
        <v>-8.66</v>
      </c>
      <c r="Z17" s="32" t="n">
        <v>43.39</v>
      </c>
      <c r="AA17" s="32" t="n">
        <v>56.99</v>
      </c>
      <c r="AB17" s="32" t="n">
        <v>19.74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138.2</v>
      </c>
      <c r="E18" s="32" t="inlineStr">
        <is>
          <t>5%</t>
        </is>
      </c>
      <c r="F18" s="32" t="n">
        <v>50000</v>
      </c>
      <c r="G18" s="32" t="n">
        <v>56</v>
      </c>
      <c r="H18" s="31" t="inlineStr">
        <is>
          <t>SVLL</t>
        </is>
      </c>
      <c r="I18" s="31" t="inlineStr">
        <is>
          <t>Shree Vasu Logistics Ltd</t>
        </is>
      </c>
      <c r="J18" s="31" t="inlineStr">
        <is>
          <t>transportation</t>
        </is>
      </c>
      <c r="K18" s="31" t="inlineStr">
        <is>
          <t>miscellaneous</t>
        </is>
      </c>
      <c r="L18" s="31" t="inlineStr">
        <is>
          <t>smallcap</t>
        </is>
      </c>
      <c r="M18" s="32" t="n">
        <v>997.6</v>
      </c>
      <c r="N18" s="32" t="n">
        <v>881.45</v>
      </c>
      <c r="O18" s="32" t="n">
        <v>1.56</v>
      </c>
      <c r="P18" s="32" t="n">
        <v>6697</v>
      </c>
      <c r="Q18" s="31" t="n">
        <v>27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66.89</v>
      </c>
      <c r="U18" s="32" t="n">
        <v>38.98</v>
      </c>
      <c r="V18" s="32" t="n">
        <v>655.1900000000001</v>
      </c>
      <c r="W18" s="31" t="inlineStr">
        <is>
          <t>Near 52W High Breakout</t>
        </is>
      </c>
      <c r="X18" s="31" t="inlineStr">
        <is>
          <t>Nifty 50</t>
        </is>
      </c>
      <c r="Y18" s="32" t="n">
        <v>-9.970000000000001</v>
      </c>
      <c r="Z18" s="32" t="n">
        <v>10.37</v>
      </c>
      <c r="AA18" s="32" t="n">
        <v>22.6</v>
      </c>
      <c r="AB18" s="32" t="n">
        <v>6.83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Between 1.5 to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137.9</v>
      </c>
      <c r="E19" s="32" t="inlineStr">
        <is>
          <t>5%</t>
        </is>
      </c>
      <c r="F19" s="32" t="n">
        <v>50000</v>
      </c>
      <c r="G19" s="32" t="n">
        <v>320</v>
      </c>
      <c r="H19" s="31" t="inlineStr">
        <is>
          <t>VHLTD</t>
        </is>
      </c>
      <c r="I19" s="31" t="inlineStr">
        <is>
          <t>Viceroy Hotels Ltd</t>
        </is>
      </c>
      <c r="J19" s="31" t="inlineStr">
        <is>
          <t>services</t>
        </is>
      </c>
      <c r="K19" s="31" t="inlineStr">
        <is>
          <t>hotels</t>
        </is>
      </c>
      <c r="L19" s="31" t="inlineStr">
        <is>
          <t>smallcap</t>
        </is>
      </c>
      <c r="M19" s="32" t="n">
        <v>1197.26</v>
      </c>
      <c r="N19" s="32" t="n">
        <v>156.07</v>
      </c>
      <c r="O19" s="32" t="n">
        <v>0.09</v>
      </c>
      <c r="P19" s="32" t="n">
        <v>41834</v>
      </c>
      <c r="Q19" s="31" t="n">
        <v>33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68.92</v>
      </c>
      <c r="U19" s="32" t="n">
        <v>19.75</v>
      </c>
      <c r="V19" s="32" t="n">
        <v>121.95</v>
      </c>
      <c r="W19" s="31" t="inlineStr">
        <is>
          <t>Near 52W High Breakout</t>
        </is>
      </c>
      <c r="X19" s="31" t="inlineStr">
        <is>
          <t>Nifty 50</t>
        </is>
      </c>
      <c r="Y19" s="32" t="n">
        <v>-9.970000000000001</v>
      </c>
      <c r="Z19" s="32" t="n">
        <v>22.69</v>
      </c>
      <c r="AA19" s="32" t="n">
        <v>36.28</v>
      </c>
      <c r="AB19" s="32" t="n">
        <v>8.460000000000001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138.9</v>
      </c>
      <c r="E20" s="32" t="inlineStr">
        <is>
          <t>5%</t>
        </is>
      </c>
      <c r="F20" s="32" t="n">
        <v>50000</v>
      </c>
      <c r="G20" s="32" t="n">
        <v>89</v>
      </c>
      <c r="H20" s="31" t="inlineStr">
        <is>
          <t>SANATHAN</t>
        </is>
      </c>
      <c r="I20" s="31" t="inlineStr">
        <is>
          <t>Sanathan Textiles Ltd</t>
        </is>
      </c>
      <c r="J20" s="31" t="inlineStr">
        <is>
          <t>textiles</t>
        </is>
      </c>
      <c r="K20" s="31" t="inlineStr">
        <is>
          <t>textiles - cotton/blended</t>
        </is>
      </c>
      <c r="L20" s="31" t="inlineStr">
        <is>
          <t>smallcap</t>
        </is>
      </c>
      <c r="M20" s="32" t="n">
        <v>4614.37</v>
      </c>
      <c r="N20" s="32" t="n">
        <v>556.65</v>
      </c>
      <c r="O20" s="32" t="n">
        <v>1.82</v>
      </c>
      <c r="P20" s="32" t="n">
        <v>135269</v>
      </c>
      <c r="Q20" s="31" t="n">
        <v>33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71.45999999999999</v>
      </c>
      <c r="U20" s="32" t="n">
        <v>25.83</v>
      </c>
      <c r="V20" s="32" t="n">
        <v>431.64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-9.970000000000001</v>
      </c>
      <c r="Z20" s="32" t="n">
        <v>12.67</v>
      </c>
      <c r="AA20" s="32" t="n">
        <v>25.15</v>
      </c>
      <c r="AB20" s="32" t="n">
        <v>8.43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EMA Crossover</t>
        </is>
      </c>
      <c r="D21" s="32" t="n">
        <v>148.7</v>
      </c>
      <c r="E21" s="32" t="inlineStr">
        <is>
          <t>7%</t>
        </is>
      </c>
      <c r="F21" s="32" t="n">
        <v>70000</v>
      </c>
      <c r="G21" s="32" t="n">
        <v>36</v>
      </c>
      <c r="H21" s="31" t="inlineStr">
        <is>
          <t>BHARTIARTL</t>
        </is>
      </c>
      <c r="I21" s="31" t="inlineStr">
        <is>
          <t>Bharti Airtel Limited</t>
        </is>
      </c>
      <c r="J21" s="31" t="inlineStr">
        <is>
          <t>telecom-service</t>
        </is>
      </c>
      <c r="K21" s="31" t="inlineStr">
        <is>
          <t>telecommunications - service provider</t>
        </is>
      </c>
      <c r="L21" s="31" t="inlineStr">
        <is>
          <t>largecap</t>
        </is>
      </c>
      <c r="M21" s="32" t="n">
        <v>1157110.01</v>
      </c>
      <c r="N21" s="32" t="n">
        <v>1905</v>
      </c>
      <c r="O21" s="32" t="n">
        <v>2.75</v>
      </c>
      <c r="P21" s="32" t="n">
        <v>25484107</v>
      </c>
      <c r="Q21" s="31" t="n">
        <v>7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52.74</v>
      </c>
      <c r="U21" s="32" t="n">
        <v>9.880000000000001</v>
      </c>
      <c r="V21" s="32" t="n">
        <v>1723.92</v>
      </c>
      <c r="W21" s="31" t="inlineStr">
        <is>
          <t>Volume Spike / Accumulation</t>
        </is>
      </c>
      <c r="X21" s="31" t="inlineStr">
        <is>
          <t>Nifty 50</t>
        </is>
      </c>
      <c r="Y21" s="32" t="n">
        <v>-9.970000000000001</v>
      </c>
      <c r="Z21" s="32" t="n">
        <v>-4.13</v>
      </c>
      <c r="AA21" s="32" t="n">
        <v>6.49</v>
      </c>
      <c r="AB21" s="32" t="n">
        <v>-0.54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1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137.7</v>
      </c>
      <c r="E22" s="32" t="inlineStr">
        <is>
          <t>5%</t>
        </is>
      </c>
      <c r="F22" s="32" t="n">
        <v>50000</v>
      </c>
      <c r="G22" s="32" t="n">
        <v>965</v>
      </c>
      <c r="H22" s="31" t="inlineStr">
        <is>
          <t>UNITEDPOLY</t>
        </is>
      </c>
      <c r="I22" s="31" t="inlineStr">
        <is>
          <t>United Polyfab Gujarat Ltd</t>
        </is>
      </c>
      <c r="J22" s="31" t="inlineStr">
        <is>
          <t>textiles</t>
        </is>
      </c>
      <c r="K22" s="31" t="inlineStr">
        <is>
          <t>textiles - products</t>
        </is>
      </c>
      <c r="L22" s="31" t="inlineStr">
        <is>
          <t>smallcap</t>
        </is>
      </c>
      <c r="M22" s="32" t="n">
        <v>1182.69</v>
      </c>
      <c r="N22" s="32" t="n">
        <v>51.78</v>
      </c>
      <c r="O22" s="32" t="n">
        <v>0.49</v>
      </c>
      <c r="P22" s="32" t="n">
        <v>660662</v>
      </c>
      <c r="Q22" s="31" t="n">
        <v>75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79.69</v>
      </c>
      <c r="U22" s="32" t="n">
        <v>32.81</v>
      </c>
      <c r="V22" s="32" t="n">
        <v>38.53</v>
      </c>
      <c r="W22" s="31" t="inlineStr">
        <is>
          <t>Volume Spike &amp; Near 52W High Breakout</t>
        </is>
      </c>
      <c r="X22" s="31" t="inlineStr">
        <is>
          <t>Nifty 50</t>
        </is>
      </c>
      <c r="Y22" s="32" t="n">
        <v>-9.970000000000001</v>
      </c>
      <c r="Z22" s="32" t="n">
        <v>21.35</v>
      </c>
      <c r="AA22" s="32" t="n">
        <v>34.79</v>
      </c>
      <c r="AB22" s="32" t="n">
        <v>24.04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Oligopoly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Shallow Cyclical (2 to 3 Years Growth)</t>
        </is>
      </c>
      <c r="AL22" s="31">
        <f>IF(AK22="Structural (10 Years Consistency)",10,IF(AK22="Shallow Cyclical (2 to 3 years growth)",5,0))</f>
        <v/>
      </c>
      <c r="AM22" s="31" t="inlineStr">
        <is>
          <t>Yes due to Product Mix change or Operating Leverage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Allocated capital in Non-core Areas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Above 40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3</t>
        </is>
      </c>
      <c r="BH22" s="31">
        <f>IF(BG22="Stage 2",20,IF(BG22="Stage 1",0,IF(BG22="Stage 3",5,IF(BG22="Stage 4",-5,0))))</f>
        <v/>
      </c>
      <c r="BI22" s="31" t="inlineStr">
        <is>
          <t>Negative Trend</t>
        </is>
      </c>
      <c r="BJ22" s="31">
        <f>IF(BI22="Positive Trend",20,IF(BI22="Negative Trend",-10,0))</f>
        <v/>
      </c>
      <c r="BK22" s="31" t="inlineStr">
        <is>
          <t>Sideways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Overhead supply in last 2 years in last 2 years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Less than 1.5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More than 15%</t>
        </is>
      </c>
      <c r="CH22" s="31">
        <f>IF(CG22="More than 15%",-10,IF(CG22="Less than 15%",10,0))</f>
        <v/>
      </c>
      <c r="CI22" s="31" t="inlineStr">
        <is>
          <t>Yes Upto 10%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67</v>
      </c>
      <c r="H2" s="31" t="inlineStr">
        <is>
          <t>GCSL</t>
        </is>
      </c>
      <c r="I2" s="31" t="inlineStr">
        <is>
          <t>Gretex Corporate Services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1838.65</v>
      </c>
      <c r="N2" s="32" t="n">
        <v>740.45</v>
      </c>
      <c r="O2" s="32" t="n">
        <v>0.7</v>
      </c>
      <c r="P2" s="32" t="n">
        <v>300862</v>
      </c>
      <c r="Q2" s="31" t="n">
        <v>91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84.01000000000001</v>
      </c>
      <c r="U2" s="32" t="n">
        <v>35.38</v>
      </c>
      <c r="V2" s="32" t="n">
        <v>610.46</v>
      </c>
      <c r="W2" s="31" t="inlineStr">
        <is>
          <t>Near 52W High Breakout</t>
        </is>
      </c>
      <c r="X2" s="31" t="inlineStr">
        <is>
          <t>Nifty Bank</t>
        </is>
      </c>
      <c r="Y2" s="32" t="n">
        <v>-3.24</v>
      </c>
      <c r="Z2" s="32" t="n">
        <v>236.26</v>
      </c>
      <c r="AA2" s="32" t="n">
        <v>247.52</v>
      </c>
      <c r="AB2" s="32" t="n">
        <v>38.07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2026-10-16T14:55:45Z</dcterms:created>
  <dcterms:modified xmlns:dcterms="http://purl.org/dc/terms/" xmlns:xsi="http://www.w3.org/2001/XMLSchema-instance" xsi:type="dcterms:W3CDTF">2026-10-16T14:57:25Z</dcterms:modified>
</cp:coreProperties>
</file>