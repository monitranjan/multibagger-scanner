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Universe'!$A$1:$J$311</definedName>
    <definedName name="_xlnm._FilterDatabase" localSheetId="3" hidden="1">'Confluence Overlap'!$A$1:$K$83</definedName>
    <definedName name="_xlnm._FilterDatabase" localSheetId="4" hidden="1">'Monit Non Financial'!$A$1:$CE$290</definedName>
    <definedName name="_xlnm._FilterDatabase" localSheetId="5" hidden="1">'Monit Banks NBFC'!$A$1:$CA$22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25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3" customWidth="1" min="2" max="2"/>
    <col width="18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468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63</v>
      </c>
      <c r="G6" s="19" t="n">
        <v>7245.32</v>
      </c>
      <c r="H6" s="18" t="inlineStr">
        <is>
          <t>Potential Leader</t>
        </is>
      </c>
      <c r="J6" s="18" t="inlineStr">
        <is>
          <t>telecom</t>
        </is>
      </c>
      <c r="K6" s="16" t="n">
        <v>8</v>
      </c>
      <c r="L6" s="16" t="n">
        <v>4</v>
      </c>
      <c r="M6" s="20" t="inlineStr">
        <is>
          <t>100.0%</t>
        </is>
      </c>
    </row>
    <row r="7">
      <c r="A7" s="16" t="n">
        <v>2</v>
      </c>
      <c r="B7" s="17" t="n">
        <v>462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62</v>
      </c>
      <c r="G7" s="19" t="n">
        <v>8035.52</v>
      </c>
      <c r="H7" s="18" t="inlineStr">
        <is>
          <t>Potential Leader</t>
        </is>
      </c>
      <c r="J7" s="18" t="inlineStr">
        <is>
          <t>readymade garments/apparels</t>
        </is>
      </c>
      <c r="K7" s="16" t="n">
        <v>2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396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51</v>
      </c>
      <c r="G8" s="19" t="n">
        <v>2819.16</v>
      </c>
      <c r="H8" s="18" t="inlineStr">
        <is>
          <t>Potential Leader</t>
        </is>
      </c>
      <c r="J8" s="18" t="inlineStr">
        <is>
          <t>castings, forgings &amp; fasteners</t>
        </is>
      </c>
      <c r="K8" s="16" t="n">
        <v>4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384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49</v>
      </c>
      <c r="G9" s="19" t="n">
        <v>254902.93</v>
      </c>
      <c r="H9" s="18" t="inlineStr">
        <is>
          <t>Potential Leader</t>
        </is>
      </c>
      <c r="J9" s="18" t="inlineStr">
        <is>
          <t>i.t</t>
        </is>
      </c>
      <c r="K9" s="16" t="n">
        <v>74</v>
      </c>
      <c r="L9" s="16" t="n">
        <v>47</v>
      </c>
      <c r="M9" s="20" t="inlineStr">
        <is>
          <t>57.4%</t>
        </is>
      </c>
    </row>
    <row r="10">
      <c r="A10" s="16" t="n">
        <v>5</v>
      </c>
      <c r="B10" s="17" t="n">
        <v>384</v>
      </c>
      <c r="C10" s="17" t="inlineStr">
        <is>
          <t>TFCILTD</t>
        </is>
      </c>
      <c r="D10" s="18" t="inlineStr">
        <is>
          <t>Tourism Finance Corporation Of India Limited</t>
        </is>
      </c>
      <c r="E10" s="18" t="inlineStr">
        <is>
          <t>financials</t>
        </is>
      </c>
      <c r="F10" s="16" t="n">
        <v>49</v>
      </c>
      <c r="G10" s="19" t="n">
        <v>6641.87</v>
      </c>
      <c r="H10" s="18" t="inlineStr">
        <is>
          <t>Potential Leader</t>
        </is>
      </c>
      <c r="J10" s="18" t="inlineStr">
        <is>
          <t>metals &amp; mining</t>
        </is>
      </c>
      <c r="K10" s="16" t="n">
        <v>128</v>
      </c>
      <c r="L10" s="16" t="n">
        <v>84</v>
      </c>
      <c r="M10" s="20" t="inlineStr">
        <is>
          <t>52.4%</t>
        </is>
      </c>
    </row>
    <row r="11">
      <c r="A11" s="16" t="n">
        <v>6</v>
      </c>
      <c r="B11" s="17" t="n">
        <v>384</v>
      </c>
      <c r="C11" s="17" t="inlineStr">
        <is>
          <t>VSSL</t>
        </is>
      </c>
      <c r="D11" s="18" t="inlineStr">
        <is>
          <t>Vardhman Special Steels Limited</t>
        </is>
      </c>
      <c r="E11" s="18" t="inlineStr">
        <is>
          <t>metals &amp; mining</t>
        </is>
      </c>
      <c r="F11" s="16" t="n">
        <v>49</v>
      </c>
      <c r="G11" s="19" t="n">
        <v>3915.77</v>
      </c>
      <c r="H11" s="18" t="inlineStr">
        <is>
          <t>Potential Leader</t>
        </is>
      </c>
      <c r="J11" s="18" t="inlineStr">
        <is>
          <t>chemicals</t>
        </is>
      </c>
      <c r="K11" s="16" t="n">
        <v>132</v>
      </c>
      <c r="L11" s="16" t="n">
        <v>91</v>
      </c>
      <c r="M11" s="20" t="inlineStr">
        <is>
          <t>45.1%</t>
        </is>
      </c>
    </row>
    <row r="12">
      <c r="A12" s="16" t="n">
        <v>7</v>
      </c>
      <c r="B12" s="17" t="n">
        <v>372</v>
      </c>
      <c r="C12" s="17" t="inlineStr">
        <is>
          <t>WSTCSTPAPR</t>
        </is>
      </c>
      <c r="D12" s="18" t="inlineStr">
        <is>
          <t>West Coast Paper Mills Limited</t>
        </is>
      </c>
      <c r="E12" s="18" t="inlineStr">
        <is>
          <t>building materials</t>
        </is>
      </c>
      <c r="F12" s="16" t="n">
        <v>47</v>
      </c>
      <c r="G12" s="19" t="n">
        <v>4874.08</v>
      </c>
      <c r="H12" s="18" t="inlineStr">
        <is>
          <t>Potential Leader</t>
        </is>
      </c>
      <c r="J12" s="18" t="inlineStr">
        <is>
          <t>plastic products</t>
        </is>
      </c>
      <c r="K12" s="16" t="n">
        <v>13</v>
      </c>
      <c r="L12" s="16" t="n">
        <v>9</v>
      </c>
      <c r="M12" s="20" t="inlineStr">
        <is>
          <t>44.4%</t>
        </is>
      </c>
    </row>
    <row r="13">
      <c r="A13" s="16" t="n">
        <v>8</v>
      </c>
      <c r="B13" s="17" t="n">
        <v>354</v>
      </c>
      <c r="C13" s="17" t="inlineStr">
        <is>
          <t>REDINGTON</t>
        </is>
      </c>
      <c r="D13" s="18" t="inlineStr">
        <is>
          <t>Redington (india) Limited</t>
        </is>
      </c>
      <c r="E13" s="18" t="inlineStr">
        <is>
          <t>services</t>
        </is>
      </c>
      <c r="F13" s="16" t="n">
        <v>44</v>
      </c>
      <c r="G13" s="19" t="n">
        <v>31771.31</v>
      </c>
      <c r="H13" s="18" t="inlineStr">
        <is>
          <t>Potential Leader</t>
        </is>
      </c>
      <c r="J13" s="18" t="inlineStr">
        <is>
          <t>transportation</t>
        </is>
      </c>
      <c r="K13" s="16" t="n">
        <v>52</v>
      </c>
      <c r="L13" s="16" t="n">
        <v>37</v>
      </c>
      <c r="M13" s="20" t="inlineStr">
        <is>
          <t>40.5%</t>
        </is>
      </c>
    </row>
    <row r="14">
      <c r="A14" s="16" t="n">
        <v>9</v>
      </c>
      <c r="B14" s="17" t="n">
        <v>336</v>
      </c>
      <c r="C14" s="17" t="inlineStr">
        <is>
          <t>MMP</t>
        </is>
      </c>
      <c r="D14" s="18" t="inlineStr">
        <is>
          <t>MMP Industries Ltd</t>
        </is>
      </c>
      <c r="E14" s="18" t="inlineStr">
        <is>
          <t>metals &amp; mining</t>
        </is>
      </c>
      <c r="F14" s="16" t="n">
        <v>41</v>
      </c>
      <c r="G14" s="19" t="n">
        <v>1153.15</v>
      </c>
      <c r="H14" s="18" t="inlineStr">
        <is>
          <t>Potential Leader</t>
        </is>
      </c>
      <c r="J14" s="18" t="inlineStr">
        <is>
          <t>bank</t>
        </is>
      </c>
      <c r="K14" s="16" t="n">
        <v>29</v>
      </c>
      <c r="L14" s="16" t="n">
        <v>22</v>
      </c>
      <c r="M14" s="20" t="inlineStr">
        <is>
          <t>31.8%</t>
        </is>
      </c>
    </row>
    <row r="15">
      <c r="A15" s="16" t="n">
        <v>10</v>
      </c>
      <c r="B15" s="17" t="n">
        <v>330</v>
      </c>
      <c r="C15" s="17" t="inlineStr">
        <is>
          <t>DOLPHIN</t>
        </is>
      </c>
      <c r="D15" s="18" t="inlineStr">
        <is>
          <t>Dolphin Offshore Enterprises (India) Ltd</t>
        </is>
      </c>
      <c r="E15" s="18" t="inlineStr">
        <is>
          <t>energy</t>
        </is>
      </c>
      <c r="F15" s="16" t="n">
        <v>40</v>
      </c>
      <c r="G15" s="19" t="n">
        <v>2741.51</v>
      </c>
      <c r="H15" s="18" t="inlineStr">
        <is>
          <t>Potential Leader</t>
        </is>
      </c>
      <c r="J15" s="18" t="inlineStr">
        <is>
          <t>miscellaneous</t>
        </is>
      </c>
      <c r="K15" s="16" t="n">
        <v>42</v>
      </c>
      <c r="L15" s="16" t="n">
        <v>32</v>
      </c>
      <c r="M15" s="20" t="inlineStr">
        <is>
          <t>31.2%</t>
        </is>
      </c>
    </row>
    <row r="16">
      <c r="A16" s="16" t="n">
        <v>11</v>
      </c>
      <c r="B16" s="17" t="n">
        <v>330</v>
      </c>
      <c r="C16" s="17" t="inlineStr">
        <is>
          <t>RATNAVEER</t>
        </is>
      </c>
      <c r="D16" s="18" t="inlineStr">
        <is>
          <t>Ratnaveer Precision Engineering Ltd</t>
        </is>
      </c>
      <c r="E16" s="18" t="inlineStr">
        <is>
          <t>metals &amp; mining</t>
        </is>
      </c>
      <c r="F16" s="16" t="n">
        <v>40</v>
      </c>
      <c r="G16" s="19" t="n">
        <v>2313.87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85</v>
      </c>
      <c r="L16" s="16" t="n">
        <v>66</v>
      </c>
      <c r="M16" s="20" t="inlineStr">
        <is>
          <t>28.8%</t>
        </is>
      </c>
    </row>
    <row r="17">
      <c r="A17" s="16" t="n">
        <v>12</v>
      </c>
      <c r="B17" s="17" t="n">
        <v>330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40</v>
      </c>
      <c r="G17" s="19" t="n">
        <v>19700.96</v>
      </c>
      <c r="H17" s="18" t="inlineStr">
        <is>
          <t>Potential Leader</t>
        </is>
      </c>
      <c r="J17" s="18" t="inlineStr">
        <is>
          <t>healthcare</t>
        </is>
      </c>
      <c r="K17" s="16" t="n">
        <v>253</v>
      </c>
      <c r="L17" s="16" t="n">
        <v>202</v>
      </c>
      <c r="M17" s="20" t="inlineStr">
        <is>
          <t>25.2%</t>
        </is>
      </c>
    </row>
    <row r="18">
      <c r="A18" s="16" t="n">
        <v>13</v>
      </c>
      <c r="B18" s="17" t="n">
        <v>330</v>
      </c>
      <c r="C18" s="17" t="inlineStr">
        <is>
          <t>STLTECH</t>
        </is>
      </c>
      <c r="D18" s="18" t="inlineStr">
        <is>
          <t>Sterlite Technologies Limited</t>
        </is>
      </c>
      <c r="E18" s="18" t="inlineStr">
        <is>
          <t>industrials</t>
        </is>
      </c>
      <c r="F18" s="16" t="n">
        <v>40</v>
      </c>
      <c r="G18" s="19" t="n">
        <v>42332.19</v>
      </c>
      <c r="H18" s="18" t="inlineStr">
        <is>
          <t>Potential Leader</t>
        </is>
      </c>
      <c r="J18" s="18" t="inlineStr">
        <is>
          <t>services</t>
        </is>
      </c>
      <c r="K18" s="16" t="n">
        <v>50</v>
      </c>
      <c r="L18" s="16" t="n">
        <v>40</v>
      </c>
      <c r="M18" s="20" t="inlineStr">
        <is>
          <t>25.0%</t>
        </is>
      </c>
    </row>
    <row r="19">
      <c r="A19" s="16" t="n">
        <v>14</v>
      </c>
      <c r="B19" s="17" t="n">
        <v>330</v>
      </c>
      <c r="C19" s="17" t="inlineStr">
        <is>
          <t>SUBEXLTD</t>
        </is>
      </c>
      <c r="D19" s="18" t="inlineStr">
        <is>
          <t>Subex Ltd</t>
        </is>
      </c>
      <c r="E19" s="18" t="inlineStr">
        <is>
          <t>i.t</t>
        </is>
      </c>
      <c r="F19" s="16" t="n">
        <v>40</v>
      </c>
      <c r="G19" s="19" t="n">
        <v>1163.91</v>
      </c>
      <c r="H19" s="18" t="inlineStr">
        <is>
          <t>Potential Leader</t>
        </is>
      </c>
      <c r="J19" s="18" t="inlineStr">
        <is>
          <t>auto</t>
        </is>
      </c>
      <c r="K19" s="16" t="n">
        <v>94</v>
      </c>
      <c r="L19" s="16" t="n">
        <v>76</v>
      </c>
      <c r="M19" s="20" t="inlineStr">
        <is>
          <t>23.7%</t>
        </is>
      </c>
    </row>
    <row r="20">
      <c r="A20" s="16" t="n">
        <v>15</v>
      </c>
      <c r="B20" s="17" t="n">
        <v>324</v>
      </c>
      <c r="C20" s="17" t="inlineStr">
        <is>
          <t>BIL</t>
        </is>
      </c>
      <c r="D20" s="18" t="inlineStr">
        <is>
          <t>Bhartiya International Limited</t>
        </is>
      </c>
      <c r="E20" s="18" t="inlineStr">
        <is>
          <t>consumer discretionary</t>
        </is>
      </c>
      <c r="F20" s="16" t="n">
        <v>39</v>
      </c>
      <c r="G20" s="19" t="n">
        <v>1354.79</v>
      </c>
      <c r="H20" s="18" t="inlineStr">
        <is>
          <t>Potential Leader</t>
        </is>
      </c>
      <c r="J20" s="18" t="inlineStr">
        <is>
          <t>realty</t>
        </is>
      </c>
      <c r="K20" s="16" t="n">
        <v>90</v>
      </c>
      <c r="L20" s="16" t="n">
        <v>73</v>
      </c>
      <c r="M20" s="20" t="inlineStr">
        <is>
          <t>23.3%</t>
        </is>
      </c>
    </row>
    <row r="21">
      <c r="A21" s="16" t="n">
        <v>16</v>
      </c>
      <c r="B21" s="17" t="n">
        <v>324</v>
      </c>
      <c r="C21" s="17" t="inlineStr">
        <is>
          <t>MOREPENLAB</t>
        </is>
      </c>
      <c r="D21" s="18" t="inlineStr">
        <is>
          <t>Morepen Laboratories Limited</t>
        </is>
      </c>
      <c r="E21" s="18" t="inlineStr">
        <is>
          <t>healthcare</t>
        </is>
      </c>
      <c r="F21" s="16" t="n">
        <v>39</v>
      </c>
      <c r="G21" s="19" t="n">
        <v>6389.14</v>
      </c>
      <c r="H21" s="18" t="inlineStr">
        <is>
          <t>Potential Leader</t>
        </is>
      </c>
    </row>
    <row r="22">
      <c r="A22" s="16" t="n">
        <v>17</v>
      </c>
      <c r="B22" s="17" t="n">
        <v>312</v>
      </c>
      <c r="C22" s="17" t="inlineStr">
        <is>
          <t>FCL</t>
        </is>
      </c>
      <c r="D22" s="18" t="inlineStr">
        <is>
          <t>Fineotex Chemical Limited</t>
        </is>
      </c>
      <c r="E22" s="18" t="inlineStr">
        <is>
          <t>chemicals</t>
        </is>
      </c>
      <c r="F22" s="16" t="n">
        <v>37</v>
      </c>
      <c r="G22" s="19" t="n">
        <v>6529.36</v>
      </c>
      <c r="H22" s="18" t="inlineStr">
        <is>
          <t>Potential Leader</t>
        </is>
      </c>
    </row>
    <row r="23">
      <c r="A23" s="16" t="n">
        <v>18</v>
      </c>
      <c r="B23" s="17" t="n">
        <v>312</v>
      </c>
      <c r="C23" s="17" t="inlineStr">
        <is>
          <t>UFLEX</t>
        </is>
      </c>
      <c r="D23" s="18" t="inlineStr">
        <is>
          <t>Uflex Limited</t>
        </is>
      </c>
      <c r="E23" s="18" t="inlineStr">
        <is>
          <t>industrials</t>
        </is>
      </c>
      <c r="F23" s="16" t="n">
        <v>37</v>
      </c>
      <c r="G23" s="19" t="n">
        <v>4777.15</v>
      </c>
      <c r="H23" s="18" t="inlineStr">
        <is>
          <t>Potential Leader</t>
        </is>
      </c>
    </row>
    <row r="24">
      <c r="A24" s="16" t="n">
        <v>19</v>
      </c>
      <c r="B24" s="17" t="n">
        <v>306</v>
      </c>
      <c r="C24" s="17" t="inlineStr">
        <is>
          <t>INDSWFTLAB</t>
        </is>
      </c>
      <c r="D24" s="18" t="inlineStr">
        <is>
          <t>Ind-swift Laboratories Limited</t>
        </is>
      </c>
      <c r="E24" s="18" t="inlineStr">
        <is>
          <t>healthcare</t>
        </is>
      </c>
      <c r="F24" s="16" t="n">
        <v>36</v>
      </c>
      <c r="G24" s="19" t="n">
        <v>3489.33</v>
      </c>
      <c r="H24" s="18" t="inlineStr">
        <is>
          <t>Potential Leader</t>
        </is>
      </c>
    </row>
    <row r="25">
      <c r="A25" s="16" t="n">
        <v>20</v>
      </c>
      <c r="B25" s="17" t="n">
        <v>294</v>
      </c>
      <c r="C25" s="17" t="inlineStr">
        <is>
          <t>MANINDS</t>
        </is>
      </c>
      <c r="D25" s="18" t="inlineStr">
        <is>
          <t>Man Industries (india) Limited</t>
        </is>
      </c>
      <c r="E25" s="18" t="inlineStr">
        <is>
          <t>metals &amp; mining</t>
        </is>
      </c>
      <c r="F25" s="16" t="n">
        <v>34</v>
      </c>
      <c r="G25" s="19" t="n">
        <v>7222.3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GCSL</t>
        </is>
      </c>
      <c r="B30" s="18" t="inlineStr">
        <is>
          <t>Gretex Corporate Services Ltd</t>
        </is>
      </c>
      <c r="C30" s="18" t="inlineStr">
        <is>
          <t>financials</t>
        </is>
      </c>
      <c r="D30" s="16" t="n">
        <v>10</v>
      </c>
      <c r="E30" s="16" t="n">
        <v>2</v>
      </c>
      <c r="F30" s="19" t="n">
        <v>1583.59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12788.95</v>
      </c>
      <c r="N30" s="16" t="n">
        <v>23</v>
      </c>
    </row>
    <row r="31">
      <c r="A31" s="17" t="inlineStr">
        <is>
          <t>MBECL</t>
        </is>
      </c>
      <c r="B31" s="18" t="inlineStr">
        <is>
          <t>Mcnally Bharat Engineering Company Limited</t>
        </is>
      </c>
      <c r="C31" s="18" t="inlineStr">
        <is>
          <t>realty</t>
        </is>
      </c>
      <c r="D31" s="16" t="n">
        <v>10</v>
      </c>
      <c r="E31" s="16" t="n">
        <v>0</v>
      </c>
      <c r="F31" s="19" t="n">
        <v>1491.53</v>
      </c>
      <c r="J31" s="17" t="inlineStr">
        <is>
          <t>IBULLSLTD</t>
        </is>
      </c>
      <c r="K31" s="18" t="inlineStr">
        <is>
          <t>miscellaneous</t>
        </is>
      </c>
      <c r="L31" s="19" t="n">
        <v>295</v>
      </c>
      <c r="M31" s="19" t="n">
        <v>6618.23</v>
      </c>
      <c r="N31" s="16" t="n">
        <v>8</v>
      </c>
    </row>
    <row r="32">
      <c r="A32" s="17" t="inlineStr">
        <is>
          <t>IL&amp;FSENGG</t>
        </is>
      </c>
      <c r="B32" s="18" t="inlineStr">
        <is>
          <t>Il&amp;fs Engineering And Construction Company Limited</t>
        </is>
      </c>
      <c r="C32" s="18" t="inlineStr">
        <is>
          <t>realty</t>
        </is>
      </c>
      <c r="D32" s="16" t="n">
        <v>10</v>
      </c>
      <c r="E32" s="16" t="n">
        <v>1</v>
      </c>
      <c r="F32" s="19" t="n">
        <v>544.41</v>
      </c>
      <c r="J32" s="17" t="inlineStr">
        <is>
          <t>RPTECH</t>
        </is>
      </c>
      <c r="K32" s="18" t="inlineStr">
        <is>
          <t>i.t</t>
        </is>
      </c>
      <c r="L32" s="19" t="n">
        <v>293</v>
      </c>
      <c r="M32" s="19" t="n">
        <v>5822.24</v>
      </c>
      <c r="N32" s="16" t="n">
        <v>10</v>
      </c>
    </row>
    <row r="33">
      <c r="A33" s="17" t="inlineStr">
        <is>
          <t>EMUDHRA</t>
        </is>
      </c>
      <c r="B33" s="18" t="inlineStr">
        <is>
          <t>eMudhra Ltd</t>
        </is>
      </c>
      <c r="C33" s="18" t="inlineStr">
        <is>
          <t>i.t</t>
        </is>
      </c>
      <c r="D33" s="16" t="n">
        <v>9</v>
      </c>
      <c r="E33" s="16" t="n">
        <v>0</v>
      </c>
      <c r="F33" s="19" t="n">
        <v>5460.6</v>
      </c>
      <c r="J33" s="17" t="inlineStr">
        <is>
          <t>GNA</t>
        </is>
      </c>
      <c r="K33" s="18" t="inlineStr">
        <is>
          <t>auto</t>
        </is>
      </c>
      <c r="L33" s="19" t="n">
        <v>290</v>
      </c>
      <c r="M33" s="19" t="n">
        <v>2663.64</v>
      </c>
      <c r="N33" s="16" t="n">
        <v>16</v>
      </c>
    </row>
    <row r="34">
      <c r="A34" s="17" t="inlineStr">
        <is>
          <t>NPST</t>
        </is>
      </c>
      <c r="B34" s="18" t="inlineStr">
        <is>
          <t>Network People Services Technologies Ltd</t>
        </is>
      </c>
      <c r="C34" s="18" t="inlineStr">
        <is>
          <t>i.t</t>
        </is>
      </c>
      <c r="D34" s="16" t="n">
        <v>8</v>
      </c>
      <c r="E34" s="16" t="n">
        <v>0</v>
      </c>
      <c r="F34" s="19" t="n">
        <v>3718.5</v>
      </c>
      <c r="J34" s="17" t="inlineStr">
        <is>
          <t>ASIANHOTNR</t>
        </is>
      </c>
      <c r="K34" s="18" t="inlineStr">
        <is>
          <t>services</t>
        </is>
      </c>
      <c r="L34" s="19" t="n">
        <v>288</v>
      </c>
      <c r="M34" s="19" t="n">
        <v>1660.56</v>
      </c>
      <c r="N34" s="16" t="n">
        <v>20</v>
      </c>
    </row>
    <row r="35">
      <c r="A35" s="17" t="inlineStr">
        <is>
          <t>SHARDAMOTR</t>
        </is>
      </c>
      <c r="B35" s="18" t="inlineStr">
        <is>
          <t>Sharda Motor Industries Limited</t>
        </is>
      </c>
      <c r="C35" s="18" t="inlineStr">
        <is>
          <t>auto</t>
        </is>
      </c>
      <c r="D35" s="16" t="n">
        <v>6</v>
      </c>
      <c r="E35" s="16" t="n">
        <v>1</v>
      </c>
      <c r="F35" s="19" t="n">
        <v>5521.76</v>
      </c>
      <c r="J35" s="17" t="inlineStr">
        <is>
          <t>PASUPTAC</t>
        </is>
      </c>
      <c r="K35" s="18" t="inlineStr">
        <is>
          <t>textiles</t>
        </is>
      </c>
      <c r="L35" s="19" t="n">
        <v>288</v>
      </c>
      <c r="M35" s="19" t="n">
        <v>679.64</v>
      </c>
      <c r="N35" s="16" t="n">
        <v>18</v>
      </c>
    </row>
    <row r="36">
      <c r="A36" s="17" t="inlineStr">
        <is>
          <t>SHIVALIK</t>
        </is>
      </c>
      <c r="B36" s="18" t="inlineStr">
        <is>
          <t>Shivalik Rasayan Ltd</t>
        </is>
      </c>
      <c r="C36" s="18" t="inlineStr">
        <is>
          <t>chemicals</t>
        </is>
      </c>
      <c r="D36" s="16" t="n">
        <v>5</v>
      </c>
      <c r="E36" s="16" t="n">
        <v>0</v>
      </c>
      <c r="F36" s="19" t="n">
        <v>658.45</v>
      </c>
      <c r="J36" s="17" t="inlineStr">
        <is>
          <t>MSTCLTD</t>
        </is>
      </c>
      <c r="K36" s="18" t="inlineStr">
        <is>
          <t>i.t</t>
        </is>
      </c>
      <c r="L36" s="19" t="n">
        <v>288</v>
      </c>
      <c r="M36" s="19" t="n">
        <v>5195.87</v>
      </c>
      <c r="N36" s="16" t="n">
        <v>25</v>
      </c>
    </row>
    <row r="37">
      <c r="A37" s="17" t="inlineStr">
        <is>
          <t>SUNDROP</t>
        </is>
      </c>
      <c r="B37" s="18" t="inlineStr">
        <is>
          <t>Sundrop Brands Ltd</t>
        </is>
      </c>
      <c r="C37" s="18" t="inlineStr">
        <is>
          <t>fmcg</t>
        </is>
      </c>
      <c r="D37" s="16" t="n">
        <v>5</v>
      </c>
      <c r="E37" s="16" t="n">
        <v>0</v>
      </c>
      <c r="F37" s="19" t="n">
        <v>2850.64</v>
      </c>
      <c r="J37" s="17" t="inlineStr">
        <is>
          <t>TALBROAUTO</t>
        </is>
      </c>
      <c r="K37" s="18" t="inlineStr">
        <is>
          <t>auto</t>
        </is>
      </c>
      <c r="L37" s="19" t="n">
        <v>288</v>
      </c>
      <c r="M37" s="19" t="n">
        <v>2876.53</v>
      </c>
      <c r="N37" s="16" t="n">
        <v>14</v>
      </c>
    </row>
    <row r="38">
      <c r="A38" s="17" t="inlineStr">
        <is>
          <t>DHARMAJ</t>
        </is>
      </c>
      <c r="B38" s="18" t="inlineStr">
        <is>
          <t>Dharmaj Crop Guard Ltd</t>
        </is>
      </c>
      <c r="C38" s="18" t="inlineStr">
        <is>
          <t>chemicals</t>
        </is>
      </c>
      <c r="D38" s="16" t="n">
        <v>5</v>
      </c>
      <c r="E38" s="16" t="n">
        <v>0</v>
      </c>
      <c r="F38" s="19" t="n">
        <v>1015.78</v>
      </c>
      <c r="J38" s="17" t="inlineStr">
        <is>
          <t>ORIENTBELL</t>
        </is>
      </c>
      <c r="K38" s="18" t="inlineStr">
        <is>
          <t>building materials</t>
        </is>
      </c>
      <c r="L38" s="19" t="n">
        <v>288</v>
      </c>
      <c r="M38" s="19" t="n">
        <v>575.25</v>
      </c>
      <c r="N38" s="16" t="n">
        <v>25</v>
      </c>
    </row>
    <row r="39">
      <c r="A39" s="17" t="inlineStr">
        <is>
          <t>GESHIP</t>
        </is>
      </c>
      <c r="B39" s="18" t="inlineStr">
        <is>
          <t>The Great Eastern Shipping Company Limited</t>
        </is>
      </c>
      <c r="C39" s="18" t="inlineStr">
        <is>
          <t>transportation</t>
        </is>
      </c>
      <c r="D39" s="16" t="n">
        <v>5</v>
      </c>
      <c r="E39" s="16" t="n">
        <v>1</v>
      </c>
      <c r="F39" s="19" t="n">
        <v>21166.66</v>
      </c>
      <c r="J39" s="17" t="inlineStr">
        <is>
          <t>PREMIERPOL</t>
        </is>
      </c>
      <c r="K39" s="18" t="inlineStr">
        <is>
          <t>plastic products</t>
        </is>
      </c>
      <c r="L39" s="19" t="n">
        <v>288</v>
      </c>
      <c r="M39" s="19" t="n">
        <v>1052.77</v>
      </c>
      <c r="N39" s="16" t="n">
        <v>21</v>
      </c>
    </row>
    <row r="40">
      <c r="A40" s="17" t="inlineStr">
        <is>
          <t>PCBL</t>
        </is>
      </c>
      <c r="B40" s="18" t="inlineStr">
        <is>
          <t>PCBL Chemical Limited</t>
        </is>
      </c>
      <c r="C40" s="18" t="inlineStr">
        <is>
          <t>Basic Materials</t>
        </is>
      </c>
      <c r="D40" s="16" t="n">
        <v>3</v>
      </c>
      <c r="E40" s="16" t="n">
        <v>0</v>
      </c>
      <c r="F40" s="19" t="n">
        <v>13361.99</v>
      </c>
      <c r="J40" s="17" t="inlineStr">
        <is>
          <t>PGIL</t>
        </is>
      </c>
      <c r="K40" s="18" t="inlineStr">
        <is>
          <t>readymade garments/apparels</t>
        </is>
      </c>
      <c r="L40" s="19" t="n">
        <v>288</v>
      </c>
      <c r="M40" s="19" t="n">
        <v>11765.65</v>
      </c>
      <c r="N40" s="16" t="n">
        <v>17</v>
      </c>
    </row>
    <row r="41">
      <c r="A41" s="17" t="inlineStr">
        <is>
          <t>TEXRAIL</t>
        </is>
      </c>
      <c r="B41" s="18" t="inlineStr">
        <is>
          <t>Texmaco Rail &amp; Engineering Limited</t>
        </is>
      </c>
      <c r="C41" s="18" t="inlineStr">
        <is>
          <t>industrials</t>
        </is>
      </c>
      <c r="D41" s="16" t="n">
        <v>3</v>
      </c>
      <c r="E41" s="16" t="n">
        <v>0</v>
      </c>
      <c r="F41" s="19" t="n">
        <v>5157.82</v>
      </c>
      <c r="J41" s="17" t="inlineStr">
        <is>
          <t>BLUSPRING</t>
        </is>
      </c>
      <c r="K41" s="18" t="inlineStr">
        <is>
          <t>miscellaneous</t>
        </is>
      </c>
      <c r="L41" s="19" t="n">
        <v>288</v>
      </c>
      <c r="M41" s="19" t="n">
        <v>2100.54</v>
      </c>
      <c r="N41" s="16" t="n">
        <v>18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106.07</v>
      </c>
      <c r="D47" s="27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4503.32</v>
      </c>
    </row>
    <row r="48">
      <c r="A48" s="16" t="n">
        <v>2</v>
      </c>
      <c r="B48" s="26" t="n">
        <v>99</v>
      </c>
      <c r="C48" s="27" t="n">
        <v>98.06</v>
      </c>
      <c r="D48" s="27" t="n">
        <v>275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2819.16</v>
      </c>
    </row>
    <row r="49">
      <c r="A49" s="16" t="n">
        <v>3</v>
      </c>
      <c r="B49" s="26" t="n">
        <v>98</v>
      </c>
      <c r="C49" s="27" t="n">
        <v>83.48999999999999</v>
      </c>
      <c r="D49" s="27" t="n">
        <v>275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2456.92</v>
      </c>
    </row>
    <row r="50">
      <c r="A50" s="16" t="n">
        <v>4</v>
      </c>
      <c r="B50" s="26" t="n">
        <v>98</v>
      </c>
      <c r="C50" s="27" t="n">
        <v>81.91</v>
      </c>
      <c r="D50" s="27" t="n">
        <v>258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17995.5</v>
      </c>
    </row>
    <row r="51">
      <c r="A51" s="16" t="n">
        <v>5</v>
      </c>
      <c r="B51" s="26" t="n">
        <v>97</v>
      </c>
      <c r="C51" s="27" t="n">
        <v>64.44</v>
      </c>
      <c r="D51" s="27" t="n">
        <v>235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Consumer Defensive</t>
        </is>
      </c>
      <c r="H51" s="19" t="n">
        <v>36305.84</v>
      </c>
    </row>
    <row r="52">
      <c r="A52" s="16" t="n">
        <v>6</v>
      </c>
      <c r="B52" s="26" t="n">
        <v>97</v>
      </c>
      <c r="C52" s="27" t="n">
        <v>58.1</v>
      </c>
      <c r="D52" s="27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3489.33</v>
      </c>
    </row>
    <row r="53">
      <c r="A53" s="16" t="n">
        <v>7</v>
      </c>
      <c r="B53" s="26" t="n">
        <v>96</v>
      </c>
      <c r="C53" s="27" t="n">
        <v>54.55</v>
      </c>
      <c r="D53" s="27" t="n">
        <v>277</v>
      </c>
      <c r="E53" s="17" t="inlineStr">
        <is>
          <t>MOREPENLAB</t>
        </is>
      </c>
      <c r="F53" s="18" t="inlineStr">
        <is>
          <t>Morepen Laboratories Limited</t>
        </is>
      </c>
      <c r="G53" s="18" t="inlineStr">
        <is>
          <t>healthcare</t>
        </is>
      </c>
      <c r="H53" s="19" t="n">
        <v>6389.14</v>
      </c>
    </row>
    <row r="54">
      <c r="A54" s="16" t="n">
        <v>8</v>
      </c>
      <c r="B54" s="26" t="n">
        <v>96</v>
      </c>
      <c r="C54" s="27" t="n">
        <v>51.78</v>
      </c>
      <c r="D54" s="27" t="n">
        <v>270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7286.59</v>
      </c>
    </row>
    <row r="55">
      <c r="A55" s="16" t="n">
        <v>9</v>
      </c>
      <c r="B55" s="26" t="n">
        <v>96</v>
      </c>
      <c r="C55" s="27" t="n">
        <v>48.78</v>
      </c>
      <c r="D55" s="27" t="n">
        <v>285</v>
      </c>
      <c r="E55" s="17" t="inlineStr">
        <is>
          <t>BHAGYANGR</t>
        </is>
      </c>
      <c r="F55" s="18" t="inlineStr">
        <is>
          <t>Bhagyanagar India</t>
        </is>
      </c>
      <c r="G55" s="18" t="inlineStr">
        <is>
          <t>power &amp; utilities</t>
        </is>
      </c>
      <c r="H55" s="19" t="n">
        <v>1448.05</v>
      </c>
    </row>
    <row r="56">
      <c r="A56" s="16" t="n">
        <v>10</v>
      </c>
      <c r="B56" s="26" t="n">
        <v>95</v>
      </c>
      <c r="C56" s="27" t="n">
        <v>47</v>
      </c>
      <c r="D56" s="27" t="n">
        <v>273</v>
      </c>
      <c r="E56" s="17" t="inlineStr">
        <is>
          <t>INDORAMA</t>
        </is>
      </c>
      <c r="F56" s="18" t="inlineStr">
        <is>
          <t>Indo Rama Synthetics (india) Limited</t>
        </is>
      </c>
      <c r="G56" s="18" t="inlineStr">
        <is>
          <t>textiles</t>
        </is>
      </c>
      <c r="H56" s="19" t="n">
        <v>2656.04</v>
      </c>
    </row>
    <row r="57">
      <c r="A57" s="16" t="n">
        <v>11</v>
      </c>
      <c r="B57" s="26" t="n">
        <v>95</v>
      </c>
      <c r="C57" s="27" t="n">
        <v>46.12</v>
      </c>
      <c r="D57" s="27" t="n">
        <v>278</v>
      </c>
      <c r="E57" s="17" t="inlineStr">
        <is>
          <t>CYIENTDLM</t>
        </is>
      </c>
      <c r="F57" s="18" t="inlineStr">
        <is>
          <t>Cyient DLM Ltd</t>
        </is>
      </c>
      <c r="G57" s="18" t="inlineStr">
        <is>
          <t>aerospace &amp; defence</t>
        </is>
      </c>
      <c r="H57" s="19" t="n">
        <v>7245.32</v>
      </c>
    </row>
    <row r="58">
      <c r="A58" s="16" t="n">
        <v>12</v>
      </c>
      <c r="B58" s="28" t="n">
        <v>94</v>
      </c>
      <c r="C58" s="27" t="n">
        <v>45.99</v>
      </c>
      <c r="D58" s="27" t="n">
        <v>278</v>
      </c>
      <c r="E58" s="17" t="inlineStr">
        <is>
          <t>SWANDEF</t>
        </is>
      </c>
      <c r="F58" s="18" t="inlineStr">
        <is>
          <t>Swan Defence and Heavy Industries Ltd</t>
        </is>
      </c>
      <c r="G58" s="18" t="inlineStr">
        <is>
          <t>transportation</t>
        </is>
      </c>
      <c r="H58" s="19" t="n">
        <v>14311.63</v>
      </c>
    </row>
    <row r="59">
      <c r="A59" s="16" t="n">
        <v>13</v>
      </c>
      <c r="B59" s="28" t="n">
        <v>94</v>
      </c>
      <c r="C59" s="27" t="n">
        <v>45.8</v>
      </c>
      <c r="D59" s="27" t="n">
        <v>263</v>
      </c>
      <c r="E59" s="17" t="inlineStr">
        <is>
          <t>SETL</t>
        </is>
      </c>
      <c r="F59" s="18" t="inlineStr">
        <is>
          <t>Standard Enginnering Technology Ltd</t>
        </is>
      </c>
      <c r="G59" s="18" t="inlineStr">
        <is>
          <t>industrials</t>
        </is>
      </c>
      <c r="H59" s="19" t="n">
        <v>8035.52</v>
      </c>
    </row>
    <row r="60">
      <c r="A60" s="16" t="n">
        <v>14</v>
      </c>
      <c r="B60" s="28" t="n">
        <v>93</v>
      </c>
      <c r="C60" s="27" t="n">
        <v>45.53</v>
      </c>
      <c r="D60" s="27" t="n">
        <v>258</v>
      </c>
      <c r="E60" s="17" t="inlineStr">
        <is>
          <t>RAYMOND</t>
        </is>
      </c>
      <c r="F60" s="18" t="inlineStr">
        <is>
          <t>Raymond Limited</t>
        </is>
      </c>
      <c r="G60" s="18" t="inlineStr">
        <is>
          <t>transportation</t>
        </is>
      </c>
      <c r="H60" s="19" t="n">
        <v>8014.48</v>
      </c>
    </row>
    <row r="61">
      <c r="A61" s="16" t="n">
        <v>15</v>
      </c>
      <c r="B61" s="28" t="n">
        <v>93</v>
      </c>
      <c r="C61" s="27" t="n">
        <v>45.24</v>
      </c>
      <c r="D61" s="27" t="n">
        <v>285</v>
      </c>
      <c r="E61" s="17" t="inlineStr">
        <is>
          <t>NRL</t>
        </is>
      </c>
      <c r="F61" s="18" t="inlineStr">
        <is>
          <t>Nupur Recyclers Ltd</t>
        </is>
      </c>
      <c r="G61" s="18" t="inlineStr">
        <is>
          <t>services</t>
        </is>
      </c>
      <c r="H61" s="19" t="n">
        <v>1139.64</v>
      </c>
    </row>
    <row r="62">
      <c r="A62" s="16" t="n">
        <v>16</v>
      </c>
      <c r="B62" s="28" t="n">
        <v>93</v>
      </c>
      <c r="C62" s="27" t="n">
        <v>45.02</v>
      </c>
      <c r="D62" s="27" t="n">
        <v>272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3809.57</v>
      </c>
    </row>
    <row r="63">
      <c r="A63" s="16" t="n">
        <v>17</v>
      </c>
      <c r="B63" s="28" t="n">
        <v>92</v>
      </c>
      <c r="C63" s="27" t="n">
        <v>44.93</v>
      </c>
      <c r="D63" s="27" t="n">
        <v>260</v>
      </c>
      <c r="E63" s="17" t="inlineStr">
        <is>
          <t>SPECTRUM</t>
        </is>
      </c>
      <c r="F63" s="18" t="inlineStr">
        <is>
          <t>Spectrum Electrical Industries Ltd</t>
        </is>
      </c>
      <c r="G63" s="18" t="inlineStr">
        <is>
          <t>industrials</t>
        </is>
      </c>
      <c r="H63" s="19" t="n">
        <v>5735.07</v>
      </c>
    </row>
    <row r="64">
      <c r="A64" s="16" t="n">
        <v>18</v>
      </c>
      <c r="B64" s="28" t="n">
        <v>92</v>
      </c>
      <c r="C64" s="27" t="n">
        <v>44.87</v>
      </c>
      <c r="D64" s="27" t="n">
        <v>287</v>
      </c>
      <c r="E64" s="17" t="inlineStr">
        <is>
          <t>VIKRAMTH</t>
        </is>
      </c>
      <c r="F64" s="18" t="inlineStr">
        <is>
          <t>Vikram Thermo (India) Limited</t>
        </is>
      </c>
      <c r="G64" s="18" t="inlineStr">
        <is>
          <t>Healthcare</t>
        </is>
      </c>
      <c r="H64" s="19" t="n">
        <v>1341.33</v>
      </c>
    </row>
    <row r="65">
      <c r="A65" s="16" t="n">
        <v>19</v>
      </c>
      <c r="B65" s="28" t="n">
        <v>91</v>
      </c>
      <c r="C65" s="27" t="n">
        <v>44.02</v>
      </c>
      <c r="D65" s="27" t="n">
        <v>272</v>
      </c>
      <c r="E65" s="17" t="inlineStr">
        <is>
          <t>AHCL</t>
        </is>
      </c>
      <c r="F65" s="18" t="inlineStr">
        <is>
          <t>Anlon Healthcare Ltd</t>
        </is>
      </c>
      <c r="G65" s="18" t="inlineStr">
        <is>
          <t>healthcare</t>
        </is>
      </c>
      <c r="H65" s="19" t="n">
        <v>1522.79</v>
      </c>
    </row>
    <row r="66">
      <c r="A66" s="16" t="n">
        <v>20</v>
      </c>
      <c r="B66" s="28" t="n">
        <v>91</v>
      </c>
      <c r="C66" s="27" t="n">
        <v>43.53</v>
      </c>
      <c r="D66" s="27" t="n">
        <v>285</v>
      </c>
      <c r="E66" s="17" t="inlineStr">
        <is>
          <t>FILATEX</t>
        </is>
      </c>
      <c r="F66" s="18" t="inlineStr">
        <is>
          <t>Filatex India Limited</t>
        </is>
      </c>
      <c r="G66" s="18" t="inlineStr">
        <is>
          <t>textiles</t>
        </is>
      </c>
      <c r="H66" s="19" t="n">
        <v>4676.82</v>
      </c>
    </row>
    <row r="67">
      <c r="A67" s="16" t="n">
        <v>21</v>
      </c>
      <c r="B67" s="28" t="n">
        <v>90</v>
      </c>
      <c r="C67" s="27" t="n">
        <v>42.65</v>
      </c>
      <c r="D67" s="27" t="n">
        <v>263</v>
      </c>
      <c r="E67" s="17" t="inlineStr">
        <is>
          <t>STLNETWORK</t>
        </is>
      </c>
      <c r="F67" s="18" t="inlineStr">
        <is>
          <t>STL Networks Ltd</t>
        </is>
      </c>
      <c r="G67" s="18" t="inlineStr">
        <is>
          <t>telecom-service</t>
        </is>
      </c>
      <c r="H67" s="19" t="n">
        <v>2538.49</v>
      </c>
    </row>
    <row r="68">
      <c r="A68" s="16" t="n">
        <v>22</v>
      </c>
      <c r="B68" s="28" t="n">
        <v>90</v>
      </c>
      <c r="C68" s="27" t="n">
        <v>42.08</v>
      </c>
      <c r="D68" s="27" t="n">
        <v>272</v>
      </c>
      <c r="E68" s="17" t="inlineStr">
        <is>
          <t>SHILPAMED</t>
        </is>
      </c>
      <c r="F68" s="18" t="inlineStr">
        <is>
          <t>Shilpa Medicare Limited</t>
        </is>
      </c>
      <c r="G68" s="18" t="inlineStr">
        <is>
          <t>healthcare</t>
        </is>
      </c>
      <c r="H68" s="19" t="n">
        <v>19700.96</v>
      </c>
    </row>
    <row r="69">
      <c r="A69" s="16" t="n">
        <v>23</v>
      </c>
      <c r="B69" s="28" t="n">
        <v>90</v>
      </c>
      <c r="C69" s="27" t="n">
        <v>40.82</v>
      </c>
      <c r="D69" s="27" t="n">
        <v>280</v>
      </c>
      <c r="E69" s="17" t="inlineStr">
        <is>
          <t>BHAGERIA</t>
        </is>
      </c>
      <c r="F69" s="18" t="inlineStr">
        <is>
          <t>Bhageria Industries Limited</t>
        </is>
      </c>
      <c r="G69" s="18" t="inlineStr">
        <is>
          <t>chemicals</t>
        </is>
      </c>
      <c r="H69" s="19" t="n">
        <v>1569.66</v>
      </c>
    </row>
    <row r="7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SHANTIGOLD</t>
        </is>
      </c>
      <c r="B2" s="30" t="inlineStr">
        <is>
          <t>Shanti Gold International Ltd</t>
        </is>
      </c>
      <c r="C2" s="30" t="inlineStr">
        <is>
          <t>consumer discretionary</t>
        </is>
      </c>
      <c r="D2" s="30" t="inlineStr">
        <is>
          <t>diamond cutting / jewellery</t>
        </is>
      </c>
      <c r="E2" s="30" t="inlineStr">
        <is>
          <t>smallcap</t>
        </is>
      </c>
      <c r="F2" s="30" t="n">
        <v>2176.48</v>
      </c>
      <c r="G2" s="30" t="n">
        <v>325.68</v>
      </c>
      <c r="H2" s="30" t="n">
        <v>14.83</v>
      </c>
      <c r="I2" s="30" t="n">
        <v>36407266</v>
      </c>
      <c r="J2" s="30" t="inlineStr">
        <is>
          <t>544459</t>
        </is>
      </c>
    </row>
    <row r="3">
      <c r="A3" s="30" t="inlineStr">
        <is>
          <t>UGARSUGAR</t>
        </is>
      </c>
      <c r="B3" s="30" t="inlineStr">
        <is>
          <t>The Ugar Sugar Works Limited</t>
        </is>
      </c>
      <c r="C3" s="30" t="inlineStr">
        <is>
          <t>fmcg</t>
        </is>
      </c>
      <c r="D3" s="30" t="inlineStr">
        <is>
          <t>sugar</t>
        </is>
      </c>
      <c r="E3" s="30" t="inlineStr">
        <is>
          <t>smallcap</t>
        </is>
      </c>
      <c r="F3" s="30" t="n">
        <v>627.41</v>
      </c>
      <c r="G3" s="30" t="n">
        <v>64.03</v>
      </c>
      <c r="H3" s="30" t="n">
        <v>14.81</v>
      </c>
      <c r="I3" s="30" t="n">
        <v>13699429</v>
      </c>
      <c r="J3" s="30" t="inlineStr">
        <is>
          <t>530363</t>
        </is>
      </c>
    </row>
    <row r="4">
      <c r="A4" s="30" t="inlineStr">
        <is>
          <t>MAWANASUG</t>
        </is>
      </c>
      <c r="B4" s="30" t="inlineStr">
        <is>
          <t>Mawana Sugars Limited</t>
        </is>
      </c>
      <c r="C4" s="30" t="inlineStr">
        <is>
          <t>fmcg</t>
        </is>
      </c>
      <c r="D4" s="30" t="inlineStr">
        <is>
          <t>sugar</t>
        </is>
      </c>
      <c r="E4" s="30" t="inlineStr">
        <is>
          <t>smallcap</t>
        </is>
      </c>
      <c r="F4" s="30" t="n">
        <v>511.26</v>
      </c>
      <c r="G4" s="30" t="n">
        <v>149.64</v>
      </c>
      <c r="H4" s="30" t="n">
        <v>14.49</v>
      </c>
      <c r="I4" s="30" t="n">
        <v>2561542</v>
      </c>
      <c r="J4" s="30" t="inlineStr">
        <is>
          <t>523371</t>
        </is>
      </c>
    </row>
    <row r="5">
      <c r="A5" s="30" t="inlineStr">
        <is>
          <t>PRIMO</t>
        </is>
      </c>
      <c r="B5" s="30" t="inlineStr">
        <is>
          <t>Primo Chemicals Ltd</t>
        </is>
      </c>
      <c r="C5" s="30" t="inlineStr">
        <is>
          <t>chemicals</t>
        </is>
      </c>
      <c r="D5" s="30" t="inlineStr">
        <is>
          <t>chlor alkali / soda ash</t>
        </is>
      </c>
      <c r="E5" s="30" t="inlineStr">
        <is>
          <t>smallcap</t>
        </is>
      </c>
      <c r="F5" s="30" t="n">
        <v>540.1799999999999</v>
      </c>
      <c r="G5" s="30" t="n">
        <v>25.28</v>
      </c>
      <c r="H5" s="30" t="n">
        <v>13.41</v>
      </c>
      <c r="I5" s="30" t="n">
        <v>1374230</v>
      </c>
      <c r="J5" s="30" t="inlineStr">
        <is>
          <t>506852</t>
        </is>
      </c>
    </row>
    <row r="6">
      <c r="A6" s="30" t="inlineStr">
        <is>
          <t>UTTAMSUGAR</t>
        </is>
      </c>
      <c r="B6" s="30" t="inlineStr">
        <is>
          <t>Uttam Sugar Mills Limited</t>
        </is>
      </c>
      <c r="C6" s="30" t="inlineStr">
        <is>
          <t>fmcg</t>
        </is>
      </c>
      <c r="D6" s="30" t="inlineStr">
        <is>
          <t>sugar</t>
        </is>
      </c>
      <c r="E6" s="30" t="inlineStr">
        <is>
          <t>smallcap</t>
        </is>
      </c>
      <c r="F6" s="30" t="n">
        <v>991.59</v>
      </c>
      <c r="G6" s="30" t="n">
        <v>293.15</v>
      </c>
      <c r="H6" s="30" t="n">
        <v>12.75</v>
      </c>
      <c r="I6" s="30" t="n">
        <v>2805051</v>
      </c>
      <c r="J6" s="30" t="inlineStr">
        <is>
          <t>532729</t>
        </is>
      </c>
    </row>
    <row r="7">
      <c r="A7" s="30" t="inlineStr">
        <is>
          <t>ANTELOPUS</t>
        </is>
      </c>
      <c r="B7" s="30" t="inlineStr">
        <is>
          <t>Antelopus Selan Energy Ltd</t>
        </is>
      </c>
      <c r="C7" s="30" t="inlineStr">
        <is>
          <t>energy</t>
        </is>
      </c>
      <c r="D7" s="30" t="inlineStr">
        <is>
          <t>oil drilling / allied services</t>
        </is>
      </c>
      <c r="E7" s="30" t="inlineStr">
        <is>
          <t>smallcap</t>
        </is>
      </c>
      <c r="F7" s="30" t="n">
        <v>3976.69</v>
      </c>
      <c r="G7" s="30" t="n">
        <v>1261.7</v>
      </c>
      <c r="H7" s="30" t="n">
        <v>11.56</v>
      </c>
      <c r="I7" s="30" t="n">
        <v>7877531</v>
      </c>
      <c r="J7" s="30" t="inlineStr">
        <is>
          <t>530075</t>
        </is>
      </c>
    </row>
    <row r="8">
      <c r="A8" s="30" t="inlineStr">
        <is>
          <t>SBC</t>
        </is>
      </c>
      <c r="B8" s="30" t="inlineStr">
        <is>
          <t>SBC Exports Ltd</t>
        </is>
      </c>
      <c r="C8" s="30" t="inlineStr">
        <is>
          <t>textiles</t>
        </is>
      </c>
      <c r="D8" s="30" t="inlineStr">
        <is>
          <t>textiles - products</t>
        </is>
      </c>
      <c r="E8" s="30" t="inlineStr">
        <is>
          <t>smallcap</t>
        </is>
      </c>
      <c r="F8" s="30" t="n">
        <v>2286.19</v>
      </c>
      <c r="G8" s="30" t="n">
        <v>53.02</v>
      </c>
      <c r="H8" s="30" t="n">
        <v>10.44</v>
      </c>
      <c r="I8" s="30" t="n">
        <v>23868200</v>
      </c>
      <c r="J8" s="30" t="inlineStr">
        <is>
          <t>542725</t>
        </is>
      </c>
    </row>
    <row r="9">
      <c r="A9" s="30" t="inlineStr">
        <is>
          <t>AVADHSUGAR</t>
        </is>
      </c>
      <c r="B9" s="30" t="inlineStr">
        <is>
          <t>Avadh Sugar &amp; Energy</t>
        </is>
      </c>
      <c r="C9" s="30" t="inlineStr">
        <is>
          <t>fmcg</t>
        </is>
      </c>
      <c r="D9" s="30" t="inlineStr">
        <is>
          <t>sugar</t>
        </is>
      </c>
      <c r="E9" s="30" t="inlineStr">
        <is>
          <t>smallcap</t>
        </is>
      </c>
      <c r="F9" s="30" t="n">
        <v>1449.53</v>
      </c>
      <c r="G9" s="30" t="n">
        <v>796.5</v>
      </c>
      <c r="H9" s="30" t="n">
        <v>10</v>
      </c>
      <c r="I9" s="30" t="n">
        <v>465223</v>
      </c>
      <c r="J9" s="30" t="inlineStr">
        <is>
          <t>540649</t>
        </is>
      </c>
    </row>
    <row r="10">
      <c r="A10" s="30" t="inlineStr">
        <is>
          <t>AHCL</t>
        </is>
      </c>
      <c r="B10" s="30" t="inlineStr">
        <is>
          <t>Anlon Healthcare Ltd</t>
        </is>
      </c>
      <c r="C10" s="30" t="inlineStr">
        <is>
          <t>healthcare</t>
        </is>
      </c>
      <c r="D10" s="30" t="inlineStr">
        <is>
          <t>pharmaceuticals - indian - bulk drugs &amp; formln</t>
        </is>
      </c>
      <c r="E10" s="30" t="inlineStr">
        <is>
          <t>smallcap</t>
        </is>
      </c>
      <c r="F10" s="30" t="n">
        <v>1522.79</v>
      </c>
      <c r="G10" s="30" t="n">
        <v>31.51</v>
      </c>
      <c r="H10" s="30" t="n">
        <v>9.98</v>
      </c>
      <c r="I10" s="30" t="n">
        <v>80210539</v>
      </c>
      <c r="J10" s="30" t="inlineStr">
        <is>
          <t>544497</t>
        </is>
      </c>
    </row>
    <row r="11">
      <c r="A11" s="30" t="inlineStr">
        <is>
          <t>BHAGERIA</t>
        </is>
      </c>
      <c r="B11" s="30" t="inlineStr">
        <is>
          <t>Bhageria Industries Limited</t>
        </is>
      </c>
      <c r="C11" s="30" t="inlineStr">
        <is>
          <t>chemicals</t>
        </is>
      </c>
      <c r="D11" s="30" t="inlineStr">
        <is>
          <t>dyes and pigments</t>
        </is>
      </c>
      <c r="E11" s="30" t="inlineStr">
        <is>
          <t>smallcap</t>
        </is>
      </c>
      <c r="F11" s="30" t="n">
        <v>1569.66</v>
      </c>
      <c r="G11" s="30" t="n">
        <v>394.6</v>
      </c>
      <c r="H11" s="30" t="n">
        <v>9.720000000000001</v>
      </c>
      <c r="I11" s="30" t="n">
        <v>933103</v>
      </c>
      <c r="J11" s="30" t="inlineStr">
        <is>
          <t>530803</t>
        </is>
      </c>
    </row>
    <row r="12">
      <c r="A12" s="30" t="inlineStr">
        <is>
          <t>QUADFUTURE</t>
        </is>
      </c>
      <c r="B12" s="30" t="inlineStr">
        <is>
          <t>Quadrant Future Tek Ltd</t>
        </is>
      </c>
      <c r="C12" s="30" t="inlineStr">
        <is>
          <t>industrials</t>
        </is>
      </c>
      <c r="D12" s="30" t="inlineStr">
        <is>
          <t>cables - power</t>
        </is>
      </c>
      <c r="E12" s="30" t="inlineStr">
        <is>
          <t>smallcap</t>
        </is>
      </c>
      <c r="F12" s="30" t="n">
        <v>2001.6</v>
      </c>
      <c r="G12" s="30" t="n">
        <v>547.5</v>
      </c>
      <c r="H12" s="30" t="n">
        <v>9.41</v>
      </c>
      <c r="I12" s="30" t="n">
        <v>1950037</v>
      </c>
      <c r="J12" s="30" t="inlineStr">
        <is>
          <t>544336</t>
        </is>
      </c>
    </row>
    <row r="13">
      <c r="A13" s="30" t="inlineStr">
        <is>
          <t>LLOYDSENGG</t>
        </is>
      </c>
      <c r="B13" s="30" t="inlineStr">
        <is>
          <t>Lloyds Engineering Works Ltd</t>
        </is>
      </c>
      <c r="C13" s="30" t="inlineStr">
        <is>
          <t>industrials</t>
        </is>
      </c>
      <c r="D13" s="30" t="inlineStr">
        <is>
          <t>engineering</t>
        </is>
      </c>
      <c r="E13" s="30" t="inlineStr">
        <is>
          <t>midcap</t>
        </is>
      </c>
      <c r="F13" s="30" t="n">
        <v>14100.49</v>
      </c>
      <c r="G13" s="30" t="n">
        <v>98.56</v>
      </c>
      <c r="H13" s="30" t="n">
        <v>8.41</v>
      </c>
      <c r="I13" s="30" t="n">
        <v>60674433</v>
      </c>
      <c r="J13" s="30" t="inlineStr">
        <is>
          <t>539992</t>
        </is>
      </c>
    </row>
    <row r="14">
      <c r="A14" s="30" t="inlineStr">
        <is>
          <t>FCL</t>
        </is>
      </c>
      <c r="B14" s="30" t="inlineStr">
        <is>
          <t>Fineotex Chemical Limited</t>
        </is>
      </c>
      <c r="C14" s="30" t="inlineStr">
        <is>
          <t>chemicals</t>
        </is>
      </c>
      <c r="D14" s="30" t="inlineStr">
        <is>
          <t>chemicals</t>
        </is>
      </c>
      <c r="E14" s="30" t="inlineStr">
        <is>
          <t>midcap</t>
        </is>
      </c>
      <c r="F14" s="30" t="n">
        <v>6529.36</v>
      </c>
      <c r="G14" s="30" t="n">
        <v>60.48</v>
      </c>
      <c r="H14" s="30" t="n">
        <v>7.87</v>
      </c>
      <c r="I14" s="30" t="n">
        <v>47041849</v>
      </c>
      <c r="J14" s="30" t="inlineStr">
        <is>
          <t>533333</t>
        </is>
      </c>
    </row>
    <row r="15">
      <c r="A15" s="30" t="inlineStr">
        <is>
          <t>ROLEXRINGS</t>
        </is>
      </c>
      <c r="B15" s="30" t="inlineStr">
        <is>
          <t>Rolex Rings Ltd</t>
        </is>
      </c>
      <c r="C15" s="30" t="inlineStr">
        <is>
          <t>auto</t>
        </is>
      </c>
      <c r="D15" s="30" t="inlineStr">
        <is>
          <t>auto ancillaries</t>
        </is>
      </c>
      <c r="E15" s="30" t="inlineStr">
        <is>
          <t>smallcap</t>
        </is>
      </c>
      <c r="F15" s="30" t="n">
        <v>4940.4</v>
      </c>
      <c r="G15" s="30" t="n">
        <v>195.35</v>
      </c>
      <c r="H15" s="30" t="n">
        <v>7.68</v>
      </c>
      <c r="I15" s="30" t="n">
        <v>7169312</v>
      </c>
      <c r="J15" s="30" t="inlineStr">
        <is>
          <t>543325</t>
        </is>
      </c>
    </row>
    <row r="16">
      <c r="A16" s="30" t="inlineStr">
        <is>
          <t>MUKANDLTD</t>
        </is>
      </c>
      <c r="B16" s="30" t="inlineStr">
        <is>
          <t>Mukand Limited</t>
        </is>
      </c>
      <c r="C16" s="30" t="inlineStr">
        <is>
          <t>metals &amp; mining</t>
        </is>
      </c>
      <c r="D16" s="30" t="inlineStr">
        <is>
          <t>steel - medium / small</t>
        </is>
      </c>
      <c r="E16" s="30" t="inlineStr">
        <is>
          <t>smallcap</t>
        </is>
      </c>
      <c r="F16" s="30" t="n">
        <v>2243.44</v>
      </c>
      <c r="G16" s="30" t="n">
        <v>167.05</v>
      </c>
      <c r="H16" s="30" t="n">
        <v>7.59</v>
      </c>
      <c r="I16" s="30" t="n">
        <v>1109036</v>
      </c>
      <c r="J16" s="30" t="inlineStr">
        <is>
          <t>500460</t>
        </is>
      </c>
    </row>
    <row r="17">
      <c r="A17" s="30" t="inlineStr">
        <is>
          <t>ARTEMISMED</t>
        </is>
      </c>
      <c r="B17" s="30" t="inlineStr">
        <is>
          <t>Artemis Medicare Services Ltd</t>
        </is>
      </c>
      <c r="C17" s="30" t="inlineStr">
        <is>
          <t>healthcare</t>
        </is>
      </c>
      <c r="D17" s="30" t="inlineStr">
        <is>
          <t>healthcare</t>
        </is>
      </c>
      <c r="E17" s="30" t="inlineStr">
        <is>
          <t>midcap</t>
        </is>
      </c>
      <c r="F17" s="30" t="n">
        <v>5266.85</v>
      </c>
      <c r="G17" s="30" t="n">
        <v>357.7</v>
      </c>
      <c r="H17" s="30" t="n">
        <v>7.51</v>
      </c>
      <c r="I17" s="30" t="n">
        <v>18980196</v>
      </c>
      <c r="J17" s="30" t="inlineStr">
        <is>
          <t>542919</t>
        </is>
      </c>
    </row>
    <row r="18">
      <c r="A18" s="30" t="inlineStr">
        <is>
          <t>AETHER</t>
        </is>
      </c>
      <c r="B18" s="30" t="inlineStr">
        <is>
          <t>Aether Industries Ltd</t>
        </is>
      </c>
      <c r="C18" s="30" t="inlineStr">
        <is>
          <t>chemicals</t>
        </is>
      </c>
      <c r="D18" s="30" t="inlineStr">
        <is>
          <t>chemicals</t>
        </is>
      </c>
      <c r="E18" s="30" t="inlineStr">
        <is>
          <t>largecap</t>
        </is>
      </c>
      <c r="F18" s="30" t="n">
        <v>21847.14</v>
      </c>
      <c r="G18" s="30" t="n">
        <v>1767</v>
      </c>
      <c r="H18" s="30" t="n">
        <v>7.34</v>
      </c>
      <c r="I18" s="30" t="n">
        <v>1686153</v>
      </c>
      <c r="J18" s="30" t="inlineStr">
        <is>
          <t>543534</t>
        </is>
      </c>
    </row>
    <row r="19">
      <c r="A19" s="30" t="inlineStr">
        <is>
          <t>SANGAMIND</t>
        </is>
      </c>
      <c r="B19" s="30" t="inlineStr">
        <is>
          <t>Sangam (india) Limited</t>
        </is>
      </c>
      <c r="C19" s="30" t="inlineStr">
        <is>
          <t>textiles</t>
        </is>
      </c>
      <c r="D19" s="30" t="inlineStr">
        <is>
          <t>textiles - spinning - synthetic / blended</t>
        </is>
      </c>
      <c r="E19" s="30" t="inlineStr">
        <is>
          <t>smallcap</t>
        </is>
      </c>
      <c r="F19" s="30" t="n">
        <v>2912.79</v>
      </c>
      <c r="G19" s="30" t="n">
        <v>619.9</v>
      </c>
      <c r="H19" s="30" t="n">
        <v>6.93</v>
      </c>
      <c r="I19" s="30" t="n">
        <v>434786</v>
      </c>
      <c r="J19" s="30" t="inlineStr">
        <is>
          <t>514234</t>
        </is>
      </c>
    </row>
    <row r="20">
      <c r="A20" s="30" t="inlineStr">
        <is>
          <t>ENGINERSIN</t>
        </is>
      </c>
      <c r="B20" s="30" t="inlineStr">
        <is>
          <t>Engineers India Limited</t>
        </is>
      </c>
      <c r="C20" s="30" t="inlineStr">
        <is>
          <t>realty</t>
        </is>
      </c>
      <c r="D20" s="30" t="inlineStr">
        <is>
          <t>engineering - turnkey services</t>
        </is>
      </c>
      <c r="E20" s="30" t="inlineStr">
        <is>
          <t>midcap</t>
        </is>
      </c>
      <c r="F20" s="30" t="n">
        <v>16672.99</v>
      </c>
      <c r="G20" s="30" t="n">
        <v>315.65</v>
      </c>
      <c r="H20" s="30" t="n">
        <v>6.4</v>
      </c>
      <c r="I20" s="30" t="n">
        <v>19615591</v>
      </c>
      <c r="J20" s="30" t="inlineStr">
        <is>
          <t>532178</t>
        </is>
      </c>
    </row>
    <row r="21">
      <c r="A21" s="30" t="inlineStr">
        <is>
          <t>NRAIL</t>
        </is>
      </c>
      <c r="B21" s="30" t="inlineStr">
        <is>
          <t>N R Agarwal Industries Ltd</t>
        </is>
      </c>
      <c r="C21" s="30" t="inlineStr">
        <is>
          <t>building materials</t>
        </is>
      </c>
      <c r="D21" s="30" t="inlineStr">
        <is>
          <t>paper</t>
        </is>
      </c>
      <c r="E21" s="30" t="inlineStr">
        <is>
          <t>smallcap</t>
        </is>
      </c>
      <c r="F21" s="30" t="n">
        <v>1085.39</v>
      </c>
      <c r="G21" s="30" t="n">
        <v>677.25</v>
      </c>
      <c r="H21" s="30" t="n">
        <v>6.19</v>
      </c>
      <c r="I21" s="30" t="n">
        <v>24892</v>
      </c>
      <c r="J21" s="30" t="inlineStr">
        <is>
          <t>516082</t>
        </is>
      </c>
    </row>
    <row r="22">
      <c r="A22" s="30" t="inlineStr">
        <is>
          <t>DHAMPURSUG</t>
        </is>
      </c>
      <c r="B22" s="30" t="inlineStr">
        <is>
          <t>Dhampur Sugar Mills Limited</t>
        </is>
      </c>
      <c r="C22" s="30" t="inlineStr">
        <is>
          <t>fmcg</t>
        </is>
      </c>
      <c r="D22" s="30" t="inlineStr">
        <is>
          <t>sugar</t>
        </is>
      </c>
      <c r="E22" s="30" t="inlineStr">
        <is>
          <t>smallcap</t>
        </is>
      </c>
      <c r="F22" s="30" t="n">
        <v>1058.74</v>
      </c>
      <c r="G22" s="30" t="n">
        <v>174.67</v>
      </c>
      <c r="H22" s="30" t="n">
        <v>6.09</v>
      </c>
      <c r="I22" s="30" t="n">
        <v>2148612</v>
      </c>
      <c r="J22" s="30" t="inlineStr">
        <is>
          <t>500119</t>
        </is>
      </c>
    </row>
    <row r="23">
      <c r="A23" s="30" t="inlineStr">
        <is>
          <t>MANINDS</t>
        </is>
      </c>
      <c r="B23" s="30" t="inlineStr">
        <is>
          <t>Man Industries (india) Limited</t>
        </is>
      </c>
      <c r="C23" s="30" t="inlineStr">
        <is>
          <t>metals &amp; mining</t>
        </is>
      </c>
      <c r="D23" s="30" t="inlineStr">
        <is>
          <t>steel - medium / small</t>
        </is>
      </c>
      <c r="E23" s="30" t="inlineStr">
        <is>
          <t>midcap</t>
        </is>
      </c>
      <c r="F23" s="30" t="n">
        <v>7222.3</v>
      </c>
      <c r="G23" s="30" t="n">
        <v>1020.35</v>
      </c>
      <c r="H23" s="30" t="n">
        <v>5.97</v>
      </c>
      <c r="I23" s="30" t="n">
        <v>1762428</v>
      </c>
      <c r="J23" s="30" t="inlineStr">
        <is>
          <t>513269</t>
        </is>
      </c>
    </row>
    <row r="24">
      <c r="A24" s="30" t="inlineStr">
        <is>
          <t>EMIL</t>
        </is>
      </c>
      <c r="B24" s="30" t="inlineStr">
        <is>
          <t>Electronics Mart India Ltd</t>
        </is>
      </c>
      <c r="C24" s="30" t="inlineStr">
        <is>
          <t>consumer discretionary</t>
        </is>
      </c>
      <c r="D24" s="30" t="inlineStr">
        <is>
          <t>trading</t>
        </is>
      </c>
      <c r="E24" s="30" t="inlineStr">
        <is>
          <t>midcap</t>
        </is>
      </c>
      <c r="F24" s="30" t="n">
        <v>7277.91</v>
      </c>
      <c r="G24" s="30" t="n">
        <v>200.22</v>
      </c>
      <c r="H24" s="30" t="n">
        <v>5.85</v>
      </c>
      <c r="I24" s="30" t="n">
        <v>6776165</v>
      </c>
      <c r="J24" s="30" t="inlineStr">
        <is>
          <t>543626</t>
        </is>
      </c>
    </row>
    <row r="25">
      <c r="A25" s="30" t="inlineStr">
        <is>
          <t>GREAVESCOT</t>
        </is>
      </c>
      <c r="B25" s="30" t="inlineStr">
        <is>
          <t>Greaves Cotton Limited</t>
        </is>
      </c>
      <c r="C25" s="30" t="inlineStr">
        <is>
          <t>industrials</t>
        </is>
      </c>
      <c r="D25" s="30" t="inlineStr">
        <is>
          <t>engines</t>
        </is>
      </c>
      <c r="E25" s="30" t="inlineStr">
        <is>
          <t>midcap</t>
        </is>
      </c>
      <c r="F25" s="30" t="n">
        <v>5167.56</v>
      </c>
      <c r="G25" s="30" t="n">
        <v>234.78</v>
      </c>
      <c r="H25" s="30" t="n">
        <v>5.84</v>
      </c>
      <c r="I25" s="30" t="n">
        <v>10729752</v>
      </c>
      <c r="J25" s="30" t="inlineStr">
        <is>
          <t>501455</t>
        </is>
      </c>
    </row>
    <row r="26">
      <c r="A26" s="30" t="inlineStr">
        <is>
          <t>DELTACORP</t>
        </is>
      </c>
      <c r="B26" s="30" t="inlineStr">
        <is>
          <t>Delta Corp Limited</t>
        </is>
      </c>
      <c r="C26" s="30" t="inlineStr">
        <is>
          <t>miscellaneous</t>
        </is>
      </c>
      <c r="D26" s="30" t="inlineStr">
        <is>
          <t>recreation / amusement parks</t>
        </is>
      </c>
      <c r="E26" s="30" t="inlineStr">
        <is>
          <t>smallcap</t>
        </is>
      </c>
      <c r="F26" s="30" t="n">
        <v>1946.16</v>
      </c>
      <c r="G26" s="30" t="n">
        <v>76.84</v>
      </c>
      <c r="H26" s="30" t="n">
        <v>5.72</v>
      </c>
      <c r="I26" s="30" t="n">
        <v>26445158</v>
      </c>
      <c r="J26" s="30" t="inlineStr">
        <is>
          <t>532848</t>
        </is>
      </c>
    </row>
    <row r="27">
      <c r="A27" s="30" t="inlineStr">
        <is>
          <t>AJAXENGG</t>
        </is>
      </c>
      <c r="B27" s="30" t="inlineStr">
        <is>
          <t>Ajax Engineering Ltd</t>
        </is>
      </c>
      <c r="C27" s="30" t="inlineStr">
        <is>
          <t>industrials</t>
        </is>
      </c>
      <c r="D27" s="30" t="inlineStr">
        <is>
          <t>engineering</t>
        </is>
      </c>
      <c r="E27" s="30" t="inlineStr">
        <is>
          <t>midcap</t>
        </is>
      </c>
      <c r="F27" s="30" t="n">
        <v>6580.68</v>
      </c>
      <c r="G27" s="30" t="n">
        <v>607.75</v>
      </c>
      <c r="H27" s="30" t="n">
        <v>5.66</v>
      </c>
      <c r="I27" s="30" t="n">
        <v>695472</v>
      </c>
      <c r="J27" s="30" t="inlineStr">
        <is>
          <t>544356</t>
        </is>
      </c>
    </row>
    <row r="28">
      <c r="A28" s="30" t="inlineStr">
        <is>
          <t>LLOYDSENT</t>
        </is>
      </c>
      <c r="B28" s="30" t="inlineStr">
        <is>
          <t>Lloyds Enterprises Ltd</t>
        </is>
      </c>
      <c r="C28" s="30" t="inlineStr">
        <is>
          <t>services</t>
        </is>
      </c>
      <c r="D28" s="30" t="inlineStr">
        <is>
          <t>trading</t>
        </is>
      </c>
      <c r="E28" s="30" t="inlineStr">
        <is>
          <t>midcap</t>
        </is>
      </c>
      <c r="F28" s="30" t="n">
        <v>11537.68</v>
      </c>
      <c r="G28" s="30" t="n">
        <v>79.67</v>
      </c>
      <c r="H28" s="30" t="n">
        <v>5.41</v>
      </c>
      <c r="I28" s="30" t="n">
        <v>11961867</v>
      </c>
      <c r="J28" s="30" t="inlineStr">
        <is>
          <t>512463</t>
        </is>
      </c>
    </row>
    <row r="29">
      <c r="A29" s="30" t="inlineStr">
        <is>
          <t>WHEELS</t>
        </is>
      </c>
      <c r="B29" s="30" t="inlineStr">
        <is>
          <t>Wheels India Limited</t>
        </is>
      </c>
      <c r="C29" s="30" t="inlineStr">
        <is>
          <t>auto</t>
        </is>
      </c>
      <c r="D29" s="30" t="inlineStr">
        <is>
          <t>auto ancillaries</t>
        </is>
      </c>
      <c r="E29" s="30" t="inlineStr">
        <is>
          <t>midcap</t>
        </is>
      </c>
      <c r="F29" s="30" t="n">
        <v>5328.35</v>
      </c>
      <c r="G29" s="30" t="n">
        <v>2296.4</v>
      </c>
      <c r="H29" s="30" t="n">
        <v>5.3</v>
      </c>
      <c r="I29" s="30" t="n">
        <v>615400</v>
      </c>
      <c r="J29" s="30" t="inlineStr">
        <is>
          <t>590073</t>
        </is>
      </c>
    </row>
    <row r="30">
      <c r="A30" s="30" t="inlineStr">
        <is>
          <t>STEELCAS</t>
        </is>
      </c>
      <c r="B30" s="30" t="inlineStr">
        <is>
          <t>Steelcast Ltd</t>
        </is>
      </c>
      <c r="C30" s="30" t="inlineStr">
        <is>
          <t>castings, forgings &amp; fasteners</t>
        </is>
      </c>
      <c r="D30" s="30" t="inlineStr">
        <is>
          <t>castings &amp; forgings</t>
        </is>
      </c>
      <c r="E30" s="30" t="inlineStr">
        <is>
          <t>smallcap</t>
        </is>
      </c>
      <c r="F30" s="30" t="n">
        <v>3620.94</v>
      </c>
      <c r="G30" s="30" t="n">
        <v>376.5</v>
      </c>
      <c r="H30" s="30" t="n">
        <v>5.23</v>
      </c>
      <c r="I30" s="30" t="n">
        <v>1078414</v>
      </c>
      <c r="J30" s="30" t="inlineStr">
        <is>
          <t>513517</t>
        </is>
      </c>
    </row>
    <row r="31">
      <c r="A31" s="30" t="inlineStr">
        <is>
          <t>WELCORP</t>
        </is>
      </c>
      <c r="B31" s="30" t="inlineStr">
        <is>
          <t>Welspun Corp Limited</t>
        </is>
      </c>
      <c r="C31" s="30" t="inlineStr">
        <is>
          <t>industrials</t>
        </is>
      </c>
      <c r="D31" s="30" t="inlineStr">
        <is>
          <t>steel - large</t>
        </is>
      </c>
      <c r="E31" s="30" t="inlineStr">
        <is>
          <t>largecap</t>
        </is>
      </c>
      <c r="F31" s="30" t="n">
        <v>71017.72</v>
      </c>
      <c r="G31" s="30" t="n">
        <v>2832.4</v>
      </c>
      <c r="H31" s="30" t="n">
        <v>5.21</v>
      </c>
      <c r="I31" s="30" t="n">
        <v>2763523</v>
      </c>
      <c r="J31" s="30" t="inlineStr">
        <is>
          <t>532144</t>
        </is>
      </c>
    </row>
    <row r="32">
      <c r="A32" s="30" t="inlineStr">
        <is>
          <t>RPGLIFE</t>
        </is>
      </c>
      <c r="B32" s="30" t="inlineStr">
        <is>
          <t>Rpg Life Sciences Limited</t>
        </is>
      </c>
      <c r="C32" s="30" t="inlineStr">
        <is>
          <t>healthcare</t>
        </is>
      </c>
      <c r="D32" s="30" t="inlineStr">
        <is>
          <t>pharmaceuticals - indian - bulk drugs &amp; formln</t>
        </is>
      </c>
      <c r="E32" s="30" t="inlineStr">
        <is>
          <t>smallcap</t>
        </is>
      </c>
      <c r="F32" s="30" t="n">
        <v>4796.15</v>
      </c>
      <c r="G32" s="30" t="n">
        <v>3050.6</v>
      </c>
      <c r="H32" s="30" t="n">
        <v>5.2</v>
      </c>
      <c r="I32" s="30" t="n">
        <v>111001</v>
      </c>
      <c r="J32" s="30" t="inlineStr">
        <is>
          <t>532983</t>
        </is>
      </c>
    </row>
    <row r="33">
      <c r="A33" s="30" t="inlineStr">
        <is>
          <t>KOPRAN</t>
        </is>
      </c>
      <c r="B33" s="30" t="inlineStr">
        <is>
          <t>Kopran Limited</t>
        </is>
      </c>
      <c r="C33" s="30" t="inlineStr">
        <is>
          <t>healthcare</t>
        </is>
      </c>
      <c r="D33" s="30" t="inlineStr">
        <is>
          <t>pharmaceuticals - indian - bulk drugs &amp; formln</t>
        </is>
      </c>
      <c r="E33" s="30" t="inlineStr">
        <is>
          <t>smallcap</t>
        </is>
      </c>
      <c r="F33" s="30" t="n">
        <v>1307.62</v>
      </c>
      <c r="G33" s="30" t="n">
        <v>284.53</v>
      </c>
      <c r="H33" s="30" t="n">
        <v>5.07</v>
      </c>
      <c r="I33" s="30" t="n">
        <v>662546</v>
      </c>
      <c r="J33" s="30" t="inlineStr">
        <is>
          <t>524280</t>
        </is>
      </c>
    </row>
    <row r="34">
      <c r="A34" s="30" t="inlineStr">
        <is>
          <t>BIRLACABLE</t>
        </is>
      </c>
      <c r="B34" s="30" t="inlineStr">
        <is>
          <t>Birla Cable Limited</t>
        </is>
      </c>
      <c r="C34" s="30" t="inlineStr">
        <is>
          <t>industrials</t>
        </is>
      </c>
      <c r="D34" s="30" t="inlineStr">
        <is>
          <t>cables - telephone</t>
        </is>
      </c>
      <c r="E34" s="30" t="inlineStr">
        <is>
          <t>smallcap</t>
        </is>
      </c>
      <c r="F34" s="30" t="n">
        <v>1035.6</v>
      </c>
      <c r="G34" s="30" t="n">
        <v>362.45</v>
      </c>
      <c r="H34" s="30" t="n">
        <v>5</v>
      </c>
      <c r="I34" s="30" t="n">
        <v>488468</v>
      </c>
      <c r="J34" s="30" t="inlineStr">
        <is>
          <t>500060</t>
        </is>
      </c>
    </row>
    <row r="35">
      <c r="A35" s="30" t="inlineStr">
        <is>
          <t>ESAFSFB</t>
        </is>
      </c>
      <c r="B35" s="30" t="inlineStr">
        <is>
          <t>ESAF Small Finance Bank Ltd</t>
        </is>
      </c>
      <c r="C35" s="30" t="inlineStr">
        <is>
          <t>bank</t>
        </is>
      </c>
      <c r="D35" s="30" t="inlineStr">
        <is>
          <t>banks - private sector</t>
        </is>
      </c>
      <c r="E35" s="30" t="inlineStr">
        <is>
          <t>smallcap</t>
        </is>
      </c>
      <c r="F35" s="30" t="n">
        <v>2106.12</v>
      </c>
      <c r="G35" s="30" t="n">
        <v>42.86</v>
      </c>
      <c r="H35" s="30" t="n">
        <v>5</v>
      </c>
      <c r="I35" s="30" t="n">
        <v>1195142</v>
      </c>
      <c r="J35" s="30" t="inlineStr">
        <is>
          <t>544020</t>
        </is>
      </c>
    </row>
    <row r="36">
      <c r="A36" s="30" t="inlineStr">
        <is>
          <t>KABRAEXTRU</t>
        </is>
      </c>
      <c r="B36" s="30" t="inlineStr">
        <is>
          <t>Kabra Extrusion Technik Limited</t>
        </is>
      </c>
      <c r="C36" s="30" t="inlineStr">
        <is>
          <t>industrials</t>
        </is>
      </c>
      <c r="D36" s="30" t="inlineStr">
        <is>
          <t>engineering</t>
        </is>
      </c>
      <c r="E36" s="30" t="inlineStr">
        <is>
          <t>smallcap</t>
        </is>
      </c>
      <c r="F36" s="30" t="n">
        <v>2819.16</v>
      </c>
      <c r="G36" s="30" t="n">
        <v>846.4</v>
      </c>
      <c r="H36" s="30" t="n">
        <v>5</v>
      </c>
      <c r="I36" s="30" t="n">
        <v>454583</v>
      </c>
      <c r="J36" s="30" t="inlineStr">
        <is>
          <t>524109</t>
        </is>
      </c>
    </row>
    <row r="37">
      <c r="A37" s="30" t="inlineStr">
        <is>
          <t>IBULLSLTD</t>
        </is>
      </c>
      <c r="B37" s="30" t="inlineStr">
        <is>
          <t>Indiabulls Limited</t>
        </is>
      </c>
      <c r="C37" s="30" t="inlineStr">
        <is>
          <t>miscellaneous</t>
        </is>
      </c>
      <c r="D37" s="30" t="inlineStr">
        <is>
          <t>diversified - medium / small</t>
        </is>
      </c>
      <c r="E37" s="30" t="inlineStr">
        <is>
          <t>midcap</t>
        </is>
      </c>
      <c r="F37" s="30" t="n">
        <v>6618.23</v>
      </c>
      <c r="G37" s="30" t="n">
        <v>29.83</v>
      </c>
      <c r="H37" s="30" t="n">
        <v>5</v>
      </c>
      <c r="I37" s="30" t="n">
        <v>14185546</v>
      </c>
      <c r="J37" s="30" t="inlineStr">
        <is>
          <t>533520</t>
        </is>
      </c>
    </row>
    <row r="38">
      <c r="A38" s="30" t="inlineStr">
        <is>
          <t>OCCLLTD</t>
        </is>
      </c>
      <c r="B38" s="30" t="inlineStr">
        <is>
          <t>OCCL Ltd</t>
        </is>
      </c>
      <c r="C38" s="30" t="inlineStr">
        <is>
          <t>chemicals</t>
        </is>
      </c>
      <c r="D38" s="30" t="inlineStr">
        <is>
          <t>chemicals</t>
        </is>
      </c>
      <c r="E38" s="30" t="inlineStr">
        <is>
          <t>smallcap</t>
        </is>
      </c>
      <c r="F38" s="30" t="n">
        <v>797.66</v>
      </c>
      <c r="G38" s="30" t="n">
        <v>167.67</v>
      </c>
      <c r="H38" s="30" t="n">
        <v>5</v>
      </c>
      <c r="I38" s="30" t="n">
        <v>156212</v>
      </c>
      <c r="J38" s="30" t="inlineStr">
        <is>
          <t>544278</t>
        </is>
      </c>
    </row>
    <row r="39">
      <c r="A39" s="30" t="inlineStr">
        <is>
          <t>RBZJEWEL</t>
        </is>
      </c>
      <c r="B39" s="30" t="inlineStr">
        <is>
          <t>RBZ Jewellers Ltd</t>
        </is>
      </c>
      <c r="C39" s="30" t="inlineStr">
        <is>
          <t>consumer discretionary</t>
        </is>
      </c>
      <c r="D39" s="30" t="inlineStr">
        <is>
          <t>diamond cutting / jewellery</t>
        </is>
      </c>
      <c r="E39" s="30" t="inlineStr">
        <is>
          <t>smallcap</t>
        </is>
      </c>
      <c r="F39" s="30" t="n">
        <v>689.04</v>
      </c>
      <c r="G39" s="30" t="n">
        <v>180.87</v>
      </c>
      <c r="H39" s="30" t="n">
        <v>5</v>
      </c>
      <c r="I39" s="30" t="n">
        <v>63541</v>
      </c>
      <c r="J39" s="30" t="inlineStr">
        <is>
          <t>544060</t>
        </is>
      </c>
    </row>
    <row r="40">
      <c r="A40" s="30" t="inlineStr">
        <is>
          <t>STLNETWORK</t>
        </is>
      </c>
      <c r="B40" s="30" t="inlineStr">
        <is>
          <t>STL Networks Ltd</t>
        </is>
      </c>
      <c r="C40" s="30" t="inlineStr">
        <is>
          <t>telecom-service</t>
        </is>
      </c>
      <c r="D40" s="30" t="inlineStr">
        <is>
          <t>telecommunications - service provider</t>
        </is>
      </c>
      <c r="E40" s="30" t="inlineStr">
        <is>
          <t>smallcap</t>
        </is>
      </c>
      <c r="F40" s="30" t="n">
        <v>2538.49</v>
      </c>
      <c r="G40" s="30" t="n">
        <v>54.61</v>
      </c>
      <c r="H40" s="30" t="n">
        <v>5</v>
      </c>
      <c r="I40" s="30" t="n">
        <v>8981723</v>
      </c>
      <c r="J40" s="30" t="inlineStr">
        <is>
          <t>544395</t>
        </is>
      </c>
    </row>
    <row r="41">
      <c r="A41" s="30" t="inlineStr">
        <is>
          <t>KRONOX</t>
        </is>
      </c>
      <c r="B41" s="30" t="inlineStr">
        <is>
          <t>Kronox Lab Sciences Ltd</t>
        </is>
      </c>
      <c r="C41" s="30" t="inlineStr">
        <is>
          <t>chemicals</t>
        </is>
      </c>
      <c r="D41" s="30" t="inlineStr">
        <is>
          <t>chemicals</t>
        </is>
      </c>
      <c r="E41" s="30" t="inlineStr">
        <is>
          <t>smallcap</t>
        </is>
      </c>
      <c r="F41" s="30" t="n">
        <v>730.02</v>
      </c>
      <c r="G41" s="30" t="n">
        <v>206.58</v>
      </c>
      <c r="H41" s="30" t="n">
        <v>5</v>
      </c>
      <c r="I41" s="30" t="n">
        <v>145260</v>
      </c>
      <c r="J41" s="30" t="inlineStr">
        <is>
          <t>544187</t>
        </is>
      </c>
    </row>
    <row r="42">
      <c r="A42" s="30" t="inlineStr">
        <is>
          <t>SHRIPISTON</t>
        </is>
      </c>
      <c r="B42" s="30" t="inlineStr">
        <is>
          <t>Shriram Pistons &amp; Rings Limited</t>
        </is>
      </c>
      <c r="C42" s="30" t="inlineStr">
        <is>
          <t>auto</t>
        </is>
      </c>
      <c r="D42" s="30" t="inlineStr">
        <is>
          <t>auto ancillaries</t>
        </is>
      </c>
      <c r="E42" s="30" t="inlineStr">
        <is>
          <t>largecap</t>
        </is>
      </c>
      <c r="F42" s="30" t="n">
        <v>20997.67</v>
      </c>
      <c r="G42" s="30" t="n">
        <v>4746.8</v>
      </c>
      <c r="H42" s="30" t="n">
        <v>4.86</v>
      </c>
      <c r="I42" s="30" t="n">
        <v>110008</v>
      </c>
      <c r="J42" s="30" t="n"/>
    </row>
    <row r="43">
      <c r="A43" s="30" t="inlineStr">
        <is>
          <t>SALSTEEL</t>
        </is>
      </c>
      <c r="B43" s="30" t="inlineStr">
        <is>
          <t>SAL Steel</t>
        </is>
      </c>
      <c r="C43" s="30" t="inlineStr">
        <is>
          <t>metals &amp; mining</t>
        </is>
      </c>
      <c r="D43" s="30" t="inlineStr">
        <is>
          <t>steel - sponge iron</t>
        </is>
      </c>
      <c r="E43" s="30" t="inlineStr">
        <is>
          <t>smallcap</t>
        </is>
      </c>
      <c r="F43" s="30" t="n">
        <v>1292.33</v>
      </c>
      <c r="G43" s="30" t="n">
        <v>93.59999999999999</v>
      </c>
      <c r="H43" s="30" t="n">
        <v>4.85</v>
      </c>
      <c r="I43" s="30" t="n">
        <v>741473</v>
      </c>
      <c r="J43" s="30" t="inlineStr">
        <is>
          <t>532604</t>
        </is>
      </c>
    </row>
    <row r="44">
      <c r="A44" s="30" t="inlineStr">
        <is>
          <t>SPECTRUM</t>
        </is>
      </c>
      <c r="B44" s="30" t="inlineStr">
        <is>
          <t>Spectrum Electrical Industries Ltd</t>
        </is>
      </c>
      <c r="C44" s="30" t="inlineStr">
        <is>
          <t>industrials</t>
        </is>
      </c>
      <c r="D44" s="30" t="inlineStr">
        <is>
          <t>electric equipment</t>
        </is>
      </c>
      <c r="E44" s="30" t="inlineStr">
        <is>
          <t>midcap</t>
        </is>
      </c>
      <c r="F44" s="30" t="n">
        <v>5735.07</v>
      </c>
      <c r="G44" s="30" t="n">
        <v>3518.8</v>
      </c>
      <c r="H44" s="30" t="n">
        <v>4.84</v>
      </c>
      <c r="I44" s="30" t="n">
        <v>16796</v>
      </c>
      <c r="J44" s="30" t="inlineStr">
        <is>
          <t>535112</t>
        </is>
      </c>
    </row>
    <row r="45">
      <c r="A45" s="30" t="inlineStr">
        <is>
          <t>HEG</t>
        </is>
      </c>
      <c r="B45" s="30" t="inlineStr">
        <is>
          <t>Heg Limited</t>
        </is>
      </c>
      <c r="C45" s="30" t="inlineStr">
        <is>
          <t>industrials</t>
        </is>
      </c>
      <c r="D45" s="30" t="inlineStr">
        <is>
          <t>electrodes - graphites</t>
        </is>
      </c>
      <c r="E45" s="30" t="inlineStr">
        <is>
          <t>midcap</t>
        </is>
      </c>
      <c r="F45" s="30" t="n">
        <v>8195.5</v>
      </c>
      <c r="G45" s="30" t="n">
        <v>248.5</v>
      </c>
      <c r="H45" s="30" t="n">
        <v>4.83</v>
      </c>
      <c r="I45" s="30" t="n">
        <v>9065570</v>
      </c>
      <c r="J45" s="30" t="inlineStr">
        <is>
          <t>509631</t>
        </is>
      </c>
    </row>
    <row r="46">
      <c r="A46" s="30" t="inlineStr">
        <is>
          <t>DYNAMATECH</t>
        </is>
      </c>
      <c r="B46" s="30" t="inlineStr">
        <is>
          <t>Dynamatic Technologies Limited</t>
        </is>
      </c>
      <c r="C46" s="30" t="inlineStr">
        <is>
          <t>aerospace &amp; defence</t>
        </is>
      </c>
      <c r="D46" s="30" t="inlineStr">
        <is>
          <t>engineering</t>
        </is>
      </c>
      <c r="E46" s="30" t="inlineStr">
        <is>
          <t>midcap</t>
        </is>
      </c>
      <c r="F46" s="30" t="n">
        <v>8523.940000000001</v>
      </c>
      <c r="G46" s="30" t="n">
        <v>13153</v>
      </c>
      <c r="H46" s="30" t="n">
        <v>4.8</v>
      </c>
      <c r="I46" s="30" t="n">
        <v>38127</v>
      </c>
      <c r="J46" s="30" t="inlineStr">
        <is>
          <t>505242</t>
        </is>
      </c>
    </row>
    <row r="47">
      <c r="A47" s="30" t="inlineStr">
        <is>
          <t>BOSCH-HCIL</t>
        </is>
      </c>
      <c r="B47" s="30" t="inlineStr">
        <is>
          <t>Bosch Home Comfort India Ltd</t>
        </is>
      </c>
      <c r="C47" s="30" t="inlineStr">
        <is>
          <t>consumer discretionary</t>
        </is>
      </c>
      <c r="D47" s="30" t="inlineStr">
        <is>
          <t>air-conditioners</t>
        </is>
      </c>
      <c r="E47" s="30" t="inlineStr">
        <is>
          <t>smallcap</t>
        </is>
      </c>
      <c r="F47" s="30" t="n">
        <v>4704.02</v>
      </c>
      <c r="G47" s="30" t="n">
        <v>1811.6</v>
      </c>
      <c r="H47" s="30" t="n">
        <v>4.72</v>
      </c>
      <c r="I47" s="30" t="n">
        <v>98241</v>
      </c>
      <c r="J47" s="30" t="inlineStr">
        <is>
          <t>523398</t>
        </is>
      </c>
    </row>
    <row r="48">
      <c r="A48" s="30" t="inlineStr">
        <is>
          <t>YASHO</t>
        </is>
      </c>
      <c r="B48" s="30" t="inlineStr">
        <is>
          <t>Yasho Industries Ltd</t>
        </is>
      </c>
      <c r="C48" s="30" t="inlineStr">
        <is>
          <t>chemicals</t>
        </is>
      </c>
      <c r="D48" s="30" t="inlineStr">
        <is>
          <t>chemicals</t>
        </is>
      </c>
      <c r="E48" s="30" t="inlineStr">
        <is>
          <t>smallcap</t>
        </is>
      </c>
      <c r="F48" s="30" t="n">
        <v>4875.53</v>
      </c>
      <c r="G48" s="30" t="n">
        <v>4234.1</v>
      </c>
      <c r="H48" s="30" t="n">
        <v>4.71</v>
      </c>
      <c r="I48" s="30" t="n">
        <v>45970</v>
      </c>
      <c r="J48" s="30" t="inlineStr">
        <is>
          <t>541167</t>
        </is>
      </c>
    </row>
    <row r="49">
      <c r="A49" s="30" t="inlineStr">
        <is>
          <t>TNPETRO</t>
        </is>
      </c>
      <c r="B49" s="30" t="inlineStr">
        <is>
          <t>Tamilnadu Petroproducts Limited</t>
        </is>
      </c>
      <c r="C49" s="30" t="inlineStr">
        <is>
          <t>energy</t>
        </is>
      </c>
      <c r="D49" s="30" t="inlineStr">
        <is>
          <t>petrochemicals</t>
        </is>
      </c>
      <c r="E49" s="30" t="inlineStr">
        <is>
          <t>smallcap</t>
        </is>
      </c>
      <c r="F49" s="30" t="n">
        <v>1142.46</v>
      </c>
      <c r="G49" s="30" t="n">
        <v>132.93</v>
      </c>
      <c r="H49" s="30" t="n">
        <v>4.69</v>
      </c>
      <c r="I49" s="30" t="n">
        <v>7029643</v>
      </c>
      <c r="J49" s="30" t="inlineStr">
        <is>
          <t>500777</t>
        </is>
      </c>
    </row>
    <row r="50">
      <c r="A50" s="30" t="inlineStr">
        <is>
          <t>MAZDA</t>
        </is>
      </c>
      <c r="B50" s="30" t="inlineStr">
        <is>
          <t>Mazda Limited</t>
        </is>
      </c>
      <c r="C50" s="30" t="inlineStr">
        <is>
          <t>industrials</t>
        </is>
      </c>
      <c r="D50" s="30" t="inlineStr">
        <is>
          <t>engineering</t>
        </is>
      </c>
      <c r="E50" s="30" t="inlineStr">
        <is>
          <t>smallcap</t>
        </is>
      </c>
      <c r="F50" s="30" t="n">
        <v>535.77</v>
      </c>
      <c r="G50" s="30" t="n">
        <v>280.05</v>
      </c>
      <c r="H50" s="30" t="n">
        <v>4.67</v>
      </c>
      <c r="I50" s="30" t="n">
        <v>68878</v>
      </c>
      <c r="J50" s="30" t="inlineStr">
        <is>
          <t>523792</t>
        </is>
      </c>
    </row>
    <row r="51">
      <c r="A51" s="30" t="inlineStr">
        <is>
          <t>MANINFRA</t>
        </is>
      </c>
      <c r="B51" s="30" t="inlineStr">
        <is>
          <t>Man Infraconstruction Limited</t>
        </is>
      </c>
      <c r="C51" s="30" t="inlineStr">
        <is>
          <t>realty</t>
        </is>
      </c>
      <c r="D51" s="30" t="inlineStr">
        <is>
          <t>construction</t>
        </is>
      </c>
      <c r="E51" s="30" t="inlineStr">
        <is>
          <t>midcap</t>
        </is>
      </c>
      <c r="F51" s="30" t="n">
        <v>5012.33</v>
      </c>
      <c r="G51" s="30" t="n">
        <v>129.95</v>
      </c>
      <c r="H51" s="30" t="n">
        <v>4.65</v>
      </c>
      <c r="I51" s="30" t="n">
        <v>3830660</v>
      </c>
      <c r="J51" s="30" t="inlineStr">
        <is>
          <t>533169</t>
        </is>
      </c>
    </row>
    <row r="52">
      <c r="A52" s="30" t="inlineStr">
        <is>
          <t>SATIN</t>
        </is>
      </c>
      <c r="B52" s="30" t="inlineStr">
        <is>
          <t>Satin Creditcare Network Limited</t>
        </is>
      </c>
      <c r="C52" s="30" t="inlineStr">
        <is>
          <t>financials</t>
        </is>
      </c>
      <c r="D52" s="30" t="inlineStr">
        <is>
          <t>finance &amp; investments</t>
        </is>
      </c>
      <c r="E52" s="30" t="inlineStr">
        <is>
          <t>smallcap</t>
        </is>
      </c>
      <c r="F52" s="30" t="n">
        <v>2498.3</v>
      </c>
      <c r="G52" s="30" t="n">
        <v>236.65</v>
      </c>
      <c r="H52" s="30" t="n">
        <v>4.64</v>
      </c>
      <c r="I52" s="30" t="n">
        <v>421528</v>
      </c>
      <c r="J52" s="30" t="inlineStr">
        <is>
          <t>539404</t>
        </is>
      </c>
    </row>
    <row r="53">
      <c r="A53" s="30" t="inlineStr">
        <is>
          <t>MVGJL</t>
        </is>
      </c>
      <c r="B53" s="30" t="inlineStr">
        <is>
          <t>Manoj Vaibhav Gems N Jewellers Ltd</t>
        </is>
      </c>
      <c r="C53" s="30" t="inlineStr">
        <is>
          <t>consumer discretionary</t>
        </is>
      </c>
      <c r="D53" s="30" t="inlineStr">
        <is>
          <t>diamond cutting / jewellery</t>
        </is>
      </c>
      <c r="E53" s="30" t="inlineStr">
        <is>
          <t>smallcap</t>
        </is>
      </c>
      <c r="F53" s="30" t="n">
        <v>1049.24</v>
      </c>
      <c r="G53" s="30" t="n">
        <v>224.38</v>
      </c>
      <c r="H53" s="30" t="n">
        <v>4.46</v>
      </c>
      <c r="I53" s="30" t="n">
        <v>903282</v>
      </c>
      <c r="J53" s="30" t="inlineStr">
        <is>
          <t>543995</t>
        </is>
      </c>
    </row>
    <row r="54">
      <c r="A54" s="30" t="inlineStr">
        <is>
          <t>SAMBHV</t>
        </is>
      </c>
      <c r="B54" s="30" t="inlineStr">
        <is>
          <t>Sambhv Steel Tubes Ltd</t>
        </is>
      </c>
      <c r="C54" s="30" t="inlineStr">
        <is>
          <t>metals &amp; mining</t>
        </is>
      </c>
      <c r="D54" s="30" t="inlineStr">
        <is>
          <t>steel - medium / small</t>
        </is>
      </c>
      <c r="E54" s="30" t="inlineStr">
        <is>
          <t>smallcap</t>
        </is>
      </c>
      <c r="F54" s="30" t="n">
        <v>4489.61</v>
      </c>
      <c r="G54" s="30" t="n">
        <v>159.12</v>
      </c>
      <c r="H54" s="30" t="n">
        <v>4.44</v>
      </c>
      <c r="I54" s="30" t="n">
        <v>5127428</v>
      </c>
      <c r="J54" s="30" t="inlineStr">
        <is>
          <t>544430</t>
        </is>
      </c>
    </row>
    <row r="55">
      <c r="A55" s="30" t="inlineStr">
        <is>
          <t>PGIL</t>
        </is>
      </c>
      <c r="B55" s="30" t="inlineStr">
        <is>
          <t>Pearl Global Industries Limited</t>
        </is>
      </c>
      <c r="C55" s="30" t="inlineStr">
        <is>
          <t>readymade garments/apparels</t>
        </is>
      </c>
      <c r="D55" s="30" t="inlineStr">
        <is>
          <t>textiles - products</t>
        </is>
      </c>
      <c r="E55" s="30" t="inlineStr">
        <is>
          <t>midcap</t>
        </is>
      </c>
      <c r="F55" s="30" t="n">
        <v>11765.65</v>
      </c>
      <c r="G55" s="30" t="n">
        <v>1329.1</v>
      </c>
      <c r="H55" s="30" t="n">
        <v>4.36</v>
      </c>
      <c r="I55" s="30" t="n">
        <v>477150</v>
      </c>
      <c r="J55" s="30" t="inlineStr">
        <is>
          <t>532808</t>
        </is>
      </c>
    </row>
    <row r="56">
      <c r="A56" s="30" t="inlineStr">
        <is>
          <t>ORIENTBELL</t>
        </is>
      </c>
      <c r="B56" s="30" t="inlineStr">
        <is>
          <t>Orient Bell Limited</t>
        </is>
      </c>
      <c r="C56" s="30" t="inlineStr">
        <is>
          <t>building materials</t>
        </is>
      </c>
      <c r="D56" s="30" t="inlineStr">
        <is>
          <t>ceramics - tiles / sanitaryware</t>
        </is>
      </c>
      <c r="E56" s="30" t="inlineStr">
        <is>
          <t>smallcap</t>
        </is>
      </c>
      <c r="F56" s="30" t="n">
        <v>575.25</v>
      </c>
      <c r="G56" s="30" t="n">
        <v>407.55</v>
      </c>
      <c r="H56" s="30" t="n">
        <v>4.22</v>
      </c>
      <c r="I56" s="30" t="n">
        <v>29237</v>
      </c>
      <c r="J56" s="30" t="inlineStr">
        <is>
          <t>530365</t>
        </is>
      </c>
    </row>
    <row r="57">
      <c r="A57" s="30" t="inlineStr">
        <is>
          <t>RAMRAT</t>
        </is>
      </c>
      <c r="B57" s="30" t="inlineStr">
        <is>
          <t>Ram Ratna Wires Ltd</t>
        </is>
      </c>
      <c r="C57" s="30" t="inlineStr">
        <is>
          <t>metals &amp; mining</t>
        </is>
      </c>
      <c r="D57" s="30" t="inlineStr">
        <is>
          <t>mining / minerals / metals</t>
        </is>
      </c>
      <c r="E57" s="30" t="inlineStr">
        <is>
          <t>midcap</t>
        </is>
      </c>
      <c r="F57" s="30" t="n">
        <v>5119.26</v>
      </c>
      <c r="G57" s="30" t="n">
        <v>570</v>
      </c>
      <c r="H57" s="30" t="n">
        <v>3.94</v>
      </c>
      <c r="I57" s="30" t="n">
        <v>292137</v>
      </c>
      <c r="J57" s="30" t="inlineStr">
        <is>
          <t>522281</t>
        </is>
      </c>
    </row>
    <row r="58">
      <c r="A58" s="30" t="inlineStr">
        <is>
          <t>SHREEJISPG</t>
        </is>
      </c>
      <c r="B58" s="30" t="inlineStr">
        <is>
          <t>Shreeji Shipping Global Ltd</t>
        </is>
      </c>
      <c r="C58" s="30" t="inlineStr">
        <is>
          <t>transportation</t>
        </is>
      </c>
      <c r="D58" s="30" t="inlineStr">
        <is>
          <t>shipping</t>
        </is>
      </c>
      <c r="E58" s="30" t="inlineStr">
        <is>
          <t>midcap</t>
        </is>
      </c>
      <c r="F58" s="30" t="n">
        <v>11809.13</v>
      </c>
      <c r="G58" s="30" t="n">
        <v>752.45</v>
      </c>
      <c r="H58" s="30" t="n">
        <v>3.81</v>
      </c>
      <c r="I58" s="30" t="n">
        <v>1197147</v>
      </c>
      <c r="J58" s="30" t="inlineStr">
        <is>
          <t>544490</t>
        </is>
      </c>
    </row>
    <row r="59">
      <c r="A59" s="30" t="inlineStr">
        <is>
          <t>KANORICHEM</t>
        </is>
      </c>
      <c r="B59" s="30" t="inlineStr">
        <is>
          <t>Kanoria Chemicals &amp; Industries Limited</t>
        </is>
      </c>
      <c r="C59" s="30" t="inlineStr">
        <is>
          <t>chemicals</t>
        </is>
      </c>
      <c r="D59" s="30" t="inlineStr">
        <is>
          <t>chemicals</t>
        </is>
      </c>
      <c r="E59" s="30" t="inlineStr">
        <is>
          <t>smallcap</t>
        </is>
      </c>
      <c r="F59" s="30" t="n">
        <v>835.98</v>
      </c>
      <c r="G59" s="30" t="n">
        <v>198.55</v>
      </c>
      <c r="H59" s="30" t="n">
        <v>3.77</v>
      </c>
      <c r="I59" s="30" t="n">
        <v>67459</v>
      </c>
      <c r="J59" s="30" t="inlineStr">
        <is>
          <t>506525</t>
        </is>
      </c>
    </row>
    <row r="60">
      <c r="A60" s="30" t="inlineStr">
        <is>
          <t>TATVA</t>
        </is>
      </c>
      <c r="B60" s="30" t="inlineStr">
        <is>
          <t>Tatva Chintan Pharma Chem Ltd</t>
        </is>
      </c>
      <c r="C60" s="30" t="inlineStr">
        <is>
          <t>chemicals</t>
        </is>
      </c>
      <c r="D60" s="30" t="inlineStr">
        <is>
          <t>chemicals</t>
        </is>
      </c>
      <c r="E60" s="30" t="inlineStr">
        <is>
          <t>smallcap</t>
        </is>
      </c>
      <c r="F60" s="30" t="n">
        <v>4043.55</v>
      </c>
      <c r="G60" s="30" t="n">
        <v>1793.2</v>
      </c>
      <c r="H60" s="30" t="n">
        <v>3.74</v>
      </c>
      <c r="I60" s="30" t="n">
        <v>66589</v>
      </c>
      <c r="J60" s="30" t="inlineStr">
        <is>
          <t>543321</t>
        </is>
      </c>
    </row>
    <row r="61">
      <c r="A61" s="30" t="inlineStr">
        <is>
          <t>BODALCHEM</t>
        </is>
      </c>
      <c r="B61" s="30" t="inlineStr">
        <is>
          <t>Bodal Chemicals Limited</t>
        </is>
      </c>
      <c r="C61" s="30" t="inlineStr">
        <is>
          <t>chemicals</t>
        </is>
      </c>
      <c r="D61" s="30" t="inlineStr">
        <is>
          <t>dyes and pigments</t>
        </is>
      </c>
      <c r="E61" s="30" t="inlineStr">
        <is>
          <t>smallcap</t>
        </is>
      </c>
      <c r="F61" s="30" t="n">
        <v>2456.92</v>
      </c>
      <c r="G61" s="30" t="n">
        <v>202.02</v>
      </c>
      <c r="H61" s="30" t="n">
        <v>3.56</v>
      </c>
      <c r="I61" s="30" t="n">
        <v>1397350</v>
      </c>
      <c r="J61" s="30" t="inlineStr">
        <is>
          <t>524370</t>
        </is>
      </c>
    </row>
    <row r="62">
      <c r="A62" s="30" t="inlineStr">
        <is>
          <t>CASTROLIND</t>
        </is>
      </c>
      <c r="B62" s="30" t="inlineStr">
        <is>
          <t>Castrol India Limited</t>
        </is>
      </c>
      <c r="C62" s="30" t="inlineStr">
        <is>
          <t>chemicals</t>
        </is>
      </c>
      <c r="D62" s="30" t="inlineStr">
        <is>
          <t>chemicals</t>
        </is>
      </c>
      <c r="E62" s="30" t="inlineStr">
        <is>
          <t>midcap</t>
        </is>
      </c>
      <c r="F62" s="30" t="n">
        <v>19268.1</v>
      </c>
      <c r="G62" s="30" t="n">
        <v>201.67</v>
      </c>
      <c r="H62" s="30" t="n">
        <v>3.53</v>
      </c>
      <c r="I62" s="30" t="n">
        <v>13237379</v>
      </c>
      <c r="J62" s="30" t="inlineStr">
        <is>
          <t>500870</t>
        </is>
      </c>
    </row>
    <row r="63">
      <c r="A63" s="30" t="inlineStr">
        <is>
          <t>CYIENT</t>
        </is>
      </c>
      <c r="B63" s="30" t="inlineStr">
        <is>
          <t>Cyient Limited</t>
        </is>
      </c>
      <c r="C63" s="30" t="inlineStr">
        <is>
          <t>i.t</t>
        </is>
      </c>
      <c r="D63" s="30" t="inlineStr">
        <is>
          <t>computers - software - medium / small</t>
        </is>
      </c>
      <c r="E63" s="30" t="inlineStr">
        <is>
          <t>midcap</t>
        </is>
      </c>
      <c r="F63" s="30" t="n">
        <v>11079.59</v>
      </c>
      <c r="G63" s="30" t="n">
        <v>1094.7</v>
      </c>
      <c r="H63" s="30" t="n">
        <v>3.49</v>
      </c>
      <c r="I63" s="30" t="n">
        <v>334991</v>
      </c>
      <c r="J63" s="30" t="inlineStr">
        <is>
          <t>532175</t>
        </is>
      </c>
    </row>
    <row r="64">
      <c r="A64" s="30" t="inlineStr">
        <is>
          <t>SUNFLAG</t>
        </is>
      </c>
      <c r="B64" s="30" t="inlineStr">
        <is>
          <t>Sunflag Iron And Steel Company Limited</t>
        </is>
      </c>
      <c r="C64" s="30" t="inlineStr">
        <is>
          <t>metals &amp; mining</t>
        </is>
      </c>
      <c r="D64" s="30" t="inlineStr">
        <is>
          <t>steel - medium / small</t>
        </is>
      </c>
      <c r="E64" s="30" t="inlineStr">
        <is>
          <t>midcap</t>
        </is>
      </c>
      <c r="F64" s="30" t="n">
        <v>7151.11</v>
      </c>
      <c r="G64" s="30" t="n">
        <v>410.65</v>
      </c>
      <c r="H64" s="30" t="n">
        <v>3.49</v>
      </c>
      <c r="I64" s="30" t="n">
        <v>2066226</v>
      </c>
      <c r="J64" s="30" t="inlineStr">
        <is>
          <t>500404</t>
        </is>
      </c>
    </row>
    <row r="65">
      <c r="A65" s="30" t="inlineStr">
        <is>
          <t>DMCC</t>
        </is>
      </c>
      <c r="B65" s="30" t="inlineStr">
        <is>
          <t>DMCC Speciality Chemicals Ltd</t>
        </is>
      </c>
      <c r="C65" s="30" t="inlineStr">
        <is>
          <t>chemicals</t>
        </is>
      </c>
      <c r="D65" s="30" t="inlineStr">
        <is>
          <t>chemicals</t>
        </is>
      </c>
      <c r="E65" s="30" t="inlineStr">
        <is>
          <t>smallcap</t>
        </is>
      </c>
      <c r="F65" s="30" t="n">
        <v>735.85</v>
      </c>
      <c r="G65" s="30" t="n">
        <v>305.35</v>
      </c>
      <c r="H65" s="30" t="n">
        <v>3.49</v>
      </c>
      <c r="I65" s="30" t="n">
        <v>122619</v>
      </c>
      <c r="J65" s="30" t="inlineStr">
        <is>
          <t>506405</t>
        </is>
      </c>
    </row>
    <row r="66">
      <c r="A66" s="30" t="inlineStr">
        <is>
          <t>GANESHBE</t>
        </is>
      </c>
      <c r="B66" s="30" t="inlineStr">
        <is>
          <t>Ganesh Benzoplast Ltd</t>
        </is>
      </c>
      <c r="C66" s="30" t="inlineStr">
        <is>
          <t>miscellaneous</t>
        </is>
      </c>
      <c r="D66" s="30" t="inlineStr">
        <is>
          <t>miscellaneous</t>
        </is>
      </c>
      <c r="E66" s="30" t="inlineStr">
        <is>
          <t>smallcap</t>
        </is>
      </c>
      <c r="F66" s="30" t="n">
        <v>910.59</v>
      </c>
      <c r="G66" s="30" t="n">
        <v>130.84</v>
      </c>
      <c r="H66" s="30" t="n">
        <v>3.44</v>
      </c>
      <c r="I66" s="30" t="n">
        <v>352767</v>
      </c>
      <c r="J66" s="30" t="inlineStr">
        <is>
          <t>500153</t>
        </is>
      </c>
    </row>
    <row r="67">
      <c r="A67" s="30" t="inlineStr">
        <is>
          <t>UNITEDPOLY</t>
        </is>
      </c>
      <c r="B67" s="30" t="inlineStr">
        <is>
          <t>United Polyfab Gujarat Ltd</t>
        </is>
      </c>
      <c r="C67" s="30" t="inlineStr">
        <is>
          <t>textiles</t>
        </is>
      </c>
      <c r="D67" s="30" t="inlineStr">
        <is>
          <t>textiles - products</t>
        </is>
      </c>
      <c r="E67" s="30" t="inlineStr">
        <is>
          <t>smallcap</t>
        </is>
      </c>
      <c r="F67" s="30" t="n">
        <v>1039.02</v>
      </c>
      <c r="G67" s="30" t="n">
        <v>46.81</v>
      </c>
      <c r="H67" s="30" t="n">
        <v>3.4</v>
      </c>
      <c r="I67" s="30" t="n">
        <v>1037819</v>
      </c>
      <c r="J67" s="30" t="inlineStr">
        <is>
          <t>533024</t>
        </is>
      </c>
    </row>
    <row r="68">
      <c r="A68" s="30" t="inlineStr">
        <is>
          <t>SUBEXLTD</t>
        </is>
      </c>
      <c r="B68" s="30" t="inlineStr">
        <is>
          <t>Subex Ltd</t>
        </is>
      </c>
      <c r="C68" s="30" t="inlineStr">
        <is>
          <t>i.t</t>
        </is>
      </c>
      <c r="D68" s="30" t="inlineStr">
        <is>
          <t>computers - software - medium / small</t>
        </is>
      </c>
      <c r="E68" s="30" t="inlineStr">
        <is>
          <t>smallcap</t>
        </is>
      </c>
      <c r="F68" s="30" t="n">
        <v>1163.91</v>
      </c>
      <c r="G68" s="30" t="n">
        <v>21.41</v>
      </c>
      <c r="H68" s="30" t="n">
        <v>3.38</v>
      </c>
      <c r="I68" s="30" t="n">
        <v>14283273</v>
      </c>
      <c r="J68" s="30" t="inlineStr">
        <is>
          <t>532348</t>
        </is>
      </c>
    </row>
    <row r="69">
      <c r="A69" s="30" t="inlineStr">
        <is>
          <t>SMLMAH</t>
        </is>
      </c>
      <c r="B69" s="30" t="inlineStr">
        <is>
          <t>SML Mahindra Ltd</t>
        </is>
      </c>
      <c r="C69" s="30" t="inlineStr">
        <is>
          <t>auto</t>
        </is>
      </c>
      <c r="D69" s="30" t="inlineStr">
        <is>
          <t>automobiles - lcvs / hcvs</t>
        </is>
      </c>
      <c r="E69" s="30" t="inlineStr">
        <is>
          <t>midcap</t>
        </is>
      </c>
      <c r="F69" s="30" t="n">
        <v>9555.629999999999</v>
      </c>
      <c r="G69" s="30" t="n">
        <v>6825.5</v>
      </c>
      <c r="H69" s="30" t="n">
        <v>3.37</v>
      </c>
      <c r="I69" s="30" t="n">
        <v>50096</v>
      </c>
      <c r="J69" s="30" t="inlineStr">
        <is>
          <t>505192</t>
        </is>
      </c>
    </row>
    <row r="70">
      <c r="A70" s="30" t="inlineStr">
        <is>
          <t>BLUSPRING</t>
        </is>
      </c>
      <c r="B70" s="30" t="inlineStr">
        <is>
          <t>Bluspring Enterprises Ltd</t>
        </is>
      </c>
      <c r="C70" s="30" t="inlineStr">
        <is>
          <t>miscellaneous</t>
        </is>
      </c>
      <c r="D70" s="30" t="inlineStr">
        <is>
          <t>diversified - large</t>
        </is>
      </c>
      <c r="E70" s="30" t="inlineStr">
        <is>
          <t>smallcap</t>
        </is>
      </c>
      <c r="F70" s="30" t="n">
        <v>2100.54</v>
      </c>
      <c r="G70" s="30" t="n">
        <v>145.12</v>
      </c>
      <c r="H70" s="30" t="n">
        <v>3.24</v>
      </c>
      <c r="I70" s="30" t="n">
        <v>758518</v>
      </c>
      <c r="J70" s="30" t="inlineStr">
        <is>
          <t>544414</t>
        </is>
      </c>
    </row>
    <row r="71">
      <c r="A71" s="30" t="inlineStr">
        <is>
          <t>KILITCH</t>
        </is>
      </c>
      <c r="B71" s="30" t="inlineStr">
        <is>
          <t>Kilitch Drugs (india) Limited</t>
        </is>
      </c>
      <c r="C71" s="30" t="inlineStr">
        <is>
          <t>healthcare</t>
        </is>
      </c>
      <c r="D71" s="30" t="inlineStr">
        <is>
          <t>pharmaceuticals - indian - formulations</t>
        </is>
      </c>
      <c r="E71" s="30" t="inlineStr">
        <is>
          <t>smallcap</t>
        </is>
      </c>
      <c r="F71" s="30" t="n">
        <v>759.47</v>
      </c>
      <c r="G71" s="30" t="n">
        <v>224.27</v>
      </c>
      <c r="H71" s="30" t="n">
        <v>3.24</v>
      </c>
      <c r="I71" s="30" t="n">
        <v>32455</v>
      </c>
      <c r="J71" s="30" t="inlineStr">
        <is>
          <t>524500</t>
        </is>
      </c>
    </row>
    <row r="72">
      <c r="A72" s="30" t="inlineStr">
        <is>
          <t>MOREPENLAB</t>
        </is>
      </c>
      <c r="B72" s="30" t="inlineStr">
        <is>
          <t>Morepen Laboratories Limited</t>
        </is>
      </c>
      <c r="C72" s="30" t="inlineStr">
        <is>
          <t>healthcare</t>
        </is>
      </c>
      <c r="D72" s="30" t="inlineStr">
        <is>
          <t>pharmaceuticals - indian - bulk drugs &amp; formln</t>
        </is>
      </c>
      <c r="E72" s="30" t="inlineStr">
        <is>
          <t>midcap</t>
        </is>
      </c>
      <c r="F72" s="30" t="n">
        <v>6389.14</v>
      </c>
      <c r="G72" s="30" t="n">
        <v>120.38</v>
      </c>
      <c r="H72" s="30" t="n">
        <v>3.24</v>
      </c>
      <c r="I72" s="30" t="n">
        <v>8996779</v>
      </c>
      <c r="J72" s="30" t="inlineStr">
        <is>
          <t>500288</t>
        </is>
      </c>
    </row>
    <row r="73">
      <c r="A73" s="30" t="inlineStr">
        <is>
          <t>GCSL</t>
        </is>
      </c>
      <c r="B73" s="30" t="inlineStr">
        <is>
          <t>Gretex Corporate Services Ltd</t>
        </is>
      </c>
      <c r="C73" s="30" t="inlineStr">
        <is>
          <t>financials</t>
        </is>
      </c>
      <c r="D73" s="30" t="inlineStr">
        <is>
          <t>finance &amp; investments</t>
        </is>
      </c>
      <c r="E73" s="30" t="inlineStr">
        <is>
          <t>smallcap</t>
        </is>
      </c>
      <c r="F73" s="30" t="n">
        <v>1583.59</v>
      </c>
      <c r="G73" s="30" t="n">
        <v>653.45</v>
      </c>
      <c r="H73" s="30" t="n">
        <v>3.18</v>
      </c>
      <c r="I73" s="30" t="n">
        <v>444252</v>
      </c>
      <c r="J73" s="30" t="inlineStr">
        <is>
          <t>543324</t>
        </is>
      </c>
    </row>
    <row r="74">
      <c r="A74" s="30" t="inlineStr">
        <is>
          <t>RATNAVEER</t>
        </is>
      </c>
      <c r="B74" s="30" t="inlineStr">
        <is>
          <t>Ratnaveer Precision Engineering Ltd</t>
        </is>
      </c>
      <c r="C74" s="30" t="inlineStr">
        <is>
          <t>metals &amp; mining</t>
        </is>
      </c>
      <c r="D74" s="30" t="inlineStr">
        <is>
          <t>steel - medium / small</t>
        </is>
      </c>
      <c r="E74" s="30" t="inlineStr">
        <is>
          <t>smallcap</t>
        </is>
      </c>
      <c r="F74" s="30" t="n">
        <v>2313.87</v>
      </c>
      <c r="G74" s="30" t="n">
        <v>333.95</v>
      </c>
      <c r="H74" s="30" t="n">
        <v>3.09</v>
      </c>
      <c r="I74" s="30" t="n">
        <v>6123089</v>
      </c>
      <c r="J74" s="30" t="inlineStr">
        <is>
          <t>543978</t>
        </is>
      </c>
    </row>
    <row r="75">
      <c r="A75" s="30" t="inlineStr">
        <is>
          <t>JGCHEM</t>
        </is>
      </c>
      <c r="B75" s="30" t="inlineStr">
        <is>
          <t>J.G.Chemicals Ltd</t>
        </is>
      </c>
      <c r="C75" s="30" t="inlineStr">
        <is>
          <t>chemicals</t>
        </is>
      </c>
      <c r="D75" s="30" t="inlineStr">
        <is>
          <t>chemicals</t>
        </is>
      </c>
      <c r="E75" s="30" t="inlineStr">
        <is>
          <t>smallcap</t>
        </is>
      </c>
      <c r="F75" s="30" t="n">
        <v>2358.02</v>
      </c>
      <c r="G75" s="30" t="n">
        <v>620.1</v>
      </c>
      <c r="H75" s="30" t="n">
        <v>3.05</v>
      </c>
      <c r="I75" s="30" t="n">
        <v>245613</v>
      </c>
      <c r="J75" s="30" t="n"/>
    </row>
    <row r="76">
      <c r="A76" s="30" t="inlineStr">
        <is>
          <t>MARINE</t>
        </is>
      </c>
      <c r="B76" s="30" t="inlineStr">
        <is>
          <t>Marine Electricals (India) Ltd</t>
        </is>
      </c>
      <c r="C76" s="30" t="inlineStr">
        <is>
          <t>industrials</t>
        </is>
      </c>
      <c r="D76" s="30" t="inlineStr">
        <is>
          <t>electric equipment</t>
        </is>
      </c>
      <c r="E76" s="30" t="inlineStr">
        <is>
          <t>midcap</t>
        </is>
      </c>
      <c r="F76" s="30" t="n">
        <v>5618.77</v>
      </c>
      <c r="G76" s="30" t="n">
        <v>413.75</v>
      </c>
      <c r="H76" s="30" t="n">
        <v>3.05</v>
      </c>
      <c r="I76" s="30" t="n">
        <v>1423212</v>
      </c>
      <c r="J76" s="30" t="inlineStr">
        <is>
          <t>535119</t>
        </is>
      </c>
    </row>
    <row r="77">
      <c r="A77" s="30" t="inlineStr">
        <is>
          <t>ENRIN</t>
        </is>
      </c>
      <c r="B77" s="30" t="inlineStr">
        <is>
          <t>Siemens Energy India Ltd</t>
        </is>
      </c>
      <c r="C77" s="30" t="inlineStr">
        <is>
          <t>power &amp; utilities</t>
        </is>
      </c>
      <c r="D77" s="30" t="inlineStr">
        <is>
          <t>power generation and supply</t>
        </is>
      </c>
      <c r="E77" s="30" t="inlineStr">
        <is>
          <t>largecap</t>
        </is>
      </c>
      <c r="F77" s="30" t="n">
        <v>114506.99</v>
      </c>
      <c r="G77" s="30" t="n">
        <v>3313</v>
      </c>
      <c r="H77" s="30" t="n">
        <v>3.04</v>
      </c>
      <c r="I77" s="30" t="n">
        <v>462792</v>
      </c>
      <c r="J77" s="30" t="n"/>
    </row>
    <row r="78">
      <c r="A78" s="30" t="inlineStr">
        <is>
          <t>MAHABANK</t>
        </is>
      </c>
      <c r="B78" s="30" t="inlineStr">
        <is>
          <t>Bank Of Maharashtra Ltd</t>
        </is>
      </c>
      <c r="C78" s="30" t="inlineStr">
        <is>
          <t>bank</t>
        </is>
      </c>
      <c r="D78" s="30" t="inlineStr">
        <is>
          <t>banks - public sector</t>
        </is>
      </c>
      <c r="E78" s="30" t="inlineStr">
        <is>
          <t>largecap</t>
        </is>
      </c>
      <c r="F78" s="30" t="n">
        <v>63363.03</v>
      </c>
      <c r="G78" s="30" t="n">
        <v>84.88</v>
      </c>
      <c r="H78" s="30" t="n">
        <v>3.03</v>
      </c>
      <c r="I78" s="30" t="n">
        <v>12167444</v>
      </c>
      <c r="J78" s="30" t="inlineStr">
        <is>
          <t>532525</t>
        </is>
      </c>
    </row>
    <row r="79">
      <c r="A79" s="30" t="inlineStr">
        <is>
          <t>AYMSYNTEX</t>
        </is>
      </c>
      <c r="B79" s="30" t="inlineStr">
        <is>
          <t>Aym Syntex Limited</t>
        </is>
      </c>
      <c r="C79" s="30" t="inlineStr">
        <is>
          <t>textiles</t>
        </is>
      </c>
      <c r="D79" s="30" t="inlineStr">
        <is>
          <t>textiles - processing</t>
        </is>
      </c>
      <c r="E79" s="30" t="inlineStr">
        <is>
          <t>smallcap</t>
        </is>
      </c>
      <c r="F79" s="30" t="n">
        <v>1676.27</v>
      </c>
      <c r="G79" s="30" t="n">
        <v>293.95</v>
      </c>
      <c r="H79" s="30" t="n">
        <v>3</v>
      </c>
      <c r="I79" s="30" t="n">
        <v>65234</v>
      </c>
      <c r="J79" s="30" t="inlineStr">
        <is>
          <t>508933</t>
        </is>
      </c>
    </row>
    <row r="80">
      <c r="A80" s="30" t="inlineStr">
        <is>
          <t>JASH</t>
        </is>
      </c>
      <c r="B80" s="30" t="inlineStr">
        <is>
          <t>Jash Engineering Ltd</t>
        </is>
      </c>
      <c r="C80" s="30" t="inlineStr">
        <is>
          <t>industrials</t>
        </is>
      </c>
      <c r="D80" s="30" t="inlineStr">
        <is>
          <t>engineering</t>
        </is>
      </c>
      <c r="E80" s="30" t="inlineStr">
        <is>
          <t>smallcap</t>
        </is>
      </c>
      <c r="F80" s="30" t="n">
        <v>3647.23</v>
      </c>
      <c r="G80" s="30" t="n">
        <v>593.85</v>
      </c>
      <c r="H80" s="30" t="n">
        <v>2.89</v>
      </c>
      <c r="I80" s="30" t="n">
        <v>322251</v>
      </c>
      <c r="J80" s="30" t="inlineStr">
        <is>
          <t>535019</t>
        </is>
      </c>
    </row>
    <row r="81">
      <c r="A81" s="30" t="inlineStr">
        <is>
          <t>GALAPREC</t>
        </is>
      </c>
      <c r="B81" s="30" t="inlineStr">
        <is>
          <t>Gala Precision Engineering Ltd</t>
        </is>
      </c>
      <c r="C81" s="30" t="inlineStr">
        <is>
          <t>castings, forgings &amp; fasteners</t>
        </is>
      </c>
      <c r="D81" s="30" t="inlineStr">
        <is>
          <t>fasteners</t>
        </is>
      </c>
      <c r="E81" s="30" t="inlineStr">
        <is>
          <t>smallcap</t>
        </is>
      </c>
      <c r="F81" s="30" t="n">
        <v>1431.7</v>
      </c>
      <c r="G81" s="30" t="n">
        <v>1148.6</v>
      </c>
      <c r="H81" s="30" t="n">
        <v>2.82</v>
      </c>
      <c r="I81" s="30" t="n">
        <v>75963</v>
      </c>
      <c r="J81" s="30" t="inlineStr">
        <is>
          <t>544244</t>
        </is>
      </c>
    </row>
    <row r="82">
      <c r="A82" s="30" t="inlineStr">
        <is>
          <t>SHREEPUSHK</t>
        </is>
      </c>
      <c r="B82" s="30" t="inlineStr">
        <is>
          <t>Shree Pushkar Chemicals &amp; Fertilisers Limited</t>
        </is>
      </c>
      <c r="C82" s="30" t="inlineStr">
        <is>
          <t>chemicals</t>
        </is>
      </c>
      <c r="D82" s="30" t="inlineStr">
        <is>
          <t>dyes and pigments</t>
        </is>
      </c>
      <c r="E82" s="30" t="inlineStr">
        <is>
          <t>smallcap</t>
        </is>
      </c>
      <c r="F82" s="30" t="n">
        <v>1591.5</v>
      </c>
      <c r="G82" s="30" t="n">
        <v>506.05</v>
      </c>
      <c r="H82" s="30" t="n">
        <v>2.82</v>
      </c>
      <c r="I82" s="30" t="n">
        <v>147225</v>
      </c>
      <c r="J82" s="30" t="inlineStr">
        <is>
          <t>539334</t>
        </is>
      </c>
    </row>
    <row r="83">
      <c r="A83" s="30" t="inlineStr">
        <is>
          <t>PRECWIRE</t>
        </is>
      </c>
      <c r="B83" s="30" t="inlineStr">
        <is>
          <t>Precision Wires India Limited</t>
        </is>
      </c>
      <c r="C83" s="30" t="inlineStr">
        <is>
          <t>metals &amp; mining</t>
        </is>
      </c>
      <c r="D83" s="30" t="inlineStr">
        <is>
          <t>mining / minerals / metals</t>
        </is>
      </c>
      <c r="E83" s="30" t="inlineStr">
        <is>
          <t>midcap</t>
        </is>
      </c>
      <c r="F83" s="30" t="n">
        <v>8937.48</v>
      </c>
      <c r="G83" s="30" t="n">
        <v>502.6</v>
      </c>
      <c r="H83" s="30" t="n">
        <v>2.8</v>
      </c>
      <c r="I83" s="30" t="n">
        <v>619641</v>
      </c>
      <c r="J83" s="30" t="inlineStr">
        <is>
          <t>523539</t>
        </is>
      </c>
    </row>
    <row r="84">
      <c r="A84" s="30" t="inlineStr">
        <is>
          <t>GHCLTEXTIL</t>
        </is>
      </c>
      <c r="B84" s="30" t="inlineStr">
        <is>
          <t>GHCL Textiles Ltd</t>
        </is>
      </c>
      <c r="C84" s="30" t="inlineStr">
        <is>
          <t>textiles</t>
        </is>
      </c>
      <c r="D84" s="30" t="inlineStr">
        <is>
          <t>textiles - spinning - synthetic / blended</t>
        </is>
      </c>
      <c r="E84" s="30" t="inlineStr">
        <is>
          <t>smallcap</t>
        </is>
      </c>
      <c r="F84" s="30" t="n">
        <v>1293.66</v>
      </c>
      <c r="G84" s="30" t="n">
        <v>139.12</v>
      </c>
      <c r="H84" s="30" t="n">
        <v>2.79</v>
      </c>
      <c r="I84" s="30" t="n">
        <v>554170</v>
      </c>
      <c r="J84" s="30" t="inlineStr">
        <is>
          <t>543918</t>
        </is>
      </c>
    </row>
    <row r="85">
      <c r="A85" s="30" t="inlineStr">
        <is>
          <t>HATSUN</t>
        </is>
      </c>
      <c r="B85" s="30" t="inlineStr">
        <is>
          <t>Hatsun Agro Product Limited</t>
        </is>
      </c>
      <c r="C85" s="30" t="inlineStr">
        <is>
          <t>fmcg</t>
        </is>
      </c>
      <c r="D85" s="30" t="inlineStr">
        <is>
          <t>food - processing - indian</t>
        </is>
      </c>
      <c r="E85" s="30" t="inlineStr">
        <is>
          <t>largecap</t>
        </is>
      </c>
      <c r="F85" s="30" t="n">
        <v>25268.56</v>
      </c>
      <c r="G85" s="30" t="n">
        <v>1165.3</v>
      </c>
      <c r="H85" s="30" t="n">
        <v>2.72</v>
      </c>
      <c r="I85" s="30" t="n">
        <v>44714</v>
      </c>
      <c r="J85" s="30" t="inlineStr">
        <is>
          <t>531531</t>
        </is>
      </c>
    </row>
    <row r="86">
      <c r="A86" s="30" t="inlineStr">
        <is>
          <t>SOMANYCERA</t>
        </is>
      </c>
      <c r="B86" s="30" t="inlineStr">
        <is>
          <t>Somany Ceramics Limited</t>
        </is>
      </c>
      <c r="C86" s="30" t="inlineStr">
        <is>
          <t>building materials</t>
        </is>
      </c>
      <c r="D86" s="30" t="inlineStr">
        <is>
          <t>ceramics - tiles / sanitaryware</t>
        </is>
      </c>
      <c r="E86" s="30" t="inlineStr">
        <is>
          <t>smallcap</t>
        </is>
      </c>
      <c r="F86" s="30" t="n">
        <v>2468.36</v>
      </c>
      <c r="G86" s="30" t="n">
        <v>618.05</v>
      </c>
      <c r="H86" s="30" t="n">
        <v>2.69</v>
      </c>
      <c r="I86" s="30" t="n">
        <v>272762</v>
      </c>
      <c r="J86" s="30" t="inlineStr">
        <is>
          <t>531548</t>
        </is>
      </c>
    </row>
    <row r="87">
      <c r="A87" s="30" t="inlineStr">
        <is>
          <t>MBAPL</t>
        </is>
      </c>
      <c r="B87" s="30" t="inlineStr">
        <is>
          <t>Madhya Bharat Agro Products Ltd</t>
        </is>
      </c>
      <c r="C87" s="30" t="inlineStr">
        <is>
          <t>chemicals</t>
        </is>
      </c>
      <c r="D87" s="30" t="inlineStr">
        <is>
          <t>fertilizers</t>
        </is>
      </c>
      <c r="E87" s="30" t="inlineStr">
        <is>
          <t>smallcap</t>
        </is>
      </c>
      <c r="F87" s="30" t="n">
        <v>1437.7</v>
      </c>
      <c r="G87" s="30" t="n">
        <v>168.47</v>
      </c>
      <c r="H87" s="30" t="n">
        <v>2.68</v>
      </c>
      <c r="I87" s="30" t="n">
        <v>596290</v>
      </c>
      <c r="J87" s="30" t="inlineStr">
        <is>
          <t>538370</t>
        </is>
      </c>
    </row>
    <row r="88">
      <c r="A88" s="30" t="inlineStr">
        <is>
          <t>BANDHANBNK</t>
        </is>
      </c>
      <c r="B88" s="30" t="inlineStr">
        <is>
          <t>Bandhan Bank Ltd</t>
        </is>
      </c>
      <c r="C88" s="30" t="inlineStr">
        <is>
          <t>bank</t>
        </is>
      </c>
      <c r="D88" s="30" t="inlineStr">
        <is>
          <t>banks - private sector</t>
        </is>
      </c>
      <c r="E88" s="30" t="inlineStr">
        <is>
          <t>largecap</t>
        </is>
      </c>
      <c r="F88" s="30" t="n">
        <v>29466.62</v>
      </c>
      <c r="G88" s="30" t="n">
        <v>187.7</v>
      </c>
      <c r="H88" s="30" t="n">
        <v>2.62</v>
      </c>
      <c r="I88" s="30" t="n">
        <v>10120013</v>
      </c>
      <c r="J88" s="30" t="inlineStr">
        <is>
          <t>541153</t>
        </is>
      </c>
    </row>
    <row r="89">
      <c r="A89" s="30" t="inlineStr">
        <is>
          <t>BLISSGVS</t>
        </is>
      </c>
      <c r="B89" s="30" t="inlineStr">
        <is>
          <t>Bliss Gvs Pharma Limited</t>
        </is>
      </c>
      <c r="C89" s="30" t="inlineStr">
        <is>
          <t>healthcare</t>
        </is>
      </c>
      <c r="D89" s="30" t="inlineStr">
        <is>
          <t>pharmaceuticals - indian - formulations</t>
        </is>
      </c>
      <c r="E89" s="30" t="inlineStr">
        <is>
          <t>midcap</t>
        </is>
      </c>
      <c r="F89" s="30" t="n">
        <v>7286.59</v>
      </c>
      <c r="G89" s="30" t="n">
        <v>704.7</v>
      </c>
      <c r="H89" s="30" t="n">
        <v>2.57</v>
      </c>
      <c r="I89" s="30" t="n">
        <v>433524</v>
      </c>
      <c r="J89" s="30" t="inlineStr">
        <is>
          <t>506197</t>
        </is>
      </c>
    </row>
    <row r="90">
      <c r="A90" s="30" t="inlineStr">
        <is>
          <t>NEOGEN</t>
        </is>
      </c>
      <c r="B90" s="30" t="inlineStr">
        <is>
          <t>Neogen Chemicals Ltd</t>
        </is>
      </c>
      <c r="C90" s="30" t="inlineStr">
        <is>
          <t>chemicals</t>
        </is>
      </c>
      <c r="D90" s="30" t="inlineStr">
        <is>
          <t>chemicals</t>
        </is>
      </c>
      <c r="E90" s="30" t="inlineStr">
        <is>
          <t>midcap</t>
        </is>
      </c>
      <c r="F90" s="30" t="n">
        <v>6988.17</v>
      </c>
      <c r="G90" s="30" t="n">
        <v>2385.2</v>
      </c>
      <c r="H90" s="30" t="n">
        <v>2.54</v>
      </c>
      <c r="I90" s="30" t="n">
        <v>163069</v>
      </c>
      <c r="J90" s="30" t="inlineStr">
        <is>
          <t>542665</t>
        </is>
      </c>
    </row>
    <row r="91">
      <c r="A91" s="30" t="inlineStr">
        <is>
          <t>INDIQUBE</t>
        </is>
      </c>
      <c r="B91" s="30" t="inlineStr">
        <is>
          <t>Indiqube Spaces Ltd</t>
        </is>
      </c>
      <c r="C91" s="30" t="inlineStr">
        <is>
          <t>co-working</t>
        </is>
      </c>
      <c r="D91" s="30" t="inlineStr">
        <is>
          <t>miscellaneous</t>
        </is>
      </c>
      <c r="E91" s="30" t="inlineStr">
        <is>
          <t>smallcap</t>
        </is>
      </c>
      <c r="F91" s="30" t="n">
        <v>4114.03</v>
      </c>
      <c r="G91" s="30" t="n">
        <v>198.94</v>
      </c>
      <c r="H91" s="30" t="n">
        <v>2.51</v>
      </c>
      <c r="I91" s="30" t="n">
        <v>42054</v>
      </c>
      <c r="J91" s="30" t="inlineStr">
        <is>
          <t>544454</t>
        </is>
      </c>
    </row>
    <row r="92">
      <c r="A92" s="30" t="inlineStr">
        <is>
          <t>INDGN</t>
        </is>
      </c>
      <c r="B92" s="30" t="inlineStr">
        <is>
          <t>Indegene Ltd</t>
        </is>
      </c>
      <c r="C92" s="30" t="inlineStr">
        <is>
          <t>healthcare</t>
        </is>
      </c>
      <c r="D92" s="30" t="inlineStr">
        <is>
          <t>miscellaneous</t>
        </is>
      </c>
      <c r="E92" s="30" t="inlineStr">
        <is>
          <t>midcap</t>
        </is>
      </c>
      <c r="F92" s="30" t="n">
        <v>14315.1</v>
      </c>
      <c r="G92" s="30" t="n">
        <v>608.95</v>
      </c>
      <c r="H92" s="30" t="n">
        <v>2.5</v>
      </c>
      <c r="I92" s="30" t="n">
        <v>2095862</v>
      </c>
      <c r="J92" s="30" t="inlineStr">
        <is>
          <t>544172</t>
        </is>
      </c>
    </row>
    <row r="93">
      <c r="A93" s="30" t="inlineStr">
        <is>
          <t>SUPRIYA</t>
        </is>
      </c>
      <c r="B93" s="30" t="inlineStr">
        <is>
          <t>Supriya Lifescience Ltd</t>
        </is>
      </c>
      <c r="C93" s="30" t="inlineStr">
        <is>
          <t>healthcare</t>
        </is>
      </c>
      <c r="D93" s="30" t="inlineStr">
        <is>
          <t>pharmaceuticals - indian - bulk drugs &amp; formln</t>
        </is>
      </c>
      <c r="E93" s="30" t="inlineStr">
        <is>
          <t>midcap</t>
        </is>
      </c>
      <c r="F93" s="30" t="n">
        <v>7740.43</v>
      </c>
      <c r="G93" s="30" t="n">
        <v>985.2</v>
      </c>
      <c r="H93" s="30" t="n">
        <v>2.44</v>
      </c>
      <c r="I93" s="30" t="n">
        <v>326713</v>
      </c>
      <c r="J93" s="30" t="inlineStr">
        <is>
          <t>543434</t>
        </is>
      </c>
    </row>
    <row r="94">
      <c r="A94" s="30" t="inlineStr">
        <is>
          <t>CONFIPET</t>
        </is>
      </c>
      <c r="B94" s="30" t="inlineStr">
        <is>
          <t>Confidence Petroleum India Ltd</t>
        </is>
      </c>
      <c r="C94" s="30" t="inlineStr">
        <is>
          <t>miscellaneous</t>
        </is>
      </c>
      <c r="D94" s="30" t="inlineStr">
        <is>
          <t>miscellaneous</t>
        </is>
      </c>
      <c r="E94" s="30" t="inlineStr">
        <is>
          <t>smallcap</t>
        </is>
      </c>
      <c r="F94" s="30" t="n">
        <v>2866.91</v>
      </c>
      <c r="G94" s="30" t="n">
        <v>88.28</v>
      </c>
      <c r="H94" s="30" t="n">
        <v>2.31</v>
      </c>
      <c r="I94" s="30" t="n">
        <v>1380621</v>
      </c>
      <c r="J94" s="30" t="inlineStr">
        <is>
          <t>526829</t>
        </is>
      </c>
    </row>
    <row r="95">
      <c r="A95" s="30" t="inlineStr">
        <is>
          <t>JUBLCPL</t>
        </is>
      </c>
      <c r="B95" s="30" t="inlineStr">
        <is>
          <t>Jubilant Agri &amp; Consumer Products Ltd</t>
        </is>
      </c>
      <c r="C95" s="30" t="inlineStr">
        <is>
          <t>chemicals</t>
        </is>
      </c>
      <c r="D95" s="30" t="inlineStr">
        <is>
          <t>chemicals</t>
        </is>
      </c>
      <c r="E95" s="30" t="inlineStr">
        <is>
          <t>smallcap</t>
        </is>
      </c>
      <c r="F95" s="30" t="n">
        <v>3273.39</v>
      </c>
      <c r="G95" s="30" t="n">
        <v>2210.1</v>
      </c>
      <c r="H95" s="30" t="n">
        <v>2.31</v>
      </c>
      <c r="I95" s="30" t="n">
        <v>4393</v>
      </c>
      <c r="J95" s="30" t="inlineStr">
        <is>
          <t>544355</t>
        </is>
      </c>
    </row>
    <row r="96">
      <c r="A96" s="30" t="inlineStr">
        <is>
          <t>MGEL</t>
        </is>
      </c>
      <c r="B96" s="30" t="inlineStr">
        <is>
          <t>Mangalam Global Enterprise Ltd</t>
        </is>
      </c>
      <c r="C96" s="30" t="inlineStr">
        <is>
          <t>services</t>
        </is>
      </c>
      <c r="D96" s="30" t="inlineStr">
        <is>
          <t>trading</t>
        </is>
      </c>
      <c r="E96" s="30" t="inlineStr">
        <is>
          <t>smallcap</t>
        </is>
      </c>
      <c r="F96" s="30" t="n">
        <v>515.1</v>
      </c>
      <c r="G96" s="30" t="n">
        <v>15.99</v>
      </c>
      <c r="H96" s="30" t="n">
        <v>2.3</v>
      </c>
      <c r="I96" s="30" t="n">
        <v>3205087</v>
      </c>
      <c r="J96" s="30" t="inlineStr">
        <is>
          <t>535349</t>
        </is>
      </c>
    </row>
    <row r="97">
      <c r="A97" s="30" t="inlineStr">
        <is>
          <t>PRABHA</t>
        </is>
      </c>
      <c r="B97" s="30" t="inlineStr">
        <is>
          <t>Prabha Energy Ltd</t>
        </is>
      </c>
      <c r="C97" s="30" t="inlineStr">
        <is>
          <t>energy</t>
        </is>
      </c>
      <c r="D97" s="30" t="inlineStr">
        <is>
          <t>oil drilling / allied services</t>
        </is>
      </c>
      <c r="E97" s="30" t="inlineStr">
        <is>
          <t>smallcap</t>
        </is>
      </c>
      <c r="F97" s="30" t="n">
        <v>3309.03</v>
      </c>
      <c r="G97" s="30" t="n">
        <v>230.87</v>
      </c>
      <c r="H97" s="30" t="n">
        <v>2.26</v>
      </c>
      <c r="I97" s="30" t="n">
        <v>161400</v>
      </c>
      <c r="J97" s="30" t="inlineStr">
        <is>
          <t>544379</t>
        </is>
      </c>
    </row>
    <row r="98">
      <c r="A98" s="30" t="inlineStr">
        <is>
          <t>JSWDULUX</t>
        </is>
      </c>
      <c r="B98" s="30" t="inlineStr">
        <is>
          <t>JSW Dulux Ltd</t>
        </is>
      </c>
      <c r="C98" s="30" t="inlineStr">
        <is>
          <t>building materials</t>
        </is>
      </c>
      <c r="D98" s="30" t="inlineStr">
        <is>
          <t>paints / varnishes</t>
        </is>
      </c>
      <c r="E98" s="30" t="inlineStr">
        <is>
          <t>midcap</t>
        </is>
      </c>
      <c r="F98" s="30" t="n">
        <v>14264.59</v>
      </c>
      <c r="G98" s="30" t="n">
        <v>3199.6</v>
      </c>
      <c r="H98" s="30" t="n">
        <v>2.15</v>
      </c>
      <c r="I98" s="30" t="n">
        <v>52257</v>
      </c>
      <c r="J98" s="30" t="inlineStr">
        <is>
          <t>500710</t>
        </is>
      </c>
    </row>
    <row r="99">
      <c r="A99" s="30" t="inlineStr">
        <is>
          <t>SANGHVIMOV</t>
        </is>
      </c>
      <c r="B99" s="30" t="inlineStr">
        <is>
          <t>Sanghvi Movers Limited</t>
        </is>
      </c>
      <c r="C99" s="30" t="inlineStr">
        <is>
          <t>miscellaneous</t>
        </is>
      </c>
      <c r="D99" s="30" t="inlineStr">
        <is>
          <t>miscellaneous</t>
        </is>
      </c>
      <c r="E99" s="30" t="inlineStr">
        <is>
          <t>smallcap</t>
        </is>
      </c>
      <c r="F99" s="30" t="n">
        <v>3865.19</v>
      </c>
      <c r="G99" s="30" t="n">
        <v>456</v>
      </c>
      <c r="H99" s="30" t="n">
        <v>2.14</v>
      </c>
      <c r="I99" s="30" t="n">
        <v>269827</v>
      </c>
      <c r="J99" s="30" t="inlineStr">
        <is>
          <t>530073</t>
        </is>
      </c>
    </row>
    <row r="100">
      <c r="A100" s="30" t="inlineStr">
        <is>
          <t>ORIENTCER</t>
        </is>
      </c>
      <c r="B100" s="30" t="inlineStr">
        <is>
          <t>Orient Ceratech Ltd</t>
        </is>
      </c>
      <c r="C100" s="30" t="inlineStr">
        <is>
          <t>building materials</t>
        </is>
      </c>
      <c r="D100" s="30" t="inlineStr">
        <is>
          <t>refractories / intermediates</t>
        </is>
      </c>
      <c r="E100" s="30" t="inlineStr">
        <is>
          <t>smallcap</t>
        </is>
      </c>
      <c r="F100" s="30" t="n">
        <v>560.27</v>
      </c>
      <c r="G100" s="30" t="n">
        <v>47.8</v>
      </c>
      <c r="H100" s="30" t="n">
        <v>2.07</v>
      </c>
      <c r="I100" s="30" t="n">
        <v>31332</v>
      </c>
      <c r="J100" s="30" t="inlineStr">
        <is>
          <t>504879</t>
        </is>
      </c>
    </row>
    <row r="101">
      <c r="A101" s="30" t="inlineStr">
        <is>
          <t>CYIENTDLM</t>
        </is>
      </c>
      <c r="B101" s="30" t="inlineStr">
        <is>
          <t>Cyient DLM Ltd</t>
        </is>
      </c>
      <c r="C101" s="30" t="inlineStr">
        <is>
          <t>aerospace &amp; defence</t>
        </is>
      </c>
      <c r="D101" s="30" t="inlineStr">
        <is>
          <t>electronics - components</t>
        </is>
      </c>
      <c r="E101" s="30" t="inlineStr">
        <is>
          <t>midcap</t>
        </is>
      </c>
      <c r="F101" s="30" t="n">
        <v>7245.32</v>
      </c>
      <c r="G101" s="30" t="n">
        <v>931.4</v>
      </c>
      <c r="H101" s="30" t="n">
        <v>2.05</v>
      </c>
      <c r="I101" s="30" t="n">
        <v>261221</v>
      </c>
      <c r="J101" s="30" t="inlineStr">
        <is>
          <t>543933</t>
        </is>
      </c>
    </row>
    <row r="102">
      <c r="A102" s="30" t="inlineStr">
        <is>
          <t>GMMPFAUDLR</t>
        </is>
      </c>
      <c r="B102" s="30" t="inlineStr">
        <is>
          <t>GMM Pfaudler Ltd</t>
        </is>
      </c>
      <c r="C102" s="30" t="inlineStr">
        <is>
          <t>industrials</t>
        </is>
      </c>
      <c r="D102" s="30" t="inlineStr">
        <is>
          <t>engineering</t>
        </is>
      </c>
      <c r="E102" s="30" t="inlineStr">
        <is>
          <t>midcap</t>
        </is>
      </c>
      <c r="F102" s="30" t="n">
        <v>6632.99</v>
      </c>
      <c r="G102" s="30" t="n">
        <v>1505.2</v>
      </c>
      <c r="H102" s="30" t="n">
        <v>2.02</v>
      </c>
      <c r="I102" s="30" t="n">
        <v>220062</v>
      </c>
      <c r="J102" s="30" t="inlineStr">
        <is>
          <t>505255</t>
        </is>
      </c>
    </row>
    <row r="103">
      <c r="A103" s="30" t="inlineStr">
        <is>
          <t>BAFNAPH</t>
        </is>
      </c>
      <c r="B103" s="30" t="inlineStr">
        <is>
          <t>Bafna Pharmaceuticals Ltd</t>
        </is>
      </c>
      <c r="C103" s="30" t="inlineStr">
        <is>
          <t>healthcare</t>
        </is>
      </c>
      <c r="D103" s="30" t="inlineStr">
        <is>
          <t>pharmaceuticals - indian - formulations</t>
        </is>
      </c>
      <c r="E103" s="30" t="inlineStr">
        <is>
          <t>smallcap</t>
        </is>
      </c>
      <c r="F103" s="30" t="n">
        <v>811.89</v>
      </c>
      <c r="G103" s="30" t="n">
        <v>350.05</v>
      </c>
      <c r="H103" s="30" t="n">
        <v>2</v>
      </c>
      <c r="I103" s="30" t="n">
        <v>2166</v>
      </c>
      <c r="J103" s="30" t="inlineStr">
        <is>
          <t>532989</t>
        </is>
      </c>
    </row>
    <row r="104">
      <c r="A104" s="30" t="inlineStr">
        <is>
          <t>ZYDUSLIFE</t>
        </is>
      </c>
      <c r="B104" s="30" t="inlineStr">
        <is>
          <t>Zydus Lifesciences Ltd</t>
        </is>
      </c>
      <c r="C104" s="30" t="inlineStr">
        <is>
          <t>healthcare</t>
        </is>
      </c>
      <c r="D104" s="30" t="inlineStr">
        <is>
          <t>pharmaceuticals - indian - bulk drugs &amp; formln</t>
        </is>
      </c>
      <c r="E104" s="30" t="inlineStr">
        <is>
          <t>largecap</t>
        </is>
      </c>
      <c r="F104" s="30" t="n">
        <v>117735.38</v>
      </c>
      <c r="G104" s="30" t="n">
        <v>1203.9</v>
      </c>
      <c r="H104" s="30" t="n">
        <v>2</v>
      </c>
      <c r="I104" s="30" t="n">
        <v>1991779</v>
      </c>
      <c r="J104" s="30" t="inlineStr">
        <is>
          <t>532321</t>
        </is>
      </c>
    </row>
    <row r="105">
      <c r="A105" s="30" t="inlineStr">
        <is>
          <t>MBECL</t>
        </is>
      </c>
      <c r="B105" s="30" t="inlineStr">
        <is>
          <t>Mcnally Bharat Engineering Company Limited</t>
        </is>
      </c>
      <c r="C105" s="30" t="inlineStr">
        <is>
          <t>realty</t>
        </is>
      </c>
      <c r="D105" s="30" t="inlineStr">
        <is>
          <t>engineering - turnkey services</t>
        </is>
      </c>
      <c r="E105" s="30" t="inlineStr">
        <is>
          <t>smallcap</t>
        </is>
      </c>
      <c r="F105" s="30" t="n">
        <v>1491.53</v>
      </c>
      <c r="G105" s="30" t="n">
        <v>456.4</v>
      </c>
      <c r="H105" s="30" t="n">
        <v>2</v>
      </c>
      <c r="I105" s="30" t="n">
        <v>6303</v>
      </c>
      <c r="J105" s="30" t="inlineStr">
        <is>
          <t>532629</t>
        </is>
      </c>
    </row>
    <row r="106">
      <c r="A106" s="30" t="inlineStr">
        <is>
          <t>SYRMA</t>
        </is>
      </c>
      <c r="B106" s="30" t="inlineStr">
        <is>
          <t>Syrma SGS Technology Ltd</t>
        </is>
      </c>
      <c r="C106" s="30" t="inlineStr">
        <is>
          <t>consumer discretionary</t>
        </is>
      </c>
      <c r="D106" s="30" t="inlineStr">
        <is>
          <t>electronics - components</t>
        </is>
      </c>
      <c r="E106" s="30" t="inlineStr">
        <is>
          <t>largecap</t>
        </is>
      </c>
      <c r="F106" s="30" t="n">
        <v>32754.19</v>
      </c>
      <c r="G106" s="30" t="n">
        <v>1732.6</v>
      </c>
      <c r="H106" s="30" t="n">
        <v>2</v>
      </c>
      <c r="I106" s="30" t="n">
        <v>1026235</v>
      </c>
      <c r="J106" s="30" t="inlineStr">
        <is>
          <t>543573</t>
        </is>
      </c>
    </row>
    <row r="107">
      <c r="A107" s="30" t="inlineStr">
        <is>
          <t>MOTHERSON</t>
        </is>
      </c>
      <c r="B107" s="30" t="inlineStr">
        <is>
          <t>Samvardhana Motherson International Ltd</t>
        </is>
      </c>
      <c r="C107" s="30" t="inlineStr">
        <is>
          <t>auto</t>
        </is>
      </c>
      <c r="D107" s="30" t="inlineStr">
        <is>
          <t>auto ancillaries</t>
        </is>
      </c>
      <c r="E107" s="30" t="inlineStr">
        <is>
          <t>largecap</t>
        </is>
      </c>
      <c r="F107" s="30" t="n">
        <v>171509.69</v>
      </c>
      <c r="G107" s="30" t="n">
        <v>165.71</v>
      </c>
      <c r="H107" s="30" t="n">
        <v>1.98</v>
      </c>
      <c r="I107" s="30" t="n">
        <v>14239797</v>
      </c>
      <c r="J107" s="30" t="inlineStr">
        <is>
          <t>517334</t>
        </is>
      </c>
    </row>
    <row r="108">
      <c r="A108" s="30" t="inlineStr">
        <is>
          <t>DEEPINDS</t>
        </is>
      </c>
      <c r="B108" s="30" t="inlineStr">
        <is>
          <t>Deep Industries Ltd</t>
        </is>
      </c>
      <c r="C108" s="30" t="inlineStr">
        <is>
          <t>energy</t>
        </is>
      </c>
      <c r="D108" s="30" t="inlineStr">
        <is>
          <t>oil drilling / allied services</t>
        </is>
      </c>
      <c r="E108" s="30" t="inlineStr">
        <is>
          <t>smallcap</t>
        </is>
      </c>
      <c r="F108" s="30" t="n">
        <v>4902.4</v>
      </c>
      <c r="G108" s="30" t="n">
        <v>781.1</v>
      </c>
      <c r="H108" s="30" t="n">
        <v>1.97</v>
      </c>
      <c r="I108" s="30" t="n">
        <v>339780</v>
      </c>
      <c r="J108" s="30" t="inlineStr">
        <is>
          <t>543288</t>
        </is>
      </c>
    </row>
    <row r="109">
      <c r="A109" s="30" t="inlineStr">
        <is>
          <t>PANACHE</t>
        </is>
      </c>
      <c r="B109" s="30" t="inlineStr">
        <is>
          <t>Panache Digilife Ltd</t>
        </is>
      </c>
      <c r="C109" s="30" t="inlineStr">
        <is>
          <t>i.t</t>
        </is>
      </c>
      <c r="D109" s="30" t="inlineStr">
        <is>
          <t>computers - hardware</t>
        </is>
      </c>
      <c r="E109" s="30" t="inlineStr">
        <is>
          <t>smallcap</t>
        </is>
      </c>
      <c r="F109" s="30" t="n">
        <v>824.5599999999999</v>
      </c>
      <c r="G109" s="30" t="n">
        <v>525</v>
      </c>
      <c r="H109" s="30" t="n">
        <v>1.96</v>
      </c>
      <c r="I109" s="30" t="n">
        <v>2113</v>
      </c>
      <c r="J109" s="30" t="inlineStr">
        <is>
          <t>538424</t>
        </is>
      </c>
    </row>
    <row r="110">
      <c r="A110" s="30" t="inlineStr">
        <is>
          <t>DLF</t>
        </is>
      </c>
      <c r="B110" s="30" t="inlineStr">
        <is>
          <t>Dlf Limited</t>
        </is>
      </c>
      <c r="C110" s="30" t="inlineStr">
        <is>
          <t>realty</t>
        </is>
      </c>
      <c r="D110" s="30" t="inlineStr">
        <is>
          <t>construction</t>
        </is>
      </c>
      <c r="E110" s="30" t="inlineStr">
        <is>
          <t>largecap</t>
        </is>
      </c>
      <c r="F110" s="30" t="n">
        <v>165944.9</v>
      </c>
      <c r="G110" s="30" t="n">
        <v>683</v>
      </c>
      <c r="H110" s="30" t="n">
        <v>1.88</v>
      </c>
      <c r="I110" s="30" t="n">
        <v>3573018</v>
      </c>
      <c r="J110" s="30" t="inlineStr">
        <is>
          <t>532868</t>
        </is>
      </c>
    </row>
    <row r="111">
      <c r="A111" s="30" t="inlineStr">
        <is>
          <t>TREL</t>
        </is>
      </c>
      <c r="B111" s="30" t="inlineStr">
        <is>
          <t>TransIndia Real Estate Ltd</t>
        </is>
      </c>
      <c r="C111" s="30" t="inlineStr">
        <is>
          <t>transportation</t>
        </is>
      </c>
      <c r="D111" s="30" t="inlineStr">
        <is>
          <t>miscellaneous</t>
        </is>
      </c>
      <c r="E111" s="30" t="inlineStr">
        <is>
          <t>smallcap</t>
        </is>
      </c>
      <c r="F111" s="30" t="n">
        <v>683.03</v>
      </c>
      <c r="G111" s="30" t="n">
        <v>28.32</v>
      </c>
      <c r="H111" s="30" t="n">
        <v>1.87</v>
      </c>
      <c r="I111" s="30" t="n">
        <v>116098</v>
      </c>
      <c r="J111" s="30" t="inlineStr">
        <is>
          <t>543955</t>
        </is>
      </c>
    </row>
    <row r="112">
      <c r="A112" s="30" t="inlineStr">
        <is>
          <t>BELRISE</t>
        </is>
      </c>
      <c r="B112" s="30" t="inlineStr">
        <is>
          <t>Belrise Industries Ltd</t>
        </is>
      </c>
      <c r="C112" s="30" t="inlineStr">
        <is>
          <t>auto</t>
        </is>
      </c>
      <c r="D112" s="30" t="inlineStr">
        <is>
          <t>auto ancillaries</t>
        </is>
      </c>
      <c r="E112" s="30" t="inlineStr">
        <is>
          <t>largecap</t>
        </is>
      </c>
      <c r="F112" s="30" t="n">
        <v>23562.72</v>
      </c>
      <c r="G112" s="30" t="n">
        <v>247.92</v>
      </c>
      <c r="H112" s="30" t="n">
        <v>1.76</v>
      </c>
      <c r="I112" s="30" t="n">
        <v>3073786</v>
      </c>
      <c r="J112" s="30" t="n"/>
    </row>
    <row r="113">
      <c r="A113" s="30" t="inlineStr">
        <is>
          <t>WELINV</t>
        </is>
      </c>
      <c r="B113" s="30" t="inlineStr">
        <is>
          <t>Welspun Investments And Commercials Limited</t>
        </is>
      </c>
      <c r="C113" s="30" t="inlineStr">
        <is>
          <t>financials</t>
        </is>
      </c>
      <c r="D113" s="30" t="inlineStr">
        <is>
          <t>finance &amp; investments</t>
        </is>
      </c>
      <c r="E113" s="30" t="inlineStr">
        <is>
          <t>smallcap</t>
        </is>
      </c>
      <c r="F113" s="30" t="n">
        <v>897.9</v>
      </c>
      <c r="G113" s="30" t="n">
        <v>2499.9</v>
      </c>
      <c r="H113" s="30" t="n">
        <v>1.75</v>
      </c>
      <c r="I113" s="30" t="n">
        <v>20</v>
      </c>
      <c r="J113" s="30" t="inlineStr">
        <is>
          <t>533252</t>
        </is>
      </c>
    </row>
    <row r="114">
      <c r="A114" s="30" t="inlineStr">
        <is>
          <t>SVLL</t>
        </is>
      </c>
      <c r="B114" s="30" t="inlineStr">
        <is>
          <t>Shree Vasu Logistics Ltd</t>
        </is>
      </c>
      <c r="C114" s="30" t="inlineStr">
        <is>
          <t>transportation</t>
        </is>
      </c>
      <c r="D114" s="30" t="inlineStr">
        <is>
          <t>miscellaneous</t>
        </is>
      </c>
      <c r="E114" s="30" t="inlineStr">
        <is>
          <t>smallcap</t>
        </is>
      </c>
      <c r="F114" s="30" t="n">
        <v>942.9400000000001</v>
      </c>
      <c r="G114" s="30" t="n">
        <v>834.7</v>
      </c>
      <c r="H114" s="30" t="n">
        <v>1.74</v>
      </c>
      <c r="I114" s="30" t="n">
        <v>61467</v>
      </c>
      <c r="J114" s="30" t="inlineStr">
        <is>
          <t>535084</t>
        </is>
      </c>
    </row>
    <row r="115">
      <c r="A115" s="30" t="inlineStr">
        <is>
          <t>20MICRONS</t>
        </is>
      </c>
      <c r="B115" s="30" t="inlineStr">
        <is>
          <t>20 Microns Limited</t>
        </is>
      </c>
      <c r="C115" s="30" t="inlineStr">
        <is>
          <t>metals &amp; mining</t>
        </is>
      </c>
      <c r="D115" s="30" t="inlineStr">
        <is>
          <t>mining / minerals / metals</t>
        </is>
      </c>
      <c r="E115" s="30" t="inlineStr">
        <is>
          <t>smallcap</t>
        </is>
      </c>
      <c r="F115" s="30" t="n">
        <v>754.67</v>
      </c>
      <c r="G115" s="30" t="n">
        <v>217.58</v>
      </c>
      <c r="H115" s="30" t="n">
        <v>1.73</v>
      </c>
      <c r="I115" s="30" t="n">
        <v>101345</v>
      </c>
      <c r="J115" s="30" t="inlineStr">
        <is>
          <t>533022</t>
        </is>
      </c>
    </row>
    <row r="116">
      <c r="A116" s="30" t="inlineStr">
        <is>
          <t>MANALIPETC</t>
        </is>
      </c>
      <c r="B116" s="30" t="inlineStr">
        <is>
          <t>Manali Petrochemicals Limited</t>
        </is>
      </c>
      <c r="C116" s="30" t="inlineStr">
        <is>
          <t>energy</t>
        </is>
      </c>
      <c r="D116" s="30" t="inlineStr">
        <is>
          <t>petrochemicals</t>
        </is>
      </c>
      <c r="E116" s="30" t="inlineStr">
        <is>
          <t>smallcap</t>
        </is>
      </c>
      <c r="F116" s="30" t="n">
        <v>1432.41</v>
      </c>
      <c r="G116" s="30" t="n">
        <v>84.65000000000001</v>
      </c>
      <c r="H116" s="30" t="n">
        <v>1.65</v>
      </c>
      <c r="I116" s="30" t="n">
        <v>1065632</v>
      </c>
      <c r="J116" s="30" t="inlineStr">
        <is>
          <t>500268</t>
        </is>
      </c>
    </row>
    <row r="117">
      <c r="A117" s="30" t="inlineStr">
        <is>
          <t>STLTECH</t>
        </is>
      </c>
      <c r="B117" s="30" t="inlineStr">
        <is>
          <t>Sterlite Technologies Limited</t>
        </is>
      </c>
      <c r="C117" s="30" t="inlineStr">
        <is>
          <t>industrials</t>
        </is>
      </c>
      <c r="D117" s="30" t="inlineStr">
        <is>
          <t>cables - telephone</t>
        </is>
      </c>
      <c r="E117" s="30" t="inlineStr">
        <is>
          <t>largecap</t>
        </is>
      </c>
      <c r="F117" s="30" t="n">
        <v>42332.19</v>
      </c>
      <c r="G117" s="30" t="n">
        <v>837.2</v>
      </c>
      <c r="H117" s="30" t="n">
        <v>1.63</v>
      </c>
      <c r="I117" s="30" t="n">
        <v>807308</v>
      </c>
      <c r="J117" s="30" t="inlineStr">
        <is>
          <t>532374</t>
        </is>
      </c>
    </row>
    <row r="118">
      <c r="A118" s="30" t="inlineStr">
        <is>
          <t>VADILALIND</t>
        </is>
      </c>
      <c r="B118" s="30" t="inlineStr">
        <is>
          <t>Vadilal Industries Limited</t>
        </is>
      </c>
      <c r="C118" s="30" t="inlineStr">
        <is>
          <t>fmcg</t>
        </is>
      </c>
      <c r="D118" s="30" t="inlineStr">
        <is>
          <t>food - processing - indian</t>
        </is>
      </c>
      <c r="E118" s="30" t="inlineStr">
        <is>
          <t>midcap</t>
        </is>
      </c>
      <c r="F118" s="30" t="n">
        <v>5328.7</v>
      </c>
      <c r="G118" s="30" t="n">
        <v>7534.5</v>
      </c>
      <c r="H118" s="30" t="n">
        <v>1.63</v>
      </c>
      <c r="I118" s="30" t="n">
        <v>6174</v>
      </c>
      <c r="J118" s="30" t="inlineStr">
        <is>
          <t>519156</t>
        </is>
      </c>
    </row>
    <row r="119">
      <c r="A119" s="30" t="inlineStr">
        <is>
          <t>SOLARA</t>
        </is>
      </c>
      <c r="B119" s="30" t="inlineStr">
        <is>
          <t>Solara Active Pharma Sciences Ltd</t>
        </is>
      </c>
      <c r="C119" s="30" t="inlineStr">
        <is>
          <t>healthcare</t>
        </is>
      </c>
      <c r="D119" s="30" t="inlineStr">
        <is>
          <t>pharmaceuticals - indian - bulk drugs &amp; formln</t>
        </is>
      </c>
      <c r="E119" s="30" t="inlineStr">
        <is>
          <t>smallcap</t>
        </is>
      </c>
      <c r="F119" s="30" t="n">
        <v>3509.17</v>
      </c>
      <c r="G119" s="30" t="n">
        <v>739.15</v>
      </c>
      <c r="H119" s="30" t="n">
        <v>1.62</v>
      </c>
      <c r="I119" s="30" t="n">
        <v>287888</v>
      </c>
      <c r="J119" s="30" t="inlineStr">
        <is>
          <t>541540</t>
        </is>
      </c>
    </row>
    <row r="120">
      <c r="A120" s="30" t="inlineStr">
        <is>
          <t>APLLTD</t>
        </is>
      </c>
      <c r="B120" s="30" t="inlineStr">
        <is>
          <t>Alembic Pharmaceuticals Limited</t>
        </is>
      </c>
      <c r="C120" s="30" t="inlineStr">
        <is>
          <t>healthcare</t>
        </is>
      </c>
      <c r="D120" s="30" t="inlineStr">
        <is>
          <t>pharmaceuticals - indian - bulk drugs &amp; formln</t>
        </is>
      </c>
      <c r="E120" s="30" t="inlineStr">
        <is>
          <t>midcap</t>
        </is>
      </c>
      <c r="F120" s="30" t="n">
        <v>16707.87</v>
      </c>
      <c r="G120" s="30" t="n">
        <v>863.75</v>
      </c>
      <c r="H120" s="30" t="n">
        <v>1.62</v>
      </c>
      <c r="I120" s="30" t="n">
        <v>309225</v>
      </c>
      <c r="J120" s="30" t="inlineStr">
        <is>
          <t>533573</t>
        </is>
      </c>
    </row>
    <row r="121">
      <c r="A121" s="30" t="inlineStr">
        <is>
          <t>ADOR</t>
        </is>
      </c>
      <c r="B121" s="30" t="inlineStr">
        <is>
          <t>Ador Welding Ltd</t>
        </is>
      </c>
      <c r="C121" s="30" t="inlineStr">
        <is>
          <t>industrials</t>
        </is>
      </c>
      <c r="D121" s="30" t="inlineStr">
        <is>
          <t>electrodes - welding equipment</t>
        </is>
      </c>
      <c r="E121" s="30" t="inlineStr">
        <is>
          <t>smallcap</t>
        </is>
      </c>
      <c r="F121" s="30" t="n">
        <v>2806.9</v>
      </c>
      <c r="G121" s="30" t="n">
        <v>1638.9</v>
      </c>
      <c r="H121" s="30" t="n">
        <v>1.61</v>
      </c>
      <c r="I121" s="30" t="n">
        <v>39147</v>
      </c>
      <c r="J121" s="30" t="inlineStr">
        <is>
          <t>517041</t>
        </is>
      </c>
    </row>
    <row r="122">
      <c r="A122" s="30" t="inlineStr">
        <is>
          <t>VSSL</t>
        </is>
      </c>
      <c r="B122" s="30" t="inlineStr">
        <is>
          <t>Vardhman Special Steels Limited</t>
        </is>
      </c>
      <c r="C122" s="30" t="inlineStr">
        <is>
          <t>metals &amp; mining</t>
        </is>
      </c>
      <c r="D122" s="30" t="inlineStr">
        <is>
          <t>steel - medium / small</t>
        </is>
      </c>
      <c r="E122" s="30" t="inlineStr">
        <is>
          <t>smallcap</t>
        </is>
      </c>
      <c r="F122" s="30" t="n">
        <v>3915.77</v>
      </c>
      <c r="G122" s="30" t="n">
        <v>411.5</v>
      </c>
      <c r="H122" s="30" t="n">
        <v>1.6</v>
      </c>
      <c r="I122" s="30" t="n">
        <v>78218</v>
      </c>
      <c r="J122" s="30" t="inlineStr">
        <is>
          <t>534392</t>
        </is>
      </c>
    </row>
    <row r="123">
      <c r="A123" s="30" t="inlineStr">
        <is>
          <t>PRIVISCL</t>
        </is>
      </c>
      <c r="B123" s="30" t="inlineStr">
        <is>
          <t>Privi Speciality Chemicals Ltd</t>
        </is>
      </c>
      <c r="C123" s="30" t="inlineStr">
        <is>
          <t>chemicals</t>
        </is>
      </c>
      <c r="D123" s="30" t="inlineStr">
        <is>
          <t>chemicals</t>
        </is>
      </c>
      <c r="E123" s="30" t="inlineStr">
        <is>
          <t>midcap</t>
        </is>
      </c>
      <c r="F123" s="30" t="n">
        <v>13819.99</v>
      </c>
      <c r="G123" s="30" t="n">
        <v>3594.1</v>
      </c>
      <c r="H123" s="30" t="n">
        <v>1.59</v>
      </c>
      <c r="I123" s="30" t="n">
        <v>97623</v>
      </c>
      <c r="J123" s="30" t="inlineStr">
        <is>
          <t>530117</t>
        </is>
      </c>
    </row>
    <row r="124">
      <c r="A124" s="30" t="inlineStr">
        <is>
          <t>FILATEX</t>
        </is>
      </c>
      <c r="B124" s="30" t="inlineStr">
        <is>
          <t>Filatex India Limited</t>
        </is>
      </c>
      <c r="C124" s="30" t="inlineStr">
        <is>
          <t>textiles</t>
        </is>
      </c>
      <c r="D124" s="30" t="inlineStr">
        <is>
          <t>textiles - manmade</t>
        </is>
      </c>
      <c r="E124" s="30" t="inlineStr">
        <is>
          <t>smallcap</t>
        </is>
      </c>
      <c r="F124" s="30" t="n">
        <v>4676.82</v>
      </c>
      <c r="G124" s="30" t="n">
        <v>106.94</v>
      </c>
      <c r="H124" s="30" t="n">
        <v>1.54</v>
      </c>
      <c r="I124" s="30" t="n">
        <v>6901260</v>
      </c>
      <c r="J124" s="30" t="inlineStr">
        <is>
          <t>526227</t>
        </is>
      </c>
    </row>
    <row r="125">
      <c r="A125" s="30" t="inlineStr">
        <is>
          <t>INDOAMIN</t>
        </is>
      </c>
      <c r="B125" s="30" t="inlineStr">
        <is>
          <t>Indo Amines Ltd</t>
        </is>
      </c>
      <c r="C125" s="30" t="inlineStr">
        <is>
          <t>chemicals</t>
        </is>
      </c>
      <c r="D125" s="30" t="inlineStr">
        <is>
          <t>chemicals</t>
        </is>
      </c>
      <c r="E125" s="30" t="inlineStr">
        <is>
          <t>smallcap</t>
        </is>
      </c>
      <c r="F125" s="30" t="n">
        <v>976.16</v>
      </c>
      <c r="G125" s="30" t="n">
        <v>136.5</v>
      </c>
      <c r="H125" s="30" t="n">
        <v>1.5</v>
      </c>
      <c r="I125" s="30" t="n">
        <v>67910</v>
      </c>
      <c r="J125" s="30" t="inlineStr">
        <is>
          <t>524648</t>
        </is>
      </c>
    </row>
    <row r="126">
      <c r="A126" s="30" t="inlineStr">
        <is>
          <t>NAVINFLUOR</t>
        </is>
      </c>
      <c r="B126" s="30" t="inlineStr">
        <is>
          <t>Navin Fluorine International Limited</t>
        </is>
      </c>
      <c r="C126" s="30" t="inlineStr">
        <is>
          <t>chemicals</t>
        </is>
      </c>
      <c r="D126" s="30" t="inlineStr">
        <is>
          <t>chemicals</t>
        </is>
      </c>
      <c r="E126" s="30" t="inlineStr">
        <is>
          <t>largecap</t>
        </is>
      </c>
      <c r="F126" s="30" t="n">
        <v>43397.45</v>
      </c>
      <c r="G126" s="30" t="n">
        <v>8584.5</v>
      </c>
      <c r="H126" s="30" t="n">
        <v>1.46</v>
      </c>
      <c r="I126" s="30" t="n">
        <v>107462</v>
      </c>
      <c r="J126" s="30" t="inlineStr">
        <is>
          <t>532504</t>
        </is>
      </c>
    </row>
    <row r="127">
      <c r="A127" s="30" t="inlineStr">
        <is>
          <t>AIIL</t>
        </is>
      </c>
      <c r="B127" s="30" t="inlineStr">
        <is>
          <t>Authum Investment &amp; Infrastructure Ltd</t>
        </is>
      </c>
      <c r="C127" s="30" t="inlineStr">
        <is>
          <t>financials</t>
        </is>
      </c>
      <c r="D127" s="30" t="inlineStr">
        <is>
          <t>finance &amp; investments</t>
        </is>
      </c>
      <c r="E127" s="30" t="inlineStr">
        <is>
          <t>largecap</t>
        </is>
      </c>
      <c r="F127" s="30" t="n">
        <v>46843.28</v>
      </c>
      <c r="G127" s="30" t="n">
        <v>559.6</v>
      </c>
      <c r="H127" s="30" t="n">
        <v>1.45</v>
      </c>
      <c r="I127" s="30" t="n">
        <v>338399</v>
      </c>
      <c r="J127" s="30" t="inlineStr">
        <is>
          <t>539177</t>
        </is>
      </c>
    </row>
    <row r="128">
      <c r="A128" s="30" t="inlineStr">
        <is>
          <t>TEGA</t>
        </is>
      </c>
      <c r="B128" s="30" t="inlineStr">
        <is>
          <t>Tega Industries Ltd</t>
        </is>
      </c>
      <c r="C128" s="30" t="inlineStr">
        <is>
          <t>industrials</t>
        </is>
      </c>
      <c r="D128" s="30" t="inlineStr">
        <is>
          <t>engineering</t>
        </is>
      </c>
      <c r="E128" s="30" t="inlineStr">
        <is>
          <t>midcap</t>
        </is>
      </c>
      <c r="F128" s="30" t="n">
        <v>15491.33</v>
      </c>
      <c r="G128" s="30" t="n">
        <v>2091.6</v>
      </c>
      <c r="H128" s="30" t="n">
        <v>1.44</v>
      </c>
      <c r="I128" s="30" t="n">
        <v>261282</v>
      </c>
      <c r="J128" s="30" t="inlineStr">
        <is>
          <t>543413</t>
        </is>
      </c>
    </row>
    <row r="129">
      <c r="A129" s="30" t="inlineStr">
        <is>
          <t>WENDT</t>
        </is>
      </c>
      <c r="B129" s="30" t="inlineStr">
        <is>
          <t>Wendt (india) Limited</t>
        </is>
      </c>
      <c r="C129" s="30" t="inlineStr">
        <is>
          <t>industrials</t>
        </is>
      </c>
      <c r="D129" s="30" t="inlineStr">
        <is>
          <t>abrasives and grinding wheels</t>
        </is>
      </c>
      <c r="E129" s="30" t="inlineStr">
        <is>
          <t>smallcap</t>
        </is>
      </c>
      <c r="F129" s="30" t="n">
        <v>1705.1</v>
      </c>
      <c r="G129" s="30" t="n">
        <v>8646</v>
      </c>
      <c r="H129" s="30" t="n">
        <v>1.41</v>
      </c>
      <c r="I129" s="30" t="n">
        <v>7895</v>
      </c>
      <c r="J129" s="30" t="inlineStr">
        <is>
          <t>505412</t>
        </is>
      </c>
    </row>
    <row r="130">
      <c r="A130" s="30" t="inlineStr">
        <is>
          <t>VALIANTLAB</t>
        </is>
      </c>
      <c r="B130" s="30" t="inlineStr">
        <is>
          <t>Valiant Laboratories Ltd</t>
        </is>
      </c>
      <c r="C130" s="30" t="inlineStr">
        <is>
          <t>healthcare</t>
        </is>
      </c>
      <c r="D130" s="30" t="inlineStr">
        <is>
          <t>pharmaceuticals - indian - bulk drugs &amp; formln</t>
        </is>
      </c>
      <c r="E130" s="30" t="inlineStr">
        <is>
          <t>smallcap</t>
        </is>
      </c>
      <c r="F130" s="30" t="n">
        <v>668.86</v>
      </c>
      <c r="G130" s="30" t="n">
        <v>124.87</v>
      </c>
      <c r="H130" s="30" t="n">
        <v>1.4</v>
      </c>
      <c r="I130" s="30" t="n">
        <v>62693</v>
      </c>
      <c r="J130" s="30" t="n"/>
    </row>
    <row r="131">
      <c r="A131" s="30" t="inlineStr">
        <is>
          <t>MMP</t>
        </is>
      </c>
      <c r="B131" s="30" t="inlineStr">
        <is>
          <t>MMP Industries Ltd</t>
        </is>
      </c>
      <c r="C131" s="30" t="inlineStr">
        <is>
          <t>metals &amp; mining</t>
        </is>
      </c>
      <c r="D131" s="30" t="inlineStr">
        <is>
          <t>aluminium and aluminium products</t>
        </is>
      </c>
      <c r="E131" s="30" t="inlineStr">
        <is>
          <t>smallcap</t>
        </is>
      </c>
      <c r="F131" s="30" t="n">
        <v>1153.15</v>
      </c>
      <c r="G131" s="30" t="n">
        <v>460.25</v>
      </c>
      <c r="H131" s="30" t="n">
        <v>1.39</v>
      </c>
      <c r="I131" s="30" t="n">
        <v>37919</v>
      </c>
      <c r="J131" s="30" t="inlineStr">
        <is>
          <t>535071</t>
        </is>
      </c>
    </row>
    <row r="132">
      <c r="A132" s="30" t="inlineStr">
        <is>
          <t>ARIES</t>
        </is>
      </c>
      <c r="B132" s="30" t="inlineStr">
        <is>
          <t>Aries Agro Limited</t>
        </is>
      </c>
      <c r="C132" s="30" t="inlineStr">
        <is>
          <t>chemicals</t>
        </is>
      </c>
      <c r="D132" s="30" t="inlineStr">
        <is>
          <t>fertilizers</t>
        </is>
      </c>
      <c r="E132" s="30" t="inlineStr">
        <is>
          <t>smallcap</t>
        </is>
      </c>
      <c r="F132" s="30" t="n">
        <v>607.17</v>
      </c>
      <c r="G132" s="30" t="n">
        <v>473.3</v>
      </c>
      <c r="H132" s="30" t="n">
        <v>1.37</v>
      </c>
      <c r="I132" s="30" t="n">
        <v>5177</v>
      </c>
      <c r="J132" s="30" t="inlineStr">
        <is>
          <t>532935</t>
        </is>
      </c>
    </row>
    <row r="133">
      <c r="A133" s="30" t="inlineStr">
        <is>
          <t>APLAPOLLO</t>
        </is>
      </c>
      <c r="B133" s="30" t="inlineStr">
        <is>
          <t>Apl Apollo Tubes Limited</t>
        </is>
      </c>
      <c r="C133" s="30" t="inlineStr">
        <is>
          <t>industrials</t>
        </is>
      </c>
      <c r="D133" s="30" t="inlineStr">
        <is>
          <t>steel - large</t>
        </is>
      </c>
      <c r="E133" s="30" t="inlineStr">
        <is>
          <t>largecap</t>
        </is>
      </c>
      <c r="F133" s="30" t="n">
        <v>60662.81</v>
      </c>
      <c r="G133" s="30" t="n">
        <v>2214.7</v>
      </c>
      <c r="H133" s="30" t="n">
        <v>1.37</v>
      </c>
      <c r="I133" s="30" t="n">
        <v>339098</v>
      </c>
      <c r="J133" s="30" t="inlineStr">
        <is>
          <t>533758</t>
        </is>
      </c>
    </row>
    <row r="134">
      <c r="A134" s="30" t="inlineStr">
        <is>
          <t>DICIND</t>
        </is>
      </c>
      <c r="B134" s="30" t="inlineStr">
        <is>
          <t>Dic India Limited</t>
        </is>
      </c>
      <c r="C134" s="30" t="inlineStr">
        <is>
          <t>chemicals</t>
        </is>
      </c>
      <c r="D134" s="30" t="inlineStr">
        <is>
          <t>chemicals</t>
        </is>
      </c>
      <c r="E134" s="30" t="inlineStr">
        <is>
          <t>smallcap</t>
        </is>
      </c>
      <c r="F134" s="30" t="n">
        <v>594.5700000000001</v>
      </c>
      <c r="G134" s="30" t="n">
        <v>656.5</v>
      </c>
      <c r="H134" s="30" t="n">
        <v>1.35</v>
      </c>
      <c r="I134" s="30" t="n">
        <v>4187</v>
      </c>
      <c r="J134" s="30" t="inlineStr">
        <is>
          <t>500089</t>
        </is>
      </c>
    </row>
    <row r="135">
      <c r="A135" s="30" t="inlineStr">
        <is>
          <t>INDIAGLYCO</t>
        </is>
      </c>
      <c r="B135" s="30" t="inlineStr">
        <is>
          <t>India Glycols Limited</t>
        </is>
      </c>
      <c r="C135" s="30" t="inlineStr">
        <is>
          <t>fmcg</t>
        </is>
      </c>
      <c r="D135" s="30" t="inlineStr">
        <is>
          <t>breweries &amp; distilleries</t>
        </is>
      </c>
      <c r="E135" s="30" t="inlineStr">
        <is>
          <t>smallcap</t>
        </is>
      </c>
      <c r="F135" s="30" t="n">
        <v>2051.02</v>
      </c>
      <c r="G135" s="30" t="n">
        <v>309.9</v>
      </c>
      <c r="H135" s="30" t="n">
        <v>1.27</v>
      </c>
      <c r="I135" s="30" t="n">
        <v>2054007</v>
      </c>
      <c r="J135" s="30" t="inlineStr">
        <is>
          <t>500201</t>
        </is>
      </c>
    </row>
    <row r="136">
      <c r="A136" s="30" t="inlineStr">
        <is>
          <t>LIKHITHA</t>
        </is>
      </c>
      <c r="B136" s="30" t="inlineStr">
        <is>
          <t>Likhitha Infrastructure Ltd</t>
        </is>
      </c>
      <c r="C136" s="30" t="inlineStr">
        <is>
          <t>realty</t>
        </is>
      </c>
      <c r="D136" s="30" t="inlineStr">
        <is>
          <t>construction</t>
        </is>
      </c>
      <c r="E136" s="30" t="inlineStr">
        <is>
          <t>smallcap</t>
        </is>
      </c>
      <c r="F136" s="30" t="n">
        <v>897.01</v>
      </c>
      <c r="G136" s="30" t="n">
        <v>230.23</v>
      </c>
      <c r="H136" s="30" t="n">
        <v>1.25</v>
      </c>
      <c r="I136" s="30" t="n">
        <v>35441</v>
      </c>
      <c r="J136" s="30" t="inlineStr">
        <is>
          <t>543240</t>
        </is>
      </c>
    </row>
    <row r="137">
      <c r="A137" s="30" t="inlineStr">
        <is>
          <t>ASIANHOTNR</t>
        </is>
      </c>
      <c r="B137" s="30" t="inlineStr">
        <is>
          <t>Asian Hotels (north) Limited</t>
        </is>
      </c>
      <c r="C137" s="30" t="inlineStr">
        <is>
          <t>services</t>
        </is>
      </c>
      <c r="D137" s="30" t="inlineStr">
        <is>
          <t>hotels</t>
        </is>
      </c>
      <c r="E137" s="30" t="inlineStr">
        <is>
          <t>smallcap</t>
        </is>
      </c>
      <c r="F137" s="30" t="n">
        <v>1660.56</v>
      </c>
      <c r="G137" s="30" t="n">
        <v>394.35</v>
      </c>
      <c r="H137" s="30" t="n">
        <v>1.25</v>
      </c>
      <c r="I137" s="30" t="n">
        <v>5905</v>
      </c>
      <c r="J137" s="30" t="inlineStr">
        <is>
          <t>500023</t>
        </is>
      </c>
    </row>
    <row r="138">
      <c r="A138" s="30" t="inlineStr">
        <is>
          <t>SANSERA</t>
        </is>
      </c>
      <c r="B138" s="30" t="inlineStr">
        <is>
          <t>Sansera Engineering Ltd</t>
        </is>
      </c>
      <c r="C138" s="30" t="inlineStr">
        <is>
          <t>auto</t>
        </is>
      </c>
      <c r="D138" s="30" t="inlineStr">
        <is>
          <t>auto ancillaries</t>
        </is>
      </c>
      <c r="E138" s="30" t="inlineStr">
        <is>
          <t>largecap</t>
        </is>
      </c>
      <c r="F138" s="30" t="n">
        <v>28740.59</v>
      </c>
      <c r="G138" s="30" t="n">
        <v>4662.4</v>
      </c>
      <c r="H138" s="30" t="n">
        <v>1.23</v>
      </c>
      <c r="I138" s="30" t="n">
        <v>315334</v>
      </c>
      <c r="J138" s="30" t="inlineStr">
        <is>
          <t>543358</t>
        </is>
      </c>
    </row>
    <row r="139">
      <c r="A139" s="30" t="inlineStr">
        <is>
          <t>PHOENIXLTD</t>
        </is>
      </c>
      <c r="B139" s="30" t="inlineStr">
        <is>
          <t>The Phoenix Mills Limited</t>
        </is>
      </c>
      <c r="C139" s="30" t="inlineStr">
        <is>
          <t>realty</t>
        </is>
      </c>
      <c r="D139" s="30" t="inlineStr">
        <is>
          <t>construction</t>
        </is>
      </c>
      <c r="E139" s="30" t="inlineStr">
        <is>
          <t>largecap</t>
        </is>
      </c>
      <c r="F139" s="30" t="n">
        <v>69918.71000000001</v>
      </c>
      <c r="G139" s="30" t="n">
        <v>1978.4</v>
      </c>
      <c r="H139" s="30" t="n">
        <v>1.2</v>
      </c>
      <c r="I139" s="30" t="n">
        <v>463656</v>
      </c>
      <c r="J139" s="30" t="inlineStr">
        <is>
          <t>503100</t>
        </is>
      </c>
    </row>
    <row r="140">
      <c r="A140" s="30" t="inlineStr">
        <is>
          <t>QPOWER</t>
        </is>
      </c>
      <c r="B140" s="30" t="inlineStr">
        <is>
          <t>Quality Power Electrical Equipments Ltd</t>
        </is>
      </c>
      <c r="C140" s="30" t="inlineStr">
        <is>
          <t>industrials</t>
        </is>
      </c>
      <c r="D140" s="30" t="inlineStr">
        <is>
          <t>electric equipment</t>
        </is>
      </c>
      <c r="E140" s="30" t="inlineStr">
        <is>
          <t>midcap</t>
        </is>
      </c>
      <c r="F140" s="30" t="n">
        <v>11617.39</v>
      </c>
      <c r="G140" s="30" t="n">
        <v>1517.8</v>
      </c>
      <c r="H140" s="30" t="n">
        <v>1.18</v>
      </c>
      <c r="I140" s="30" t="n">
        <v>161416</v>
      </c>
      <c r="J140" s="30" t="inlineStr">
        <is>
          <t>544367</t>
        </is>
      </c>
    </row>
    <row r="141">
      <c r="A141" s="30" t="inlineStr">
        <is>
          <t>JTLIND</t>
        </is>
      </c>
      <c r="B141" s="30" t="inlineStr">
        <is>
          <t>JTL Industries Ltd</t>
        </is>
      </c>
      <c r="C141" s="30" t="inlineStr">
        <is>
          <t>metals &amp; mining</t>
        </is>
      </c>
      <c r="D141" s="30" t="inlineStr">
        <is>
          <t>steel - medium / small</t>
        </is>
      </c>
      <c r="E141" s="30" t="inlineStr">
        <is>
          <t>smallcap</t>
        </is>
      </c>
      <c r="F141" s="30" t="n">
        <v>3541.67</v>
      </c>
      <c r="G141" s="30" t="n">
        <v>91.16</v>
      </c>
      <c r="H141" s="30" t="n">
        <v>1.18</v>
      </c>
      <c r="I141" s="30" t="n">
        <v>1548897</v>
      </c>
      <c r="J141" s="30" t="inlineStr">
        <is>
          <t>534600</t>
        </is>
      </c>
    </row>
    <row r="142">
      <c r="A142" s="30" t="inlineStr">
        <is>
          <t>TCPLPACK</t>
        </is>
      </c>
      <c r="B142" s="30" t="inlineStr">
        <is>
          <t>TCPL Packaging Ltd</t>
        </is>
      </c>
      <c r="C142" s="30" t="inlineStr">
        <is>
          <t>industrials</t>
        </is>
      </c>
      <c r="D142" s="30" t="inlineStr">
        <is>
          <t>packaging</t>
        </is>
      </c>
      <c r="E142" s="30" t="inlineStr">
        <is>
          <t>smallcap</t>
        </is>
      </c>
      <c r="F142" s="30" t="n">
        <v>3693.51</v>
      </c>
      <c r="G142" s="30" t="n">
        <v>4106.8</v>
      </c>
      <c r="H142" s="30" t="n">
        <v>1.18</v>
      </c>
      <c r="I142" s="30" t="n">
        <v>9656</v>
      </c>
      <c r="J142" s="30" t="inlineStr">
        <is>
          <t>523301</t>
        </is>
      </c>
    </row>
    <row r="143">
      <c r="A143" s="30" t="inlineStr">
        <is>
          <t>IGPL</t>
        </is>
      </c>
      <c r="B143" s="30" t="inlineStr">
        <is>
          <t>Ig Petrochemicals Limited</t>
        </is>
      </c>
      <c r="C143" s="30" t="inlineStr">
        <is>
          <t>chemicals</t>
        </is>
      </c>
      <c r="D143" s="30" t="inlineStr">
        <is>
          <t>chemicals</t>
        </is>
      </c>
      <c r="E143" s="30" t="inlineStr">
        <is>
          <t>smallcap</t>
        </is>
      </c>
      <c r="F143" s="30" t="n">
        <v>1805.81</v>
      </c>
      <c r="G143" s="30" t="n">
        <v>593.15</v>
      </c>
      <c r="H143" s="30" t="n">
        <v>1.15</v>
      </c>
      <c r="I143" s="30" t="n">
        <v>62045</v>
      </c>
      <c r="J143" s="30" t="inlineStr">
        <is>
          <t>500199</t>
        </is>
      </c>
    </row>
    <row r="144">
      <c r="A144" s="30" t="inlineStr">
        <is>
          <t>OBEROIRLTY</t>
        </is>
      </c>
      <c r="B144" s="30" t="inlineStr">
        <is>
          <t>Oberoi Realty Limited</t>
        </is>
      </c>
      <c r="C144" s="30" t="inlineStr">
        <is>
          <t>realty</t>
        </is>
      </c>
      <c r="D144" s="30" t="inlineStr">
        <is>
          <t>construction</t>
        </is>
      </c>
      <c r="E144" s="30" t="inlineStr">
        <is>
          <t>largecap</t>
        </is>
      </c>
      <c r="F144" s="30" t="n">
        <v>66811.91</v>
      </c>
      <c r="G144" s="30" t="n">
        <v>1858.5</v>
      </c>
      <c r="H144" s="30" t="n">
        <v>1.14</v>
      </c>
      <c r="I144" s="30" t="n">
        <v>638248</v>
      </c>
      <c r="J144" s="30" t="inlineStr">
        <is>
          <t>533273</t>
        </is>
      </c>
    </row>
    <row r="145">
      <c r="A145" s="30" t="inlineStr">
        <is>
          <t>NRBBEARING</t>
        </is>
      </c>
      <c r="B145" s="30" t="inlineStr">
        <is>
          <t>Nrb Bearing Limited</t>
        </is>
      </c>
      <c r="C145" s="30" t="inlineStr">
        <is>
          <t>industrials</t>
        </is>
      </c>
      <c r="D145" s="30" t="inlineStr">
        <is>
          <t>bearings</t>
        </is>
      </c>
      <c r="E145" s="30" t="inlineStr">
        <is>
          <t>midcap</t>
        </is>
      </c>
      <c r="F145" s="30" t="n">
        <v>5126.24</v>
      </c>
      <c r="G145" s="30" t="n">
        <v>534.8</v>
      </c>
      <c r="H145" s="30" t="n">
        <v>1.12</v>
      </c>
      <c r="I145" s="30" t="n">
        <v>355143</v>
      </c>
      <c r="J145" s="30" t="inlineStr">
        <is>
          <t>530367</t>
        </is>
      </c>
    </row>
    <row r="146">
      <c r="A146" s="30" t="inlineStr">
        <is>
          <t>ARROWGREEN</t>
        </is>
      </c>
      <c r="B146" s="30" t="inlineStr">
        <is>
          <t>Arrow Greentech Limited</t>
        </is>
      </c>
      <c r="C146" s="30" t="inlineStr">
        <is>
          <t>plastic products</t>
        </is>
      </c>
      <c r="D146" s="30" t="inlineStr">
        <is>
          <t>plastics products</t>
        </is>
      </c>
      <c r="E146" s="30" t="inlineStr">
        <is>
          <t>smallcap</t>
        </is>
      </c>
      <c r="F146" s="30" t="n">
        <v>1351.8</v>
      </c>
      <c r="G146" s="30" t="n">
        <v>905.8</v>
      </c>
      <c r="H146" s="30" t="n">
        <v>1.1</v>
      </c>
      <c r="I146" s="30" t="n">
        <v>43393</v>
      </c>
      <c r="J146" s="30" t="inlineStr">
        <is>
          <t>516064</t>
        </is>
      </c>
    </row>
    <row r="147">
      <c r="A147" s="30" t="inlineStr">
        <is>
          <t>RPTECH</t>
        </is>
      </c>
      <c r="B147" s="30" t="inlineStr">
        <is>
          <t>Rashi Peripherals Ltd</t>
        </is>
      </c>
      <c r="C147" s="30" t="inlineStr">
        <is>
          <t>i.t</t>
        </is>
      </c>
      <c r="D147" s="30" t="inlineStr">
        <is>
          <t>trading</t>
        </is>
      </c>
      <c r="E147" s="30" t="inlineStr">
        <is>
          <t>midcap</t>
        </is>
      </c>
      <c r="F147" s="30" t="n">
        <v>5822.24</v>
      </c>
      <c r="G147" s="30" t="n">
        <v>893</v>
      </c>
      <c r="H147" s="30" t="n">
        <v>1.08</v>
      </c>
      <c r="I147" s="30" t="n">
        <v>214767</v>
      </c>
      <c r="J147" s="30" t="n"/>
    </row>
    <row r="148">
      <c r="A148" s="30" t="inlineStr">
        <is>
          <t>WELSPUNLIV</t>
        </is>
      </c>
      <c r="B148" s="30" t="inlineStr">
        <is>
          <t>Welspun Living Ltd</t>
        </is>
      </c>
      <c r="C148" s="30" t="inlineStr">
        <is>
          <t>textiles</t>
        </is>
      </c>
      <c r="D148" s="30" t="inlineStr">
        <is>
          <t>textiles - products</t>
        </is>
      </c>
      <c r="E148" s="30" t="inlineStr">
        <is>
          <t>largecap</t>
        </is>
      </c>
      <c r="F148" s="30" t="n">
        <v>21003.74</v>
      </c>
      <c r="G148" s="30" t="n">
        <v>224.68</v>
      </c>
      <c r="H148" s="30" t="n">
        <v>1.06</v>
      </c>
      <c r="I148" s="30" t="n">
        <v>2858135</v>
      </c>
      <c r="J148" s="30" t="inlineStr">
        <is>
          <t>514162</t>
        </is>
      </c>
    </row>
    <row r="149">
      <c r="A149" s="30" t="inlineStr">
        <is>
          <t>KIRLFER</t>
        </is>
      </c>
      <c r="B149" s="30" t="inlineStr">
        <is>
          <t>Kirloskar Ferrous Industries Ltd</t>
        </is>
      </c>
      <c r="C149" s="30" t="inlineStr">
        <is>
          <t>metals &amp; mining</t>
        </is>
      </c>
      <c r="D149" s="30" t="inlineStr">
        <is>
          <t>steel - large</t>
        </is>
      </c>
      <c r="E149" s="30" t="inlineStr">
        <is>
          <t>midcap</t>
        </is>
      </c>
      <c r="F149" s="30" t="n">
        <v>7889.94</v>
      </c>
      <c r="G149" s="30" t="n">
        <v>483.2</v>
      </c>
      <c r="H149" s="30" t="n">
        <v>1.05</v>
      </c>
      <c r="I149" s="30" t="n">
        <v>146189</v>
      </c>
      <c r="J149" s="30" t="inlineStr">
        <is>
          <t>500245</t>
        </is>
      </c>
    </row>
    <row r="150">
      <c r="A150" s="30" t="inlineStr">
        <is>
          <t>BOSCHLTD</t>
        </is>
      </c>
      <c r="B150" s="30" t="inlineStr">
        <is>
          <t>Bosch Limited</t>
        </is>
      </c>
      <c r="C150" s="30" t="inlineStr">
        <is>
          <t>auto</t>
        </is>
      </c>
      <c r="D150" s="30" t="inlineStr">
        <is>
          <t>auto ancillaries</t>
        </is>
      </c>
      <c r="E150" s="30" t="inlineStr">
        <is>
          <t>largecap</t>
        </is>
      </c>
      <c r="F150" s="30" t="n">
        <v>140843.88</v>
      </c>
      <c r="G150" s="30" t="n">
        <v>48250</v>
      </c>
      <c r="H150" s="30" t="n">
        <v>1.05</v>
      </c>
      <c r="I150" s="30" t="n">
        <v>18852</v>
      </c>
      <c r="J150" s="30" t="inlineStr">
        <is>
          <t>500530</t>
        </is>
      </c>
    </row>
    <row r="151">
      <c r="A151" s="30" t="inlineStr">
        <is>
          <t>TIPSMUSIC</t>
        </is>
      </c>
      <c r="B151" s="30" t="inlineStr">
        <is>
          <t>Tips Music Ltd</t>
        </is>
      </c>
      <c r="C151" s="30" t="inlineStr">
        <is>
          <t>media</t>
        </is>
      </c>
      <c r="D151" s="30" t="inlineStr">
        <is>
          <t>entertainment / electronic media software</t>
        </is>
      </c>
      <c r="E151" s="30" t="inlineStr">
        <is>
          <t>midcap</t>
        </is>
      </c>
      <c r="F151" s="30" t="n">
        <v>8463.09</v>
      </c>
      <c r="G151" s="30" t="n">
        <v>668.95</v>
      </c>
      <c r="H151" s="30" t="n">
        <v>1.04</v>
      </c>
      <c r="I151" s="30" t="n">
        <v>245082</v>
      </c>
      <c r="J151" s="30" t="inlineStr">
        <is>
          <t>532375</t>
        </is>
      </c>
    </row>
    <row r="152">
      <c r="A152" s="30" t="inlineStr">
        <is>
          <t>SONACOMS</t>
        </is>
      </c>
      <c r="B152" s="30" t="inlineStr">
        <is>
          <t>Sona BLW Precision Forgings Ltd</t>
        </is>
      </c>
      <c r="C152" s="30" t="inlineStr">
        <is>
          <t>auto</t>
        </is>
      </c>
      <c r="D152" s="30" t="inlineStr">
        <is>
          <t>auto ancillaries</t>
        </is>
      </c>
      <c r="E152" s="30" t="inlineStr">
        <is>
          <t>largecap</t>
        </is>
      </c>
      <c r="F152" s="30" t="n">
        <v>50776.7</v>
      </c>
      <c r="G152" s="30" t="n">
        <v>824.5</v>
      </c>
      <c r="H152" s="30" t="n">
        <v>1</v>
      </c>
      <c r="I152" s="30" t="n">
        <v>3101062</v>
      </c>
      <c r="J152" s="30" t="inlineStr">
        <is>
          <t>543300</t>
        </is>
      </c>
    </row>
    <row r="153">
      <c r="A153" s="30" t="inlineStr">
        <is>
          <t>MAHSEAMLES</t>
        </is>
      </c>
      <c r="B153" s="30" t="inlineStr">
        <is>
          <t>Maharashtra Seamless Limited</t>
        </is>
      </c>
      <c r="C153" s="30" t="inlineStr">
        <is>
          <t>metals &amp; mining</t>
        </is>
      </c>
      <c r="D153" s="30" t="inlineStr">
        <is>
          <t>steel - medium / small</t>
        </is>
      </c>
      <c r="E153" s="30" t="inlineStr">
        <is>
          <t>midcap</t>
        </is>
      </c>
      <c r="F153" s="30" t="n">
        <v>9494.52</v>
      </c>
      <c r="G153" s="30" t="n">
        <v>715.65</v>
      </c>
      <c r="H153" s="30" t="n">
        <v>1</v>
      </c>
      <c r="I153" s="30" t="n">
        <v>210790</v>
      </c>
      <c r="J153" s="30" t="inlineStr">
        <is>
          <t>500265</t>
        </is>
      </c>
    </row>
    <row r="154">
      <c r="A154" s="30" t="inlineStr">
        <is>
          <t>SBCL</t>
        </is>
      </c>
      <c r="B154" s="30" t="inlineStr">
        <is>
          <t>Shivalik Bimetal Controls Ltd</t>
        </is>
      </c>
      <c r="C154" s="30" t="inlineStr">
        <is>
          <t>metals &amp; mining</t>
        </is>
      </c>
      <c r="D154" s="30" t="inlineStr">
        <is>
          <t>mining / minerals / metals</t>
        </is>
      </c>
      <c r="E154" s="30" t="inlineStr">
        <is>
          <t>midcap</t>
        </is>
      </c>
      <c r="F154" s="30" t="n">
        <v>6585.31</v>
      </c>
      <c r="G154" s="30" t="n">
        <v>1154.5</v>
      </c>
      <c r="H154" s="30" t="n">
        <v>0.99</v>
      </c>
      <c r="I154" s="30" t="n">
        <v>142912</v>
      </c>
      <c r="J154" s="30" t="inlineStr">
        <is>
          <t>513097</t>
        </is>
      </c>
    </row>
    <row r="155">
      <c r="A155" s="30" t="inlineStr">
        <is>
          <t>GESHIP</t>
        </is>
      </c>
      <c r="B155" s="30" t="inlineStr">
        <is>
          <t>The Great Eastern Shipping Company Limited</t>
        </is>
      </c>
      <c r="C155" s="30" t="inlineStr">
        <is>
          <t>transportation</t>
        </is>
      </c>
      <c r="D155" s="30" t="inlineStr">
        <is>
          <t>shipping</t>
        </is>
      </c>
      <c r="E155" s="30" t="inlineStr">
        <is>
          <t>largecap</t>
        </is>
      </c>
      <c r="F155" s="30" t="n">
        <v>21166.66</v>
      </c>
      <c r="G155" s="30" t="n">
        <v>1497.2</v>
      </c>
      <c r="H155" s="30" t="n">
        <v>0.98</v>
      </c>
      <c r="I155" s="30" t="n">
        <v>454472</v>
      </c>
      <c r="J155" s="30" t="inlineStr">
        <is>
          <t>500620</t>
        </is>
      </c>
    </row>
    <row r="156">
      <c r="A156" s="30" t="inlineStr">
        <is>
          <t>HARSHA</t>
        </is>
      </c>
      <c r="B156" s="30" t="inlineStr">
        <is>
          <t>Harsha Engineers International Ltd</t>
        </is>
      </c>
      <c r="C156" s="30" t="inlineStr">
        <is>
          <t>industrials</t>
        </is>
      </c>
      <c r="D156" s="30" t="inlineStr">
        <is>
          <t>engineering</t>
        </is>
      </c>
      <c r="E156" s="30" t="inlineStr">
        <is>
          <t>smallcap</t>
        </is>
      </c>
      <c r="F156" s="30" t="n">
        <v>4165.72</v>
      </c>
      <c r="G156" s="30" t="n">
        <v>462.05</v>
      </c>
      <c r="H156" s="30" t="n">
        <v>0.98</v>
      </c>
      <c r="I156" s="30" t="n">
        <v>150621</v>
      </c>
      <c r="J156" s="30" t="inlineStr">
        <is>
          <t>543600</t>
        </is>
      </c>
    </row>
    <row r="157">
      <c r="A157" s="30" t="inlineStr">
        <is>
          <t>COALINDIA</t>
        </is>
      </c>
      <c r="B157" s="30" t="inlineStr">
        <is>
          <t>Coal India Limited</t>
        </is>
      </c>
      <c r="C157" s="30" t="inlineStr">
        <is>
          <t>metals &amp; mining</t>
        </is>
      </c>
      <c r="D157" s="30" t="inlineStr">
        <is>
          <t>mining / minerals / metals</t>
        </is>
      </c>
      <c r="E157" s="30" t="inlineStr">
        <is>
          <t>largecap</t>
        </is>
      </c>
      <c r="F157" s="30" t="n">
        <v>260067.14</v>
      </c>
      <c r="G157" s="30" t="n">
        <v>426.1</v>
      </c>
      <c r="H157" s="30" t="n">
        <v>0.97</v>
      </c>
      <c r="I157" s="30" t="n">
        <v>4798343</v>
      </c>
      <c r="J157" s="30" t="inlineStr">
        <is>
          <t>533278</t>
        </is>
      </c>
    </row>
    <row r="158">
      <c r="A158" s="30" t="inlineStr">
        <is>
          <t>SPECIALITY</t>
        </is>
      </c>
      <c r="B158" s="30" t="inlineStr">
        <is>
          <t>Speciality Restaurants Limited</t>
        </is>
      </c>
      <c r="C158" s="30" t="inlineStr">
        <is>
          <t>services</t>
        </is>
      </c>
      <c r="D158" s="30" t="inlineStr">
        <is>
          <t>hotels</t>
        </is>
      </c>
      <c r="E158" s="30" t="inlineStr">
        <is>
          <t>smallcap</t>
        </is>
      </c>
      <c r="F158" s="30" t="n">
        <v>730.14</v>
      </c>
      <c r="G158" s="30" t="n">
        <v>152.76</v>
      </c>
      <c r="H158" s="30" t="n">
        <v>0.92</v>
      </c>
      <c r="I158" s="30" t="n">
        <v>40387</v>
      </c>
      <c r="J158" s="30" t="inlineStr">
        <is>
          <t>534425</t>
        </is>
      </c>
    </row>
    <row r="159">
      <c r="A159" s="30" t="inlineStr">
        <is>
          <t>E2E</t>
        </is>
      </c>
      <c r="B159" s="30" t="inlineStr">
        <is>
          <t>E2E Networks Ltd</t>
        </is>
      </c>
      <c r="C159" s="30" t="inlineStr">
        <is>
          <t>i.t</t>
        </is>
      </c>
      <c r="D159" s="30" t="inlineStr">
        <is>
          <t>computers - software - medium / small</t>
        </is>
      </c>
      <c r="E159" s="30" t="inlineStr">
        <is>
          <t>midcap</t>
        </is>
      </c>
      <c r="F159" s="30" t="n">
        <v>13293.88</v>
      </c>
      <c r="G159" s="30" t="n">
        <v>652.15</v>
      </c>
      <c r="H159" s="30" t="n">
        <v>0.84</v>
      </c>
      <c r="I159" s="30" t="n">
        <v>467742</v>
      </c>
      <c r="J159" s="30" t="inlineStr">
        <is>
          <t>535080</t>
        </is>
      </c>
    </row>
    <row r="160">
      <c r="A160" s="30" t="inlineStr">
        <is>
          <t>GNFC</t>
        </is>
      </c>
      <c r="B160" s="30" t="inlineStr">
        <is>
          <t>Gujarat Narmada Valley Fertilizers And Chemicals Limited</t>
        </is>
      </c>
      <c r="C160" s="30" t="inlineStr">
        <is>
          <t>chemicals</t>
        </is>
      </c>
      <c r="D160" s="30" t="inlineStr">
        <is>
          <t>chemicals</t>
        </is>
      </c>
      <c r="E160" s="30" t="inlineStr">
        <is>
          <t>midcap</t>
        </is>
      </c>
      <c r="F160" s="30" t="n">
        <v>9185.26</v>
      </c>
      <c r="G160" s="30" t="n">
        <v>630.3</v>
      </c>
      <c r="H160" s="30" t="n">
        <v>0.83</v>
      </c>
      <c r="I160" s="30" t="n">
        <v>1734397</v>
      </c>
      <c r="J160" s="30" t="inlineStr">
        <is>
          <t>500670</t>
        </is>
      </c>
    </row>
    <row r="161">
      <c r="A161" s="30" t="inlineStr">
        <is>
          <t>WINDLAS</t>
        </is>
      </c>
      <c r="B161" s="30" t="inlineStr">
        <is>
          <t>Windlas Biotech Ltd</t>
        </is>
      </c>
      <c r="C161" s="30" t="inlineStr">
        <is>
          <t>healthcare</t>
        </is>
      </c>
      <c r="D161" s="30" t="inlineStr">
        <is>
          <t>pharmaceuticals - indian - formulations</t>
        </is>
      </c>
      <c r="E161" s="30" t="inlineStr">
        <is>
          <t>smallcap</t>
        </is>
      </c>
      <c r="F161" s="30" t="n">
        <v>2257.19</v>
      </c>
      <c r="G161" s="30" t="n">
        <v>1102.55</v>
      </c>
      <c r="H161" s="30" t="n">
        <v>0.8</v>
      </c>
      <c r="I161" s="30" t="n">
        <v>41768</v>
      </c>
      <c r="J161" s="30" t="inlineStr">
        <is>
          <t>543329</t>
        </is>
      </c>
    </row>
    <row r="162">
      <c r="A162" s="30" t="inlineStr">
        <is>
          <t>NPST</t>
        </is>
      </c>
      <c r="B162" s="30" t="inlineStr">
        <is>
          <t>Network People Services Technologies Ltd</t>
        </is>
      </c>
      <c r="C162" s="30" t="inlineStr">
        <is>
          <t>i.t</t>
        </is>
      </c>
      <c r="D162" s="30" t="inlineStr">
        <is>
          <t>computers - software - medium / small</t>
        </is>
      </c>
      <c r="E162" s="30" t="inlineStr">
        <is>
          <t>smallcap</t>
        </is>
      </c>
      <c r="F162" s="30" t="n">
        <v>3718.5</v>
      </c>
      <c r="G162" s="30" t="n">
        <v>1796.3</v>
      </c>
      <c r="H162" s="30" t="n">
        <v>0.79</v>
      </c>
      <c r="I162" s="30" t="n">
        <v>39440</v>
      </c>
      <c r="J162" s="30" t="inlineStr">
        <is>
          <t>535391</t>
        </is>
      </c>
    </row>
    <row r="163">
      <c r="A163" s="30" t="inlineStr">
        <is>
          <t>INDSWFTLAB</t>
        </is>
      </c>
      <c r="B163" s="30" t="inlineStr">
        <is>
          <t>Ind-swift Laboratories Limited</t>
        </is>
      </c>
      <c r="C163" s="30" t="inlineStr">
        <is>
          <t>healthcare</t>
        </is>
      </c>
      <c r="D163" s="30" t="inlineStr">
        <is>
          <t>pharmaceuticals - indian - bulk drugs &amp; formln</t>
        </is>
      </c>
      <c r="E163" s="30" t="inlineStr">
        <is>
          <t>smallcap</t>
        </is>
      </c>
      <c r="F163" s="30" t="n">
        <v>3489.33</v>
      </c>
      <c r="G163" s="30" t="n">
        <v>404.35</v>
      </c>
      <c r="H163" s="30" t="n">
        <v>0.77</v>
      </c>
      <c r="I163" s="30" t="n">
        <v>441614</v>
      </c>
      <c r="J163" s="30" t="inlineStr">
        <is>
          <t>532305</t>
        </is>
      </c>
    </row>
    <row r="164">
      <c r="A164" s="30" t="inlineStr">
        <is>
          <t>JUBLPHARMA</t>
        </is>
      </c>
      <c r="B164" s="30" t="inlineStr">
        <is>
          <t>Jubilant Pharmova Ltd</t>
        </is>
      </c>
      <c r="C164" s="30" t="inlineStr">
        <is>
          <t>healthcare</t>
        </is>
      </c>
      <c r="D164" s="30" t="inlineStr">
        <is>
          <t>pharmaceuticals - indian - bulk drugs</t>
        </is>
      </c>
      <c r="E164" s="30" t="inlineStr">
        <is>
          <t>midcap</t>
        </is>
      </c>
      <c r="F164" s="30" t="n">
        <v>16945.12</v>
      </c>
      <c r="G164" s="30" t="n">
        <v>1071.95</v>
      </c>
      <c r="H164" s="30" t="n">
        <v>0.76</v>
      </c>
      <c r="I164" s="30" t="n">
        <v>156277</v>
      </c>
      <c r="J164" s="30" t="inlineStr">
        <is>
          <t>530019</t>
        </is>
      </c>
    </row>
    <row r="165">
      <c r="A165" s="30" t="inlineStr">
        <is>
          <t>THEJO</t>
        </is>
      </c>
      <c r="B165" s="30" t="inlineStr">
        <is>
          <t>Thejo Engineering Ltd</t>
        </is>
      </c>
      <c r="C165" s="30" t="inlineStr">
        <is>
          <t>industrials</t>
        </is>
      </c>
      <c r="D165" s="30" t="inlineStr">
        <is>
          <t>engineering</t>
        </is>
      </c>
      <c r="E165" s="30" t="inlineStr">
        <is>
          <t>smallcap</t>
        </is>
      </c>
      <c r="F165" s="30" t="n">
        <v>2352.6</v>
      </c>
      <c r="G165" s="30" t="n">
        <v>2185</v>
      </c>
      <c r="H165" s="30" t="n">
        <v>0.75</v>
      </c>
      <c r="I165" s="30" t="n">
        <v>4584</v>
      </c>
      <c r="J165" s="30" t="inlineStr">
        <is>
          <t>500492</t>
        </is>
      </c>
    </row>
    <row r="166">
      <c r="A166" s="30" t="inlineStr">
        <is>
          <t>GRAPHITE</t>
        </is>
      </c>
      <c r="B166" s="30" t="inlineStr">
        <is>
          <t>Graphite India Limited</t>
        </is>
      </c>
      <c r="C166" s="30" t="inlineStr">
        <is>
          <t>industrials</t>
        </is>
      </c>
      <c r="D166" s="30" t="inlineStr">
        <is>
          <t>electrodes - graphites</t>
        </is>
      </c>
      <c r="E166" s="30" t="inlineStr">
        <is>
          <t>midcap</t>
        </is>
      </c>
      <c r="F166" s="30" t="n">
        <v>15917.25</v>
      </c>
      <c r="G166" s="30" t="n">
        <v>820.7</v>
      </c>
      <c r="H166" s="30" t="n">
        <v>0.74</v>
      </c>
      <c r="I166" s="30" t="n">
        <v>1351331</v>
      </c>
      <c r="J166" s="30" t="inlineStr">
        <is>
          <t>509488</t>
        </is>
      </c>
    </row>
    <row r="167">
      <c r="A167" s="30" t="inlineStr">
        <is>
          <t>PRIMESECU</t>
        </is>
      </c>
      <c r="B167" s="30" t="inlineStr">
        <is>
          <t>Prime Securities Limited</t>
        </is>
      </c>
      <c r="C167" s="30" t="inlineStr">
        <is>
          <t>financials</t>
        </is>
      </c>
      <c r="D167" s="30" t="inlineStr">
        <is>
          <t>finance &amp; investments</t>
        </is>
      </c>
      <c r="E167" s="30" t="inlineStr">
        <is>
          <t>smallcap</t>
        </is>
      </c>
      <c r="F167" s="30" t="n">
        <v>1017.19</v>
      </c>
      <c r="G167" s="30" t="n">
        <v>301.9</v>
      </c>
      <c r="H167" s="30" t="n">
        <v>0.73</v>
      </c>
      <c r="I167" s="30" t="n">
        <v>39045</v>
      </c>
      <c r="J167" s="30" t="inlineStr">
        <is>
          <t>500337</t>
        </is>
      </c>
    </row>
    <row r="168">
      <c r="A168" s="30" t="inlineStr">
        <is>
          <t>SSWL</t>
        </is>
      </c>
      <c r="B168" s="30" t="inlineStr">
        <is>
          <t>Steel Strips Wheels Limited</t>
        </is>
      </c>
      <c r="C168" s="30" t="inlineStr">
        <is>
          <t>auto</t>
        </is>
      </c>
      <c r="D168" s="30" t="inlineStr">
        <is>
          <t>auto ancillaries</t>
        </is>
      </c>
      <c r="E168" s="30" t="inlineStr">
        <is>
          <t>midcap</t>
        </is>
      </c>
      <c r="F168" s="30" t="n">
        <v>5911.56</v>
      </c>
      <c r="G168" s="30" t="n">
        <v>378.75</v>
      </c>
      <c r="H168" s="30" t="n">
        <v>0.7</v>
      </c>
      <c r="I168" s="30" t="n">
        <v>1650357</v>
      </c>
      <c r="J168" s="30" t="inlineStr">
        <is>
          <t>513262</t>
        </is>
      </c>
    </row>
    <row r="169">
      <c r="A169" s="30" t="inlineStr">
        <is>
          <t>RGL</t>
        </is>
      </c>
      <c r="B169" s="30" t="inlineStr">
        <is>
          <t>Renaissance Global Ltd</t>
        </is>
      </c>
      <c r="C169" s="30" t="inlineStr">
        <is>
          <t>consumer discretionary</t>
        </is>
      </c>
      <c r="D169" s="30" t="inlineStr">
        <is>
          <t>diamond cutting / jewellery</t>
        </is>
      </c>
      <c r="E169" s="30" t="inlineStr">
        <is>
          <t>smallcap</t>
        </is>
      </c>
      <c r="F169" s="30" t="n">
        <v>1785.54</v>
      </c>
      <c r="G169" s="30" t="n">
        <v>167.47</v>
      </c>
      <c r="H169" s="30" t="n">
        <v>0.7</v>
      </c>
      <c r="I169" s="30" t="n">
        <v>471415</v>
      </c>
      <c r="J169" s="30" t="inlineStr">
        <is>
          <t>532923</t>
        </is>
      </c>
    </row>
    <row r="170">
      <c r="A170" s="30" t="inlineStr">
        <is>
          <t>MOTILALOFS</t>
        </is>
      </c>
      <c r="B170" s="30" t="inlineStr">
        <is>
          <t>Motilal Oswal Financial Services Limited</t>
        </is>
      </c>
      <c r="C170" s="30" t="inlineStr">
        <is>
          <t>financials</t>
        </is>
      </c>
      <c r="D170" s="30" t="inlineStr">
        <is>
          <t>finance &amp; investments</t>
        </is>
      </c>
      <c r="E170" s="30" t="inlineStr">
        <is>
          <t>largecap</t>
        </is>
      </c>
      <c r="F170" s="30" t="n">
        <v>61539.39</v>
      </c>
      <c r="G170" s="30" t="n">
        <v>1029</v>
      </c>
      <c r="H170" s="30" t="n">
        <v>0.68</v>
      </c>
      <c r="I170" s="30" t="n">
        <v>866039</v>
      </c>
      <c r="J170" s="30" t="inlineStr">
        <is>
          <t>532892</t>
        </is>
      </c>
    </row>
    <row r="171">
      <c r="A171" s="30" t="inlineStr">
        <is>
          <t>SAKAR</t>
        </is>
      </c>
      <c r="B171" s="30" t="inlineStr">
        <is>
          <t>Sakar Healthcare Ltd</t>
        </is>
      </c>
      <c r="C171" s="30" t="inlineStr">
        <is>
          <t>healthcare</t>
        </is>
      </c>
      <c r="D171" s="30" t="inlineStr">
        <is>
          <t>pharmaceuticals - indian - bulk drugs &amp; formln</t>
        </is>
      </c>
      <c r="E171" s="30" t="inlineStr">
        <is>
          <t>smallcap</t>
        </is>
      </c>
      <c r="F171" s="30" t="n">
        <v>2511.01</v>
      </c>
      <c r="G171" s="30" t="n">
        <v>1135.85</v>
      </c>
      <c r="H171" s="30" t="n">
        <v>0.65</v>
      </c>
      <c r="I171" s="30" t="n">
        <v>99278</v>
      </c>
      <c r="J171" s="30" t="inlineStr">
        <is>
          <t>538377</t>
        </is>
      </c>
    </row>
    <row r="172">
      <c r="A172" s="30" t="inlineStr">
        <is>
          <t>SESHAPAPER</t>
        </is>
      </c>
      <c r="B172" s="30" t="inlineStr">
        <is>
          <t>Seshasayee Paper And Boards Limited</t>
        </is>
      </c>
      <c r="C172" s="30" t="inlineStr">
        <is>
          <t>building materials</t>
        </is>
      </c>
      <c r="D172" s="30" t="inlineStr">
        <is>
          <t>paper</t>
        </is>
      </c>
      <c r="E172" s="30" t="inlineStr">
        <is>
          <t>smallcap</t>
        </is>
      </c>
      <c r="F172" s="30" t="n">
        <v>1543.53</v>
      </c>
      <c r="G172" s="30" t="n">
        <v>246.27</v>
      </c>
      <c r="H172" s="30" t="n">
        <v>0.63</v>
      </c>
      <c r="I172" s="30" t="n">
        <v>34098</v>
      </c>
      <c r="J172" s="30" t="inlineStr">
        <is>
          <t>502450</t>
        </is>
      </c>
    </row>
    <row r="173">
      <c r="A173" s="30" t="inlineStr">
        <is>
          <t>SMCGLOBAL</t>
        </is>
      </c>
      <c r="B173" s="30" t="inlineStr">
        <is>
          <t>SMC Global Securities Ltd</t>
        </is>
      </c>
      <c r="C173" s="30" t="inlineStr">
        <is>
          <t>financials</t>
        </is>
      </c>
      <c r="D173" s="30" t="inlineStr">
        <is>
          <t>finance &amp; investments</t>
        </is>
      </c>
      <c r="E173" s="30" t="inlineStr">
        <is>
          <t>smallcap</t>
        </is>
      </c>
      <c r="F173" s="30" t="n">
        <v>1781.37</v>
      </c>
      <c r="G173" s="30" t="n">
        <v>85.59999999999999</v>
      </c>
      <c r="H173" s="30" t="n">
        <v>0.62</v>
      </c>
      <c r="I173" s="30" t="n">
        <v>892402</v>
      </c>
      <c r="J173" s="30" t="inlineStr">
        <is>
          <t>543263</t>
        </is>
      </c>
    </row>
    <row r="174">
      <c r="A174" s="30" t="inlineStr">
        <is>
          <t>SHILPAMED</t>
        </is>
      </c>
      <c r="B174" s="30" t="inlineStr">
        <is>
          <t>Shilpa Medicare Limited</t>
        </is>
      </c>
      <c r="C174" s="30" t="inlineStr">
        <is>
          <t>healthcare</t>
        </is>
      </c>
      <c r="D174" s="30" t="inlineStr">
        <is>
          <t>pharmaceuticals - indian - formulations</t>
        </is>
      </c>
      <c r="E174" s="30" t="inlineStr">
        <is>
          <t>midcap</t>
        </is>
      </c>
      <c r="F174" s="30" t="n">
        <v>19700.96</v>
      </c>
      <c r="G174" s="30" t="n">
        <v>1013.45</v>
      </c>
      <c r="H174" s="30" t="n">
        <v>0.61</v>
      </c>
      <c r="I174" s="30" t="n">
        <v>604526</v>
      </c>
      <c r="J174" s="30" t="inlineStr">
        <is>
          <t>530549</t>
        </is>
      </c>
    </row>
    <row r="175">
      <c r="A175" s="30" t="inlineStr">
        <is>
          <t>JINDALSTEL</t>
        </is>
      </c>
      <c r="B175" s="30" t="inlineStr">
        <is>
          <t>Jindal Steel Ltd</t>
        </is>
      </c>
      <c r="C175" s="30" t="inlineStr">
        <is>
          <t>metals &amp; mining</t>
        </is>
      </c>
      <c r="D175" s="30" t="inlineStr">
        <is>
          <t>steel - large</t>
        </is>
      </c>
      <c r="E175" s="30" t="inlineStr">
        <is>
          <t>largecap</t>
        </is>
      </c>
      <c r="F175" s="30" t="n">
        <v>118105.8</v>
      </c>
      <c r="G175" s="30" t="n">
        <v>1164.8</v>
      </c>
      <c r="H175" s="30" t="n">
        <v>0.6</v>
      </c>
      <c r="I175" s="30" t="n">
        <v>423334</v>
      </c>
      <c r="J175" s="30" t="inlineStr">
        <is>
          <t>532286</t>
        </is>
      </c>
    </row>
    <row r="176">
      <c r="A176" s="30" t="inlineStr">
        <is>
          <t>ANDHRAPAP</t>
        </is>
      </c>
      <c r="B176" s="30" t="inlineStr">
        <is>
          <t>Andhra Paper Ltd</t>
        </is>
      </c>
      <c r="C176" s="30" t="inlineStr">
        <is>
          <t>building materials</t>
        </is>
      </c>
      <c r="D176" s="30" t="inlineStr">
        <is>
          <t>paper</t>
        </is>
      </c>
      <c r="E176" s="30" t="inlineStr">
        <is>
          <t>smallcap</t>
        </is>
      </c>
      <c r="F176" s="30" t="n">
        <v>1463.94</v>
      </c>
      <c r="G176" s="30" t="n">
        <v>74.05</v>
      </c>
      <c r="H176" s="30" t="n">
        <v>0.58</v>
      </c>
      <c r="I176" s="30" t="n">
        <v>441096</v>
      </c>
      <c r="J176" s="30" t="inlineStr">
        <is>
          <t>502330</t>
        </is>
      </c>
    </row>
    <row r="177">
      <c r="A177" s="30" t="inlineStr">
        <is>
          <t>AARTIPHARM</t>
        </is>
      </c>
      <c r="B177" s="30" t="inlineStr">
        <is>
          <t>Aarti Pharmalabs Ltd</t>
        </is>
      </c>
      <c r="C177" s="30" t="inlineStr">
        <is>
          <t>healthcare</t>
        </is>
      </c>
      <c r="D177" s="30" t="inlineStr">
        <is>
          <t>pharmaceuticals - indian - bulk drugs &amp; formln</t>
        </is>
      </c>
      <c r="E177" s="30" t="inlineStr">
        <is>
          <t>midcap</t>
        </is>
      </c>
      <c r="F177" s="30" t="n">
        <v>8471.76</v>
      </c>
      <c r="G177" s="30" t="n">
        <v>939.55</v>
      </c>
      <c r="H177" s="30" t="n">
        <v>0.57</v>
      </c>
      <c r="I177" s="30" t="n">
        <v>675198</v>
      </c>
      <c r="J177" s="30" t="inlineStr">
        <is>
          <t>543748</t>
        </is>
      </c>
    </row>
    <row r="178">
      <c r="A178" s="30" t="inlineStr">
        <is>
          <t>RBLBANK</t>
        </is>
      </c>
      <c r="B178" s="30" t="inlineStr">
        <is>
          <t>Rbl Bank Limited</t>
        </is>
      </c>
      <c r="C178" s="30" t="inlineStr">
        <is>
          <t>bank</t>
        </is>
      </c>
      <c r="D178" s="30" t="inlineStr">
        <is>
          <t>banks - private sector</t>
        </is>
      </c>
      <c r="E178" s="30" t="inlineStr">
        <is>
          <t>largecap</t>
        </is>
      </c>
      <c r="F178" s="30" t="n">
        <v>63916.73</v>
      </c>
      <c r="G178" s="30" t="n">
        <v>415.05</v>
      </c>
      <c r="H178" s="30" t="n">
        <v>0.5600000000000001</v>
      </c>
      <c r="I178" s="30" t="n">
        <v>3419454</v>
      </c>
      <c r="J178" s="30" t="inlineStr">
        <is>
          <t>540065</t>
        </is>
      </c>
    </row>
    <row r="179">
      <c r="A179" s="30" t="inlineStr">
        <is>
          <t>RAIN</t>
        </is>
      </c>
      <c r="B179" s="30" t="inlineStr">
        <is>
          <t>Rain Industries Limited</t>
        </is>
      </c>
      <c r="C179" s="30" t="inlineStr">
        <is>
          <t>miscellaneous</t>
        </is>
      </c>
      <c r="D179" s="30" t="inlineStr">
        <is>
          <t>miscellaneous</t>
        </is>
      </c>
      <c r="E179" s="30" t="inlineStr">
        <is>
          <t>midcap</t>
        </is>
      </c>
      <c r="F179" s="30" t="n">
        <v>7340.07</v>
      </c>
      <c r="G179" s="30" t="n">
        <v>219.35</v>
      </c>
      <c r="H179" s="30" t="n">
        <v>0.51</v>
      </c>
      <c r="I179" s="30" t="n">
        <v>3244552</v>
      </c>
      <c r="J179" s="30" t="inlineStr">
        <is>
          <t>500339</t>
        </is>
      </c>
    </row>
    <row r="180">
      <c r="A180" s="30" t="inlineStr">
        <is>
          <t>NAZARA</t>
        </is>
      </c>
      <c r="B180" s="30" t="inlineStr">
        <is>
          <t>Nazara Technologies Ltd</t>
        </is>
      </c>
      <c r="C180" s="30" t="inlineStr">
        <is>
          <t>i.t</t>
        </is>
      </c>
      <c r="D180" s="30" t="inlineStr">
        <is>
          <t>telecommunications - service provider</t>
        </is>
      </c>
      <c r="E180" s="30" t="inlineStr">
        <is>
          <t>midcap</t>
        </is>
      </c>
      <c r="F180" s="30" t="n">
        <v>14408.79</v>
      </c>
      <c r="G180" s="30" t="n">
        <v>376.45</v>
      </c>
      <c r="H180" s="30" t="n">
        <v>0.51</v>
      </c>
      <c r="I180" s="30" t="n">
        <v>2396562</v>
      </c>
      <c r="J180" s="30" t="inlineStr">
        <is>
          <t>543280</t>
        </is>
      </c>
    </row>
    <row r="181">
      <c r="A181" s="30" t="inlineStr">
        <is>
          <t>ZIMLAB</t>
        </is>
      </c>
      <c r="B181" s="30" t="inlineStr">
        <is>
          <t>Zim Laboratories Ltd</t>
        </is>
      </c>
      <c r="C181" s="30" t="inlineStr">
        <is>
          <t>healthcare</t>
        </is>
      </c>
      <c r="D181" s="30" t="inlineStr">
        <is>
          <t>pharmaceuticals - indian - bulk drugs &amp; formln</t>
        </is>
      </c>
      <c r="E181" s="30" t="inlineStr">
        <is>
          <t>smallcap</t>
        </is>
      </c>
      <c r="F181" s="30" t="n">
        <v>738.01</v>
      </c>
      <c r="G181" s="30" t="n">
        <v>138.48</v>
      </c>
      <c r="H181" s="30" t="n">
        <v>0.48</v>
      </c>
      <c r="I181" s="30" t="n">
        <v>179885</v>
      </c>
      <c r="J181" s="30" t="inlineStr">
        <is>
          <t>541400</t>
        </is>
      </c>
    </row>
    <row r="182">
      <c r="A182" s="30" t="inlineStr">
        <is>
          <t>IOLCP</t>
        </is>
      </c>
      <c r="B182" s="30" t="inlineStr">
        <is>
          <t>Iol Chemicals And Pharmaceuticals Limited</t>
        </is>
      </c>
      <c r="C182" s="30" t="inlineStr">
        <is>
          <t>healthcare</t>
        </is>
      </c>
      <c r="D182" s="30" t="inlineStr">
        <is>
          <t>pharmaceuticals - indian - bulk drugs &amp; formln</t>
        </is>
      </c>
      <c r="E182" s="30" t="inlineStr">
        <is>
          <t>midcap</t>
        </is>
      </c>
      <c r="F182" s="30" t="n">
        <v>5965.07</v>
      </c>
      <c r="G182" s="30" t="n">
        <v>204.19</v>
      </c>
      <c r="H182" s="30" t="n">
        <v>0.48</v>
      </c>
      <c r="I182" s="30" t="n">
        <v>2455948</v>
      </c>
      <c r="J182" s="30" t="inlineStr">
        <is>
          <t>524164</t>
        </is>
      </c>
    </row>
    <row r="183">
      <c r="A183" s="30" t="inlineStr">
        <is>
          <t>IRISDOREME</t>
        </is>
      </c>
      <c r="B183" s="30" t="inlineStr">
        <is>
          <t>Iris Clothings Ltd</t>
        </is>
      </c>
      <c r="C183" s="30" t="inlineStr">
        <is>
          <t>readymade garments/apparels</t>
        </is>
      </c>
      <c r="D183" s="30" t="inlineStr">
        <is>
          <t>textiles - products</t>
        </is>
      </c>
      <c r="E183" s="30" t="inlineStr">
        <is>
          <t>smallcap</t>
        </is>
      </c>
      <c r="F183" s="30" t="n">
        <v>1253.33</v>
      </c>
      <c r="G183" s="30" t="n">
        <v>66.15000000000001</v>
      </c>
      <c r="H183" s="30" t="n">
        <v>0.46</v>
      </c>
      <c r="I183" s="30" t="n">
        <v>666872</v>
      </c>
      <c r="J183" s="30" t="inlineStr">
        <is>
          <t>535123</t>
        </is>
      </c>
    </row>
    <row r="184">
      <c r="A184" s="30" t="inlineStr">
        <is>
          <t>MOLDTECH</t>
        </is>
      </c>
      <c r="B184" s="30" t="inlineStr">
        <is>
          <t>Mold-tek Technologies Limited</t>
        </is>
      </c>
      <c r="C184" s="30" t="inlineStr">
        <is>
          <t>realty</t>
        </is>
      </c>
      <c r="D184" s="30" t="inlineStr">
        <is>
          <t>engineering - turnkey services</t>
        </is>
      </c>
      <c r="E184" s="30" t="inlineStr">
        <is>
          <t>smallcap</t>
        </is>
      </c>
      <c r="F184" s="30" t="n">
        <v>573.8</v>
      </c>
      <c r="G184" s="30" t="n">
        <v>200.08</v>
      </c>
      <c r="H184" s="30" t="n">
        <v>0.44</v>
      </c>
      <c r="I184" s="30" t="n">
        <v>23826</v>
      </c>
      <c r="J184" s="30" t="inlineStr">
        <is>
          <t>526263</t>
        </is>
      </c>
    </row>
    <row r="185">
      <c r="A185" s="30" t="inlineStr">
        <is>
          <t>ONEPOINT</t>
        </is>
      </c>
      <c r="B185" s="30" t="inlineStr">
        <is>
          <t>One Point One Solutions Ltd</t>
        </is>
      </c>
      <c r="C185" s="30" t="inlineStr">
        <is>
          <t>i.t</t>
        </is>
      </c>
      <c r="D185" s="30" t="inlineStr">
        <is>
          <t>computers - software - medium / small</t>
        </is>
      </c>
      <c r="E185" s="30" t="inlineStr">
        <is>
          <t>smallcap</t>
        </is>
      </c>
      <c r="F185" s="30" t="n">
        <v>1822.41</v>
      </c>
      <c r="G185" s="30" t="n">
        <v>69.59999999999999</v>
      </c>
      <c r="H185" s="30" t="n">
        <v>0.42</v>
      </c>
      <c r="I185" s="30" t="n">
        <v>5644105</v>
      </c>
      <c r="J185" s="30" t="inlineStr">
        <is>
          <t>535039</t>
        </is>
      </c>
    </row>
    <row r="186">
      <c r="A186" s="30" t="inlineStr">
        <is>
          <t>RAYMONDREL</t>
        </is>
      </c>
      <c r="B186" s="30" t="inlineStr">
        <is>
          <t>Raymond Realty Ltd</t>
        </is>
      </c>
      <c r="C186" s="30" t="inlineStr">
        <is>
          <t>realty</t>
        </is>
      </c>
      <c r="D186" s="30" t="inlineStr">
        <is>
          <t>construction</t>
        </is>
      </c>
      <c r="E186" s="30" t="inlineStr">
        <is>
          <t>smallcap</t>
        </is>
      </c>
      <c r="F186" s="30" t="n">
        <v>4715.42</v>
      </c>
      <c r="G186" s="30" t="n">
        <v>711.3</v>
      </c>
      <c r="H186" s="30" t="n">
        <v>0.42</v>
      </c>
      <c r="I186" s="30" t="n">
        <v>8688746</v>
      </c>
      <c r="J186" s="30" t="inlineStr">
        <is>
          <t>544420</t>
        </is>
      </c>
    </row>
    <row r="187">
      <c r="A187" s="30" t="inlineStr">
        <is>
          <t>ABDL</t>
        </is>
      </c>
      <c r="B187" s="30" t="inlineStr">
        <is>
          <t>Allied Blenders &amp; Distillers Ltd</t>
        </is>
      </c>
      <c r="C187" s="30" t="inlineStr">
        <is>
          <t>fmcg</t>
        </is>
      </c>
      <c r="D187" s="30" t="inlineStr">
        <is>
          <t>breweries &amp; distilleries</t>
        </is>
      </c>
      <c r="E187" s="30" t="inlineStr">
        <is>
          <t>midcap</t>
        </is>
      </c>
      <c r="F187" s="30" t="n">
        <v>19919.56</v>
      </c>
      <c r="G187" s="30" t="n">
        <v>715.05</v>
      </c>
      <c r="H187" s="30" t="n">
        <v>0.41</v>
      </c>
      <c r="I187" s="30" t="n">
        <v>4070753</v>
      </c>
      <c r="J187" s="30" t="inlineStr">
        <is>
          <t>544203</t>
        </is>
      </c>
    </row>
    <row r="188">
      <c r="A188" s="30" t="inlineStr">
        <is>
          <t>CEIGALL</t>
        </is>
      </c>
      <c r="B188" s="30" t="inlineStr">
        <is>
          <t>Ceigall India Ltd</t>
        </is>
      </c>
      <c r="C188" s="30" t="inlineStr">
        <is>
          <t>realty</t>
        </is>
      </c>
      <c r="D188" s="30" t="inlineStr">
        <is>
          <t>construction</t>
        </is>
      </c>
      <c r="E188" s="30" t="inlineStr">
        <is>
          <t>midcap</t>
        </is>
      </c>
      <c r="F188" s="30" t="n">
        <v>6664.21</v>
      </c>
      <c r="G188" s="30" t="n">
        <v>384.1</v>
      </c>
      <c r="H188" s="30" t="n">
        <v>0.41</v>
      </c>
      <c r="I188" s="30" t="n">
        <v>203979</v>
      </c>
      <c r="J188" s="30" t="inlineStr">
        <is>
          <t>544223</t>
        </is>
      </c>
    </row>
    <row r="189">
      <c r="A189" s="30" t="inlineStr">
        <is>
          <t>UFLEX</t>
        </is>
      </c>
      <c r="B189" s="30" t="inlineStr">
        <is>
          <t>Uflex Limited</t>
        </is>
      </c>
      <c r="C189" s="30" t="inlineStr">
        <is>
          <t>industrials</t>
        </is>
      </c>
      <c r="D189" s="30" t="inlineStr">
        <is>
          <t>packaging</t>
        </is>
      </c>
      <c r="E189" s="30" t="inlineStr">
        <is>
          <t>smallcap</t>
        </is>
      </c>
      <c r="F189" s="30" t="n">
        <v>4777.15</v>
      </c>
      <c r="G189" s="30" t="n">
        <v>664.2</v>
      </c>
      <c r="H189" s="30" t="n">
        <v>0.4</v>
      </c>
      <c r="I189" s="30" t="n">
        <v>77164</v>
      </c>
      <c r="J189" s="30" t="inlineStr">
        <is>
          <t>500148</t>
        </is>
      </c>
    </row>
    <row r="190">
      <c r="A190" s="30" t="inlineStr">
        <is>
          <t>RACLGEAR</t>
        </is>
      </c>
      <c r="B190" s="30" t="inlineStr">
        <is>
          <t>RACL Geartech Ltd</t>
        </is>
      </c>
      <c r="C190" s="30" t="inlineStr">
        <is>
          <t>auto</t>
        </is>
      </c>
      <c r="D190" s="30" t="inlineStr">
        <is>
          <t>auto ancillaries</t>
        </is>
      </c>
      <c r="E190" s="30" t="inlineStr">
        <is>
          <t>smallcap</t>
        </is>
      </c>
      <c r="F190" s="30" t="n">
        <v>1980.16</v>
      </c>
      <c r="G190" s="30" t="n">
        <v>1686.5</v>
      </c>
      <c r="H190" s="30" t="n">
        <v>0.4</v>
      </c>
      <c r="I190" s="30" t="n">
        <v>24872</v>
      </c>
      <c r="J190" s="30" t="inlineStr">
        <is>
          <t>520073</t>
        </is>
      </c>
    </row>
    <row r="191">
      <c r="A191" s="30" t="inlineStr">
        <is>
          <t>JSWINFRA</t>
        </is>
      </c>
      <c r="B191" s="30" t="inlineStr">
        <is>
          <t>JSW Infrastructure Ltd</t>
        </is>
      </c>
      <c r="C191" s="30" t="inlineStr">
        <is>
          <t>transportation</t>
        </is>
      </c>
      <c r="D191" s="30" t="inlineStr">
        <is>
          <t>miscellaneous</t>
        </is>
      </c>
      <c r="E191" s="30" t="inlineStr">
        <is>
          <t>largecap</t>
        </is>
      </c>
      <c r="F191" s="30" t="n">
        <v>84043.16</v>
      </c>
      <c r="G191" s="30" t="n">
        <v>362.05</v>
      </c>
      <c r="H191" s="30" t="n">
        <v>0.37</v>
      </c>
      <c r="I191" s="30" t="n">
        <v>3920526</v>
      </c>
      <c r="J191" s="30" t="inlineStr">
        <is>
          <t>543994</t>
        </is>
      </c>
    </row>
    <row r="192">
      <c r="A192" s="30" t="inlineStr">
        <is>
          <t>ASKAUTOLTD</t>
        </is>
      </c>
      <c r="B192" s="30" t="inlineStr">
        <is>
          <t>ASK Automotive Ltd</t>
        </is>
      </c>
      <c r="C192" s="30" t="inlineStr">
        <is>
          <t>auto</t>
        </is>
      </c>
      <c r="D192" s="30" t="inlineStr">
        <is>
          <t>auto ancillaries</t>
        </is>
      </c>
      <c r="E192" s="30" t="inlineStr">
        <is>
          <t>midcap</t>
        </is>
      </c>
      <c r="F192" s="30" t="n">
        <v>12671.34</v>
      </c>
      <c r="G192" s="30" t="n">
        <v>645.15</v>
      </c>
      <c r="H192" s="30" t="n">
        <v>0.37</v>
      </c>
      <c r="I192" s="30" t="n">
        <v>133775</v>
      </c>
      <c r="J192" s="30" t="inlineStr">
        <is>
          <t>544022</t>
        </is>
      </c>
    </row>
    <row r="193">
      <c r="A193" s="30" t="inlineStr">
        <is>
          <t>MSTCLTD</t>
        </is>
      </c>
      <c r="B193" s="30" t="inlineStr">
        <is>
          <t>MSTC Ltd</t>
        </is>
      </c>
      <c r="C193" s="30" t="inlineStr">
        <is>
          <t>i.t</t>
        </is>
      </c>
      <c r="D193" s="30" t="inlineStr">
        <is>
          <t>trading</t>
        </is>
      </c>
      <c r="E193" s="30" t="inlineStr">
        <is>
          <t>midcap</t>
        </is>
      </c>
      <c r="F193" s="30" t="n">
        <v>5195.87</v>
      </c>
      <c r="G193" s="30" t="n">
        <v>740.8</v>
      </c>
      <c r="H193" s="30" t="n">
        <v>0.37</v>
      </c>
      <c r="I193" s="30" t="n">
        <v>418504</v>
      </c>
      <c r="J193" s="30" t="inlineStr">
        <is>
          <t>542597</t>
        </is>
      </c>
    </row>
    <row r="194">
      <c r="A194" s="30" t="inlineStr">
        <is>
          <t>LICHSGFIN</t>
        </is>
      </c>
      <c r="B194" s="30" t="inlineStr">
        <is>
          <t>Lic Housing Finance Limited</t>
        </is>
      </c>
      <c r="C194" s="30" t="inlineStr">
        <is>
          <t>financials</t>
        </is>
      </c>
      <c r="D194" s="30" t="inlineStr">
        <is>
          <t>finance - housing</t>
        </is>
      </c>
      <c r="E194" s="30" t="inlineStr">
        <is>
          <t>largecap</t>
        </is>
      </c>
      <c r="F194" s="30" t="n">
        <v>31037.3</v>
      </c>
      <c r="G194" s="30" t="n">
        <v>566</v>
      </c>
      <c r="H194" s="30" t="n">
        <v>0.31</v>
      </c>
      <c r="I194" s="30" t="n">
        <v>1070523</v>
      </c>
      <c r="J194" s="30" t="inlineStr">
        <is>
          <t>500253</t>
        </is>
      </c>
    </row>
    <row r="195">
      <c r="A195" s="30" t="inlineStr">
        <is>
          <t>ASHIANA</t>
        </is>
      </c>
      <c r="B195" s="30" t="inlineStr">
        <is>
          <t>Ashiana Housing Limited</t>
        </is>
      </c>
      <c r="C195" s="30" t="inlineStr">
        <is>
          <t>realty</t>
        </is>
      </c>
      <c r="D195" s="30" t="inlineStr">
        <is>
          <t>construction</t>
        </is>
      </c>
      <c r="E195" s="30" t="inlineStr">
        <is>
          <t>smallcap</t>
        </is>
      </c>
      <c r="F195" s="30" t="n">
        <v>3905.39</v>
      </c>
      <c r="G195" s="30" t="n">
        <v>389.7</v>
      </c>
      <c r="H195" s="30" t="n">
        <v>0.31</v>
      </c>
      <c r="I195" s="30" t="n">
        <v>19421</v>
      </c>
      <c r="J195" s="30" t="inlineStr">
        <is>
          <t>523716</t>
        </is>
      </c>
    </row>
    <row r="196">
      <c r="A196" s="30" t="inlineStr">
        <is>
          <t>DOLPHIN</t>
        </is>
      </c>
      <c r="B196" s="30" t="inlineStr">
        <is>
          <t>Dolphin Offshore Enterprises (India) Ltd</t>
        </is>
      </c>
      <c r="C196" s="30" t="inlineStr">
        <is>
          <t>energy</t>
        </is>
      </c>
      <c r="D196" s="30" t="inlineStr">
        <is>
          <t>oil drilling / allied services</t>
        </is>
      </c>
      <c r="E196" s="30" t="inlineStr">
        <is>
          <t>smallcap</t>
        </is>
      </c>
      <c r="F196" s="30" t="n">
        <v>2741.51</v>
      </c>
      <c r="G196" s="30" t="n">
        <v>687.45</v>
      </c>
      <c r="H196" s="30" t="n">
        <v>0.31</v>
      </c>
      <c r="I196" s="30" t="n">
        <v>35738</v>
      </c>
      <c r="J196" s="30" t="inlineStr">
        <is>
          <t>522261</t>
        </is>
      </c>
    </row>
    <row r="197">
      <c r="A197" s="30" t="inlineStr">
        <is>
          <t>OAL</t>
        </is>
      </c>
      <c r="B197" s="30" t="inlineStr">
        <is>
          <t>Oriental Aromatics Ltd</t>
        </is>
      </c>
      <c r="C197" s="30" t="inlineStr">
        <is>
          <t>chemicals</t>
        </is>
      </c>
      <c r="D197" s="30" t="inlineStr">
        <is>
          <t>chemicals</t>
        </is>
      </c>
      <c r="E197" s="30" t="inlineStr">
        <is>
          <t>smallcap</t>
        </is>
      </c>
      <c r="F197" s="30" t="n">
        <v>1791.38</v>
      </c>
      <c r="G197" s="30" t="n">
        <v>533.65</v>
      </c>
      <c r="H197" s="30" t="n">
        <v>0.25</v>
      </c>
      <c r="I197" s="30" t="n">
        <v>28203</v>
      </c>
      <c r="J197" s="30" t="inlineStr">
        <is>
          <t>500078</t>
        </is>
      </c>
    </row>
    <row r="198">
      <c r="A198" s="30" t="inlineStr">
        <is>
          <t>AKUMS</t>
        </is>
      </c>
      <c r="B198" s="30" t="inlineStr">
        <is>
          <t>Akums Drugs &amp; Pharmaceuticals Ltd</t>
        </is>
      </c>
      <c r="C198" s="30" t="inlineStr">
        <is>
          <t>healthcare</t>
        </is>
      </c>
      <c r="D198" s="30" t="inlineStr">
        <is>
          <t>pharmaceuticals - indian - bulk drugs &amp; formln</t>
        </is>
      </c>
      <c r="E198" s="30" t="inlineStr">
        <is>
          <t>midcap</t>
        </is>
      </c>
      <c r="F198" s="30" t="n">
        <v>12868.53</v>
      </c>
      <c r="G198" s="30" t="n">
        <v>819.55</v>
      </c>
      <c r="H198" s="30" t="n">
        <v>0.24</v>
      </c>
      <c r="I198" s="30" t="n">
        <v>152812</v>
      </c>
      <c r="J198" s="30" t="inlineStr">
        <is>
          <t>544222</t>
        </is>
      </c>
    </row>
    <row r="199">
      <c r="A199" s="30" t="inlineStr">
        <is>
          <t>VINCOFE</t>
        </is>
      </c>
      <c r="B199" s="30" t="inlineStr">
        <is>
          <t>Vintage Coffee &amp; Beverages Ltd</t>
        </is>
      </c>
      <c r="C199" s="30" t="inlineStr">
        <is>
          <t>consumer discretionary</t>
        </is>
      </c>
      <c r="D199" s="30" t="inlineStr">
        <is>
          <t>trading</t>
        </is>
      </c>
      <c r="E199" s="30" t="inlineStr">
        <is>
          <t>smallcap</t>
        </is>
      </c>
      <c r="F199" s="30" t="n">
        <v>2677.02</v>
      </c>
      <c r="G199" s="30" t="n">
        <v>184.15</v>
      </c>
      <c r="H199" s="30" t="n">
        <v>0.22</v>
      </c>
      <c r="I199" s="30" t="n">
        <v>911215</v>
      </c>
      <c r="J199" s="30" t="inlineStr">
        <is>
          <t>538920</t>
        </is>
      </c>
    </row>
    <row r="200">
      <c r="A200" s="30" t="inlineStr">
        <is>
          <t>REDINGTON</t>
        </is>
      </c>
      <c r="B200" s="30" t="inlineStr">
        <is>
          <t>Redington (india) Limited</t>
        </is>
      </c>
      <c r="C200" s="30" t="inlineStr">
        <is>
          <t>services</t>
        </is>
      </c>
      <c r="D200" s="30" t="inlineStr">
        <is>
          <t>trading</t>
        </is>
      </c>
      <c r="E200" s="30" t="inlineStr">
        <is>
          <t>largecap</t>
        </is>
      </c>
      <c r="F200" s="30" t="n">
        <v>31771.31</v>
      </c>
      <c r="G200" s="30" t="n">
        <v>407.25</v>
      </c>
      <c r="H200" s="30" t="n">
        <v>0.21</v>
      </c>
      <c r="I200" s="30" t="n">
        <v>2473777</v>
      </c>
      <c r="J200" s="30" t="inlineStr">
        <is>
          <t>532805</t>
        </is>
      </c>
    </row>
    <row r="201">
      <c r="A201" s="30" t="inlineStr">
        <is>
          <t>SMSPHARMA</t>
        </is>
      </c>
      <c r="B201" s="30" t="inlineStr">
        <is>
          <t>Sms Pharmaceuticals Limited</t>
        </is>
      </c>
      <c r="C201" s="30" t="inlineStr">
        <is>
          <t>healthcare</t>
        </is>
      </c>
      <c r="D201" s="30" t="inlineStr">
        <is>
          <t>pharmaceuticals - indian - bulk drugs</t>
        </is>
      </c>
      <c r="E201" s="30" t="inlineStr">
        <is>
          <t>smallcap</t>
        </is>
      </c>
      <c r="F201" s="30" t="n">
        <v>4439.57</v>
      </c>
      <c r="G201" s="30" t="n">
        <v>475</v>
      </c>
      <c r="H201" s="30" t="n">
        <v>0.2</v>
      </c>
      <c r="I201" s="30" t="n">
        <v>361831</v>
      </c>
      <c r="J201" s="30" t="inlineStr">
        <is>
          <t>532815</t>
        </is>
      </c>
    </row>
    <row r="202">
      <c r="A202" s="30" t="inlineStr">
        <is>
          <t>DIVISLAB</t>
        </is>
      </c>
      <c r="B202" s="30" t="inlineStr">
        <is>
          <t>Divi's Laboratories Limited</t>
        </is>
      </c>
      <c r="C202" s="30" t="inlineStr">
        <is>
          <t>healthcare</t>
        </is>
      </c>
      <c r="D202" s="30" t="inlineStr">
        <is>
          <t>pharmaceuticals - indian - bulk drugs</t>
        </is>
      </c>
      <c r="E202" s="30" t="inlineStr">
        <is>
          <t>largecap</t>
        </is>
      </c>
      <c r="F202" s="30" t="n">
        <v>254902.93</v>
      </c>
      <c r="G202" s="30" t="n">
        <v>9619.5</v>
      </c>
      <c r="H202" s="30" t="n">
        <v>0.18</v>
      </c>
      <c r="I202" s="30" t="n">
        <v>388859</v>
      </c>
      <c r="J202" s="30" t="inlineStr">
        <is>
          <t>532488</t>
        </is>
      </c>
    </row>
    <row r="203">
      <c r="A203" s="30" t="inlineStr">
        <is>
          <t>INDNIPPON</t>
        </is>
      </c>
      <c r="B203" s="30" t="inlineStr">
        <is>
          <t>India Nippon Electricals Limited</t>
        </is>
      </c>
      <c r="C203" s="30" t="inlineStr">
        <is>
          <t>auto</t>
        </is>
      </c>
      <c r="D203" s="30" t="inlineStr">
        <is>
          <t>auto ancillaries</t>
        </is>
      </c>
      <c r="E203" s="30" t="inlineStr">
        <is>
          <t>smallcap</t>
        </is>
      </c>
      <c r="F203" s="30" t="n">
        <v>2976.75</v>
      </c>
      <c r="G203" s="30" t="n">
        <v>1318.2</v>
      </c>
      <c r="H203" s="30" t="n">
        <v>0.17</v>
      </c>
      <c r="I203" s="30" t="n">
        <v>88704</v>
      </c>
      <c r="J203" s="30" t="inlineStr">
        <is>
          <t>532240</t>
        </is>
      </c>
    </row>
    <row r="204">
      <c r="A204" s="30" t="inlineStr">
        <is>
          <t>ADANIPORTS</t>
        </is>
      </c>
      <c r="B204" s="30" t="inlineStr">
        <is>
          <t>Adani Ports And Special Economic Zone Limited</t>
        </is>
      </c>
      <c r="C204" s="30" t="inlineStr">
        <is>
          <t>transportation</t>
        </is>
      </c>
      <c r="D204" s="30" t="inlineStr">
        <is>
          <t>miscellaneous</t>
        </is>
      </c>
      <c r="E204" s="30" t="inlineStr">
        <is>
          <t>largecap</t>
        </is>
      </c>
      <c r="F204" s="30" t="n">
        <v>411325.82</v>
      </c>
      <c r="G204" s="30" t="n">
        <v>1788</v>
      </c>
      <c r="H204" s="30" t="n">
        <v>0.15</v>
      </c>
      <c r="I204" s="30" t="n">
        <v>895306</v>
      </c>
      <c r="J204" s="30" t="inlineStr">
        <is>
          <t>532921</t>
        </is>
      </c>
    </row>
    <row r="205">
      <c r="A205" s="30" t="inlineStr">
        <is>
          <t>KINGFA</t>
        </is>
      </c>
      <c r="B205" s="30" t="inlineStr">
        <is>
          <t>Kingfa Science &amp; Technology (india) Limited</t>
        </is>
      </c>
      <c r="C205" s="30" t="inlineStr">
        <is>
          <t>plastic products</t>
        </is>
      </c>
      <c r="D205" s="30" t="inlineStr">
        <is>
          <t>plastics products</t>
        </is>
      </c>
      <c r="E205" s="30" t="inlineStr">
        <is>
          <t>midcap</t>
        </is>
      </c>
      <c r="F205" s="30" t="n">
        <v>8440.48</v>
      </c>
      <c r="G205" s="30" t="n">
        <v>6237.5</v>
      </c>
      <c r="H205" s="30" t="n">
        <v>0.14</v>
      </c>
      <c r="I205" s="30" t="n">
        <v>5672</v>
      </c>
      <c r="J205" s="30" t="inlineStr">
        <is>
          <t>524019</t>
        </is>
      </c>
    </row>
    <row r="206">
      <c r="A206" s="30" t="inlineStr">
        <is>
          <t>PITTIENG</t>
        </is>
      </c>
      <c r="B206" s="30" t="inlineStr">
        <is>
          <t>Pitti Engineering Ltd</t>
        </is>
      </c>
      <c r="C206" s="30" t="inlineStr">
        <is>
          <t>industrials</t>
        </is>
      </c>
      <c r="D206" s="30" t="inlineStr">
        <is>
          <t>engineering</t>
        </is>
      </c>
      <c r="E206" s="30" t="inlineStr">
        <is>
          <t>smallcap</t>
        </is>
      </c>
      <c r="F206" s="30" t="n">
        <v>4371.58</v>
      </c>
      <c r="G206" s="30" t="n">
        <v>1162.4</v>
      </c>
      <c r="H206" s="30" t="n">
        <v>0.12</v>
      </c>
      <c r="I206" s="30" t="n">
        <v>93537</v>
      </c>
      <c r="J206" s="30" t="inlineStr">
        <is>
          <t>513519</t>
        </is>
      </c>
    </row>
    <row r="207">
      <c r="A207" s="30" t="inlineStr">
        <is>
          <t>SYNCOMF</t>
        </is>
      </c>
      <c r="B207" s="30" t="inlineStr">
        <is>
          <t>Syncom Formulations (India) Ltd</t>
        </is>
      </c>
      <c r="C207" s="30" t="inlineStr">
        <is>
          <t>healthcare</t>
        </is>
      </c>
      <c r="D207" s="30" t="inlineStr">
        <is>
          <t>pharmaceuticals - indian - bulk drugs &amp; formln</t>
        </is>
      </c>
      <c r="E207" s="30" t="inlineStr">
        <is>
          <t>smallcap</t>
        </is>
      </c>
      <c r="F207" s="30" t="n">
        <v>1882.82</v>
      </c>
      <c r="G207" s="30" t="n">
        <v>20.05</v>
      </c>
      <c r="H207" s="30" t="n">
        <v>0.1</v>
      </c>
      <c r="I207" s="30" t="n">
        <v>7105116</v>
      </c>
      <c r="J207" s="30" t="inlineStr">
        <is>
          <t>524470</t>
        </is>
      </c>
    </row>
    <row r="208">
      <c r="A208" s="30" t="inlineStr">
        <is>
          <t>SOUTHBANK</t>
        </is>
      </c>
      <c r="B208" s="30" t="inlineStr">
        <is>
          <t>The South Indian Bank Limited</t>
        </is>
      </c>
      <c r="C208" s="30" t="inlineStr">
        <is>
          <t>bank</t>
        </is>
      </c>
      <c r="D208" s="30" t="inlineStr">
        <is>
          <t>banks - private sector</t>
        </is>
      </c>
      <c r="E208" s="30" t="inlineStr">
        <is>
          <t>midcap</t>
        </is>
      </c>
      <c r="F208" s="30" t="n">
        <v>13064.15</v>
      </c>
      <c r="G208" s="30" t="n">
        <v>49.95</v>
      </c>
      <c r="H208" s="30" t="n">
        <v>0.1</v>
      </c>
      <c r="I208" s="30" t="n">
        <v>28889000</v>
      </c>
      <c r="J208" s="30" t="inlineStr">
        <is>
          <t>532218</t>
        </is>
      </c>
    </row>
    <row r="209">
      <c r="A209" s="30" t="inlineStr">
        <is>
          <t>MACPOWER</t>
        </is>
      </c>
      <c r="B209" s="30" t="inlineStr">
        <is>
          <t>Macpower CNC Machines Ltd</t>
        </is>
      </c>
      <c r="C209" s="30" t="inlineStr">
        <is>
          <t>industrials</t>
        </is>
      </c>
      <c r="D209" s="30" t="inlineStr">
        <is>
          <t>engineering</t>
        </is>
      </c>
      <c r="E209" s="30" t="inlineStr">
        <is>
          <t>smallcap</t>
        </is>
      </c>
      <c r="F209" s="30" t="n">
        <v>2061.96</v>
      </c>
      <c r="G209" s="30" t="n">
        <v>2062.5</v>
      </c>
      <c r="H209" s="30" t="n">
        <v>0.07000000000000001</v>
      </c>
      <c r="I209" s="30" t="n">
        <v>22980</v>
      </c>
      <c r="J209" s="30" t="inlineStr">
        <is>
          <t>535057</t>
        </is>
      </c>
    </row>
    <row r="210">
      <c r="A210" s="30" t="inlineStr">
        <is>
          <t>BIL</t>
        </is>
      </c>
      <c r="B210" s="30" t="inlineStr">
        <is>
          <t>Bhartiya International Limited</t>
        </is>
      </c>
      <c r="C210" s="30" t="inlineStr">
        <is>
          <t>consumer discretionary</t>
        </is>
      </c>
      <c r="D210" s="30" t="inlineStr">
        <is>
          <t>leather / leather products</t>
        </is>
      </c>
      <c r="E210" s="30" t="inlineStr">
        <is>
          <t>smallcap</t>
        </is>
      </c>
      <c r="F210" s="30" t="n">
        <v>1354.79</v>
      </c>
      <c r="G210" s="30" t="n">
        <v>1010.85</v>
      </c>
      <c r="H210" s="30" t="n">
        <v>0.06</v>
      </c>
      <c r="I210" s="30" t="n">
        <v>4693</v>
      </c>
      <c r="J210" s="30" t="inlineStr">
        <is>
          <t>526666</t>
        </is>
      </c>
    </row>
    <row r="211">
      <c r="A211" s="30" t="inlineStr">
        <is>
          <t>SHANTIGEAR</t>
        </is>
      </c>
      <c r="B211" s="30" t="inlineStr">
        <is>
          <t>Shanthi Gears Limited</t>
        </is>
      </c>
      <c r="C211" s="30" t="inlineStr">
        <is>
          <t>industrials</t>
        </is>
      </c>
      <c r="D211" s="30" t="inlineStr">
        <is>
          <t>engineering</t>
        </is>
      </c>
      <c r="E211" s="30" t="inlineStr">
        <is>
          <t>midcap</t>
        </is>
      </c>
      <c r="F211" s="30" t="n">
        <v>5111.19</v>
      </c>
      <c r="G211" s="30" t="n">
        <v>666.55</v>
      </c>
      <c r="H211" s="30" t="n">
        <v>0.05</v>
      </c>
      <c r="I211" s="30" t="n">
        <v>28415</v>
      </c>
      <c r="J211" s="30" t="inlineStr">
        <is>
          <t>522034</t>
        </is>
      </c>
    </row>
    <row r="212">
      <c r="A212" s="30" t="inlineStr">
        <is>
          <t>MAHLOG</t>
        </is>
      </c>
      <c r="B212" s="30" t="inlineStr">
        <is>
          <t>Mahindra Logistics Ltd</t>
        </is>
      </c>
      <c r="C212" s="30" t="inlineStr">
        <is>
          <t>transportation</t>
        </is>
      </c>
      <c r="D212" s="30" t="inlineStr">
        <is>
          <t>miscellaneous</t>
        </is>
      </c>
      <c r="E212" s="30" t="inlineStr">
        <is>
          <t>smallcap</t>
        </is>
      </c>
      <c r="F212" s="30" t="n">
        <v>4167.84</v>
      </c>
      <c r="G212" s="30" t="n">
        <v>420.25</v>
      </c>
      <c r="H212" s="30" t="n">
        <v>0.05</v>
      </c>
      <c r="I212" s="30" t="n">
        <v>447609</v>
      </c>
      <c r="J212" s="30" t="inlineStr">
        <is>
          <t>540768</t>
        </is>
      </c>
    </row>
    <row r="213">
      <c r="A213" s="30" t="inlineStr">
        <is>
          <t>SPLPETRO</t>
        </is>
      </c>
      <c r="B213" s="30" t="inlineStr">
        <is>
          <t>Supreme Petrochem Ltd</t>
        </is>
      </c>
      <c r="C213" s="30" t="inlineStr">
        <is>
          <t>energy</t>
        </is>
      </c>
      <c r="D213" s="30" t="inlineStr">
        <is>
          <t>petrochemicals</t>
        </is>
      </c>
      <c r="E213" s="30" t="inlineStr">
        <is>
          <t>midcap</t>
        </is>
      </c>
      <c r="F213" s="30" t="n">
        <v>16545.76</v>
      </c>
      <c r="G213" s="30" t="n">
        <v>880</v>
      </c>
      <c r="H213" s="30" t="n">
        <v>0.01</v>
      </c>
      <c r="I213" s="30" t="n">
        <v>162786</v>
      </c>
      <c r="J213" s="30" t="inlineStr">
        <is>
          <t>500405</t>
        </is>
      </c>
    </row>
    <row r="214">
      <c r="A214" s="30" t="inlineStr">
        <is>
          <t>YUKEN</t>
        </is>
      </c>
      <c r="B214" s="30" t="inlineStr">
        <is>
          <t>Yuken India Ltd</t>
        </is>
      </c>
      <c r="C214" s="30" t="inlineStr">
        <is>
          <t>industrials</t>
        </is>
      </c>
      <c r="D214" s="30" t="inlineStr">
        <is>
          <t>engineering</t>
        </is>
      </c>
      <c r="E214" s="30" t="inlineStr">
        <is>
          <t>smallcap</t>
        </is>
      </c>
      <c r="F214" s="30" t="n">
        <v>1531.94</v>
      </c>
      <c r="G214" s="30" t="n">
        <v>1127.6</v>
      </c>
      <c r="H214" s="30" t="n">
        <v>-0.01</v>
      </c>
      <c r="I214" s="30" t="n">
        <v>11780</v>
      </c>
      <c r="J214" s="30" t="inlineStr">
        <is>
          <t>522108</t>
        </is>
      </c>
    </row>
    <row r="215">
      <c r="A215" s="30" t="inlineStr">
        <is>
          <t>PREMEXPLN</t>
        </is>
      </c>
      <c r="B215" s="30" t="inlineStr">
        <is>
          <t>Premier Explosives Limited</t>
        </is>
      </c>
      <c r="C215" s="30" t="inlineStr">
        <is>
          <t>aerospace &amp; defence</t>
        </is>
      </c>
      <c r="D215" s="30" t="inlineStr">
        <is>
          <t>chemicals</t>
        </is>
      </c>
      <c r="E215" s="30" t="inlineStr">
        <is>
          <t>smallcap</t>
        </is>
      </c>
      <c r="F215" s="30" t="n">
        <v>3658.45</v>
      </c>
      <c r="G215" s="30" t="n">
        <v>680.35</v>
      </c>
      <c r="H215" s="30" t="n">
        <v>-0.02</v>
      </c>
      <c r="I215" s="30" t="n">
        <v>97193</v>
      </c>
      <c r="J215" s="30" t="inlineStr">
        <is>
          <t>526247</t>
        </is>
      </c>
    </row>
    <row r="216">
      <c r="A216" s="30" t="inlineStr">
        <is>
          <t>SETL</t>
        </is>
      </c>
      <c r="B216" s="30" t="inlineStr">
        <is>
          <t>Standard Enginnering Technology Ltd</t>
        </is>
      </c>
      <c r="C216" s="30" t="inlineStr">
        <is>
          <t>industrials</t>
        </is>
      </c>
      <c r="D216" s="30" t="inlineStr">
        <is>
          <t>engineering</t>
        </is>
      </c>
      <c r="E216" s="30" t="inlineStr">
        <is>
          <t>midcap</t>
        </is>
      </c>
      <c r="F216" s="30" t="n">
        <v>8035.52</v>
      </c>
      <c r="G216" s="30" t="n">
        <v>402.55</v>
      </c>
      <c r="H216" s="30" t="n">
        <v>-0.06</v>
      </c>
      <c r="I216" s="30" t="n">
        <v>500272</v>
      </c>
      <c r="J216" s="30" t="inlineStr">
        <is>
          <t>544333</t>
        </is>
      </c>
    </row>
    <row r="217">
      <c r="A217" s="30" t="inlineStr">
        <is>
          <t>EIMCOELECO</t>
        </is>
      </c>
      <c r="B217" s="30" t="inlineStr">
        <is>
          <t>Eimco Elecon (india) Limited</t>
        </is>
      </c>
      <c r="C217" s="30" t="inlineStr">
        <is>
          <t>industrials</t>
        </is>
      </c>
      <c r="D217" s="30" t="inlineStr">
        <is>
          <t>engineering</t>
        </is>
      </c>
      <c r="E217" s="30" t="inlineStr">
        <is>
          <t>smallcap</t>
        </is>
      </c>
      <c r="F217" s="30" t="n">
        <v>1329.27</v>
      </c>
      <c r="G217" s="30" t="n">
        <v>2301.6</v>
      </c>
      <c r="H217" s="30" t="n">
        <v>-0.12</v>
      </c>
      <c r="I217" s="30" t="n">
        <v>16786</v>
      </c>
      <c r="J217" s="30" t="inlineStr">
        <is>
          <t>523708</t>
        </is>
      </c>
    </row>
    <row r="218">
      <c r="A218" s="30" t="inlineStr">
        <is>
          <t>MARKSANS</t>
        </is>
      </c>
      <c r="B218" s="30" t="inlineStr">
        <is>
          <t>Marksans Pharma Limited</t>
        </is>
      </c>
      <c r="C218" s="30" t="inlineStr">
        <is>
          <t>healthcare</t>
        </is>
      </c>
      <c r="D218" s="30" t="inlineStr">
        <is>
          <t>pharmaceuticals - indian - formulations</t>
        </is>
      </c>
      <c r="E218" s="30" t="inlineStr">
        <is>
          <t>midcap</t>
        </is>
      </c>
      <c r="F218" s="30" t="n">
        <v>15289.74</v>
      </c>
      <c r="G218" s="30" t="n">
        <v>336.95</v>
      </c>
      <c r="H218" s="30" t="n">
        <v>-0.13</v>
      </c>
      <c r="I218" s="30" t="n">
        <v>1452979</v>
      </c>
      <c r="J218" s="30" t="inlineStr">
        <is>
          <t>524404</t>
        </is>
      </c>
    </row>
    <row r="219">
      <c r="A219" s="30" t="inlineStr">
        <is>
          <t>JAMNAAUTO</t>
        </is>
      </c>
      <c r="B219" s="30" t="inlineStr">
        <is>
          <t>Jamna Auto Industries Limited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midcap</t>
        </is>
      </c>
      <c r="F219" s="30" t="n">
        <v>5532.65</v>
      </c>
      <c r="G219" s="30" t="n">
        <v>138.2</v>
      </c>
      <c r="H219" s="30" t="n">
        <v>-0.14</v>
      </c>
      <c r="I219" s="30" t="n">
        <v>3496903</v>
      </c>
      <c r="J219" s="30" t="inlineStr">
        <is>
          <t>520051</t>
        </is>
      </c>
    </row>
    <row r="220">
      <c r="A220" s="30" t="inlineStr">
        <is>
          <t>FOSECOIND</t>
        </is>
      </c>
      <c r="B220" s="30" t="inlineStr">
        <is>
          <t>Foseco India Limited</t>
        </is>
      </c>
      <c r="C220" s="30" t="inlineStr">
        <is>
          <t>chemicals</t>
        </is>
      </c>
      <c r="D220" s="30" t="inlineStr">
        <is>
          <t>chemicals</t>
        </is>
      </c>
      <c r="E220" s="30" t="inlineStr">
        <is>
          <t>smallcap</t>
        </is>
      </c>
      <c r="F220" s="30" t="n">
        <v>4881.88</v>
      </c>
      <c r="G220" s="30" t="n">
        <v>6468</v>
      </c>
      <c r="H220" s="30" t="n">
        <v>-0.14</v>
      </c>
      <c r="I220" s="30" t="n">
        <v>19496</v>
      </c>
      <c r="J220" s="30" t="inlineStr">
        <is>
          <t>500150</t>
        </is>
      </c>
    </row>
    <row r="221">
      <c r="A221" s="30" t="inlineStr">
        <is>
          <t>ETERNAL</t>
        </is>
      </c>
      <c r="B221" s="30" t="inlineStr">
        <is>
          <t>Eternal Ltd</t>
        </is>
      </c>
      <c r="C221" s="30" t="inlineStr">
        <is>
          <t>i.t</t>
        </is>
      </c>
      <c r="D221" s="30" t="inlineStr">
        <is>
          <t>miscellaneous</t>
        </is>
      </c>
      <c r="E221" s="30" t="inlineStr">
        <is>
          <t>largecap</t>
        </is>
      </c>
      <c r="F221" s="30" t="n">
        <v>323769.26</v>
      </c>
      <c r="G221" s="30" t="n">
        <v>335</v>
      </c>
      <c r="H221" s="30" t="n">
        <v>-0.15</v>
      </c>
      <c r="I221" s="30" t="n">
        <v>24508361</v>
      </c>
      <c r="J221" s="30" t="inlineStr">
        <is>
          <t>543320</t>
        </is>
      </c>
    </row>
    <row r="222">
      <c r="A222" s="30" t="inlineStr">
        <is>
          <t>SAILIFE</t>
        </is>
      </c>
      <c r="B222" s="30" t="inlineStr">
        <is>
          <t>Sai Life Sciences Ltd</t>
        </is>
      </c>
      <c r="C222" s="30" t="inlineStr">
        <is>
          <t>healthcare</t>
        </is>
      </c>
      <c r="D222" s="30" t="inlineStr">
        <is>
          <t>pharmaceuticals - indian - bulk drugs &amp; formln</t>
        </is>
      </c>
      <c r="E222" s="30" t="inlineStr">
        <is>
          <t>largecap</t>
        </is>
      </c>
      <c r="F222" s="30" t="n">
        <v>33857.5</v>
      </c>
      <c r="G222" s="30" t="n">
        <v>1592.2</v>
      </c>
      <c r="H222" s="30" t="n">
        <v>-0.17</v>
      </c>
      <c r="I222" s="30" t="n">
        <v>265877</v>
      </c>
      <c r="J222" s="30" t="inlineStr">
        <is>
          <t>544306</t>
        </is>
      </c>
    </row>
    <row r="223">
      <c r="A223" s="30" t="inlineStr">
        <is>
          <t>VALIANTORG</t>
        </is>
      </c>
      <c r="B223" s="30" t="inlineStr">
        <is>
          <t>Valiant Organics Ltd</t>
        </is>
      </c>
      <c r="C223" s="30" t="inlineStr">
        <is>
          <t>chemicals</t>
        </is>
      </c>
      <c r="D223" s="30" t="inlineStr">
        <is>
          <t>chemicals</t>
        </is>
      </c>
      <c r="E223" s="30" t="inlineStr">
        <is>
          <t>smallcap</t>
        </is>
      </c>
      <c r="F223" s="30" t="n">
        <v>1153.2</v>
      </c>
      <c r="G223" s="30" t="n">
        <v>410.45</v>
      </c>
      <c r="H223" s="30" t="n">
        <v>-0.22</v>
      </c>
      <c r="I223" s="30" t="n">
        <v>30685</v>
      </c>
      <c r="J223" s="30" t="inlineStr">
        <is>
          <t>540145</t>
        </is>
      </c>
    </row>
    <row r="224">
      <c r="A224" s="30" t="inlineStr">
        <is>
          <t>AUROPHARMA</t>
        </is>
      </c>
      <c r="B224" s="30" t="inlineStr">
        <is>
          <t>Aurobindo Pharma Limited</t>
        </is>
      </c>
      <c r="C224" s="30" t="inlineStr">
        <is>
          <t>healthcare</t>
        </is>
      </c>
      <c r="D224" s="30" t="inlineStr">
        <is>
          <t>pharmaceuticals - indian - bulk drugs &amp; formln</t>
        </is>
      </c>
      <c r="E224" s="30" t="inlineStr">
        <is>
          <t>largecap</t>
        </is>
      </c>
      <c r="F224" s="30" t="n">
        <v>98734.85000000001</v>
      </c>
      <c r="G224" s="30" t="n">
        <v>1712</v>
      </c>
      <c r="H224" s="30" t="n">
        <v>-0.23</v>
      </c>
      <c r="I224" s="30" t="n">
        <v>624705</v>
      </c>
      <c r="J224" s="30" t="inlineStr">
        <is>
          <t>524804</t>
        </is>
      </c>
    </row>
    <row r="225">
      <c r="A225" s="30" t="inlineStr">
        <is>
          <t>IIFLCAPS</t>
        </is>
      </c>
      <c r="B225" s="30" t="inlineStr">
        <is>
          <t>IIFL Capital Services Ltd</t>
        </is>
      </c>
      <c r="C225" s="30" t="inlineStr">
        <is>
          <t>financials</t>
        </is>
      </c>
      <c r="D225" s="30" t="inlineStr">
        <is>
          <t>finance &amp; investments</t>
        </is>
      </c>
      <c r="E225" s="30" t="inlineStr">
        <is>
          <t>midcap</t>
        </is>
      </c>
      <c r="F225" s="30" t="n">
        <v>10898.68</v>
      </c>
      <c r="G225" s="30" t="n">
        <v>346.7</v>
      </c>
      <c r="H225" s="30" t="n">
        <v>-0.29</v>
      </c>
      <c r="I225" s="30" t="n">
        <v>263461</v>
      </c>
      <c r="J225" s="30" t="inlineStr">
        <is>
          <t>542773</t>
        </is>
      </c>
    </row>
    <row r="226">
      <c r="A226" s="30" t="inlineStr">
        <is>
          <t>SIGMAADV</t>
        </is>
      </c>
      <c r="B226" s="30" t="inlineStr">
        <is>
          <t>Sigma Advanced System Ltd</t>
        </is>
      </c>
      <c r="C226" s="30" t="inlineStr">
        <is>
          <t>aerospace &amp; defence</t>
        </is>
      </c>
      <c r="D226" s="30" t="inlineStr">
        <is>
          <t>electronics - components</t>
        </is>
      </c>
      <c r="E226" s="30" t="inlineStr">
        <is>
          <t>midcap</t>
        </is>
      </c>
      <c r="F226" s="30" t="n">
        <v>17995.5</v>
      </c>
      <c r="G226" s="30" t="n">
        <v>946</v>
      </c>
      <c r="H226" s="30" t="n">
        <v>-0.38</v>
      </c>
      <c r="I226" s="30" t="n">
        <v>197475</v>
      </c>
      <c r="J226" s="30" t="inlineStr">
        <is>
          <t>532408</t>
        </is>
      </c>
    </row>
    <row r="227">
      <c r="A227" s="30" t="inlineStr">
        <is>
          <t>AVTNPL</t>
        </is>
      </c>
      <c r="B227" s="30" t="inlineStr">
        <is>
          <t>Avt Natural Products Limited</t>
        </is>
      </c>
      <c r="C227" s="30" t="inlineStr">
        <is>
          <t>fmcg</t>
        </is>
      </c>
      <c r="D227" s="30" t="inlineStr">
        <is>
          <t>solvent extraction</t>
        </is>
      </c>
      <c r="E227" s="30" t="inlineStr">
        <is>
          <t>smallcap</t>
        </is>
      </c>
      <c r="F227" s="30" t="n">
        <v>1415.18</v>
      </c>
      <c r="G227" s="30" t="n">
        <v>92.58</v>
      </c>
      <c r="H227" s="30" t="n">
        <v>-0.38</v>
      </c>
      <c r="I227" s="30" t="n">
        <v>196705</v>
      </c>
      <c r="J227" s="30" t="inlineStr">
        <is>
          <t>519105</t>
        </is>
      </c>
    </row>
    <row r="228">
      <c r="A228" s="30" t="inlineStr">
        <is>
          <t>ANUHPHR</t>
        </is>
      </c>
      <c r="B228" s="30" t="inlineStr">
        <is>
          <t>Anuh Pharma Ltd</t>
        </is>
      </c>
      <c r="C228" s="30" t="inlineStr">
        <is>
          <t>healthcare</t>
        </is>
      </c>
      <c r="D228" s="30" t="inlineStr">
        <is>
          <t>pharmaceuticals - indian - bulk drugs</t>
        </is>
      </c>
      <c r="E228" s="30" t="inlineStr">
        <is>
          <t>smallcap</t>
        </is>
      </c>
      <c r="F228" s="30" t="n">
        <v>909.83</v>
      </c>
      <c r="G228" s="30" t="n">
        <v>90.42</v>
      </c>
      <c r="H228" s="30" t="n">
        <v>-0.4</v>
      </c>
      <c r="I228" s="30" t="n">
        <v>79711</v>
      </c>
      <c r="J228" s="30" t="inlineStr">
        <is>
          <t>506260</t>
        </is>
      </c>
    </row>
    <row r="229">
      <c r="A229" s="30" t="inlineStr">
        <is>
          <t>GNA</t>
        </is>
      </c>
      <c r="B229" s="30" t="inlineStr">
        <is>
          <t>Gna Axles Limited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smallcap</t>
        </is>
      </c>
      <c r="F229" s="30" t="n">
        <v>2663.64</v>
      </c>
      <c r="G229" s="30" t="n">
        <v>617.65</v>
      </c>
      <c r="H229" s="30" t="n">
        <v>-0.45</v>
      </c>
      <c r="I229" s="30" t="n">
        <v>623477</v>
      </c>
      <c r="J229" s="30" t="inlineStr">
        <is>
          <t>540124</t>
        </is>
      </c>
    </row>
    <row r="230">
      <c r="A230" s="30" t="inlineStr">
        <is>
          <t>LALPATHLAB</t>
        </is>
      </c>
      <c r="B230" s="30" t="inlineStr">
        <is>
          <t>Dr. Lal Path Labs Ltd.</t>
        </is>
      </c>
      <c r="C230" s="30" t="inlineStr">
        <is>
          <t>healthcare</t>
        </is>
      </c>
      <c r="D230" s="30" t="inlineStr">
        <is>
          <t>healthcare</t>
        </is>
      </c>
      <c r="E230" s="30" t="inlineStr">
        <is>
          <t>largecap</t>
        </is>
      </c>
      <c r="F230" s="30" t="n">
        <v>32878.8</v>
      </c>
      <c r="G230" s="30" t="n">
        <v>1952.3</v>
      </c>
      <c r="H230" s="30" t="n">
        <v>-0.46</v>
      </c>
      <c r="I230" s="30" t="n">
        <v>452137</v>
      </c>
      <c r="J230" s="30" t="inlineStr">
        <is>
          <t>539524</t>
        </is>
      </c>
    </row>
    <row r="231">
      <c r="A231" s="30" t="inlineStr">
        <is>
          <t>LOTUSDEV</t>
        </is>
      </c>
      <c r="B231" s="30" t="inlineStr">
        <is>
          <t>Sri Lotus Developers &amp; Realty Ltd</t>
        </is>
      </c>
      <c r="C231" s="30" t="inlineStr">
        <is>
          <t>realty</t>
        </is>
      </c>
      <c r="D231" s="30" t="inlineStr">
        <is>
          <t>construction</t>
        </is>
      </c>
      <c r="E231" s="30" t="inlineStr">
        <is>
          <t>midcap</t>
        </is>
      </c>
      <c r="F231" s="30" t="n">
        <v>10705.49</v>
      </c>
      <c r="G231" s="30" t="n">
        <v>217.99</v>
      </c>
      <c r="H231" s="30" t="n">
        <v>-0.48</v>
      </c>
      <c r="I231" s="30" t="n">
        <v>723532</v>
      </c>
      <c r="J231" s="30" t="inlineStr">
        <is>
          <t>544469</t>
        </is>
      </c>
    </row>
    <row r="232">
      <c r="A232" s="30" t="inlineStr">
        <is>
          <t>PAISALO</t>
        </is>
      </c>
      <c r="B232" s="30" t="inlineStr">
        <is>
          <t>Paisalo Digital Ltd</t>
        </is>
      </c>
      <c r="C232" s="30" t="inlineStr">
        <is>
          <t>financials</t>
        </is>
      </c>
      <c r="D232" s="30" t="inlineStr">
        <is>
          <t>finance &amp; investments</t>
        </is>
      </c>
      <c r="E232" s="30" t="inlineStr">
        <is>
          <t>midcap</t>
        </is>
      </c>
      <c r="F232" s="30" t="n">
        <v>8135.67</v>
      </c>
      <c r="G232" s="30" t="n">
        <v>89.02</v>
      </c>
      <c r="H232" s="30" t="n">
        <v>-0.48</v>
      </c>
      <c r="I232" s="30" t="n">
        <v>7721853</v>
      </c>
      <c r="J232" s="30" t="inlineStr">
        <is>
          <t>532900</t>
        </is>
      </c>
    </row>
    <row r="233">
      <c r="A233" s="30" t="inlineStr">
        <is>
          <t>PASUPTAC</t>
        </is>
      </c>
      <c r="B233" s="30" t="inlineStr">
        <is>
          <t>Pasupati Acrylon Ltd</t>
        </is>
      </c>
      <c r="C233" s="30" t="inlineStr">
        <is>
          <t>textiles</t>
        </is>
      </c>
      <c r="D233" s="30" t="inlineStr">
        <is>
          <t>textiles - manmade</t>
        </is>
      </c>
      <c r="E233" s="30" t="inlineStr">
        <is>
          <t>smallcap</t>
        </is>
      </c>
      <c r="F233" s="30" t="n">
        <v>679.64</v>
      </c>
      <c r="G233" s="30" t="n">
        <v>75.87</v>
      </c>
      <c r="H233" s="30" t="n">
        <v>-0.5</v>
      </c>
      <c r="I233" s="30" t="n">
        <v>278575</v>
      </c>
      <c r="J233" s="30" t="inlineStr">
        <is>
          <t>500456</t>
        </is>
      </c>
    </row>
    <row r="234">
      <c r="A234" s="30" t="inlineStr">
        <is>
          <t>TEXINFRA</t>
        </is>
      </c>
      <c r="B234" s="30" t="inlineStr">
        <is>
          <t>Texmaco Infrastructure &amp; Holdings Limited</t>
        </is>
      </c>
      <c r="C234" s="30" t="inlineStr">
        <is>
          <t>realty</t>
        </is>
      </c>
      <c r="D234" s="30" t="inlineStr">
        <is>
          <t>construction</t>
        </is>
      </c>
      <c r="E234" s="30" t="inlineStr">
        <is>
          <t>smallcap</t>
        </is>
      </c>
      <c r="F234" s="30" t="n">
        <v>1515.1</v>
      </c>
      <c r="G234" s="30" t="n">
        <v>118.25</v>
      </c>
      <c r="H234" s="30" t="n">
        <v>-0.55</v>
      </c>
      <c r="I234" s="30" t="n">
        <v>138397</v>
      </c>
      <c r="J234" s="30" t="inlineStr">
        <is>
          <t>505400</t>
        </is>
      </c>
    </row>
    <row r="235">
      <c r="A235" s="30" t="inlineStr">
        <is>
          <t>SHIVALIK</t>
        </is>
      </c>
      <c r="B235" s="30" t="inlineStr">
        <is>
          <t>Shivalik Rasayan Ltd</t>
        </is>
      </c>
      <c r="C235" s="30" t="inlineStr">
        <is>
          <t>chemicals</t>
        </is>
      </c>
      <c r="D235" s="30" t="inlineStr">
        <is>
          <t>pesticides / agrochemicals - indian</t>
        </is>
      </c>
      <c r="E235" s="30" t="inlineStr">
        <is>
          <t>smallcap</t>
        </is>
      </c>
      <c r="F235" s="30" t="n">
        <v>658.45</v>
      </c>
      <c r="G235" s="30" t="n">
        <v>408.45</v>
      </c>
      <c r="H235" s="30" t="n">
        <v>-0.55</v>
      </c>
      <c r="I235" s="30" t="n">
        <v>67598</v>
      </c>
      <c r="J235" s="30" t="inlineStr">
        <is>
          <t>539148</t>
        </is>
      </c>
    </row>
    <row r="236">
      <c r="A236" s="30" t="inlineStr">
        <is>
          <t>RUBYMILLS</t>
        </is>
      </c>
      <c r="B236" s="30" t="inlineStr">
        <is>
          <t>The Ruby Mills Limited</t>
        </is>
      </c>
      <c r="C236" s="30" t="inlineStr">
        <is>
          <t>textiles</t>
        </is>
      </c>
      <c r="D236" s="30" t="inlineStr">
        <is>
          <t>textiles - composite</t>
        </is>
      </c>
      <c r="E236" s="30" t="inlineStr">
        <is>
          <t>smallcap</t>
        </is>
      </c>
      <c r="F236" s="30" t="n">
        <v>1653.94</v>
      </c>
      <c r="G236" s="30" t="n">
        <v>491.85</v>
      </c>
      <c r="H236" s="30" t="n">
        <v>-0.5600000000000001</v>
      </c>
      <c r="I236" s="30" t="n">
        <v>13428</v>
      </c>
      <c r="J236" s="30" t="inlineStr">
        <is>
          <t>503169</t>
        </is>
      </c>
    </row>
    <row r="237">
      <c r="A237" s="30" t="inlineStr">
        <is>
          <t>LGBBROSLTD</t>
        </is>
      </c>
      <c r="B237" s="30" t="inlineStr">
        <is>
          <t>Lg Balakrishnan &amp; Bros Limited</t>
        </is>
      </c>
      <c r="C237" s="30" t="inlineStr">
        <is>
          <t>auto</t>
        </is>
      </c>
      <c r="D237" s="30" t="inlineStr">
        <is>
          <t>bearings</t>
        </is>
      </c>
      <c r="E237" s="30" t="inlineStr">
        <is>
          <t>midcap</t>
        </is>
      </c>
      <c r="F237" s="30" t="n">
        <v>5566.18</v>
      </c>
      <c r="G237" s="30" t="n">
        <v>1735.3</v>
      </c>
      <c r="H237" s="30" t="n">
        <v>-0.57</v>
      </c>
      <c r="I237" s="30" t="n">
        <v>16354</v>
      </c>
      <c r="J237" s="30" t="inlineStr">
        <is>
          <t>500250</t>
        </is>
      </c>
    </row>
    <row r="238">
      <c r="A238" s="30" t="inlineStr">
        <is>
          <t>SHARDAMOTR</t>
        </is>
      </c>
      <c r="B238" s="30" t="inlineStr">
        <is>
          <t>Sharda Motor Industries Limited</t>
        </is>
      </c>
      <c r="C238" s="30" t="inlineStr">
        <is>
          <t>auto</t>
        </is>
      </c>
      <c r="D238" s="30" t="inlineStr">
        <is>
          <t>auto ancillaries</t>
        </is>
      </c>
      <c r="E238" s="30" t="inlineStr">
        <is>
          <t>midcap</t>
        </is>
      </c>
      <c r="F238" s="30" t="n">
        <v>5521.76</v>
      </c>
      <c r="G238" s="30" t="n">
        <v>956.35</v>
      </c>
      <c r="H238" s="30" t="n">
        <v>-0.57</v>
      </c>
      <c r="I238" s="30" t="n">
        <v>45449</v>
      </c>
      <c r="J238" s="30" t="inlineStr">
        <is>
          <t>535602</t>
        </is>
      </c>
    </row>
    <row r="239">
      <c r="A239" s="30" t="inlineStr">
        <is>
          <t>MATRIMONY</t>
        </is>
      </c>
      <c r="B239" s="30" t="inlineStr">
        <is>
          <t>Matrimony.com Ltd</t>
        </is>
      </c>
      <c r="C239" s="30" t="inlineStr">
        <is>
          <t>miscellaneous</t>
        </is>
      </c>
      <c r="D239" s="30" t="inlineStr">
        <is>
          <t>miscellaneous</t>
        </is>
      </c>
      <c r="E239" s="30" t="inlineStr">
        <is>
          <t>smallcap</t>
        </is>
      </c>
      <c r="F239" s="30" t="n">
        <v>1113.37</v>
      </c>
      <c r="G239" s="30" t="n">
        <v>535.4</v>
      </c>
      <c r="H239" s="30" t="n">
        <v>-0.58</v>
      </c>
      <c r="I239" s="30" t="n">
        <v>2598</v>
      </c>
      <c r="J239" s="30" t="inlineStr">
        <is>
          <t>540704</t>
        </is>
      </c>
    </row>
    <row r="240">
      <c r="A240" s="30" t="inlineStr">
        <is>
          <t>BANSALWIRE</t>
        </is>
      </c>
      <c r="B240" s="30" t="inlineStr">
        <is>
          <t>Bansal Wire Industries Ltd</t>
        </is>
      </c>
      <c r="C240" s="30" t="inlineStr">
        <is>
          <t>metals &amp; mining</t>
        </is>
      </c>
      <c r="D240" s="30" t="inlineStr">
        <is>
          <t>steel - medium / small</t>
        </is>
      </c>
      <c r="E240" s="30" t="inlineStr">
        <is>
          <t>midcap</t>
        </is>
      </c>
      <c r="F240" s="30" t="n">
        <v>5062.24</v>
      </c>
      <c r="G240" s="30" t="n">
        <v>321.4</v>
      </c>
      <c r="H240" s="30" t="n">
        <v>-0.6</v>
      </c>
      <c r="I240" s="30" t="n">
        <v>55601</v>
      </c>
      <c r="J240" s="30" t="inlineStr">
        <is>
          <t>544209</t>
        </is>
      </c>
    </row>
    <row r="241">
      <c r="A241" s="30" t="inlineStr">
        <is>
          <t>RAYMOND</t>
        </is>
      </c>
      <c r="B241" s="30" t="inlineStr">
        <is>
          <t>Raymond Limited</t>
        </is>
      </c>
      <c r="C241" s="30" t="inlineStr">
        <is>
          <t>transportation</t>
        </is>
      </c>
      <c r="D241" s="30" t="inlineStr">
        <is>
          <t>transport - airlines</t>
        </is>
      </c>
      <c r="E241" s="30" t="inlineStr">
        <is>
          <t>midcap</t>
        </is>
      </c>
      <c r="F241" s="30" t="n">
        <v>8014.48</v>
      </c>
      <c r="G241" s="30" t="n">
        <v>1196.65</v>
      </c>
      <c r="H241" s="30" t="n">
        <v>-0.6</v>
      </c>
      <c r="I241" s="30" t="n">
        <v>3100301</v>
      </c>
      <c r="J241" s="30" t="inlineStr">
        <is>
          <t>500330</t>
        </is>
      </c>
    </row>
    <row r="242">
      <c r="A242" s="30" t="inlineStr">
        <is>
          <t>ALEMBICLTD</t>
        </is>
      </c>
      <c r="B242" s="30" t="inlineStr">
        <is>
          <t>Alembic Limited</t>
        </is>
      </c>
      <c r="C242" s="30" t="inlineStr">
        <is>
          <t>realty</t>
        </is>
      </c>
      <c r="D242" s="30" t="inlineStr">
        <is>
          <t>construction</t>
        </is>
      </c>
      <c r="E242" s="30" t="inlineStr">
        <is>
          <t>smallcap</t>
        </is>
      </c>
      <c r="F242" s="30" t="n">
        <v>2752.19</v>
      </c>
      <c r="G242" s="30" t="n">
        <v>106.53</v>
      </c>
      <c r="H242" s="30" t="n">
        <v>-0.61</v>
      </c>
      <c r="I242" s="30" t="n">
        <v>743150</v>
      </c>
      <c r="J242" s="30" t="inlineStr">
        <is>
          <t>506235</t>
        </is>
      </c>
    </row>
    <row r="243">
      <c r="A243" s="30" t="inlineStr">
        <is>
          <t>SGIL</t>
        </is>
      </c>
      <c r="B243" s="30" t="inlineStr">
        <is>
          <t>Synergy Green Industries Ltd</t>
        </is>
      </c>
      <c r="C243" s="30" t="inlineStr">
        <is>
          <t>castings, forgings &amp; fasteners</t>
        </is>
      </c>
      <c r="D243" s="30" t="inlineStr">
        <is>
          <t>castings &amp; forgings</t>
        </is>
      </c>
      <c r="E243" s="30" t="inlineStr">
        <is>
          <t>smallcap</t>
        </is>
      </c>
      <c r="F243" s="30" t="n">
        <v>1005.01</v>
      </c>
      <c r="G243" s="30" t="n">
        <v>642.5</v>
      </c>
      <c r="H243" s="30" t="n">
        <v>-0.63</v>
      </c>
      <c r="I243" s="30" t="n">
        <v>4595</v>
      </c>
      <c r="J243" s="30" t="inlineStr">
        <is>
          <t>541929</t>
        </is>
      </c>
    </row>
    <row r="244">
      <c r="A244" s="30" t="inlineStr">
        <is>
          <t>BLSE</t>
        </is>
      </c>
      <c r="B244" s="30" t="inlineStr">
        <is>
          <t>BLS E-Services Ltd</t>
        </is>
      </c>
      <c r="C244" s="30" t="inlineStr">
        <is>
          <t>i.t</t>
        </is>
      </c>
      <c r="D244" s="30" t="inlineStr">
        <is>
          <t>computers - software - medium / small</t>
        </is>
      </c>
      <c r="E244" s="30" t="inlineStr">
        <is>
          <t>smallcap</t>
        </is>
      </c>
      <c r="F244" s="30" t="n">
        <v>2968.28</v>
      </c>
      <c r="G244" s="30" t="n">
        <v>324.55</v>
      </c>
      <c r="H244" s="30" t="n">
        <v>-0.66</v>
      </c>
      <c r="I244" s="30" t="n">
        <v>242706</v>
      </c>
      <c r="J244" s="30" t="inlineStr">
        <is>
          <t>544107</t>
        </is>
      </c>
    </row>
    <row r="245">
      <c r="A245" s="30" t="inlineStr">
        <is>
          <t>JAGSNPHARM</t>
        </is>
      </c>
      <c r="B245" s="30" t="inlineStr">
        <is>
          <t>Jagsonpal Pharmaceuticals Limited</t>
        </is>
      </c>
      <c r="C245" s="30" t="inlineStr">
        <is>
          <t>healthcare</t>
        </is>
      </c>
      <c r="D245" s="30" t="inlineStr">
        <is>
          <t>pharmaceuticals - indian - bulk drugs &amp; formln</t>
        </is>
      </c>
      <c r="E245" s="30" t="inlineStr">
        <is>
          <t>smallcap</t>
        </is>
      </c>
      <c r="F245" s="30" t="n">
        <v>1606.19</v>
      </c>
      <c r="G245" s="30" t="n">
        <v>242.29</v>
      </c>
      <c r="H245" s="30" t="n">
        <v>-0.6899999999999999</v>
      </c>
      <c r="I245" s="30" t="n">
        <v>565222</v>
      </c>
      <c r="J245" s="30" t="inlineStr">
        <is>
          <t>507789</t>
        </is>
      </c>
    </row>
    <row r="246">
      <c r="A246" s="30" t="inlineStr">
        <is>
          <t>JYOTICNC</t>
        </is>
      </c>
      <c r="B246" s="30" t="inlineStr">
        <is>
          <t>Jyoti CNC Automation Ltd</t>
        </is>
      </c>
      <c r="C246" s="30" t="inlineStr">
        <is>
          <t>industrials</t>
        </is>
      </c>
      <c r="D246" s="30" t="inlineStr">
        <is>
          <t>engineering</t>
        </is>
      </c>
      <c r="E246" s="30" t="inlineStr">
        <is>
          <t>largecap</t>
        </is>
      </c>
      <c r="F246" s="30" t="n">
        <v>24392.26</v>
      </c>
      <c r="G246" s="30" t="n">
        <v>1065.1</v>
      </c>
      <c r="H246" s="30" t="n">
        <v>-0.6899999999999999</v>
      </c>
      <c r="I246" s="30" t="n">
        <v>793087</v>
      </c>
      <c r="J246" s="30" t="inlineStr">
        <is>
          <t>544081</t>
        </is>
      </c>
    </row>
    <row r="247">
      <c r="A247" s="30" t="inlineStr">
        <is>
          <t>MANBA</t>
        </is>
      </c>
      <c r="B247" s="30" t="inlineStr">
        <is>
          <t>Manba Finance Ltd</t>
        </is>
      </c>
      <c r="C247" s="30" t="inlineStr">
        <is>
          <t>financials</t>
        </is>
      </c>
      <c r="D247" s="30" t="inlineStr">
        <is>
          <t>finance &amp; investments</t>
        </is>
      </c>
      <c r="E247" s="30" t="inlineStr">
        <is>
          <t>smallcap</t>
        </is>
      </c>
      <c r="F247" s="30" t="n">
        <v>705.11</v>
      </c>
      <c r="G247" s="30" t="n">
        <v>139.35</v>
      </c>
      <c r="H247" s="30" t="n">
        <v>-0.71</v>
      </c>
      <c r="I247" s="30" t="n">
        <v>86634</v>
      </c>
      <c r="J247" s="30" t="inlineStr">
        <is>
          <t>544262</t>
        </is>
      </c>
    </row>
    <row r="248">
      <c r="A248" s="30" t="inlineStr">
        <is>
          <t>MEDANTA</t>
        </is>
      </c>
      <c r="B248" s="30" t="inlineStr">
        <is>
          <t>Global Health Ltd</t>
        </is>
      </c>
      <c r="C248" s="30" t="inlineStr">
        <is>
          <t>healthcare</t>
        </is>
      </c>
      <c r="D248" s="30" t="inlineStr">
        <is>
          <t>healthcare</t>
        </is>
      </c>
      <c r="E248" s="30" t="inlineStr">
        <is>
          <t>largecap</t>
        </is>
      </c>
      <c r="F248" s="30" t="n">
        <v>40497.47</v>
      </c>
      <c r="G248" s="30" t="n">
        <v>1495.4</v>
      </c>
      <c r="H248" s="30" t="n">
        <v>-0.72</v>
      </c>
      <c r="I248" s="30" t="n">
        <v>158143</v>
      </c>
      <c r="J248" s="30" t="inlineStr">
        <is>
          <t>543654</t>
        </is>
      </c>
    </row>
    <row r="249">
      <c r="A249" s="30" t="inlineStr">
        <is>
          <t>CENTUM</t>
        </is>
      </c>
      <c r="B249" s="30" t="inlineStr">
        <is>
          <t>Centum Electronics Limited</t>
        </is>
      </c>
      <c r="C249" s="30" t="inlineStr">
        <is>
          <t>aerospace &amp; defence</t>
        </is>
      </c>
      <c r="D249" s="30" t="inlineStr">
        <is>
          <t>electronics - components</t>
        </is>
      </c>
      <c r="E249" s="30" t="inlineStr">
        <is>
          <t>midcap</t>
        </is>
      </c>
      <c r="F249" s="30" t="n">
        <v>7139.82</v>
      </c>
      <c r="G249" s="30" t="n">
        <v>4802.3</v>
      </c>
      <c r="H249" s="30" t="n">
        <v>-0.73</v>
      </c>
      <c r="I249" s="30" t="n">
        <v>73380</v>
      </c>
      <c r="J249" s="30" t="inlineStr">
        <is>
          <t>517544</t>
        </is>
      </c>
    </row>
    <row r="250">
      <c r="A250" s="30" t="inlineStr">
        <is>
          <t>KTKBANK</t>
        </is>
      </c>
      <c r="B250" s="30" t="inlineStr">
        <is>
          <t>The Karnataka Bank Limited</t>
        </is>
      </c>
      <c r="C250" s="30" t="inlineStr">
        <is>
          <t>bank</t>
        </is>
      </c>
      <c r="D250" s="30" t="inlineStr">
        <is>
          <t>banks - private sector</t>
        </is>
      </c>
      <c r="E250" s="30" t="inlineStr">
        <is>
          <t>midcap</t>
        </is>
      </c>
      <c r="F250" s="30" t="n">
        <v>12788.95</v>
      </c>
      <c r="G250" s="30" t="n">
        <v>335.5</v>
      </c>
      <c r="H250" s="30" t="n">
        <v>-0.78</v>
      </c>
      <c r="I250" s="30" t="n">
        <v>680592</v>
      </c>
      <c r="J250" s="30" t="inlineStr">
        <is>
          <t>532652</t>
        </is>
      </c>
    </row>
    <row r="251">
      <c r="A251" s="30" t="inlineStr">
        <is>
          <t>WSTCSTPAPR</t>
        </is>
      </c>
      <c r="B251" s="30" t="inlineStr">
        <is>
          <t>West Coast Paper Mills Limited</t>
        </is>
      </c>
      <c r="C251" s="30" t="inlineStr">
        <is>
          <t>building materials</t>
        </is>
      </c>
      <c r="D251" s="30" t="inlineStr">
        <is>
          <t>paper</t>
        </is>
      </c>
      <c r="E251" s="30" t="inlineStr">
        <is>
          <t>smallcap</t>
        </is>
      </c>
      <c r="F251" s="30" t="n">
        <v>4874.08</v>
      </c>
      <c r="G251" s="30" t="n">
        <v>731.9</v>
      </c>
      <c r="H251" s="30" t="n">
        <v>-0.82</v>
      </c>
      <c r="I251" s="30" t="n">
        <v>179172</v>
      </c>
      <c r="J251" s="30" t="inlineStr">
        <is>
          <t>500444</t>
        </is>
      </c>
    </row>
    <row r="252">
      <c r="A252" s="30" t="inlineStr">
        <is>
          <t>ACMESOLAR</t>
        </is>
      </c>
      <c r="B252" s="30" t="inlineStr">
        <is>
          <t>ACME Solar Holdings Ltd</t>
        </is>
      </c>
      <c r="C252" s="30" t="inlineStr">
        <is>
          <t>realty</t>
        </is>
      </c>
      <c r="D252" s="30" t="inlineStr">
        <is>
          <t>engineering - turnkey services</t>
        </is>
      </c>
      <c r="E252" s="30" t="inlineStr">
        <is>
          <t>largecap</t>
        </is>
      </c>
      <c r="F252" s="30" t="n">
        <v>31572.54</v>
      </c>
      <c r="G252" s="30" t="n">
        <v>442.9</v>
      </c>
      <c r="H252" s="30" t="n">
        <v>-0.84</v>
      </c>
      <c r="I252" s="30" t="n">
        <v>3082821</v>
      </c>
      <c r="J252" s="30" t="inlineStr">
        <is>
          <t>544283</t>
        </is>
      </c>
    </row>
    <row r="253">
      <c r="A253" s="30" t="inlineStr">
        <is>
          <t>USHAMART</t>
        </is>
      </c>
      <c r="B253" s="30" t="inlineStr">
        <is>
          <t>Usha Martin Limited</t>
        </is>
      </c>
      <c r="C253" s="30" t="inlineStr">
        <is>
          <t>metals &amp; mining</t>
        </is>
      </c>
      <c r="D253" s="30" t="inlineStr">
        <is>
          <t>steel - medium / small</t>
        </is>
      </c>
      <c r="E253" s="30" t="inlineStr">
        <is>
          <t>midcap</t>
        </is>
      </c>
      <c r="F253" s="30" t="n">
        <v>15944.1</v>
      </c>
      <c r="G253" s="30" t="n">
        <v>518.8</v>
      </c>
      <c r="H253" s="30" t="n">
        <v>-0.84</v>
      </c>
      <c r="I253" s="30" t="n">
        <v>404445</v>
      </c>
      <c r="J253" s="30" t="inlineStr">
        <is>
          <t>517146</t>
        </is>
      </c>
    </row>
    <row r="254">
      <c r="A254" s="30" t="inlineStr">
        <is>
          <t>TEXRAIL</t>
        </is>
      </c>
      <c r="B254" s="30" t="inlineStr">
        <is>
          <t>Texmaco Rail &amp; Engineering Limited</t>
        </is>
      </c>
      <c r="C254" s="30" t="inlineStr">
        <is>
          <t>industrials</t>
        </is>
      </c>
      <c r="D254" s="30" t="inlineStr">
        <is>
          <t>engineering</t>
        </is>
      </c>
      <c r="E254" s="30" t="inlineStr">
        <is>
          <t>midcap</t>
        </is>
      </c>
      <c r="F254" s="30" t="n">
        <v>5157.82</v>
      </c>
      <c r="G254" s="30" t="n">
        <v>125.67</v>
      </c>
      <c r="H254" s="30" t="n">
        <v>-0.87</v>
      </c>
      <c r="I254" s="30" t="n">
        <v>3485269</v>
      </c>
      <c r="J254" s="30" t="inlineStr">
        <is>
          <t>533326</t>
        </is>
      </c>
    </row>
    <row r="255">
      <c r="A255" s="30" t="inlineStr">
        <is>
          <t>GOODLUCK</t>
        </is>
      </c>
      <c r="B255" s="30" t="inlineStr">
        <is>
          <t>Goodluck India Limited</t>
        </is>
      </c>
      <c r="C255" s="30" t="inlineStr">
        <is>
          <t>metals &amp; mining</t>
        </is>
      </c>
      <c r="D255" s="30" t="inlineStr">
        <is>
          <t>steel - medium / small</t>
        </is>
      </c>
      <c r="E255" s="30" t="inlineStr">
        <is>
          <t>midcap</t>
        </is>
      </c>
      <c r="F255" s="30" t="n">
        <v>5289.41</v>
      </c>
      <c r="G255" s="30" t="n">
        <v>525.65</v>
      </c>
      <c r="H255" s="30" t="n">
        <v>-0.9</v>
      </c>
      <c r="I255" s="30" t="n">
        <v>239704</v>
      </c>
      <c r="J255" s="30" t="inlineStr">
        <is>
          <t>530655</t>
        </is>
      </c>
    </row>
    <row r="256">
      <c r="A256" s="30" t="inlineStr">
        <is>
          <t>EMUDHRA</t>
        </is>
      </c>
      <c r="B256" s="30" t="inlineStr">
        <is>
          <t>eMudhra Ltd</t>
        </is>
      </c>
      <c r="C256" s="30" t="inlineStr">
        <is>
          <t>i.t</t>
        </is>
      </c>
      <c r="D256" s="30" t="inlineStr">
        <is>
          <t>computers - software - medium / small</t>
        </is>
      </c>
      <c r="E256" s="30" t="inlineStr">
        <is>
          <t>midcap</t>
        </is>
      </c>
      <c r="F256" s="30" t="n">
        <v>5460.6</v>
      </c>
      <c r="G256" s="30" t="n">
        <v>653.45</v>
      </c>
      <c r="H256" s="30" t="n">
        <v>-0.9</v>
      </c>
      <c r="I256" s="30" t="n">
        <v>409910</v>
      </c>
      <c r="J256" s="30" t="inlineStr">
        <is>
          <t>543533</t>
        </is>
      </c>
    </row>
    <row r="257">
      <c r="A257" s="30" t="inlineStr">
        <is>
          <t>KAMDHENU</t>
        </is>
      </c>
      <c r="B257" s="30" t="inlineStr">
        <is>
          <t>Kamdhenu Limited</t>
        </is>
      </c>
      <c r="C257" s="30" t="inlineStr">
        <is>
          <t>metals &amp; mining</t>
        </is>
      </c>
      <c r="D257" s="30" t="inlineStr">
        <is>
          <t>steel - medium / small</t>
        </is>
      </c>
      <c r="E257" s="30" t="inlineStr">
        <is>
          <t>smallcap</t>
        </is>
      </c>
      <c r="F257" s="30" t="n">
        <v>1137.12</v>
      </c>
      <c r="G257" s="30" t="n">
        <v>39.96</v>
      </c>
      <c r="H257" s="30" t="n">
        <v>-0.9399999999999999</v>
      </c>
      <c r="I257" s="30" t="n">
        <v>483951</v>
      </c>
      <c r="J257" s="30" t="inlineStr">
        <is>
          <t>532741</t>
        </is>
      </c>
    </row>
    <row r="258">
      <c r="A258" s="30" t="inlineStr">
        <is>
          <t>LAURUSLABS</t>
        </is>
      </c>
      <c r="B258" s="30" t="inlineStr">
        <is>
          <t>Laurus Labs Limited</t>
        </is>
      </c>
      <c r="C258" s="30" t="inlineStr">
        <is>
          <t>healthcare</t>
        </is>
      </c>
      <c r="D258" s="30" t="inlineStr">
        <is>
          <t>pharmaceuticals - indian - bulk drugs &amp; formln</t>
        </is>
      </c>
      <c r="E258" s="30" t="inlineStr">
        <is>
          <t>largecap</t>
        </is>
      </c>
      <c r="F258" s="30" t="n">
        <v>109465.37</v>
      </c>
      <c r="G258" s="30" t="n">
        <v>2007</v>
      </c>
      <c r="H258" s="30" t="n">
        <v>-0.95</v>
      </c>
      <c r="I258" s="30" t="n">
        <v>1442142</v>
      </c>
      <c r="J258" s="30" t="inlineStr">
        <is>
          <t>540222</t>
        </is>
      </c>
    </row>
    <row r="259">
      <c r="A259" s="30" t="inlineStr">
        <is>
          <t>WOCKPHARMA</t>
        </is>
      </c>
      <c r="B259" s="30" t="inlineStr">
        <is>
          <t>Wockhardt Limited</t>
        </is>
      </c>
      <c r="C259" s="30" t="inlineStr">
        <is>
          <t>healthcare</t>
        </is>
      </c>
      <c r="D259" s="30" t="inlineStr">
        <is>
          <t>pharmaceuticals - indian - bulk drugs &amp; formln</t>
        </is>
      </c>
      <c r="E259" s="30" t="inlineStr">
        <is>
          <t>largecap</t>
        </is>
      </c>
      <c r="F259" s="30" t="n">
        <v>37173.33</v>
      </c>
      <c r="G259" s="30" t="n">
        <v>2265.6</v>
      </c>
      <c r="H259" s="30" t="n">
        <v>-0.97</v>
      </c>
      <c r="I259" s="30" t="n">
        <v>689934</v>
      </c>
      <c r="J259" s="30" t="inlineStr">
        <is>
          <t>532300</t>
        </is>
      </c>
    </row>
    <row r="260">
      <c r="A260" s="30" t="inlineStr">
        <is>
          <t>PCJEWELLER</t>
        </is>
      </c>
      <c r="B260" s="30" t="inlineStr">
        <is>
          <t>Pc Jeweller Limited</t>
        </is>
      </c>
      <c r="C260" s="30" t="inlineStr">
        <is>
          <t>consumer discretionary</t>
        </is>
      </c>
      <c r="D260" s="30" t="inlineStr">
        <is>
          <t>diamond cutting / jewellery</t>
        </is>
      </c>
      <c r="E260" s="30" t="inlineStr">
        <is>
          <t>midcap</t>
        </is>
      </c>
      <c r="F260" s="30" t="n">
        <v>13837.51</v>
      </c>
      <c r="G260" s="30" t="n">
        <v>14.11</v>
      </c>
      <c r="H260" s="30" t="n">
        <v>-0.98</v>
      </c>
      <c r="I260" s="30" t="n">
        <v>309343445</v>
      </c>
      <c r="J260" s="30" t="inlineStr">
        <is>
          <t>534809</t>
        </is>
      </c>
    </row>
    <row r="261">
      <c r="A261" s="30" t="inlineStr">
        <is>
          <t>KSL</t>
        </is>
      </c>
      <c r="B261" s="30" t="inlineStr">
        <is>
          <t>Kalyani Steels Limited</t>
        </is>
      </c>
      <c r="C261" s="30" t="inlineStr">
        <is>
          <t>metals &amp; mining</t>
        </is>
      </c>
      <c r="D261" s="30" t="inlineStr">
        <is>
          <t>steel - medium / small</t>
        </is>
      </c>
      <c r="E261" s="30" t="inlineStr">
        <is>
          <t>smallcap</t>
        </is>
      </c>
      <c r="F261" s="30" t="n">
        <v>4252.68</v>
      </c>
      <c r="G261" s="30" t="n">
        <v>964.7</v>
      </c>
      <c r="H261" s="30" t="n">
        <v>-0.98</v>
      </c>
      <c r="I261" s="30" t="n">
        <v>94739</v>
      </c>
      <c r="J261" s="30" t="inlineStr">
        <is>
          <t>500235</t>
        </is>
      </c>
    </row>
    <row r="262">
      <c r="A262" s="30" t="inlineStr">
        <is>
          <t>TI</t>
        </is>
      </c>
      <c r="B262" s="30" t="inlineStr">
        <is>
          <t>Tilaknagar Industries Limited</t>
        </is>
      </c>
      <c r="C262" s="30" t="inlineStr">
        <is>
          <t>fmcg</t>
        </is>
      </c>
      <c r="D262" s="30" t="inlineStr">
        <is>
          <t>breweries &amp; distilleries</t>
        </is>
      </c>
      <c r="E262" s="30" t="inlineStr">
        <is>
          <t>midcap</t>
        </is>
      </c>
      <c r="F262" s="30" t="n">
        <v>14540.33</v>
      </c>
      <c r="G262" s="30" t="n">
        <v>581.7</v>
      </c>
      <c r="H262" s="30" t="n">
        <v>-1</v>
      </c>
      <c r="I262" s="30" t="n">
        <v>1372795</v>
      </c>
      <c r="J262" s="30" t="inlineStr">
        <is>
          <t>507205</t>
        </is>
      </c>
    </row>
    <row r="263">
      <c r="A263" s="30" t="inlineStr">
        <is>
          <t>MANKIND</t>
        </is>
      </c>
      <c r="B263" s="30" t="inlineStr">
        <is>
          <t>Mankind Pharma Ltd</t>
        </is>
      </c>
      <c r="C263" s="30" t="inlineStr">
        <is>
          <t>healthcare</t>
        </is>
      </c>
      <c r="D263" s="30" t="inlineStr">
        <is>
          <t>pharmaceuticals - indian - bulk drugs &amp; formln</t>
        </is>
      </c>
      <c r="E263" s="30" t="inlineStr">
        <is>
          <t>largecap</t>
        </is>
      </c>
      <c r="F263" s="30" t="n">
        <v>103248.99</v>
      </c>
      <c r="G263" s="30" t="n">
        <v>2474.9</v>
      </c>
      <c r="H263" s="30" t="n">
        <v>-1</v>
      </c>
      <c r="I263" s="30" t="n">
        <v>333769</v>
      </c>
      <c r="J263" s="30" t="inlineStr">
        <is>
          <t>543904</t>
        </is>
      </c>
    </row>
    <row r="264">
      <c r="A264" s="30" t="inlineStr">
        <is>
          <t>SHAREINDIA</t>
        </is>
      </c>
      <c r="B264" s="30" t="inlineStr">
        <is>
          <t>Share India Securities Ltd</t>
        </is>
      </c>
      <c r="C264" s="30" t="inlineStr">
        <is>
          <t>financials</t>
        </is>
      </c>
      <c r="D264" s="30" t="inlineStr">
        <is>
          <t>finance &amp; investments</t>
        </is>
      </c>
      <c r="E264" s="30" t="inlineStr">
        <is>
          <t>smallcap</t>
        </is>
      </c>
      <c r="F264" s="30" t="n">
        <v>4635.82</v>
      </c>
      <c r="G264" s="30" t="n">
        <v>209.62</v>
      </c>
      <c r="H264" s="30" t="n">
        <v>-1.05</v>
      </c>
      <c r="I264" s="30" t="n">
        <v>1080901</v>
      </c>
      <c r="J264" s="30" t="inlineStr">
        <is>
          <t>540725</t>
        </is>
      </c>
    </row>
    <row r="265">
      <c r="A265" s="30" t="inlineStr">
        <is>
          <t>INNOVACAP</t>
        </is>
      </c>
      <c r="B265" s="30" t="inlineStr">
        <is>
          <t>Innova Captab Ltd</t>
        </is>
      </c>
      <c r="C265" s="30" t="inlineStr">
        <is>
          <t>healthcare</t>
        </is>
      </c>
      <c r="D265" s="30" t="inlineStr">
        <is>
          <t>pharmaceuticals - indian - bulk drugs &amp; formln</t>
        </is>
      </c>
      <c r="E265" s="30" t="inlineStr">
        <is>
          <t>midcap</t>
        </is>
      </c>
      <c r="F265" s="30" t="n">
        <v>7412.35</v>
      </c>
      <c r="G265" s="30" t="n">
        <v>1281</v>
      </c>
      <c r="H265" s="30" t="n">
        <v>-1.1</v>
      </c>
      <c r="I265" s="30" t="n">
        <v>34476</v>
      </c>
      <c r="J265" s="30" t="inlineStr">
        <is>
          <t>544067</t>
        </is>
      </c>
    </row>
    <row r="266">
      <c r="A266" s="30" t="inlineStr">
        <is>
          <t>SHYAMMETL</t>
        </is>
      </c>
      <c r="B266" s="30" t="inlineStr">
        <is>
          <t>Shyam Metalics &amp; Energy Ltd</t>
        </is>
      </c>
      <c r="C266" s="30" t="inlineStr">
        <is>
          <t>metals &amp; mining</t>
        </is>
      </c>
      <c r="D266" s="30" t="inlineStr">
        <is>
          <t>steel - large</t>
        </is>
      </c>
      <c r="E266" s="30" t="inlineStr">
        <is>
          <t>largecap</t>
        </is>
      </c>
      <c r="F266" s="30" t="n">
        <v>30645.89</v>
      </c>
      <c r="G266" s="30" t="n">
        <v>1085.6</v>
      </c>
      <c r="H266" s="30" t="n">
        <v>-1.12</v>
      </c>
      <c r="I266" s="30" t="n">
        <v>591086</v>
      </c>
      <c r="J266" s="30" t="inlineStr">
        <is>
          <t>543299</t>
        </is>
      </c>
    </row>
    <row r="267">
      <c r="A267" s="30" t="inlineStr">
        <is>
          <t>CAPLIPOINT</t>
        </is>
      </c>
      <c r="B267" s="30" t="inlineStr">
        <is>
          <t>Caplin Point Laboratories Limited</t>
        </is>
      </c>
      <c r="C267" s="30" t="inlineStr">
        <is>
          <t>healthcare</t>
        </is>
      </c>
      <c r="D267" s="30" t="inlineStr">
        <is>
          <t>pharmaceuticals - indian - formulations</t>
        </is>
      </c>
      <c r="E267" s="30" t="inlineStr">
        <is>
          <t>largecap</t>
        </is>
      </c>
      <c r="F267" s="30" t="n">
        <v>21795.59</v>
      </c>
      <c r="G267" s="30" t="n">
        <v>2835.1</v>
      </c>
      <c r="H267" s="30" t="n">
        <v>-1.13</v>
      </c>
      <c r="I267" s="30" t="n">
        <v>181149</v>
      </c>
      <c r="J267" s="30" t="inlineStr">
        <is>
          <t>524742</t>
        </is>
      </c>
    </row>
    <row r="268">
      <c r="A268" s="30" t="inlineStr">
        <is>
          <t>ROSSTECH</t>
        </is>
      </c>
      <c r="B268" s="30" t="inlineStr">
        <is>
          <t>Rossell Techsys Ltd</t>
        </is>
      </c>
      <c r="C268" s="30" t="inlineStr">
        <is>
          <t>aerospace &amp; defence</t>
        </is>
      </c>
      <c r="D268" s="30" t="inlineStr">
        <is>
          <t>engineering</t>
        </is>
      </c>
      <c r="E268" s="30" t="inlineStr">
        <is>
          <t>midcap</t>
        </is>
      </c>
      <c r="F268" s="30" t="n">
        <v>5348.75</v>
      </c>
      <c r="G268" s="30" t="n">
        <v>1402.7</v>
      </c>
      <c r="H268" s="30" t="n">
        <v>-1.14</v>
      </c>
      <c r="I268" s="30" t="n">
        <v>132626</v>
      </c>
      <c r="J268" s="30" t="inlineStr">
        <is>
          <t>544294</t>
        </is>
      </c>
    </row>
    <row r="269">
      <c r="A269" s="30" t="inlineStr">
        <is>
          <t>SANATHAN</t>
        </is>
      </c>
      <c r="B269" s="30" t="inlineStr">
        <is>
          <t>Sanathan Textiles Ltd</t>
        </is>
      </c>
      <c r="C269" s="30" t="inlineStr">
        <is>
          <t>textiles</t>
        </is>
      </c>
      <c r="D269" s="30" t="inlineStr">
        <is>
          <t>textiles - cotton/blended</t>
        </is>
      </c>
      <c r="E269" s="30" t="inlineStr">
        <is>
          <t>smallcap</t>
        </is>
      </c>
      <c r="F269" s="30" t="n">
        <v>4467.08</v>
      </c>
      <c r="G269" s="30" t="n">
        <v>523.2</v>
      </c>
      <c r="H269" s="30" t="n">
        <v>-1.14</v>
      </c>
      <c r="I269" s="30" t="n">
        <v>189507</v>
      </c>
      <c r="J269" s="30" t="inlineStr">
        <is>
          <t>544314</t>
        </is>
      </c>
    </row>
    <row r="270">
      <c r="A270" s="30" t="inlineStr">
        <is>
          <t>ACE</t>
        </is>
      </c>
      <c r="B270" s="30" t="inlineStr">
        <is>
          <t>Action Construction Equipment Limited</t>
        </is>
      </c>
      <c r="C270" s="30" t="inlineStr">
        <is>
          <t>industrials</t>
        </is>
      </c>
      <c r="D270" s="30" t="inlineStr">
        <is>
          <t>engineering</t>
        </is>
      </c>
      <c r="E270" s="30" t="inlineStr">
        <is>
          <t>midcap</t>
        </is>
      </c>
      <c r="F270" s="30" t="n">
        <v>14778.22</v>
      </c>
      <c r="G270" s="30" t="n">
        <v>1226.6</v>
      </c>
      <c r="H270" s="30" t="n">
        <v>-1.16</v>
      </c>
      <c r="I270" s="30" t="n">
        <v>184368</v>
      </c>
      <c r="J270" s="30" t="inlineStr">
        <is>
          <t>532762</t>
        </is>
      </c>
    </row>
    <row r="271">
      <c r="A271" s="30" t="inlineStr">
        <is>
          <t>GANDHITUBE</t>
        </is>
      </c>
      <c r="B271" s="30" t="inlineStr">
        <is>
          <t>Gandhi Special Tubes Limited</t>
        </is>
      </c>
      <c r="C271" s="30" t="inlineStr">
        <is>
          <t>metals &amp; mining</t>
        </is>
      </c>
      <c r="D271" s="30" t="inlineStr">
        <is>
          <t>steel - medium / small</t>
        </is>
      </c>
      <c r="E271" s="30" t="inlineStr">
        <is>
          <t>smallcap</t>
        </is>
      </c>
      <c r="F271" s="30" t="n">
        <v>1104.81</v>
      </c>
      <c r="G271" s="30" t="n">
        <v>966.5</v>
      </c>
      <c r="H271" s="30" t="n">
        <v>-1.29</v>
      </c>
      <c r="I271" s="30" t="n">
        <v>7495</v>
      </c>
      <c r="J271" s="30" t="inlineStr">
        <is>
          <t>513108</t>
        </is>
      </c>
    </row>
    <row r="272">
      <c r="A272" s="30" t="inlineStr">
        <is>
          <t>FINCABLES</t>
        </is>
      </c>
      <c r="B272" s="30" t="inlineStr">
        <is>
          <t>Finolex Cables Limited</t>
        </is>
      </c>
      <c r="C272" s="30" t="inlineStr">
        <is>
          <t>industrials</t>
        </is>
      </c>
      <c r="D272" s="30" t="inlineStr">
        <is>
          <t>cables - power</t>
        </is>
      </c>
      <c r="E272" s="30" t="inlineStr">
        <is>
          <t>largecap</t>
        </is>
      </c>
      <c r="F272" s="30" t="n">
        <v>22635.02</v>
      </c>
      <c r="G272" s="30" t="n">
        <v>1460.9</v>
      </c>
      <c r="H272" s="30" t="n">
        <v>-1.29</v>
      </c>
      <c r="I272" s="30" t="n">
        <v>501380</v>
      </c>
      <c r="J272" s="30" t="inlineStr">
        <is>
          <t>500144</t>
        </is>
      </c>
    </row>
    <row r="273">
      <c r="A273" s="30" t="inlineStr">
        <is>
          <t>SOFTTECH</t>
        </is>
      </c>
      <c r="B273" s="30" t="inlineStr">
        <is>
          <t>Softtech Engineers Ltd</t>
        </is>
      </c>
      <c r="C273" s="30" t="inlineStr">
        <is>
          <t>i.t</t>
        </is>
      </c>
      <c r="D273" s="30" t="inlineStr">
        <is>
          <t>computers - software - medium / small</t>
        </is>
      </c>
      <c r="E273" s="30" t="inlineStr">
        <is>
          <t>smallcap</t>
        </is>
      </c>
      <c r="F273" s="30" t="n">
        <v>673</v>
      </c>
      <c r="G273" s="30" t="n">
        <v>479.8</v>
      </c>
      <c r="H273" s="30" t="n">
        <v>-1.32</v>
      </c>
      <c r="I273" s="30" t="n">
        <v>5218</v>
      </c>
      <c r="J273" s="30" t="inlineStr">
        <is>
          <t>535078</t>
        </is>
      </c>
    </row>
    <row r="274">
      <c r="A274" s="30" t="inlineStr">
        <is>
          <t>IPCALAB</t>
        </is>
      </c>
      <c r="B274" s="30" t="inlineStr">
        <is>
          <t>Ipca Laboratories Limited</t>
        </is>
      </c>
      <c r="C274" s="30" t="inlineStr">
        <is>
          <t>healthcare</t>
        </is>
      </c>
      <c r="D274" s="30" t="inlineStr">
        <is>
          <t>pharmaceuticals - indian - bulk drugs &amp; formln</t>
        </is>
      </c>
      <c r="E274" s="30" t="inlineStr">
        <is>
          <t>largecap</t>
        </is>
      </c>
      <c r="F274" s="30" t="n">
        <v>50667.27</v>
      </c>
      <c r="G274" s="30" t="n">
        <v>1970.8</v>
      </c>
      <c r="H274" s="30" t="n">
        <v>-1.32</v>
      </c>
      <c r="I274" s="30" t="n">
        <v>263825</v>
      </c>
      <c r="J274" s="30" t="inlineStr">
        <is>
          <t>524494</t>
        </is>
      </c>
    </row>
    <row r="275">
      <c r="A275" s="30" t="inlineStr">
        <is>
          <t>SWANDEF</t>
        </is>
      </c>
      <c r="B275" s="30" t="inlineStr">
        <is>
          <t>Swan Defence and Heavy Industries Ltd</t>
        </is>
      </c>
      <c r="C275" s="30" t="inlineStr">
        <is>
          <t>transportation</t>
        </is>
      </c>
      <c r="D275" s="30" t="inlineStr">
        <is>
          <t>miscellaneous</t>
        </is>
      </c>
      <c r="E275" s="30" t="inlineStr">
        <is>
          <t>midcap</t>
        </is>
      </c>
      <c r="F275" s="30" t="n">
        <v>14311.63</v>
      </c>
      <c r="G275" s="30" t="n">
        <v>2679.7</v>
      </c>
      <c r="H275" s="30" t="n">
        <v>-1.36</v>
      </c>
      <c r="I275" s="30" t="n">
        <v>12520</v>
      </c>
      <c r="J275" s="30" t="inlineStr">
        <is>
          <t>533107</t>
        </is>
      </c>
    </row>
    <row r="276">
      <c r="A276" s="30" t="inlineStr">
        <is>
          <t>SUNDROP</t>
        </is>
      </c>
      <c r="B276" s="30" t="inlineStr">
        <is>
          <t>Sundrop Brands Ltd</t>
        </is>
      </c>
      <c r="C276" s="30" t="inlineStr">
        <is>
          <t>fmcg</t>
        </is>
      </c>
      <c r="D276" s="30" t="inlineStr">
        <is>
          <t>food - processing - indian</t>
        </is>
      </c>
      <c r="E276" s="30" t="inlineStr">
        <is>
          <t>smallcap</t>
        </is>
      </c>
      <c r="F276" s="30" t="n">
        <v>2850.64</v>
      </c>
      <c r="G276" s="30" t="n">
        <v>745.75</v>
      </c>
      <c r="H276" s="30" t="n">
        <v>-1.38</v>
      </c>
      <c r="I276" s="30" t="n">
        <v>11595</v>
      </c>
      <c r="J276" s="30" t="inlineStr">
        <is>
          <t>500215</t>
        </is>
      </c>
    </row>
    <row r="277">
      <c r="A277" s="30" t="inlineStr">
        <is>
          <t>CARBORUNIV</t>
        </is>
      </c>
      <c r="B277" s="30" t="inlineStr">
        <is>
          <t>Carborundum Universal Limited</t>
        </is>
      </c>
      <c r="C277" s="30" t="inlineStr">
        <is>
          <t>industrials</t>
        </is>
      </c>
      <c r="D277" s="30" t="inlineStr">
        <is>
          <t>abrasives and grinding wheels</t>
        </is>
      </c>
      <c r="E277" s="30" t="inlineStr">
        <is>
          <t>largecap</t>
        </is>
      </c>
      <c r="F277" s="30" t="n">
        <v>24697.48</v>
      </c>
      <c r="G277" s="30" t="n">
        <v>1278.5</v>
      </c>
      <c r="H277" s="30" t="n">
        <v>-1.39</v>
      </c>
      <c r="I277" s="30" t="n">
        <v>356177</v>
      </c>
      <c r="J277" s="30" t="inlineStr">
        <is>
          <t>513375</t>
        </is>
      </c>
    </row>
    <row r="278">
      <c r="A278" s="30" t="inlineStr">
        <is>
          <t>STAR</t>
        </is>
      </c>
      <c r="B278" s="30" t="inlineStr">
        <is>
          <t>Strides Shasun Limited</t>
        </is>
      </c>
      <c r="C278" s="30" t="inlineStr">
        <is>
          <t>healthcare</t>
        </is>
      </c>
      <c r="D278" s="30" t="inlineStr">
        <is>
          <t>pharmaceuticals - indian - bulk drugs &amp; formln</t>
        </is>
      </c>
      <c r="E278" s="30" t="inlineStr">
        <is>
          <t>midcap</t>
        </is>
      </c>
      <c r="F278" s="30" t="n">
        <v>11086.53</v>
      </c>
      <c r="G278" s="30" t="n">
        <v>1184.9</v>
      </c>
      <c r="H278" s="30" t="n">
        <v>-1.49</v>
      </c>
      <c r="I278" s="30" t="n">
        <v>143012</v>
      </c>
      <c r="J278" s="30" t="inlineStr">
        <is>
          <t>532531</t>
        </is>
      </c>
    </row>
    <row r="279">
      <c r="A279" s="30" t="inlineStr">
        <is>
          <t>BHAGYANGR</t>
        </is>
      </c>
      <c r="B279" s="30" t="inlineStr">
        <is>
          <t>Bhagyanagar India</t>
        </is>
      </c>
      <c r="C279" s="30" t="inlineStr">
        <is>
          <t>power &amp; utilities</t>
        </is>
      </c>
      <c r="D279" s="30" t="inlineStr">
        <is>
          <t>power generation and supply</t>
        </is>
      </c>
      <c r="E279" s="30" t="inlineStr">
        <is>
          <t>smallcap</t>
        </is>
      </c>
      <c r="F279" s="30" t="n">
        <v>1448.05</v>
      </c>
      <c r="G279" s="30" t="n">
        <v>425.55</v>
      </c>
      <c r="H279" s="30" t="n">
        <v>-1.56</v>
      </c>
      <c r="I279" s="30" t="n">
        <v>91739</v>
      </c>
      <c r="J279" s="30" t="inlineStr">
        <is>
          <t>512296</t>
        </is>
      </c>
    </row>
    <row r="280">
      <c r="A280" s="30" t="inlineStr">
        <is>
          <t>NOCIL</t>
        </is>
      </c>
      <c r="B280" s="30" t="inlineStr">
        <is>
          <t>Nocil Limited</t>
        </is>
      </c>
      <c r="C280" s="30" t="inlineStr">
        <is>
          <t>chemicals</t>
        </is>
      </c>
      <c r="D280" s="30" t="inlineStr">
        <is>
          <t>chemicals</t>
        </is>
      </c>
      <c r="E280" s="30" t="inlineStr">
        <is>
          <t>smallcap</t>
        </is>
      </c>
      <c r="F280" s="30" t="n">
        <v>3196.86</v>
      </c>
      <c r="G280" s="30" t="n">
        <v>188.41</v>
      </c>
      <c r="H280" s="30" t="n">
        <v>-1.56</v>
      </c>
      <c r="I280" s="30" t="n">
        <v>1112045</v>
      </c>
      <c r="J280" s="30" t="inlineStr">
        <is>
          <t>500730</t>
        </is>
      </c>
    </row>
    <row r="281">
      <c r="A281" s="30" t="inlineStr">
        <is>
          <t>EDELWEISS</t>
        </is>
      </c>
      <c r="B281" s="30" t="inlineStr">
        <is>
          <t>Edelweiss Financial Services Limited</t>
        </is>
      </c>
      <c r="C281" s="30" t="inlineStr">
        <is>
          <t>financials</t>
        </is>
      </c>
      <c r="D281" s="30" t="inlineStr">
        <is>
          <t>finance &amp; investments</t>
        </is>
      </c>
      <c r="E281" s="30" t="inlineStr">
        <is>
          <t>midcap</t>
        </is>
      </c>
      <c r="F281" s="30" t="n">
        <v>13157.74</v>
      </c>
      <c r="G281" s="30" t="n">
        <v>136.83</v>
      </c>
      <c r="H281" s="30" t="n">
        <v>-1.57</v>
      </c>
      <c r="I281" s="30" t="n">
        <v>4432948</v>
      </c>
      <c r="J281" s="30" t="inlineStr">
        <is>
          <t>532922</t>
        </is>
      </c>
    </row>
    <row r="282">
      <c r="A282" s="30" t="inlineStr">
        <is>
          <t>UNIMECH</t>
        </is>
      </c>
      <c r="B282" s="30" t="inlineStr">
        <is>
          <t>Unimech Aerospace and Manufacturing Ltd</t>
        </is>
      </c>
      <c r="C282" s="30" t="inlineStr">
        <is>
          <t>aerospace &amp; defence</t>
        </is>
      </c>
      <c r="D282" s="30" t="inlineStr">
        <is>
          <t>engineering</t>
        </is>
      </c>
      <c r="E282" s="30" t="inlineStr">
        <is>
          <t>midcap</t>
        </is>
      </c>
      <c r="F282" s="30" t="n">
        <v>8606.51</v>
      </c>
      <c r="G282" s="30" t="n">
        <v>1665.1</v>
      </c>
      <c r="H282" s="30" t="n">
        <v>-1.61</v>
      </c>
      <c r="I282" s="30" t="n">
        <v>138995</v>
      </c>
      <c r="J282" s="30" t="inlineStr">
        <is>
          <t>544322</t>
        </is>
      </c>
    </row>
    <row r="283">
      <c r="A283" s="30" t="inlineStr">
        <is>
          <t>AXISCADES</t>
        </is>
      </c>
      <c r="B283" s="30" t="inlineStr">
        <is>
          <t>AXISCADES Technologies Ltd</t>
        </is>
      </c>
      <c r="C283" s="30" t="inlineStr">
        <is>
          <t>aerospace &amp; defence</t>
        </is>
      </c>
      <c r="D283" s="30" t="inlineStr">
        <is>
          <t>computers - software - medium / small</t>
        </is>
      </c>
      <c r="E283" s="30" t="inlineStr">
        <is>
          <t>midcap</t>
        </is>
      </c>
      <c r="F283" s="30" t="n">
        <v>8179.13</v>
      </c>
      <c r="G283" s="30" t="n">
        <v>1892.1</v>
      </c>
      <c r="H283" s="30" t="n">
        <v>-1.61</v>
      </c>
      <c r="I283" s="30" t="n">
        <v>130914</v>
      </c>
      <c r="J283" s="30" t="inlineStr">
        <is>
          <t>532395</t>
        </is>
      </c>
    </row>
    <row r="284">
      <c r="A284" s="30" t="inlineStr">
        <is>
          <t>RATNAMANI</t>
        </is>
      </c>
      <c r="B284" s="30" t="inlineStr">
        <is>
          <t>Ratnamani Metals &amp; Tubes Limited</t>
        </is>
      </c>
      <c r="C284" s="30" t="inlineStr">
        <is>
          <t>industrials</t>
        </is>
      </c>
      <c r="D284" s="30" t="inlineStr">
        <is>
          <t>steel - medium / small</t>
        </is>
      </c>
      <c r="E284" s="30" t="inlineStr">
        <is>
          <t>midcap</t>
        </is>
      </c>
      <c r="F284" s="30" t="n">
        <v>19795.38</v>
      </c>
      <c r="G284" s="30" t="n">
        <v>2778.3</v>
      </c>
      <c r="H284" s="30" t="n">
        <v>-1.63</v>
      </c>
      <c r="I284" s="30" t="n">
        <v>25715</v>
      </c>
      <c r="J284" s="30" t="inlineStr">
        <is>
          <t>520111</t>
        </is>
      </c>
    </row>
    <row r="285">
      <c r="A285" s="30" t="inlineStr">
        <is>
          <t>ENTERO</t>
        </is>
      </c>
      <c r="B285" s="30" t="inlineStr">
        <is>
          <t>Entero Healthcare Solutions Ltd</t>
        </is>
      </c>
      <c r="C285" s="30" t="inlineStr">
        <is>
          <t>healthcare</t>
        </is>
      </c>
      <c r="D285" s="30" t="inlineStr">
        <is>
          <t>trading</t>
        </is>
      </c>
      <c r="E285" s="30" t="inlineStr">
        <is>
          <t>midcap</t>
        </is>
      </c>
      <c r="F285" s="30" t="n">
        <v>8061.34</v>
      </c>
      <c r="G285" s="30" t="n">
        <v>1821.8</v>
      </c>
      <c r="H285" s="30" t="n">
        <v>-1.64</v>
      </c>
      <c r="I285" s="30" t="n">
        <v>110434</v>
      </c>
      <c r="J285" s="30" t="inlineStr">
        <is>
          <t>544122</t>
        </is>
      </c>
    </row>
    <row r="286">
      <c r="A286" s="30" t="inlineStr">
        <is>
          <t>DHARMAJ</t>
        </is>
      </c>
      <c r="B286" s="30" t="inlineStr">
        <is>
          <t>Dharmaj Crop Guard Ltd</t>
        </is>
      </c>
      <c r="C286" s="30" t="inlineStr">
        <is>
          <t>chemicals</t>
        </is>
      </c>
      <c r="D286" s="30" t="inlineStr">
        <is>
          <t>pesticides / agrochemicals - indian</t>
        </is>
      </c>
      <c r="E286" s="30" t="inlineStr">
        <is>
          <t>smallcap</t>
        </is>
      </c>
      <c r="F286" s="30" t="n">
        <v>1015.78</v>
      </c>
      <c r="G286" s="30" t="n">
        <v>295.15</v>
      </c>
      <c r="H286" s="30" t="n">
        <v>-1.8</v>
      </c>
      <c r="I286" s="30" t="n">
        <v>23574</v>
      </c>
      <c r="J286" s="30" t="inlineStr">
        <is>
          <t>543687</t>
        </is>
      </c>
    </row>
    <row r="287">
      <c r="A287" s="30" t="inlineStr">
        <is>
          <t>SRHHYPOLTD</t>
        </is>
      </c>
      <c r="B287" s="30" t="inlineStr">
        <is>
          <t>Sree Rayalaseema Hi-strength Hypo Limited</t>
        </is>
      </c>
      <c r="C287" s="30" t="inlineStr">
        <is>
          <t>chemicals</t>
        </is>
      </c>
      <c r="D287" s="30" t="inlineStr">
        <is>
          <t>chemicals</t>
        </is>
      </c>
      <c r="E287" s="30" t="inlineStr">
        <is>
          <t>smallcap</t>
        </is>
      </c>
      <c r="F287" s="30" t="n">
        <v>1039.76</v>
      </c>
      <c r="G287" s="30" t="n">
        <v>594.8</v>
      </c>
      <c r="H287" s="30" t="n">
        <v>-1.81</v>
      </c>
      <c r="I287" s="30" t="n">
        <v>23038</v>
      </c>
      <c r="J287" s="30" t="inlineStr">
        <is>
          <t>532842</t>
        </is>
      </c>
    </row>
    <row r="288">
      <c r="A288" s="30" t="inlineStr">
        <is>
          <t>KROSS</t>
        </is>
      </c>
      <c r="B288" s="30" t="inlineStr">
        <is>
          <t>Kross Ltd</t>
        </is>
      </c>
      <c r="C288" s="30" t="inlineStr">
        <is>
          <t>auto</t>
        </is>
      </c>
      <c r="D288" s="30" t="inlineStr">
        <is>
          <t>auto ancillaries</t>
        </is>
      </c>
      <c r="E288" s="30" t="inlineStr">
        <is>
          <t>smallcap</t>
        </is>
      </c>
      <c r="F288" s="30" t="n">
        <v>1760.46</v>
      </c>
      <c r="G288" s="30" t="n">
        <v>267.87</v>
      </c>
      <c r="H288" s="30" t="n">
        <v>-1.84</v>
      </c>
      <c r="I288" s="30" t="n">
        <v>812431</v>
      </c>
      <c r="J288" s="30" t="inlineStr">
        <is>
          <t>544253</t>
        </is>
      </c>
    </row>
    <row r="289">
      <c r="A289" s="30" t="inlineStr">
        <is>
          <t>TALBROAUTO</t>
        </is>
      </c>
      <c r="B289" s="30" t="inlineStr">
        <is>
          <t>Talbros Automotive Components Limited</t>
        </is>
      </c>
      <c r="C289" s="30" t="inlineStr">
        <is>
          <t>auto</t>
        </is>
      </c>
      <c r="D289" s="30" t="inlineStr">
        <is>
          <t>auto ancillaries</t>
        </is>
      </c>
      <c r="E289" s="30" t="inlineStr">
        <is>
          <t>smallcap</t>
        </is>
      </c>
      <c r="F289" s="30" t="n">
        <v>2876.53</v>
      </c>
      <c r="G289" s="30" t="n">
        <v>457.35</v>
      </c>
      <c r="H289" s="30" t="n">
        <v>-1.86</v>
      </c>
      <c r="I289" s="30" t="n">
        <v>217822</v>
      </c>
      <c r="J289" s="30" t="inlineStr">
        <is>
          <t>505160</t>
        </is>
      </c>
    </row>
    <row r="290">
      <c r="A290" s="30" t="inlineStr">
        <is>
          <t>VENUSPIPES</t>
        </is>
      </c>
      <c r="B290" s="30" t="inlineStr">
        <is>
          <t>Venus Pipes &amp; Tubes Ltd</t>
        </is>
      </c>
      <c r="C290" s="30" t="inlineStr">
        <is>
          <t>metals &amp; mining</t>
        </is>
      </c>
      <c r="D290" s="30" t="inlineStr">
        <is>
          <t>steel - medium / small</t>
        </is>
      </c>
      <c r="E290" s="30" t="inlineStr">
        <is>
          <t>smallcap</t>
        </is>
      </c>
      <c r="F290" s="30" t="n">
        <v>4570.6</v>
      </c>
      <c r="G290" s="30" t="n">
        <v>2163.2</v>
      </c>
      <c r="H290" s="30" t="n">
        <v>-1.95</v>
      </c>
      <c r="I290" s="30" t="n">
        <v>148235</v>
      </c>
      <c r="J290" s="30" t="inlineStr">
        <is>
          <t>543528</t>
        </is>
      </c>
    </row>
    <row r="291">
      <c r="A291" s="30" t="inlineStr">
        <is>
          <t>TIRUPATIFL</t>
        </is>
      </c>
      <c r="B291" s="30" t="inlineStr">
        <is>
          <t>Tirupati Forge Ltd</t>
        </is>
      </c>
      <c r="C291" s="30" t="inlineStr">
        <is>
          <t>castings, forgings &amp; fasteners</t>
        </is>
      </c>
      <c r="D291" s="30" t="inlineStr">
        <is>
          <t>castings &amp; forgings</t>
        </is>
      </c>
      <c r="E291" s="30" t="inlineStr">
        <is>
          <t>smallcap</t>
        </is>
      </c>
      <c r="F291" s="30" t="n">
        <v>1038.63</v>
      </c>
      <c r="G291" s="30" t="n">
        <v>78.28</v>
      </c>
      <c r="H291" s="30" t="n">
        <v>-1.99</v>
      </c>
      <c r="I291" s="30" t="n">
        <v>66450</v>
      </c>
      <c r="J291" s="30" t="inlineStr">
        <is>
          <t>535021</t>
        </is>
      </c>
    </row>
    <row r="292">
      <c r="A292" s="30" t="inlineStr">
        <is>
          <t>NRL</t>
        </is>
      </c>
      <c r="B292" s="30" t="inlineStr">
        <is>
          <t>Nupur Recyclers Ltd</t>
        </is>
      </c>
      <c r="C292" s="30" t="inlineStr">
        <is>
          <t>services</t>
        </is>
      </c>
      <c r="D292" s="30" t="inlineStr">
        <is>
          <t>trading</t>
        </is>
      </c>
      <c r="E292" s="30" t="inlineStr">
        <is>
          <t>smallcap</t>
        </is>
      </c>
      <c r="F292" s="30" t="n">
        <v>1139.64</v>
      </c>
      <c r="G292" s="30" t="n">
        <v>161.7</v>
      </c>
      <c r="H292" s="30" t="n">
        <v>-2</v>
      </c>
      <c r="I292" s="30" t="n">
        <v>66624</v>
      </c>
      <c r="J292" s="30" t="inlineStr">
        <is>
          <t>535413</t>
        </is>
      </c>
    </row>
    <row r="293">
      <c r="A293" s="30" t="inlineStr">
        <is>
          <t>KDDL</t>
        </is>
      </c>
      <c r="B293" s="30" t="inlineStr">
        <is>
          <t>Kddl Limited</t>
        </is>
      </c>
      <c r="C293" s="30" t="inlineStr">
        <is>
          <t>consumer discretionary</t>
        </is>
      </c>
      <c r="D293" s="30" t="inlineStr">
        <is>
          <t>miscellaneous</t>
        </is>
      </c>
      <c r="E293" s="30" t="inlineStr">
        <is>
          <t>midcap</t>
        </is>
      </c>
      <c r="F293" s="30" t="n">
        <v>5067.06</v>
      </c>
      <c r="G293" s="30" t="n">
        <v>4033.4</v>
      </c>
      <c r="H293" s="30" t="n">
        <v>-2.1</v>
      </c>
      <c r="I293" s="30" t="n">
        <v>46381</v>
      </c>
      <c r="J293" s="30" t="inlineStr">
        <is>
          <t>532054</t>
        </is>
      </c>
    </row>
    <row r="294">
      <c r="A294" s="30" t="inlineStr">
        <is>
          <t>AGI</t>
        </is>
      </c>
      <c r="B294" s="30" t="inlineStr">
        <is>
          <t>AGI Greenpac Ltd</t>
        </is>
      </c>
      <c r="C294" s="30" t="inlineStr">
        <is>
          <t>industrials</t>
        </is>
      </c>
      <c r="D294" s="30" t="inlineStr">
        <is>
          <t>packaging</t>
        </is>
      </c>
      <c r="E294" s="30" t="inlineStr">
        <is>
          <t>midcap</t>
        </is>
      </c>
      <c r="F294" s="30" t="n">
        <v>5313.92</v>
      </c>
      <c r="G294" s="30" t="n">
        <v>803.35</v>
      </c>
      <c r="H294" s="30" t="n">
        <v>-2.19</v>
      </c>
      <c r="I294" s="30" t="n">
        <v>182324</v>
      </c>
      <c r="J294" s="30" t="inlineStr">
        <is>
          <t>500187</t>
        </is>
      </c>
    </row>
    <row r="295">
      <c r="A295" s="30" t="inlineStr">
        <is>
          <t>INDORAMA</t>
        </is>
      </c>
      <c r="B295" s="30" t="inlineStr">
        <is>
          <t>Indo Rama Synthetics (india) Limited</t>
        </is>
      </c>
      <c r="C295" s="30" t="inlineStr">
        <is>
          <t>textiles</t>
        </is>
      </c>
      <c r="D295" s="30" t="inlineStr">
        <is>
          <t>textiles - manmade</t>
        </is>
      </c>
      <c r="E295" s="30" t="inlineStr">
        <is>
          <t>smallcap</t>
        </is>
      </c>
      <c r="F295" s="30" t="n">
        <v>2656.04</v>
      </c>
      <c r="G295" s="30" t="n">
        <v>99.36</v>
      </c>
      <c r="H295" s="30" t="n">
        <v>-2.32</v>
      </c>
      <c r="I295" s="30" t="n">
        <v>827174</v>
      </c>
      <c r="J295" s="30" t="inlineStr">
        <is>
          <t>500207</t>
        </is>
      </c>
    </row>
    <row r="296">
      <c r="A296" s="30" t="inlineStr">
        <is>
          <t>GODREJAGRO</t>
        </is>
      </c>
      <c r="B296" s="30" t="inlineStr">
        <is>
          <t>Godrej Agrovet Ltd</t>
        </is>
      </c>
      <c r="C296" s="30" t="inlineStr">
        <is>
          <t>fmcg</t>
        </is>
      </c>
      <c r="D296" s="30" t="inlineStr">
        <is>
          <t>food - processing - indian</t>
        </is>
      </c>
      <c r="E296" s="30" t="inlineStr">
        <is>
          <t>midcap</t>
        </is>
      </c>
      <c r="F296" s="30" t="n">
        <v>13004.5</v>
      </c>
      <c r="G296" s="30" t="n">
        <v>657.8</v>
      </c>
      <c r="H296" s="30" t="n">
        <v>-2.7</v>
      </c>
      <c r="I296" s="30" t="n">
        <v>120326</v>
      </c>
      <c r="J296" s="30" t="inlineStr">
        <is>
          <t>540743</t>
        </is>
      </c>
    </row>
    <row r="297">
      <c r="A297" s="30" t="inlineStr">
        <is>
          <t>TBZ</t>
        </is>
      </c>
      <c r="B297" s="30" t="inlineStr">
        <is>
          <t>Tribhovandas Bhimji Zaveri Limited</t>
        </is>
      </c>
      <c r="C297" s="30" t="inlineStr">
        <is>
          <t>consumer discretionary</t>
        </is>
      </c>
      <c r="D297" s="30" t="inlineStr">
        <is>
          <t>diamond cutting / jewellery</t>
        </is>
      </c>
      <c r="E297" s="30" t="inlineStr">
        <is>
          <t>smallcap</t>
        </is>
      </c>
      <c r="F297" s="30" t="n">
        <v>4503.32</v>
      </c>
      <c r="G297" s="30" t="n">
        <v>655.6</v>
      </c>
      <c r="H297" s="30" t="n">
        <v>-2.85</v>
      </c>
      <c r="I297" s="30" t="n">
        <v>317411</v>
      </c>
      <c r="J297" s="30" t="inlineStr">
        <is>
          <t>534369</t>
        </is>
      </c>
    </row>
    <row r="298">
      <c r="A298" s="30" t="inlineStr">
        <is>
          <t>ORCHPHARMA</t>
        </is>
      </c>
      <c r="B298" s="30" t="inlineStr">
        <is>
          <t>Orchid Pharma Ltd</t>
        </is>
      </c>
      <c r="C298" s="30" t="inlineStr">
        <is>
          <t>healthcare</t>
        </is>
      </c>
      <c r="D298" s="30" t="inlineStr">
        <is>
          <t>pharmaceuticals - indian - bulk drugs &amp; formln</t>
        </is>
      </c>
      <c r="E298" s="30" t="inlineStr">
        <is>
          <t>midcap</t>
        </is>
      </c>
      <c r="F298" s="30" t="n">
        <v>5559.57</v>
      </c>
      <c r="G298" s="30" t="n">
        <v>1064.9</v>
      </c>
      <c r="H298" s="30" t="n">
        <v>-2.85</v>
      </c>
      <c r="I298" s="30" t="n">
        <v>63555</v>
      </c>
      <c r="J298" s="30" t="inlineStr">
        <is>
          <t>524372</t>
        </is>
      </c>
    </row>
    <row r="299">
      <c r="A299" s="30" t="inlineStr">
        <is>
          <t>OPTIEMUS</t>
        </is>
      </c>
      <c r="B299" s="30" t="inlineStr">
        <is>
          <t>Optiemus Infracom Ltd</t>
        </is>
      </c>
      <c r="C299" s="30" t="inlineStr">
        <is>
          <t>telecom</t>
        </is>
      </c>
      <c r="D299" s="30" t="inlineStr">
        <is>
          <t>trading</t>
        </is>
      </c>
      <c r="E299" s="30" t="inlineStr">
        <is>
          <t>midcap</t>
        </is>
      </c>
      <c r="F299" s="30" t="n">
        <v>7046.51</v>
      </c>
      <c r="G299" s="30" t="n">
        <v>758.55</v>
      </c>
      <c r="H299" s="30" t="n">
        <v>-2.94</v>
      </c>
      <c r="I299" s="30" t="n">
        <v>487355</v>
      </c>
      <c r="J299" s="30" t="inlineStr">
        <is>
          <t>530135</t>
        </is>
      </c>
    </row>
    <row r="300">
      <c r="A300" s="30" t="inlineStr">
        <is>
          <t>RML</t>
        </is>
      </c>
      <c r="B300" s="30" t="inlineStr">
        <is>
          <t>Rane (madras) Limited</t>
        </is>
      </c>
      <c r="C300" s="30" t="inlineStr">
        <is>
          <t>auto</t>
        </is>
      </c>
      <c r="D300" s="30" t="inlineStr">
        <is>
          <t>auto ancillaries</t>
        </is>
      </c>
      <c r="E300" s="30" t="inlineStr">
        <is>
          <t>smallcap</t>
        </is>
      </c>
      <c r="F300" s="30" t="n">
        <v>3766.39</v>
      </c>
      <c r="G300" s="30" t="n">
        <v>1322.3</v>
      </c>
      <c r="H300" s="30" t="n">
        <v>-2.97</v>
      </c>
      <c r="I300" s="30" t="n">
        <v>45192</v>
      </c>
      <c r="J300" s="30" t="inlineStr">
        <is>
          <t>532661</t>
        </is>
      </c>
    </row>
    <row r="301">
      <c r="A301" s="30" t="inlineStr">
        <is>
          <t>MCX</t>
        </is>
      </c>
      <c r="B301" s="30" t="inlineStr">
        <is>
          <t>Multi Commodity Exchange Of India Limited</t>
        </is>
      </c>
      <c r="C301" s="30" t="inlineStr">
        <is>
          <t>financials</t>
        </is>
      </c>
      <c r="D301" s="30" t="inlineStr">
        <is>
          <t>miscellaneous</t>
        </is>
      </c>
      <c r="E301" s="30" t="inlineStr">
        <is>
          <t>largecap</t>
        </is>
      </c>
      <c r="F301" s="30" t="n">
        <v>87403.55</v>
      </c>
      <c r="G301" s="30" t="n">
        <v>3324.9</v>
      </c>
      <c r="H301" s="30" t="n">
        <v>-3</v>
      </c>
      <c r="I301" s="30" t="n">
        <v>2386852</v>
      </c>
      <c r="J301" s="30" t="inlineStr">
        <is>
          <t>534091</t>
        </is>
      </c>
    </row>
    <row r="302">
      <c r="A302" s="30" t="inlineStr">
        <is>
          <t>YATHARTH</t>
        </is>
      </c>
      <c r="B302" s="30" t="inlineStr">
        <is>
          <t>Yatharth Hospital &amp; Trauma Care Services Ltd</t>
        </is>
      </c>
      <c r="C302" s="30" t="inlineStr">
        <is>
          <t>healthcare</t>
        </is>
      </c>
      <c r="D302" s="30" t="inlineStr">
        <is>
          <t>healthcare</t>
        </is>
      </c>
      <c r="E302" s="30" t="inlineStr">
        <is>
          <t>midcap</t>
        </is>
      </c>
      <c r="F302" s="30" t="n">
        <v>11148.2</v>
      </c>
      <c r="G302" s="30" t="n">
        <v>1121.4</v>
      </c>
      <c r="H302" s="30" t="n">
        <v>-3.08</v>
      </c>
      <c r="I302" s="30" t="n">
        <v>304843</v>
      </c>
      <c r="J302" s="30" t="inlineStr">
        <is>
          <t>543950</t>
        </is>
      </c>
    </row>
    <row r="303">
      <c r="A303" s="30" t="inlineStr">
        <is>
          <t>SURAKSHA</t>
        </is>
      </c>
      <c r="B303" s="30" t="inlineStr">
        <is>
          <t>Suraksha Diagnostic Ltd</t>
        </is>
      </c>
      <c r="C303" s="30" t="inlineStr">
        <is>
          <t>healthcare</t>
        </is>
      </c>
      <c r="D303" s="30" t="inlineStr">
        <is>
          <t>healthcare</t>
        </is>
      </c>
      <c r="E303" s="30" t="inlineStr">
        <is>
          <t>smallcap</t>
        </is>
      </c>
      <c r="F303" s="30" t="n">
        <v>1854.08</v>
      </c>
      <c r="G303" s="30" t="n">
        <v>343.3</v>
      </c>
      <c r="H303" s="30" t="n">
        <v>-3.57</v>
      </c>
      <c r="I303" s="30" t="n">
        <v>37699</v>
      </c>
      <c r="J303" s="30" t="inlineStr">
        <is>
          <t>544293</t>
        </is>
      </c>
    </row>
    <row r="304">
      <c r="A304" s="30" t="inlineStr">
        <is>
          <t>MAXESTATES</t>
        </is>
      </c>
      <c r="B304" s="30" t="inlineStr">
        <is>
          <t>Max Estates Ltd</t>
        </is>
      </c>
      <c r="C304" s="30" t="inlineStr">
        <is>
          <t>realty</t>
        </is>
      </c>
      <c r="D304" s="30" t="inlineStr">
        <is>
          <t>construction</t>
        </is>
      </c>
      <c r="E304" s="30" t="inlineStr">
        <is>
          <t>midcap</t>
        </is>
      </c>
      <c r="F304" s="30" t="n">
        <v>10084.51</v>
      </c>
      <c r="G304" s="30" t="n">
        <v>594.65</v>
      </c>
      <c r="H304" s="30" t="n">
        <v>-3.59</v>
      </c>
      <c r="I304" s="30" t="n">
        <v>156458</v>
      </c>
      <c r="J304" s="30" t="inlineStr">
        <is>
          <t>544008</t>
        </is>
      </c>
    </row>
    <row r="305">
      <c r="A305" s="30" t="inlineStr">
        <is>
          <t>TFCILTD</t>
        </is>
      </c>
      <c r="B305" s="30" t="inlineStr">
        <is>
          <t>Tourism Finance Corporation Of India Limited</t>
        </is>
      </c>
      <c r="C305" s="30" t="inlineStr">
        <is>
          <t>financials</t>
        </is>
      </c>
      <c r="D305" s="30" t="inlineStr">
        <is>
          <t>finance - term-lending institutions</t>
        </is>
      </c>
      <c r="E305" s="30" t="inlineStr">
        <is>
          <t>midcap</t>
        </is>
      </c>
      <c r="F305" s="30" t="n">
        <v>6641.87</v>
      </c>
      <c r="G305" s="30" t="n">
        <v>138.31</v>
      </c>
      <c r="H305" s="30" t="n">
        <v>-3.59</v>
      </c>
      <c r="I305" s="30" t="n">
        <v>30056074</v>
      </c>
      <c r="J305" s="30" t="inlineStr">
        <is>
          <t>526650</t>
        </is>
      </c>
    </row>
    <row r="306">
      <c r="A306" s="30" t="inlineStr">
        <is>
          <t>IL&amp;FSENGG</t>
        </is>
      </c>
      <c r="B306" s="30" t="inlineStr">
        <is>
          <t>Il&amp;fs Engineering And Construction Company Limited</t>
        </is>
      </c>
      <c r="C306" s="30" t="inlineStr">
        <is>
          <t>realty</t>
        </is>
      </c>
      <c r="D306" s="30" t="inlineStr">
        <is>
          <t>construction</t>
        </is>
      </c>
      <c r="E306" s="30" t="inlineStr">
        <is>
          <t>smallcap</t>
        </is>
      </c>
      <c r="F306" s="30" t="n">
        <v>544.41</v>
      </c>
      <c r="G306" s="30" t="n">
        <v>40</v>
      </c>
      <c r="H306" s="30" t="n">
        <v>-3.66</v>
      </c>
      <c r="I306" s="30" t="n">
        <v>40403</v>
      </c>
      <c r="J306" s="30" t="inlineStr">
        <is>
          <t>532907</t>
        </is>
      </c>
    </row>
    <row r="307">
      <c r="A307" s="30" t="inlineStr">
        <is>
          <t>GLOBAL</t>
        </is>
      </c>
      <c r="B307" s="30" t="inlineStr">
        <is>
          <t>Global Education Ltd</t>
        </is>
      </c>
      <c r="C307" s="30" t="inlineStr">
        <is>
          <t>services</t>
        </is>
      </c>
      <c r="D307" s="30" t="inlineStr">
        <is>
          <t>miscellaneous</t>
        </is>
      </c>
      <c r="E307" s="30" t="inlineStr">
        <is>
          <t>smallcap</t>
        </is>
      </c>
      <c r="F307" s="30" t="n">
        <v>717.71</v>
      </c>
      <c r="G307" s="30" t="n">
        <v>135.4</v>
      </c>
      <c r="H307" s="30" t="n">
        <v>-3.97</v>
      </c>
      <c r="I307" s="30" t="n">
        <v>227619</v>
      </c>
      <c r="J307" s="30" t="inlineStr">
        <is>
          <t>538406</t>
        </is>
      </c>
    </row>
    <row r="308">
      <c r="A308" s="30" t="inlineStr">
        <is>
          <t>PVP</t>
        </is>
      </c>
      <c r="B308" s="30" t="inlineStr">
        <is>
          <t>Pvp Ventures Limited</t>
        </is>
      </c>
      <c r="C308" s="30" t="inlineStr">
        <is>
          <t>realty</t>
        </is>
      </c>
      <c r="D308" s="30" t="inlineStr">
        <is>
          <t>construction</t>
        </is>
      </c>
      <c r="E308" s="30" t="inlineStr">
        <is>
          <t>smallcap</t>
        </is>
      </c>
      <c r="F308" s="30" t="n">
        <v>1697.83</v>
      </c>
      <c r="G308" s="30" t="n">
        <v>61.94</v>
      </c>
      <c r="H308" s="30" t="n">
        <v>-5</v>
      </c>
      <c r="I308" s="30" t="n">
        <v>2454711</v>
      </c>
      <c r="J308" s="30" t="inlineStr">
        <is>
          <t>517556</t>
        </is>
      </c>
    </row>
    <row r="309">
      <c r="A309" s="30" t="inlineStr">
        <is>
          <t>MOTISONS</t>
        </is>
      </c>
      <c r="B309" s="30" t="inlineStr">
        <is>
          <t>Motisons Jewellers Ltd</t>
        </is>
      </c>
      <c r="C309" s="30" t="inlineStr">
        <is>
          <t>consumer discretionary</t>
        </is>
      </c>
      <c r="D309" s="30" t="inlineStr">
        <is>
          <t>diamond cutting / jewellery</t>
        </is>
      </c>
      <c r="E309" s="30" t="inlineStr">
        <is>
          <t>smallcap</t>
        </is>
      </c>
      <c r="F309" s="30" t="n">
        <v>2137.37</v>
      </c>
      <c r="G309" s="30" t="n">
        <v>17.85</v>
      </c>
      <c r="H309" s="30" t="n">
        <v>-5</v>
      </c>
      <c r="I309" s="30" t="n">
        <v>119558121</v>
      </c>
      <c r="J309" s="30" t="inlineStr">
        <is>
          <t>544053</t>
        </is>
      </c>
    </row>
    <row r="310">
      <c r="A310" s="30" t="inlineStr">
        <is>
          <t>PREMIERPOL</t>
        </is>
      </c>
      <c r="B310" s="30" t="inlineStr">
        <is>
          <t>Premier Polyfilm Limited</t>
        </is>
      </c>
      <c r="C310" s="30" t="inlineStr">
        <is>
          <t>plastic products</t>
        </is>
      </c>
      <c r="D310" s="30" t="inlineStr">
        <is>
          <t>plastics products</t>
        </is>
      </c>
      <c r="E310" s="30" t="inlineStr">
        <is>
          <t>smallcap</t>
        </is>
      </c>
      <c r="F310" s="30" t="n">
        <v>1052.77</v>
      </c>
      <c r="G310" s="30" t="n">
        <v>95.40000000000001</v>
      </c>
      <c r="H310" s="30" t="n">
        <v>-5.08</v>
      </c>
      <c r="I310" s="30" t="n">
        <v>784231</v>
      </c>
      <c r="J310" s="30" t="inlineStr">
        <is>
          <t>514354</t>
        </is>
      </c>
    </row>
    <row r="311">
      <c r="A311" s="30" t="inlineStr">
        <is>
          <t>UNIDT</t>
        </is>
      </c>
      <c r="B311" s="30" t="inlineStr">
        <is>
          <t>United Drilling Tools Ltd</t>
        </is>
      </c>
      <c r="C311" s="30" t="inlineStr">
        <is>
          <t>industrials</t>
        </is>
      </c>
      <c r="D311" s="30" t="inlineStr">
        <is>
          <t>engineering</t>
        </is>
      </c>
      <c r="E311" s="30" t="inlineStr">
        <is>
          <t>smallcap</t>
        </is>
      </c>
      <c r="F311" s="30" t="n">
        <v>527.39</v>
      </c>
      <c r="G311" s="30" t="n">
        <v>241.71</v>
      </c>
      <c r="H311" s="30" t="n">
        <v>-6.95</v>
      </c>
      <c r="I311" s="30" t="n">
        <v>139221</v>
      </c>
      <c r="J311" s="30" t="inlineStr">
        <is>
          <t>522014</t>
        </is>
      </c>
    </row>
  </sheetData>
  <autoFilter ref="A1:J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SHANTIGOLD</t>
        </is>
      </c>
      <c r="E2" s="30" t="inlineStr">
        <is>
          <t>Shanti Gold International Ltd</t>
        </is>
      </c>
      <c r="F2" s="30" t="inlineStr">
        <is>
          <t>Diamond Gems and Jewellery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20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KABRAEXTRU</t>
        </is>
      </c>
      <c r="E3" s="30" t="inlineStr">
        <is>
          <t>Kabra Extrusion Technik Limited</t>
        </is>
      </c>
      <c r="F3" s="30" t="inlineStr">
        <is>
          <t>Capital Goods Engineering Heavy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19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BODALCHEM</t>
        </is>
      </c>
      <c r="E4" s="30" t="inlineStr">
        <is>
          <t>Bodal Chemicals Limited</t>
        </is>
      </c>
      <c r="F4" s="30" t="inlineStr">
        <is>
          <t>Dyes and Pigments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31</v>
      </c>
      <c r="K4" s="30" t="n">
        <v>28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AHCL</t>
        </is>
      </c>
      <c r="E5" s="30" t="inlineStr">
        <is>
          <t>Anlon Healthcare Ltd</t>
        </is>
      </c>
      <c r="F5" s="30" t="inlineStr">
        <is>
          <t>Pharma API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19</v>
      </c>
      <c r="K5" s="30" t="n">
        <v>14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SANSERA</t>
        </is>
      </c>
      <c r="E6" s="30" t="inlineStr">
        <is>
          <t>Sansera Engineering Ltd</t>
        </is>
      </c>
      <c r="F6" s="30" t="inlineStr">
        <is>
          <t>Diversified Auto Components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21</v>
      </c>
      <c r="K6" s="30" t="n">
        <v>26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SPECTRUM</t>
        </is>
      </c>
      <c r="E7" s="30" t="inlineStr">
        <is>
          <t>Spectrum Electrical Industries Ltd</t>
        </is>
      </c>
      <c r="F7" s="30" t="inlineStr">
        <is>
          <t>Capital Goods Electric General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16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NRAIL</t>
        </is>
      </c>
      <c r="E8" s="30" t="inlineStr">
        <is>
          <t>N R Agarwal Industries Ltd</t>
        </is>
      </c>
      <c r="F8" s="30" t="inlineStr">
        <is>
          <t>Paper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21</v>
      </c>
      <c r="K8" s="30" t="n">
        <v>20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GCSL</t>
        </is>
      </c>
      <c r="E9" s="30" t="inlineStr">
        <is>
          <t>Gretex Corporate Services Ltd</t>
        </is>
      </c>
      <c r="F9" s="30" t="inlineStr">
        <is>
          <t>Finance and Investments Others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24</v>
      </c>
      <c r="K9" s="30" t="n">
        <v>12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SAMBHV</t>
        </is>
      </c>
      <c r="E10" s="30" t="inlineStr">
        <is>
          <t>Sambhv Steel Tubes Ltd</t>
        </is>
      </c>
      <c r="F10" s="30" t="inlineStr">
        <is>
          <t>Steel Tubes and Pipes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28</v>
      </c>
      <c r="K10" s="30" t="n">
        <v>23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ENGINERSIN</t>
        </is>
      </c>
      <c r="E11" s="30" t="inlineStr">
        <is>
          <t>Engineers India Limited</t>
        </is>
      </c>
      <c r="F11" s="30" t="inlineStr">
        <is>
          <t>Infra Engineering General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22</v>
      </c>
      <c r="K11" s="30" t="n">
        <v>24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DYNAMATECH</t>
        </is>
      </c>
      <c r="E12" s="30" t="inlineStr">
        <is>
          <t>Dynamatic Technologies Limited</t>
        </is>
      </c>
      <c r="F12" s="30" t="inlineStr">
        <is>
          <t>Aerospace and Defence Equipment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19</v>
      </c>
      <c r="K12" s="30" t="n">
        <v>28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MANINDS</t>
        </is>
      </c>
      <c r="E13" s="30" t="inlineStr">
        <is>
          <t>Man Industries (india) Limited</t>
        </is>
      </c>
      <c r="F13" s="30" t="inlineStr">
        <is>
          <t>Steel Tubes and Pipes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27</v>
      </c>
      <c r="K13" s="30" t="n">
        <v>30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MUKANDLTD</t>
        </is>
      </c>
      <c r="E14" s="30" t="inlineStr">
        <is>
          <t>Mukand Limited</t>
        </is>
      </c>
      <c r="F14" s="30" t="inlineStr">
        <is>
          <t>Steel</t>
        </is>
      </c>
      <c r="G14" s="30" t="n">
        <v>3</v>
      </c>
      <c r="H14" s="30" t="inlineStr">
        <is>
          <t>52W Breakout</t>
        </is>
      </c>
      <c r="I14" s="30" t="inlineStr">
        <is>
          <t>Yes</t>
        </is>
      </c>
      <c r="J14" s="30" t="n">
        <v>21</v>
      </c>
      <c r="K14" s="30" t="n">
        <v>6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SBC</t>
        </is>
      </c>
      <c r="E15" s="30" t="inlineStr">
        <is>
          <t>SBC Exports Ltd</t>
        </is>
      </c>
      <c r="F15" s="30" t="inlineStr">
        <is>
          <t>Textiles Readymade Apparel</t>
        </is>
      </c>
      <c r="G15" s="30" t="n">
        <v>3</v>
      </c>
      <c r="H15" s="30" t="inlineStr">
        <is>
          <t>52W Breakout</t>
        </is>
      </c>
      <c r="I15" s="30" t="inlineStr">
        <is>
          <t>Yes</t>
        </is>
      </c>
      <c r="J15" s="30" t="n">
        <v>23</v>
      </c>
      <c r="K15" s="30" t="n">
        <v>22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IBULLSLTD</t>
        </is>
      </c>
      <c r="E16" s="30" t="inlineStr">
        <is>
          <t>Indiabulls Limited</t>
        </is>
      </c>
      <c r="F16" s="30" t="inlineStr">
        <is>
          <t>Diversified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19</v>
      </c>
      <c r="K16" s="30" t="n">
        <v>8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RPTECH</t>
        </is>
      </c>
      <c r="E17" s="30" t="inlineStr">
        <is>
          <t>Rashi Peripherals Ltd</t>
        </is>
      </c>
      <c r="F17" s="30" t="inlineStr">
        <is>
          <t>unknown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0</v>
      </c>
      <c r="K17" s="30" t="n">
        <v>10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GNA</t>
        </is>
      </c>
      <c r="E18" s="30" t="inlineStr">
        <is>
          <t>Gna Axles Limited</t>
        </is>
      </c>
      <c r="F18" s="30" t="inlineStr">
        <is>
          <t>Auto Axles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22</v>
      </c>
      <c r="K18" s="30" t="n">
        <v>16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PGIL</t>
        </is>
      </c>
      <c r="E19" s="30" t="inlineStr">
        <is>
          <t>Pearl Global Industries Limited</t>
        </is>
      </c>
      <c r="F19" s="30" t="inlineStr">
        <is>
          <t>unknown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0</v>
      </c>
      <c r="K19" s="30" t="n">
        <v>17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AVTNPL</t>
        </is>
      </c>
      <c r="E20" s="30" t="inlineStr">
        <is>
          <t>Avt Natural Products Limited</t>
        </is>
      </c>
      <c r="F20" s="30" t="inlineStr">
        <is>
          <t>Natural Extracts and Food Ingredients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23</v>
      </c>
      <c r="K20" s="30" t="n">
        <v>26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VINCOFE</t>
        </is>
      </c>
      <c r="E21" s="30" t="inlineStr">
        <is>
          <t>Vintage Coffee &amp; Beverages Ltd</t>
        </is>
      </c>
      <c r="F21" s="30" t="inlineStr">
        <is>
          <t>FMCG Coffee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21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BHAGYANGR</t>
        </is>
      </c>
      <c r="E22" s="30" t="inlineStr">
        <is>
          <t>Bhagyanagar India</t>
        </is>
      </c>
      <c r="F22" s="30" t="inlineStr">
        <is>
          <t>Recycling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21</v>
      </c>
      <c r="K22" s="30" t="n">
        <v>14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NRL</t>
        </is>
      </c>
      <c r="E23" s="30" t="inlineStr">
        <is>
          <t>Nupur Recyclers Ltd</t>
        </is>
      </c>
      <c r="F23" s="30" t="inlineStr">
        <is>
          <t>Trading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20</v>
      </c>
      <c r="K23" s="30" t="n">
        <v>26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TBZ</t>
        </is>
      </c>
      <c r="E24" s="30" t="inlineStr">
        <is>
          <t>Tribhovandas Bhimji Zaveri Limited</t>
        </is>
      </c>
      <c r="F24" s="30" t="inlineStr">
        <is>
          <t>Diamond Gems and Jewellery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21</v>
      </c>
      <c r="K24" s="30" t="n">
        <v>26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FILATEX</t>
        </is>
      </c>
      <c r="E25" s="30" t="inlineStr">
        <is>
          <t>Filatex India Limited</t>
        </is>
      </c>
      <c r="F25" s="30" t="inlineStr">
        <is>
          <t>Textiles Manmade PFY and PSF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19</v>
      </c>
      <c r="K25" s="30" t="n">
        <v>18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IOLCP</t>
        </is>
      </c>
      <c r="E26" s="30" t="inlineStr">
        <is>
          <t>Iol Chemicals And Pharmaceuticals Limited</t>
        </is>
      </c>
      <c r="F26" s="30" t="inlineStr">
        <is>
          <t>Pharma API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20</v>
      </c>
      <c r="K26" s="30" t="n">
        <v>27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MBECL</t>
        </is>
      </c>
      <c r="E27" s="30" t="inlineStr">
        <is>
          <t>Mcnally Bharat Engineering Company Limited</t>
        </is>
      </c>
      <c r="F27" s="30" t="inlineStr">
        <is>
          <t>Engineering Turnkey Services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20</v>
      </c>
      <c r="K27" s="30" t="n">
        <v>10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BHAGERIA</t>
        </is>
      </c>
      <c r="E28" s="30" t="inlineStr">
        <is>
          <t>Bhageria Industries Limited</t>
        </is>
      </c>
      <c r="F28" s="30" t="inlineStr">
        <is>
          <t>Dyes and Pigments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28</v>
      </c>
      <c r="K28" s="30" t="n">
        <v>26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QUADFUTURE</t>
        </is>
      </c>
      <c r="E29" s="30" t="inlineStr">
        <is>
          <t>Quadrant Future Tek Ltd</t>
        </is>
      </c>
      <c r="F29" s="30" t="inlineStr">
        <is>
          <t>Railways Kavach and Springs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21</v>
      </c>
      <c r="K29" s="30" t="n">
        <v>26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GHCLTEXTIL</t>
        </is>
      </c>
      <c r="E30" s="30" t="inlineStr">
        <is>
          <t>GHCL Textiles Ltd</t>
        </is>
      </c>
      <c r="F30" s="30" t="inlineStr">
        <is>
          <t>Textiles General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19</v>
      </c>
      <c r="K30" s="30" t="n">
        <v>25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KINGFA</t>
        </is>
      </c>
      <c r="E31" s="30" t="inlineStr">
        <is>
          <t>Kingfa Science &amp; Technology (india) Limited</t>
        </is>
      </c>
      <c r="F31" s="30" t="inlineStr">
        <is>
          <t>Plastics Plastic and Plastic Products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21</v>
      </c>
      <c r="K31" s="30" t="n">
        <v>26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IGPL</t>
        </is>
      </c>
      <c r="E32" s="30" t="inlineStr">
        <is>
          <t>Ig Petrochemicals Limited</t>
        </is>
      </c>
      <c r="F32" s="30" t="inlineStr">
        <is>
          <t>Chemicals Organic Maleic Anhydride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21</v>
      </c>
      <c r="K32" s="30" t="n">
        <v>24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LLOYDSENGG</t>
        </is>
      </c>
      <c r="E33" s="30" t="inlineStr">
        <is>
          <t>Lloyds Engineering Works Ltd</t>
        </is>
      </c>
      <c r="F33" s="30" t="inlineStr">
        <is>
          <t>unknown</t>
        </is>
      </c>
      <c r="G33" s="30" t="n">
        <v>2</v>
      </c>
      <c r="H33" s="30" t="inlineStr">
        <is>
          <t>52W Breakout</t>
        </is>
      </c>
      <c r="I33" s="30" t="inlineStr">
        <is>
          <t>Yes</t>
        </is>
      </c>
      <c r="J33" s="30" t="n">
        <v>0</v>
      </c>
      <c r="K33" s="30" t="n">
        <v>4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INDSWFTLAB</t>
        </is>
      </c>
      <c r="E34" s="30" t="inlineStr">
        <is>
          <t>Ind-swift Laboratories Limited</t>
        </is>
      </c>
      <c r="F34" s="30" t="inlineStr">
        <is>
          <t>Pharma Formulations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30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MARKSANS</t>
        </is>
      </c>
      <c r="E35" s="30" t="inlineStr">
        <is>
          <t>Marksans Pharma Limited</t>
        </is>
      </c>
      <c r="F35" s="30" t="inlineStr">
        <is>
          <t>Pharma Formulations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22</v>
      </c>
      <c r="K35" s="30" t="n">
        <v>26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MOREPENLAB</t>
        </is>
      </c>
      <c r="E36" s="30" t="inlineStr">
        <is>
          <t>Morepen Laboratories Limited</t>
        </is>
      </c>
      <c r="F36" s="30" t="inlineStr">
        <is>
          <t>Pharma API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SAKAR</t>
        </is>
      </c>
      <c r="E37" s="30" t="inlineStr">
        <is>
          <t>Sakar Healthcare Ltd</t>
        </is>
      </c>
      <c r="F37" s="30" t="inlineStr">
        <is>
          <t>Pharma Integrated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19</v>
      </c>
      <c r="K37" s="30" t="n">
        <v>19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ENTERO</t>
        </is>
      </c>
      <c r="E38" s="30" t="inlineStr">
        <is>
          <t>Entero Healthcare Solutions Ltd</t>
        </is>
      </c>
      <c r="F38" s="30" t="inlineStr">
        <is>
          <t>Pharma Distribution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21</v>
      </c>
      <c r="K38" s="30" t="n">
        <v>29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MOTISONS</t>
        </is>
      </c>
      <c r="E39" s="30" t="inlineStr">
        <is>
          <t>Motisons Jewellers Ltd</t>
        </is>
      </c>
      <c r="F39" s="30" t="inlineStr">
        <is>
          <t>Diamond Gems and Jewellery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20</v>
      </c>
      <c r="K39" s="30" t="n">
        <v>13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BIRLACABLE</t>
        </is>
      </c>
      <c r="E40" s="30" t="inlineStr">
        <is>
          <t>Birla Cable Limited</t>
        </is>
      </c>
      <c r="F40" s="30" t="inlineStr">
        <is>
          <t>Cables Telecom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27</v>
      </c>
      <c r="K40" s="30" t="n">
        <v>29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MARINE</t>
        </is>
      </c>
      <c r="E41" s="30" t="inlineStr">
        <is>
          <t>Marine Electricals (India) Ltd</t>
        </is>
      </c>
      <c r="F41" s="30" t="inlineStr">
        <is>
          <t>Shipping Proxy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21</v>
      </c>
      <c r="K41" s="30" t="n">
        <v>25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LOTUSDEV</t>
        </is>
      </c>
      <c r="E42" s="30" t="inlineStr">
        <is>
          <t>Sri Lotus Developers &amp; Realty Ltd</t>
        </is>
      </c>
      <c r="F42" s="30" t="inlineStr">
        <is>
          <t>Construction Factories and Offices and Commercial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21</v>
      </c>
      <c r="K42" s="30" t="n">
        <v>22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PCJEWELLER</t>
        </is>
      </c>
      <c r="E43" s="30" t="inlineStr">
        <is>
          <t>Pc Jeweller Limited</t>
        </is>
      </c>
      <c r="F43" s="30" t="inlineStr">
        <is>
          <t>Diamond Gems and Jewellery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29</v>
      </c>
      <c r="K43" s="30" t="n">
        <v>15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MACPOWER</t>
        </is>
      </c>
      <c r="E44" s="30" t="inlineStr">
        <is>
          <t>Macpower CNC Machines Ltd</t>
        </is>
      </c>
      <c r="F44" s="30" t="inlineStr">
        <is>
          <t>CNC Machines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22</v>
      </c>
      <c r="K44" s="30" t="n">
        <v>26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SYRMA</t>
        </is>
      </c>
      <c r="E45" s="30" t="inlineStr">
        <is>
          <t>Syrma SGS Technology Ltd</t>
        </is>
      </c>
      <c r="F45" s="30" t="inlineStr">
        <is>
          <t>EMS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21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ARROWGREEN</t>
        </is>
      </c>
      <c r="E46" s="30" t="inlineStr">
        <is>
          <t>Arrow Greentech Limited</t>
        </is>
      </c>
      <c r="F46" s="30" t="inlineStr">
        <is>
          <t>Plastics Plastic and Plastic Products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23</v>
      </c>
      <c r="K46" s="30" t="n">
        <v>19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KANORICHEM</t>
        </is>
      </c>
      <c r="E47" s="30" t="inlineStr">
        <is>
          <t>Kanoria Chemicals &amp; Industries Limited</t>
        </is>
      </c>
      <c r="F47" s="30" t="inlineStr">
        <is>
          <t>unknown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0</v>
      </c>
      <c r="K47" s="30" t="n">
        <v>28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AETHER</t>
        </is>
      </c>
      <c r="E48" s="30" t="inlineStr">
        <is>
          <t>Aether Industries Ltd</t>
        </is>
      </c>
      <c r="F48" s="30" t="inlineStr">
        <is>
          <t>unknown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0</v>
      </c>
      <c r="K48" s="30" t="n">
        <v>18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INNOVACAP</t>
        </is>
      </c>
      <c r="E49" s="30" t="inlineStr">
        <is>
          <t>Innova Captab Ltd</t>
        </is>
      </c>
      <c r="F49" s="30" t="inlineStr">
        <is>
          <t>Pharma CRAMS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28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SHAREINDIA</t>
        </is>
      </c>
      <c r="E50" s="30" t="inlineStr">
        <is>
          <t>Share India Securities Ltd</t>
        </is>
      </c>
      <c r="F50" s="30" t="inlineStr">
        <is>
          <t>Finance Capital Markets Brokers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14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SHILPAMED</t>
        </is>
      </c>
      <c r="E51" s="30" t="inlineStr">
        <is>
          <t>Shilpa Medicare Limited</t>
        </is>
      </c>
      <c r="F51" s="30" t="inlineStr">
        <is>
          <t>Pharma API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30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SOUTHBANK</t>
        </is>
      </c>
      <c r="E52" s="30" t="inlineStr">
        <is>
          <t>The South Indian Bank Limited</t>
        </is>
      </c>
      <c r="F52" s="30" t="inlineStr">
        <is>
          <t>unknown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0</v>
      </c>
      <c r="K52" s="30" t="n">
        <v>6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FCL</t>
        </is>
      </c>
      <c r="E53" s="30" t="inlineStr">
        <is>
          <t>Fineotex Chemical Limited</t>
        </is>
      </c>
      <c r="F53" s="30" t="inlineStr">
        <is>
          <t>Specialty Chemicals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24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NRBBEARING</t>
        </is>
      </c>
      <c r="E54" s="30" t="inlineStr">
        <is>
          <t>Nrb Bearing Limited</t>
        </is>
      </c>
      <c r="F54" s="30" t="inlineStr">
        <is>
          <t>Bearings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20</v>
      </c>
      <c r="K54" s="30" t="n">
        <v>22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FINCABLES</t>
        </is>
      </c>
      <c r="E55" s="30" t="inlineStr">
        <is>
          <t>Finolex Cables Limited</t>
        </is>
      </c>
      <c r="F55" s="30" t="inlineStr">
        <is>
          <t>Cables Telecom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20</v>
      </c>
      <c r="K55" s="30" t="n">
        <v>27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SHRIPISTON</t>
        </is>
      </c>
      <c r="E56" s="30" t="inlineStr">
        <is>
          <t>Shriram Pistons &amp; Rings Limited</t>
        </is>
      </c>
      <c r="F56" s="30" t="inlineStr">
        <is>
          <t>unknown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0</v>
      </c>
      <c r="K56" s="30" t="n">
        <v>14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AARTIPHARM</t>
        </is>
      </c>
      <c r="E57" s="30" t="inlineStr">
        <is>
          <t>Aarti Pharmalabs Ltd</t>
        </is>
      </c>
      <c r="F57" s="30" t="inlineStr">
        <is>
          <t>Pharma API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25</v>
      </c>
      <c r="K57" s="30" t="n">
        <v>22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ACMESOLAR</t>
        </is>
      </c>
      <c r="E58" s="30" t="inlineStr">
        <is>
          <t>ACME Solar Holdings Ltd</t>
        </is>
      </c>
      <c r="F58" s="30" t="inlineStr">
        <is>
          <t>Power Generation and Distribution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22</v>
      </c>
      <c r="K58" s="30" t="n">
        <v>26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EMUDHRA</t>
        </is>
      </c>
      <c r="E59" s="30" t="inlineStr">
        <is>
          <t>eMudhra Ltd</t>
        </is>
      </c>
      <c r="F59" s="30" t="inlineStr">
        <is>
          <t>Services Others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24</v>
      </c>
      <c r="K59" s="30" t="n">
        <v>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TATVA</t>
        </is>
      </c>
      <c r="E60" s="30" t="inlineStr">
        <is>
          <t>Tatva Chintan Pharma Chem Ltd</t>
        </is>
      </c>
      <c r="F60" s="30" t="inlineStr">
        <is>
          <t>Specialty Chemicals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20</v>
      </c>
      <c r="K60" s="30" t="n">
        <v>12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USHAMART</t>
        </is>
      </c>
      <c r="E61" s="30" t="inlineStr">
        <is>
          <t>Usha Martin Limited</t>
        </is>
      </c>
      <c r="F61" s="30" t="inlineStr">
        <is>
          <t>unknown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0</v>
      </c>
      <c r="K61" s="30" t="n">
        <v>8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LAURUSLABS</t>
        </is>
      </c>
      <c r="E62" s="30" t="inlineStr">
        <is>
          <t>Laurus Labs Limited</t>
        </is>
      </c>
      <c r="F62" s="30" t="inlineStr">
        <is>
          <t>Pharma API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20</v>
      </c>
      <c r="K62" s="30" t="n">
        <v>29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CASTROLIND</t>
        </is>
      </c>
      <c r="E63" s="30" t="inlineStr">
        <is>
          <t>Castrol India Limited</t>
        </is>
      </c>
      <c r="F63" s="30" t="inlineStr">
        <is>
          <t>Lubricants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22</v>
      </c>
      <c r="K63" s="30" t="n">
        <v>12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ONEPOINT</t>
        </is>
      </c>
      <c r="E64" s="30" t="inlineStr">
        <is>
          <t>One Point One Solutions Ltd</t>
        </is>
      </c>
      <c r="F64" s="30" t="inlineStr">
        <is>
          <t>IT Enabled Services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25</v>
      </c>
      <c r="K64" s="30" t="n">
        <v>11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EMIL</t>
        </is>
      </c>
      <c r="E65" s="30" t="inlineStr">
        <is>
          <t>Electronics Mart India Ltd</t>
        </is>
      </c>
      <c r="F65" s="30" t="inlineStr">
        <is>
          <t>Retail Electronics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20</v>
      </c>
      <c r="K65" s="30" t="n">
        <v>28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MVGJL</t>
        </is>
      </c>
      <c r="E66" s="30" t="inlineStr">
        <is>
          <t>Manoj Vaibhav Gems N Jewellers Ltd</t>
        </is>
      </c>
      <c r="F66" s="30" t="inlineStr">
        <is>
          <t>Diamond Gems and Jewellery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21</v>
      </c>
      <c r="K66" s="30" t="n">
        <v>17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JASH</t>
        </is>
      </c>
      <c r="E67" s="30" t="inlineStr">
        <is>
          <t>Jash Engineering Ltd</t>
        </is>
      </c>
      <c r="F67" s="30" t="inlineStr">
        <is>
          <t>Water Treatment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20</v>
      </c>
      <c r="K67" s="30" t="n">
        <v>13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SHREEJISPG</t>
        </is>
      </c>
      <c r="E68" s="30" t="inlineStr">
        <is>
          <t>Shreeji Shipping Global Ltd</t>
        </is>
      </c>
      <c r="F68" s="30" t="inlineStr">
        <is>
          <t>unknown</t>
        </is>
      </c>
      <c r="G68" s="30" t="n">
        <v>2</v>
      </c>
      <c r="H68" s="30" t="inlineStr">
        <is>
          <t>52W Breakout</t>
        </is>
      </c>
      <c r="I68" s="30" t="inlineStr">
        <is>
          <t>Yes</t>
        </is>
      </c>
      <c r="J68" s="30" t="n">
        <v>0</v>
      </c>
      <c r="K68" s="30" t="n">
        <v>17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JGCHEM</t>
        </is>
      </c>
      <c r="E69" s="30" t="inlineStr">
        <is>
          <t>J.G.Chemicals Ltd</t>
        </is>
      </c>
      <c r="F69" s="30" t="inlineStr">
        <is>
          <t>unknown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0</v>
      </c>
      <c r="K69" s="30" t="n">
        <v>18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RGL</t>
        </is>
      </c>
      <c r="E70" s="30" t="inlineStr">
        <is>
          <t>Renaissance Global Ltd</t>
        </is>
      </c>
      <c r="F70" s="30" t="inlineStr">
        <is>
          <t>Lab Grown Diamonds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20</v>
      </c>
      <c r="K70" s="30" t="n">
        <v>30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NEOGEN</t>
        </is>
      </c>
      <c r="E71" s="30" t="inlineStr">
        <is>
          <t>Neogen Chemicals Ltd</t>
        </is>
      </c>
      <c r="F71" s="30" t="inlineStr">
        <is>
          <t>Specialty Chemicals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20</v>
      </c>
      <c r="K71" s="30" t="n">
        <v>20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TFCILTD</t>
        </is>
      </c>
      <c r="E72" s="30" t="inlineStr">
        <is>
          <t>Tourism Finance Corporation Of India Limited</t>
        </is>
      </c>
      <c r="F72" s="30" t="inlineStr">
        <is>
          <t>Finance PSU Lending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18</v>
      </c>
      <c r="K72" s="30" t="n">
        <v>30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TNPETRO</t>
        </is>
      </c>
      <c r="E73" s="30" t="inlineStr">
        <is>
          <t>Tamilnadu Petroproducts Limited</t>
        </is>
      </c>
      <c r="F73" s="30" t="inlineStr">
        <is>
          <t>Petrochemicals Others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20</v>
      </c>
      <c r="K73" s="30" t="n">
        <v>28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TEGA</t>
        </is>
      </c>
      <c r="E74" s="30" t="inlineStr">
        <is>
          <t>Tega Industries Ltd</t>
        </is>
      </c>
      <c r="F74" s="30" t="inlineStr">
        <is>
          <t>Capital Goods Mining Equipment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16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STLTECH</t>
        </is>
      </c>
      <c r="E75" s="30" t="inlineStr">
        <is>
          <t>Sterlite Technologies Limited</t>
        </is>
      </c>
      <c r="F75" s="30" t="inlineStr">
        <is>
          <t>Cables Telecom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22</v>
      </c>
      <c r="K75" s="30" t="n">
        <v>30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ANTELOPUS</t>
        </is>
      </c>
      <c r="E76" s="30" t="inlineStr">
        <is>
          <t>Antelopus Selan Energy Ltd</t>
        </is>
      </c>
      <c r="F76" s="30" t="inlineStr">
        <is>
          <t>Oil Drilling and Exploration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31</v>
      </c>
      <c r="K76" s="30" t="n">
        <v>19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RATNAVEER</t>
        </is>
      </c>
      <c r="E77" s="30" t="inlineStr">
        <is>
          <t>Ratnaveer Precision Engineering Ltd</t>
        </is>
      </c>
      <c r="F77" s="30" t="inlineStr">
        <is>
          <t>Stainless Steel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22</v>
      </c>
      <c r="K77" s="30" t="n">
        <v>30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ROSSTECH</t>
        </is>
      </c>
      <c r="E78" s="30" t="inlineStr">
        <is>
          <t>Rossell Techsys Ltd</t>
        </is>
      </c>
      <c r="F78" s="30" t="inlineStr">
        <is>
          <t>Aerospace and Defence Equipment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21</v>
      </c>
      <c r="K78" s="30" t="n">
        <v>28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NAVINFLUOR</t>
        </is>
      </c>
      <c r="E79" s="30" t="inlineStr">
        <is>
          <t>Navin Fluorine International Limited</t>
        </is>
      </c>
      <c r="F79" s="30" t="inlineStr">
        <is>
          <t>Chemicals Fluorine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19</v>
      </c>
      <c r="K79" s="30" t="n">
        <v>23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PRABHA</t>
        </is>
      </c>
      <c r="E80" s="30" t="inlineStr">
        <is>
          <t>Prabha Energy Ltd</t>
        </is>
      </c>
      <c r="F80" s="30" t="inlineStr">
        <is>
          <t>Oil Exploration and Allied Services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20</v>
      </c>
      <c r="K80" s="30" t="n">
        <v>18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RAMRAT</t>
        </is>
      </c>
      <c r="E81" s="30" t="inlineStr">
        <is>
          <t>Ram Ratna Wires Ltd</t>
        </is>
      </c>
      <c r="F81" s="30" t="inlineStr">
        <is>
          <t>Copper Wires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28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SALSTEEL</t>
        </is>
      </c>
      <c r="E82" s="30" t="inlineStr">
        <is>
          <t>SAL Steel</t>
        </is>
      </c>
      <c r="F82" s="30" t="inlineStr">
        <is>
          <t>unknown</t>
        </is>
      </c>
      <c r="G82" s="30" t="n">
        <v>2</v>
      </c>
      <c r="H82" s="30" t="inlineStr">
        <is>
          <t>52W Breakout</t>
        </is>
      </c>
      <c r="I82" s="30" t="inlineStr">
        <is>
          <t>Yes</t>
        </is>
      </c>
      <c r="J82" s="30" t="n">
        <v>0</v>
      </c>
      <c r="K82" s="30" t="n">
        <v>26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GNFC</t>
        </is>
      </c>
      <c r="E83" s="30" t="inlineStr">
        <is>
          <t>Gujarat Narmada Valley Fertilizers And Chemicals Limited</t>
        </is>
      </c>
      <c r="F83" s="30" t="inlineStr">
        <is>
          <t>Fertilisers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24</v>
      </c>
      <c r="K83" s="30" t="n">
        <v>24</v>
      </c>
    </row>
  </sheetData>
  <autoFilter ref="A1:K83"/>
  <conditionalFormatting sqref="G2:G8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9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IF(B2=0,"",RANK(B2,$B$2:$B$290,0))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IBULLSLTD</t>
        </is>
      </c>
      <c r="D2" s="30" t="inlineStr">
        <is>
          <t>Indiabulls Limited</t>
        </is>
      </c>
      <c r="E2" s="30" t="inlineStr">
        <is>
          <t>miscellaneous</t>
        </is>
      </c>
      <c r="F2" s="30" t="inlineStr">
        <is>
          <t>diversified - medium / small</t>
        </is>
      </c>
      <c r="G2" s="30" t="inlineStr">
        <is>
          <t>midcap</t>
        </is>
      </c>
      <c r="H2" s="31" t="n">
        <v>6618.23</v>
      </c>
      <c r="I2" s="31" t="n">
        <v>29.83</v>
      </c>
      <c r="J2" s="31" t="n">
        <v>5</v>
      </c>
      <c r="K2" s="31" t="n">
        <v>14185546</v>
      </c>
      <c r="L2" s="30" t="n">
        <v>80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64.39</v>
      </c>
      <c r="P2" s="31" t="n">
        <v>40.79</v>
      </c>
      <c r="Q2" s="31" t="n">
        <v>20.94</v>
      </c>
      <c r="R2" s="30" t="inlineStr">
        <is>
          <t>Near 52W High Breakout</t>
        </is>
      </c>
      <c r="S2" s="30" t="inlineStr">
        <is>
          <t>Nifty 50</t>
        </is>
      </c>
      <c r="T2" s="31" t="n">
        <v>-6.14</v>
      </c>
      <c r="U2" s="31" t="n">
        <v>59.09</v>
      </c>
      <c r="V2" s="31" t="n">
        <v>69.5</v>
      </c>
      <c r="W2" s="31" t="n">
        <v>30.55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IF(B3=0,"",RANK(B3,$B$2:$B$290,0))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RPTECH</t>
        </is>
      </c>
      <c r="D3" s="30" t="inlineStr">
        <is>
          <t>Rashi Peripherals Ltd</t>
        </is>
      </c>
      <c r="E3" s="30" t="inlineStr">
        <is>
          <t>i.t</t>
        </is>
      </c>
      <c r="F3" s="30" t="inlineStr">
        <is>
          <t>trading</t>
        </is>
      </c>
      <c r="G3" s="30" t="inlineStr">
        <is>
          <t>midcap</t>
        </is>
      </c>
      <c r="H3" s="31" t="n">
        <v>5822.24</v>
      </c>
      <c r="I3" s="31" t="n">
        <v>893</v>
      </c>
      <c r="J3" s="31" t="n">
        <v>1.08</v>
      </c>
      <c r="K3" s="31" t="n">
        <v>214767</v>
      </c>
      <c r="L3" s="30" t="n">
        <v>83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70.86</v>
      </c>
      <c r="P3" s="31" t="n">
        <v>71</v>
      </c>
      <c r="Q3" s="31" t="n">
        <v>657.59</v>
      </c>
      <c r="R3" s="30" t="inlineStr">
        <is>
          <t>Near 52W High Breakout</t>
        </is>
      </c>
      <c r="S3" s="30" t="inlineStr">
        <is>
          <t>Nifty IT</t>
        </is>
      </c>
      <c r="T3" s="31" t="n">
        <v>-16.44</v>
      </c>
      <c r="U3" s="31" t="n">
        <v>183.74</v>
      </c>
      <c r="V3" s="31" t="n">
        <v>239.57</v>
      </c>
      <c r="W3" s="31" t="n">
        <v>32.97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IF(B4=0,"",RANK(B4,$B$2:$B$290,0))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OCCLLTD</t>
        </is>
      </c>
      <c r="D4" s="30" t="inlineStr">
        <is>
          <t>OCCL Ltd</t>
        </is>
      </c>
      <c r="E4" s="30" t="inlineStr">
        <is>
          <t>chemicals</t>
        </is>
      </c>
      <c r="F4" s="30" t="inlineStr">
        <is>
          <t>chemicals</t>
        </is>
      </c>
      <c r="G4" s="30" t="inlineStr">
        <is>
          <t>smallcap</t>
        </is>
      </c>
      <c r="H4" s="31" t="n">
        <v>797.66</v>
      </c>
      <c r="I4" s="31" t="n">
        <v>167.67</v>
      </c>
      <c r="J4" s="31" t="n">
        <v>5</v>
      </c>
      <c r="K4" s="31" t="n">
        <v>156212</v>
      </c>
      <c r="L4" s="30" t="n">
        <v>48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69.66</v>
      </c>
      <c r="P4" s="31" t="n">
        <v>47.77</v>
      </c>
      <c r="Q4" s="31" t="n">
        <v>123.42</v>
      </c>
      <c r="R4" s="30" t="inlineStr">
        <is>
          <t>Near 52W High Breakout</t>
        </is>
      </c>
      <c r="S4" s="30" t="inlineStr">
        <is>
          <t>Nifty 50</t>
        </is>
      </c>
      <c r="T4" s="31" t="n">
        <v>-6.14</v>
      </c>
      <c r="U4" s="31" t="n">
        <v>32.78</v>
      </c>
      <c r="V4" s="31" t="n">
        <v>41.46</v>
      </c>
      <c r="W4" s="31" t="n">
        <v>15.99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IF(B5=0,"",RANK(B5,$B$2:$B$290,0))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PGIL</t>
        </is>
      </c>
      <c r="D5" s="30" t="inlineStr">
        <is>
          <t>Pearl Global Industries Limited</t>
        </is>
      </c>
      <c r="E5" s="30" t="inlineStr">
        <is>
          <t>readymade garments/apparels</t>
        </is>
      </c>
      <c r="F5" s="30" t="inlineStr">
        <is>
          <t>textiles - products</t>
        </is>
      </c>
      <c r="G5" s="30" t="inlineStr">
        <is>
          <t>midcap</t>
        </is>
      </c>
      <c r="H5" s="31" t="n">
        <v>11765.65</v>
      </c>
      <c r="I5" s="31" t="n">
        <v>1329.1</v>
      </c>
      <c r="J5" s="31" t="n">
        <v>4.36</v>
      </c>
      <c r="K5" s="31" t="n">
        <v>477150</v>
      </c>
      <c r="L5" s="30" t="n">
        <v>68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72.05</v>
      </c>
      <c r="P5" s="31" t="n">
        <v>59.49</v>
      </c>
      <c r="Q5" s="31" t="n">
        <v>1014.98</v>
      </c>
      <c r="R5" s="30" t="inlineStr">
        <is>
          <t>Near 52W High Breakout</t>
        </is>
      </c>
      <c r="S5" s="30" t="inlineStr">
        <is>
          <t>Nifty 50</t>
        </is>
      </c>
      <c r="T5" s="31" t="n">
        <v>-6.14</v>
      </c>
      <c r="U5" s="31" t="n">
        <v>109.45</v>
      </c>
      <c r="V5" s="31" t="n">
        <v>123.16</v>
      </c>
      <c r="W5" s="31" t="n">
        <v>23.69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IF(B6=0,"",RANK(B6,$B$2:$B$290,0))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ORIENTBELL</t>
        </is>
      </c>
      <c r="D6" s="30" t="inlineStr">
        <is>
          <t>Orient Bell Limited</t>
        </is>
      </c>
      <c r="E6" s="30" t="inlineStr">
        <is>
          <t>building materials</t>
        </is>
      </c>
      <c r="F6" s="30" t="inlineStr">
        <is>
          <t>ceramics - tiles / sanitaryware</t>
        </is>
      </c>
      <c r="G6" s="30" t="inlineStr">
        <is>
          <t>smallcap</t>
        </is>
      </c>
      <c r="H6" s="31" t="n">
        <v>575.25</v>
      </c>
      <c r="I6" s="31" t="n">
        <v>407.55</v>
      </c>
      <c r="J6" s="31" t="n">
        <v>4.22</v>
      </c>
      <c r="K6" s="31" t="n">
        <v>29237</v>
      </c>
      <c r="L6" s="30" t="inlineStr"/>
      <c r="M6" s="30" t="inlineStr"/>
      <c r="N6" s="31">
        <f>IF(M6="Underperforming",-5,IF(L6&gt;=95,15,IF(L6&gt;=90,10,IF(L6&gt;=80,5,0))))</f>
        <v/>
      </c>
      <c r="O6" s="31" t="n">
        <v>67.47</v>
      </c>
      <c r="P6" s="31" t="n">
        <v>44.3</v>
      </c>
      <c r="Q6" s="31" t="n">
        <v>321.15</v>
      </c>
      <c r="R6" s="30" t="inlineStr">
        <is>
          <t>Near 52W High Breakout</t>
        </is>
      </c>
      <c r="S6" s="30" t="inlineStr">
        <is>
          <t>Nifty Infra</t>
        </is>
      </c>
      <c r="T6" s="31" t="inlineStr"/>
      <c r="U6" s="31" t="inlineStr"/>
      <c r="V6" s="31" t="inlineStr"/>
      <c r="W6" s="31" t="inlineStr"/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IF(B7=0,"",RANK(B7,$B$2:$B$290,0))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BLUSPRING</t>
        </is>
      </c>
      <c r="D7" s="30" t="inlineStr">
        <is>
          <t>Bluspring Enterprises Ltd</t>
        </is>
      </c>
      <c r="E7" s="30" t="inlineStr">
        <is>
          <t>miscellaneous</t>
        </is>
      </c>
      <c r="F7" s="30" t="inlineStr">
        <is>
          <t>diversified - large</t>
        </is>
      </c>
      <c r="G7" s="30" t="inlineStr">
        <is>
          <t>smallcap</t>
        </is>
      </c>
      <c r="H7" s="31" t="n">
        <v>2100.54</v>
      </c>
      <c r="I7" s="31" t="n">
        <v>145.12</v>
      </c>
      <c r="J7" s="31" t="n">
        <v>3.24</v>
      </c>
      <c r="K7" s="31" t="n">
        <v>758518</v>
      </c>
      <c r="L7" s="30" t="n">
        <v>77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69.73</v>
      </c>
      <c r="P7" s="31" t="n">
        <v>62.36</v>
      </c>
      <c r="Q7" s="31" t="n">
        <v>98.56</v>
      </c>
      <c r="R7" s="30" t="inlineStr">
        <is>
          <t>Near 52W High Breakout</t>
        </is>
      </c>
      <c r="S7" s="30" t="inlineStr">
        <is>
          <t>Nifty 50</t>
        </is>
      </c>
      <c r="T7" s="31" t="n">
        <v>-6.14</v>
      </c>
      <c r="U7" s="31" t="n">
        <v>83.58</v>
      </c>
      <c r="V7" s="31" t="n">
        <v>95.59</v>
      </c>
      <c r="W7" s="31" t="n">
        <v>28.13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IF(B8=0,"",RANK(B8,$B$2:$B$290,0))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ASIANHOTNR</t>
        </is>
      </c>
      <c r="D8" s="30" t="inlineStr">
        <is>
          <t>Asian Hotels (north) Limited</t>
        </is>
      </c>
      <c r="E8" s="30" t="inlineStr">
        <is>
          <t>services</t>
        </is>
      </c>
      <c r="F8" s="30" t="inlineStr">
        <is>
          <t>hotels</t>
        </is>
      </c>
      <c r="G8" s="30" t="inlineStr">
        <is>
          <t>smallcap</t>
        </is>
      </c>
      <c r="H8" s="31" t="n">
        <v>1660.56</v>
      </c>
      <c r="I8" s="31" t="n">
        <v>394.35</v>
      </c>
      <c r="J8" s="31" t="n">
        <v>1.25</v>
      </c>
      <c r="K8" s="31" t="n">
        <v>5905</v>
      </c>
      <c r="L8" s="30" t="n">
        <v>38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70.11</v>
      </c>
      <c r="P8" s="31" t="n">
        <v>42.23</v>
      </c>
      <c r="Q8" s="31" t="n">
        <v>284.13</v>
      </c>
      <c r="R8" s="30" t="inlineStr">
        <is>
          <t>Near 52W High Breakout</t>
        </is>
      </c>
      <c r="S8" s="30" t="inlineStr">
        <is>
          <t>Nifty 50</t>
        </is>
      </c>
      <c r="T8" s="31" t="n">
        <v>-6.14</v>
      </c>
      <c r="U8" s="31" t="n">
        <v>23.93</v>
      </c>
      <c r="V8" s="31" t="n">
        <v>32.04</v>
      </c>
      <c r="W8" s="31" t="n">
        <v>11.93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IF(B9=0,"",RANK(B9,$B$2:$B$290,0))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MSTCLTD</t>
        </is>
      </c>
      <c r="D9" s="30" t="inlineStr">
        <is>
          <t>MSTC Ltd</t>
        </is>
      </c>
      <c r="E9" s="30" t="inlineStr">
        <is>
          <t>i.t</t>
        </is>
      </c>
      <c r="F9" s="30" t="inlineStr">
        <is>
          <t>trading</t>
        </is>
      </c>
      <c r="G9" s="30" t="inlineStr">
        <is>
          <t>midcap</t>
        </is>
      </c>
      <c r="H9" s="31" t="n">
        <v>5195.87</v>
      </c>
      <c r="I9" s="31" t="n">
        <v>740.8</v>
      </c>
      <c r="J9" s="31" t="n">
        <v>0.37</v>
      </c>
      <c r="K9" s="31" t="n">
        <v>418504</v>
      </c>
      <c r="L9" s="30" t="n">
        <v>51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67.61</v>
      </c>
      <c r="P9" s="31" t="n">
        <v>46.37</v>
      </c>
      <c r="Q9" s="31" t="n">
        <v>553.0700000000001</v>
      </c>
      <c r="R9" s="30" t="inlineStr">
        <is>
          <t>Near 52W High Breakout</t>
        </is>
      </c>
      <c r="S9" s="30" t="inlineStr">
        <is>
          <t>Nifty IT</t>
        </is>
      </c>
      <c r="T9" s="31" t="n">
        <v>-16.44</v>
      </c>
      <c r="U9" s="31" t="n">
        <v>57.47</v>
      </c>
      <c r="V9" s="31" t="n">
        <v>88.45</v>
      </c>
      <c r="W9" s="31" t="n">
        <v>16.56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IF(B10=0,"",RANK(B10,$B$2:$B$290,0))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GNA</t>
        </is>
      </c>
      <c r="D10" s="30" t="inlineStr">
        <is>
          <t>Gna Axles Limited</t>
        </is>
      </c>
      <c r="E10" s="30" t="inlineStr">
        <is>
          <t>auto</t>
        </is>
      </c>
      <c r="F10" s="30" t="inlineStr">
        <is>
          <t>auto ancillaries</t>
        </is>
      </c>
      <c r="G10" s="30" t="inlineStr">
        <is>
          <t>smallcap</t>
        </is>
      </c>
      <c r="H10" s="31" t="n">
        <v>2663.64</v>
      </c>
      <c r="I10" s="31" t="n">
        <v>617.65</v>
      </c>
      <c r="J10" s="31" t="n">
        <v>-0.45</v>
      </c>
      <c r="K10" s="31" t="n">
        <v>623477</v>
      </c>
      <c r="L10" s="30" t="inlineStr"/>
      <c r="M10" s="30" t="inlineStr"/>
      <c r="N10" s="31">
        <f>IF(M10="Underperforming",-5,IF(L10&gt;=95,15,IF(L10&gt;=90,10,IF(L10&gt;=80,5,0))))</f>
        <v/>
      </c>
      <c r="O10" s="31" t="n">
        <v>72.73999999999999</v>
      </c>
      <c r="P10" s="31" t="n">
        <v>49.18</v>
      </c>
      <c r="Q10" s="31" t="n">
        <v>460.08</v>
      </c>
      <c r="R10" s="30" t="inlineStr">
        <is>
          <t>Volume Spike &amp; Near 52W High Breakout</t>
        </is>
      </c>
      <c r="S10" s="30" t="inlineStr">
        <is>
          <t>Nifty Auto</t>
        </is>
      </c>
      <c r="T10" s="31" t="inlineStr"/>
      <c r="U10" s="31" t="inlineStr"/>
      <c r="V10" s="31" t="inlineStr"/>
      <c r="W10" s="31" t="inlineStr"/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IF(B11=0,"",RANK(B11,$B$2:$B$290,0))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PASUPTAC</t>
        </is>
      </c>
      <c r="D11" s="30" t="inlineStr">
        <is>
          <t>Pasupati Acrylon Ltd</t>
        </is>
      </c>
      <c r="E11" s="30" t="inlineStr">
        <is>
          <t>textiles</t>
        </is>
      </c>
      <c r="F11" s="30" t="inlineStr">
        <is>
          <t>textiles - manmade</t>
        </is>
      </c>
      <c r="G11" s="30" t="inlineStr">
        <is>
          <t>smallcap</t>
        </is>
      </c>
      <c r="H11" s="31" t="n">
        <v>679.64</v>
      </c>
      <c r="I11" s="31" t="n">
        <v>75.87</v>
      </c>
      <c r="J11" s="31" t="n">
        <v>-0.5</v>
      </c>
      <c r="K11" s="31" t="n">
        <v>278575</v>
      </c>
      <c r="L11" s="30" t="n">
        <v>54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69.04000000000001</v>
      </c>
      <c r="P11" s="31" t="n">
        <v>47.18</v>
      </c>
      <c r="Q11" s="31" t="n">
        <v>56.01</v>
      </c>
      <c r="R11" s="30" t="inlineStr">
        <is>
          <t>Volume Spike &amp; Near 52W High Breakout</t>
        </is>
      </c>
      <c r="S11" s="30" t="inlineStr">
        <is>
          <t>Nifty 50</t>
        </is>
      </c>
      <c r="T11" s="31" t="n">
        <v>-6.14</v>
      </c>
      <c r="U11" s="31" t="n">
        <v>67.41</v>
      </c>
      <c r="V11" s="31" t="n">
        <v>78.36</v>
      </c>
      <c r="W11" s="31" t="n">
        <v>17.54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IF(B12=0,"",RANK(B12,$B$2:$B$290,0))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TALBROAUTO</t>
        </is>
      </c>
      <c r="D12" s="30" t="inlineStr">
        <is>
          <t>Talbros Automotive Components Limited</t>
        </is>
      </c>
      <c r="E12" s="30" t="inlineStr">
        <is>
          <t>auto</t>
        </is>
      </c>
      <c r="F12" s="30" t="inlineStr">
        <is>
          <t>auto ancillaries</t>
        </is>
      </c>
      <c r="G12" s="30" t="inlineStr">
        <is>
          <t>smallcap</t>
        </is>
      </c>
      <c r="H12" s="31" t="n">
        <v>2876.53</v>
      </c>
      <c r="I12" s="31" t="n">
        <v>457.35</v>
      </c>
      <c r="J12" s="31" t="n">
        <v>-1.86</v>
      </c>
      <c r="K12" s="31" t="n">
        <v>217822</v>
      </c>
      <c r="L12" s="30" t="inlineStr"/>
      <c r="M12" s="30" t="inlineStr"/>
      <c r="N12" s="31">
        <f>IF(M12="Underperforming",-5,IF(L12&gt;=95,15,IF(L12&gt;=90,10,IF(L12&gt;=80,5,0))))</f>
        <v/>
      </c>
      <c r="O12" s="31" t="n">
        <v>68</v>
      </c>
      <c r="P12" s="31" t="n">
        <v>46.27</v>
      </c>
      <c r="Q12" s="31" t="n">
        <v>370.04</v>
      </c>
      <c r="R12" s="30" t="inlineStr">
        <is>
          <t>Near 52W High Breakout</t>
        </is>
      </c>
      <c r="S12" s="30" t="inlineStr">
        <is>
          <t>Nifty Auto</t>
        </is>
      </c>
      <c r="T12" s="31" t="inlineStr"/>
      <c r="U12" s="31" t="inlineStr"/>
      <c r="V12" s="31" t="inlineStr"/>
      <c r="W12" s="31" t="inlineStr"/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IF(B13=0,"",RANK(B13,$B$2:$B$290,0))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PREMIERPOL</t>
        </is>
      </c>
      <c r="D13" s="30" t="inlineStr">
        <is>
          <t>Premier Polyfilm Limited</t>
        </is>
      </c>
      <c r="E13" s="30" t="inlineStr">
        <is>
          <t>plastic products</t>
        </is>
      </c>
      <c r="F13" s="30" t="inlineStr">
        <is>
          <t>plastics products</t>
        </is>
      </c>
      <c r="G13" s="30" t="inlineStr">
        <is>
          <t>smallcap</t>
        </is>
      </c>
      <c r="H13" s="31" t="n">
        <v>1052.77</v>
      </c>
      <c r="I13" s="31" t="n">
        <v>95.40000000000001</v>
      </c>
      <c r="J13" s="31" t="n">
        <v>-5.08</v>
      </c>
      <c r="K13" s="31" t="n">
        <v>784231</v>
      </c>
      <c r="L13" s="30" t="n">
        <v>78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66.91</v>
      </c>
      <c r="P13" s="31" t="n">
        <v>58.46</v>
      </c>
      <c r="Q13" s="31" t="n">
        <v>62.91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-6.14</v>
      </c>
      <c r="U13" s="31" t="n">
        <v>109.22</v>
      </c>
      <c r="V13" s="31" t="n">
        <v>122.91</v>
      </c>
      <c r="W13" s="31" t="n">
        <v>29.51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IF(B14=0,"",RANK(B14,$B$2:$B$290,0))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AUROPHARMA</t>
        </is>
      </c>
      <c r="D14" s="30" t="inlineStr">
        <is>
          <t>Aurobindo Pharma Limited</t>
        </is>
      </c>
      <c r="E14" s="30" t="inlineStr">
        <is>
          <t>healthcare</t>
        </is>
      </c>
      <c r="F14" s="30" t="inlineStr">
        <is>
          <t>pharmaceuticals - indian - bulk drugs &amp; formln</t>
        </is>
      </c>
      <c r="G14" s="30" t="inlineStr">
        <is>
          <t>largecap</t>
        </is>
      </c>
      <c r="H14" s="31" t="n">
        <v>98734.85000000001</v>
      </c>
      <c r="I14" s="31" t="n">
        <v>1712</v>
      </c>
      <c r="J14" s="31" t="n">
        <v>-0.23</v>
      </c>
      <c r="K14" s="31" t="n">
        <v>624705</v>
      </c>
      <c r="L14" s="30" t="n">
        <v>36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70.72</v>
      </c>
      <c r="P14" s="31" t="n">
        <v>44.82</v>
      </c>
      <c r="Q14" s="31" t="n">
        <v>1501.78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25.55</v>
      </c>
      <c r="U14" s="31" t="n">
        <v>57.06</v>
      </c>
      <c r="V14" s="31" t="n">
        <v>25.1</v>
      </c>
      <c r="W14" s="31" t="n">
        <v>11.62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IF(B15=0,"",RANK(B15,$B$2:$B$290,0))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AVTNPL</t>
        </is>
      </c>
      <c r="D15" s="30" t="inlineStr">
        <is>
          <t>Avt Natural Products Limited</t>
        </is>
      </c>
      <c r="E15" s="30" t="inlineStr">
        <is>
          <t>fmcg</t>
        </is>
      </c>
      <c r="F15" s="30" t="inlineStr">
        <is>
          <t>solvent extraction</t>
        </is>
      </c>
      <c r="G15" s="30" t="inlineStr">
        <is>
          <t>smallcap</t>
        </is>
      </c>
      <c r="H15" s="31" t="n">
        <v>1415.18</v>
      </c>
      <c r="I15" s="31" t="n">
        <v>92.58</v>
      </c>
      <c r="J15" s="31" t="n">
        <v>-0.38</v>
      </c>
      <c r="K15" s="31" t="n">
        <v>196705</v>
      </c>
      <c r="L15" s="30" t="inlineStr"/>
      <c r="M15" s="30" t="inlineStr"/>
      <c r="N15" s="31">
        <f>IF(M15="Underperforming",-5,IF(L15&gt;=95,15,IF(L15&gt;=90,10,IF(L15&gt;=80,5,0))))</f>
        <v/>
      </c>
      <c r="O15" s="31" t="n">
        <v>70.97</v>
      </c>
      <c r="P15" s="31" t="n">
        <v>46.3</v>
      </c>
      <c r="Q15" s="31" t="n">
        <v>71.66</v>
      </c>
      <c r="R15" s="30" t="inlineStr">
        <is>
          <t>Volume Spike &amp; Near 52W High Breakout</t>
        </is>
      </c>
      <c r="S15" s="30" t="inlineStr">
        <is>
          <t>Nifty FMCG</t>
        </is>
      </c>
      <c r="T15" s="31" t="inlineStr"/>
      <c r="U15" s="31" t="inlineStr"/>
      <c r="V15" s="31" t="inlineStr"/>
      <c r="W15" s="31" t="inlineStr"/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IF(B16=0,"",RANK(B16,$B$2:$B$290,0))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IPCALAB</t>
        </is>
      </c>
      <c r="D16" s="30" t="inlineStr">
        <is>
          <t>Ipca Laboratories Limited</t>
        </is>
      </c>
      <c r="E16" s="30" t="inlineStr">
        <is>
          <t>healthcare</t>
        </is>
      </c>
      <c r="F16" s="30" t="inlineStr">
        <is>
          <t>pharmaceuticals - indian - bulk drugs &amp; formln</t>
        </is>
      </c>
      <c r="G16" s="30" t="inlineStr">
        <is>
          <t>largecap</t>
        </is>
      </c>
      <c r="H16" s="31" t="n">
        <v>50667.27</v>
      </c>
      <c r="I16" s="31" t="n">
        <v>1970.8</v>
      </c>
      <c r="J16" s="31" t="n">
        <v>-1.32</v>
      </c>
      <c r="K16" s="31" t="n">
        <v>263825</v>
      </c>
      <c r="L16" s="30" t="n">
        <v>39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67.31</v>
      </c>
      <c r="P16" s="31" t="n">
        <v>48.15</v>
      </c>
      <c r="Q16" s="31" t="n">
        <v>1653.78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25.55</v>
      </c>
      <c r="U16" s="31" t="n">
        <v>44.23</v>
      </c>
      <c r="V16" s="31" t="n">
        <v>14.87</v>
      </c>
      <c r="W16" s="31" t="n">
        <v>12.32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IF(B17=0,"",RANK(B17,$B$2:$B$290,0))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ADOR</t>
        </is>
      </c>
      <c r="D17" s="30" t="inlineStr">
        <is>
          <t>Ador Welding Ltd</t>
        </is>
      </c>
      <c r="E17" s="30" t="inlineStr">
        <is>
          <t>industrials</t>
        </is>
      </c>
      <c r="F17" s="30" t="inlineStr">
        <is>
          <t>electrodes - welding equipment</t>
        </is>
      </c>
      <c r="G17" s="30" t="inlineStr">
        <is>
          <t>smallcap</t>
        </is>
      </c>
      <c r="H17" s="31" t="n">
        <v>2806.9</v>
      </c>
      <c r="I17" s="31" t="n">
        <v>1638.9</v>
      </c>
      <c r="J17" s="31" t="n">
        <v>1.61</v>
      </c>
      <c r="K17" s="31" t="n">
        <v>39147</v>
      </c>
      <c r="L17" s="30" t="n">
        <v>60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74.68000000000001</v>
      </c>
      <c r="P17" s="31" t="n">
        <v>66.98999999999999</v>
      </c>
      <c r="Q17" s="31" t="n">
        <v>1346.37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-6.14</v>
      </c>
      <c r="U17" s="31" t="n">
        <v>70.09999999999999</v>
      </c>
      <c r="V17" s="31" t="n">
        <v>81.23</v>
      </c>
      <c r="W17" s="31" t="n">
        <v>19.96</v>
      </c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IF(B18=0,"",RANK(B18,$B$2:$B$290,0))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FILATEX</t>
        </is>
      </c>
      <c r="D18" s="30" t="inlineStr">
        <is>
          <t>Filatex India Limited</t>
        </is>
      </c>
      <c r="E18" s="30" t="inlineStr">
        <is>
          <t>textiles</t>
        </is>
      </c>
      <c r="F18" s="30" t="inlineStr">
        <is>
          <t>textiles - manmade</t>
        </is>
      </c>
      <c r="G18" s="30" t="inlineStr">
        <is>
          <t>smallcap</t>
        </is>
      </c>
      <c r="H18" s="31" t="n">
        <v>4676.82</v>
      </c>
      <c r="I18" s="31" t="n">
        <v>106.94</v>
      </c>
      <c r="J18" s="31" t="n">
        <v>1.54</v>
      </c>
      <c r="K18" s="31" t="n">
        <v>6901260</v>
      </c>
      <c r="L18" s="30" t="n">
        <v>91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83.06</v>
      </c>
      <c r="P18" s="31" t="n">
        <v>47.71</v>
      </c>
      <c r="Q18" s="31" t="n">
        <v>80.11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-6.14</v>
      </c>
      <c r="U18" s="31" t="n">
        <v>107.76</v>
      </c>
      <c r="V18" s="31" t="n">
        <v>121.36</v>
      </c>
      <c r="W18" s="31" t="n">
        <v>43.53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Between 12 to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IF(B19=0,"",RANK(B19,$B$2:$B$290,0))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SPECIALITY</t>
        </is>
      </c>
      <c r="D19" s="30" t="inlineStr">
        <is>
          <t>Speciality Restaurants Limited</t>
        </is>
      </c>
      <c r="E19" s="30" t="inlineStr">
        <is>
          <t>services</t>
        </is>
      </c>
      <c r="F19" s="30" t="inlineStr">
        <is>
          <t>hotels</t>
        </is>
      </c>
      <c r="G19" s="30" t="inlineStr">
        <is>
          <t>smallcap</t>
        </is>
      </c>
      <c r="H19" s="31" t="n">
        <v>730.14</v>
      </c>
      <c r="I19" s="31" t="n">
        <v>152.76</v>
      </c>
      <c r="J19" s="31" t="n">
        <v>0.92</v>
      </c>
      <c r="K19" s="31" t="n">
        <v>40387</v>
      </c>
      <c r="L19" s="30" t="n">
        <v>30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69.17</v>
      </c>
      <c r="P19" s="31" t="n">
        <v>43.25</v>
      </c>
      <c r="Q19" s="31" t="n">
        <v>111.7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-6.14</v>
      </c>
      <c r="U19" s="31" t="n">
        <v>21.33</v>
      </c>
      <c r="V19" s="31" t="n">
        <v>29.27</v>
      </c>
      <c r="W19" s="31" t="n">
        <v>10.42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IF(B20=0,"",RANK(B20,$B$2:$B$290,0))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BHAGYANGR</t>
        </is>
      </c>
      <c r="D20" s="30" t="inlineStr">
        <is>
          <t>Bhagyanagar India</t>
        </is>
      </c>
      <c r="E20" s="30" t="inlineStr">
        <is>
          <t>power &amp; utilities</t>
        </is>
      </c>
      <c r="F20" s="30" t="inlineStr">
        <is>
          <t>power generation and supply</t>
        </is>
      </c>
      <c r="G20" s="30" t="inlineStr">
        <is>
          <t>smallcap</t>
        </is>
      </c>
      <c r="H20" s="31" t="n">
        <v>1448.05</v>
      </c>
      <c r="I20" s="31" t="n">
        <v>425.55</v>
      </c>
      <c r="J20" s="31" t="n">
        <v>-1.56</v>
      </c>
      <c r="K20" s="31" t="n">
        <v>91739</v>
      </c>
      <c r="L20" s="30" t="n">
        <v>96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65.89</v>
      </c>
      <c r="P20" s="31" t="n">
        <v>66.04000000000001</v>
      </c>
      <c r="Q20" s="31" t="n">
        <v>314.45</v>
      </c>
      <c r="R20" s="30" t="inlineStr">
        <is>
          <t>Near 52W High Breakout</t>
        </is>
      </c>
      <c r="S20" s="30" t="inlineStr">
        <is>
          <t>Nifty IT</t>
        </is>
      </c>
      <c r="T20" s="31" t="n">
        <v>-16.44</v>
      </c>
      <c r="U20" s="31" t="n">
        <v>343.37</v>
      </c>
      <c r="V20" s="31" t="n">
        <v>430.61</v>
      </c>
      <c r="W20" s="31" t="n">
        <v>48.78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IF(B21=0,"",RANK(B21,$B$2:$B$290,0))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NRL</t>
        </is>
      </c>
      <c r="D21" s="30" t="inlineStr">
        <is>
          <t>Nupur Recyclers Ltd</t>
        </is>
      </c>
      <c r="E21" s="30" t="inlineStr">
        <is>
          <t>services</t>
        </is>
      </c>
      <c r="F21" s="30" t="inlineStr">
        <is>
          <t>trading</t>
        </is>
      </c>
      <c r="G21" s="30" t="inlineStr">
        <is>
          <t>smallcap</t>
        </is>
      </c>
      <c r="H21" s="31" t="n">
        <v>1139.64</v>
      </c>
      <c r="I21" s="31" t="n">
        <v>161.7</v>
      </c>
      <c r="J21" s="31" t="n">
        <v>-2</v>
      </c>
      <c r="K21" s="31" t="n">
        <v>66624</v>
      </c>
      <c r="L21" s="30" t="n">
        <v>93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92.81</v>
      </c>
      <c r="P21" s="31" t="n">
        <v>74.06</v>
      </c>
      <c r="Q21" s="31" t="n">
        <v>133.63</v>
      </c>
      <c r="R21" s="30" t="inlineStr">
        <is>
          <t>Volume Spike &amp; Near 52W High Breakout</t>
        </is>
      </c>
      <c r="S21" s="30" t="inlineStr">
        <is>
          <t>Nifty 50</t>
        </is>
      </c>
      <c r="T21" s="31" t="n">
        <v>-6.14</v>
      </c>
      <c r="U21" s="31" t="n">
        <v>123.28</v>
      </c>
      <c r="V21" s="31" t="n">
        <v>137.89</v>
      </c>
      <c r="W21" s="31" t="n">
        <v>45.24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IF(B22=0,"",RANK(B22,$B$2:$B$290,0))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TBZ</t>
        </is>
      </c>
      <c r="D22" s="30" t="inlineStr">
        <is>
          <t>Tribhovandas Bhimji Zaveri Limited</t>
        </is>
      </c>
      <c r="E22" s="30" t="inlineStr">
        <is>
          <t>consumer discretionary</t>
        </is>
      </c>
      <c r="F22" s="30" t="inlineStr">
        <is>
          <t>diamond cutting / jewellery</t>
        </is>
      </c>
      <c r="G22" s="30" t="inlineStr">
        <is>
          <t>smallcap</t>
        </is>
      </c>
      <c r="H22" s="31" t="n">
        <v>4503.32</v>
      </c>
      <c r="I22" s="31" t="n">
        <v>655.6</v>
      </c>
      <c r="J22" s="31" t="n">
        <v>-2.85</v>
      </c>
      <c r="K22" s="31" t="n">
        <v>317411</v>
      </c>
      <c r="L22" s="30" t="n">
        <v>99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92.69</v>
      </c>
      <c r="P22" s="31" t="n">
        <v>59.98</v>
      </c>
      <c r="Q22" s="31" t="n">
        <v>496.32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-6.14</v>
      </c>
      <c r="U22" s="31" t="n">
        <v>264.84</v>
      </c>
      <c r="V22" s="31" t="n">
        <v>288.71</v>
      </c>
      <c r="W22" s="31" t="n">
        <v>106.07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IF(B23=0,"",RANK(B23,$B$2:$B$290,0))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E2E</t>
        </is>
      </c>
      <c r="D23" s="30" t="inlineStr">
        <is>
          <t>E2E Networks Ltd</t>
        </is>
      </c>
      <c r="E23" s="30" t="inlineStr">
        <is>
          <t>i.t</t>
        </is>
      </c>
      <c r="F23" s="30" t="inlineStr">
        <is>
          <t>computers - software - medium / small</t>
        </is>
      </c>
      <c r="G23" s="30" t="inlineStr">
        <is>
          <t>midcap</t>
        </is>
      </c>
      <c r="H23" s="31" t="n">
        <v>13293.88</v>
      </c>
      <c r="I23" s="31" t="n">
        <v>652.15</v>
      </c>
      <c r="J23" s="31" t="n">
        <v>0.84</v>
      </c>
      <c r="K23" s="31" t="n">
        <v>467742</v>
      </c>
      <c r="L23" s="30" t="n">
        <v>85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72.75</v>
      </c>
      <c r="P23" s="31" t="n">
        <v>53.09</v>
      </c>
      <c r="Q23" s="31" t="n">
        <v>474.04</v>
      </c>
      <c r="R23" s="30" t="inlineStr">
        <is>
          <t>Near 52W High Breakout</t>
        </is>
      </c>
      <c r="S23" s="30" t="inlineStr">
        <is>
          <t>Nifty IT</t>
        </is>
      </c>
      <c r="T23" s="31" t="n">
        <v>-16.44</v>
      </c>
      <c r="U23" s="31" t="n">
        <v>88.98999999999999</v>
      </c>
      <c r="V23" s="31" t="n">
        <v>126.17</v>
      </c>
      <c r="W23" s="31" t="n">
        <v>34.6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IF(B24=0,"",RANK(B24,$B$2:$B$290,0))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IOLCP</t>
        </is>
      </c>
      <c r="D24" s="30" t="inlineStr">
        <is>
          <t>Iol Chemicals And Pharmaceuticals Limited</t>
        </is>
      </c>
      <c r="E24" s="30" t="inlineStr">
        <is>
          <t>healthcare</t>
        </is>
      </c>
      <c r="F24" s="30" t="inlineStr">
        <is>
          <t>pharmaceuticals - indian - bulk drugs &amp; formln</t>
        </is>
      </c>
      <c r="G24" s="30" t="inlineStr">
        <is>
          <t>midcap</t>
        </is>
      </c>
      <c r="H24" s="31" t="n">
        <v>5965.07</v>
      </c>
      <c r="I24" s="31" t="n">
        <v>204.19</v>
      </c>
      <c r="J24" s="31" t="n">
        <v>0.48</v>
      </c>
      <c r="K24" s="31" t="n">
        <v>2455948</v>
      </c>
      <c r="L24" s="30" t="n">
        <v>80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77.43000000000001</v>
      </c>
      <c r="P24" s="31" t="n">
        <v>80.17</v>
      </c>
      <c r="Q24" s="31" t="n">
        <v>146.8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25.55</v>
      </c>
      <c r="U24" s="31" t="n">
        <v>99.25</v>
      </c>
      <c r="V24" s="31" t="n">
        <v>58.7</v>
      </c>
      <c r="W24" s="31" t="n">
        <v>30.48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IF(B25=0,"",RANK(B25,$B$2:$B$290,0))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SHANTIGOLD</t>
        </is>
      </c>
      <c r="D25" s="30" t="inlineStr">
        <is>
          <t>Shanti Gold International Ltd</t>
        </is>
      </c>
      <c r="E25" s="30" t="inlineStr">
        <is>
          <t>consumer discretionary</t>
        </is>
      </c>
      <c r="F25" s="30" t="inlineStr">
        <is>
          <t>diamond cutting / jewellery</t>
        </is>
      </c>
      <c r="G25" s="30" t="inlineStr">
        <is>
          <t>smallcap</t>
        </is>
      </c>
      <c r="H25" s="31" t="n">
        <v>2176.48</v>
      </c>
      <c r="I25" s="31" t="n">
        <v>325.68</v>
      </c>
      <c r="J25" s="31" t="n">
        <v>14.83</v>
      </c>
      <c r="K25" s="31" t="n">
        <v>36407266</v>
      </c>
      <c r="L25" s="30" t="n">
        <v>61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74.25</v>
      </c>
      <c r="P25" s="31" t="n">
        <v>39.2</v>
      </c>
      <c r="Q25" s="31" t="n">
        <v>241.29</v>
      </c>
      <c r="R25" s="30" t="inlineStr">
        <is>
          <t>Volume Spike &amp; Near 52W High Breakout</t>
        </is>
      </c>
      <c r="S25" s="30" t="inlineStr">
        <is>
          <t>Nifty 50</t>
        </is>
      </c>
      <c r="T25" s="31" t="n">
        <v>-6.14</v>
      </c>
      <c r="U25" s="31" t="n">
        <v>49.17</v>
      </c>
      <c r="V25" s="31" t="n">
        <v>58.93</v>
      </c>
      <c r="W25" s="31" t="n">
        <v>20.46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IF(B26=0,"",RANK(B26,$B$2:$B$290,0))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BHAGERIA</t>
        </is>
      </c>
      <c r="D26" s="30" t="inlineStr">
        <is>
          <t>Bhageria Industries Limited</t>
        </is>
      </c>
      <c r="E26" s="30" t="inlineStr">
        <is>
          <t>chemicals</t>
        </is>
      </c>
      <c r="F26" s="30" t="inlineStr">
        <is>
          <t>dyes and pigments</t>
        </is>
      </c>
      <c r="G26" s="30" t="inlineStr">
        <is>
          <t>smallcap</t>
        </is>
      </c>
      <c r="H26" s="31" t="n">
        <v>1569.66</v>
      </c>
      <c r="I26" s="31" t="n">
        <v>394.6</v>
      </c>
      <c r="J26" s="31" t="n">
        <v>9.720000000000001</v>
      </c>
      <c r="K26" s="31" t="n">
        <v>933103</v>
      </c>
      <c r="L26" s="30" t="n">
        <v>90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83.45999999999999</v>
      </c>
      <c r="P26" s="31" t="n">
        <v>40.96</v>
      </c>
      <c r="Q26" s="31" t="n">
        <v>304.74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-6.14</v>
      </c>
      <c r="U26" s="31" t="n">
        <v>125.13</v>
      </c>
      <c r="V26" s="31" t="n">
        <v>139.86</v>
      </c>
      <c r="W26" s="31" t="n">
        <v>40.82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IF(B27=0,"",RANK(B27,$B$2:$B$290,0))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QUADFUTURE</t>
        </is>
      </c>
      <c r="D27" s="30" t="inlineStr">
        <is>
          <t>Quadrant Future Tek Ltd</t>
        </is>
      </c>
      <c r="E27" s="30" t="inlineStr">
        <is>
          <t>industrials</t>
        </is>
      </c>
      <c r="F27" s="30" t="inlineStr">
        <is>
          <t>cables - power</t>
        </is>
      </c>
      <c r="G27" s="30" t="inlineStr">
        <is>
          <t>smallcap</t>
        </is>
      </c>
      <c r="H27" s="31" t="n">
        <v>2001.6</v>
      </c>
      <c r="I27" s="31" t="n">
        <v>547.5</v>
      </c>
      <c r="J27" s="31" t="n">
        <v>9.41</v>
      </c>
      <c r="K27" s="31" t="n">
        <v>1950037</v>
      </c>
      <c r="L27" s="30" t="inlineStr"/>
      <c r="M27" s="30" t="inlineStr"/>
      <c r="N27" s="31">
        <f>IF(M27="Underperforming",-5,IF(L27&gt;=95,15,IF(L27&gt;=90,10,IF(L27&gt;=80,5,0))))</f>
        <v/>
      </c>
      <c r="O27" s="31" t="n">
        <v>71.97</v>
      </c>
      <c r="P27" s="31" t="n">
        <v>40.36</v>
      </c>
      <c r="Q27" s="31" t="n">
        <v>385.57</v>
      </c>
      <c r="R27" s="30" t="inlineStr">
        <is>
          <t>Near 52W High Breakout</t>
        </is>
      </c>
      <c r="S27" s="30" t="inlineStr">
        <is>
          <t>Nifty Energy</t>
        </is>
      </c>
      <c r="T27" s="31" t="inlineStr"/>
      <c r="U27" s="31" t="inlineStr"/>
      <c r="V27" s="31" t="inlineStr"/>
      <c r="W27" s="31" t="inlineStr"/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IF(B28=0,"",RANK(B28,$B$2:$B$290,0))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LLOYDSENGG</t>
        </is>
      </c>
      <c r="D28" s="30" t="inlineStr">
        <is>
          <t>Lloyds Engineering Works Ltd</t>
        </is>
      </c>
      <c r="E28" s="30" t="inlineStr">
        <is>
          <t>industrials</t>
        </is>
      </c>
      <c r="F28" s="30" t="inlineStr">
        <is>
          <t>engineering</t>
        </is>
      </c>
      <c r="G28" s="30" t="inlineStr">
        <is>
          <t>midcap</t>
        </is>
      </c>
      <c r="H28" s="31" t="n">
        <v>14100.49</v>
      </c>
      <c r="I28" s="31" t="n">
        <v>98.56</v>
      </c>
      <c r="J28" s="31" t="n">
        <v>8.41</v>
      </c>
      <c r="K28" s="31" t="n">
        <v>60674433</v>
      </c>
      <c r="L28" s="30" t="n">
        <v>66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69.09</v>
      </c>
      <c r="P28" s="31" t="n">
        <v>45.79</v>
      </c>
      <c r="Q28" s="31" t="n">
        <v>74.23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-6.14</v>
      </c>
      <c r="U28" s="31" t="n">
        <v>67.43000000000001</v>
      </c>
      <c r="V28" s="31" t="n">
        <v>78.38</v>
      </c>
      <c r="W28" s="31" t="n">
        <v>22.99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IF(B29=0,"",RANK(B29,$B$2:$B$290,0))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ROLEXRINGS</t>
        </is>
      </c>
      <c r="D29" s="30" t="inlineStr">
        <is>
          <t>Rolex Rings Ltd</t>
        </is>
      </c>
      <c r="E29" s="30" t="inlineStr">
        <is>
          <t>auto</t>
        </is>
      </c>
      <c r="F29" s="30" t="inlineStr">
        <is>
          <t>auto ancillaries</t>
        </is>
      </c>
      <c r="G29" s="30" t="inlineStr">
        <is>
          <t>smallcap</t>
        </is>
      </c>
      <c r="H29" s="31" t="n">
        <v>4940.4</v>
      </c>
      <c r="I29" s="31" t="n">
        <v>195.35</v>
      </c>
      <c r="J29" s="31" t="n">
        <v>7.68</v>
      </c>
      <c r="K29" s="31" t="n">
        <v>7169312</v>
      </c>
      <c r="L29" s="30" t="inlineStr"/>
      <c r="M29" s="30" t="inlineStr"/>
      <c r="N29" s="31">
        <f>IF(M29="Underperforming",-5,IF(L29&gt;=95,15,IF(L29&gt;=90,10,IF(L29&gt;=80,5,0))))</f>
        <v/>
      </c>
      <c r="O29" s="31" t="n">
        <v>68.67</v>
      </c>
      <c r="P29" s="31" t="n">
        <v>43.28</v>
      </c>
      <c r="Q29" s="31" t="n">
        <v>150.33</v>
      </c>
      <c r="R29" s="30" t="inlineStr">
        <is>
          <t>Near 52W High Breakout</t>
        </is>
      </c>
      <c r="S29" s="30" t="inlineStr">
        <is>
          <t>Nifty Auto</t>
        </is>
      </c>
      <c r="T29" s="31" t="inlineStr"/>
      <c r="U29" s="31" t="inlineStr"/>
      <c r="V29" s="31" t="inlineStr"/>
      <c r="W29" s="31" t="inlineStr"/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IF(B30=0,"",RANK(B30,$B$2:$B$290,0))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SANGAMIND</t>
        </is>
      </c>
      <c r="D30" s="30" t="inlineStr">
        <is>
          <t>Sangam (india) Limited</t>
        </is>
      </c>
      <c r="E30" s="30" t="inlineStr">
        <is>
          <t>textiles</t>
        </is>
      </c>
      <c r="F30" s="30" t="inlineStr">
        <is>
          <t>textiles - spinning - synthetic / blended</t>
        </is>
      </c>
      <c r="G30" s="30" t="inlineStr">
        <is>
          <t>smallcap</t>
        </is>
      </c>
      <c r="H30" s="31" t="n">
        <v>2912.79</v>
      </c>
      <c r="I30" s="31" t="n">
        <v>619.9</v>
      </c>
      <c r="J30" s="31" t="n">
        <v>6.93</v>
      </c>
      <c r="K30" s="31" t="n">
        <v>434786</v>
      </c>
      <c r="L30" s="30" t="n">
        <v>32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65.02</v>
      </c>
      <c r="P30" s="31" t="n">
        <v>45.9</v>
      </c>
      <c r="Q30" s="31" t="n">
        <v>502.6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-6.14</v>
      </c>
      <c r="U30" s="31" t="n">
        <v>43.02</v>
      </c>
      <c r="V30" s="31" t="n">
        <v>52.38</v>
      </c>
      <c r="W30" s="31" t="n">
        <v>10.88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Between 0.7 to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IF(B31=0,"",RANK(B31,$B$2:$B$290,0))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BIRLACABLE</t>
        </is>
      </c>
      <c r="D31" s="30" t="inlineStr">
        <is>
          <t>Birla Cable Limited</t>
        </is>
      </c>
      <c r="E31" s="30" t="inlineStr">
        <is>
          <t>industrials</t>
        </is>
      </c>
      <c r="F31" s="30" t="inlineStr">
        <is>
          <t>cables - telephone</t>
        </is>
      </c>
      <c r="G31" s="30" t="inlineStr">
        <is>
          <t>smallcap</t>
        </is>
      </c>
      <c r="H31" s="31" t="n">
        <v>1035.6</v>
      </c>
      <c r="I31" s="31" t="n">
        <v>362.45</v>
      </c>
      <c r="J31" s="31" t="n">
        <v>5</v>
      </c>
      <c r="K31" s="31" t="n">
        <v>488468</v>
      </c>
      <c r="L31" s="30" t="inlineStr"/>
      <c r="M31" s="30" t="inlineStr"/>
      <c r="N31" s="31">
        <f>IF(M31="Underperforming",-5,IF(L31&gt;=95,15,IF(L31&gt;=90,10,IF(L31&gt;=80,5,0))))</f>
        <v/>
      </c>
      <c r="O31" s="31" t="n">
        <v>69.56999999999999</v>
      </c>
      <c r="P31" s="31" t="n">
        <v>53.12</v>
      </c>
      <c r="Q31" s="31" t="n">
        <v>291.07</v>
      </c>
      <c r="R31" s="30" t="inlineStr">
        <is>
          <t>Volume Spike / Accumulation</t>
        </is>
      </c>
      <c r="S31" s="30" t="inlineStr">
        <is>
          <t>Nifty Infra</t>
        </is>
      </c>
      <c r="T31" s="31" t="inlineStr"/>
      <c r="U31" s="31" t="inlineStr"/>
      <c r="V31" s="31" t="inlineStr"/>
      <c r="W31" s="31" t="inlineStr"/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IF(B32=0,"",RANK(B32,$B$2:$B$290,0))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KRONOX</t>
        </is>
      </c>
      <c r="D32" s="30" t="inlineStr">
        <is>
          <t>Kronox Lab Sciences Ltd</t>
        </is>
      </c>
      <c r="E32" s="30" t="inlineStr">
        <is>
          <t>chemicals</t>
        </is>
      </c>
      <c r="F32" s="30" t="inlineStr">
        <is>
          <t>chemicals</t>
        </is>
      </c>
      <c r="G32" s="30" t="inlineStr">
        <is>
          <t>smallcap</t>
        </is>
      </c>
      <c r="H32" s="31" t="n">
        <v>730.02</v>
      </c>
      <c r="I32" s="31" t="n">
        <v>206.58</v>
      </c>
      <c r="J32" s="31" t="n">
        <v>5</v>
      </c>
      <c r="K32" s="31" t="n">
        <v>145260</v>
      </c>
      <c r="L32" s="30" t="n">
        <v>48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64.63</v>
      </c>
      <c r="P32" s="31" t="n">
        <v>46.7</v>
      </c>
      <c r="Q32" s="31" t="n">
        <v>148.05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-6.14</v>
      </c>
      <c r="U32" s="31" t="n">
        <v>27.81</v>
      </c>
      <c r="V32" s="31" t="n">
        <v>36.18</v>
      </c>
      <c r="W32" s="31" t="n">
        <v>16.02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Between 12 to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IF(B33=0,"",RANK(B33,$B$2:$B$290,0))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GHCLTEXTIL</t>
        </is>
      </c>
      <c r="D33" s="30" t="inlineStr">
        <is>
          <t>GHCL Textiles Ltd</t>
        </is>
      </c>
      <c r="E33" s="30" t="inlineStr">
        <is>
          <t>textiles</t>
        </is>
      </c>
      <c r="F33" s="30" t="inlineStr">
        <is>
          <t>textiles - spinning - synthetic / blended</t>
        </is>
      </c>
      <c r="G33" s="30" t="inlineStr">
        <is>
          <t>smallcap</t>
        </is>
      </c>
      <c r="H33" s="31" t="n">
        <v>1293.66</v>
      </c>
      <c r="I33" s="31" t="n">
        <v>139.12</v>
      </c>
      <c r="J33" s="31" t="n">
        <v>2.79</v>
      </c>
      <c r="K33" s="31" t="n">
        <v>554170</v>
      </c>
      <c r="L33" s="30" t="n">
        <v>71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70.64</v>
      </c>
      <c r="P33" s="31" t="n">
        <v>48.59</v>
      </c>
      <c r="Q33" s="31" t="n">
        <v>105.8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-6.14</v>
      </c>
      <c r="U33" s="31" t="n">
        <v>80.98</v>
      </c>
      <c r="V33" s="31" t="n">
        <v>92.81999999999999</v>
      </c>
      <c r="W33" s="31" t="n">
        <v>24.92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IF(B34=0,"",RANK(B34,$B$2:$B$290,0))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CONFIPET</t>
        </is>
      </c>
      <c r="D34" s="30" t="inlineStr">
        <is>
          <t>Confidence Petroleum India Ltd</t>
        </is>
      </c>
      <c r="E34" s="30" t="inlineStr">
        <is>
          <t>miscellaneous</t>
        </is>
      </c>
      <c r="F34" s="30" t="inlineStr">
        <is>
          <t>miscellaneous</t>
        </is>
      </c>
      <c r="G34" s="30" t="inlineStr">
        <is>
          <t>smallcap</t>
        </is>
      </c>
      <c r="H34" s="31" t="n">
        <v>2866.91</v>
      </c>
      <c r="I34" s="31" t="n">
        <v>88.28</v>
      </c>
      <c r="J34" s="31" t="n">
        <v>2.31</v>
      </c>
      <c r="K34" s="31" t="n">
        <v>1380621</v>
      </c>
      <c r="L34" s="30" t="n">
        <v>67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67.84999999999999</v>
      </c>
      <c r="P34" s="31" t="n">
        <v>59.07</v>
      </c>
      <c r="Q34" s="31" t="n">
        <v>65.40000000000001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-6.14</v>
      </c>
      <c r="U34" s="31" t="n">
        <v>94.25</v>
      </c>
      <c r="V34" s="31" t="n">
        <v>106.96</v>
      </c>
      <c r="W34" s="31" t="n">
        <v>23.55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IF(B35=0,"",RANK(B35,$B$2:$B$290,0))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CYIENTDLM</t>
        </is>
      </c>
      <c r="D35" s="30" t="inlineStr">
        <is>
          <t>Cyient DLM Ltd</t>
        </is>
      </c>
      <c r="E35" s="30" t="inlineStr">
        <is>
          <t>aerospace &amp; defence</t>
        </is>
      </c>
      <c r="F35" s="30" t="inlineStr">
        <is>
          <t>electronics - components</t>
        </is>
      </c>
      <c r="G35" s="30" t="inlineStr">
        <is>
          <t>midcap</t>
        </is>
      </c>
      <c r="H35" s="31" t="n">
        <v>7245.32</v>
      </c>
      <c r="I35" s="31" t="n">
        <v>931.4</v>
      </c>
      <c r="J35" s="31" t="n">
        <v>2.05</v>
      </c>
      <c r="K35" s="31" t="n">
        <v>261221</v>
      </c>
      <c r="L35" s="30" t="n">
        <v>95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89.88</v>
      </c>
      <c r="P35" s="31" t="n">
        <v>77.31</v>
      </c>
      <c r="Q35" s="31" t="n">
        <v>722.8200000000001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-6.14</v>
      </c>
      <c r="U35" s="31" t="n">
        <v>114.61</v>
      </c>
      <c r="V35" s="31" t="n">
        <v>128.65</v>
      </c>
      <c r="W35" s="31" t="n">
        <v>46.12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IF(B36=0,"",RANK(B36,$B$2:$B$290,0))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MBECL</t>
        </is>
      </c>
      <c r="D36" s="30" t="inlineStr">
        <is>
          <t>Mcnally Bharat Engineering Company Limited</t>
        </is>
      </c>
      <c r="E36" s="30" t="inlineStr">
        <is>
          <t>realty</t>
        </is>
      </c>
      <c r="F36" s="30" t="inlineStr">
        <is>
          <t>engineering - turnkey services</t>
        </is>
      </c>
      <c r="G36" s="30" t="inlineStr">
        <is>
          <t>smallcap</t>
        </is>
      </c>
      <c r="H36" s="31" t="n">
        <v>1491.53</v>
      </c>
      <c r="I36" s="31" t="n">
        <v>456.4</v>
      </c>
      <c r="J36" s="31" t="n">
        <v>2</v>
      </c>
      <c r="K36" s="31" t="n">
        <v>6303</v>
      </c>
      <c r="L36" s="30" t="inlineStr"/>
      <c r="M36" s="30" t="inlineStr"/>
      <c r="N36" s="31">
        <f>IF(M36="Underperforming",-5,IF(L36&gt;=95,15,IF(L36&gt;=90,10,IF(L36&gt;=80,5,0))))</f>
        <v/>
      </c>
      <c r="O36" s="31" t="n">
        <v>99.98</v>
      </c>
      <c r="P36" s="31" t="n">
        <v>64.65000000000001</v>
      </c>
      <c r="Q36" s="31" t="n">
        <v>383.85</v>
      </c>
      <c r="R36" s="30" t="inlineStr">
        <is>
          <t>Volume Spike &amp; Near 52W High Breakout</t>
        </is>
      </c>
      <c r="S36" s="30" t="inlineStr">
        <is>
          <t>Nifty Realty</t>
        </is>
      </c>
      <c r="T36" s="31" t="inlineStr"/>
      <c r="U36" s="31" t="inlineStr"/>
      <c r="V36" s="31" t="inlineStr"/>
      <c r="W36" s="31" t="inlineStr"/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IF(B37=0,"",RANK(B37,$B$2:$B$290,0))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IGPL</t>
        </is>
      </c>
      <c r="D37" s="30" t="inlineStr">
        <is>
          <t>Ig Petrochemicals Limited</t>
        </is>
      </c>
      <c r="E37" s="30" t="inlineStr">
        <is>
          <t>chemicals</t>
        </is>
      </c>
      <c r="F37" s="30" t="inlineStr">
        <is>
          <t>chemicals</t>
        </is>
      </c>
      <c r="G37" s="30" t="inlineStr">
        <is>
          <t>smallcap</t>
        </is>
      </c>
      <c r="H37" s="31" t="n">
        <v>1805.81</v>
      </c>
      <c r="I37" s="31" t="n">
        <v>593.15</v>
      </c>
      <c r="J37" s="31" t="n">
        <v>1.15</v>
      </c>
      <c r="K37" s="31" t="n">
        <v>62045</v>
      </c>
      <c r="L37" s="30" t="n">
        <v>47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71.65000000000001</v>
      </c>
      <c r="P37" s="31" t="n">
        <v>33.56</v>
      </c>
      <c r="Q37" s="31" t="n">
        <v>463.56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-6.14</v>
      </c>
      <c r="U37" s="31" t="n">
        <v>43.43</v>
      </c>
      <c r="V37" s="31" t="n">
        <v>52.82</v>
      </c>
      <c r="W37" s="31" t="n">
        <v>15.94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IF(B38=0,"",RANK(B38,$B$2:$B$290,0))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SONACOMS</t>
        </is>
      </c>
      <c r="D38" s="30" t="inlineStr">
        <is>
          <t>Sona BLW Precision Forgings Ltd</t>
        </is>
      </c>
      <c r="E38" s="30" t="inlineStr">
        <is>
          <t>auto</t>
        </is>
      </c>
      <c r="F38" s="30" t="inlineStr">
        <is>
          <t>auto ancillaries</t>
        </is>
      </c>
      <c r="G38" s="30" t="inlineStr">
        <is>
          <t>largecap</t>
        </is>
      </c>
      <c r="H38" s="31" t="n">
        <v>50776.7</v>
      </c>
      <c r="I38" s="31" t="n">
        <v>824.5</v>
      </c>
      <c r="J38" s="31" t="n">
        <v>1</v>
      </c>
      <c r="K38" s="31" t="n">
        <v>3101062</v>
      </c>
      <c r="L38" s="30" t="inlineStr"/>
      <c r="M38" s="30" t="inlineStr"/>
      <c r="N38" s="31">
        <f>IF(M38="Underperforming",-5,IF(L38&gt;=95,15,IF(L38&gt;=90,10,IF(L38&gt;=80,5,0))))</f>
        <v/>
      </c>
      <c r="O38" s="31" t="n">
        <v>74.47</v>
      </c>
      <c r="P38" s="31" t="n">
        <v>62.18</v>
      </c>
      <c r="Q38" s="31" t="n">
        <v>698.1</v>
      </c>
      <c r="R38" s="30" t="inlineStr">
        <is>
          <t>Near 52W High Breakout</t>
        </is>
      </c>
      <c r="S38" s="30" t="inlineStr">
        <is>
          <t>Nifty Auto</t>
        </is>
      </c>
      <c r="T38" s="31" t="inlineStr"/>
      <c r="U38" s="31" t="inlineStr"/>
      <c r="V38" s="31" t="inlineStr"/>
      <c r="W38" s="31" t="inlineStr"/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Between 1.5 to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IF(B39=0,"",RANK(B39,$B$2:$B$290,0))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SSWL</t>
        </is>
      </c>
      <c r="D39" s="30" t="inlineStr">
        <is>
          <t>Steel Strips Wheels Limited</t>
        </is>
      </c>
      <c r="E39" s="30" t="inlineStr">
        <is>
          <t>auto</t>
        </is>
      </c>
      <c r="F39" s="30" t="inlineStr">
        <is>
          <t>auto ancillaries</t>
        </is>
      </c>
      <c r="G39" s="30" t="inlineStr">
        <is>
          <t>midcap</t>
        </is>
      </c>
      <c r="H39" s="31" t="n">
        <v>5911.56</v>
      </c>
      <c r="I39" s="31" t="n">
        <v>378.75</v>
      </c>
      <c r="J39" s="31" t="n">
        <v>0.7</v>
      </c>
      <c r="K39" s="31" t="n">
        <v>1650357</v>
      </c>
      <c r="L39" s="30" t="inlineStr"/>
      <c r="M39" s="30" t="inlineStr"/>
      <c r="N39" s="31">
        <f>IF(M39="Underperforming",-5,IF(L39&gt;=95,15,IF(L39&gt;=90,10,IF(L39&gt;=80,5,0))))</f>
        <v/>
      </c>
      <c r="O39" s="31" t="n">
        <v>80.41</v>
      </c>
      <c r="P39" s="31" t="n">
        <v>45.78</v>
      </c>
      <c r="Q39" s="31" t="n">
        <v>296.17</v>
      </c>
      <c r="R39" s="30" t="inlineStr">
        <is>
          <t>Near 52W High Breakout</t>
        </is>
      </c>
      <c r="S39" s="30" t="inlineStr">
        <is>
          <t>Nifty Auto</t>
        </is>
      </c>
      <c r="T39" s="31" t="inlineStr"/>
      <c r="U39" s="31" t="inlineStr"/>
      <c r="V39" s="31" t="inlineStr"/>
      <c r="W39" s="31" t="inlineStr"/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IF(B40=0,"",RANK(B40,$B$2:$B$290,0))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IRISDOREME</t>
        </is>
      </c>
      <c r="D40" s="30" t="inlineStr">
        <is>
          <t>Iris Clothings Ltd</t>
        </is>
      </c>
      <c r="E40" s="30" t="inlineStr">
        <is>
          <t>readymade garments/apparels</t>
        </is>
      </c>
      <c r="F40" s="30" t="inlineStr">
        <is>
          <t>textiles - products</t>
        </is>
      </c>
      <c r="G40" s="30" t="inlineStr">
        <is>
          <t>smallcap</t>
        </is>
      </c>
      <c r="H40" s="31" t="n">
        <v>1253.33</v>
      </c>
      <c r="I40" s="31" t="n">
        <v>66.15000000000001</v>
      </c>
      <c r="J40" s="31" t="n">
        <v>0.46</v>
      </c>
      <c r="K40" s="31" t="n">
        <v>666872</v>
      </c>
      <c r="L40" s="30" t="n">
        <v>84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82.52</v>
      </c>
      <c r="P40" s="31" t="n">
        <v>55.69</v>
      </c>
      <c r="Q40" s="31" t="n">
        <v>51.55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-6.14</v>
      </c>
      <c r="U40" s="31" t="n">
        <v>107.3</v>
      </c>
      <c r="V40" s="31" t="n">
        <v>120.87</v>
      </c>
      <c r="W40" s="31" t="n">
        <v>33.68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IF(B41=0,"",RANK(B41,$B$2:$B$290,0))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CEIGALL</t>
        </is>
      </c>
      <c r="D41" s="30" t="inlineStr">
        <is>
          <t>Ceigall India Ltd</t>
        </is>
      </c>
      <c r="E41" s="30" t="inlineStr">
        <is>
          <t>realty</t>
        </is>
      </c>
      <c r="F41" s="30" t="inlineStr">
        <is>
          <t>construction</t>
        </is>
      </c>
      <c r="G41" s="30" t="inlineStr">
        <is>
          <t>midcap</t>
        </is>
      </c>
      <c r="H41" s="31" t="n">
        <v>6664.21</v>
      </c>
      <c r="I41" s="31" t="n">
        <v>384.1</v>
      </c>
      <c r="J41" s="31" t="n">
        <v>0.41</v>
      </c>
      <c r="K41" s="31" t="n">
        <v>203979</v>
      </c>
      <c r="L41" s="30" t="inlineStr"/>
      <c r="M41" s="30" t="inlineStr"/>
      <c r="N41" s="31">
        <f>IF(M41="Underperforming",-5,IF(L41&gt;=95,15,IF(L41&gt;=90,10,IF(L41&gt;=80,5,0))))</f>
        <v/>
      </c>
      <c r="O41" s="31" t="n">
        <v>64.27</v>
      </c>
      <c r="P41" s="31" t="n">
        <v>28.25</v>
      </c>
      <c r="Q41" s="31" t="n">
        <v>303.01</v>
      </c>
      <c r="R41" s="30" t="inlineStr">
        <is>
          <t>Near 52W High Breakout</t>
        </is>
      </c>
      <c r="S41" s="30" t="inlineStr">
        <is>
          <t>Nifty Realty</t>
        </is>
      </c>
      <c r="T41" s="31" t="inlineStr"/>
      <c r="U41" s="31" t="inlineStr"/>
      <c r="V41" s="31" t="inlineStr"/>
      <c r="W41" s="31" t="inlineStr"/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IF(B42=0,"",RANK(B42,$B$2:$B$290,0))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VINCOFE</t>
        </is>
      </c>
      <c r="D42" s="30" t="inlineStr">
        <is>
          <t>Vintage Coffee &amp; Beverages Ltd</t>
        </is>
      </c>
      <c r="E42" s="30" t="inlineStr">
        <is>
          <t>consumer discretionary</t>
        </is>
      </c>
      <c r="F42" s="30" t="inlineStr">
        <is>
          <t>trading</t>
        </is>
      </c>
      <c r="G42" s="30" t="inlineStr">
        <is>
          <t>smallcap</t>
        </is>
      </c>
      <c r="H42" s="31" t="n">
        <v>2677.02</v>
      </c>
      <c r="I42" s="31" t="n">
        <v>184.15</v>
      </c>
      <c r="J42" s="31" t="n">
        <v>0.22</v>
      </c>
      <c r="K42" s="31" t="n">
        <v>911215</v>
      </c>
      <c r="L42" s="30" t="n">
        <v>27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67.43000000000001</v>
      </c>
      <c r="P42" s="31" t="n">
        <v>29.05</v>
      </c>
      <c r="Q42" s="31" t="n">
        <v>137.48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-6.14</v>
      </c>
      <c r="U42" s="31" t="n">
        <v>24.54</v>
      </c>
      <c r="V42" s="31" t="n">
        <v>32.69</v>
      </c>
      <c r="W42" s="31" t="n">
        <v>9.619999999999999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IF(B43=0,"",RANK(B43,$B$2:$B$290,0))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REDINGTON</t>
        </is>
      </c>
      <c r="D43" s="30" t="inlineStr">
        <is>
          <t>Redington (india) Limited</t>
        </is>
      </c>
      <c r="E43" s="30" t="inlineStr">
        <is>
          <t>services</t>
        </is>
      </c>
      <c r="F43" s="30" t="inlineStr">
        <is>
          <t>trading</t>
        </is>
      </c>
      <c r="G43" s="30" t="inlineStr">
        <is>
          <t>largecap</t>
        </is>
      </c>
      <c r="H43" s="31" t="n">
        <v>31771.31</v>
      </c>
      <c r="I43" s="31" t="n">
        <v>407.25</v>
      </c>
      <c r="J43" s="31" t="n">
        <v>0.21</v>
      </c>
      <c r="K43" s="31" t="n">
        <v>2473777</v>
      </c>
      <c r="L43" s="30" t="n">
        <v>65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75.94</v>
      </c>
      <c r="P43" s="31" t="n">
        <v>48.97</v>
      </c>
      <c r="Q43" s="31" t="n">
        <v>318.17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-6.14</v>
      </c>
      <c r="U43" s="31" t="n">
        <v>57.16</v>
      </c>
      <c r="V43" s="31" t="n">
        <v>67.44</v>
      </c>
      <c r="W43" s="31" t="n">
        <v>21.94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IF(B44=0,"",RANK(B44,$B$2:$B$290,0))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INDNIPPON</t>
        </is>
      </c>
      <c r="D44" s="30" t="inlineStr">
        <is>
          <t>India Nippon Electricals Limited</t>
        </is>
      </c>
      <c r="E44" s="30" t="inlineStr">
        <is>
          <t>auto</t>
        </is>
      </c>
      <c r="F44" s="30" t="inlineStr">
        <is>
          <t>auto ancillaries</t>
        </is>
      </c>
      <c r="G44" s="30" t="inlineStr">
        <is>
          <t>smallcap</t>
        </is>
      </c>
      <c r="H44" s="31" t="n">
        <v>2976.75</v>
      </c>
      <c r="I44" s="31" t="n">
        <v>1318.2</v>
      </c>
      <c r="J44" s="31" t="n">
        <v>0.17</v>
      </c>
      <c r="K44" s="31" t="n">
        <v>88704</v>
      </c>
      <c r="L44" s="30" t="inlineStr"/>
      <c r="M44" s="30" t="inlineStr"/>
      <c r="N44" s="31">
        <f>IF(M44="Underperforming",-5,IF(L44&gt;=95,15,IF(L44&gt;=90,10,IF(L44&gt;=80,5,0))))</f>
        <v/>
      </c>
      <c r="O44" s="31" t="n">
        <v>67.87</v>
      </c>
      <c r="P44" s="31" t="n">
        <v>50.54</v>
      </c>
      <c r="Q44" s="31" t="n">
        <v>1012.72</v>
      </c>
      <c r="R44" s="30" t="inlineStr">
        <is>
          <t>Near 52W High Breakout</t>
        </is>
      </c>
      <c r="S44" s="30" t="inlineStr">
        <is>
          <t>Nifty Auto</t>
        </is>
      </c>
      <c r="T44" s="31" t="inlineStr"/>
      <c r="U44" s="31" t="inlineStr"/>
      <c r="V44" s="31" t="inlineStr"/>
      <c r="W44" s="31" t="inlineStr"/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Between 12 to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IF(B45=0,"",RANK(B45,$B$2:$B$290,0))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KINGFA</t>
        </is>
      </c>
      <c r="D45" s="30" t="inlineStr">
        <is>
          <t>Kingfa Science &amp; Technology (india) Limited</t>
        </is>
      </c>
      <c r="E45" s="30" t="inlineStr">
        <is>
          <t>plastic products</t>
        </is>
      </c>
      <c r="F45" s="30" t="inlineStr">
        <is>
          <t>plastics products</t>
        </is>
      </c>
      <c r="G45" s="30" t="inlineStr">
        <is>
          <t>midcap</t>
        </is>
      </c>
      <c r="H45" s="31" t="n">
        <v>8440.48</v>
      </c>
      <c r="I45" s="31" t="n">
        <v>6237.5</v>
      </c>
      <c r="J45" s="31" t="n">
        <v>0.14</v>
      </c>
      <c r="K45" s="31" t="n">
        <v>5672</v>
      </c>
      <c r="L45" s="30" t="n">
        <v>41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68</v>
      </c>
      <c r="P45" s="31" t="n">
        <v>39.78</v>
      </c>
      <c r="Q45" s="31" t="n">
        <v>4932.92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-6.14</v>
      </c>
      <c r="U45" s="31" t="n">
        <v>44.01</v>
      </c>
      <c r="V45" s="31" t="n">
        <v>53.43</v>
      </c>
      <c r="W45" s="31" t="n">
        <v>13.11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IF(B46=0,"",RANK(B46,$B$2:$B$290,0))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WSTCSTPAPR</t>
        </is>
      </c>
      <c r="D46" s="30" t="inlineStr">
        <is>
          <t>West Coast Paper Mills Limited</t>
        </is>
      </c>
      <c r="E46" s="30" t="inlineStr">
        <is>
          <t>building materials</t>
        </is>
      </c>
      <c r="F46" s="30" t="inlineStr">
        <is>
          <t>paper</t>
        </is>
      </c>
      <c r="G46" s="30" t="inlineStr">
        <is>
          <t>smallcap</t>
        </is>
      </c>
      <c r="H46" s="31" t="n">
        <v>4874.08</v>
      </c>
      <c r="I46" s="31" t="n">
        <v>731.9</v>
      </c>
      <c r="J46" s="31" t="n">
        <v>-0.82</v>
      </c>
      <c r="K46" s="31" t="n">
        <v>179172</v>
      </c>
      <c r="L46" s="30" t="inlineStr"/>
      <c r="M46" s="30" t="inlineStr"/>
      <c r="N46" s="31">
        <f>IF(M46="Underperforming",-5,IF(L46&gt;=95,15,IF(L46&gt;=90,10,IF(L46&gt;=80,5,0))))</f>
        <v/>
      </c>
      <c r="O46" s="31" t="n">
        <v>72.11</v>
      </c>
      <c r="P46" s="31" t="n">
        <v>58.63</v>
      </c>
      <c r="Q46" s="31" t="n">
        <v>611.76</v>
      </c>
      <c r="R46" s="30" t="inlineStr">
        <is>
          <t>Near 52W High Breakout</t>
        </is>
      </c>
      <c r="S46" s="30" t="inlineStr">
        <is>
          <t>Nifty Infra</t>
        </is>
      </c>
      <c r="T46" s="31" t="inlineStr"/>
      <c r="U46" s="31" t="inlineStr"/>
      <c r="V46" s="31" t="inlineStr"/>
      <c r="W46" s="31" t="inlineStr"/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IF(B47=0,"",RANK(B47,$B$2:$B$290,0))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SWANDEF</t>
        </is>
      </c>
      <c r="D47" s="30" t="inlineStr">
        <is>
          <t>Swan Defence and Heavy Industries Ltd</t>
        </is>
      </c>
      <c r="E47" s="30" t="inlineStr">
        <is>
          <t>transportation</t>
        </is>
      </c>
      <c r="F47" s="30" t="inlineStr">
        <is>
          <t>miscellaneous</t>
        </is>
      </c>
      <c r="G47" s="30" t="inlineStr">
        <is>
          <t>midcap</t>
        </is>
      </c>
      <c r="H47" s="31" t="n">
        <v>14311.63</v>
      </c>
      <c r="I47" s="31" t="n">
        <v>2679.7</v>
      </c>
      <c r="J47" s="31" t="n">
        <v>-1.36</v>
      </c>
      <c r="K47" s="31" t="n">
        <v>12520</v>
      </c>
      <c r="L47" s="30" t="n">
        <v>94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65.81</v>
      </c>
      <c r="P47" s="31" t="n">
        <v>57.01</v>
      </c>
      <c r="Q47" s="31" t="n">
        <v>2085.6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-6.14</v>
      </c>
      <c r="U47" s="31" t="n">
        <v>364.34</v>
      </c>
      <c r="V47" s="31" t="n">
        <v>394.72</v>
      </c>
      <c r="W47" s="31" t="n">
        <v>45.99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More than 1.2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IF(B48=0,"",RANK(B48,$B$2:$B$290,0))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KROSS</t>
        </is>
      </c>
      <c r="D48" s="30" t="inlineStr">
        <is>
          <t>Kross Ltd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smallcap</t>
        </is>
      </c>
      <c r="H48" s="31" t="n">
        <v>1760.46</v>
      </c>
      <c r="I48" s="31" t="n">
        <v>267.87</v>
      </c>
      <c r="J48" s="31" t="n">
        <v>-1.84</v>
      </c>
      <c r="K48" s="31" t="n">
        <v>812431</v>
      </c>
      <c r="L48" s="30" t="inlineStr"/>
      <c r="M48" s="30" t="inlineStr"/>
      <c r="N48" s="31">
        <f>IF(M48="Underperforming",-5,IF(L48&gt;=95,15,IF(L48&gt;=90,10,IF(L48&gt;=80,5,0))))</f>
        <v/>
      </c>
      <c r="O48" s="31" t="n">
        <v>72.89</v>
      </c>
      <c r="P48" s="31" t="n">
        <v>33.22</v>
      </c>
      <c r="Q48" s="31" t="n">
        <v>203.77</v>
      </c>
      <c r="R48" s="30" t="inlineStr">
        <is>
          <t>Volume Spike &amp; Near 52W High Breakout</t>
        </is>
      </c>
      <c r="S48" s="30" t="inlineStr">
        <is>
          <t>Nifty Auto</t>
        </is>
      </c>
      <c r="T48" s="31" t="inlineStr"/>
      <c r="U48" s="31" t="inlineStr"/>
      <c r="V48" s="31" t="inlineStr"/>
      <c r="W48" s="31" t="inlineStr"/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IF(B49=0,"",RANK(B49,$B$2:$B$290,0))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RML</t>
        </is>
      </c>
      <c r="D49" s="30" t="inlineStr">
        <is>
          <t>Rane (madras) Limited</t>
        </is>
      </c>
      <c r="E49" s="30" t="inlineStr">
        <is>
          <t>auto</t>
        </is>
      </c>
      <c r="F49" s="30" t="inlineStr">
        <is>
          <t>auto ancillaries</t>
        </is>
      </c>
      <c r="G49" s="30" t="inlineStr">
        <is>
          <t>smallcap</t>
        </is>
      </c>
      <c r="H49" s="31" t="n">
        <v>3766.39</v>
      </c>
      <c r="I49" s="31" t="n">
        <v>1322.3</v>
      </c>
      <c r="J49" s="31" t="n">
        <v>-2.97</v>
      </c>
      <c r="K49" s="31" t="n">
        <v>45192</v>
      </c>
      <c r="L49" s="30" t="inlineStr"/>
      <c r="M49" s="30" t="inlineStr"/>
      <c r="N49" s="31">
        <f>IF(M49="Underperforming",-5,IF(L49&gt;=95,15,IF(L49&gt;=90,10,IF(L49&gt;=80,5,0))))</f>
        <v/>
      </c>
      <c r="O49" s="31" t="n">
        <v>66.37</v>
      </c>
      <c r="P49" s="31" t="n">
        <v>56.54</v>
      </c>
      <c r="Q49" s="31" t="n">
        <v>1010.29</v>
      </c>
      <c r="R49" s="30" t="inlineStr">
        <is>
          <t>Near 52W High Breakout</t>
        </is>
      </c>
      <c r="S49" s="30" t="inlineStr">
        <is>
          <t>Nifty Auto</t>
        </is>
      </c>
      <c r="T49" s="31" t="inlineStr"/>
      <c r="U49" s="31" t="inlineStr"/>
      <c r="V49" s="31" t="inlineStr"/>
      <c r="W49" s="31" t="inlineStr"/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IF(B50=0,"",RANK(B50,$B$2:$B$290,0))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IL&amp;FSENGG</t>
        </is>
      </c>
      <c r="D50" s="30" t="inlineStr">
        <is>
          <t>Il&amp;fs Engineering And Construction Company Limited</t>
        </is>
      </c>
      <c r="E50" s="30" t="inlineStr">
        <is>
          <t>realty</t>
        </is>
      </c>
      <c r="F50" s="30" t="inlineStr">
        <is>
          <t>construction</t>
        </is>
      </c>
      <c r="G50" s="30" t="inlineStr">
        <is>
          <t>smallcap</t>
        </is>
      </c>
      <c r="H50" s="31" t="n">
        <v>544.41</v>
      </c>
      <c r="I50" s="31" t="n">
        <v>40</v>
      </c>
      <c r="J50" s="31" t="n">
        <v>-3.66</v>
      </c>
      <c r="K50" s="31" t="n">
        <v>40403</v>
      </c>
      <c r="L50" s="30" t="inlineStr"/>
      <c r="M50" s="30" t="inlineStr"/>
      <c r="N50" s="31">
        <f>IF(M50="Underperforming",-5,IF(L50&gt;=95,15,IF(L50&gt;=90,10,IF(L50&gt;=80,5,0))))</f>
        <v/>
      </c>
      <c r="O50" s="31" t="n">
        <v>67.63</v>
      </c>
      <c r="P50" s="31" t="n">
        <v>41.88</v>
      </c>
      <c r="Q50" s="31" t="n">
        <v>29.53</v>
      </c>
      <c r="R50" s="30" t="inlineStr">
        <is>
          <t>Near 52W High Breakout</t>
        </is>
      </c>
      <c r="S50" s="30" t="inlineStr">
        <is>
          <t>Nifty Realty</t>
        </is>
      </c>
      <c r="T50" s="31" t="inlineStr"/>
      <c r="U50" s="31" t="inlineStr"/>
      <c r="V50" s="31" t="inlineStr"/>
      <c r="W50" s="31" t="inlineStr"/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IF(B51=0,"",RANK(B51,$B$2:$B$290,0))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MAWANASUG</t>
        </is>
      </c>
      <c r="D51" s="30" t="inlineStr">
        <is>
          <t>Mawana Sugars Limited</t>
        </is>
      </c>
      <c r="E51" s="30" t="inlineStr">
        <is>
          <t>fmcg</t>
        </is>
      </c>
      <c r="F51" s="30" t="inlineStr">
        <is>
          <t>sugar</t>
        </is>
      </c>
      <c r="G51" s="30" t="inlineStr">
        <is>
          <t>smallcap</t>
        </is>
      </c>
      <c r="H51" s="31" t="n">
        <v>511.26</v>
      </c>
      <c r="I51" s="31" t="n">
        <v>149.64</v>
      </c>
      <c r="J51" s="31" t="n">
        <v>14.49</v>
      </c>
      <c r="K51" s="31" t="n">
        <v>2561542</v>
      </c>
      <c r="L51" s="30" t="inlineStr"/>
      <c r="M51" s="30" t="inlineStr"/>
      <c r="N51" s="31">
        <f>IF(M51="Underperforming",-5,IF(L51&gt;=95,15,IF(L51&gt;=90,10,IF(L51&gt;=80,5,0))))</f>
        <v/>
      </c>
      <c r="O51" s="31" t="n">
        <v>68.27</v>
      </c>
      <c r="P51" s="31" t="n">
        <v>42.43</v>
      </c>
      <c r="Q51" s="31" t="n">
        <v>109.18</v>
      </c>
      <c r="R51" s="30" t="inlineStr">
        <is>
          <t>Volume Spike &amp; Near 52W High Breakout</t>
        </is>
      </c>
      <c r="S51" s="30" t="inlineStr">
        <is>
          <t>Nifty FMCG</t>
        </is>
      </c>
      <c r="T51" s="31" t="inlineStr"/>
      <c r="U51" s="31" t="inlineStr"/>
      <c r="V51" s="31" t="inlineStr"/>
      <c r="W51" s="31" t="inlineStr"/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B2C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IF(B52=0,"",RANK(B52,$B$2:$B$290,0))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MOREPENLAB</t>
        </is>
      </c>
      <c r="D52" s="30" t="inlineStr">
        <is>
          <t>Morepen Laboratories Limited</t>
        </is>
      </c>
      <c r="E52" s="30" t="inlineStr">
        <is>
          <t>healthcare</t>
        </is>
      </c>
      <c r="F52" s="30" t="inlineStr">
        <is>
          <t>pharmaceuticals - indian - bulk drugs &amp; formln</t>
        </is>
      </c>
      <c r="G52" s="30" t="inlineStr">
        <is>
          <t>midcap</t>
        </is>
      </c>
      <c r="H52" s="31" t="n">
        <v>6389.14</v>
      </c>
      <c r="I52" s="31" t="n">
        <v>120.38</v>
      </c>
      <c r="J52" s="31" t="n">
        <v>3.24</v>
      </c>
      <c r="K52" s="31" t="n">
        <v>8996779</v>
      </c>
      <c r="L52" s="30" t="n">
        <v>96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87.92</v>
      </c>
      <c r="P52" s="31" t="n">
        <v>55.3</v>
      </c>
      <c r="Q52" s="31" t="n">
        <v>89.51000000000001</v>
      </c>
      <c r="R52" s="30" t="inlineStr">
        <is>
          <t>Near 52W High Breakout</t>
        </is>
      </c>
      <c r="S52" s="30" t="inlineStr">
        <is>
          <t>Nifty Pharma</t>
        </is>
      </c>
      <c r="T52" s="31" t="n">
        <v>25.55</v>
      </c>
      <c r="U52" s="31" t="n">
        <v>146.74</v>
      </c>
      <c r="V52" s="31" t="n">
        <v>96.52</v>
      </c>
      <c r="W52" s="31" t="n">
        <v>54.55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IF(B53=0,"",RANK(B53,$B$2:$B$290,0))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INDSWFTLAB</t>
        </is>
      </c>
      <c r="D53" s="30" t="inlineStr">
        <is>
          <t>Ind-swift Laboratories Limited</t>
        </is>
      </c>
      <c r="E53" s="30" t="inlineStr">
        <is>
          <t>healthcare</t>
        </is>
      </c>
      <c r="F53" s="30" t="inlineStr">
        <is>
          <t>pharmaceuticals - indian - bulk drugs &amp; formln</t>
        </is>
      </c>
      <c r="G53" s="30" t="inlineStr">
        <is>
          <t>smallcap</t>
        </is>
      </c>
      <c r="H53" s="31" t="n">
        <v>3489.33</v>
      </c>
      <c r="I53" s="31" t="n">
        <v>404.35</v>
      </c>
      <c r="J53" s="31" t="n">
        <v>0.77</v>
      </c>
      <c r="K53" s="31" t="n">
        <v>441614</v>
      </c>
      <c r="L53" s="30" t="n">
        <v>97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85.44</v>
      </c>
      <c r="P53" s="31" t="n">
        <v>76.01000000000001</v>
      </c>
      <c r="Q53" s="31" t="n">
        <v>297.99</v>
      </c>
      <c r="R53" s="30" t="inlineStr">
        <is>
          <t>Near 52W High Breakout</t>
        </is>
      </c>
      <c r="S53" s="30" t="inlineStr">
        <is>
          <t>Nifty Pharma</t>
        </is>
      </c>
      <c r="T53" s="31" t="n">
        <v>25.55</v>
      </c>
      <c r="U53" s="31" t="n">
        <v>304.63</v>
      </c>
      <c r="V53" s="31" t="n">
        <v>222.28</v>
      </c>
      <c r="W53" s="31" t="n">
        <v>58.1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IF(B54=0,"",RANK(B54,$B$2:$B$290,0))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SAKAR</t>
        </is>
      </c>
      <c r="D54" s="30" t="inlineStr">
        <is>
          <t>Sakar Healthcare Ltd</t>
        </is>
      </c>
      <c r="E54" s="30" t="inlineStr">
        <is>
          <t>healthcare</t>
        </is>
      </c>
      <c r="F54" s="30" t="inlineStr">
        <is>
          <t>pharmaceuticals - indian - bulk drugs &amp; formln</t>
        </is>
      </c>
      <c r="G54" s="30" t="inlineStr">
        <is>
          <t>smallcap</t>
        </is>
      </c>
      <c r="H54" s="31" t="n">
        <v>2511.01</v>
      </c>
      <c r="I54" s="31" t="n">
        <v>1135.85</v>
      </c>
      <c r="J54" s="31" t="n">
        <v>0.65</v>
      </c>
      <c r="K54" s="31" t="n">
        <v>99278</v>
      </c>
      <c r="L54" s="30" t="n">
        <v>86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72.42</v>
      </c>
      <c r="P54" s="31" t="n">
        <v>53.93</v>
      </c>
      <c r="Q54" s="31" t="n">
        <v>861.0700000000001</v>
      </c>
      <c r="R54" s="30" t="inlineStr">
        <is>
          <t>Near 52W High Breakout</t>
        </is>
      </c>
      <c r="S54" s="30" t="inlineStr">
        <is>
          <t>Nifty Pharma</t>
        </is>
      </c>
      <c r="T54" s="31" t="n">
        <v>25.55</v>
      </c>
      <c r="U54" s="31" t="n">
        <v>218.61</v>
      </c>
      <c r="V54" s="31" t="n">
        <v>153.77</v>
      </c>
      <c r="W54" s="31" t="n">
        <v>35.64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IF(B55=0,"",RANK(B55,$B$2:$B$290,0))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MARKSANS</t>
        </is>
      </c>
      <c r="D55" s="30" t="inlineStr">
        <is>
          <t>Marksans Pharma Limited</t>
        </is>
      </c>
      <c r="E55" s="30" t="inlineStr">
        <is>
          <t>healthcare</t>
        </is>
      </c>
      <c r="F55" s="30" t="inlineStr">
        <is>
          <t>pharmaceuticals - indian - formulations</t>
        </is>
      </c>
      <c r="G55" s="30" t="inlineStr">
        <is>
          <t>midcap</t>
        </is>
      </c>
      <c r="H55" s="31" t="n">
        <v>15289.74</v>
      </c>
      <c r="I55" s="31" t="n">
        <v>336.95</v>
      </c>
      <c r="J55" s="31" t="n">
        <v>-0.13</v>
      </c>
      <c r="K55" s="31" t="n">
        <v>1452979</v>
      </c>
      <c r="L55" s="30" t="n">
        <v>69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72.56999999999999</v>
      </c>
      <c r="P55" s="31" t="n">
        <v>57.06</v>
      </c>
      <c r="Q55" s="31" t="n">
        <v>260.61</v>
      </c>
      <c r="R55" s="30" t="inlineStr">
        <is>
          <t>Near 52W High Breakout</t>
        </is>
      </c>
      <c r="S55" s="30" t="inlineStr">
        <is>
          <t>Nifty Pharma</t>
        </is>
      </c>
      <c r="T55" s="31" t="n">
        <v>25.55</v>
      </c>
      <c r="U55" s="31" t="n">
        <v>105.55</v>
      </c>
      <c r="V55" s="31" t="n">
        <v>63.71</v>
      </c>
      <c r="W55" s="31" t="n">
        <v>24.18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IF(B56=0,"",RANK(B56,$B$2:$B$290,0))</f>
        <v/>
      </c>
      <c r="B56" s="31">
        <f>SUM(N56,Y56,AA56,AC56,AE56,AG56,AI56,AK56,AM56,AO56,AQ56,AS56,AU56,AW56,AY56,BA56,BC56,BE56,BG56,BI56,BK56,BM56,BO56,BQ56,BS56,BU56,BW56,BY56,CA56,CC56,CE56)</f>
        <v/>
      </c>
      <c r="C56" s="32" t="inlineStr">
        <is>
          <t>JAGSNPHARM</t>
        </is>
      </c>
      <c r="D56" s="32" t="inlineStr">
        <is>
          <t>Jagsonpal Pharmaceuticals Limited</t>
        </is>
      </c>
      <c r="E56" s="30" t="inlineStr">
        <is>
          <t>healthcare</t>
        </is>
      </c>
      <c r="F56" s="30" t="inlineStr">
        <is>
          <t>pharmaceuticals - indian - bulk drugs &amp; formln</t>
        </is>
      </c>
      <c r="G56" s="30" t="inlineStr">
        <is>
          <t>smallcap</t>
        </is>
      </c>
      <c r="H56" s="31" t="n">
        <v>1606.19</v>
      </c>
      <c r="I56" s="31" t="n">
        <v>242.29</v>
      </c>
      <c r="J56" s="31" t="n">
        <v>-0.6899999999999999</v>
      </c>
      <c r="K56" s="31" t="n">
        <v>565222</v>
      </c>
      <c r="L56" s="30" t="n">
        <v>13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63.78</v>
      </c>
      <c r="P56" s="31" t="n">
        <v>50.62</v>
      </c>
      <c r="Q56" s="31" t="n">
        <v>186.72</v>
      </c>
      <c r="R56" s="30" t="inlineStr">
        <is>
          <t>Volume Spike &amp; Near 52W High Breakout</t>
        </is>
      </c>
      <c r="S56" s="30" t="inlineStr">
        <is>
          <t>Nifty Pharma</t>
        </is>
      </c>
      <c r="T56" s="31" t="n">
        <v>25.55</v>
      </c>
      <c r="U56" s="31" t="n">
        <v>14.61</v>
      </c>
      <c r="V56" s="31" t="n">
        <v>-8.720000000000001</v>
      </c>
      <c r="W56" s="31" t="n">
        <v>5.37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IF(B57=0,"",RANK(B57,$B$2:$B$290,0))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ENTERO</t>
        </is>
      </c>
      <c r="D57" s="30" t="inlineStr">
        <is>
          <t>Entero Healthcare Solutions Ltd</t>
        </is>
      </c>
      <c r="E57" s="30" t="inlineStr">
        <is>
          <t>healthcare</t>
        </is>
      </c>
      <c r="F57" s="30" t="inlineStr">
        <is>
          <t>trading</t>
        </is>
      </c>
      <c r="G57" s="30" t="inlineStr">
        <is>
          <t>midcap</t>
        </is>
      </c>
      <c r="H57" s="31" t="n">
        <v>8061.34</v>
      </c>
      <c r="I57" s="31" t="n">
        <v>1821.8</v>
      </c>
      <c r="J57" s="31" t="n">
        <v>-1.64</v>
      </c>
      <c r="K57" s="31" t="n">
        <v>110434</v>
      </c>
      <c r="L57" s="30" t="n">
        <v>70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73.23999999999999</v>
      </c>
      <c r="P57" s="31" t="n">
        <v>42.86</v>
      </c>
      <c r="Q57" s="31" t="n">
        <v>1418.21</v>
      </c>
      <c r="R57" s="30" t="inlineStr">
        <is>
          <t>Near 52W High Breakout</t>
        </is>
      </c>
      <c r="S57" s="30" t="inlineStr">
        <is>
          <t>Nifty Pharma</t>
        </is>
      </c>
      <c r="T57" s="31" t="n">
        <v>25.55</v>
      </c>
      <c r="U57" s="31" t="n">
        <v>68.19</v>
      </c>
      <c r="V57" s="31" t="n">
        <v>33.96</v>
      </c>
      <c r="W57" s="31" t="n">
        <v>24.39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Between 1.5 to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IF(B58=0,"",RANK(B58,$B$2:$B$290,0))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AETHER</t>
        </is>
      </c>
      <c r="D58" s="30" t="inlineStr">
        <is>
          <t>Aether Industries Ltd</t>
        </is>
      </c>
      <c r="E58" s="30" t="inlineStr">
        <is>
          <t>chemicals</t>
        </is>
      </c>
      <c r="F58" s="30" t="inlineStr">
        <is>
          <t>chemicals</t>
        </is>
      </c>
      <c r="G58" s="30" t="inlineStr">
        <is>
          <t>largecap</t>
        </is>
      </c>
      <c r="H58" s="31" t="n">
        <v>21847.14</v>
      </c>
      <c r="I58" s="31" t="n">
        <v>1767</v>
      </c>
      <c r="J58" s="31" t="n">
        <v>7.34</v>
      </c>
      <c r="K58" s="31" t="n">
        <v>1686153</v>
      </c>
      <c r="L58" s="30" t="n">
        <v>75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73.65000000000001</v>
      </c>
      <c r="P58" s="31" t="n">
        <v>60.22</v>
      </c>
      <c r="Q58" s="31" t="n">
        <v>1423.38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-6.14</v>
      </c>
      <c r="U58" s="31" t="n">
        <v>140.51</v>
      </c>
      <c r="V58" s="31" t="n">
        <v>156.24</v>
      </c>
      <c r="W58" s="31" t="n">
        <v>26.68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IF(B59=0,"",RANK(B59,$B$2:$B$290,0))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KABRAEXTRU</t>
        </is>
      </c>
      <c r="D59" s="30" t="inlineStr">
        <is>
          <t>Kabra Extrusion Technik Limited</t>
        </is>
      </c>
      <c r="E59" s="30" t="inlineStr">
        <is>
          <t>industrials</t>
        </is>
      </c>
      <c r="F59" s="30" t="inlineStr">
        <is>
          <t>engineering</t>
        </is>
      </c>
      <c r="G59" s="30" t="inlineStr">
        <is>
          <t>smallcap</t>
        </is>
      </c>
      <c r="H59" s="31" t="n">
        <v>2819.16</v>
      </c>
      <c r="I59" s="31" t="n">
        <v>846.4</v>
      </c>
      <c r="J59" s="31" t="n">
        <v>5</v>
      </c>
      <c r="K59" s="31" t="n">
        <v>454583</v>
      </c>
      <c r="L59" s="30" t="n">
        <v>99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86.12</v>
      </c>
      <c r="P59" s="31" t="n">
        <v>66.29000000000001</v>
      </c>
      <c r="Q59" s="31" t="n">
        <v>637.08</v>
      </c>
      <c r="R59" s="30" t="inlineStr">
        <is>
          <t>Near 52W High Breakout</t>
        </is>
      </c>
      <c r="S59" s="30" t="inlineStr">
        <is>
          <t>Nifty 50</t>
        </is>
      </c>
      <c r="T59" s="31" t="n">
        <v>-6.14</v>
      </c>
      <c r="U59" s="31" t="n">
        <v>223.36</v>
      </c>
      <c r="V59" s="31" t="n">
        <v>244.52</v>
      </c>
      <c r="W59" s="31" t="n">
        <v>98.06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IF(B60=0,"",RANK(B60,$B$2:$B$290,0))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KANORICHEM</t>
        </is>
      </c>
      <c r="D60" s="30" t="inlineStr">
        <is>
          <t>Kanoria Chemicals &amp; Industries Limited</t>
        </is>
      </c>
      <c r="E60" s="30" t="inlineStr">
        <is>
          <t>chemicals</t>
        </is>
      </c>
      <c r="F60" s="30" t="inlineStr">
        <is>
          <t>chemicals</t>
        </is>
      </c>
      <c r="G60" s="30" t="inlineStr">
        <is>
          <t>smallcap</t>
        </is>
      </c>
      <c r="H60" s="31" t="n">
        <v>835.98</v>
      </c>
      <c r="I60" s="31" t="n">
        <v>198.55</v>
      </c>
      <c r="J60" s="31" t="n">
        <v>3.77</v>
      </c>
      <c r="K60" s="31" t="n">
        <v>67459</v>
      </c>
      <c r="L60" s="30" t="n">
        <v>89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80.54000000000001</v>
      </c>
      <c r="P60" s="31" t="n">
        <v>70.93000000000001</v>
      </c>
      <c r="Q60" s="31" t="n">
        <v>148.84</v>
      </c>
      <c r="R60" s="30" t="inlineStr">
        <is>
          <t>Near 52W High Breakout</t>
        </is>
      </c>
      <c r="S60" s="30" t="inlineStr">
        <is>
          <t>Nifty 50</t>
        </is>
      </c>
      <c r="T60" s="31" t="n">
        <v>-6.14</v>
      </c>
      <c r="U60" s="31" t="n">
        <v>146.95</v>
      </c>
      <c r="V60" s="31" t="n">
        <v>163.11</v>
      </c>
      <c r="W60" s="31" t="n">
        <v>39.19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IF(B61=0,"",RANK(B61,$B$2:$B$290,0))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BODALCHEM</t>
        </is>
      </c>
      <c r="D61" s="30" t="inlineStr">
        <is>
          <t>Bodal Chemicals Limited</t>
        </is>
      </c>
      <c r="E61" s="30" t="inlineStr">
        <is>
          <t>chemicals</t>
        </is>
      </c>
      <c r="F61" s="30" t="inlineStr">
        <is>
          <t>dyes and pigments</t>
        </is>
      </c>
      <c r="G61" s="30" t="inlineStr">
        <is>
          <t>smallcap</t>
        </is>
      </c>
      <c r="H61" s="31" t="n">
        <v>2456.92</v>
      </c>
      <c r="I61" s="31" t="n">
        <v>202.02</v>
      </c>
      <c r="J61" s="31" t="n">
        <v>3.56</v>
      </c>
      <c r="K61" s="31" t="n">
        <v>1397350</v>
      </c>
      <c r="L61" s="30" t="n">
        <v>98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91.14</v>
      </c>
      <c r="P61" s="31" t="n">
        <v>44.72</v>
      </c>
      <c r="Q61" s="31" t="n">
        <v>159.36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-6.14</v>
      </c>
      <c r="U61" s="31" t="n">
        <v>221.69</v>
      </c>
      <c r="V61" s="31" t="n">
        <v>242.74</v>
      </c>
      <c r="W61" s="31" t="n">
        <v>83.48999999999999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IF(B62=0,"",RANK(B62,$B$2:$B$290,0))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MARINE</t>
        </is>
      </c>
      <c r="D62" s="30" t="inlineStr">
        <is>
          <t>Marine Electricals (India) Ltd</t>
        </is>
      </c>
      <c r="E62" s="30" t="inlineStr">
        <is>
          <t>industrials</t>
        </is>
      </c>
      <c r="F62" s="30" t="inlineStr">
        <is>
          <t>electric equipment</t>
        </is>
      </c>
      <c r="G62" s="30" t="inlineStr">
        <is>
          <t>midcap</t>
        </is>
      </c>
      <c r="H62" s="31" t="n">
        <v>5618.77</v>
      </c>
      <c r="I62" s="31" t="n">
        <v>413.75</v>
      </c>
      <c r="J62" s="31" t="n">
        <v>3.05</v>
      </c>
      <c r="K62" s="31" t="n">
        <v>1423212</v>
      </c>
      <c r="L62" s="30" t="n">
        <v>79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69.93000000000001</v>
      </c>
      <c r="P62" s="31" t="n">
        <v>48.7</v>
      </c>
      <c r="Q62" s="31" t="n">
        <v>307.99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-6.14</v>
      </c>
      <c r="U62" s="31" t="n">
        <v>94.90000000000001</v>
      </c>
      <c r="V62" s="31" t="n">
        <v>107.66</v>
      </c>
      <c r="W62" s="31" t="n">
        <v>30.21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Between 1.5 to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IF(B63=0,"",RANK(B63,$B$2:$B$290,0))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GALAPREC</t>
        </is>
      </c>
      <c r="D63" s="30" t="inlineStr">
        <is>
          <t>Gala Precision Engineering Ltd</t>
        </is>
      </c>
      <c r="E63" s="30" t="inlineStr">
        <is>
          <t>castings, forgings &amp; fasteners</t>
        </is>
      </c>
      <c r="F63" s="30" t="inlineStr">
        <is>
          <t>fasteners</t>
        </is>
      </c>
      <c r="G63" s="30" t="inlineStr">
        <is>
          <t>smallcap</t>
        </is>
      </c>
      <c r="H63" s="31" t="n">
        <v>1431.7</v>
      </c>
      <c r="I63" s="31" t="n">
        <v>1148.6</v>
      </c>
      <c r="J63" s="31" t="n">
        <v>2.82</v>
      </c>
      <c r="K63" s="31" t="n">
        <v>75963</v>
      </c>
      <c r="L63" s="30" t="n">
        <v>33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63.86</v>
      </c>
      <c r="P63" s="31" t="n">
        <v>47.94</v>
      </c>
      <c r="Q63" s="31" t="n">
        <v>878.38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-6.14</v>
      </c>
      <c r="U63" s="31" t="n">
        <v>49.6</v>
      </c>
      <c r="V63" s="31" t="n">
        <v>59.39</v>
      </c>
      <c r="W63" s="31" t="n">
        <v>10.98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Between 1.5 to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IF(B64=0,"",RANK(B64,$B$2:$B$290,0))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SYRMA</t>
        </is>
      </c>
      <c r="D64" s="30" t="inlineStr">
        <is>
          <t>Syrma SGS Technology Ltd</t>
        </is>
      </c>
      <c r="E64" s="30" t="inlineStr">
        <is>
          <t>consumer discretionary</t>
        </is>
      </c>
      <c r="F64" s="30" t="inlineStr">
        <is>
          <t>electronics - components</t>
        </is>
      </c>
      <c r="G64" s="30" t="inlineStr">
        <is>
          <t>largecap</t>
        </is>
      </c>
      <c r="H64" s="31" t="n">
        <v>32754.19</v>
      </c>
      <c r="I64" s="31" t="n">
        <v>1732.6</v>
      </c>
      <c r="J64" s="31" t="n">
        <v>2</v>
      </c>
      <c r="K64" s="31" t="n">
        <v>1026235</v>
      </c>
      <c r="L64" s="30" t="n">
        <v>69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76.66</v>
      </c>
      <c r="P64" s="31" t="n">
        <v>60.77</v>
      </c>
      <c r="Q64" s="31" t="n">
        <v>1338.25</v>
      </c>
      <c r="R64" s="30" t="inlineStr">
        <is>
          <t>Near 52W High Breakout</t>
        </is>
      </c>
      <c r="S64" s="30" t="inlineStr">
        <is>
          <t>Nifty 50</t>
        </is>
      </c>
      <c r="T64" s="31" t="n">
        <v>-6.14</v>
      </c>
      <c r="U64" s="31" t="n">
        <v>116.03</v>
      </c>
      <c r="V64" s="31" t="n">
        <v>130.16</v>
      </c>
      <c r="W64" s="31" t="n">
        <v>23.93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IF(B65=0,"",RANK(B65,$B$2:$B$290,0))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ARROWGREEN</t>
        </is>
      </c>
      <c r="D65" s="30" t="inlineStr">
        <is>
          <t>Arrow Greentech Limited</t>
        </is>
      </c>
      <c r="E65" s="30" t="inlineStr">
        <is>
          <t>plastic products</t>
        </is>
      </c>
      <c r="F65" s="30" t="inlineStr">
        <is>
          <t>plastics products</t>
        </is>
      </c>
      <c r="G65" s="30" t="inlineStr">
        <is>
          <t>smallcap</t>
        </is>
      </c>
      <c r="H65" s="31" t="n">
        <v>1351.8</v>
      </c>
      <c r="I65" s="31" t="n">
        <v>905.8</v>
      </c>
      <c r="J65" s="31" t="n">
        <v>1.1</v>
      </c>
      <c r="K65" s="31" t="n">
        <v>43393</v>
      </c>
      <c r="L65" s="30" t="n">
        <v>74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71.87</v>
      </c>
      <c r="P65" s="31" t="n">
        <v>47.87</v>
      </c>
      <c r="Q65" s="31" t="n">
        <v>671.47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-6.14</v>
      </c>
      <c r="U65" s="31" t="n">
        <v>66.47</v>
      </c>
      <c r="V65" s="31" t="n">
        <v>77.36</v>
      </c>
      <c r="W65" s="31" t="n">
        <v>26.22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IF(B66=0,"",RANK(B66,$B$2:$B$290,0))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WELSPUNLIV</t>
        </is>
      </c>
      <c r="D66" s="30" t="inlineStr">
        <is>
          <t>Welspun Living Ltd</t>
        </is>
      </c>
      <c r="E66" s="30" t="inlineStr">
        <is>
          <t>textiles</t>
        </is>
      </c>
      <c r="F66" s="30" t="inlineStr">
        <is>
          <t>textiles - products</t>
        </is>
      </c>
      <c r="G66" s="30" t="inlineStr">
        <is>
          <t>largecap</t>
        </is>
      </c>
      <c r="H66" s="31" t="n">
        <v>21003.74</v>
      </c>
      <c r="I66" s="31" t="n">
        <v>224.68</v>
      </c>
      <c r="J66" s="31" t="n">
        <v>1.06</v>
      </c>
      <c r="K66" s="31" t="n">
        <v>2858135</v>
      </c>
      <c r="L66" s="30" t="n">
        <v>66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81.95</v>
      </c>
      <c r="P66" s="31" t="n">
        <v>43.96</v>
      </c>
      <c r="Q66" s="31" t="n">
        <v>180.58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-6.14</v>
      </c>
      <c r="U66" s="31" t="n">
        <v>93.02</v>
      </c>
      <c r="V66" s="31" t="n">
        <v>105.65</v>
      </c>
      <c r="W66" s="31" t="n">
        <v>22.81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IF(B67=0,"",RANK(B67,$B$2:$B$290,0))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THEJO</t>
        </is>
      </c>
      <c r="D67" s="30" t="inlineStr">
        <is>
          <t>Thejo Engineering Ltd</t>
        </is>
      </c>
      <c r="E67" s="30" t="inlineStr">
        <is>
          <t>industrials</t>
        </is>
      </c>
      <c r="F67" s="30" t="inlineStr">
        <is>
          <t>engineering</t>
        </is>
      </c>
      <c r="G67" s="30" t="inlineStr">
        <is>
          <t>smallcap</t>
        </is>
      </c>
      <c r="H67" s="31" t="n">
        <v>2352.6</v>
      </c>
      <c r="I67" s="31" t="n">
        <v>2185</v>
      </c>
      <c r="J67" s="31" t="n">
        <v>0.75</v>
      </c>
      <c r="K67" s="31" t="n">
        <v>4584</v>
      </c>
      <c r="L67" s="30" t="n">
        <v>24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65.33</v>
      </c>
      <c r="P67" s="31" t="n">
        <v>41.7</v>
      </c>
      <c r="Q67" s="31" t="n">
        <v>1760.69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-6.14</v>
      </c>
      <c r="U67" s="31" t="n">
        <v>20.27</v>
      </c>
      <c r="V67" s="31" t="n">
        <v>28.14</v>
      </c>
      <c r="W67" s="31" t="n">
        <v>8.630000000000001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IF(B68=0,"",RANK(B68,$B$2:$B$290,0))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MOLDTECH</t>
        </is>
      </c>
      <c r="D68" s="30" t="inlineStr">
        <is>
          <t>Mold-tek Technologies Limited</t>
        </is>
      </c>
      <c r="E68" s="30" t="inlineStr">
        <is>
          <t>realty</t>
        </is>
      </c>
      <c r="F68" s="30" t="inlineStr">
        <is>
          <t>engineering - turnkey services</t>
        </is>
      </c>
      <c r="G68" s="30" t="inlineStr">
        <is>
          <t>smallcap</t>
        </is>
      </c>
      <c r="H68" s="31" t="n">
        <v>573.8</v>
      </c>
      <c r="I68" s="31" t="n">
        <v>200.08</v>
      </c>
      <c r="J68" s="31" t="n">
        <v>0.44</v>
      </c>
      <c r="K68" s="31" t="n">
        <v>23826</v>
      </c>
      <c r="L68" s="30" t="inlineStr"/>
      <c r="M68" s="30" t="inlineStr"/>
      <c r="N68" s="31">
        <f>IF(M68="Underperforming",-5,IF(L68&gt;=95,15,IF(L68&gt;=90,10,IF(L68&gt;=80,5,0))))</f>
        <v/>
      </c>
      <c r="O68" s="31" t="n">
        <v>67.73</v>
      </c>
      <c r="P68" s="31" t="n">
        <v>44.21</v>
      </c>
      <c r="Q68" s="31" t="n">
        <v>147.29</v>
      </c>
      <c r="R68" s="30" t="inlineStr">
        <is>
          <t>Near 52W High Breakout</t>
        </is>
      </c>
      <c r="S68" s="30" t="inlineStr">
        <is>
          <t>Nifty Realty</t>
        </is>
      </c>
      <c r="T68" s="31" t="inlineStr"/>
      <c r="U68" s="31" t="inlineStr"/>
      <c r="V68" s="31" t="inlineStr"/>
      <c r="W68" s="31" t="inlineStr"/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IF(B69=0,"",RANK(B69,$B$2:$B$290,0))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ASKAUTOLTD</t>
        </is>
      </c>
      <c r="D69" s="30" t="inlineStr">
        <is>
          <t>ASK Automotive Ltd</t>
        </is>
      </c>
      <c r="E69" s="30" t="inlineStr">
        <is>
          <t>auto</t>
        </is>
      </c>
      <c r="F69" s="30" t="inlineStr">
        <is>
          <t>auto ancillaries</t>
        </is>
      </c>
      <c r="G69" s="30" t="inlineStr">
        <is>
          <t>midcap</t>
        </is>
      </c>
      <c r="H69" s="31" t="n">
        <v>12671.34</v>
      </c>
      <c r="I69" s="31" t="n">
        <v>645.15</v>
      </c>
      <c r="J69" s="31" t="n">
        <v>0.37</v>
      </c>
      <c r="K69" s="31" t="n">
        <v>133775</v>
      </c>
      <c r="L69" s="30" t="inlineStr"/>
      <c r="M69" s="30" t="inlineStr"/>
      <c r="N69" s="31">
        <f>IF(M69="Underperforming",-5,IF(L69&gt;=95,15,IF(L69&gt;=90,10,IF(L69&gt;=80,5,0))))</f>
        <v/>
      </c>
      <c r="O69" s="31" t="n">
        <v>71.59999999999999</v>
      </c>
      <c r="P69" s="31" t="n">
        <v>35.41</v>
      </c>
      <c r="Q69" s="31" t="n">
        <v>528.04</v>
      </c>
      <c r="R69" s="30" t="inlineStr">
        <is>
          <t>Near 52W High Breakout</t>
        </is>
      </c>
      <c r="S69" s="30" t="inlineStr">
        <is>
          <t>Nifty Auto</t>
        </is>
      </c>
      <c r="T69" s="31" t="inlineStr"/>
      <c r="U69" s="31" t="inlineStr"/>
      <c r="V69" s="31" t="inlineStr"/>
      <c r="W69" s="31" t="inlineStr"/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IF(B70=0,"",RANK(B70,$B$2:$B$290,0))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MACPOWER</t>
        </is>
      </c>
      <c r="D70" s="30" t="inlineStr">
        <is>
          <t>Macpower CNC Machines Ltd</t>
        </is>
      </c>
      <c r="E70" s="30" t="inlineStr">
        <is>
          <t>industrials</t>
        </is>
      </c>
      <c r="F70" s="30" t="inlineStr">
        <is>
          <t>engineering</t>
        </is>
      </c>
      <c r="G70" s="30" t="inlineStr">
        <is>
          <t>smallcap</t>
        </is>
      </c>
      <c r="H70" s="31" t="n">
        <v>2061.96</v>
      </c>
      <c r="I70" s="31" t="n">
        <v>2062.5</v>
      </c>
      <c r="J70" s="31" t="n">
        <v>0.07000000000000001</v>
      </c>
      <c r="K70" s="31" t="n">
        <v>22980</v>
      </c>
      <c r="L70" s="30" t="n">
        <v>89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73.12</v>
      </c>
      <c r="P70" s="31" t="n">
        <v>51.88</v>
      </c>
      <c r="Q70" s="31" t="n">
        <v>1485.53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-6.14</v>
      </c>
      <c r="U70" s="31" t="n">
        <v>147.2</v>
      </c>
      <c r="V70" s="31" t="n">
        <v>163.38</v>
      </c>
      <c r="W70" s="31" t="n">
        <v>40.21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IF(B71=0,"",RANK(B71,$B$2:$B$290,0))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VALIANTORG</t>
        </is>
      </c>
      <c r="D71" s="30" t="inlineStr">
        <is>
          <t>Valiant Organics Ltd</t>
        </is>
      </c>
      <c r="E71" s="30" t="inlineStr">
        <is>
          <t>chemicals</t>
        </is>
      </c>
      <c r="F71" s="30" t="inlineStr">
        <is>
          <t>chemicals</t>
        </is>
      </c>
      <c r="G71" s="30" t="inlineStr">
        <is>
          <t>smallcap</t>
        </is>
      </c>
      <c r="H71" s="31" t="n">
        <v>1153.2</v>
      </c>
      <c r="I71" s="31" t="n">
        <v>410.45</v>
      </c>
      <c r="J71" s="31" t="n">
        <v>-0.22</v>
      </c>
      <c r="K71" s="31" t="n">
        <v>30685</v>
      </c>
      <c r="L71" s="30" t="n">
        <v>49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69.05</v>
      </c>
      <c r="P71" s="31" t="n">
        <v>41.59</v>
      </c>
      <c r="Q71" s="31" t="n">
        <v>314.06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-6.14</v>
      </c>
      <c r="U71" s="31" t="n">
        <v>23.24</v>
      </c>
      <c r="V71" s="31" t="n">
        <v>31.3</v>
      </c>
      <c r="W71" s="31" t="n">
        <v>16.31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IF(B72=0,"",RANK(B72,$B$2:$B$290,0))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LOTUSDEV</t>
        </is>
      </c>
      <c r="D72" s="30" t="inlineStr">
        <is>
          <t>Sri Lotus Developers &amp; Realty Ltd</t>
        </is>
      </c>
      <c r="E72" s="30" t="inlineStr">
        <is>
          <t>realty</t>
        </is>
      </c>
      <c r="F72" s="30" t="inlineStr">
        <is>
          <t>construction</t>
        </is>
      </c>
      <c r="G72" s="30" t="inlineStr">
        <is>
          <t>midcap</t>
        </is>
      </c>
      <c r="H72" s="31" t="n">
        <v>10705.49</v>
      </c>
      <c r="I72" s="31" t="n">
        <v>217.99</v>
      </c>
      <c r="J72" s="31" t="n">
        <v>-0.48</v>
      </c>
      <c r="K72" s="31" t="n">
        <v>723532</v>
      </c>
      <c r="L72" s="30" t="inlineStr"/>
      <c r="M72" s="30" t="inlineStr"/>
      <c r="N72" s="31">
        <f>IF(M72="Underperforming",-5,IF(L72&gt;=95,15,IF(L72&gt;=90,10,IF(L72&gt;=80,5,0))))</f>
        <v/>
      </c>
      <c r="O72" s="31" t="n">
        <v>67.7</v>
      </c>
      <c r="P72" s="31" t="n">
        <v>26.46</v>
      </c>
      <c r="Q72" s="31" t="n">
        <v>166.09</v>
      </c>
      <c r="R72" s="30" t="inlineStr">
        <is>
          <t>Near 52W High Breakout</t>
        </is>
      </c>
      <c r="S72" s="30" t="inlineStr">
        <is>
          <t>Nifty Realty</t>
        </is>
      </c>
      <c r="T72" s="31" t="inlineStr"/>
      <c r="U72" s="31" t="inlineStr"/>
      <c r="V72" s="31" t="inlineStr"/>
      <c r="W72" s="31" t="inlineStr"/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IF(B73=0,"",RANK(B73,$B$2:$B$290,0))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MATRIMONY</t>
        </is>
      </c>
      <c r="D73" s="30" t="inlineStr">
        <is>
          <t>Matrimony.com Ltd</t>
        </is>
      </c>
      <c r="E73" s="30" t="inlineStr">
        <is>
          <t>miscellaneous</t>
        </is>
      </c>
      <c r="F73" s="30" t="inlineStr">
        <is>
          <t>miscellaneous</t>
        </is>
      </c>
      <c r="G73" s="30" t="inlineStr">
        <is>
          <t>smallcap</t>
        </is>
      </c>
      <c r="H73" s="31" t="n">
        <v>1113.37</v>
      </c>
      <c r="I73" s="31" t="n">
        <v>535.4</v>
      </c>
      <c r="J73" s="31" t="n">
        <v>-0.58</v>
      </c>
      <c r="K73" s="31" t="n">
        <v>2598</v>
      </c>
      <c r="L73" s="30" t="n">
        <v>27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64.06999999999999</v>
      </c>
      <c r="P73" s="31" t="n">
        <v>40.02</v>
      </c>
      <c r="Q73" s="31" t="n">
        <v>421.92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-6.14</v>
      </c>
      <c r="U73" s="31" t="n">
        <v>4.42</v>
      </c>
      <c r="V73" s="31" t="n">
        <v>11.25</v>
      </c>
      <c r="W73" s="31" t="n">
        <v>9.43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IF(B74=0,"",RANK(B74,$B$2:$B$290,0))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PCJEWELLER</t>
        </is>
      </c>
      <c r="D74" s="30" t="inlineStr">
        <is>
          <t>Pc Jeweller Limited</t>
        </is>
      </c>
      <c r="E74" s="30" t="inlineStr">
        <is>
          <t>consumer discretionary</t>
        </is>
      </c>
      <c r="F74" s="30" t="inlineStr">
        <is>
          <t>diamond cutting / jewellery</t>
        </is>
      </c>
      <c r="G74" s="30" t="inlineStr">
        <is>
          <t>midcap</t>
        </is>
      </c>
      <c r="H74" s="31" t="n">
        <v>13837.51</v>
      </c>
      <c r="I74" s="31" t="n">
        <v>14.11</v>
      </c>
      <c r="J74" s="31" t="n">
        <v>-0.98</v>
      </c>
      <c r="K74" s="31" t="n">
        <v>309343445</v>
      </c>
      <c r="L74" s="30" t="n">
        <v>60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69.76000000000001</v>
      </c>
      <c r="P74" s="31" t="n">
        <v>29.99</v>
      </c>
      <c r="Q74" s="31" t="n">
        <v>10.01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-6.14</v>
      </c>
      <c r="U74" s="31" t="n">
        <v>16.13</v>
      </c>
      <c r="V74" s="31" t="n">
        <v>23.73</v>
      </c>
      <c r="W74" s="31" t="n">
        <v>19.82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IF(B75=0,"",RANK(B75,$B$2:$B$290,0))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FINCABLES</t>
        </is>
      </c>
      <c r="D75" s="30" t="inlineStr">
        <is>
          <t>Finolex Cables Limited</t>
        </is>
      </c>
      <c r="E75" s="30" t="inlineStr">
        <is>
          <t>industrials</t>
        </is>
      </c>
      <c r="F75" s="30" t="inlineStr">
        <is>
          <t>cables - power</t>
        </is>
      </c>
      <c r="G75" s="30" t="inlineStr">
        <is>
          <t>largecap</t>
        </is>
      </c>
      <c r="H75" s="31" t="n">
        <v>22635.02</v>
      </c>
      <c r="I75" s="31" t="n">
        <v>1460.9</v>
      </c>
      <c r="J75" s="31" t="n">
        <v>-1.29</v>
      </c>
      <c r="K75" s="31" t="n">
        <v>501380</v>
      </c>
      <c r="L75" s="30" t="inlineStr"/>
      <c r="M75" s="30" t="inlineStr"/>
      <c r="N75" s="31">
        <f>IF(M75="Underperforming",-5,IF(L75&gt;=95,15,IF(L75&gt;=90,10,IF(L75&gt;=80,5,0))))</f>
        <v/>
      </c>
      <c r="O75" s="31" t="n">
        <v>71.22</v>
      </c>
      <c r="P75" s="31" t="n">
        <v>38.42</v>
      </c>
      <c r="Q75" s="31" t="n">
        <v>1109.43</v>
      </c>
      <c r="R75" s="30" t="inlineStr">
        <is>
          <t>Near 52W High Breakout</t>
        </is>
      </c>
      <c r="S75" s="30" t="inlineStr">
        <is>
          <t>Nifty Energy</t>
        </is>
      </c>
      <c r="T75" s="31" t="inlineStr"/>
      <c r="U75" s="31" t="inlineStr"/>
      <c r="V75" s="31" t="inlineStr"/>
      <c r="W75" s="31" t="inlineStr"/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IF(B76=0,"",RANK(B76,$B$2:$B$290,0))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KDDL</t>
        </is>
      </c>
      <c r="D76" s="30" t="inlineStr">
        <is>
          <t>Kddl Limited</t>
        </is>
      </c>
      <c r="E76" s="30" t="inlineStr">
        <is>
          <t>consumer discretionary</t>
        </is>
      </c>
      <c r="F76" s="30" t="inlineStr">
        <is>
          <t>miscellaneous</t>
        </is>
      </c>
      <c r="G76" s="30" t="inlineStr">
        <is>
          <t>midcap</t>
        </is>
      </c>
      <c r="H76" s="31" t="n">
        <v>5067.06</v>
      </c>
      <c r="I76" s="31" t="n">
        <v>4033.4</v>
      </c>
      <c r="J76" s="31" t="n">
        <v>-2.1</v>
      </c>
      <c r="K76" s="31" t="n">
        <v>46381</v>
      </c>
      <c r="L76" s="30" t="n">
        <v>52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75.26000000000001</v>
      </c>
      <c r="P76" s="31" t="n">
        <v>47.08</v>
      </c>
      <c r="Q76" s="31" t="n">
        <v>3122.66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-6.14</v>
      </c>
      <c r="U76" s="31" t="n">
        <v>52.63</v>
      </c>
      <c r="V76" s="31" t="n">
        <v>62.61</v>
      </c>
      <c r="W76" s="31" t="n">
        <v>16.96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IF(B77=0,"",RANK(B77,$B$2:$B$290,0))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INDORAMA</t>
        </is>
      </c>
      <c r="D77" s="30" t="inlineStr">
        <is>
          <t>Indo Rama Synthetics (india) Limited</t>
        </is>
      </c>
      <c r="E77" s="30" t="inlineStr">
        <is>
          <t>textiles</t>
        </is>
      </c>
      <c r="F77" s="30" t="inlineStr">
        <is>
          <t>textiles - manmade</t>
        </is>
      </c>
      <c r="G77" s="30" t="inlineStr">
        <is>
          <t>smallcap</t>
        </is>
      </c>
      <c r="H77" s="31" t="n">
        <v>2656.04</v>
      </c>
      <c r="I77" s="31" t="n">
        <v>99.36</v>
      </c>
      <c r="J77" s="31" t="n">
        <v>-2.32</v>
      </c>
      <c r="K77" s="31" t="n">
        <v>827174</v>
      </c>
      <c r="L77" s="30" t="n">
        <v>95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86.14</v>
      </c>
      <c r="P77" s="31" t="n">
        <v>60.36</v>
      </c>
      <c r="Q77" s="31" t="n">
        <v>72.37</v>
      </c>
      <c r="R77" s="30" t="inlineStr">
        <is>
          <t>Volume Spike &amp; Near 52W High Breakout</t>
        </is>
      </c>
      <c r="S77" s="30" t="inlineStr">
        <is>
          <t>Nifty 50</t>
        </is>
      </c>
      <c r="T77" s="31" t="n">
        <v>-6.14</v>
      </c>
      <c r="U77" s="31" t="n">
        <v>81.20999999999999</v>
      </c>
      <c r="V77" s="31" t="n">
        <v>93.06999999999999</v>
      </c>
      <c r="W77" s="31" t="n">
        <v>47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More than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IF(B78=0,"",RANK(B78,$B$2:$B$290,0))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MOTISONS</t>
        </is>
      </c>
      <c r="D78" s="30" t="inlineStr">
        <is>
          <t>Motisons Jewellers Ltd</t>
        </is>
      </c>
      <c r="E78" s="30" t="inlineStr">
        <is>
          <t>consumer discretionary</t>
        </is>
      </c>
      <c r="F78" s="30" t="inlineStr">
        <is>
          <t>diamond cutting / jewellery</t>
        </is>
      </c>
      <c r="G78" s="30" t="inlineStr">
        <is>
          <t>smallcap</t>
        </is>
      </c>
      <c r="H78" s="31" t="n">
        <v>2137.37</v>
      </c>
      <c r="I78" s="31" t="n">
        <v>17.85</v>
      </c>
      <c r="J78" s="31" t="n">
        <v>-5</v>
      </c>
      <c r="K78" s="31" t="n">
        <v>119558121</v>
      </c>
      <c r="L78" s="30" t="n">
        <v>20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63.53</v>
      </c>
      <c r="P78" s="31" t="n">
        <v>24.19</v>
      </c>
      <c r="Q78" s="31" t="n">
        <v>12.43</v>
      </c>
      <c r="R78" s="30" t="inlineStr">
        <is>
          <t>Volume Spike &amp; Near 52W High Breakout</t>
        </is>
      </c>
      <c r="S78" s="30" t="inlineStr">
        <is>
          <t>Nifty 50</t>
        </is>
      </c>
      <c r="T78" s="31" t="n">
        <v>-6.14</v>
      </c>
      <c r="U78" s="31" t="n">
        <v>-1.92</v>
      </c>
      <c r="V78" s="31" t="n">
        <v>4.49</v>
      </c>
      <c r="W78" s="31" t="n">
        <v>7.28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IF(B79=0,"",RANK(B79,$B$2:$B$290,0))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AHCL</t>
        </is>
      </c>
      <c r="D79" s="30" t="inlineStr">
        <is>
          <t>Anlon Healthcare Ltd</t>
        </is>
      </c>
      <c r="E79" s="30" t="inlineStr">
        <is>
          <t>healthcare</t>
        </is>
      </c>
      <c r="F79" s="30" t="inlineStr">
        <is>
          <t>pharmaceuticals - indian - bulk drugs &amp; formln</t>
        </is>
      </c>
      <c r="G79" s="30" t="inlineStr">
        <is>
          <t>smallcap</t>
        </is>
      </c>
      <c r="H79" s="31" t="n">
        <v>1522.79</v>
      </c>
      <c r="I79" s="31" t="n">
        <v>31.51</v>
      </c>
      <c r="J79" s="31" t="n">
        <v>9.98</v>
      </c>
      <c r="K79" s="31" t="n">
        <v>80210539</v>
      </c>
      <c r="L79" s="30" t="n">
        <v>91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87.42</v>
      </c>
      <c r="P79" s="31" t="n">
        <v>44.75</v>
      </c>
      <c r="Q79" s="31" t="n">
        <v>24.35</v>
      </c>
      <c r="R79" s="30" t="inlineStr">
        <is>
          <t>Volume Spike &amp; Near 52W High Breakout</t>
        </is>
      </c>
      <c r="S79" s="30" t="inlineStr">
        <is>
          <t>Nifty Pharma</t>
        </is>
      </c>
      <c r="T79" s="31" t="n">
        <v>25.55</v>
      </c>
      <c r="U79" s="31" t="n">
        <v>144.89</v>
      </c>
      <c r="V79" s="31" t="n">
        <v>95.05</v>
      </c>
      <c r="W79" s="31" t="n">
        <v>44.02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IF(B80=0,"",RANK(B80,$B$2:$B$290,0))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BLISSGVS</t>
        </is>
      </c>
      <c r="D80" s="30" t="inlineStr">
        <is>
          <t>Bliss Gvs Pharma Limited</t>
        </is>
      </c>
      <c r="E80" s="30" t="inlineStr">
        <is>
          <t>healthcare</t>
        </is>
      </c>
      <c r="F80" s="30" t="inlineStr">
        <is>
          <t>pharmaceuticals - indian - formulations</t>
        </is>
      </c>
      <c r="G80" s="30" t="inlineStr">
        <is>
          <t>midcap</t>
        </is>
      </c>
      <c r="H80" s="31" t="n">
        <v>7286.59</v>
      </c>
      <c r="I80" s="31" t="n">
        <v>704.7</v>
      </c>
      <c r="J80" s="31" t="n">
        <v>2.57</v>
      </c>
      <c r="K80" s="31" t="n">
        <v>433524</v>
      </c>
      <c r="L80" s="30" t="n">
        <v>96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80.98999999999999</v>
      </c>
      <c r="P80" s="31" t="n">
        <v>72.83</v>
      </c>
      <c r="Q80" s="31" t="n">
        <v>557.25</v>
      </c>
      <c r="R80" s="30" t="inlineStr">
        <is>
          <t>Near 52W High Breakout</t>
        </is>
      </c>
      <c r="S80" s="30" t="inlineStr">
        <is>
          <t>Nifty Pharma</t>
        </is>
      </c>
      <c r="T80" s="31" t="n">
        <v>25.55</v>
      </c>
      <c r="U80" s="31" t="n">
        <v>388.71</v>
      </c>
      <c r="V80" s="31" t="n">
        <v>289.25</v>
      </c>
      <c r="W80" s="31" t="n">
        <v>51.78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Between 12 to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IF(B81=0,"",RANK(B81,$B$2:$B$290,0))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SHILPAMED</t>
        </is>
      </c>
      <c r="D81" s="30" t="inlineStr">
        <is>
          <t>Shilpa Medicare Limited</t>
        </is>
      </c>
      <c r="E81" s="30" t="inlineStr">
        <is>
          <t>healthcare</t>
        </is>
      </c>
      <c r="F81" s="30" t="inlineStr">
        <is>
          <t>pharmaceuticals - indian - formulations</t>
        </is>
      </c>
      <c r="G81" s="30" t="inlineStr">
        <is>
          <t>midcap</t>
        </is>
      </c>
      <c r="H81" s="31" t="n">
        <v>19700.96</v>
      </c>
      <c r="I81" s="31" t="n">
        <v>1013.45</v>
      </c>
      <c r="J81" s="31" t="n">
        <v>0.61</v>
      </c>
      <c r="K81" s="31" t="n">
        <v>604526</v>
      </c>
      <c r="L81" s="30" t="n">
        <v>90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90.43000000000001</v>
      </c>
      <c r="P81" s="31" t="n">
        <v>81.55</v>
      </c>
      <c r="Q81" s="31" t="n">
        <v>817.72</v>
      </c>
      <c r="R81" s="30" t="inlineStr">
        <is>
          <t>Near 52W High Breakout</t>
        </is>
      </c>
      <c r="S81" s="30" t="inlineStr">
        <is>
          <t>Nifty Pharma</t>
        </is>
      </c>
      <c r="T81" s="31" t="n">
        <v>25.55</v>
      </c>
      <c r="U81" s="31" t="n">
        <v>162.77</v>
      </c>
      <c r="V81" s="31" t="n">
        <v>109.29</v>
      </c>
      <c r="W81" s="31" t="n">
        <v>42.08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IF(B82=0,"",RANK(B82,$B$2:$B$290,0))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ZIMLAB</t>
        </is>
      </c>
      <c r="D82" s="30" t="inlineStr">
        <is>
          <t>Zim Laboratories Ltd</t>
        </is>
      </c>
      <c r="E82" s="30" t="inlineStr">
        <is>
          <t>healthcare</t>
        </is>
      </c>
      <c r="F82" s="30" t="inlineStr">
        <is>
          <t>pharmaceuticals - indian - bulk drugs &amp; formln</t>
        </is>
      </c>
      <c r="G82" s="30" t="inlineStr">
        <is>
          <t>smallcap</t>
        </is>
      </c>
      <c r="H82" s="31" t="n">
        <v>738.01</v>
      </c>
      <c r="I82" s="31" t="n">
        <v>138.48</v>
      </c>
      <c r="J82" s="31" t="n">
        <v>0.48</v>
      </c>
      <c r="K82" s="31" t="n">
        <v>179885</v>
      </c>
      <c r="L82" s="30" t="n">
        <v>62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70.36</v>
      </c>
      <c r="P82" s="31" t="n">
        <v>59.38</v>
      </c>
      <c r="Q82" s="31" t="n">
        <v>100.98</v>
      </c>
      <c r="R82" s="30" t="inlineStr">
        <is>
          <t>Near 52W High Breakout</t>
        </is>
      </c>
      <c r="S82" s="30" t="inlineStr">
        <is>
          <t>Nifty Pharma</t>
        </is>
      </c>
      <c r="T82" s="31" t="n">
        <v>25.55</v>
      </c>
      <c r="U82" s="31" t="n">
        <v>89.09999999999999</v>
      </c>
      <c r="V82" s="31" t="n">
        <v>50.62</v>
      </c>
      <c r="W82" s="31" t="n">
        <v>20.95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IF(B83=0,"",RANK(B83,$B$2:$B$290,0))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DIVISLAB</t>
        </is>
      </c>
      <c r="D83" s="30" t="inlineStr">
        <is>
          <t>Divi's Laboratories Limited</t>
        </is>
      </c>
      <c r="E83" s="30" t="inlineStr">
        <is>
          <t>healthcare</t>
        </is>
      </c>
      <c r="F83" s="30" t="inlineStr">
        <is>
          <t>pharmaceuticals - indian - bulk drugs</t>
        </is>
      </c>
      <c r="G83" s="30" t="inlineStr">
        <is>
          <t>largecap</t>
        </is>
      </c>
      <c r="H83" s="31" t="n">
        <v>254902.93</v>
      </c>
      <c r="I83" s="31" t="n">
        <v>9619.5</v>
      </c>
      <c r="J83" s="31" t="n">
        <v>0.18</v>
      </c>
      <c r="K83" s="31" t="n">
        <v>388859</v>
      </c>
      <c r="L83" s="30" t="n">
        <v>64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86.45999999999999</v>
      </c>
      <c r="P83" s="31" t="n">
        <v>52.13</v>
      </c>
      <c r="Q83" s="31" t="n">
        <v>8394.799999999999</v>
      </c>
      <c r="R83" s="30" t="inlineStr">
        <is>
          <t>Near 52W High Breakout</t>
        </is>
      </c>
      <c r="S83" s="30" t="inlineStr">
        <is>
          <t>Nifty Pharma</t>
        </is>
      </c>
      <c r="T83" s="31" t="n">
        <v>25.55</v>
      </c>
      <c r="U83" s="31" t="n">
        <v>69.77</v>
      </c>
      <c r="V83" s="31" t="n">
        <v>35.22</v>
      </c>
      <c r="W83" s="31" t="n">
        <v>21.19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IF(B84=0,"",RANK(B84,$B$2:$B$290,0))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WOCKPHARMA</t>
        </is>
      </c>
      <c r="D84" s="30" t="inlineStr">
        <is>
          <t>Wockhardt Limited</t>
        </is>
      </c>
      <c r="E84" s="30" t="inlineStr">
        <is>
          <t>healthcare</t>
        </is>
      </c>
      <c r="F84" s="30" t="inlineStr">
        <is>
          <t>pharmaceuticals - indian - bulk drugs &amp; formln</t>
        </is>
      </c>
      <c r="G84" s="30" t="inlineStr">
        <is>
          <t>largecap</t>
        </is>
      </c>
      <c r="H84" s="31" t="n">
        <v>37173.33</v>
      </c>
      <c r="I84" s="31" t="n">
        <v>2265.6</v>
      </c>
      <c r="J84" s="31" t="n">
        <v>-0.97</v>
      </c>
      <c r="K84" s="31" t="n">
        <v>689934</v>
      </c>
      <c r="L84" s="30" t="n">
        <v>53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68.03</v>
      </c>
      <c r="P84" s="31" t="n">
        <v>46.76</v>
      </c>
      <c r="Q84" s="31" t="n">
        <v>1707.25</v>
      </c>
      <c r="R84" s="30" t="inlineStr">
        <is>
          <t>Volume Spike &amp; Near 52W High Breakout</t>
        </is>
      </c>
      <c r="S84" s="30" t="inlineStr">
        <is>
          <t>Nifty Pharma</t>
        </is>
      </c>
      <c r="T84" s="31" t="n">
        <v>25.55</v>
      </c>
      <c r="U84" s="31" t="n">
        <v>69.52</v>
      </c>
      <c r="V84" s="31" t="n">
        <v>35.02</v>
      </c>
      <c r="W84" s="31" t="n">
        <v>17.21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IF(B85=0,"",RANK(B85,$B$2:$B$290,0))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INNOVACAP</t>
        </is>
      </c>
      <c r="D85" s="30" t="inlineStr">
        <is>
          <t>Innova Captab Ltd</t>
        </is>
      </c>
      <c r="E85" s="30" t="inlineStr">
        <is>
          <t>healthcare</t>
        </is>
      </c>
      <c r="F85" s="30" t="inlineStr">
        <is>
          <t>pharmaceuticals - indian - bulk drugs &amp; formln</t>
        </is>
      </c>
      <c r="G85" s="30" t="inlineStr">
        <is>
          <t>midcap</t>
        </is>
      </c>
      <c r="H85" s="31" t="n">
        <v>7412.35</v>
      </c>
      <c r="I85" s="31" t="n">
        <v>1281</v>
      </c>
      <c r="J85" s="31" t="n">
        <v>-1.1</v>
      </c>
      <c r="K85" s="31" t="n">
        <v>34476</v>
      </c>
      <c r="L85" s="30" t="n">
        <v>55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78.12</v>
      </c>
      <c r="P85" s="31" t="n">
        <v>62.61</v>
      </c>
      <c r="Q85" s="31" t="n">
        <v>999.38</v>
      </c>
      <c r="R85" s="30" t="inlineStr">
        <is>
          <t>Volume Spike &amp; Near 52W High Breakout</t>
        </is>
      </c>
      <c r="S85" s="30" t="inlineStr">
        <is>
          <t>Nifty Pharma</t>
        </is>
      </c>
      <c r="T85" s="31" t="n">
        <v>25.55</v>
      </c>
      <c r="U85" s="31" t="n">
        <v>52.04</v>
      </c>
      <c r="V85" s="31" t="n">
        <v>21.09</v>
      </c>
      <c r="W85" s="31" t="n">
        <v>18.25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IF(B86=0,"",RANK(B86,$B$2:$B$290,0))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FCL</t>
        </is>
      </c>
      <c r="D86" s="30" t="inlineStr">
        <is>
          <t>Fineotex Chemical Limited</t>
        </is>
      </c>
      <c r="E86" s="30" t="inlineStr">
        <is>
          <t>chemicals</t>
        </is>
      </c>
      <c r="F86" s="30" t="inlineStr">
        <is>
          <t>chemicals</t>
        </is>
      </c>
      <c r="G86" s="30" t="inlineStr">
        <is>
          <t>midcap</t>
        </is>
      </c>
      <c r="H86" s="31" t="n">
        <v>6529.36</v>
      </c>
      <c r="I86" s="31" t="n">
        <v>60.48</v>
      </c>
      <c r="J86" s="31" t="n">
        <v>7.87</v>
      </c>
      <c r="K86" s="31" t="n">
        <v>47041849</v>
      </c>
      <c r="L86" s="30" t="n">
        <v>86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81.65000000000001</v>
      </c>
      <c r="P86" s="31" t="n">
        <v>48.81</v>
      </c>
      <c r="Q86" s="31" t="n">
        <v>45.03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-6.14</v>
      </c>
      <c r="U86" s="31" t="n">
        <v>142.52</v>
      </c>
      <c r="V86" s="31" t="n">
        <v>158.39</v>
      </c>
      <c r="W86" s="31" t="n">
        <v>35.96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IF(B87=0,"",RANK(B87,$B$2:$B$290,0))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WHEELS</t>
        </is>
      </c>
      <c r="D87" s="30" t="inlineStr">
        <is>
          <t>Wheels India Limited</t>
        </is>
      </c>
      <c r="E87" s="30" t="inlineStr">
        <is>
          <t>auto</t>
        </is>
      </c>
      <c r="F87" s="30" t="inlineStr">
        <is>
          <t>auto ancillaries</t>
        </is>
      </c>
      <c r="G87" s="30" t="inlineStr">
        <is>
          <t>midcap</t>
        </is>
      </c>
      <c r="H87" s="31" t="n">
        <v>5328.35</v>
      </c>
      <c r="I87" s="31" t="n">
        <v>2296.4</v>
      </c>
      <c r="J87" s="31" t="n">
        <v>5.3</v>
      </c>
      <c r="K87" s="31" t="n">
        <v>615400</v>
      </c>
      <c r="L87" s="30" t="inlineStr"/>
      <c r="M87" s="30" t="inlineStr"/>
      <c r="N87" s="31">
        <f>IF(M87="Underperforming",-5,IF(L87&gt;=95,15,IF(L87&gt;=90,10,IF(L87&gt;=80,5,0))))</f>
        <v/>
      </c>
      <c r="O87" s="31" t="n">
        <v>78.13</v>
      </c>
      <c r="P87" s="31" t="n">
        <v>58.26</v>
      </c>
      <c r="Q87" s="31" t="n">
        <v>1714.5</v>
      </c>
      <c r="R87" s="30" t="inlineStr">
        <is>
          <t>Near 52W High Breakout</t>
        </is>
      </c>
      <c r="S87" s="30" t="inlineStr">
        <is>
          <t>Nifty Auto</t>
        </is>
      </c>
      <c r="T87" s="31" t="inlineStr"/>
      <c r="U87" s="31" t="inlineStr"/>
      <c r="V87" s="31" t="inlineStr"/>
      <c r="W87" s="31" t="inlineStr"/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Between 0.7 to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IF(B88=0,"",RANK(B88,$B$2:$B$290,0))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STEELCAS</t>
        </is>
      </c>
      <c r="D88" s="30" t="inlineStr">
        <is>
          <t>Steelcast Ltd</t>
        </is>
      </c>
      <c r="E88" s="30" t="inlineStr">
        <is>
          <t>castings, forgings &amp; fasteners</t>
        </is>
      </c>
      <c r="F88" s="30" t="inlineStr">
        <is>
          <t>castings &amp; forgings</t>
        </is>
      </c>
      <c r="G88" s="30" t="inlineStr">
        <is>
          <t>smallcap</t>
        </is>
      </c>
      <c r="H88" s="31" t="n">
        <v>3620.94</v>
      </c>
      <c r="I88" s="31" t="n">
        <v>376.5</v>
      </c>
      <c r="J88" s="31" t="n">
        <v>5.23</v>
      </c>
      <c r="K88" s="31" t="n">
        <v>1078414</v>
      </c>
      <c r="L88" s="30" t="n">
        <v>57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73</v>
      </c>
      <c r="P88" s="31" t="n">
        <v>43.06</v>
      </c>
      <c r="Q88" s="31" t="n">
        <v>280.23</v>
      </c>
      <c r="R88" s="30" t="inlineStr">
        <is>
          <t>Volume Spike &amp; Near 52W High Breakout</t>
        </is>
      </c>
      <c r="S88" s="30" t="inlineStr">
        <is>
          <t>Nifty 50</t>
        </is>
      </c>
      <c r="T88" s="31" t="n">
        <v>-6.14</v>
      </c>
      <c r="U88" s="31" t="n">
        <v>80.18000000000001</v>
      </c>
      <c r="V88" s="31" t="n">
        <v>91.97</v>
      </c>
      <c r="W88" s="31" t="n">
        <v>18.64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Between 12 to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IF(B89=0,"",RANK(B89,$B$2:$B$290,0))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SHRIPISTON</t>
        </is>
      </c>
      <c r="D89" s="30" t="inlineStr">
        <is>
          <t>Shriram Pistons &amp; Rings Limited</t>
        </is>
      </c>
      <c r="E89" s="30" t="inlineStr">
        <is>
          <t>auto</t>
        </is>
      </c>
      <c r="F89" s="30" t="inlineStr">
        <is>
          <t>auto ancillaries</t>
        </is>
      </c>
      <c r="G89" s="30" t="inlineStr">
        <is>
          <t>largecap</t>
        </is>
      </c>
      <c r="H89" s="31" t="n">
        <v>20997.67</v>
      </c>
      <c r="I89" s="31" t="n">
        <v>4746.8</v>
      </c>
      <c r="J89" s="31" t="n">
        <v>4.86</v>
      </c>
      <c r="K89" s="31" t="n">
        <v>110008</v>
      </c>
      <c r="L89" s="30" t="inlineStr"/>
      <c r="M89" s="30" t="inlineStr"/>
      <c r="N89" s="31">
        <f>IF(M89="Underperforming",-5,IF(L89&gt;=95,15,IF(L89&gt;=90,10,IF(L89&gt;=80,5,0))))</f>
        <v/>
      </c>
      <c r="O89" s="31" t="n">
        <v>72.55</v>
      </c>
      <c r="P89" s="31" t="n">
        <v>58.32</v>
      </c>
      <c r="Q89" s="31" t="n">
        <v>3837.06</v>
      </c>
      <c r="R89" s="30" t="inlineStr">
        <is>
          <t>Near 52W High Breakout</t>
        </is>
      </c>
      <c r="S89" s="30" t="inlineStr">
        <is>
          <t>Nifty Auto</t>
        </is>
      </c>
      <c r="T89" s="31" t="inlineStr"/>
      <c r="U89" s="31" t="inlineStr"/>
      <c r="V89" s="31" t="inlineStr"/>
      <c r="W89" s="31" t="inlineStr"/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IF(B90=0,"",RANK(B90,$B$2:$B$290,0))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MAZDA</t>
        </is>
      </c>
      <c r="D90" s="30" t="inlineStr">
        <is>
          <t>Mazda Limited</t>
        </is>
      </c>
      <c r="E90" s="30" t="inlineStr">
        <is>
          <t>industrials</t>
        </is>
      </c>
      <c r="F90" s="30" t="inlineStr">
        <is>
          <t>engineering</t>
        </is>
      </c>
      <c r="G90" s="30" t="inlineStr">
        <is>
          <t>smallcap</t>
        </is>
      </c>
      <c r="H90" s="31" t="n">
        <v>535.77</v>
      </c>
      <c r="I90" s="31" t="n">
        <v>280.05</v>
      </c>
      <c r="J90" s="31" t="n">
        <v>4.67</v>
      </c>
      <c r="K90" s="31" t="n">
        <v>68878</v>
      </c>
      <c r="L90" s="30" t="n">
        <v>22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67.81</v>
      </c>
      <c r="P90" s="31" t="n">
        <v>33.11</v>
      </c>
      <c r="Q90" s="31" t="n">
        <v>213.92</v>
      </c>
      <c r="R90" s="30" t="inlineStr">
        <is>
          <t>Volume Spike &amp; Near 52W High Breakout</t>
        </is>
      </c>
      <c r="S90" s="30" t="inlineStr">
        <is>
          <t>Nifty 50</t>
        </is>
      </c>
      <c r="T90" s="31" t="n">
        <v>-6.14</v>
      </c>
      <c r="U90" s="31" t="n">
        <v>8.029999999999999</v>
      </c>
      <c r="V90" s="31" t="n">
        <v>15.09</v>
      </c>
      <c r="W90" s="31" t="n">
        <v>8.039999999999999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IF(B91=0,"",RANK(B91,$B$2:$B$290,0))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SHREEPUSHK</t>
        </is>
      </c>
      <c r="D91" s="30" t="inlineStr">
        <is>
          <t>Shree Pushkar Chemicals &amp; Fertilisers Limited</t>
        </is>
      </c>
      <c r="E91" s="30" t="inlineStr">
        <is>
          <t>chemicals</t>
        </is>
      </c>
      <c r="F91" s="30" t="inlineStr">
        <is>
          <t>dyes and pigments</t>
        </is>
      </c>
      <c r="G91" s="30" t="inlineStr">
        <is>
          <t>smallcap</t>
        </is>
      </c>
      <c r="H91" s="31" t="n">
        <v>1591.5</v>
      </c>
      <c r="I91" s="31" t="n">
        <v>506.05</v>
      </c>
      <c r="J91" s="31" t="n">
        <v>2.82</v>
      </c>
      <c r="K91" s="31" t="n">
        <v>147225</v>
      </c>
      <c r="L91" s="30" t="n">
        <v>29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69.47</v>
      </c>
      <c r="P91" s="31" t="n">
        <v>42.85</v>
      </c>
      <c r="Q91" s="31" t="n">
        <v>380.51</v>
      </c>
      <c r="R91" s="30" t="inlineStr">
        <is>
          <t>Near 52W High Breakout</t>
        </is>
      </c>
      <c r="S91" s="30" t="inlineStr">
        <is>
          <t>Nifty 50</t>
        </is>
      </c>
      <c r="T91" s="31" t="n">
        <v>-6.14</v>
      </c>
      <c r="U91" s="31" t="n">
        <v>16.24</v>
      </c>
      <c r="V91" s="31" t="n">
        <v>23.84</v>
      </c>
      <c r="W91" s="31" t="n">
        <v>10.21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IF(B92=0,"",RANK(B92,$B$2:$B$290,0))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MOTHERSON</t>
        </is>
      </c>
      <c r="D92" s="30" t="inlineStr">
        <is>
          <t>Samvardhana Motherson International Ltd</t>
        </is>
      </c>
      <c r="E92" s="30" t="inlineStr">
        <is>
          <t>auto</t>
        </is>
      </c>
      <c r="F92" s="30" t="inlineStr">
        <is>
          <t>auto ancillaries</t>
        </is>
      </c>
      <c r="G92" s="30" t="inlineStr">
        <is>
          <t>largecap</t>
        </is>
      </c>
      <c r="H92" s="31" t="n">
        <v>171509.69</v>
      </c>
      <c r="I92" s="31" t="n">
        <v>165.71</v>
      </c>
      <c r="J92" s="31" t="n">
        <v>1.98</v>
      </c>
      <c r="K92" s="31" t="n">
        <v>14239797</v>
      </c>
      <c r="L92" s="30" t="inlineStr"/>
      <c r="M92" s="30" t="inlineStr"/>
      <c r="N92" s="31">
        <f>IF(M92="Underperforming",-5,IF(L92&gt;=95,15,IF(L92&gt;=90,10,IF(L92&gt;=80,5,0))))</f>
        <v/>
      </c>
      <c r="O92" s="31" t="n">
        <v>66.59999999999999</v>
      </c>
      <c r="P92" s="31" t="n">
        <v>37.62</v>
      </c>
      <c r="Q92" s="31" t="n">
        <v>143.03</v>
      </c>
      <c r="R92" s="30" t="inlineStr">
        <is>
          <t>Near 52W High Breakout</t>
        </is>
      </c>
      <c r="S92" s="30" t="inlineStr">
        <is>
          <t>Nifty Auto</t>
        </is>
      </c>
      <c r="T92" s="31" t="inlineStr"/>
      <c r="U92" s="31" t="inlineStr"/>
      <c r="V92" s="31" t="inlineStr"/>
      <c r="W92" s="31" t="inlineStr"/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IF(B93=0,"",RANK(B93,$B$2:$B$290,0))</f>
        <v/>
      </c>
      <c r="B93" s="31">
        <f>SUM(N93,Y93,AA93,AC93,AE93,AG93,AI93,AK93,AM93,AO93,AQ93,AS93,AU93,AW93,AY93,BA93,BC93,BE93,BG93,BI93,BK93,BM93,BO93,BQ93,BS93,BU93,BW93,BY93,CA93,CC93,CE93)</f>
        <v/>
      </c>
      <c r="C93" s="32" t="inlineStr">
        <is>
          <t>TREL</t>
        </is>
      </c>
      <c r="D93" s="32" t="inlineStr">
        <is>
          <t>TransIndia Real Estate Ltd</t>
        </is>
      </c>
      <c r="E93" s="30" t="inlineStr">
        <is>
          <t>transportation</t>
        </is>
      </c>
      <c r="F93" s="30" t="inlineStr">
        <is>
          <t>miscellaneous</t>
        </is>
      </c>
      <c r="G93" s="30" t="inlineStr">
        <is>
          <t>smallcap</t>
        </is>
      </c>
      <c r="H93" s="31" t="n">
        <v>683.03</v>
      </c>
      <c r="I93" s="31" t="n">
        <v>28.32</v>
      </c>
      <c r="J93" s="31" t="n">
        <v>1.87</v>
      </c>
      <c r="K93" s="31" t="n">
        <v>116098</v>
      </c>
      <c r="L93" s="30" t="n">
        <v>1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57.27</v>
      </c>
      <c r="P93" s="31" t="n">
        <v>20.67</v>
      </c>
      <c r="Q93" s="31" t="n">
        <v>21.53</v>
      </c>
      <c r="R93" s="30" t="inlineStr">
        <is>
          <t>Volume Spike / Accumulation</t>
        </is>
      </c>
      <c r="S93" s="30" t="inlineStr">
        <is>
          <t>Nifty 50</t>
        </is>
      </c>
      <c r="T93" s="31" t="n">
        <v>-6.14</v>
      </c>
      <c r="U93" s="31" t="n">
        <v>-11.36</v>
      </c>
      <c r="V93" s="31" t="n">
        <v>-5.56</v>
      </c>
      <c r="W93" s="31" t="n">
        <v>-0.61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IF(B94=0,"",RANK(B94,$B$2:$B$290,0))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WENDT</t>
        </is>
      </c>
      <c r="D94" s="30" t="inlineStr">
        <is>
          <t>Wendt (india) Limited</t>
        </is>
      </c>
      <c r="E94" s="30" t="inlineStr">
        <is>
          <t>industrials</t>
        </is>
      </c>
      <c r="F94" s="30" t="inlineStr">
        <is>
          <t>abrasives and grinding wheels</t>
        </is>
      </c>
      <c r="G94" s="30" t="inlineStr">
        <is>
          <t>smallcap</t>
        </is>
      </c>
      <c r="H94" s="31" t="n">
        <v>1705.1</v>
      </c>
      <c r="I94" s="31" t="n">
        <v>8646</v>
      </c>
      <c r="J94" s="31" t="n">
        <v>1.41</v>
      </c>
      <c r="K94" s="31" t="n">
        <v>7895</v>
      </c>
      <c r="L94" s="30" t="n">
        <v>8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60.92</v>
      </c>
      <c r="P94" s="31" t="n">
        <v>41.8</v>
      </c>
      <c r="Q94" s="31" t="n">
        <v>7020.66</v>
      </c>
      <c r="R94" s="30" t="inlineStr">
        <is>
          <t>Near 52W High Breakout</t>
        </is>
      </c>
      <c r="S94" s="30" t="inlineStr">
        <is>
          <t>Nifty 50</t>
        </is>
      </c>
      <c r="T94" s="31" t="n">
        <v>-6.14</v>
      </c>
      <c r="U94" s="31" t="n">
        <v>-1.88</v>
      </c>
      <c r="V94" s="31" t="n">
        <v>4.54</v>
      </c>
      <c r="W94" s="31" t="n">
        <v>3.68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Between 1.5 to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IF(B95=0,"",RANK(B95,$B$2:$B$290,0))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TCPLPACK</t>
        </is>
      </c>
      <c r="D95" s="30" t="inlineStr">
        <is>
          <t>TCPL Packaging Ltd</t>
        </is>
      </c>
      <c r="E95" s="30" t="inlineStr">
        <is>
          <t>industrials</t>
        </is>
      </c>
      <c r="F95" s="30" t="inlineStr">
        <is>
          <t>packaging</t>
        </is>
      </c>
      <c r="G95" s="30" t="inlineStr">
        <is>
          <t>smallcap</t>
        </is>
      </c>
      <c r="H95" s="31" t="n">
        <v>3693.51</v>
      </c>
      <c r="I95" s="31" t="n">
        <v>4106.8</v>
      </c>
      <c r="J95" s="31" t="n">
        <v>1.18</v>
      </c>
      <c r="K95" s="31" t="n">
        <v>9656</v>
      </c>
      <c r="L95" s="30" t="n">
        <v>43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67.87</v>
      </c>
      <c r="P95" s="31" t="n">
        <v>45.89</v>
      </c>
      <c r="Q95" s="31" t="n">
        <v>3116.77</v>
      </c>
      <c r="R95" s="30" t="inlineStr">
        <is>
          <t>Near 52W High Breakout</t>
        </is>
      </c>
      <c r="S95" s="30" t="inlineStr">
        <is>
          <t>Nifty 50</t>
        </is>
      </c>
      <c r="T95" s="31" t="n">
        <v>-6.14</v>
      </c>
      <c r="U95" s="31" t="n">
        <v>24.94</v>
      </c>
      <c r="V95" s="31" t="n">
        <v>33.11</v>
      </c>
      <c r="W95" s="31" t="n">
        <v>14.56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Between 0.7 to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IF(B96=0,"",RANK(B96,$B$2:$B$290,0))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NRBBEARING</t>
        </is>
      </c>
      <c r="D96" s="30" t="inlineStr">
        <is>
          <t>Nrb Bearing Limited</t>
        </is>
      </c>
      <c r="E96" s="30" t="inlineStr">
        <is>
          <t>industrials</t>
        </is>
      </c>
      <c r="F96" s="30" t="inlineStr">
        <is>
          <t>bearings</t>
        </is>
      </c>
      <c r="G96" s="30" t="inlineStr">
        <is>
          <t>midcap</t>
        </is>
      </c>
      <c r="H96" s="31" t="n">
        <v>5126.24</v>
      </c>
      <c r="I96" s="31" t="n">
        <v>534.8</v>
      </c>
      <c r="J96" s="31" t="n">
        <v>1.12</v>
      </c>
      <c r="K96" s="31" t="n">
        <v>355143</v>
      </c>
      <c r="L96" s="30" t="n">
        <v>69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74.94</v>
      </c>
      <c r="P96" s="31" t="n">
        <v>50.8</v>
      </c>
      <c r="Q96" s="31" t="n">
        <v>413.1</v>
      </c>
      <c r="R96" s="30" t="inlineStr">
        <is>
          <t>Near 52W High Breakout</t>
        </is>
      </c>
      <c r="S96" s="30" t="inlineStr">
        <is>
          <t>Nifty 50</t>
        </is>
      </c>
      <c r="T96" s="31" t="n">
        <v>-6.14</v>
      </c>
      <c r="U96" s="31" t="n">
        <v>96.40000000000001</v>
      </c>
      <c r="V96" s="31" t="n">
        <v>109.25</v>
      </c>
      <c r="W96" s="31" t="n">
        <v>24.37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Between 12 to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IF(B97=0,"",RANK(B97,$B$2:$B$290,0))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RACLGEAR</t>
        </is>
      </c>
      <c r="D97" s="30" t="inlineStr">
        <is>
          <t>RACL Geartech Ltd</t>
        </is>
      </c>
      <c r="E97" s="30" t="inlineStr">
        <is>
          <t>auto</t>
        </is>
      </c>
      <c r="F97" s="30" t="inlineStr">
        <is>
          <t>auto ancillaries</t>
        </is>
      </c>
      <c r="G97" s="30" t="inlineStr">
        <is>
          <t>smallcap</t>
        </is>
      </c>
      <c r="H97" s="31" t="n">
        <v>1980.16</v>
      </c>
      <c r="I97" s="31" t="n">
        <v>1686.5</v>
      </c>
      <c r="J97" s="31" t="n">
        <v>0.4</v>
      </c>
      <c r="K97" s="31" t="n">
        <v>24872</v>
      </c>
      <c r="L97" s="30" t="inlineStr"/>
      <c r="M97" s="30" t="inlineStr"/>
      <c r="N97" s="31">
        <f>IF(M97="Underperforming",-5,IF(L97&gt;=95,15,IF(L97&gt;=90,10,IF(L97&gt;=80,5,0))))</f>
        <v/>
      </c>
      <c r="O97" s="31" t="n">
        <v>63.74</v>
      </c>
      <c r="P97" s="31" t="n">
        <v>53.41</v>
      </c>
      <c r="Q97" s="31" t="n">
        <v>1244.35</v>
      </c>
      <c r="R97" s="30" t="inlineStr">
        <is>
          <t>Near 52W High Breakout</t>
        </is>
      </c>
      <c r="S97" s="30" t="inlineStr">
        <is>
          <t>Nifty Auto</t>
        </is>
      </c>
      <c r="T97" s="31" t="inlineStr"/>
      <c r="U97" s="31" t="inlineStr"/>
      <c r="V97" s="31" t="inlineStr"/>
      <c r="W97" s="31" t="inlineStr"/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Less than 12%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IF(B98=0,"",RANK(B98,$B$2:$B$290,0))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FOSECOIND</t>
        </is>
      </c>
      <c r="D98" s="30" t="inlineStr">
        <is>
          <t>Foseco India Limited</t>
        </is>
      </c>
      <c r="E98" s="30" t="inlineStr">
        <is>
          <t>chemicals</t>
        </is>
      </c>
      <c r="F98" s="30" t="inlineStr">
        <is>
          <t>chemicals</t>
        </is>
      </c>
      <c r="G98" s="30" t="inlineStr">
        <is>
          <t>smallcap</t>
        </is>
      </c>
      <c r="H98" s="31" t="n">
        <v>4881.88</v>
      </c>
      <c r="I98" s="31" t="n">
        <v>6468</v>
      </c>
      <c r="J98" s="31" t="n">
        <v>-0.14</v>
      </c>
      <c r="K98" s="31" t="n">
        <v>19496</v>
      </c>
      <c r="L98" s="30" t="n">
        <v>21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66.66</v>
      </c>
      <c r="P98" s="31" t="n">
        <v>33.85</v>
      </c>
      <c r="Q98" s="31" t="n">
        <v>5168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-6.14</v>
      </c>
      <c r="U98" s="31" t="n">
        <v>12.34</v>
      </c>
      <c r="V98" s="31" t="n">
        <v>19.69</v>
      </c>
      <c r="W98" s="31" t="n">
        <v>8.029999999999999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Between 1.5 to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IF(B99=0,"",RANK(B99,$B$2:$B$290,0))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ACE</t>
        </is>
      </c>
      <c r="D99" s="30" t="inlineStr">
        <is>
          <t>Action Construction Equipment Limited</t>
        </is>
      </c>
      <c r="E99" s="30" t="inlineStr">
        <is>
          <t>industrials</t>
        </is>
      </c>
      <c r="F99" s="30" t="inlineStr">
        <is>
          <t>engineering</t>
        </is>
      </c>
      <c r="G99" s="30" t="inlineStr">
        <is>
          <t>midcap</t>
        </is>
      </c>
      <c r="H99" s="31" t="n">
        <v>14778.22</v>
      </c>
      <c r="I99" s="31" t="n">
        <v>1226.6</v>
      </c>
      <c r="J99" s="31" t="n">
        <v>-1.16</v>
      </c>
      <c r="K99" s="31" t="n">
        <v>184368</v>
      </c>
      <c r="L99" s="30" t="n">
        <v>25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72.3</v>
      </c>
      <c r="P99" s="31" t="n">
        <v>38.93</v>
      </c>
      <c r="Q99" s="31" t="n">
        <v>997.71</v>
      </c>
      <c r="R99" s="30" t="inlineStr">
        <is>
          <t>Near 52W High Breakout</t>
        </is>
      </c>
      <c r="S99" s="30" t="inlineStr">
        <is>
          <t>Nifty 50</t>
        </is>
      </c>
      <c r="T99" s="31" t="n">
        <v>-6.14</v>
      </c>
      <c r="U99" s="31" t="n">
        <v>13.77</v>
      </c>
      <c r="V99" s="31" t="n">
        <v>21.22</v>
      </c>
      <c r="W99" s="31" t="n">
        <v>9.09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IF(B100=0,"",RANK(B100,$B$2:$B$290,0))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NOCIL</t>
        </is>
      </c>
      <c r="D100" s="30" t="inlineStr">
        <is>
          <t>Nocil Limited</t>
        </is>
      </c>
      <c r="E100" s="30" t="inlineStr">
        <is>
          <t>chemicals</t>
        </is>
      </c>
      <c r="F100" s="30" t="inlineStr">
        <is>
          <t>chemicals</t>
        </is>
      </c>
      <c r="G100" s="30" t="inlineStr">
        <is>
          <t>smallcap</t>
        </is>
      </c>
      <c r="H100" s="31" t="n">
        <v>3196.86</v>
      </c>
      <c r="I100" s="31" t="n">
        <v>188.41</v>
      </c>
      <c r="J100" s="31" t="n">
        <v>-1.56</v>
      </c>
      <c r="K100" s="31" t="n">
        <v>1112045</v>
      </c>
      <c r="L100" s="30" t="n">
        <v>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60.22</v>
      </c>
      <c r="P100" s="31" t="n">
        <v>27.96</v>
      </c>
      <c r="Q100" s="31" t="n">
        <v>147.99</v>
      </c>
      <c r="R100" s="30" t="inlineStr">
        <is>
          <t>Volume Spike &amp; Near 52W High Breakout</t>
        </is>
      </c>
      <c r="S100" s="30" t="inlineStr">
        <is>
          <t>Nifty 50</t>
        </is>
      </c>
      <c r="T100" s="31" t="n">
        <v>-6.14</v>
      </c>
      <c r="U100" s="31" t="n">
        <v>7.46</v>
      </c>
      <c r="V100" s="31" t="n">
        <v>14.5</v>
      </c>
      <c r="W100" s="31" t="n">
        <v>2.73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IF(B101=0,"",RANK(B101,$B$2:$B$290,0))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TIRUPATIFL</t>
        </is>
      </c>
      <c r="D101" s="30" t="inlineStr">
        <is>
          <t>Tirupati Forge Ltd</t>
        </is>
      </c>
      <c r="E101" s="30" t="inlineStr">
        <is>
          <t>castings, forgings &amp; fasteners</t>
        </is>
      </c>
      <c r="F101" s="30" t="inlineStr">
        <is>
          <t>castings &amp; forgings</t>
        </is>
      </c>
      <c r="G101" s="30" t="inlineStr">
        <is>
          <t>smallcap</t>
        </is>
      </c>
      <c r="H101" s="31" t="n">
        <v>1038.63</v>
      </c>
      <c r="I101" s="31" t="n">
        <v>78.28</v>
      </c>
      <c r="J101" s="31" t="n">
        <v>-1.99</v>
      </c>
      <c r="K101" s="31" t="n">
        <v>66450</v>
      </c>
      <c r="L101" s="30" t="n">
        <v>81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72.78</v>
      </c>
      <c r="P101" s="31" t="n">
        <v>56.5</v>
      </c>
      <c r="Q101" s="31" t="n">
        <v>55.05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-6.14</v>
      </c>
      <c r="U101" s="31" t="n">
        <v>109.59</v>
      </c>
      <c r="V101" s="31" t="n">
        <v>123.3</v>
      </c>
      <c r="W101" s="31" t="n">
        <v>30.68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IF(B102=0,"",RANK(B102,$B$2:$B$290,0))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UNIDT</t>
        </is>
      </c>
      <c r="D102" s="30" t="inlineStr">
        <is>
          <t>United Drilling Tools Ltd</t>
        </is>
      </c>
      <c r="E102" s="30" t="inlineStr">
        <is>
          <t>industrials</t>
        </is>
      </c>
      <c r="F102" s="30" t="inlineStr">
        <is>
          <t>engineering</t>
        </is>
      </c>
      <c r="G102" s="30" t="inlineStr">
        <is>
          <t>smallcap</t>
        </is>
      </c>
      <c r="H102" s="31" t="n">
        <v>527.39</v>
      </c>
      <c r="I102" s="31" t="n">
        <v>241.71</v>
      </c>
      <c r="J102" s="31" t="n">
        <v>-6.95</v>
      </c>
      <c r="K102" s="31" t="n">
        <v>139221</v>
      </c>
      <c r="L102" s="30" t="n">
        <v>26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60.89</v>
      </c>
      <c r="P102" s="31" t="n">
        <v>26.52</v>
      </c>
      <c r="Q102" s="31" t="n">
        <v>169.51</v>
      </c>
      <c r="R102" s="30" t="inlineStr">
        <is>
          <t>Volume Spike &amp; Near 52W High Breakout</t>
        </is>
      </c>
      <c r="S102" s="30" t="inlineStr">
        <is>
          <t>Nifty 50</t>
        </is>
      </c>
      <c r="T102" s="31" t="n">
        <v>-6.14</v>
      </c>
      <c r="U102" s="31" t="n">
        <v>26.6</v>
      </c>
      <c r="V102" s="31" t="n">
        <v>34.88</v>
      </c>
      <c r="W102" s="31" t="n">
        <v>9.109999999999999</v>
      </c>
      <c r="X102" s="30" t="inlineStr">
        <is>
          <t>Cyclical in an Upturn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IF(B103=0,"",RANK(B103,$B$2:$B$290,0))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RPGLIFE</t>
        </is>
      </c>
      <c r="D103" s="30" t="inlineStr">
        <is>
          <t>Rpg Life Sciences Limited</t>
        </is>
      </c>
      <c r="E103" s="30" t="inlineStr">
        <is>
          <t>healthcare</t>
        </is>
      </c>
      <c r="F103" s="30" t="inlineStr">
        <is>
          <t>pharmaceuticals - indian - bulk drugs &amp; formln</t>
        </is>
      </c>
      <c r="G103" s="30" t="inlineStr">
        <is>
          <t>smallcap</t>
        </is>
      </c>
      <c r="H103" s="31" t="n">
        <v>4796.15</v>
      </c>
      <c r="I103" s="31" t="n">
        <v>3050.6</v>
      </c>
      <c r="J103" s="31" t="n">
        <v>5.2</v>
      </c>
      <c r="K103" s="31" t="n">
        <v>111001</v>
      </c>
      <c r="L103" s="30" t="n">
        <v>45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68.02</v>
      </c>
      <c r="P103" s="31" t="n">
        <v>41.6</v>
      </c>
      <c r="Q103" s="31" t="n">
        <v>2345.92</v>
      </c>
      <c r="R103" s="30" t="inlineStr">
        <is>
          <t>Volume Spike &amp; Near 52W High Breakout</t>
        </is>
      </c>
      <c r="S103" s="30" t="inlineStr">
        <is>
          <t>Nifty Pharma</t>
        </is>
      </c>
      <c r="T103" s="31" t="n">
        <v>25.55</v>
      </c>
      <c r="U103" s="31" t="n">
        <v>33.64</v>
      </c>
      <c r="V103" s="31" t="n">
        <v>6.44</v>
      </c>
      <c r="W103" s="31" t="n">
        <v>14.83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Yes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Annuity, Lower One Time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IF(B104=0,"",RANK(B104,$B$2:$B$290,0))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SUBEXLTD</t>
        </is>
      </c>
      <c r="D104" s="30" t="inlineStr">
        <is>
          <t>Subex Ltd</t>
        </is>
      </c>
      <c r="E104" s="30" t="inlineStr">
        <is>
          <t>i.t</t>
        </is>
      </c>
      <c r="F104" s="30" t="inlineStr">
        <is>
          <t>computers - software - medium / small</t>
        </is>
      </c>
      <c r="G104" s="30" t="inlineStr">
        <is>
          <t>smallcap</t>
        </is>
      </c>
      <c r="H104" s="31" t="n">
        <v>1163.91</v>
      </c>
      <c r="I104" s="31" t="n">
        <v>21.41</v>
      </c>
      <c r="J104" s="31" t="n">
        <v>3.38</v>
      </c>
      <c r="K104" s="31" t="n">
        <v>14283273</v>
      </c>
      <c r="L104" s="30" t="n">
        <v>87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75.02</v>
      </c>
      <c r="P104" s="31" t="n">
        <v>44.21</v>
      </c>
      <c r="Q104" s="31" t="n">
        <v>15.25</v>
      </c>
      <c r="R104" s="30" t="inlineStr">
        <is>
          <t>Volume Spike &amp; Near 52W High Breakout</t>
        </is>
      </c>
      <c r="S104" s="30" t="inlineStr">
        <is>
          <t>Nifty IT</t>
        </is>
      </c>
      <c r="T104" s="31" t="n">
        <v>-16.44</v>
      </c>
      <c r="U104" s="31" t="n">
        <v>78.56999999999999</v>
      </c>
      <c r="V104" s="31" t="n">
        <v>113.7</v>
      </c>
      <c r="W104" s="31" t="n">
        <v>37.76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Annuity, Lower One Time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Between 12 to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IF(B105=0,"",RANK(B105,$B$2:$B$290,0))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VADILALIND</t>
        </is>
      </c>
      <c r="D105" s="30" t="inlineStr">
        <is>
          <t>Vadilal Industries Limited</t>
        </is>
      </c>
      <c r="E105" s="30" t="inlineStr">
        <is>
          <t>fmcg</t>
        </is>
      </c>
      <c r="F105" s="30" t="inlineStr">
        <is>
          <t>food - processing - indian</t>
        </is>
      </c>
      <c r="G105" s="30" t="inlineStr">
        <is>
          <t>midcap</t>
        </is>
      </c>
      <c r="H105" s="31" t="n">
        <v>5328.7</v>
      </c>
      <c r="I105" s="31" t="n">
        <v>7534.5</v>
      </c>
      <c r="J105" s="31" t="n">
        <v>1.63</v>
      </c>
      <c r="K105" s="31" t="n">
        <v>6174</v>
      </c>
      <c r="L105" s="30" t="inlineStr"/>
      <c r="M105" s="30" t="inlineStr"/>
      <c r="N105" s="31">
        <f>IF(M105="Underperforming",-5,IF(L105&gt;=95,15,IF(L105&gt;=90,10,IF(L105&gt;=80,5,0))))</f>
        <v/>
      </c>
      <c r="O105" s="31" t="n">
        <v>65.33</v>
      </c>
      <c r="P105" s="31" t="n">
        <v>52.94</v>
      </c>
      <c r="Q105" s="31" t="n">
        <v>6152.44</v>
      </c>
      <c r="R105" s="30" t="inlineStr">
        <is>
          <t>Near 52W High Breakout</t>
        </is>
      </c>
      <c r="S105" s="30" t="inlineStr">
        <is>
          <t>Nifty FMCG</t>
        </is>
      </c>
      <c r="T105" s="31" t="inlineStr"/>
      <c r="U105" s="31" t="inlineStr"/>
      <c r="V105" s="31" t="inlineStr"/>
      <c r="W105" s="31" t="inlineStr"/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B2C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Annuity, Lower One Time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Negative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IF(B106=0,"",RANK(B106,$B$2:$B$290,0))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2" t="inlineStr">
        <is>
          <t>SOLARA</t>
        </is>
      </c>
      <c r="D106" s="32" t="inlineStr">
        <is>
          <t>Solara Active Pharma Sciences Ltd</t>
        </is>
      </c>
      <c r="E106" s="30" t="inlineStr">
        <is>
          <t>healthcare</t>
        </is>
      </c>
      <c r="F106" s="30" t="inlineStr">
        <is>
          <t>pharmaceuticals - indian - bulk drugs &amp; formln</t>
        </is>
      </c>
      <c r="G106" s="30" t="inlineStr">
        <is>
          <t>smallcap</t>
        </is>
      </c>
      <c r="H106" s="31" t="n">
        <v>3509.17</v>
      </c>
      <c r="I106" s="31" t="n">
        <v>739.15</v>
      </c>
      <c r="J106" s="31" t="n">
        <v>1.62</v>
      </c>
      <c r="K106" s="31" t="n">
        <v>287888</v>
      </c>
      <c r="L106" s="30" t="n">
        <v>37</v>
      </c>
      <c r="M106" s="30" t="inlineStr">
        <is>
          <t>Underperforming</t>
        </is>
      </c>
      <c r="N106" s="31">
        <f>IF(M106="Underperforming",-5,IF(L106&gt;=95,15,IF(L106&gt;=90,10,IF(L106&gt;=80,5,0))))</f>
        <v/>
      </c>
      <c r="O106" s="31" t="n">
        <v>70.23</v>
      </c>
      <c r="P106" s="31" t="n">
        <v>31.51</v>
      </c>
      <c r="Q106" s="31" t="n">
        <v>559.16</v>
      </c>
      <c r="R106" s="30" t="inlineStr">
        <is>
          <t>Near 52W High Breakout</t>
        </is>
      </c>
      <c r="S106" s="30" t="inlineStr">
        <is>
          <t>Nifty Pharma</t>
        </is>
      </c>
      <c r="T106" s="31" t="n">
        <v>25.55</v>
      </c>
      <c r="U106" s="31" t="n">
        <v>20.13</v>
      </c>
      <c r="V106" s="31" t="n">
        <v>-4.32</v>
      </c>
      <c r="W106" s="31" t="n">
        <v>11.72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IF(B107=0,"",RANK(B107,$B$2:$B$290,0))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2" t="inlineStr">
        <is>
          <t>AARTIPHARM</t>
        </is>
      </c>
      <c r="D107" s="32" t="inlineStr">
        <is>
          <t>Aarti Pharmalabs Ltd</t>
        </is>
      </c>
      <c r="E107" s="30" t="inlineStr">
        <is>
          <t>healthcare</t>
        </is>
      </c>
      <c r="F107" s="30" t="inlineStr">
        <is>
          <t>pharmaceuticals - indian - bulk drugs &amp; formln</t>
        </is>
      </c>
      <c r="G107" s="30" t="inlineStr">
        <is>
          <t>midcap</t>
        </is>
      </c>
      <c r="H107" s="31" t="n">
        <v>8471.76</v>
      </c>
      <c r="I107" s="31" t="n">
        <v>939.55</v>
      </c>
      <c r="J107" s="31" t="n">
        <v>0.57</v>
      </c>
      <c r="K107" s="31" t="n">
        <v>675198</v>
      </c>
      <c r="L107" s="30" t="n">
        <v>36</v>
      </c>
      <c r="M107" s="30" t="inlineStr">
        <is>
          <t>Underperforming</t>
        </is>
      </c>
      <c r="N107" s="31">
        <f>IF(M107="Underperforming",-5,IF(L107&gt;=95,15,IF(L107&gt;=90,10,IF(L107&gt;=80,5,0))))</f>
        <v/>
      </c>
      <c r="O107" s="31" t="n">
        <v>69.13</v>
      </c>
      <c r="P107" s="31" t="n">
        <v>22.58</v>
      </c>
      <c r="Q107" s="31" t="n">
        <v>713.99</v>
      </c>
      <c r="R107" s="30" t="inlineStr">
        <is>
          <t>Volume Spike &amp; Near 52W High Breakout</t>
        </is>
      </c>
      <c r="S107" s="30" t="inlineStr">
        <is>
          <t>Nifty Pharma</t>
        </is>
      </c>
      <c r="T107" s="31" t="n">
        <v>25.55</v>
      </c>
      <c r="U107" s="31" t="n">
        <v>14.53</v>
      </c>
      <c r="V107" s="31" t="n">
        <v>-8.779999999999999</v>
      </c>
      <c r="W107" s="31" t="n">
        <v>11.69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Yes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IF(B108=0,"",RANK(B108,$B$2:$B$290,0))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AKUMS</t>
        </is>
      </c>
      <c r="D108" s="30" t="inlineStr">
        <is>
          <t>Akums Drugs &amp; Pharmaceuticals Ltd</t>
        </is>
      </c>
      <c r="E108" s="30" t="inlineStr">
        <is>
          <t>healthcare</t>
        </is>
      </c>
      <c r="F108" s="30" t="inlineStr">
        <is>
          <t>pharmaceuticals - indian - bulk drugs &amp; formln</t>
        </is>
      </c>
      <c r="G108" s="30" t="inlineStr">
        <is>
          <t>midcap</t>
        </is>
      </c>
      <c r="H108" s="31" t="n">
        <v>12868.53</v>
      </c>
      <c r="I108" s="31" t="n">
        <v>819.55</v>
      </c>
      <c r="J108" s="31" t="n">
        <v>0.24</v>
      </c>
      <c r="K108" s="31" t="n">
        <v>152812</v>
      </c>
      <c r="L108" s="30" t="n">
        <v>63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77.48999999999999</v>
      </c>
      <c r="P108" s="31" t="n">
        <v>64.11</v>
      </c>
      <c r="Q108" s="31" t="n">
        <v>670.9400000000001</v>
      </c>
      <c r="R108" s="30" t="inlineStr">
        <is>
          <t>Near 52W High Breakout</t>
        </is>
      </c>
      <c r="S108" s="30" t="inlineStr">
        <is>
          <t>Nifty Pharma</t>
        </is>
      </c>
      <c r="T108" s="31" t="n">
        <v>25.55</v>
      </c>
      <c r="U108" s="31" t="n">
        <v>84.36</v>
      </c>
      <c r="V108" s="31" t="n">
        <v>46.83</v>
      </c>
      <c r="W108" s="31" t="n">
        <v>20.99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Yes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IF(B109=0,"",RANK(B109,$B$2:$B$290,0))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2" t="inlineStr">
        <is>
          <t>SYNCOMF</t>
        </is>
      </c>
      <c r="D109" s="32" t="inlineStr">
        <is>
          <t>Syncom Formulations (India) Ltd</t>
        </is>
      </c>
      <c r="E109" s="30" t="inlineStr">
        <is>
          <t>healthcare</t>
        </is>
      </c>
      <c r="F109" s="30" t="inlineStr">
        <is>
          <t>pharmaceuticals - indian - bulk drugs &amp; formln</t>
        </is>
      </c>
      <c r="G109" s="30" t="inlineStr">
        <is>
          <t>smallcap</t>
        </is>
      </c>
      <c r="H109" s="31" t="n">
        <v>1882.82</v>
      </c>
      <c r="I109" s="31" t="n">
        <v>20.05</v>
      </c>
      <c r="J109" s="31" t="n">
        <v>0.1</v>
      </c>
      <c r="K109" s="31" t="n">
        <v>7105116</v>
      </c>
      <c r="L109" s="30" t="n">
        <v>48</v>
      </c>
      <c r="M109" s="30" t="inlineStr">
        <is>
          <t>Underperforming</t>
        </is>
      </c>
      <c r="N109" s="31">
        <f>IF(M109="Underperforming",-5,IF(L109&gt;=95,15,IF(L109&gt;=90,10,IF(L109&gt;=80,5,0))))</f>
        <v/>
      </c>
      <c r="O109" s="31" t="n">
        <v>71.23</v>
      </c>
      <c r="P109" s="31" t="n">
        <v>30.74</v>
      </c>
      <c r="Q109" s="31" t="n">
        <v>14.86</v>
      </c>
      <c r="R109" s="30" t="inlineStr">
        <is>
          <t>Near 52W High Breakout</t>
        </is>
      </c>
      <c r="S109" s="30" t="inlineStr">
        <is>
          <t>Nifty Pharma</t>
        </is>
      </c>
      <c r="T109" s="31" t="n">
        <v>25.55</v>
      </c>
      <c r="U109" s="31" t="n">
        <v>21.45</v>
      </c>
      <c r="V109" s="31" t="n">
        <v>-3.27</v>
      </c>
      <c r="W109" s="31" t="n">
        <v>15.98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Yes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IF(B110=0,"",RANK(B110,$B$2:$B$290,0))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2" t="inlineStr">
        <is>
          <t>LALPATHLAB</t>
        </is>
      </c>
      <c r="D110" s="32" t="inlineStr">
        <is>
          <t>Dr. Lal Path Labs Ltd.</t>
        </is>
      </c>
      <c r="E110" s="30" t="inlineStr">
        <is>
          <t>healthcare</t>
        </is>
      </c>
      <c r="F110" s="30" t="inlineStr">
        <is>
          <t>healthcare</t>
        </is>
      </c>
      <c r="G110" s="30" t="inlineStr">
        <is>
          <t>largecap</t>
        </is>
      </c>
      <c r="H110" s="31" t="n">
        <v>32878.8</v>
      </c>
      <c r="I110" s="31" t="n">
        <v>1952.3</v>
      </c>
      <c r="J110" s="31" t="n">
        <v>-0.46</v>
      </c>
      <c r="K110" s="31" t="n">
        <v>452137</v>
      </c>
      <c r="L110" s="30" t="n">
        <v>22</v>
      </c>
      <c r="M110" s="30" t="inlineStr">
        <is>
          <t>Underperforming</t>
        </is>
      </c>
      <c r="N110" s="31">
        <f>IF(M110="Underperforming",-5,IF(L110&gt;=95,15,IF(L110&gt;=90,10,IF(L110&gt;=80,5,0))))</f>
        <v/>
      </c>
      <c r="O110" s="31" t="n">
        <v>69.66</v>
      </c>
      <c r="P110" s="31" t="n">
        <v>46.53</v>
      </c>
      <c r="Q110" s="31" t="n">
        <v>1632.9</v>
      </c>
      <c r="R110" s="30" t="inlineStr">
        <is>
          <t>Near 52W High Breakout</t>
        </is>
      </c>
      <c r="S110" s="30" t="inlineStr">
        <is>
          <t>Nifty Pharma</t>
        </is>
      </c>
      <c r="T110" s="31" t="n">
        <v>25.55</v>
      </c>
      <c r="U110" s="31" t="n">
        <v>23.43</v>
      </c>
      <c r="V110" s="31" t="n">
        <v>-1.69</v>
      </c>
      <c r="W110" s="31" t="n">
        <v>8.449999999999999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Yes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Annuity, Lower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IF(B111=0,"",RANK(B111,$B$2:$B$290,0))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EMUDHRA</t>
        </is>
      </c>
      <c r="D111" s="30" t="inlineStr">
        <is>
          <t>eMudhra Ltd</t>
        </is>
      </c>
      <c r="E111" s="30" t="inlineStr">
        <is>
          <t>i.t</t>
        </is>
      </c>
      <c r="F111" s="30" t="inlineStr">
        <is>
          <t>computers - software - medium / small</t>
        </is>
      </c>
      <c r="G111" s="30" t="inlineStr">
        <is>
          <t>midcap</t>
        </is>
      </c>
      <c r="H111" s="31" t="n">
        <v>5460.6</v>
      </c>
      <c r="I111" s="31" t="n">
        <v>653.45</v>
      </c>
      <c r="J111" s="31" t="n">
        <v>-0.9</v>
      </c>
      <c r="K111" s="31" t="n">
        <v>409910</v>
      </c>
      <c r="L111" s="30" t="n">
        <v>42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68.14</v>
      </c>
      <c r="P111" s="31" t="n">
        <v>26.01</v>
      </c>
      <c r="Q111" s="31" t="n">
        <v>496.37</v>
      </c>
      <c r="R111" s="30" t="inlineStr">
        <is>
          <t>Near 52W High Breakout</t>
        </is>
      </c>
      <c r="S111" s="30" t="inlineStr">
        <is>
          <t>Nifty IT</t>
        </is>
      </c>
      <c r="T111" s="31" t="n">
        <v>-16.44</v>
      </c>
      <c r="U111" s="31" t="n">
        <v>3.63</v>
      </c>
      <c r="V111" s="31" t="n">
        <v>24.02</v>
      </c>
      <c r="W111" s="31" t="n">
        <v>14.11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Annuity, Lower One Time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Between 1.5 to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IF(B112=0,"",RANK(B112,$B$2:$B$290,0))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WELCORP</t>
        </is>
      </c>
      <c r="D112" s="30" t="inlineStr">
        <is>
          <t>Welspun Corp Limited</t>
        </is>
      </c>
      <c r="E112" s="30" t="inlineStr">
        <is>
          <t>industrials</t>
        </is>
      </c>
      <c r="F112" s="30" t="inlineStr">
        <is>
          <t>steel - large</t>
        </is>
      </c>
      <c r="G112" s="30" t="inlineStr">
        <is>
          <t>largecap</t>
        </is>
      </c>
      <c r="H112" s="31" t="n">
        <v>71017.72</v>
      </c>
      <c r="I112" s="31" t="n">
        <v>2832.4</v>
      </c>
      <c r="J112" s="31" t="n">
        <v>5.21</v>
      </c>
      <c r="K112" s="31" t="n">
        <v>2763523</v>
      </c>
      <c r="L112" s="30" t="inlineStr"/>
      <c r="M112" s="30" t="inlineStr"/>
      <c r="N112" s="31">
        <f>IF(M112="Underperforming",-5,IF(L112&gt;=95,15,IF(L112&gt;=90,10,IF(L112&gt;=80,5,0))))</f>
        <v/>
      </c>
      <c r="O112" s="31" t="n">
        <v>94.56999999999999</v>
      </c>
      <c r="P112" s="31" t="n">
        <v>76.34999999999999</v>
      </c>
      <c r="Q112" s="31" t="n">
        <v>2279.8</v>
      </c>
      <c r="R112" s="30" t="inlineStr">
        <is>
          <t>Near 52W High Breakout</t>
        </is>
      </c>
      <c r="S112" s="30" t="inlineStr">
        <is>
          <t>Nifty Metal</t>
        </is>
      </c>
      <c r="T112" s="31" t="inlineStr"/>
      <c r="U112" s="31" t="inlineStr"/>
      <c r="V112" s="31" t="inlineStr"/>
      <c r="W112" s="31" t="inlineStr"/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Above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IF(B113=0,"",RANK(B113,$B$2:$B$290,0))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RBZJEWEL</t>
        </is>
      </c>
      <c r="D113" s="30" t="inlineStr">
        <is>
          <t>RBZ Jewellers Ltd</t>
        </is>
      </c>
      <c r="E113" s="30" t="inlineStr">
        <is>
          <t>consumer discretionary</t>
        </is>
      </c>
      <c r="F113" s="30" t="inlineStr">
        <is>
          <t>diamond cutting / jewellery</t>
        </is>
      </c>
      <c r="G113" s="30" t="inlineStr">
        <is>
          <t>smallcap</t>
        </is>
      </c>
      <c r="H113" s="31" t="n">
        <v>689.04</v>
      </c>
      <c r="I113" s="31" t="n">
        <v>180.87</v>
      </c>
      <c r="J113" s="31" t="n">
        <v>5</v>
      </c>
      <c r="K113" s="31" t="n">
        <v>63541</v>
      </c>
      <c r="L113" s="30" t="n">
        <v>49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60.95</v>
      </c>
      <c r="P113" s="31" t="n">
        <v>33.09</v>
      </c>
      <c r="Q113" s="31" t="n">
        <v>144.37</v>
      </c>
      <c r="R113" s="30" t="inlineStr">
        <is>
          <t>Earnings / Momentum Support</t>
        </is>
      </c>
      <c r="S113" s="30" t="inlineStr">
        <is>
          <t>Nifty 50</t>
        </is>
      </c>
      <c r="T113" s="31" t="n">
        <v>-6.14</v>
      </c>
      <c r="U113" s="31" t="n">
        <v>35.67</v>
      </c>
      <c r="V113" s="31" t="n">
        <v>44.54</v>
      </c>
      <c r="W113" s="31" t="n">
        <v>16.38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IF(B114=0,"",RANK(B114,$B$2:$B$290,0))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STLNETWORK</t>
        </is>
      </c>
      <c r="D114" s="30" t="inlineStr">
        <is>
          <t>STL Networks Ltd</t>
        </is>
      </c>
      <c r="E114" s="30" t="inlineStr">
        <is>
          <t>telecom-service</t>
        </is>
      </c>
      <c r="F114" s="30" t="inlineStr">
        <is>
          <t>telecommunications - service provider</t>
        </is>
      </c>
      <c r="G114" s="30" t="inlineStr">
        <is>
          <t>smallcap</t>
        </is>
      </c>
      <c r="H114" s="31" t="n">
        <v>2538.49</v>
      </c>
      <c r="I114" s="31" t="n">
        <v>54.61</v>
      </c>
      <c r="J114" s="31" t="n">
        <v>5</v>
      </c>
      <c r="K114" s="31" t="n">
        <v>8981723</v>
      </c>
      <c r="L114" s="30" t="n">
        <v>90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85.86</v>
      </c>
      <c r="P114" s="31" t="n">
        <v>32.03</v>
      </c>
      <c r="Q114" s="31" t="n">
        <v>43.06</v>
      </c>
      <c r="R114" s="30" t="inlineStr">
        <is>
          <t>Volume Spike &amp; Near 52W High Breakout</t>
        </is>
      </c>
      <c r="S114" s="30" t="inlineStr">
        <is>
          <t>Nifty 50</t>
        </is>
      </c>
      <c r="T114" s="31" t="n">
        <v>-6.14</v>
      </c>
      <c r="U114" s="31" t="n">
        <v>81.43000000000001</v>
      </c>
      <c r="V114" s="31" t="n">
        <v>93.3</v>
      </c>
      <c r="W114" s="31" t="n">
        <v>42.65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Oligopoly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Yes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Between 0.7 to 1.2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IF(B115=0,"",RANK(B115,$B$2:$B$290,0))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TATVA</t>
        </is>
      </c>
      <c r="D115" s="30" t="inlineStr">
        <is>
          <t>Tatva Chintan Pharma Chem Ltd</t>
        </is>
      </c>
      <c r="E115" s="30" t="inlineStr">
        <is>
          <t>chemicals</t>
        </is>
      </c>
      <c r="F115" s="30" t="inlineStr">
        <is>
          <t>chemicals</t>
        </is>
      </c>
      <c r="G115" s="30" t="inlineStr">
        <is>
          <t>smallcap</t>
        </is>
      </c>
      <c r="H115" s="31" t="n">
        <v>4043.55</v>
      </c>
      <c r="I115" s="31" t="n">
        <v>1793.2</v>
      </c>
      <c r="J115" s="31" t="n">
        <v>3.74</v>
      </c>
      <c r="K115" s="31" t="n">
        <v>66589</v>
      </c>
      <c r="L115" s="30" t="n">
        <v>72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67.77</v>
      </c>
      <c r="P115" s="31" t="n">
        <v>37.74</v>
      </c>
      <c r="Q115" s="31" t="n">
        <v>1346.16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-6.14</v>
      </c>
      <c r="U115" s="31" t="n">
        <v>77.65000000000001</v>
      </c>
      <c r="V115" s="31" t="n">
        <v>89.28</v>
      </c>
      <c r="W115" s="31" t="n">
        <v>25.02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IF(B116=0,"",RANK(B116,$B$2:$B$290,0))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DMCC</t>
        </is>
      </c>
      <c r="D116" s="30" t="inlineStr">
        <is>
          <t>DMCC Speciality Chemicals Ltd</t>
        </is>
      </c>
      <c r="E116" s="30" t="inlineStr">
        <is>
          <t>chemicals</t>
        </is>
      </c>
      <c r="F116" s="30" t="inlineStr">
        <is>
          <t>chemicals</t>
        </is>
      </c>
      <c r="G116" s="30" t="inlineStr">
        <is>
          <t>smallcap</t>
        </is>
      </c>
      <c r="H116" s="31" t="n">
        <v>735.85</v>
      </c>
      <c r="I116" s="31" t="n">
        <v>305.35</v>
      </c>
      <c r="J116" s="31" t="n">
        <v>3.49</v>
      </c>
      <c r="K116" s="31" t="n">
        <v>122619</v>
      </c>
      <c r="L116" s="30" t="n">
        <v>13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60.31</v>
      </c>
      <c r="P116" s="31" t="n">
        <v>33.97</v>
      </c>
      <c r="Q116" s="31" t="n">
        <v>222.95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-6.14</v>
      </c>
      <c r="U116" s="31" t="n">
        <v>0.6</v>
      </c>
      <c r="V116" s="31" t="n">
        <v>7.18</v>
      </c>
      <c r="W116" s="31" t="n">
        <v>5.56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IF(B117=0,"",RANK(B117,$B$2:$B$290,0))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SOMANYCERA</t>
        </is>
      </c>
      <c r="D117" s="30" t="inlineStr">
        <is>
          <t>Somany Ceramics Limited</t>
        </is>
      </c>
      <c r="E117" s="30" t="inlineStr">
        <is>
          <t>building materials</t>
        </is>
      </c>
      <c r="F117" s="30" t="inlineStr">
        <is>
          <t>ceramics - tiles / sanitaryware</t>
        </is>
      </c>
      <c r="G117" s="30" t="inlineStr">
        <is>
          <t>smallcap</t>
        </is>
      </c>
      <c r="H117" s="31" t="n">
        <v>2468.36</v>
      </c>
      <c r="I117" s="31" t="n">
        <v>618.05</v>
      </c>
      <c r="J117" s="31" t="n">
        <v>2.69</v>
      </c>
      <c r="K117" s="31" t="n">
        <v>272762</v>
      </c>
      <c r="L117" s="30" t="inlineStr"/>
      <c r="M117" s="30" t="inlineStr"/>
      <c r="N117" s="31">
        <f>IF(M117="Underperforming",-5,IF(L117&gt;=95,15,IF(L117&gt;=90,10,IF(L117&gt;=80,5,0))))</f>
        <v/>
      </c>
      <c r="O117" s="31" t="n">
        <v>73</v>
      </c>
      <c r="P117" s="31" t="n">
        <v>33.19</v>
      </c>
      <c r="Q117" s="31" t="n">
        <v>497.04</v>
      </c>
      <c r="R117" s="30" t="inlineStr">
        <is>
          <t>Near 52W High Breakout</t>
        </is>
      </c>
      <c r="S117" s="30" t="inlineStr">
        <is>
          <t>Nifty Infra</t>
        </is>
      </c>
      <c r="T117" s="31" t="inlineStr"/>
      <c r="U117" s="31" t="inlineStr"/>
      <c r="V117" s="31" t="inlineStr"/>
      <c r="W117" s="31" t="inlineStr"/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IF(B118=0,"",RANK(B118,$B$2:$B$290,0))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SANGHVIMOV</t>
        </is>
      </c>
      <c r="D118" s="30" t="inlineStr">
        <is>
          <t>Sanghvi Movers Limited</t>
        </is>
      </c>
      <c r="E118" s="30" t="inlineStr">
        <is>
          <t>miscellaneous</t>
        </is>
      </c>
      <c r="F118" s="30" t="inlineStr">
        <is>
          <t>miscellaneous</t>
        </is>
      </c>
      <c r="G118" s="30" t="inlineStr">
        <is>
          <t>smallcap</t>
        </is>
      </c>
      <c r="H118" s="31" t="n">
        <v>3865.19</v>
      </c>
      <c r="I118" s="31" t="n">
        <v>456</v>
      </c>
      <c r="J118" s="31" t="n">
        <v>2.14</v>
      </c>
      <c r="K118" s="31" t="n">
        <v>269827</v>
      </c>
      <c r="L118" s="30" t="n">
        <v>34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59.15</v>
      </c>
      <c r="P118" s="31" t="n">
        <v>29.96</v>
      </c>
      <c r="Q118" s="31" t="n">
        <v>360.27</v>
      </c>
      <c r="R118" s="30" t="inlineStr">
        <is>
          <t>Earnings / Momentum Support</t>
        </is>
      </c>
      <c r="S118" s="30" t="inlineStr">
        <is>
          <t>Nifty 50</t>
        </is>
      </c>
      <c r="T118" s="31" t="n">
        <v>-6.14</v>
      </c>
      <c r="U118" s="31" t="n">
        <v>25.16</v>
      </c>
      <c r="V118" s="31" t="n">
        <v>33.35</v>
      </c>
      <c r="W118" s="31" t="n">
        <v>11.27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IF(B119=0,"",RANK(B119,$B$2:$B$290,0))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ORIENTCER</t>
        </is>
      </c>
      <c r="D119" s="30" t="inlineStr">
        <is>
          <t>Orient Ceratech Ltd</t>
        </is>
      </c>
      <c r="E119" s="30" t="inlineStr">
        <is>
          <t>building materials</t>
        </is>
      </c>
      <c r="F119" s="30" t="inlineStr">
        <is>
          <t>refractories / intermediates</t>
        </is>
      </c>
      <c r="G119" s="30" t="inlineStr">
        <is>
          <t>smallcap</t>
        </is>
      </c>
      <c r="H119" s="31" t="n">
        <v>560.27</v>
      </c>
      <c r="I119" s="31" t="n">
        <v>47.8</v>
      </c>
      <c r="J119" s="31" t="n">
        <v>2.07</v>
      </c>
      <c r="K119" s="31" t="n">
        <v>31332</v>
      </c>
      <c r="L119" s="30" t="inlineStr"/>
      <c r="M119" s="30" t="inlineStr"/>
      <c r="N119" s="31">
        <f>IF(M119="Underperforming",-5,IF(L119&gt;=95,15,IF(L119&gt;=90,10,IF(L119&gt;=80,5,0))))</f>
        <v/>
      </c>
      <c r="O119" s="31" t="n">
        <v>62.9</v>
      </c>
      <c r="P119" s="31" t="n">
        <v>35.35</v>
      </c>
      <c r="Q119" s="31" t="n">
        <v>35.65</v>
      </c>
      <c r="R119" s="30" t="inlineStr">
        <is>
          <t>Earnings / Momentum Support</t>
        </is>
      </c>
      <c r="S119" s="30" t="inlineStr">
        <is>
          <t>Nifty Infra</t>
        </is>
      </c>
      <c r="T119" s="31" t="inlineStr"/>
      <c r="U119" s="31" t="inlineStr"/>
      <c r="V119" s="31" t="inlineStr"/>
      <c r="W119" s="31" t="inlineStr"/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IF(B120=0,"",RANK(B120,$B$2:$B$290,0))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SANSERA</t>
        </is>
      </c>
      <c r="D120" s="30" t="inlineStr">
        <is>
          <t>Sansera Engineering Ltd</t>
        </is>
      </c>
      <c r="E120" s="30" t="inlineStr">
        <is>
          <t>auto</t>
        </is>
      </c>
      <c r="F120" s="30" t="inlineStr">
        <is>
          <t>auto ancillaries</t>
        </is>
      </c>
      <c r="G120" s="30" t="inlineStr">
        <is>
          <t>largecap</t>
        </is>
      </c>
      <c r="H120" s="31" t="n">
        <v>28740.59</v>
      </c>
      <c r="I120" s="31" t="n">
        <v>4662.4</v>
      </c>
      <c r="J120" s="31" t="n">
        <v>1.23</v>
      </c>
      <c r="K120" s="31" t="n">
        <v>315334</v>
      </c>
      <c r="L120" s="30" t="inlineStr"/>
      <c r="M120" s="30" t="inlineStr"/>
      <c r="N120" s="31">
        <f>IF(M120="Underperforming",-5,IF(L120&gt;=95,15,IF(L120&gt;=90,10,IF(L120&gt;=80,5,0))))</f>
        <v/>
      </c>
      <c r="O120" s="31" t="n">
        <v>85.69</v>
      </c>
      <c r="P120" s="31" t="n">
        <v>67.64</v>
      </c>
      <c r="Q120" s="31" t="n">
        <v>3747.82</v>
      </c>
      <c r="R120" s="30" t="inlineStr">
        <is>
          <t>Volume Spike &amp; Near 52W High Breakout</t>
        </is>
      </c>
      <c r="S120" s="30" t="inlineStr">
        <is>
          <t>Nifty Auto</t>
        </is>
      </c>
      <c r="T120" s="31" t="inlineStr"/>
      <c r="U120" s="31" t="inlineStr"/>
      <c r="V120" s="31" t="inlineStr"/>
      <c r="W120" s="31" t="inlineStr"/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IF(B121=0,"",RANK(B121,$B$2:$B$290,0))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NAZARA</t>
        </is>
      </c>
      <c r="D121" s="30" t="inlineStr">
        <is>
          <t>Nazara Technologies Ltd</t>
        </is>
      </c>
      <c r="E121" s="30" t="inlineStr">
        <is>
          <t>i.t</t>
        </is>
      </c>
      <c r="F121" s="30" t="inlineStr">
        <is>
          <t>telecommunications - service provider</t>
        </is>
      </c>
      <c r="G121" s="30" t="inlineStr">
        <is>
          <t>midcap</t>
        </is>
      </c>
      <c r="H121" s="31" t="n">
        <v>14408.79</v>
      </c>
      <c r="I121" s="31" t="n">
        <v>376.45</v>
      </c>
      <c r="J121" s="31" t="n">
        <v>0.51</v>
      </c>
      <c r="K121" s="31" t="n">
        <v>2396562</v>
      </c>
      <c r="L121" s="30" t="n">
        <v>39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73.98</v>
      </c>
      <c r="P121" s="31" t="n">
        <v>31.94</v>
      </c>
      <c r="Q121" s="31" t="n">
        <v>308.01</v>
      </c>
      <c r="R121" s="30" t="inlineStr">
        <is>
          <t>Near 52W High Breakout</t>
        </is>
      </c>
      <c r="S121" s="30" t="inlineStr">
        <is>
          <t>Nifty IT</t>
        </is>
      </c>
      <c r="T121" s="31" t="n">
        <v>-16.44</v>
      </c>
      <c r="U121" s="31" t="n">
        <v>34.45</v>
      </c>
      <c r="V121" s="31" t="n">
        <v>60.9</v>
      </c>
      <c r="W121" s="31" t="n">
        <v>12.31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Oligopoly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IF(B122=0,"",RANK(B122,$B$2:$B$290,0))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JSWINFRA</t>
        </is>
      </c>
      <c r="D122" s="30" t="inlineStr">
        <is>
          <t>JSW Infrastructure Ltd</t>
        </is>
      </c>
      <c r="E122" s="30" t="inlineStr">
        <is>
          <t>transportation</t>
        </is>
      </c>
      <c r="F122" s="30" t="inlineStr">
        <is>
          <t>miscellaneous</t>
        </is>
      </c>
      <c r="G122" s="30" t="inlineStr">
        <is>
          <t>largecap</t>
        </is>
      </c>
      <c r="H122" s="31" t="n">
        <v>84043.16</v>
      </c>
      <c r="I122" s="31" t="n">
        <v>362.05</v>
      </c>
      <c r="J122" s="31" t="n">
        <v>0.37</v>
      </c>
      <c r="K122" s="31" t="n">
        <v>3920526</v>
      </c>
      <c r="L122" s="30" t="n">
        <v>14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68.41</v>
      </c>
      <c r="P122" s="31" t="n">
        <v>43.36</v>
      </c>
      <c r="Q122" s="31" t="n">
        <v>295.69</v>
      </c>
      <c r="R122" s="30" t="inlineStr">
        <is>
          <t>Volume Spike &amp; Near 52W High Breakout</t>
        </is>
      </c>
      <c r="S122" s="30" t="inlineStr">
        <is>
          <t>Nifty 50</t>
        </is>
      </c>
      <c r="T122" s="31" t="n">
        <v>-6.14</v>
      </c>
      <c r="U122" s="31" t="n">
        <v>12.55</v>
      </c>
      <c r="V122" s="31" t="n">
        <v>19.91</v>
      </c>
      <c r="W122" s="31" t="n">
        <v>5.58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IF(B123=0,"",RANK(B123,$B$2:$B$290,0))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SETL</t>
        </is>
      </c>
      <c r="D123" s="30" t="inlineStr">
        <is>
          <t>Standard Enginnering Technology Ltd</t>
        </is>
      </c>
      <c r="E123" s="30" t="inlineStr">
        <is>
          <t>industrials</t>
        </is>
      </c>
      <c r="F123" s="30" t="inlineStr">
        <is>
          <t>engineering</t>
        </is>
      </c>
      <c r="G123" s="30" t="inlineStr">
        <is>
          <t>midcap</t>
        </is>
      </c>
      <c r="H123" s="31" t="n">
        <v>8035.52</v>
      </c>
      <c r="I123" s="31" t="n">
        <v>402.55</v>
      </c>
      <c r="J123" s="31" t="n">
        <v>-0.06</v>
      </c>
      <c r="K123" s="31" t="n">
        <v>500272</v>
      </c>
      <c r="L123" s="30" t="n">
        <v>94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73.2</v>
      </c>
      <c r="P123" s="31" t="n">
        <v>75.15000000000001</v>
      </c>
      <c r="Q123" s="31" t="n">
        <v>360.8</v>
      </c>
      <c r="R123" s="30" t="inlineStr">
        <is>
          <t>Earnings / Momentum Support</t>
        </is>
      </c>
      <c r="S123" s="30" t="inlineStr">
        <is>
          <t>Nifty 50</t>
        </is>
      </c>
      <c r="T123" s="31" t="n">
        <v>-6.14</v>
      </c>
      <c r="U123" s="31" t="n">
        <v>128.07</v>
      </c>
      <c r="V123" s="31" t="n">
        <v>143</v>
      </c>
      <c r="W123" s="31" t="n">
        <v>45.8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IF(B124=0,"",RANK(B124,$B$2:$B$290,0))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ETERNAL</t>
        </is>
      </c>
      <c r="D124" s="30" t="inlineStr">
        <is>
          <t>Eternal Ltd</t>
        </is>
      </c>
      <c r="E124" s="30" t="inlineStr">
        <is>
          <t>i.t</t>
        </is>
      </c>
      <c r="F124" s="30" t="inlineStr">
        <is>
          <t>miscellaneous</t>
        </is>
      </c>
      <c r="G124" s="30" t="inlineStr">
        <is>
          <t>largecap</t>
        </is>
      </c>
      <c r="H124" s="31" t="n">
        <v>323769.26</v>
      </c>
      <c r="I124" s="31" t="n">
        <v>335</v>
      </c>
      <c r="J124" s="31" t="n">
        <v>-0.15</v>
      </c>
      <c r="K124" s="31" t="n">
        <v>24508361</v>
      </c>
      <c r="L124" s="30" t="n">
        <v>24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68.94</v>
      </c>
      <c r="P124" s="31" t="n">
        <v>28.97</v>
      </c>
      <c r="Q124" s="31" t="n">
        <v>277.56</v>
      </c>
      <c r="R124" s="30" t="inlineStr">
        <is>
          <t>Near 52W High Breakout</t>
        </is>
      </c>
      <c r="S124" s="30" t="inlineStr">
        <is>
          <t>Nifty IT</t>
        </is>
      </c>
      <c r="T124" s="31" t="n">
        <v>-16.44</v>
      </c>
      <c r="U124" s="31" t="n">
        <v>4.36</v>
      </c>
      <c r="V124" s="31" t="n">
        <v>24.9</v>
      </c>
      <c r="W124" s="31" t="n">
        <v>8.51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IF(B125=0,"",RANK(B125,$B$2:$B$290,0))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RUBYMILLS</t>
        </is>
      </c>
      <c r="D125" s="30" t="inlineStr">
        <is>
          <t>The Ruby Mills Limited</t>
        </is>
      </c>
      <c r="E125" s="30" t="inlineStr">
        <is>
          <t>textiles</t>
        </is>
      </c>
      <c r="F125" s="30" t="inlineStr">
        <is>
          <t>textiles - composite</t>
        </is>
      </c>
      <c r="G125" s="30" t="inlineStr">
        <is>
          <t>smallcap</t>
        </is>
      </c>
      <c r="H125" s="31" t="n">
        <v>1653.94</v>
      </c>
      <c r="I125" s="31" t="n">
        <v>491.85</v>
      </c>
      <c r="J125" s="31" t="n">
        <v>-0.5600000000000001</v>
      </c>
      <c r="K125" s="31" t="n">
        <v>13428</v>
      </c>
      <c r="L125" s="30" t="n">
        <v>81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77.8</v>
      </c>
      <c r="P125" s="31" t="n">
        <v>53.2</v>
      </c>
      <c r="Q125" s="31" t="n">
        <v>349.66</v>
      </c>
      <c r="R125" s="30" t="inlineStr">
        <is>
          <t>Volume Spike &amp; Near 52W High Breakout</t>
        </is>
      </c>
      <c r="S125" s="30" t="inlineStr">
        <is>
          <t>Nifty 50</t>
        </is>
      </c>
      <c r="T125" s="31" t="n">
        <v>-6.14</v>
      </c>
      <c r="U125" s="31" t="n">
        <v>123.39</v>
      </c>
      <c r="V125" s="31" t="n">
        <v>138.01</v>
      </c>
      <c r="W125" s="31" t="n">
        <v>30.91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Above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IF(B126=0,"",RANK(B126,$B$2:$B$290,0))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CENTUM</t>
        </is>
      </c>
      <c r="D126" s="30" t="inlineStr">
        <is>
          <t>Centum Electronics Limited</t>
        </is>
      </c>
      <c r="E126" s="30" t="inlineStr">
        <is>
          <t>aerospace &amp; defence</t>
        </is>
      </c>
      <c r="F126" s="30" t="inlineStr">
        <is>
          <t>electronics - components</t>
        </is>
      </c>
      <c r="G126" s="30" t="inlineStr">
        <is>
          <t>midcap</t>
        </is>
      </c>
      <c r="H126" s="31" t="n">
        <v>7139.82</v>
      </c>
      <c r="I126" s="31" t="n">
        <v>4802.3</v>
      </c>
      <c r="J126" s="31" t="n">
        <v>-0.73</v>
      </c>
      <c r="K126" s="31" t="n">
        <v>73380</v>
      </c>
      <c r="L126" s="30" t="n">
        <v>63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76.92</v>
      </c>
      <c r="P126" s="31" t="n">
        <v>52.46</v>
      </c>
      <c r="Q126" s="31" t="n">
        <v>3665.36</v>
      </c>
      <c r="R126" s="30" t="inlineStr">
        <is>
          <t>Volume Spike &amp; Near 52W High Breakout</t>
        </is>
      </c>
      <c r="S126" s="30" t="inlineStr">
        <is>
          <t>Nifty 50</t>
        </is>
      </c>
      <c r="T126" s="31" t="n">
        <v>-6.14</v>
      </c>
      <c r="U126" s="31" t="n">
        <v>83.70999999999999</v>
      </c>
      <c r="V126" s="31" t="n">
        <v>95.73</v>
      </c>
      <c r="W126" s="31" t="n">
        <v>21.01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IF(B127=0,"",RANK(B127,$B$2:$B$290,0))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ACMESOLAR</t>
        </is>
      </c>
      <c r="D127" s="30" t="inlineStr">
        <is>
          <t>ACME Solar Holdings Ltd</t>
        </is>
      </c>
      <c r="E127" s="30" t="inlineStr">
        <is>
          <t>realty</t>
        </is>
      </c>
      <c r="F127" s="30" t="inlineStr">
        <is>
          <t>engineering - turnkey services</t>
        </is>
      </c>
      <c r="G127" s="30" t="inlineStr">
        <is>
          <t>largecap</t>
        </is>
      </c>
      <c r="H127" s="31" t="n">
        <v>31572.54</v>
      </c>
      <c r="I127" s="31" t="n">
        <v>442.9</v>
      </c>
      <c r="J127" s="31" t="n">
        <v>-0.84</v>
      </c>
      <c r="K127" s="31" t="n">
        <v>3082821</v>
      </c>
      <c r="L127" s="30" t="inlineStr"/>
      <c r="M127" s="30" t="inlineStr"/>
      <c r="N127" s="31">
        <f>IF(M127="Underperforming",-5,IF(L127&gt;=95,15,IF(L127&gt;=90,10,IF(L127&gt;=80,5,0))))</f>
        <v/>
      </c>
      <c r="O127" s="31" t="n">
        <v>72.20999999999999</v>
      </c>
      <c r="P127" s="31" t="n">
        <v>52.07</v>
      </c>
      <c r="Q127" s="31" t="n">
        <v>344.49</v>
      </c>
      <c r="R127" s="30" t="inlineStr">
        <is>
          <t>Volume Spike &amp; Near 52W High Breakout</t>
        </is>
      </c>
      <c r="S127" s="30" t="inlineStr">
        <is>
          <t>Nifty Realty</t>
        </is>
      </c>
      <c r="T127" s="31" t="inlineStr"/>
      <c r="U127" s="31" t="inlineStr"/>
      <c r="V127" s="31" t="inlineStr"/>
      <c r="W127" s="31" t="inlineStr"/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More than 1.2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IF(B128=0,"",RANK(B128,$B$2:$B$290,0))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USHAMART</t>
        </is>
      </c>
      <c r="D128" s="30" t="inlineStr">
        <is>
          <t>Usha Martin Limited</t>
        </is>
      </c>
      <c r="E128" s="30" t="inlineStr">
        <is>
          <t>metals &amp; mining</t>
        </is>
      </c>
      <c r="F128" s="30" t="inlineStr">
        <is>
          <t>steel - medium / small</t>
        </is>
      </c>
      <c r="G128" s="30" t="inlineStr">
        <is>
          <t>midcap</t>
        </is>
      </c>
      <c r="H128" s="31" t="n">
        <v>15944.1</v>
      </c>
      <c r="I128" s="31" t="n">
        <v>518.8</v>
      </c>
      <c r="J128" s="31" t="n">
        <v>-0.84</v>
      </c>
      <c r="K128" s="31" t="n">
        <v>404445</v>
      </c>
      <c r="L128" s="30" t="inlineStr"/>
      <c r="M128" s="30" t="inlineStr"/>
      <c r="N128" s="31">
        <f>IF(M128="Underperforming",-5,IF(L128&gt;=95,15,IF(L128&gt;=90,10,IF(L128&gt;=80,5,0))))</f>
        <v/>
      </c>
      <c r="O128" s="31" t="n">
        <v>61.15</v>
      </c>
      <c r="P128" s="31" t="n">
        <v>44.02</v>
      </c>
      <c r="Q128" s="31" t="n">
        <v>418.63</v>
      </c>
      <c r="R128" s="30" t="inlineStr">
        <is>
          <t>Volume Spike &amp; Near 52W High Breakout</t>
        </is>
      </c>
      <c r="S128" s="30" t="inlineStr">
        <is>
          <t>Nifty Metal</t>
        </is>
      </c>
      <c r="T128" s="31" t="inlineStr"/>
      <c r="U128" s="31" t="inlineStr"/>
      <c r="V128" s="31" t="inlineStr"/>
      <c r="W128" s="31" t="inlineStr"/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Cyclical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Volatile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IF(B129=0,"",RANK(B129,$B$2:$B$290,0))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CARBORUNIV</t>
        </is>
      </c>
      <c r="D129" s="30" t="inlineStr">
        <is>
          <t>Carborundum Universal Limited</t>
        </is>
      </c>
      <c r="E129" s="30" t="inlineStr">
        <is>
          <t>industrials</t>
        </is>
      </c>
      <c r="F129" s="30" t="inlineStr">
        <is>
          <t>abrasives and grinding wheels</t>
        </is>
      </c>
      <c r="G129" s="30" t="inlineStr">
        <is>
          <t>largecap</t>
        </is>
      </c>
      <c r="H129" s="31" t="n">
        <v>24697.48</v>
      </c>
      <c r="I129" s="31" t="n">
        <v>1278.5</v>
      </c>
      <c r="J129" s="31" t="n">
        <v>-1.39</v>
      </c>
      <c r="K129" s="31" t="n">
        <v>356177</v>
      </c>
      <c r="L129" s="30" t="n">
        <v>34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67.36</v>
      </c>
      <c r="P129" s="31" t="n">
        <v>46.28</v>
      </c>
      <c r="Q129" s="31" t="n">
        <v>976.7</v>
      </c>
      <c r="R129" s="30" t="inlineStr">
        <is>
          <t>Volume Spike &amp; Near 52W High Breakout</t>
        </is>
      </c>
      <c r="S129" s="30" t="inlineStr">
        <is>
          <t>Nifty 50</t>
        </is>
      </c>
      <c r="T129" s="31" t="n">
        <v>-6.14</v>
      </c>
      <c r="U129" s="31" t="n">
        <v>39.58</v>
      </c>
      <c r="V129" s="31" t="n">
        <v>48.71</v>
      </c>
      <c r="W129" s="31" t="n">
        <v>11.2</v>
      </c>
      <c r="X129" s="30" t="inlineStr">
        <is>
          <t>Cyclical in an Upturn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IF(B130=0,"",RANK(B130,$B$2:$B$290,0))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UNIMECH</t>
        </is>
      </c>
      <c r="D130" s="30" t="inlineStr">
        <is>
          <t>Unimech Aerospace and Manufacturing Ltd</t>
        </is>
      </c>
      <c r="E130" s="30" t="inlineStr">
        <is>
          <t>aerospace &amp; defence</t>
        </is>
      </c>
      <c r="F130" s="30" t="inlineStr">
        <is>
          <t>engineering</t>
        </is>
      </c>
      <c r="G130" s="30" t="inlineStr">
        <is>
          <t>midcap</t>
        </is>
      </c>
      <c r="H130" s="31" t="n">
        <v>8606.51</v>
      </c>
      <c r="I130" s="31" t="n">
        <v>1665.1</v>
      </c>
      <c r="J130" s="31" t="n">
        <v>-1.61</v>
      </c>
      <c r="K130" s="31" t="n">
        <v>138995</v>
      </c>
      <c r="L130" s="30" t="n">
        <v>67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77.45</v>
      </c>
      <c r="P130" s="31" t="n">
        <v>46.17</v>
      </c>
      <c r="Q130" s="31" t="n">
        <v>1248.87</v>
      </c>
      <c r="R130" s="30" t="inlineStr">
        <is>
          <t>Volume Spike &amp; Near 52W High Breakout</t>
        </is>
      </c>
      <c r="S130" s="30" t="inlineStr">
        <is>
          <t>Nifty 50</t>
        </is>
      </c>
      <c r="T130" s="31" t="n">
        <v>-6.14</v>
      </c>
      <c r="U130" s="31" t="n">
        <v>59.65</v>
      </c>
      <c r="V130" s="31" t="n">
        <v>70.09</v>
      </c>
      <c r="W130" s="31" t="n">
        <v>23.24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Above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IF(B131=0,"",RANK(B131,$B$2:$B$290,0))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OPTIEMUS</t>
        </is>
      </c>
      <c r="D131" s="30" t="inlineStr">
        <is>
          <t>Optiemus Infracom Ltd</t>
        </is>
      </c>
      <c r="E131" s="30" t="inlineStr">
        <is>
          <t>telecom</t>
        </is>
      </c>
      <c r="F131" s="30" t="inlineStr">
        <is>
          <t>trading</t>
        </is>
      </c>
      <c r="G131" s="30" t="inlineStr">
        <is>
          <t>midcap</t>
        </is>
      </c>
      <c r="H131" s="31" t="n">
        <v>7046.51</v>
      </c>
      <c r="I131" s="31" t="n">
        <v>758.55</v>
      </c>
      <c r="J131" s="31" t="n">
        <v>-2.94</v>
      </c>
      <c r="K131" s="31" t="n">
        <v>487355</v>
      </c>
      <c r="L131" s="30" t="n">
        <v>65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73.78</v>
      </c>
      <c r="P131" s="31" t="n">
        <v>40.22</v>
      </c>
      <c r="Q131" s="31" t="n">
        <v>558.5</v>
      </c>
      <c r="R131" s="30" t="inlineStr">
        <is>
          <t>Volume Spike &amp; Near 52W High Breakout</t>
        </is>
      </c>
      <c r="S131" s="30" t="inlineStr">
        <is>
          <t>Nifty 50</t>
        </is>
      </c>
      <c r="T131" s="31" t="n">
        <v>-6.14</v>
      </c>
      <c r="U131" s="31" t="n">
        <v>15.53</v>
      </c>
      <c r="V131" s="31" t="n">
        <v>23.09</v>
      </c>
      <c r="W131" s="31" t="n">
        <v>22.4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Oligopoly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IF(B132=0,"",RANK(B132,$B$2:$B$290,0))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ARTEMISMED</t>
        </is>
      </c>
      <c r="D132" s="30" t="inlineStr">
        <is>
          <t>Artemis Medicare Services Ltd</t>
        </is>
      </c>
      <c r="E132" s="30" t="inlineStr">
        <is>
          <t>healthcare</t>
        </is>
      </c>
      <c r="F132" s="30" t="inlineStr">
        <is>
          <t>healthcare</t>
        </is>
      </c>
      <c r="G132" s="30" t="inlineStr">
        <is>
          <t>midcap</t>
        </is>
      </c>
      <c r="H132" s="31" t="n">
        <v>5266.85</v>
      </c>
      <c r="I132" s="31" t="n">
        <v>357.7</v>
      </c>
      <c r="J132" s="31" t="n">
        <v>7.51</v>
      </c>
      <c r="K132" s="31" t="n">
        <v>18980196</v>
      </c>
      <c r="L132" s="30" t="n">
        <v>56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75.03</v>
      </c>
      <c r="P132" s="31" t="n">
        <v>42.7</v>
      </c>
      <c r="Q132" s="31" t="n">
        <v>284.36</v>
      </c>
      <c r="R132" s="30" t="inlineStr">
        <is>
          <t>Volume Spike &amp; Near 52W High Breakout</t>
        </is>
      </c>
      <c r="S132" s="30" t="inlineStr">
        <is>
          <t>Nifty Pharma</t>
        </is>
      </c>
      <c r="T132" s="31" t="n">
        <v>25.55</v>
      </c>
      <c r="U132" s="31" t="n">
        <v>54.43</v>
      </c>
      <c r="V132" s="31" t="n">
        <v>23</v>
      </c>
      <c r="W132" s="31" t="n">
        <v>18.49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Yes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IF(B133=0,"",RANK(B133,$B$2:$B$290,0))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2" t="inlineStr">
        <is>
          <t>ZYDUSLIFE</t>
        </is>
      </c>
      <c r="D133" s="32" t="inlineStr">
        <is>
          <t>Zydus Lifesciences Ltd</t>
        </is>
      </c>
      <c r="E133" s="30" t="inlineStr">
        <is>
          <t>healthcare</t>
        </is>
      </c>
      <c r="F133" s="30" t="inlineStr">
        <is>
          <t>pharmaceuticals - indian - bulk drugs &amp; formln</t>
        </is>
      </c>
      <c r="G133" s="30" t="inlineStr">
        <is>
          <t>largecap</t>
        </is>
      </c>
      <c r="H133" s="31" t="n">
        <v>117735.38</v>
      </c>
      <c r="I133" s="31" t="n">
        <v>1203.9</v>
      </c>
      <c r="J133" s="31" t="n">
        <v>2</v>
      </c>
      <c r="K133" s="31" t="n">
        <v>1991779</v>
      </c>
      <c r="L133" s="30" t="n">
        <v>18</v>
      </c>
      <c r="M133" s="30" t="inlineStr">
        <is>
          <t>Underperforming</t>
        </is>
      </c>
      <c r="N133" s="31">
        <f>IF(M133="Underperforming",-5,IF(L133&gt;=95,15,IF(L133&gt;=90,10,IF(L133&gt;=80,5,0))))</f>
        <v/>
      </c>
      <c r="O133" s="31" t="n">
        <v>65.98</v>
      </c>
      <c r="P133" s="31" t="n">
        <v>41.89</v>
      </c>
      <c r="Q133" s="31" t="n">
        <v>1019.45</v>
      </c>
      <c r="R133" s="30" t="inlineStr">
        <is>
          <t>Near 52W High Breakout</t>
        </is>
      </c>
      <c r="S133" s="30" t="inlineStr">
        <is>
          <t>Nifty Pharma</t>
        </is>
      </c>
      <c r="T133" s="31" t="n">
        <v>25.55</v>
      </c>
      <c r="U133" s="31" t="n">
        <v>23.59</v>
      </c>
      <c r="V133" s="31" t="n">
        <v>-1.57</v>
      </c>
      <c r="W133" s="31" t="n">
        <v>6.7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Yes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Less than 12%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IF(B134=0,"",RANK(B134,$B$2:$B$290,0))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ONEPOINT</t>
        </is>
      </c>
      <c r="D134" s="30" t="inlineStr">
        <is>
          <t>One Point One Solutions Ltd</t>
        </is>
      </c>
      <c r="E134" s="30" t="inlineStr">
        <is>
          <t>i.t</t>
        </is>
      </c>
      <c r="F134" s="30" t="inlineStr">
        <is>
          <t>computers - software - medium / small</t>
        </is>
      </c>
      <c r="G134" s="30" t="inlineStr">
        <is>
          <t>smallcap</t>
        </is>
      </c>
      <c r="H134" s="31" t="n">
        <v>1822.41</v>
      </c>
      <c r="I134" s="31" t="n">
        <v>69.59999999999999</v>
      </c>
      <c r="J134" s="31" t="n">
        <v>0.42</v>
      </c>
      <c r="K134" s="31" t="n">
        <v>5644105</v>
      </c>
      <c r="L134" s="30" t="n">
        <v>50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68.70999999999999</v>
      </c>
      <c r="P134" s="31" t="n">
        <v>13.68</v>
      </c>
      <c r="Q134" s="31" t="n">
        <v>53.48</v>
      </c>
      <c r="R134" s="30" t="inlineStr">
        <is>
          <t>Volume Spike &amp; Near 52W High Breakout</t>
        </is>
      </c>
      <c r="S134" s="30" t="inlineStr">
        <is>
          <t>Nifty IT</t>
        </is>
      </c>
      <c r="T134" s="31" t="n">
        <v>-16.44</v>
      </c>
      <c r="U134" s="31" t="n">
        <v>58.72</v>
      </c>
      <c r="V134" s="31" t="n">
        <v>89.95</v>
      </c>
      <c r="W134" s="31" t="n">
        <v>16.48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0 to 20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IF(B135=0,"",RANK(B135,$B$2:$B$290,0))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ABDL</t>
        </is>
      </c>
      <c r="D135" s="30" t="inlineStr">
        <is>
          <t>Allied Blenders &amp; Distillers Ltd</t>
        </is>
      </c>
      <c r="E135" s="30" t="inlineStr">
        <is>
          <t>fmcg</t>
        </is>
      </c>
      <c r="F135" s="30" t="inlineStr">
        <is>
          <t>breweries &amp; distilleries</t>
        </is>
      </c>
      <c r="G135" s="30" t="inlineStr">
        <is>
          <t>midcap</t>
        </is>
      </c>
      <c r="H135" s="31" t="n">
        <v>19919.56</v>
      </c>
      <c r="I135" s="31" t="n">
        <v>715.05</v>
      </c>
      <c r="J135" s="31" t="n">
        <v>0.41</v>
      </c>
      <c r="K135" s="31" t="n">
        <v>4070753</v>
      </c>
      <c r="L135" s="30" t="inlineStr"/>
      <c r="M135" s="30" t="inlineStr"/>
      <c r="N135" s="31">
        <f>IF(M135="Underperforming",-5,IF(L135&gt;=95,15,IF(L135&gt;=90,10,IF(L135&gt;=80,5,0))))</f>
        <v/>
      </c>
      <c r="O135" s="31" t="n">
        <v>70.12</v>
      </c>
      <c r="P135" s="31" t="n">
        <v>25.37</v>
      </c>
      <c r="Q135" s="31" t="n">
        <v>558.65</v>
      </c>
      <c r="R135" s="30" t="inlineStr">
        <is>
          <t>Volume Spike &amp; Near 52W High Breakout</t>
        </is>
      </c>
      <c r="S135" s="30" t="inlineStr">
        <is>
          <t>Nifty FMCG</t>
        </is>
      </c>
      <c r="T135" s="31" t="inlineStr"/>
      <c r="U135" s="31" t="inlineStr"/>
      <c r="V135" s="31" t="inlineStr"/>
      <c r="W135" s="31" t="inlineStr"/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B2C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IF(B136=0,"",RANK(B136,$B$2:$B$290,0))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SAILIFE</t>
        </is>
      </c>
      <c r="D136" s="30" t="inlineStr">
        <is>
          <t>Sai Life Sciences Ltd</t>
        </is>
      </c>
      <c r="E136" s="30" t="inlineStr">
        <is>
          <t>healthcare</t>
        </is>
      </c>
      <c r="F136" s="30" t="inlineStr">
        <is>
          <t>pharmaceuticals - indian - bulk drugs &amp; formln</t>
        </is>
      </c>
      <c r="G136" s="30" t="inlineStr">
        <is>
          <t>largecap</t>
        </is>
      </c>
      <c r="H136" s="31" t="n">
        <v>33857.5</v>
      </c>
      <c r="I136" s="31" t="n">
        <v>1592.2</v>
      </c>
      <c r="J136" s="31" t="n">
        <v>-0.17</v>
      </c>
      <c r="K136" s="31" t="n">
        <v>265877</v>
      </c>
      <c r="L136" s="30" t="n">
        <v>59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83.94</v>
      </c>
      <c r="P136" s="31" t="n">
        <v>47.42</v>
      </c>
      <c r="Q136" s="31" t="n">
        <v>1319.63</v>
      </c>
      <c r="R136" s="30" t="inlineStr">
        <is>
          <t>Near 52W High Breakout</t>
        </is>
      </c>
      <c r="S136" s="30" t="inlineStr">
        <is>
          <t>Nifty Pharma</t>
        </is>
      </c>
      <c r="T136" s="31" t="n">
        <v>25.55</v>
      </c>
      <c r="U136" s="31" t="n">
        <v>85.48</v>
      </c>
      <c r="V136" s="31" t="n">
        <v>47.73</v>
      </c>
      <c r="W136" s="31" t="n">
        <v>19.81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Above 40</t>
        </is>
      </c>
      <c r="AY136" s="30">
        <f>IF(AX136="Above 40",20,IF(AX136="20 to 40",10,IF(AX136="0 to 20",-5,0)))</f>
        <v/>
      </c>
      <c r="AZ136" s="30" t="inlineStr">
        <is>
          <t>Above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IF(B137=0,"",RANK(B137,$B$2:$B$290,0))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LAURUSLABS</t>
        </is>
      </c>
      <c r="D137" s="30" t="inlineStr">
        <is>
          <t>Laurus Labs Limited</t>
        </is>
      </c>
      <c r="E137" s="30" t="inlineStr">
        <is>
          <t>healthcare</t>
        </is>
      </c>
      <c r="F137" s="30" t="inlineStr">
        <is>
          <t>pharmaceuticals - indian - bulk drugs &amp; formln</t>
        </is>
      </c>
      <c r="G137" s="30" t="inlineStr">
        <is>
          <t>largecap</t>
        </is>
      </c>
      <c r="H137" s="31" t="n">
        <v>109465.37</v>
      </c>
      <c r="I137" s="31" t="n">
        <v>2007</v>
      </c>
      <c r="J137" s="31" t="n">
        <v>-0.95</v>
      </c>
      <c r="K137" s="31" t="n">
        <v>1442142</v>
      </c>
      <c r="L137" s="30" t="n">
        <v>77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77.52</v>
      </c>
      <c r="P137" s="31" t="n">
        <v>74.73999999999999</v>
      </c>
      <c r="Q137" s="31" t="n">
        <v>1708.11</v>
      </c>
      <c r="R137" s="30" t="inlineStr">
        <is>
          <t>Near 52W High Breakout</t>
        </is>
      </c>
      <c r="S137" s="30" t="inlineStr">
        <is>
          <t>Nifty Pharma</t>
        </is>
      </c>
      <c r="T137" s="31" t="n">
        <v>25.55</v>
      </c>
      <c r="U137" s="31" t="n">
        <v>141.58</v>
      </c>
      <c r="V137" s="31" t="n">
        <v>92.41</v>
      </c>
      <c r="W137" s="31" t="n">
        <v>28.83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Yes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Above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IF(B138=0,"",RANK(B138,$B$2:$B$290,0))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CAPLIPOINT</t>
        </is>
      </c>
      <c r="D138" s="30" t="inlineStr">
        <is>
          <t>Caplin Point Laboratories Limited</t>
        </is>
      </c>
      <c r="E138" s="30" t="inlineStr">
        <is>
          <t>healthcare</t>
        </is>
      </c>
      <c r="F138" s="30" t="inlineStr">
        <is>
          <t>pharmaceuticals - indian - formulations</t>
        </is>
      </c>
      <c r="G138" s="30" t="inlineStr">
        <is>
          <t>largecap</t>
        </is>
      </c>
      <c r="H138" s="31" t="n">
        <v>21795.59</v>
      </c>
      <c r="I138" s="31" t="n">
        <v>2835.1</v>
      </c>
      <c r="J138" s="31" t="n">
        <v>-1.13</v>
      </c>
      <c r="K138" s="31" t="n">
        <v>181149</v>
      </c>
      <c r="L138" s="30" t="n">
        <v>39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72.48999999999999</v>
      </c>
      <c r="P138" s="31" t="n">
        <v>38.83</v>
      </c>
      <c r="Q138" s="31" t="n">
        <v>2263.16</v>
      </c>
      <c r="R138" s="30" t="inlineStr">
        <is>
          <t>Volume Spike &amp; Near 52W High Breakout</t>
        </is>
      </c>
      <c r="S138" s="30" t="inlineStr">
        <is>
          <t>Nifty Pharma</t>
        </is>
      </c>
      <c r="T138" s="31" t="n">
        <v>25.55</v>
      </c>
      <c r="U138" s="31" t="n">
        <v>39.68</v>
      </c>
      <c r="V138" s="31" t="n">
        <v>11.25</v>
      </c>
      <c r="W138" s="31" t="n">
        <v>12.63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Between 12 to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IF(B139=0,"",RANK(B139,$B$2:$B$290,0))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YATHARTH</t>
        </is>
      </c>
      <c r="D139" s="30" t="inlineStr">
        <is>
          <t>Yatharth Hospital &amp; Trauma Care Services Ltd</t>
        </is>
      </c>
      <c r="E139" s="30" t="inlineStr">
        <is>
          <t>healthcare</t>
        </is>
      </c>
      <c r="F139" s="30" t="inlineStr">
        <is>
          <t>healthcare</t>
        </is>
      </c>
      <c r="G139" s="30" t="inlineStr">
        <is>
          <t>midcap</t>
        </is>
      </c>
      <c r="H139" s="31" t="n">
        <v>11148.2</v>
      </c>
      <c r="I139" s="31" t="n">
        <v>1121.4</v>
      </c>
      <c r="J139" s="31" t="n">
        <v>-3.08</v>
      </c>
      <c r="K139" s="31" t="n">
        <v>304843</v>
      </c>
      <c r="L139" s="30" t="n">
        <v>47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73.23</v>
      </c>
      <c r="P139" s="31" t="n">
        <v>45.6</v>
      </c>
      <c r="Q139" s="31" t="n">
        <v>906.39</v>
      </c>
      <c r="R139" s="30" t="inlineStr">
        <is>
          <t>Near 52W High Breakout</t>
        </is>
      </c>
      <c r="S139" s="30" t="inlineStr">
        <is>
          <t>Nifty Pharma</t>
        </is>
      </c>
      <c r="T139" s="31" t="n">
        <v>25.55</v>
      </c>
      <c r="U139" s="31" t="n">
        <v>43.61</v>
      </c>
      <c r="V139" s="31" t="n">
        <v>14.38</v>
      </c>
      <c r="W139" s="31" t="n">
        <v>15.97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IF(B140=0,"",RANK(B140,$B$2:$B$290,0))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2" t="inlineStr">
        <is>
          <t>SURAKSHA</t>
        </is>
      </c>
      <c r="D140" s="32" t="inlineStr">
        <is>
          <t>Suraksha Diagnostic Ltd</t>
        </is>
      </c>
      <c r="E140" s="30" t="inlineStr">
        <is>
          <t>healthcare</t>
        </is>
      </c>
      <c r="F140" s="30" t="inlineStr">
        <is>
          <t>healthcare</t>
        </is>
      </c>
      <c r="G140" s="30" t="inlineStr">
        <is>
          <t>smallcap</t>
        </is>
      </c>
      <c r="H140" s="31" t="n">
        <v>1854.08</v>
      </c>
      <c r="I140" s="31" t="n">
        <v>343.3</v>
      </c>
      <c r="J140" s="31" t="n">
        <v>-3.57</v>
      </c>
      <c r="K140" s="31" t="n">
        <v>37699</v>
      </c>
      <c r="L140" s="30" t="n">
        <v>26</v>
      </c>
      <c r="M140" s="30" t="inlineStr">
        <is>
          <t>Underperforming</t>
        </is>
      </c>
      <c r="N140" s="31">
        <f>IF(M140="Underperforming",-5,IF(L140&gt;=95,15,IF(L140&gt;=90,10,IF(L140&gt;=80,5,0))))</f>
        <v/>
      </c>
      <c r="O140" s="31" t="n">
        <v>66.72</v>
      </c>
      <c r="P140" s="31" t="n">
        <v>20.98</v>
      </c>
      <c r="Q140" s="31" t="n">
        <v>266.96</v>
      </c>
      <c r="R140" s="30" t="inlineStr">
        <is>
          <t>Near 52W High Breakout</t>
        </is>
      </c>
      <c r="S140" s="30" t="inlineStr">
        <is>
          <t>Nifty Pharma</t>
        </is>
      </c>
      <c r="T140" s="31" t="n">
        <v>25.55</v>
      </c>
      <c r="U140" s="31" t="n">
        <v>15.2</v>
      </c>
      <c r="V140" s="31" t="n">
        <v>-8.25</v>
      </c>
      <c r="W140" s="31" t="n">
        <v>9.19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Yes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IF(B141=0,"",RANK(B141,$B$2:$B$290,0))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NRAIL</t>
        </is>
      </c>
      <c r="D141" s="30" t="inlineStr">
        <is>
          <t>N R Agarwal Industries Ltd</t>
        </is>
      </c>
      <c r="E141" s="30" t="inlineStr">
        <is>
          <t>building materials</t>
        </is>
      </c>
      <c r="F141" s="30" t="inlineStr">
        <is>
          <t>paper</t>
        </is>
      </c>
      <c r="G141" s="30" t="inlineStr">
        <is>
          <t>smallcap</t>
        </is>
      </c>
      <c r="H141" s="31" t="n">
        <v>1085.39</v>
      </c>
      <c r="I141" s="31" t="n">
        <v>677.25</v>
      </c>
      <c r="J141" s="31" t="n">
        <v>6.19</v>
      </c>
      <c r="K141" s="31" t="n">
        <v>24892</v>
      </c>
      <c r="L141" s="30" t="inlineStr"/>
      <c r="M141" s="30" t="inlineStr"/>
      <c r="N141" s="31">
        <f>IF(M141="Underperforming",-5,IF(L141&gt;=95,15,IF(L141&gt;=90,10,IF(L141&gt;=80,5,0))))</f>
        <v/>
      </c>
      <c r="O141" s="31" t="n">
        <v>72.77</v>
      </c>
      <c r="P141" s="31" t="n">
        <v>38.89</v>
      </c>
      <c r="Q141" s="31" t="n">
        <v>500.03</v>
      </c>
      <c r="R141" s="30" t="inlineStr">
        <is>
          <t>Near 52W High Breakout</t>
        </is>
      </c>
      <c r="S141" s="30" t="inlineStr">
        <is>
          <t>Nifty Infra</t>
        </is>
      </c>
      <c r="T141" s="31" t="inlineStr"/>
      <c r="U141" s="31" t="inlineStr"/>
      <c r="V141" s="31" t="inlineStr"/>
      <c r="W141" s="31" t="inlineStr"/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IF(B142=0,"",RANK(B142,$B$2:$B$290,0))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SPECTRUM</t>
        </is>
      </c>
      <c r="D142" s="30" t="inlineStr">
        <is>
          <t>Spectrum Electrical Industries Ltd</t>
        </is>
      </c>
      <c r="E142" s="30" t="inlineStr">
        <is>
          <t>industrials</t>
        </is>
      </c>
      <c r="F142" s="30" t="inlineStr">
        <is>
          <t>electric equipment</t>
        </is>
      </c>
      <c r="G142" s="30" t="inlineStr">
        <is>
          <t>midcap</t>
        </is>
      </c>
      <c r="H142" s="31" t="n">
        <v>5735.07</v>
      </c>
      <c r="I142" s="31" t="n">
        <v>3518.8</v>
      </c>
      <c r="J142" s="31" t="n">
        <v>4.84</v>
      </c>
      <c r="K142" s="31" t="n">
        <v>16796</v>
      </c>
      <c r="L142" s="30" t="n">
        <v>92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82.51000000000001</v>
      </c>
      <c r="P142" s="31" t="n">
        <v>62.86</v>
      </c>
      <c r="Q142" s="31" t="n">
        <v>2648.74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-6.14</v>
      </c>
      <c r="U142" s="31" t="n">
        <v>156.12</v>
      </c>
      <c r="V142" s="31" t="n">
        <v>172.88</v>
      </c>
      <c r="W142" s="31" t="n">
        <v>44.93</v>
      </c>
      <c r="X142" s="30" t="inlineStr">
        <is>
          <t>Cyclical in an Upturn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Between 0.7 to 1.2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IF(B143=0,"",RANK(B143,$B$2:$B$290,0))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BOSCH-HCIL</t>
        </is>
      </c>
      <c r="D143" s="30" t="inlineStr">
        <is>
          <t>Bosch Home Comfort India Ltd</t>
        </is>
      </c>
      <c r="E143" s="30" t="inlineStr">
        <is>
          <t>consumer discretionary</t>
        </is>
      </c>
      <c r="F143" s="30" t="inlineStr">
        <is>
          <t>air-conditioners</t>
        </is>
      </c>
      <c r="G143" s="30" t="inlineStr">
        <is>
          <t>smallcap</t>
        </is>
      </c>
      <c r="H143" s="31" t="n">
        <v>4704.02</v>
      </c>
      <c r="I143" s="31" t="n">
        <v>1811.6</v>
      </c>
      <c r="J143" s="31" t="n">
        <v>4.72</v>
      </c>
      <c r="K143" s="31" t="n">
        <v>98241</v>
      </c>
      <c r="L143" s="30" t="n">
        <v>28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66.67</v>
      </c>
      <c r="P143" s="31" t="n">
        <v>33.45</v>
      </c>
      <c r="Q143" s="31" t="n">
        <v>1439.68</v>
      </c>
      <c r="R143" s="30" t="inlineStr">
        <is>
          <t>Near 52W High Breakout</t>
        </is>
      </c>
      <c r="S143" s="30" t="inlineStr">
        <is>
          <t>Nifty 50</t>
        </is>
      </c>
      <c r="T143" s="31" t="n">
        <v>-6.14</v>
      </c>
      <c r="U143" s="31" t="n">
        <v>4.61</v>
      </c>
      <c r="V143" s="31" t="n">
        <v>11.45</v>
      </c>
      <c r="W143" s="31" t="n">
        <v>9.77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IF(B144=0,"",RANK(B144,$B$2:$B$290,0))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MVGJL</t>
        </is>
      </c>
      <c r="D144" s="30" t="inlineStr">
        <is>
          <t>Manoj Vaibhav Gems N Jewellers Ltd</t>
        </is>
      </c>
      <c r="E144" s="30" t="inlineStr">
        <is>
          <t>consumer discretionary</t>
        </is>
      </c>
      <c r="F144" s="30" t="inlineStr">
        <is>
          <t>diamond cutting / jewellery</t>
        </is>
      </c>
      <c r="G144" s="30" t="inlineStr">
        <is>
          <t>smallcap</t>
        </is>
      </c>
      <c r="H144" s="31" t="n">
        <v>1049.24</v>
      </c>
      <c r="I144" s="31" t="n">
        <v>224.38</v>
      </c>
      <c r="J144" s="31" t="n">
        <v>4.46</v>
      </c>
      <c r="K144" s="31" t="n">
        <v>903282</v>
      </c>
      <c r="L144" s="30" t="n">
        <v>54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71.79000000000001</v>
      </c>
      <c r="P144" s="31" t="n">
        <v>19.74</v>
      </c>
      <c r="Q144" s="31" t="n">
        <v>162.26</v>
      </c>
      <c r="R144" s="30" t="inlineStr">
        <is>
          <t>Near 52W High Breakout</t>
        </is>
      </c>
      <c r="S144" s="30" t="inlineStr">
        <is>
          <t>Nifty 50</t>
        </is>
      </c>
      <c r="T144" s="31" t="n">
        <v>-6.14</v>
      </c>
      <c r="U144" s="31" t="n">
        <v>17.52</v>
      </c>
      <c r="V144" s="31" t="n">
        <v>25.21</v>
      </c>
      <c r="W144" s="31" t="n">
        <v>17.6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0 to 20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IF(B145=0,"",RANK(B145,$B$2:$B$290,0))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SHREEJISPG</t>
        </is>
      </c>
      <c r="D145" s="30" t="inlineStr">
        <is>
          <t>Shreeji Shipping Global Ltd</t>
        </is>
      </c>
      <c r="E145" s="30" t="inlineStr">
        <is>
          <t>transportation</t>
        </is>
      </c>
      <c r="F145" s="30" t="inlineStr">
        <is>
          <t>shipping</t>
        </is>
      </c>
      <c r="G145" s="30" t="inlineStr">
        <is>
          <t>midcap</t>
        </is>
      </c>
      <c r="H145" s="31" t="n">
        <v>11809.13</v>
      </c>
      <c r="I145" s="31" t="n">
        <v>752.45</v>
      </c>
      <c r="J145" s="31" t="n">
        <v>3.81</v>
      </c>
      <c r="K145" s="31" t="n">
        <v>1197147</v>
      </c>
      <c r="L145" s="30" t="n">
        <v>88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82.17</v>
      </c>
      <c r="P145" s="31" t="n">
        <v>56.35</v>
      </c>
      <c r="Q145" s="31" t="n">
        <v>621.16</v>
      </c>
      <c r="R145" s="30" t="inlineStr">
        <is>
          <t>Near 52W High Breakout</t>
        </is>
      </c>
      <c r="S145" s="30" t="inlineStr">
        <is>
          <t>Nifty 50</t>
        </is>
      </c>
      <c r="T145" s="31" t="n">
        <v>-6.14</v>
      </c>
      <c r="U145" s="31" t="n">
        <v>206.27</v>
      </c>
      <c r="V145" s="31" t="n">
        <v>226.31</v>
      </c>
      <c r="W145" s="31" t="n">
        <v>38.64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Above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IF(B146=0,"",RANK(B146,$B$2:$B$290,0))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CASTROLIND</t>
        </is>
      </c>
      <c r="D146" s="30" t="inlineStr">
        <is>
          <t>Castrol India Limited</t>
        </is>
      </c>
      <c r="E146" s="30" t="inlineStr">
        <is>
          <t>chemicals</t>
        </is>
      </c>
      <c r="F146" s="30" t="inlineStr">
        <is>
          <t>chemicals</t>
        </is>
      </c>
      <c r="G146" s="30" t="inlineStr">
        <is>
          <t>midcap</t>
        </is>
      </c>
      <c r="H146" s="31" t="n">
        <v>19268.1</v>
      </c>
      <c r="I146" s="31" t="n">
        <v>201.67</v>
      </c>
      <c r="J146" s="31" t="n">
        <v>3.53</v>
      </c>
      <c r="K146" s="31" t="n">
        <v>13237379</v>
      </c>
      <c r="L146" s="30" t="n">
        <v>10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75.36</v>
      </c>
      <c r="P146" s="31" t="n">
        <v>38.42</v>
      </c>
      <c r="Q146" s="31" t="n">
        <v>183.99</v>
      </c>
      <c r="R146" s="30" t="inlineStr">
        <is>
          <t>Volume Spike &amp; Near 52W High Breakout</t>
        </is>
      </c>
      <c r="S146" s="30" t="inlineStr">
        <is>
          <t>Nifty 50</t>
        </is>
      </c>
      <c r="T146" s="31" t="n">
        <v>-6.14</v>
      </c>
      <c r="U146" s="31" t="n">
        <v>9.57</v>
      </c>
      <c r="V146" s="31" t="n">
        <v>16.74</v>
      </c>
      <c r="W146" s="31" t="n">
        <v>4.54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Above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IF(B147=0,"",RANK(B147,$B$2:$B$290,0))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JGCHEM</t>
        </is>
      </c>
      <c r="D147" s="30" t="inlineStr">
        <is>
          <t>J.G.Chemicals Ltd</t>
        </is>
      </c>
      <c r="E147" s="30" t="inlineStr">
        <is>
          <t>chemicals</t>
        </is>
      </c>
      <c r="F147" s="30" t="inlineStr">
        <is>
          <t>chemicals</t>
        </is>
      </c>
      <c r="G147" s="30" t="inlineStr">
        <is>
          <t>smallcap</t>
        </is>
      </c>
      <c r="H147" s="31" t="n">
        <v>2358.02</v>
      </c>
      <c r="I147" s="31" t="n">
        <v>620.1</v>
      </c>
      <c r="J147" s="31" t="n">
        <v>3.05</v>
      </c>
      <c r="K147" s="31" t="n">
        <v>245613</v>
      </c>
      <c r="L147" s="30" t="n">
        <v>63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70.16</v>
      </c>
      <c r="P147" s="31" t="n">
        <v>44.11</v>
      </c>
      <c r="Q147" s="31" t="n">
        <v>489.35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-6.14</v>
      </c>
      <c r="U147" s="31" t="n">
        <v>51.7</v>
      </c>
      <c r="V147" s="31" t="n">
        <v>61.63</v>
      </c>
      <c r="W147" s="31" t="n">
        <v>21.07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IF(B148=0,"",RANK(B148,$B$2:$B$290,0))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AYMSYNTEX</t>
        </is>
      </c>
      <c r="D148" s="30" t="inlineStr">
        <is>
          <t>Aym Syntex Limited</t>
        </is>
      </c>
      <c r="E148" s="30" t="inlineStr">
        <is>
          <t>textiles</t>
        </is>
      </c>
      <c r="F148" s="30" t="inlineStr">
        <is>
          <t>textiles - processing</t>
        </is>
      </c>
      <c r="G148" s="30" t="inlineStr">
        <is>
          <t>smallcap</t>
        </is>
      </c>
      <c r="H148" s="31" t="n">
        <v>1676.27</v>
      </c>
      <c r="I148" s="31" t="n">
        <v>293.95</v>
      </c>
      <c r="J148" s="31" t="n">
        <v>3</v>
      </c>
      <c r="K148" s="31" t="n">
        <v>65234</v>
      </c>
      <c r="L148" s="30" t="n">
        <v>54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63</v>
      </c>
      <c r="P148" s="31" t="n">
        <v>48.95</v>
      </c>
      <c r="Q148" s="31" t="n">
        <v>214.51</v>
      </c>
      <c r="R148" s="30" t="inlineStr">
        <is>
          <t>Earnings / Momentum Support</t>
        </is>
      </c>
      <c r="S148" s="30" t="inlineStr">
        <is>
          <t>Nifty 50</t>
        </is>
      </c>
      <c r="T148" s="31" t="n">
        <v>-6.14</v>
      </c>
      <c r="U148" s="31" t="n">
        <v>50.85</v>
      </c>
      <c r="V148" s="31" t="n">
        <v>60.72</v>
      </c>
      <c r="W148" s="31" t="n">
        <v>17.54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IF(B149=0,"",RANK(B149,$B$2:$B$290,0))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JASH</t>
        </is>
      </c>
      <c r="D149" s="30" t="inlineStr">
        <is>
          <t>Jash Engineering Ltd</t>
        </is>
      </c>
      <c r="E149" s="30" t="inlineStr">
        <is>
          <t>industrials</t>
        </is>
      </c>
      <c r="F149" s="30" t="inlineStr">
        <is>
          <t>engineering</t>
        </is>
      </c>
      <c r="G149" s="30" t="inlineStr">
        <is>
          <t>smallcap</t>
        </is>
      </c>
      <c r="H149" s="31" t="n">
        <v>3647.23</v>
      </c>
      <c r="I149" s="31" t="n">
        <v>593.85</v>
      </c>
      <c r="J149" s="31" t="n">
        <v>2.89</v>
      </c>
      <c r="K149" s="31" t="n">
        <v>322251</v>
      </c>
      <c r="L149" s="30" t="n">
        <v>24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69.98</v>
      </c>
      <c r="P149" s="31" t="n">
        <v>21.44</v>
      </c>
      <c r="Q149" s="31" t="n">
        <v>462.35</v>
      </c>
      <c r="R149" s="30" t="inlineStr">
        <is>
          <t>Volume Spike &amp; Near 52W High Breakout</t>
        </is>
      </c>
      <c r="S149" s="30" t="inlineStr">
        <is>
          <t>Nifty 50</t>
        </is>
      </c>
      <c r="T149" s="31" t="n">
        <v>-6.14</v>
      </c>
      <c r="U149" s="31" t="n">
        <v>18.76</v>
      </c>
      <c r="V149" s="31" t="n">
        <v>26.53</v>
      </c>
      <c r="W149" s="31" t="n">
        <v>8.630000000000001</v>
      </c>
      <c r="X149" s="30" t="inlineStr">
        <is>
          <t>Cyclical in an Upturn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IF(B150=0,"",RANK(B150,$B$2:$B$290,0))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2" t="inlineStr">
        <is>
          <t>MGEL</t>
        </is>
      </c>
      <c r="D150" s="32" t="inlineStr">
        <is>
          <t>Mangalam Global Enterprise Ltd</t>
        </is>
      </c>
      <c r="E150" s="30" t="inlineStr">
        <is>
          <t>services</t>
        </is>
      </c>
      <c r="F150" s="30" t="inlineStr">
        <is>
          <t>trading</t>
        </is>
      </c>
      <c r="G150" s="30" t="inlineStr">
        <is>
          <t>smallcap</t>
        </is>
      </c>
      <c r="H150" s="31" t="n">
        <v>515.1</v>
      </c>
      <c r="I150" s="31" t="n">
        <v>15.99</v>
      </c>
      <c r="J150" s="31" t="n">
        <v>2.3</v>
      </c>
      <c r="K150" s="31" t="n">
        <v>3205087</v>
      </c>
      <c r="L150" s="30" t="n">
        <v>2</v>
      </c>
      <c r="M150" s="30" t="inlineStr">
        <is>
          <t>Underperforming</t>
        </is>
      </c>
      <c r="N150" s="31">
        <f>IF(M150="Underperforming",-5,IF(L150&gt;=95,15,IF(L150&gt;=90,10,IF(L150&gt;=80,5,0))))</f>
        <v/>
      </c>
      <c r="O150" s="31" t="n">
        <v>58.05</v>
      </c>
      <c r="P150" s="31" t="n">
        <v>32.31</v>
      </c>
      <c r="Q150" s="31" t="n">
        <v>12.25</v>
      </c>
      <c r="R150" s="30" t="inlineStr">
        <is>
          <t>Volume Spike / Accumulation</t>
        </is>
      </c>
      <c r="S150" s="30" t="inlineStr">
        <is>
          <t>Nifty 50</t>
        </is>
      </c>
      <c r="T150" s="31" t="n">
        <v>-6.14</v>
      </c>
      <c r="U150" s="31" t="n">
        <v>-7.14</v>
      </c>
      <c r="V150" s="31" t="n">
        <v>-1.06</v>
      </c>
      <c r="W150" s="31" t="n">
        <v>0.27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IF(B151=0,"",RANK(B151,$B$2:$B$290,0))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JSWDULUX</t>
        </is>
      </c>
      <c r="D151" s="30" t="inlineStr">
        <is>
          <t>JSW Dulux Ltd</t>
        </is>
      </c>
      <c r="E151" s="30" t="inlineStr">
        <is>
          <t>building materials</t>
        </is>
      </c>
      <c r="F151" s="30" t="inlineStr">
        <is>
          <t>paints / varnishes</t>
        </is>
      </c>
      <c r="G151" s="30" t="inlineStr">
        <is>
          <t>midcap</t>
        </is>
      </c>
      <c r="H151" s="31" t="n">
        <v>14264.59</v>
      </c>
      <c r="I151" s="31" t="n">
        <v>3199.6</v>
      </c>
      <c r="J151" s="31" t="n">
        <v>2.15</v>
      </c>
      <c r="K151" s="31" t="n">
        <v>52257</v>
      </c>
      <c r="L151" s="30" t="inlineStr"/>
      <c r="M151" s="30" t="inlineStr"/>
      <c r="N151" s="31">
        <f>IF(M151="Underperforming",-5,IF(L151&gt;=95,15,IF(L151&gt;=90,10,IF(L151&gt;=80,5,0))))</f>
        <v/>
      </c>
      <c r="O151" s="31" t="n">
        <v>56.41</v>
      </c>
      <c r="P151" s="31" t="n">
        <v>13.3</v>
      </c>
      <c r="Q151" s="31" t="n">
        <v>2752.88</v>
      </c>
      <c r="R151" s="30" t="inlineStr">
        <is>
          <t>Volume Spike / Accumulation</t>
        </is>
      </c>
      <c r="S151" s="30" t="inlineStr">
        <is>
          <t>Nifty Infra</t>
        </is>
      </c>
      <c r="T151" s="31" t="inlineStr"/>
      <c r="U151" s="31" t="inlineStr"/>
      <c r="V151" s="31" t="inlineStr"/>
      <c r="W151" s="31" t="inlineStr"/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0 to 20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IF(B152=0,"",RANK(B152,$B$2:$B$290,0))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ASHIANA</t>
        </is>
      </c>
      <c r="D152" s="30" t="inlineStr">
        <is>
          <t>Ashiana Housing Limited</t>
        </is>
      </c>
      <c r="E152" s="30" t="inlineStr">
        <is>
          <t>realty</t>
        </is>
      </c>
      <c r="F152" s="30" t="inlineStr">
        <is>
          <t>construction</t>
        </is>
      </c>
      <c r="G152" s="30" t="inlineStr">
        <is>
          <t>smallcap</t>
        </is>
      </c>
      <c r="H152" s="31" t="n">
        <v>3905.39</v>
      </c>
      <c r="I152" s="31" t="n">
        <v>389.7</v>
      </c>
      <c r="J152" s="31" t="n">
        <v>0.31</v>
      </c>
      <c r="K152" s="31" t="n">
        <v>19421</v>
      </c>
      <c r="L152" s="30" t="inlineStr"/>
      <c r="M152" s="30" t="inlineStr"/>
      <c r="N152" s="31">
        <f>IF(M152="Underperforming",-5,IF(L152&gt;=95,15,IF(L152&gt;=90,10,IF(L152&gt;=80,5,0))))</f>
        <v/>
      </c>
      <c r="O152" s="31" t="n">
        <v>60.8</v>
      </c>
      <c r="P152" s="31" t="n">
        <v>34.74</v>
      </c>
      <c r="Q152" s="31" t="n">
        <v>303.13</v>
      </c>
      <c r="R152" s="30" t="inlineStr">
        <is>
          <t>Near 52W High Breakout</t>
        </is>
      </c>
      <c r="S152" s="30" t="inlineStr">
        <is>
          <t>Nifty Realty</t>
        </is>
      </c>
      <c r="T152" s="31" t="inlineStr"/>
      <c r="U152" s="31" t="inlineStr"/>
      <c r="V152" s="31" t="inlineStr"/>
      <c r="W152" s="31" t="inlineStr"/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IF(B153=0,"",RANK(B153,$B$2:$B$290,0))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OAL</t>
        </is>
      </c>
      <c r="D153" s="30" t="inlineStr">
        <is>
          <t>Oriental Aromatics Ltd</t>
        </is>
      </c>
      <c r="E153" s="30" t="inlineStr">
        <is>
          <t>chemicals</t>
        </is>
      </c>
      <c r="F153" s="30" t="inlineStr">
        <is>
          <t>chemicals</t>
        </is>
      </c>
      <c r="G153" s="30" t="inlineStr">
        <is>
          <t>smallcap</t>
        </is>
      </c>
      <c r="H153" s="31" t="n">
        <v>1791.38</v>
      </c>
      <c r="I153" s="31" t="n">
        <v>533.65</v>
      </c>
      <c r="J153" s="31" t="n">
        <v>0.25</v>
      </c>
      <c r="K153" s="31" t="n">
        <v>28203</v>
      </c>
      <c r="L153" s="30" t="n">
        <v>76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74.63</v>
      </c>
      <c r="P153" s="31" t="n">
        <v>37.39</v>
      </c>
      <c r="Q153" s="31" t="n">
        <v>383.07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-6.14</v>
      </c>
      <c r="U153" s="31" t="n">
        <v>58.96</v>
      </c>
      <c r="V153" s="31" t="n">
        <v>69.36</v>
      </c>
      <c r="W153" s="31" t="n">
        <v>27.05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IF(B154=0,"",RANK(B154,$B$2:$B$290,0))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PITTIENG</t>
        </is>
      </c>
      <c r="D154" s="30" t="inlineStr">
        <is>
          <t>Pitti Engineering Ltd</t>
        </is>
      </c>
      <c r="E154" s="30" t="inlineStr">
        <is>
          <t>industrials</t>
        </is>
      </c>
      <c r="F154" s="30" t="inlineStr">
        <is>
          <t>engineering</t>
        </is>
      </c>
      <c r="G154" s="30" t="inlineStr">
        <is>
          <t>smallcap</t>
        </is>
      </c>
      <c r="H154" s="31" t="n">
        <v>4371.58</v>
      </c>
      <c r="I154" s="31" t="n">
        <v>1162.4</v>
      </c>
      <c r="J154" s="31" t="n">
        <v>0.12</v>
      </c>
      <c r="K154" s="31" t="n">
        <v>93537</v>
      </c>
      <c r="L154" s="30" t="n">
        <v>23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67.22</v>
      </c>
      <c r="P154" s="31" t="n">
        <v>22.46</v>
      </c>
      <c r="Q154" s="31" t="n">
        <v>908.72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-6.14</v>
      </c>
      <c r="U154" s="31" t="n">
        <v>15.33</v>
      </c>
      <c r="V154" s="31" t="n">
        <v>22.88</v>
      </c>
      <c r="W154" s="31" t="n">
        <v>8.49</v>
      </c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Between 0.7 to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IF(B155=0,"",RANK(B155,$B$2:$B$290,0))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MAHLOG</t>
        </is>
      </c>
      <c r="D155" s="30" t="inlineStr">
        <is>
          <t>Mahindra Logistics Ltd</t>
        </is>
      </c>
      <c r="E155" s="30" t="inlineStr">
        <is>
          <t>transportation</t>
        </is>
      </c>
      <c r="F155" s="30" t="inlineStr">
        <is>
          <t>miscellaneous</t>
        </is>
      </c>
      <c r="G155" s="30" t="inlineStr">
        <is>
          <t>smallcap</t>
        </is>
      </c>
      <c r="H155" s="31" t="n">
        <v>4167.84</v>
      </c>
      <c r="I155" s="31" t="n">
        <v>420.25</v>
      </c>
      <c r="J155" s="31" t="n">
        <v>0.05</v>
      </c>
      <c r="K155" s="31" t="n">
        <v>447609</v>
      </c>
      <c r="L155" s="30" t="n">
        <v>21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60.53</v>
      </c>
      <c r="P155" s="31" t="n">
        <v>28.06</v>
      </c>
      <c r="Q155" s="31" t="n">
        <v>334.53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-6.14</v>
      </c>
      <c r="U155" s="31" t="n">
        <v>22.51</v>
      </c>
      <c r="V155" s="31" t="n">
        <v>30.53</v>
      </c>
      <c r="W155" s="31" t="n">
        <v>7.39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IF(B156=0,"",RANK(B156,$B$2:$B$290,0))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EIMCOELECO</t>
        </is>
      </c>
      <c r="D156" s="30" t="inlineStr">
        <is>
          <t>Eimco Elecon (india) Limited</t>
        </is>
      </c>
      <c r="E156" s="30" t="inlineStr">
        <is>
          <t>industrials</t>
        </is>
      </c>
      <c r="F156" s="30" t="inlineStr">
        <is>
          <t>engineering</t>
        </is>
      </c>
      <c r="G156" s="30" t="inlineStr">
        <is>
          <t>smallcap</t>
        </is>
      </c>
      <c r="H156" s="31" t="n">
        <v>1329.27</v>
      </c>
      <c r="I156" s="31" t="n">
        <v>2301.6</v>
      </c>
      <c r="J156" s="31" t="n">
        <v>-0.12</v>
      </c>
      <c r="K156" s="31" t="n">
        <v>16786</v>
      </c>
      <c r="L156" s="30" t="n">
        <v>41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71.26000000000001</v>
      </c>
      <c r="P156" s="31" t="n">
        <v>55.98</v>
      </c>
      <c r="Q156" s="31" t="n">
        <v>1838.46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-6.14</v>
      </c>
      <c r="U156" s="31" t="n">
        <v>30.57</v>
      </c>
      <c r="V156" s="31" t="n">
        <v>39.11</v>
      </c>
      <c r="W156" s="31" t="n">
        <v>13.23</v>
      </c>
      <c r="X156" s="30" t="inlineStr">
        <is>
          <t>Cyclical in an Upturn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Less than 12%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IF(B157=0,"",RANK(B157,$B$2:$B$290,0))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SIGMAADV</t>
        </is>
      </c>
      <c r="D157" s="30" t="inlineStr">
        <is>
          <t>Sigma Advanced System Ltd</t>
        </is>
      </c>
      <c r="E157" s="30" t="inlineStr">
        <is>
          <t>aerospace &amp; defence</t>
        </is>
      </c>
      <c r="F157" s="30" t="inlineStr">
        <is>
          <t>electronics - components</t>
        </is>
      </c>
      <c r="G157" s="30" t="inlineStr">
        <is>
          <t>midcap</t>
        </is>
      </c>
      <c r="H157" s="31" t="n">
        <v>17995.5</v>
      </c>
      <c r="I157" s="31" t="n">
        <v>946</v>
      </c>
      <c r="J157" s="31" t="n">
        <v>-0.38</v>
      </c>
      <c r="K157" s="31" t="n">
        <v>197475</v>
      </c>
      <c r="L157" s="30" t="n">
        <v>98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82.45999999999999</v>
      </c>
      <c r="P157" s="31" t="n">
        <v>63.73</v>
      </c>
      <c r="Q157" s="31" t="n">
        <v>707.99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-6.14</v>
      </c>
      <c r="U157" s="31" t="n">
        <v>500.33</v>
      </c>
      <c r="V157" s="31" t="n">
        <v>539.61</v>
      </c>
      <c r="W157" s="31" t="n">
        <v>81.91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IF(B158=0,"",RANK(B158,$B$2:$B$290,0))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TEXINFRA</t>
        </is>
      </c>
      <c r="D158" s="30" t="inlineStr">
        <is>
          <t>Texmaco Infrastructure &amp; Holdings Limited</t>
        </is>
      </c>
      <c r="E158" s="30" t="inlineStr">
        <is>
          <t>realty</t>
        </is>
      </c>
      <c r="F158" s="30" t="inlineStr">
        <is>
          <t>construction</t>
        </is>
      </c>
      <c r="G158" s="30" t="inlineStr">
        <is>
          <t>smallcap</t>
        </is>
      </c>
      <c r="H158" s="31" t="n">
        <v>1515.1</v>
      </c>
      <c r="I158" s="31" t="n">
        <v>118.25</v>
      </c>
      <c r="J158" s="31" t="n">
        <v>-0.55</v>
      </c>
      <c r="K158" s="31" t="n">
        <v>138397</v>
      </c>
      <c r="L158" s="30" t="inlineStr"/>
      <c r="M158" s="30" t="inlineStr"/>
      <c r="N158" s="31">
        <f>IF(M158="Underperforming",-5,IF(L158&gt;=95,15,IF(L158&gt;=90,10,IF(L158&gt;=80,5,0))))</f>
        <v/>
      </c>
      <c r="O158" s="31" t="n">
        <v>65.58</v>
      </c>
      <c r="P158" s="31" t="n">
        <v>41.92</v>
      </c>
      <c r="Q158" s="31" t="n">
        <v>95.28</v>
      </c>
      <c r="R158" s="30" t="inlineStr">
        <is>
          <t>Volume Spike &amp; Near 52W High Breakout</t>
        </is>
      </c>
      <c r="S158" s="30" t="inlineStr">
        <is>
          <t>Nifty Realty</t>
        </is>
      </c>
      <c r="T158" s="31" t="inlineStr"/>
      <c r="U158" s="31" t="inlineStr"/>
      <c r="V158" s="31" t="inlineStr"/>
      <c r="W158" s="31" t="inlineStr"/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IF(B159=0,"",RANK(B159,$B$2:$B$290,0))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RAYMOND</t>
        </is>
      </c>
      <c r="D159" s="30" t="inlineStr">
        <is>
          <t>Raymond Limited</t>
        </is>
      </c>
      <c r="E159" s="30" t="inlineStr">
        <is>
          <t>transportation</t>
        </is>
      </c>
      <c r="F159" s="30" t="inlineStr">
        <is>
          <t>transport - airlines</t>
        </is>
      </c>
      <c r="G159" s="30" t="inlineStr">
        <is>
          <t>midcap</t>
        </is>
      </c>
      <c r="H159" s="31" t="n">
        <v>8014.48</v>
      </c>
      <c r="I159" s="31" t="n">
        <v>1196.65</v>
      </c>
      <c r="J159" s="31" t="n">
        <v>-0.6</v>
      </c>
      <c r="K159" s="31" t="n">
        <v>3100301</v>
      </c>
      <c r="L159" s="30" t="n">
        <v>93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85.06999999999999</v>
      </c>
      <c r="P159" s="31" t="n">
        <v>52.78</v>
      </c>
      <c r="Q159" s="31" t="n">
        <v>920.24</v>
      </c>
      <c r="R159" s="30" t="inlineStr">
        <is>
          <t>Volume Spike &amp; Near 52W High Breakout</t>
        </is>
      </c>
      <c r="S159" s="30" t="inlineStr">
        <is>
          <t>Nifty 50</t>
        </is>
      </c>
      <c r="T159" s="31" t="n">
        <v>-6.14</v>
      </c>
      <c r="U159" s="31" t="n">
        <v>97.09</v>
      </c>
      <c r="V159" s="31" t="n">
        <v>109.99</v>
      </c>
      <c r="W159" s="31" t="n">
        <v>45.53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Above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IF(B160=0,"",RANK(B160,$B$2:$B$290,0))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ALEMBICLTD</t>
        </is>
      </c>
      <c r="D160" s="30" t="inlineStr">
        <is>
          <t>Alembic Limited</t>
        </is>
      </c>
      <c r="E160" s="30" t="inlineStr">
        <is>
          <t>realty</t>
        </is>
      </c>
      <c r="F160" s="30" t="inlineStr">
        <is>
          <t>construction</t>
        </is>
      </c>
      <c r="G160" s="30" t="inlineStr">
        <is>
          <t>smallcap</t>
        </is>
      </c>
      <c r="H160" s="31" t="n">
        <v>2752.19</v>
      </c>
      <c r="I160" s="31" t="n">
        <v>106.53</v>
      </c>
      <c r="J160" s="31" t="n">
        <v>-0.61</v>
      </c>
      <c r="K160" s="31" t="n">
        <v>743150</v>
      </c>
      <c r="L160" s="30" t="inlineStr"/>
      <c r="M160" s="30" t="inlineStr"/>
      <c r="N160" s="31">
        <f>IF(M160="Underperforming",-5,IF(L160&gt;=95,15,IF(L160&gt;=90,10,IF(L160&gt;=80,5,0))))</f>
        <v/>
      </c>
      <c r="O160" s="31" t="n">
        <v>63.67</v>
      </c>
      <c r="P160" s="31" t="n">
        <v>21.54</v>
      </c>
      <c r="Q160" s="31" t="n">
        <v>89.12</v>
      </c>
      <c r="R160" s="30" t="inlineStr">
        <is>
          <t>Near 52W High Breakout</t>
        </is>
      </c>
      <c r="S160" s="30" t="inlineStr">
        <is>
          <t>Nifty Realty</t>
        </is>
      </c>
      <c r="T160" s="31" t="inlineStr"/>
      <c r="U160" s="31" t="inlineStr"/>
      <c r="V160" s="31" t="inlineStr"/>
      <c r="W160" s="31" t="inlineStr"/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Less than 12%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Between 1.5 to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IF(B161=0,"",RANK(B161,$B$2:$B$290,0))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SGIL</t>
        </is>
      </c>
      <c r="D161" s="30" t="inlineStr">
        <is>
          <t>Synergy Green Industries Ltd</t>
        </is>
      </c>
      <c r="E161" s="30" t="inlineStr">
        <is>
          <t>castings, forgings &amp; fasteners</t>
        </is>
      </c>
      <c r="F161" s="30" t="inlineStr">
        <is>
          <t>castings &amp; forgings</t>
        </is>
      </c>
      <c r="G161" s="30" t="inlineStr">
        <is>
          <t>smallcap</t>
        </is>
      </c>
      <c r="H161" s="31" t="n">
        <v>1005.01</v>
      </c>
      <c r="I161" s="31" t="n">
        <v>642.5</v>
      </c>
      <c r="J161" s="31" t="n">
        <v>-0.63</v>
      </c>
      <c r="K161" s="31" t="n">
        <v>4595</v>
      </c>
      <c r="L161" s="30" t="n">
        <v>15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63.44</v>
      </c>
      <c r="P161" s="31" t="n">
        <v>23.3</v>
      </c>
      <c r="Q161" s="31" t="n">
        <v>483.71</v>
      </c>
      <c r="R161" s="30" t="inlineStr">
        <is>
          <t>Volume Spike &amp; Near 52W High Breakout</t>
        </is>
      </c>
      <c r="S161" s="30" t="inlineStr">
        <is>
          <t>Nifty 50</t>
        </is>
      </c>
      <c r="T161" s="31" t="n">
        <v>-6.14</v>
      </c>
      <c r="U161" s="31" t="n">
        <v>19.88</v>
      </c>
      <c r="V161" s="31" t="n">
        <v>27.72</v>
      </c>
      <c r="W161" s="31" t="n">
        <v>6.12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Less than 1.5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More than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IF(B162=0,"",RANK(B162,$B$2:$B$290,0))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KAMDHENU</t>
        </is>
      </c>
      <c r="D162" s="30" t="inlineStr">
        <is>
          <t>Kamdhenu Limited</t>
        </is>
      </c>
      <c r="E162" s="30" t="inlineStr">
        <is>
          <t>metals &amp; mining</t>
        </is>
      </c>
      <c r="F162" s="30" t="inlineStr">
        <is>
          <t>steel - medium / small</t>
        </is>
      </c>
      <c r="G162" s="30" t="inlineStr">
        <is>
          <t>smallcap</t>
        </is>
      </c>
      <c r="H162" s="31" t="n">
        <v>1137.12</v>
      </c>
      <c r="I162" s="31" t="n">
        <v>39.96</v>
      </c>
      <c r="J162" s="31" t="n">
        <v>-0.9399999999999999</v>
      </c>
      <c r="K162" s="31" t="n">
        <v>483951</v>
      </c>
      <c r="L162" s="30" t="inlineStr"/>
      <c r="M162" s="30" t="inlineStr"/>
      <c r="N162" s="31">
        <f>IF(M162="Underperforming",-5,IF(L162&gt;=95,15,IF(L162&gt;=90,10,IF(L162&gt;=80,5,0))))</f>
        <v/>
      </c>
      <c r="O162" s="31" t="n">
        <v>72.52</v>
      </c>
      <c r="P162" s="31" t="n">
        <v>54.27</v>
      </c>
      <c r="Q162" s="31" t="n">
        <v>30.7</v>
      </c>
      <c r="R162" s="30" t="inlineStr">
        <is>
          <t>Volume Spike &amp; Near 52W High Breakout</t>
        </is>
      </c>
      <c r="S162" s="30" t="inlineStr">
        <is>
          <t>Nifty Metal</t>
        </is>
      </c>
      <c r="T162" s="31" t="inlineStr"/>
      <c r="U162" s="31" t="inlineStr"/>
      <c r="V162" s="31" t="inlineStr"/>
      <c r="W162" s="31" t="inlineStr"/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Cyclical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Volatile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Above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Less than 1.5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IF(B163=0,"",RANK(B163,$B$2:$B$290,0))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DHARMAJ</t>
        </is>
      </c>
      <c r="D163" s="30" t="inlineStr">
        <is>
          <t>Dharmaj Crop Guard Ltd</t>
        </is>
      </c>
      <c r="E163" s="30" t="inlineStr">
        <is>
          <t>chemicals</t>
        </is>
      </c>
      <c r="F163" s="30" t="inlineStr">
        <is>
          <t>pesticides / agrochemicals - indian</t>
        </is>
      </c>
      <c r="G163" s="30" t="inlineStr">
        <is>
          <t>smallcap</t>
        </is>
      </c>
      <c r="H163" s="31" t="n">
        <v>1015.78</v>
      </c>
      <c r="I163" s="31" t="n">
        <v>295.15</v>
      </c>
      <c r="J163" s="31" t="n">
        <v>-1.8</v>
      </c>
      <c r="K163" s="31" t="n">
        <v>23574</v>
      </c>
      <c r="L163" s="30" t="n">
        <v>4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67.59</v>
      </c>
      <c r="P163" s="31" t="n">
        <v>33.92</v>
      </c>
      <c r="Q163" s="31" t="n">
        <v>238.71</v>
      </c>
      <c r="R163" s="30" t="inlineStr">
        <is>
          <t>Earnings / Momentum Support</t>
        </is>
      </c>
      <c r="S163" s="30" t="inlineStr">
        <is>
          <t>Nifty 50</t>
        </is>
      </c>
      <c r="T163" s="31" t="n">
        <v>-6.14</v>
      </c>
      <c r="U163" s="31" t="n">
        <v>-4.79</v>
      </c>
      <c r="V163" s="31" t="n">
        <v>1.44</v>
      </c>
      <c r="W163" s="31" t="n">
        <v>2.26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Between 12 to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IF(B164=0,"",RANK(B164,$B$2:$B$290,0))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KILITCH</t>
        </is>
      </c>
      <c r="D164" s="30" t="inlineStr">
        <is>
          <t>Kilitch Drugs (india) Limited</t>
        </is>
      </c>
      <c r="E164" s="30" t="inlineStr">
        <is>
          <t>healthcare</t>
        </is>
      </c>
      <c r="F164" s="30" t="inlineStr">
        <is>
          <t>pharmaceuticals - indian - formulations</t>
        </is>
      </c>
      <c r="G164" s="30" t="inlineStr">
        <is>
          <t>smallcap</t>
        </is>
      </c>
      <c r="H164" s="31" t="n">
        <v>759.47</v>
      </c>
      <c r="I164" s="31" t="n">
        <v>224.27</v>
      </c>
      <c r="J164" s="31" t="n">
        <v>3.24</v>
      </c>
      <c r="K164" s="31" t="n">
        <v>32455</v>
      </c>
      <c r="L164" s="30" t="n">
        <v>35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67.93000000000001</v>
      </c>
      <c r="P164" s="31" t="n">
        <v>26.89</v>
      </c>
      <c r="Q164" s="31" t="n">
        <v>166.76</v>
      </c>
      <c r="R164" s="30" t="inlineStr">
        <is>
          <t>Near 52W High Breakout</t>
        </is>
      </c>
      <c r="S164" s="30" t="inlineStr">
        <is>
          <t>Nifty Pharma</t>
        </is>
      </c>
      <c r="T164" s="31" t="n">
        <v>25.55</v>
      </c>
      <c r="U164" s="31" t="n">
        <v>31.59</v>
      </c>
      <c r="V164" s="31" t="n">
        <v>4.81</v>
      </c>
      <c r="W164" s="31" t="n">
        <v>11.42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Less than 12%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IF(B165=0,"",RANK(B165,$B$2:$B$290,0))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BAFNAPH</t>
        </is>
      </c>
      <c r="D165" s="30" t="inlineStr">
        <is>
          <t>Bafna Pharmaceuticals Ltd</t>
        </is>
      </c>
      <c r="E165" s="30" t="inlineStr">
        <is>
          <t>healthcare</t>
        </is>
      </c>
      <c r="F165" s="30" t="inlineStr">
        <is>
          <t>pharmaceuticals - indian - formulations</t>
        </is>
      </c>
      <c r="G165" s="30" t="inlineStr">
        <is>
          <t>smallcap</t>
        </is>
      </c>
      <c r="H165" s="31" t="n">
        <v>811.89</v>
      </c>
      <c r="I165" s="31" t="n">
        <v>350.05</v>
      </c>
      <c r="J165" s="31" t="n">
        <v>2</v>
      </c>
      <c r="K165" s="31" t="n">
        <v>2166</v>
      </c>
      <c r="L165" s="30" t="n">
        <v>88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77.77</v>
      </c>
      <c r="P165" s="31" t="n">
        <v>61.11</v>
      </c>
      <c r="Q165" s="31" t="n">
        <v>277.31</v>
      </c>
      <c r="R165" s="30" t="inlineStr">
        <is>
          <t>Near 52W High Breakout</t>
        </is>
      </c>
      <c r="S165" s="30" t="inlineStr">
        <is>
          <t>Nifty Pharma</t>
        </is>
      </c>
      <c r="T165" s="31" t="n">
        <v>25.55</v>
      </c>
      <c r="U165" s="31" t="n">
        <v>98.52</v>
      </c>
      <c r="V165" s="31" t="n">
        <v>58.12</v>
      </c>
      <c r="W165" s="31" t="n">
        <v>38.55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IF(B166=0,"",RANK(B166,$B$2:$B$290,0))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VALIANTLAB</t>
        </is>
      </c>
      <c r="D166" s="30" t="inlineStr">
        <is>
          <t>Valiant Laboratories Ltd</t>
        </is>
      </c>
      <c r="E166" s="30" t="inlineStr">
        <is>
          <t>healthcare</t>
        </is>
      </c>
      <c r="F166" s="30" t="inlineStr">
        <is>
          <t>pharmaceuticals - indian - bulk drugs &amp; formln</t>
        </is>
      </c>
      <c r="G166" s="30" t="inlineStr">
        <is>
          <t>smallcap</t>
        </is>
      </c>
      <c r="H166" s="31" t="n">
        <v>668.86</v>
      </c>
      <c r="I166" s="31" t="n">
        <v>124.87</v>
      </c>
      <c r="J166" s="31" t="n">
        <v>1.4</v>
      </c>
      <c r="K166" s="31" t="n">
        <v>62693</v>
      </c>
      <c r="L166" s="30" t="n">
        <v>82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77.92</v>
      </c>
      <c r="P166" s="31" t="n">
        <v>29.22</v>
      </c>
      <c r="Q166" s="31" t="n">
        <v>94.68000000000001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25.55</v>
      </c>
      <c r="U166" s="31" t="n">
        <v>51.28</v>
      </c>
      <c r="V166" s="31" t="n">
        <v>20.49</v>
      </c>
      <c r="W166" s="31" t="n">
        <v>31.22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IF(B167=0,"",RANK(B167,$B$2:$B$290,0))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NPST</t>
        </is>
      </c>
      <c r="D167" s="30" t="inlineStr">
        <is>
          <t>Network People Services Technologies Ltd</t>
        </is>
      </c>
      <c r="E167" s="30" t="inlineStr">
        <is>
          <t>i.t</t>
        </is>
      </c>
      <c r="F167" s="30" t="inlineStr">
        <is>
          <t>computers - software - medium / small</t>
        </is>
      </c>
      <c r="G167" s="30" t="inlineStr">
        <is>
          <t>smallcap</t>
        </is>
      </c>
      <c r="H167" s="31" t="n">
        <v>3718.5</v>
      </c>
      <c r="I167" s="31" t="n">
        <v>1796.3</v>
      </c>
      <c r="J167" s="31" t="n">
        <v>0.79</v>
      </c>
      <c r="K167" s="31" t="n">
        <v>39440</v>
      </c>
      <c r="L167" s="30" t="n">
        <v>12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62.54</v>
      </c>
      <c r="P167" s="31" t="n">
        <v>34.25</v>
      </c>
      <c r="Q167" s="31" t="n">
        <v>1283.05</v>
      </c>
      <c r="R167" s="30" t="inlineStr">
        <is>
          <t>Earnings / Momentum Support</t>
        </is>
      </c>
      <c r="S167" s="30" t="inlineStr">
        <is>
          <t>Nifty IT</t>
        </is>
      </c>
      <c r="T167" s="31" t="n">
        <v>-16.44</v>
      </c>
      <c r="U167" s="31" t="n">
        <v>-5.96</v>
      </c>
      <c r="V167" s="31" t="n">
        <v>12.54</v>
      </c>
      <c r="W167" s="31" t="n">
        <v>4.92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Between 1.5 to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IF(B168=0,"",RANK(B168,$B$2:$B$290,0))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TI</t>
        </is>
      </c>
      <c r="D168" s="30" t="inlineStr">
        <is>
          <t>Tilaknagar Industries Limited</t>
        </is>
      </c>
      <c r="E168" s="30" t="inlineStr">
        <is>
          <t>fmcg</t>
        </is>
      </c>
      <c r="F168" s="30" t="inlineStr">
        <is>
          <t>breweries &amp; distilleries</t>
        </is>
      </c>
      <c r="G168" s="30" t="inlineStr">
        <is>
          <t>midcap</t>
        </is>
      </c>
      <c r="H168" s="31" t="n">
        <v>14540.33</v>
      </c>
      <c r="I168" s="31" t="n">
        <v>581.7</v>
      </c>
      <c r="J168" s="31" t="n">
        <v>-1</v>
      </c>
      <c r="K168" s="31" t="n">
        <v>1372795</v>
      </c>
      <c r="L168" s="30" t="inlineStr"/>
      <c r="M168" s="30" t="inlineStr"/>
      <c r="N168" s="31">
        <f>IF(M168="Underperforming",-5,IF(L168&gt;=95,15,IF(L168&gt;=90,10,IF(L168&gt;=80,5,0))))</f>
        <v/>
      </c>
      <c r="O168" s="31" t="n">
        <v>67.45999999999999</v>
      </c>
      <c r="P168" s="31" t="n">
        <v>23.19</v>
      </c>
      <c r="Q168" s="31" t="n">
        <v>459.34</v>
      </c>
      <c r="R168" s="30" t="inlineStr">
        <is>
          <t>Near 52W High Breakout</t>
        </is>
      </c>
      <c r="S168" s="30" t="inlineStr">
        <is>
          <t>Nifty FMCG</t>
        </is>
      </c>
      <c r="T168" s="31" t="inlineStr"/>
      <c r="U168" s="31" t="inlineStr"/>
      <c r="V168" s="31" t="inlineStr"/>
      <c r="W168" s="31" t="inlineStr"/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B2C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Less than 12%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Between 0.7 to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IF(B169=0,"",RANK(B169,$B$2:$B$290,0))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STAR</t>
        </is>
      </c>
      <c r="D169" s="30" t="inlineStr">
        <is>
          <t>Strides Shasun Limited</t>
        </is>
      </c>
      <c r="E169" s="30" t="inlineStr">
        <is>
          <t>healthcare</t>
        </is>
      </c>
      <c r="F169" s="30" t="inlineStr">
        <is>
          <t>pharmaceuticals - indian - bulk drugs &amp; formln</t>
        </is>
      </c>
      <c r="G169" s="30" t="inlineStr">
        <is>
          <t>midcap</t>
        </is>
      </c>
      <c r="H169" s="31" t="n">
        <v>11086.53</v>
      </c>
      <c r="I169" s="31" t="n">
        <v>1184.9</v>
      </c>
      <c r="J169" s="31" t="n">
        <v>-1.49</v>
      </c>
      <c r="K169" s="31" t="n">
        <v>143012</v>
      </c>
      <c r="L169" s="30" t="n">
        <v>29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63.28</v>
      </c>
      <c r="P169" s="31" t="n">
        <v>14.8</v>
      </c>
      <c r="Q169" s="31" t="n">
        <v>941.04</v>
      </c>
      <c r="R169" s="30" t="inlineStr">
        <is>
          <t>Near 52W High Breakout</t>
        </is>
      </c>
      <c r="S169" s="30" t="inlineStr">
        <is>
          <t>Nifty Pharma</t>
        </is>
      </c>
      <c r="T169" s="31" t="n">
        <v>25.55</v>
      </c>
      <c r="U169" s="31" t="n">
        <v>45.98</v>
      </c>
      <c r="V169" s="31" t="n">
        <v>16.27</v>
      </c>
      <c r="W169" s="31" t="n">
        <v>10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IF(B170=0,"",RANK(B170,$B$2:$B$290,0))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ORCHPHARMA</t>
        </is>
      </c>
      <c r="D170" s="30" t="inlineStr">
        <is>
          <t>Orchid Pharma Ltd</t>
        </is>
      </c>
      <c r="E170" s="30" t="inlineStr">
        <is>
          <t>healthcare</t>
        </is>
      </c>
      <c r="F170" s="30" t="inlineStr">
        <is>
          <t>pharmaceuticals - indian - bulk drugs &amp; formln</t>
        </is>
      </c>
      <c r="G170" s="30" t="inlineStr">
        <is>
          <t>midcap</t>
        </is>
      </c>
      <c r="H170" s="31" t="n">
        <v>5559.57</v>
      </c>
      <c r="I170" s="31" t="n">
        <v>1064.9</v>
      </c>
      <c r="J170" s="31" t="n">
        <v>-2.85</v>
      </c>
      <c r="K170" s="31" t="n">
        <v>63555</v>
      </c>
      <c r="L170" s="30" t="n">
        <v>52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67.12</v>
      </c>
      <c r="P170" s="31" t="n">
        <v>54.34</v>
      </c>
      <c r="Q170" s="31" t="n">
        <v>764.83</v>
      </c>
      <c r="R170" s="30" t="inlineStr">
        <is>
          <t>Volume Spike &amp; Near 52W High Breakout</t>
        </is>
      </c>
      <c r="S170" s="30" t="inlineStr">
        <is>
          <t>Nifty Pharma</t>
        </is>
      </c>
      <c r="T170" s="31" t="n">
        <v>25.55</v>
      </c>
      <c r="U170" s="31" t="n">
        <v>47.61</v>
      </c>
      <c r="V170" s="31" t="n">
        <v>17.56</v>
      </c>
      <c r="W170" s="31" t="n">
        <v>16.89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Less than 12%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IF(B171=0,"",RANK(B171,$B$2:$B$290,0))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ENGINERSIN</t>
        </is>
      </c>
      <c r="D171" s="30" t="inlineStr">
        <is>
          <t>Engineers India Limited</t>
        </is>
      </c>
      <c r="E171" s="30" t="inlineStr">
        <is>
          <t>realty</t>
        </is>
      </c>
      <c r="F171" s="30" t="inlineStr">
        <is>
          <t>engineering - turnkey services</t>
        </is>
      </c>
      <c r="G171" s="30" t="inlineStr">
        <is>
          <t>midcap</t>
        </is>
      </c>
      <c r="H171" s="31" t="n">
        <v>16672.99</v>
      </c>
      <c r="I171" s="31" t="n">
        <v>315.65</v>
      </c>
      <c r="J171" s="31" t="n">
        <v>6.4</v>
      </c>
      <c r="K171" s="31" t="n">
        <v>19615591</v>
      </c>
      <c r="L171" s="30" t="inlineStr"/>
      <c r="M171" s="30" t="inlineStr"/>
      <c r="N171" s="31">
        <f>IF(M171="Underperforming",-5,IF(L171&gt;=95,15,IF(L171&gt;=90,10,IF(L171&gt;=80,5,0))))</f>
        <v/>
      </c>
      <c r="O171" s="31" t="n">
        <v>73.16</v>
      </c>
      <c r="P171" s="31" t="n">
        <v>18.55</v>
      </c>
      <c r="Q171" s="31" t="n">
        <v>250.81</v>
      </c>
      <c r="R171" s="30" t="inlineStr">
        <is>
          <t>Volume Spike &amp; Near 52W High Breakout</t>
        </is>
      </c>
      <c r="S171" s="30" t="inlineStr">
        <is>
          <t>Nifty Realty</t>
        </is>
      </c>
      <c r="T171" s="31" t="inlineStr"/>
      <c r="U171" s="31" t="inlineStr"/>
      <c r="V171" s="31" t="inlineStr"/>
      <c r="W171" s="31" t="inlineStr"/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IF(B172=0,"",RANK(B172,$B$2:$B$290,0))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MANINDS</t>
        </is>
      </c>
      <c r="D172" s="30" t="inlineStr">
        <is>
          <t>Man Industries (india) Limited</t>
        </is>
      </c>
      <c r="E172" s="30" t="inlineStr">
        <is>
          <t>metals &amp; mining</t>
        </is>
      </c>
      <c r="F172" s="30" t="inlineStr">
        <is>
          <t>steel - medium / small</t>
        </is>
      </c>
      <c r="G172" s="30" t="inlineStr">
        <is>
          <t>midcap</t>
        </is>
      </c>
      <c r="H172" s="31" t="n">
        <v>7222.3</v>
      </c>
      <c r="I172" s="31" t="n">
        <v>1020.35</v>
      </c>
      <c r="J172" s="31" t="n">
        <v>5.97</v>
      </c>
      <c r="K172" s="31" t="n">
        <v>1762428</v>
      </c>
      <c r="L172" s="30" t="inlineStr"/>
      <c r="M172" s="30" t="inlineStr"/>
      <c r="N172" s="31">
        <f>IF(M172="Underperforming",-5,IF(L172&gt;=95,15,IF(L172&gt;=90,10,IF(L172&gt;=80,5,0))))</f>
        <v/>
      </c>
      <c r="O172" s="31" t="n">
        <v>83.54000000000001</v>
      </c>
      <c r="P172" s="31" t="n">
        <v>40.79</v>
      </c>
      <c r="Q172" s="31" t="n">
        <v>771.15</v>
      </c>
      <c r="R172" s="30" t="inlineStr">
        <is>
          <t>Volume Spike &amp; Near 52W High Breakout</t>
        </is>
      </c>
      <c r="S172" s="30" t="inlineStr">
        <is>
          <t>Nifty Metal</t>
        </is>
      </c>
      <c r="T172" s="31" t="inlineStr"/>
      <c r="U172" s="31" t="inlineStr"/>
      <c r="V172" s="31" t="inlineStr"/>
      <c r="W172" s="31" t="inlineStr"/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Cyclical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Volatile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Above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IF(B173=0,"",RANK(B173,$B$2:$B$290,0))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EMIL</t>
        </is>
      </c>
      <c r="D173" s="30" t="inlineStr">
        <is>
          <t>Electronics Mart India Ltd</t>
        </is>
      </c>
      <c r="E173" s="30" t="inlineStr">
        <is>
          <t>consumer discretionary</t>
        </is>
      </c>
      <c r="F173" s="30" t="inlineStr">
        <is>
          <t>trading</t>
        </is>
      </c>
      <c r="G173" s="30" t="inlineStr">
        <is>
          <t>midcap</t>
        </is>
      </c>
      <c r="H173" s="31" t="n">
        <v>7277.91</v>
      </c>
      <c r="I173" s="31" t="n">
        <v>200.22</v>
      </c>
      <c r="J173" s="31" t="n">
        <v>5.85</v>
      </c>
      <c r="K173" s="31" t="n">
        <v>6776165</v>
      </c>
      <c r="L173" s="30" t="n">
        <v>72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74.26000000000001</v>
      </c>
      <c r="P173" s="31" t="n">
        <v>41.97</v>
      </c>
      <c r="Q173" s="31" t="n">
        <v>150.94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-6.14</v>
      </c>
      <c r="U173" s="31" t="n">
        <v>36.67</v>
      </c>
      <c r="V173" s="31" t="n">
        <v>45.61</v>
      </c>
      <c r="W173" s="31" t="n">
        <v>25.1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More than 1.2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IF(B174=0,"",RANK(B174,$B$2:$B$290,0))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DELTACORP</t>
        </is>
      </c>
      <c r="D174" s="30" t="inlineStr">
        <is>
          <t>Delta Corp Limited</t>
        </is>
      </c>
      <c r="E174" s="30" t="inlineStr">
        <is>
          <t>miscellaneous</t>
        </is>
      </c>
      <c r="F174" s="30" t="inlineStr">
        <is>
          <t>recreation / amusement parks</t>
        </is>
      </c>
      <c r="G174" s="30" t="inlineStr">
        <is>
          <t>smallcap</t>
        </is>
      </c>
      <c r="H174" s="31" t="n">
        <v>1946.16</v>
      </c>
      <c r="I174" s="31" t="n">
        <v>76.84</v>
      </c>
      <c r="J174" s="31" t="n">
        <v>5.72</v>
      </c>
      <c r="K174" s="31" t="n">
        <v>26445158</v>
      </c>
      <c r="L174" s="30" t="n">
        <v>11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63.86</v>
      </c>
      <c r="P174" s="31" t="n">
        <v>22.19</v>
      </c>
      <c r="Q174" s="31" t="n">
        <v>57.02</v>
      </c>
      <c r="R174" s="30" t="inlineStr">
        <is>
          <t>Volume Spike / Accumulation</t>
        </is>
      </c>
      <c r="S174" s="30" t="inlineStr">
        <is>
          <t>Nifty 50</t>
        </is>
      </c>
      <c r="T174" s="31" t="n">
        <v>-6.14</v>
      </c>
      <c r="U174" s="31" t="n">
        <v>-3.58</v>
      </c>
      <c r="V174" s="31" t="n">
        <v>2.72</v>
      </c>
      <c r="W174" s="31" t="n">
        <v>4.61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1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IF(B175=0,"",RANK(B175,$B$2:$B$290,0))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DYNAMATECH</t>
        </is>
      </c>
      <c r="D175" s="30" t="inlineStr">
        <is>
          <t>Dynamatic Technologies Limited</t>
        </is>
      </c>
      <c r="E175" s="30" t="inlineStr">
        <is>
          <t>aerospace &amp; defence</t>
        </is>
      </c>
      <c r="F175" s="30" t="inlineStr">
        <is>
          <t>engineering</t>
        </is>
      </c>
      <c r="G175" s="30" t="inlineStr">
        <is>
          <t>midcap</t>
        </is>
      </c>
      <c r="H175" s="31" t="n">
        <v>8523.940000000001</v>
      </c>
      <c r="I175" s="31" t="n">
        <v>13153</v>
      </c>
      <c r="J175" s="31" t="n">
        <v>4.8</v>
      </c>
      <c r="K175" s="31" t="n">
        <v>38127</v>
      </c>
      <c r="L175" s="30" t="n">
        <v>61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67.95999999999999</v>
      </c>
      <c r="P175" s="31" t="n">
        <v>26.55</v>
      </c>
      <c r="Q175" s="31" t="n">
        <v>10002.16</v>
      </c>
      <c r="R175" s="30" t="inlineStr">
        <is>
          <t>Volume Spike &amp; Near 52W High Breakout</t>
        </is>
      </c>
      <c r="S175" s="30" t="inlineStr">
        <is>
          <t>Nifty 50</t>
        </is>
      </c>
      <c r="T175" s="31" t="n">
        <v>-6.14</v>
      </c>
      <c r="U175" s="31" t="n">
        <v>90.11</v>
      </c>
      <c r="V175" s="31" t="n">
        <v>102.55</v>
      </c>
      <c r="W175" s="31" t="n">
        <v>20.62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Between 0.7 to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IF(B176=0,"",RANK(B176,$B$2:$B$290,0))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SAMBHV</t>
        </is>
      </c>
      <c r="D176" s="30" t="inlineStr">
        <is>
          <t>Sambhv Steel Tubes Ltd</t>
        </is>
      </c>
      <c r="E176" s="30" t="inlineStr">
        <is>
          <t>metals &amp; mining</t>
        </is>
      </c>
      <c r="F176" s="30" t="inlineStr">
        <is>
          <t>steel - medium / small</t>
        </is>
      </c>
      <c r="G176" s="30" t="inlineStr">
        <is>
          <t>smallcap</t>
        </is>
      </c>
      <c r="H176" s="31" t="n">
        <v>4489.61</v>
      </c>
      <c r="I176" s="31" t="n">
        <v>159.12</v>
      </c>
      <c r="J176" s="31" t="n">
        <v>4.44</v>
      </c>
      <c r="K176" s="31" t="n">
        <v>5127428</v>
      </c>
      <c r="L176" s="30" t="inlineStr"/>
      <c r="M176" s="30" t="inlineStr"/>
      <c r="N176" s="31">
        <f>IF(M176="Underperforming",-5,IF(L176&gt;=95,15,IF(L176&gt;=90,10,IF(L176&gt;=80,5,0))))</f>
        <v/>
      </c>
      <c r="O176" s="31" t="n">
        <v>78.29000000000001</v>
      </c>
      <c r="P176" s="31" t="n">
        <v>42.09</v>
      </c>
      <c r="Q176" s="31" t="n">
        <v>124.44</v>
      </c>
      <c r="R176" s="30" t="inlineStr">
        <is>
          <t>Volume Spike &amp; Near 52W High Breakout</t>
        </is>
      </c>
      <c r="S176" s="30" t="inlineStr">
        <is>
          <t>Nifty Metal</t>
        </is>
      </c>
      <c r="T176" s="31" t="inlineStr"/>
      <c r="U176" s="31" t="inlineStr"/>
      <c r="V176" s="31" t="inlineStr"/>
      <c r="W176" s="31" t="inlineStr"/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Cyclical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Volatile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IF(B177=0,"",RANK(B177,$B$2:$B$290,0))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GANESHBE</t>
        </is>
      </c>
      <c r="D177" s="30" t="inlineStr">
        <is>
          <t>Ganesh Benzoplast Ltd</t>
        </is>
      </c>
      <c r="E177" s="30" t="inlineStr">
        <is>
          <t>miscellaneous</t>
        </is>
      </c>
      <c r="F177" s="30" t="inlineStr">
        <is>
          <t>miscellaneous</t>
        </is>
      </c>
      <c r="G177" s="30" t="inlineStr">
        <is>
          <t>smallcap</t>
        </is>
      </c>
      <c r="H177" s="31" t="n">
        <v>910.59</v>
      </c>
      <c r="I177" s="31" t="n">
        <v>130.84</v>
      </c>
      <c r="J177" s="31" t="n">
        <v>3.44</v>
      </c>
      <c r="K177" s="31" t="n">
        <v>352767</v>
      </c>
      <c r="L177" s="30" t="n">
        <v>44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67.40000000000001</v>
      </c>
      <c r="P177" s="31" t="n">
        <v>31.76</v>
      </c>
      <c r="Q177" s="31" t="n">
        <v>96.90000000000001</v>
      </c>
      <c r="R177" s="30" t="inlineStr">
        <is>
          <t>Near 52W High Breakout</t>
        </is>
      </c>
      <c r="S177" s="30" t="inlineStr">
        <is>
          <t>Nifty 50</t>
        </is>
      </c>
      <c r="T177" s="31" t="n">
        <v>-6.14</v>
      </c>
      <c r="U177" s="31" t="n">
        <v>47.03</v>
      </c>
      <c r="V177" s="31" t="n">
        <v>56.65</v>
      </c>
      <c r="W177" s="31" t="n">
        <v>14.67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IF(B178=0,"",RANK(B178,$B$2:$B$290,0))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SMLMAH</t>
        </is>
      </c>
      <c r="D178" s="30" t="inlineStr">
        <is>
          <t>SML Mahindra Ltd</t>
        </is>
      </c>
      <c r="E178" s="30" t="inlineStr">
        <is>
          <t>auto</t>
        </is>
      </c>
      <c r="F178" s="30" t="inlineStr">
        <is>
          <t>automobiles - lcvs / hcvs</t>
        </is>
      </c>
      <c r="G178" s="30" t="inlineStr">
        <is>
          <t>midcap</t>
        </is>
      </c>
      <c r="H178" s="31" t="n">
        <v>9555.629999999999</v>
      </c>
      <c r="I178" s="31" t="n">
        <v>6825.5</v>
      </c>
      <c r="J178" s="31" t="n">
        <v>3.37</v>
      </c>
      <c r="K178" s="31" t="n">
        <v>50096</v>
      </c>
      <c r="L178" s="30" t="inlineStr"/>
      <c r="M178" s="30" t="inlineStr"/>
      <c r="N178" s="31">
        <f>IF(M178="Underperforming",-5,IF(L178&gt;=95,15,IF(L178&gt;=90,10,IF(L178&gt;=80,5,0))))</f>
        <v/>
      </c>
      <c r="O178" s="31" t="n">
        <v>71.31999999999999</v>
      </c>
      <c r="P178" s="31" t="n">
        <v>30.19</v>
      </c>
      <c r="Q178" s="31" t="n">
        <v>5084.31</v>
      </c>
      <c r="R178" s="30" t="inlineStr">
        <is>
          <t>Near 52W High Breakout</t>
        </is>
      </c>
      <c r="S178" s="30" t="inlineStr">
        <is>
          <t>Nifty Auto</t>
        </is>
      </c>
      <c r="T178" s="31" t="inlineStr"/>
      <c r="U178" s="31" t="inlineStr"/>
      <c r="V178" s="31" t="inlineStr"/>
      <c r="W178" s="31" t="inlineStr"/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IF(B179=0,"",RANK(B179,$B$2:$B$290,0))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NEOGEN</t>
        </is>
      </c>
      <c r="D179" s="30" t="inlineStr">
        <is>
          <t>Neogen Chemicals Ltd</t>
        </is>
      </c>
      <c r="E179" s="30" t="inlineStr">
        <is>
          <t>chemicals</t>
        </is>
      </c>
      <c r="F179" s="30" t="inlineStr">
        <is>
          <t>chemicals</t>
        </is>
      </c>
      <c r="G179" s="30" t="inlineStr">
        <is>
          <t>midcap</t>
        </is>
      </c>
      <c r="H179" s="31" t="n">
        <v>6988.17</v>
      </c>
      <c r="I179" s="31" t="n">
        <v>2385.2</v>
      </c>
      <c r="J179" s="31" t="n">
        <v>2.54</v>
      </c>
      <c r="K179" s="31" t="n">
        <v>163069</v>
      </c>
      <c r="L179" s="30" t="n">
        <v>56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66.88</v>
      </c>
      <c r="P179" s="31" t="n">
        <v>58.15</v>
      </c>
      <c r="Q179" s="31" t="n">
        <v>1873.2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-6.14</v>
      </c>
      <c r="U179" s="31" t="n">
        <v>57.08</v>
      </c>
      <c r="V179" s="31" t="n">
        <v>67.36</v>
      </c>
      <c r="W179" s="31" t="n">
        <v>18.33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Above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More than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IF(B180=0,"",RANK(B180,$B$2:$B$290,0))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BELRISE</t>
        </is>
      </c>
      <c r="D180" s="30" t="inlineStr">
        <is>
          <t>Belrise Industries Ltd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largecap</t>
        </is>
      </c>
      <c r="H180" s="31" t="n">
        <v>23562.72</v>
      </c>
      <c r="I180" s="31" t="n">
        <v>247.92</v>
      </c>
      <c r="J180" s="31" t="n">
        <v>1.76</v>
      </c>
      <c r="K180" s="31" t="n">
        <v>3073786</v>
      </c>
      <c r="L180" s="30" t="inlineStr"/>
      <c r="M180" s="30" t="inlineStr"/>
      <c r="N180" s="31">
        <f>IF(M180="Underperforming",-5,IF(L180&gt;=95,15,IF(L180&gt;=90,10,IF(L180&gt;=80,5,0))))</f>
        <v/>
      </c>
      <c r="O180" s="31" t="n">
        <v>62.05</v>
      </c>
      <c r="P180" s="31" t="n">
        <v>34.41</v>
      </c>
      <c r="Q180" s="31" t="n">
        <v>208</v>
      </c>
      <c r="R180" s="30" t="inlineStr">
        <is>
          <t>Near 52W High Breakout</t>
        </is>
      </c>
      <c r="S180" s="30" t="inlineStr">
        <is>
          <t>Nifty Auto</t>
        </is>
      </c>
      <c r="T180" s="31" t="inlineStr"/>
      <c r="U180" s="31" t="inlineStr"/>
      <c r="V180" s="31" t="inlineStr"/>
      <c r="W180" s="31" t="inlineStr"/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IF(B181=0,"",RANK(B181,$B$2:$B$290,0))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VSSL</t>
        </is>
      </c>
      <c r="D181" s="30" t="inlineStr">
        <is>
          <t>Vardhman Special Steels Limited</t>
        </is>
      </c>
      <c r="E181" s="30" t="inlineStr">
        <is>
          <t>metals &amp; mining</t>
        </is>
      </c>
      <c r="F181" s="30" t="inlineStr">
        <is>
          <t>steel - medium / small</t>
        </is>
      </c>
      <c r="G181" s="30" t="inlineStr">
        <is>
          <t>smallcap</t>
        </is>
      </c>
      <c r="H181" s="31" t="n">
        <v>3915.77</v>
      </c>
      <c r="I181" s="31" t="n">
        <v>411.5</v>
      </c>
      <c r="J181" s="31" t="n">
        <v>1.6</v>
      </c>
      <c r="K181" s="31" t="n">
        <v>78218</v>
      </c>
      <c r="L181" s="30" t="inlineStr"/>
      <c r="M181" s="30" t="inlineStr"/>
      <c r="N181" s="31">
        <f>IF(M181="Underperforming",-5,IF(L181&gt;=95,15,IF(L181&gt;=90,10,IF(L181&gt;=80,5,0))))</f>
        <v/>
      </c>
      <c r="O181" s="31" t="n">
        <v>84</v>
      </c>
      <c r="P181" s="31" t="n">
        <v>46.61</v>
      </c>
      <c r="Q181" s="31" t="n">
        <v>323.32</v>
      </c>
      <c r="R181" s="30" t="inlineStr">
        <is>
          <t>Near 52W High Breakout</t>
        </is>
      </c>
      <c r="S181" s="30" t="inlineStr">
        <is>
          <t>Nifty Metal</t>
        </is>
      </c>
      <c r="T181" s="31" t="inlineStr"/>
      <c r="U181" s="31" t="inlineStr"/>
      <c r="V181" s="31" t="inlineStr"/>
      <c r="W181" s="31" t="inlineStr"/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Cyclical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Volatile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IF(B182=0,"",RANK(B182,$B$2:$B$290,0))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MMP</t>
        </is>
      </c>
      <c r="D182" s="30" t="inlineStr">
        <is>
          <t>MMP Industries Ltd</t>
        </is>
      </c>
      <c r="E182" s="30" t="inlineStr">
        <is>
          <t>metals &amp; mining</t>
        </is>
      </c>
      <c r="F182" s="30" t="inlineStr">
        <is>
          <t>aluminium and aluminium products</t>
        </is>
      </c>
      <c r="G182" s="30" t="inlineStr">
        <is>
          <t>smallcap</t>
        </is>
      </c>
      <c r="H182" s="31" t="n">
        <v>1153.15</v>
      </c>
      <c r="I182" s="31" t="n">
        <v>460.25</v>
      </c>
      <c r="J182" s="31" t="n">
        <v>1.39</v>
      </c>
      <c r="K182" s="31" t="n">
        <v>37919</v>
      </c>
      <c r="L182" s="30" t="inlineStr"/>
      <c r="M182" s="30" t="inlineStr"/>
      <c r="N182" s="31">
        <f>IF(M182="Underperforming",-5,IF(L182&gt;=95,15,IF(L182&gt;=90,10,IF(L182&gt;=80,5,0))))</f>
        <v/>
      </c>
      <c r="O182" s="31" t="n">
        <v>81.31</v>
      </c>
      <c r="P182" s="31" t="n">
        <v>56.5</v>
      </c>
      <c r="Q182" s="31" t="n">
        <v>349.62</v>
      </c>
      <c r="R182" s="30" t="inlineStr">
        <is>
          <t>Near 52W High Breakout</t>
        </is>
      </c>
      <c r="S182" s="30" t="inlineStr">
        <is>
          <t>Nifty Metal</t>
        </is>
      </c>
      <c r="T182" s="31" t="inlineStr"/>
      <c r="U182" s="31" t="inlineStr"/>
      <c r="V182" s="31" t="inlineStr"/>
      <c r="W182" s="31" t="inlineStr"/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Cyclical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Volatile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Above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IF(B183=0,"",RANK(B183,$B$2:$B$290,0))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GESHIP</t>
        </is>
      </c>
      <c r="D183" s="30" t="inlineStr">
        <is>
          <t>The Great Eastern Shipping Company Limited</t>
        </is>
      </c>
      <c r="E183" s="30" t="inlineStr">
        <is>
          <t>transportation</t>
        </is>
      </c>
      <c r="F183" s="30" t="inlineStr">
        <is>
          <t>shipping</t>
        </is>
      </c>
      <c r="G183" s="30" t="inlineStr">
        <is>
          <t>largecap</t>
        </is>
      </c>
      <c r="H183" s="31" t="n">
        <v>21166.66</v>
      </c>
      <c r="I183" s="31" t="n">
        <v>1497.2</v>
      </c>
      <c r="J183" s="31" t="n">
        <v>0.98</v>
      </c>
      <c r="K183" s="31" t="n">
        <v>454472</v>
      </c>
      <c r="L183" s="30" t="n">
        <v>28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59.39</v>
      </c>
      <c r="P183" s="31" t="n">
        <v>23.23</v>
      </c>
      <c r="Q183" s="31" t="n">
        <v>1169.75</v>
      </c>
      <c r="R183" s="30" t="inlineStr">
        <is>
          <t>Earnings / Momentum Support</t>
        </is>
      </c>
      <c r="S183" s="30" t="inlineStr">
        <is>
          <t>Nifty 50</t>
        </is>
      </c>
      <c r="T183" s="31" t="n">
        <v>-6.14</v>
      </c>
      <c r="U183" s="31" t="n">
        <v>55.22</v>
      </c>
      <c r="V183" s="31" t="n">
        <v>65.37</v>
      </c>
      <c r="W183" s="31" t="n">
        <v>9.890000000000001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IF(B184=0,"",RANK(B184,$B$2:$B$290,0))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RGL</t>
        </is>
      </c>
      <c r="D184" s="30" t="inlineStr">
        <is>
          <t>Renaissance Global Ltd</t>
        </is>
      </c>
      <c r="E184" s="30" t="inlineStr">
        <is>
          <t>consumer discretionary</t>
        </is>
      </c>
      <c r="F184" s="30" t="inlineStr">
        <is>
          <t>diamond cutting / jewellery</t>
        </is>
      </c>
      <c r="G184" s="30" t="inlineStr">
        <is>
          <t>smallcap</t>
        </is>
      </c>
      <c r="H184" s="31" t="n">
        <v>1785.54</v>
      </c>
      <c r="I184" s="31" t="n">
        <v>167.47</v>
      </c>
      <c r="J184" s="31" t="n">
        <v>0.7</v>
      </c>
      <c r="K184" s="31" t="n">
        <v>471415</v>
      </c>
      <c r="L184" s="30" t="n">
        <v>58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77.27</v>
      </c>
      <c r="P184" s="31" t="n">
        <v>31.64</v>
      </c>
      <c r="Q184" s="31" t="n">
        <v>125.55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-6.14</v>
      </c>
      <c r="U184" s="31" t="n">
        <v>47.21</v>
      </c>
      <c r="V184" s="31" t="n">
        <v>56.85</v>
      </c>
      <c r="W184" s="31" t="n">
        <v>19.3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IF(B185=0,"",RANK(B185,$B$2:$B$290,0))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RAIN</t>
        </is>
      </c>
      <c r="D185" s="30" t="inlineStr">
        <is>
          <t>Rain Industries Limited</t>
        </is>
      </c>
      <c r="E185" s="30" t="inlineStr">
        <is>
          <t>miscellaneous</t>
        </is>
      </c>
      <c r="F185" s="30" t="inlineStr">
        <is>
          <t>miscellaneous</t>
        </is>
      </c>
      <c r="G185" s="30" t="inlineStr">
        <is>
          <t>midcap</t>
        </is>
      </c>
      <c r="H185" s="31" t="n">
        <v>7340.07</v>
      </c>
      <c r="I185" s="31" t="n">
        <v>219.35</v>
      </c>
      <c r="J185" s="31" t="n">
        <v>0.51</v>
      </c>
      <c r="K185" s="31" t="n">
        <v>3244552</v>
      </c>
      <c r="L185" s="30" t="n">
        <v>57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64.48</v>
      </c>
      <c r="P185" s="31" t="n">
        <v>45.13</v>
      </c>
      <c r="Q185" s="31" t="n">
        <v>166.21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-6.14</v>
      </c>
      <c r="U185" s="31" t="n">
        <v>69.73999999999999</v>
      </c>
      <c r="V185" s="31" t="n">
        <v>80.84999999999999</v>
      </c>
      <c r="W185" s="31" t="n">
        <v>18.61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Above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Between 50% to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More than 1.2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IF(B186=0,"",RANK(B186,$B$2:$B$290,0))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RAYMONDREL</t>
        </is>
      </c>
      <c r="D186" s="30" t="inlineStr">
        <is>
          <t>Raymond Realty Ltd</t>
        </is>
      </c>
      <c r="E186" s="30" t="inlineStr">
        <is>
          <t>realty</t>
        </is>
      </c>
      <c r="F186" s="30" t="inlineStr">
        <is>
          <t>construction</t>
        </is>
      </c>
      <c r="G186" s="30" t="inlineStr">
        <is>
          <t>smallcap</t>
        </is>
      </c>
      <c r="H186" s="31" t="n">
        <v>4715.42</v>
      </c>
      <c r="I186" s="31" t="n">
        <v>711.3</v>
      </c>
      <c r="J186" s="31" t="n">
        <v>0.42</v>
      </c>
      <c r="K186" s="31" t="n">
        <v>8688746</v>
      </c>
      <c r="L186" s="30" t="inlineStr"/>
      <c r="M186" s="30" t="inlineStr"/>
      <c r="N186" s="31">
        <f>IF(M186="Underperforming",-5,IF(L186&gt;=95,15,IF(L186&gt;=90,10,IF(L186&gt;=80,5,0))))</f>
        <v/>
      </c>
      <c r="O186" s="31" t="n">
        <v>61.19</v>
      </c>
      <c r="P186" s="31" t="n">
        <v>33.12</v>
      </c>
      <c r="Q186" s="31" t="n">
        <v>496.09</v>
      </c>
      <c r="R186" s="30" t="inlineStr">
        <is>
          <t>Volume Spike &amp; Near 52W High Breakout</t>
        </is>
      </c>
      <c r="S186" s="30" t="inlineStr">
        <is>
          <t>Nifty Realty</t>
        </is>
      </c>
      <c r="T186" s="31" t="inlineStr"/>
      <c r="U186" s="31" t="inlineStr"/>
      <c r="V186" s="31" t="inlineStr"/>
      <c r="W186" s="31" t="inlineStr"/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IF(B187=0,"",RANK(B187,$B$2:$B$290,0))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JAMNAAUTO</t>
        </is>
      </c>
      <c r="D187" s="30" t="inlineStr">
        <is>
          <t>Jamna Auto Industries Limited</t>
        </is>
      </c>
      <c r="E187" s="30" t="inlineStr">
        <is>
          <t>auto</t>
        </is>
      </c>
      <c r="F187" s="30" t="inlineStr">
        <is>
          <t>auto ancillaries</t>
        </is>
      </c>
      <c r="G187" s="30" t="inlineStr">
        <is>
          <t>midcap</t>
        </is>
      </c>
      <c r="H187" s="31" t="n">
        <v>5532.65</v>
      </c>
      <c r="I187" s="31" t="n">
        <v>138.2</v>
      </c>
      <c r="J187" s="31" t="n">
        <v>-0.14</v>
      </c>
      <c r="K187" s="31" t="n">
        <v>3496903</v>
      </c>
      <c r="L187" s="30" t="inlineStr"/>
      <c r="M187" s="30" t="inlineStr"/>
      <c r="N187" s="31">
        <f>IF(M187="Underperforming",-5,IF(L187&gt;=95,15,IF(L187&gt;=90,10,IF(L187&gt;=80,5,0))))</f>
        <v/>
      </c>
      <c r="O187" s="31" t="n">
        <v>56.69</v>
      </c>
      <c r="P187" s="31" t="n">
        <v>32.65</v>
      </c>
      <c r="Q187" s="31" t="n">
        <v>107.66</v>
      </c>
      <c r="R187" s="30" t="inlineStr">
        <is>
          <t>Volume Spike / Accumulation</t>
        </is>
      </c>
      <c r="S187" s="30" t="inlineStr">
        <is>
          <t>Nifty Auto</t>
        </is>
      </c>
      <c r="T187" s="31" t="inlineStr"/>
      <c r="U187" s="31" t="inlineStr"/>
      <c r="V187" s="31" t="inlineStr"/>
      <c r="W187" s="31" t="inlineStr"/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IF(B188=0,"",RANK(B188,$B$2:$B$290,0))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GANDHITUBE</t>
        </is>
      </c>
      <c r="D188" s="30" t="inlineStr">
        <is>
          <t>Gandhi Special Tubes Limited</t>
        </is>
      </c>
      <c r="E188" s="30" t="inlineStr">
        <is>
          <t>metals &amp; mining</t>
        </is>
      </c>
      <c r="F188" s="30" t="inlineStr">
        <is>
          <t>steel - medium / small</t>
        </is>
      </c>
      <c r="G188" s="30" t="inlineStr">
        <is>
          <t>smallcap</t>
        </is>
      </c>
      <c r="H188" s="31" t="n">
        <v>1104.81</v>
      </c>
      <c r="I188" s="31" t="n">
        <v>966.5</v>
      </c>
      <c r="J188" s="31" t="n">
        <v>-1.29</v>
      </c>
      <c r="K188" s="31" t="n">
        <v>7495</v>
      </c>
      <c r="L188" s="30" t="inlineStr"/>
      <c r="M188" s="30" t="inlineStr"/>
      <c r="N188" s="31">
        <f>IF(M188="Underperforming",-5,IF(L188&gt;=95,15,IF(L188&gt;=90,10,IF(L188&gt;=80,5,0))))</f>
        <v/>
      </c>
      <c r="O188" s="31" t="n">
        <v>68.81</v>
      </c>
      <c r="P188" s="31" t="n">
        <v>32.01</v>
      </c>
      <c r="Q188" s="31" t="n">
        <v>794.35</v>
      </c>
      <c r="R188" s="30" t="inlineStr">
        <is>
          <t>Volume Spike &amp; Near 52W High Breakout</t>
        </is>
      </c>
      <c r="S188" s="30" t="inlineStr">
        <is>
          <t>Nifty Metal</t>
        </is>
      </c>
      <c r="T188" s="31" t="inlineStr"/>
      <c r="U188" s="31" t="inlineStr"/>
      <c r="V188" s="31" t="inlineStr"/>
      <c r="W188" s="31" t="inlineStr"/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Cyclical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Volatile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IF(B189=0,"",RANK(B189,$B$2:$B$290,0))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AGI</t>
        </is>
      </c>
      <c r="D189" s="32" t="inlineStr">
        <is>
          <t>AGI Greenpac Ltd</t>
        </is>
      </c>
      <c r="E189" s="30" t="inlineStr">
        <is>
          <t>industrials</t>
        </is>
      </c>
      <c r="F189" s="30" t="inlineStr">
        <is>
          <t>packaging</t>
        </is>
      </c>
      <c r="G189" s="30" t="inlineStr">
        <is>
          <t>midcap</t>
        </is>
      </c>
      <c r="H189" s="31" t="n">
        <v>5313.92</v>
      </c>
      <c r="I189" s="31" t="n">
        <v>803.35</v>
      </c>
      <c r="J189" s="31" t="n">
        <v>-2.19</v>
      </c>
      <c r="K189" s="31" t="n">
        <v>182324</v>
      </c>
      <c r="L189" s="30" t="n">
        <v>13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65.11</v>
      </c>
      <c r="P189" s="31" t="n">
        <v>33.97</v>
      </c>
      <c r="Q189" s="31" t="n">
        <v>625.79</v>
      </c>
      <c r="R189" s="30" t="inlineStr">
        <is>
          <t>Volume Spike / Accumulation</t>
        </is>
      </c>
      <c r="S189" s="30" t="inlineStr">
        <is>
          <t>Nifty 50</t>
        </is>
      </c>
      <c r="T189" s="31" t="n">
        <v>-6.14</v>
      </c>
      <c r="U189" s="31" t="n">
        <v>-6.91</v>
      </c>
      <c r="V189" s="31" t="n">
        <v>-0.82</v>
      </c>
      <c r="W189" s="31" t="n">
        <v>5.37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IF(B190=0,"",RANK(B190,$B$2:$B$290,0))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UGARSUGAR</t>
        </is>
      </c>
      <c r="D190" s="30" t="inlineStr">
        <is>
          <t>The Ugar Sugar Works Limited</t>
        </is>
      </c>
      <c r="E190" s="30" t="inlineStr">
        <is>
          <t>fmcg</t>
        </is>
      </c>
      <c r="F190" s="30" t="inlineStr">
        <is>
          <t>sugar</t>
        </is>
      </c>
      <c r="G190" s="30" t="inlineStr">
        <is>
          <t>smallcap</t>
        </is>
      </c>
      <c r="H190" s="31" t="n">
        <v>627.41</v>
      </c>
      <c r="I190" s="31" t="n">
        <v>64.03</v>
      </c>
      <c r="J190" s="31" t="n">
        <v>14.81</v>
      </c>
      <c r="K190" s="31" t="n">
        <v>13699429</v>
      </c>
      <c r="L190" s="30" t="inlineStr"/>
      <c r="M190" s="30" t="inlineStr"/>
      <c r="N190" s="31">
        <f>IF(M190="Underperforming",-5,IF(L190&gt;=95,15,IF(L190&gt;=90,10,IF(L190&gt;=80,5,0))))</f>
        <v/>
      </c>
      <c r="O190" s="31" t="n">
        <v>80.67</v>
      </c>
      <c r="P190" s="31" t="n">
        <v>32.6</v>
      </c>
      <c r="Q190" s="31" t="n">
        <v>46.03</v>
      </c>
      <c r="R190" s="30" t="inlineStr">
        <is>
          <t>Volume Spike &amp; Near 52W High Breakout</t>
        </is>
      </c>
      <c r="S190" s="30" t="inlineStr">
        <is>
          <t>Nifty FMCG</t>
        </is>
      </c>
      <c r="T190" s="31" t="inlineStr"/>
      <c r="U190" s="31" t="inlineStr"/>
      <c r="V190" s="31" t="inlineStr"/>
      <c r="W190" s="31" t="inlineStr"/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B2C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Annuity, Lower One Time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Above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More than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IF(B191=0,"",RANK(B191,$B$2:$B$290,0))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SUPRIYA</t>
        </is>
      </c>
      <c r="D191" s="30" t="inlineStr">
        <is>
          <t>Supriya Lifescience Ltd</t>
        </is>
      </c>
      <c r="E191" s="30" t="inlineStr">
        <is>
          <t>healthcare</t>
        </is>
      </c>
      <c r="F191" s="30" t="inlineStr">
        <is>
          <t>pharmaceuticals - indian - bulk drugs &amp; formln</t>
        </is>
      </c>
      <c r="G191" s="30" t="inlineStr">
        <is>
          <t>midcap</t>
        </is>
      </c>
      <c r="H191" s="31" t="n">
        <v>7740.43</v>
      </c>
      <c r="I191" s="31" t="n">
        <v>985.2</v>
      </c>
      <c r="J191" s="31" t="n">
        <v>2.44</v>
      </c>
      <c r="K191" s="31" t="n">
        <v>326713</v>
      </c>
      <c r="L191" s="30" t="n">
        <v>33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64.27</v>
      </c>
      <c r="P191" s="31" t="n">
        <v>37.13</v>
      </c>
      <c r="Q191" s="31" t="n">
        <v>731.05</v>
      </c>
      <c r="R191" s="30" t="inlineStr">
        <is>
          <t>Volume Spike &amp; Near 52W High Breakout</t>
        </is>
      </c>
      <c r="S191" s="30" t="inlineStr">
        <is>
          <t>Nifty Pharma</t>
        </is>
      </c>
      <c r="T191" s="31" t="n">
        <v>25.55</v>
      </c>
      <c r="U191" s="31" t="n">
        <v>40.51</v>
      </c>
      <c r="V191" s="31" t="n">
        <v>11.91</v>
      </c>
      <c r="W191" s="31" t="n">
        <v>11.05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Yes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Annuity, Lower One Time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Less than 12%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IF(B192=0,"",RANK(B192,$B$2:$B$290,0))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2" t="inlineStr">
        <is>
          <t>APLLTD</t>
        </is>
      </c>
      <c r="D192" s="32" t="inlineStr">
        <is>
          <t>Alembic Pharmaceuticals Limited</t>
        </is>
      </c>
      <c r="E192" s="30" t="inlineStr">
        <is>
          <t>healthcare</t>
        </is>
      </c>
      <c r="F192" s="30" t="inlineStr">
        <is>
          <t>pharmaceuticals - indian - bulk drugs &amp; formln</t>
        </is>
      </c>
      <c r="G192" s="30" t="inlineStr">
        <is>
          <t>midcap</t>
        </is>
      </c>
      <c r="H192" s="31" t="n">
        <v>16707.87</v>
      </c>
      <c r="I192" s="31" t="n">
        <v>863.75</v>
      </c>
      <c r="J192" s="31" t="n">
        <v>1.62</v>
      </c>
      <c r="K192" s="31" t="n">
        <v>309225</v>
      </c>
      <c r="L192" s="30" t="n">
        <v>5</v>
      </c>
      <c r="M192" s="30" t="inlineStr">
        <is>
          <t>Underperforming</t>
        </is>
      </c>
      <c r="N192" s="31">
        <f>IF(M192="Underperforming",-5,IF(L192&gt;=95,15,IF(L192&gt;=90,10,IF(L192&gt;=80,5,0))))</f>
        <v/>
      </c>
      <c r="O192" s="31" t="n">
        <v>64.13</v>
      </c>
      <c r="P192" s="31" t="n">
        <v>21.88</v>
      </c>
      <c r="Q192" s="31" t="n">
        <v>719.54</v>
      </c>
      <c r="R192" s="30" t="inlineStr">
        <is>
          <t>Volume Spike / Accumulation</t>
        </is>
      </c>
      <c r="S192" s="30" t="inlineStr">
        <is>
          <t>Nifty Pharma</t>
        </is>
      </c>
      <c r="T192" s="31" t="n">
        <v>25.55</v>
      </c>
      <c r="U192" s="31" t="n">
        <v>-3.66</v>
      </c>
      <c r="V192" s="31" t="n">
        <v>-23.27</v>
      </c>
      <c r="W192" s="31" t="n">
        <v>2.9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Yes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Annuity, Lower One Time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Between 12 to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IF(B193=0,"",RANK(B193,$B$2:$B$290,0))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SBCL</t>
        </is>
      </c>
      <c r="D193" s="30" t="inlineStr">
        <is>
          <t>Shivalik Bimetal Controls Ltd</t>
        </is>
      </c>
      <c r="E193" s="30" t="inlineStr">
        <is>
          <t>metals &amp; mining</t>
        </is>
      </c>
      <c r="F193" s="30" t="inlineStr">
        <is>
          <t>mining / minerals / metals</t>
        </is>
      </c>
      <c r="G193" s="30" t="inlineStr">
        <is>
          <t>midcap</t>
        </is>
      </c>
      <c r="H193" s="31" t="n">
        <v>6585.31</v>
      </c>
      <c r="I193" s="31" t="n">
        <v>1154.5</v>
      </c>
      <c r="J193" s="31" t="n">
        <v>0.99</v>
      </c>
      <c r="K193" s="31" t="n">
        <v>142912</v>
      </c>
      <c r="L193" s="30" t="inlineStr"/>
      <c r="M193" s="30" t="inlineStr"/>
      <c r="N193" s="31">
        <f>IF(M193="Underperforming",-5,IF(L193&gt;=95,15,IF(L193&gt;=90,10,IF(L193&gt;=80,5,0))))</f>
        <v/>
      </c>
      <c r="O193" s="31" t="n">
        <v>77.94</v>
      </c>
      <c r="P193" s="31" t="n">
        <v>52.9</v>
      </c>
      <c r="Q193" s="31" t="n">
        <v>867.67</v>
      </c>
      <c r="R193" s="30" t="inlineStr">
        <is>
          <t>Near 52W High Breakout</t>
        </is>
      </c>
      <c r="S193" s="30" t="inlineStr">
        <is>
          <t>Nifty Metal</t>
        </is>
      </c>
      <c r="T193" s="31" t="inlineStr"/>
      <c r="U193" s="31" t="inlineStr"/>
      <c r="V193" s="31" t="inlineStr"/>
      <c r="W193" s="31" t="inlineStr"/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Monopoly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Shallow Cyclical (2 to 3 Years Growth)</t>
        </is>
      </c>
      <c r="AG193" s="30">
        <f>IF(AF193="Structural (10 Years Consistency)",10,IF(AF193="Shallow Cyclical (2 to 3 years growth)",5,0))</f>
        <v/>
      </c>
      <c r="AH193" s="30" t="inlineStr">
        <is>
          <t>Yes due to Product Mix change or Operating Leverage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Fully One Time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Yes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Between 1.5 to 2</t>
        </is>
      </c>
      <c r="BU193" s="30">
        <f>IF(BT193="Above 2",0,IF(BT193="Between 1.5 to 2",5,IF(BT193="Less than 1.5",10,0)))</f>
        <v/>
      </c>
      <c r="BV193" s="30" t="inlineStr">
        <is>
          <t>Less than 50%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IF(B194=0,"",RANK(B194,$B$2:$B$290,0))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2" t="inlineStr">
        <is>
          <t>WINDLAS</t>
        </is>
      </c>
      <c r="D194" s="32" t="inlineStr">
        <is>
          <t>Windlas Biotech Ltd</t>
        </is>
      </c>
      <c r="E194" s="30" t="inlineStr">
        <is>
          <t>healthcare</t>
        </is>
      </c>
      <c r="F194" s="30" t="inlineStr">
        <is>
          <t>pharmaceuticals - indian - formulations</t>
        </is>
      </c>
      <c r="G194" s="30" t="inlineStr">
        <is>
          <t>smallcap</t>
        </is>
      </c>
      <c r="H194" s="31" t="n">
        <v>2257.19</v>
      </c>
      <c r="I194" s="31" t="n">
        <v>1102.55</v>
      </c>
      <c r="J194" s="31" t="n">
        <v>0.8</v>
      </c>
      <c r="K194" s="31" t="n">
        <v>41768</v>
      </c>
      <c r="L194" s="30" t="n">
        <v>31</v>
      </c>
      <c r="M194" s="30" t="inlineStr">
        <is>
          <t>Underperforming</t>
        </is>
      </c>
      <c r="N194" s="31">
        <f>IF(M194="Underperforming",-5,IF(L194&gt;=95,15,IF(L194&gt;=90,10,IF(L194&gt;=80,5,0))))</f>
        <v/>
      </c>
      <c r="O194" s="31" t="n">
        <v>73.72</v>
      </c>
      <c r="P194" s="31" t="n">
        <v>36.12</v>
      </c>
      <c r="Q194" s="31" t="n">
        <v>897.86</v>
      </c>
      <c r="R194" s="30" t="inlineStr">
        <is>
          <t>Near 52W High Breakout</t>
        </is>
      </c>
      <c r="S194" s="30" t="inlineStr">
        <is>
          <t>Nifty Pharma</t>
        </is>
      </c>
      <c r="T194" s="31" t="n">
        <v>25.55</v>
      </c>
      <c r="U194" s="31" t="n">
        <v>20.39</v>
      </c>
      <c r="V194" s="31" t="n">
        <v>-4.11</v>
      </c>
      <c r="W194" s="31" t="n">
        <v>10.66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Annuity, Lower One Time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IF(B195=0,"",RANK(B195,$B$2:$B$290,0))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SMSPHARMA</t>
        </is>
      </c>
      <c r="D195" s="30" t="inlineStr">
        <is>
          <t>Sms Pharmaceuticals Limited</t>
        </is>
      </c>
      <c r="E195" s="30" t="inlineStr">
        <is>
          <t>healthcare</t>
        </is>
      </c>
      <c r="F195" s="30" t="inlineStr">
        <is>
          <t>pharmaceuticals - indian - bulk drugs</t>
        </is>
      </c>
      <c r="G195" s="30" t="inlineStr">
        <is>
          <t>smallcap</t>
        </is>
      </c>
      <c r="H195" s="31" t="n">
        <v>4439.57</v>
      </c>
      <c r="I195" s="31" t="n">
        <v>475</v>
      </c>
      <c r="J195" s="31" t="n">
        <v>0.2</v>
      </c>
      <c r="K195" s="31" t="n">
        <v>361831</v>
      </c>
      <c r="L195" s="30" t="n">
        <v>58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67.45</v>
      </c>
      <c r="P195" s="31" t="n">
        <v>34.2</v>
      </c>
      <c r="Q195" s="31" t="n">
        <v>354.63</v>
      </c>
      <c r="R195" s="30" t="inlineStr">
        <is>
          <t>Volume Spike &amp; Near 52W High Breakout</t>
        </is>
      </c>
      <c r="S195" s="30" t="inlineStr">
        <is>
          <t>Nifty Pharma</t>
        </is>
      </c>
      <c r="T195" s="31" t="n">
        <v>25.55</v>
      </c>
      <c r="U195" s="31" t="n">
        <v>88.89</v>
      </c>
      <c r="V195" s="31" t="n">
        <v>50.45</v>
      </c>
      <c r="W195" s="31" t="n">
        <v>19.56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Yes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IF(B196=0,"",RANK(B196,$B$2:$B$290,0))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ANUHPHR</t>
        </is>
      </c>
      <c r="D196" s="32" t="inlineStr">
        <is>
          <t>Anuh Pharma Ltd</t>
        </is>
      </c>
      <c r="E196" s="30" t="inlineStr">
        <is>
          <t>healthcare</t>
        </is>
      </c>
      <c r="F196" s="30" t="inlineStr">
        <is>
          <t>pharmaceuticals - indian - bulk drugs</t>
        </is>
      </c>
      <c r="G196" s="30" t="inlineStr">
        <is>
          <t>smallcap</t>
        </is>
      </c>
      <c r="H196" s="31" t="n">
        <v>909.83</v>
      </c>
      <c r="I196" s="31" t="n">
        <v>90.42</v>
      </c>
      <c r="J196" s="31" t="n">
        <v>-0.4</v>
      </c>
      <c r="K196" s="31" t="n">
        <v>79711</v>
      </c>
      <c r="L196" s="30" t="n">
        <v>17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62.02</v>
      </c>
      <c r="P196" s="31" t="n">
        <v>19.44</v>
      </c>
      <c r="Q196" s="31" t="n">
        <v>74.72</v>
      </c>
      <c r="R196" s="30" t="inlineStr">
        <is>
          <t>Near 52W High Breakout</t>
        </is>
      </c>
      <c r="S196" s="30" t="inlineStr">
        <is>
          <t>Nifty Pharma</t>
        </is>
      </c>
      <c r="T196" s="31" t="n">
        <v>25.55</v>
      </c>
      <c r="U196" s="31" t="n">
        <v>11.09</v>
      </c>
      <c r="V196" s="31" t="n">
        <v>-11.52</v>
      </c>
      <c r="W196" s="31" t="n">
        <v>6.26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IF(B197=0,"",RANK(B197,$B$2:$B$290,0))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SUNDROP</t>
        </is>
      </c>
      <c r="D197" s="30" t="inlineStr">
        <is>
          <t>Sundrop Brands Ltd</t>
        </is>
      </c>
      <c r="E197" s="30" t="inlineStr">
        <is>
          <t>fmcg</t>
        </is>
      </c>
      <c r="F197" s="30" t="inlineStr">
        <is>
          <t>food - processing - indian</t>
        </is>
      </c>
      <c r="G197" s="30" t="inlineStr">
        <is>
          <t>smallcap</t>
        </is>
      </c>
      <c r="H197" s="31" t="n">
        <v>2850.64</v>
      </c>
      <c r="I197" s="31" t="n">
        <v>745.75</v>
      </c>
      <c r="J197" s="31" t="n">
        <v>-1.38</v>
      </c>
      <c r="K197" s="31" t="n">
        <v>11595</v>
      </c>
      <c r="L197" s="30" t="inlineStr"/>
      <c r="M197" s="30" t="inlineStr"/>
      <c r="N197" s="31">
        <f>IF(M197="Underperforming",-5,IF(L197&gt;=95,15,IF(L197&gt;=90,10,IF(L197&gt;=80,5,0))))</f>
        <v/>
      </c>
      <c r="O197" s="31" t="n">
        <v>64.28</v>
      </c>
      <c r="P197" s="31" t="n">
        <v>17.86</v>
      </c>
      <c r="Q197" s="31" t="n">
        <v>611.92</v>
      </c>
      <c r="R197" s="30" t="inlineStr">
        <is>
          <t>Volume Spike / Accumulation</t>
        </is>
      </c>
      <c r="S197" s="30" t="inlineStr">
        <is>
          <t>Nifty FMCG</t>
        </is>
      </c>
      <c r="T197" s="31" t="inlineStr"/>
      <c r="U197" s="31" t="inlineStr"/>
      <c r="V197" s="31" t="inlineStr"/>
      <c r="W197" s="31" t="inlineStr"/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IF(B198=0,"",RANK(B198,$B$2:$B$290,0))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GODREJAGRO</t>
        </is>
      </c>
      <c r="D198" s="30" t="inlineStr">
        <is>
          <t>Godrej Agrovet Ltd</t>
        </is>
      </c>
      <c r="E198" s="30" t="inlineStr">
        <is>
          <t>fmcg</t>
        </is>
      </c>
      <c r="F198" s="30" t="inlineStr">
        <is>
          <t>food - processing - indian</t>
        </is>
      </c>
      <c r="G198" s="30" t="inlineStr">
        <is>
          <t>midcap</t>
        </is>
      </c>
      <c r="H198" s="31" t="n">
        <v>13004.5</v>
      </c>
      <c r="I198" s="31" t="n">
        <v>657.8</v>
      </c>
      <c r="J198" s="31" t="n">
        <v>-2.7</v>
      </c>
      <c r="K198" s="31" t="n">
        <v>120326</v>
      </c>
      <c r="L198" s="30" t="inlineStr"/>
      <c r="M198" s="30" t="inlineStr"/>
      <c r="N198" s="31">
        <f>IF(M198="Underperforming",-5,IF(L198&gt;=95,15,IF(L198&gt;=90,10,IF(L198&gt;=80,5,0))))</f>
        <v/>
      </c>
      <c r="O198" s="31" t="n">
        <v>64.12</v>
      </c>
      <c r="P198" s="31" t="n">
        <v>21.43</v>
      </c>
      <c r="Q198" s="31" t="n">
        <v>553.09</v>
      </c>
      <c r="R198" s="30" t="inlineStr">
        <is>
          <t>Near 52W High Breakout</t>
        </is>
      </c>
      <c r="S198" s="30" t="inlineStr">
        <is>
          <t>Nifty FMCG</t>
        </is>
      </c>
      <c r="T198" s="31" t="inlineStr"/>
      <c r="U198" s="31" t="inlineStr"/>
      <c r="V198" s="31" t="inlineStr"/>
      <c r="W198" s="31" t="inlineStr"/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B2C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Between 0.7 to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IF(B199=0,"",RANK(B199,$B$2:$B$290,0))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AJAXENGG</t>
        </is>
      </c>
      <c r="D199" s="30" t="inlineStr">
        <is>
          <t>Ajax Engineering Ltd</t>
        </is>
      </c>
      <c r="E199" s="30" t="inlineStr">
        <is>
          <t>industrials</t>
        </is>
      </c>
      <c r="F199" s="30" t="inlineStr">
        <is>
          <t>engineering</t>
        </is>
      </c>
      <c r="G199" s="30" t="inlineStr">
        <is>
          <t>midcap</t>
        </is>
      </c>
      <c r="H199" s="31" t="n">
        <v>6580.68</v>
      </c>
      <c r="I199" s="31" t="n">
        <v>607.75</v>
      </c>
      <c r="J199" s="31" t="n">
        <v>5.66</v>
      </c>
      <c r="K199" s="31" t="n">
        <v>695472</v>
      </c>
      <c r="L199" s="30" t="n">
        <v>7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58</v>
      </c>
      <c r="P199" s="31" t="n">
        <v>21.99</v>
      </c>
      <c r="Q199" s="31" t="n">
        <v>473.95</v>
      </c>
      <c r="R199" s="30" t="inlineStr">
        <is>
          <t>Volume Spike / Accumulation</t>
        </is>
      </c>
      <c r="S199" s="30" t="inlineStr">
        <is>
          <t>Nifty 50</t>
        </is>
      </c>
      <c r="T199" s="31" t="n">
        <v>-6.14</v>
      </c>
      <c r="U199" s="31" t="n">
        <v>-5.69</v>
      </c>
      <c r="V199" s="31" t="n">
        <v>0.48</v>
      </c>
      <c r="W199" s="31" t="n">
        <v>3.38</v>
      </c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IF(B200=0,"",RANK(B200,$B$2:$B$290,0))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LLOYDSENT</t>
        </is>
      </c>
      <c r="D200" s="30" t="inlineStr">
        <is>
          <t>Lloyds Enterprises Ltd</t>
        </is>
      </c>
      <c r="E200" s="30" t="inlineStr">
        <is>
          <t>services</t>
        </is>
      </c>
      <c r="F200" s="30" t="inlineStr">
        <is>
          <t>trading</t>
        </is>
      </c>
      <c r="G200" s="30" t="inlineStr">
        <is>
          <t>midcap</t>
        </is>
      </c>
      <c r="H200" s="31" t="n">
        <v>11537.68</v>
      </c>
      <c r="I200" s="31" t="n">
        <v>79.67</v>
      </c>
      <c r="J200" s="31" t="n">
        <v>5.41</v>
      </c>
      <c r="K200" s="31" t="n">
        <v>11961867</v>
      </c>
      <c r="L200" s="30" t="n">
        <v>35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58.75</v>
      </c>
      <c r="P200" s="31" t="n">
        <v>32.11</v>
      </c>
      <c r="Q200" s="31" t="n">
        <v>62.42</v>
      </c>
      <c r="R200" s="30" t="inlineStr">
        <is>
          <t>Volume Spike &amp; Near 52W High Breakout</t>
        </is>
      </c>
      <c r="S200" s="30" t="inlineStr">
        <is>
          <t>Nifty 50</t>
        </is>
      </c>
      <c r="T200" s="31" t="n">
        <v>-6.14</v>
      </c>
      <c r="U200" s="31" t="n">
        <v>26.17</v>
      </c>
      <c r="V200" s="31" t="n">
        <v>34.42</v>
      </c>
      <c r="W200" s="31" t="n">
        <v>11.35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IF(B201=0,"",RANK(B201,$B$2:$B$290,0))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TNPETRO</t>
        </is>
      </c>
      <c r="D201" s="30" t="inlineStr">
        <is>
          <t>Tamilnadu Petroproducts Limited</t>
        </is>
      </c>
      <c r="E201" s="30" t="inlineStr">
        <is>
          <t>energy</t>
        </is>
      </c>
      <c r="F201" s="30" t="inlineStr">
        <is>
          <t>petrochemicals</t>
        </is>
      </c>
      <c r="G201" s="30" t="inlineStr">
        <is>
          <t>smallcap</t>
        </is>
      </c>
      <c r="H201" s="31" t="n">
        <v>1142.46</v>
      </c>
      <c r="I201" s="31" t="n">
        <v>132.93</v>
      </c>
      <c r="J201" s="31" t="n">
        <v>4.69</v>
      </c>
      <c r="K201" s="31" t="n">
        <v>7029643</v>
      </c>
      <c r="L201" s="30" t="inlineStr"/>
      <c r="M201" s="30" t="inlineStr"/>
      <c r="N201" s="31">
        <f>IF(M201="Underperforming",-5,IF(L201&gt;=95,15,IF(L201&gt;=90,10,IF(L201&gt;=80,5,0))))</f>
        <v/>
      </c>
      <c r="O201" s="31" t="n">
        <v>74.61</v>
      </c>
      <c r="P201" s="31" t="n">
        <v>45.76</v>
      </c>
      <c r="Q201" s="31" t="n">
        <v>99.90000000000001</v>
      </c>
      <c r="R201" s="30" t="inlineStr">
        <is>
          <t>Near 52W High Breakout</t>
        </is>
      </c>
      <c r="S201" s="30" t="inlineStr">
        <is>
          <t>Nifty Energy</t>
        </is>
      </c>
      <c r="T201" s="31" t="inlineStr"/>
      <c r="U201" s="31" t="inlineStr"/>
      <c r="V201" s="31" t="inlineStr"/>
      <c r="W201" s="31" t="inlineStr"/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Oligopoly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Volatile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IF(B202=0,"",RANK(B202,$B$2:$B$290,0))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MANINFRA</t>
        </is>
      </c>
      <c r="D202" s="30" t="inlineStr">
        <is>
          <t>Man Infraconstruction Limited</t>
        </is>
      </c>
      <c r="E202" s="30" t="inlineStr">
        <is>
          <t>realty</t>
        </is>
      </c>
      <c r="F202" s="30" t="inlineStr">
        <is>
          <t>construction</t>
        </is>
      </c>
      <c r="G202" s="30" t="inlineStr">
        <is>
          <t>midcap</t>
        </is>
      </c>
      <c r="H202" s="31" t="n">
        <v>5012.33</v>
      </c>
      <c r="I202" s="31" t="n">
        <v>129.95</v>
      </c>
      <c r="J202" s="31" t="n">
        <v>4.65</v>
      </c>
      <c r="K202" s="31" t="n">
        <v>3830660</v>
      </c>
      <c r="L202" s="30" t="inlineStr"/>
      <c r="M202" s="30" t="inlineStr"/>
      <c r="N202" s="31">
        <f>IF(M202="Underperforming",-5,IF(L202&gt;=95,15,IF(L202&gt;=90,10,IF(L202&gt;=80,5,0))))</f>
        <v/>
      </c>
      <c r="O202" s="31" t="n">
        <v>61.47</v>
      </c>
      <c r="P202" s="31" t="n">
        <v>18.77</v>
      </c>
      <c r="Q202" s="31" t="n">
        <v>100.06</v>
      </c>
      <c r="R202" s="30" t="inlineStr">
        <is>
          <t>Earnings / Momentum Support</t>
        </is>
      </c>
      <c r="S202" s="30" t="inlineStr">
        <is>
          <t>Nifty Realty</t>
        </is>
      </c>
      <c r="T202" s="31" t="inlineStr"/>
      <c r="U202" s="31" t="inlineStr"/>
      <c r="V202" s="31" t="inlineStr"/>
      <c r="W202" s="31" t="inlineStr"/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0 to 20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IF(B203=0,"",RANK(B203,$B$2:$B$290,0))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DEEPINDS</t>
        </is>
      </c>
      <c r="D203" s="30" t="inlineStr">
        <is>
          <t>Deep Industries Ltd</t>
        </is>
      </c>
      <c r="E203" s="30" t="inlineStr">
        <is>
          <t>energy</t>
        </is>
      </c>
      <c r="F203" s="30" t="inlineStr">
        <is>
          <t>oil drilling / allied services</t>
        </is>
      </c>
      <c r="G203" s="30" t="inlineStr">
        <is>
          <t>smallcap</t>
        </is>
      </c>
      <c r="H203" s="31" t="n">
        <v>4902.4</v>
      </c>
      <c r="I203" s="31" t="n">
        <v>781.1</v>
      </c>
      <c r="J203" s="31" t="n">
        <v>1.97</v>
      </c>
      <c r="K203" s="31" t="n">
        <v>339780</v>
      </c>
      <c r="L203" s="30" t="inlineStr"/>
      <c r="M203" s="30" t="inlineStr"/>
      <c r="N203" s="31">
        <f>IF(M203="Underperforming",-5,IF(L203&gt;=95,15,IF(L203&gt;=90,10,IF(L203&gt;=80,5,0))))</f>
        <v/>
      </c>
      <c r="O203" s="31" t="n">
        <v>74.83</v>
      </c>
      <c r="P203" s="31" t="n">
        <v>35.32</v>
      </c>
      <c r="Q203" s="31" t="n">
        <v>599.4299999999999</v>
      </c>
      <c r="R203" s="30" t="inlineStr">
        <is>
          <t>Near 52W High Breakout</t>
        </is>
      </c>
      <c r="S203" s="30" t="inlineStr">
        <is>
          <t>Nifty Energy</t>
        </is>
      </c>
      <c r="T203" s="31" t="inlineStr"/>
      <c r="U203" s="31" t="inlineStr"/>
      <c r="V203" s="31" t="inlineStr"/>
      <c r="W203" s="31" t="inlineStr"/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Oligopoly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Cyclical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Volatile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IF(B204=0,"",RANK(B204,$B$2:$B$290,0))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SVLL</t>
        </is>
      </c>
      <c r="D204" s="30" t="inlineStr">
        <is>
          <t>Shree Vasu Logistics Ltd</t>
        </is>
      </c>
      <c r="E204" s="30" t="inlineStr">
        <is>
          <t>transportation</t>
        </is>
      </c>
      <c r="F204" s="30" t="inlineStr">
        <is>
          <t>miscellaneous</t>
        </is>
      </c>
      <c r="G204" s="30" t="inlineStr">
        <is>
          <t>smallcap</t>
        </is>
      </c>
      <c r="H204" s="31" t="n">
        <v>942.9400000000001</v>
      </c>
      <c r="I204" s="31" t="n">
        <v>834.7</v>
      </c>
      <c r="J204" s="31" t="n">
        <v>1.74</v>
      </c>
      <c r="K204" s="31" t="n">
        <v>61467</v>
      </c>
      <c r="L204" s="30" t="n">
        <v>23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65.81</v>
      </c>
      <c r="P204" s="31" t="n">
        <v>39.92</v>
      </c>
      <c r="Q204" s="31" t="n">
        <v>631.02</v>
      </c>
      <c r="R204" s="30" t="inlineStr">
        <is>
          <t>Volume Spike &amp; Near 52W High Breakout</t>
        </is>
      </c>
      <c r="S204" s="30" t="inlineStr">
        <is>
          <t>Nifty 50</t>
        </is>
      </c>
      <c r="T204" s="31" t="n">
        <v>-6.14</v>
      </c>
      <c r="U204" s="31" t="n">
        <v>10.34</v>
      </c>
      <c r="V204" s="31" t="n">
        <v>17.56</v>
      </c>
      <c r="W204" s="31" t="n">
        <v>8.49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Between 1.5 to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More than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IF(B205=0,"",RANK(B205,$B$2:$B$290,0))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MANALIPETC</t>
        </is>
      </c>
      <c r="D205" s="30" t="inlineStr">
        <is>
          <t>Manali Petrochemicals Limited</t>
        </is>
      </c>
      <c r="E205" s="30" t="inlineStr">
        <is>
          <t>energy</t>
        </is>
      </c>
      <c r="F205" s="30" t="inlineStr">
        <is>
          <t>petrochemicals</t>
        </is>
      </c>
      <c r="G205" s="30" t="inlineStr">
        <is>
          <t>smallcap</t>
        </is>
      </c>
      <c r="H205" s="31" t="n">
        <v>1432.41</v>
      </c>
      <c r="I205" s="31" t="n">
        <v>84.65000000000001</v>
      </c>
      <c r="J205" s="31" t="n">
        <v>1.65</v>
      </c>
      <c r="K205" s="31" t="n">
        <v>1065632</v>
      </c>
      <c r="L205" s="30" t="inlineStr"/>
      <c r="M205" s="30" t="inlineStr"/>
      <c r="N205" s="31">
        <f>IF(M205="Underperforming",-5,IF(L205&gt;=95,15,IF(L205&gt;=90,10,IF(L205&gt;=80,5,0))))</f>
        <v/>
      </c>
      <c r="O205" s="31" t="n">
        <v>71.09999999999999</v>
      </c>
      <c r="P205" s="31" t="n">
        <v>44.13</v>
      </c>
      <c r="Q205" s="31" t="n">
        <v>63.79</v>
      </c>
      <c r="R205" s="30" t="inlineStr">
        <is>
          <t>Near 52W High Breakout</t>
        </is>
      </c>
      <c r="S205" s="30" t="inlineStr">
        <is>
          <t>Nifty Energy</t>
        </is>
      </c>
      <c r="T205" s="31" t="inlineStr"/>
      <c r="U205" s="31" t="inlineStr"/>
      <c r="V205" s="31" t="inlineStr"/>
      <c r="W205" s="31" t="inlineStr"/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Oligopoly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Cyclical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Volatile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IF(B206=0,"",RANK(B206,$B$2:$B$290,0))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PRIVISCL</t>
        </is>
      </c>
      <c r="D206" s="30" t="inlineStr">
        <is>
          <t>Privi Speciality Chemicals Ltd</t>
        </is>
      </c>
      <c r="E206" s="30" t="inlineStr">
        <is>
          <t>chemicals</t>
        </is>
      </c>
      <c r="F206" s="30" t="inlineStr">
        <is>
          <t>chemicals</t>
        </is>
      </c>
      <c r="G206" s="30" t="inlineStr">
        <is>
          <t>midcap</t>
        </is>
      </c>
      <c r="H206" s="31" t="n">
        <v>13819.99</v>
      </c>
      <c r="I206" s="31" t="n">
        <v>3594.1</v>
      </c>
      <c r="J206" s="31" t="n">
        <v>1.59</v>
      </c>
      <c r="K206" s="31" t="n">
        <v>97623</v>
      </c>
      <c r="L206" s="30" t="n">
        <v>30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58.54</v>
      </c>
      <c r="P206" s="31" t="n">
        <v>19.29</v>
      </c>
      <c r="Q206" s="31" t="n">
        <v>3065.03</v>
      </c>
      <c r="R206" s="30" t="inlineStr">
        <is>
          <t>Volume Spike &amp; Near 52W High Breakout</t>
        </is>
      </c>
      <c r="S206" s="30" t="inlineStr">
        <is>
          <t>Nifty 50</t>
        </is>
      </c>
      <c r="T206" s="31" t="n">
        <v>-6.14</v>
      </c>
      <c r="U206" s="31" t="n">
        <v>52.56</v>
      </c>
      <c r="V206" s="31" t="n">
        <v>62.54</v>
      </c>
      <c r="W206" s="31" t="n">
        <v>10.37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Between 0.7 to 1.2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IF(B207=0,"",RANK(B207,$B$2:$B$290,0))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ARIES</t>
        </is>
      </c>
      <c r="D207" s="30" t="inlineStr">
        <is>
          <t>Aries Agro Limited</t>
        </is>
      </c>
      <c r="E207" s="30" t="inlineStr">
        <is>
          <t>chemicals</t>
        </is>
      </c>
      <c r="F207" s="30" t="inlineStr">
        <is>
          <t>fertilizers</t>
        </is>
      </c>
      <c r="G207" s="30" t="inlineStr">
        <is>
          <t>smallcap</t>
        </is>
      </c>
      <c r="H207" s="31" t="n">
        <v>607.17</v>
      </c>
      <c r="I207" s="31" t="n">
        <v>473.3</v>
      </c>
      <c r="J207" s="31" t="n">
        <v>1.37</v>
      </c>
      <c r="K207" s="31" t="n">
        <v>5177</v>
      </c>
      <c r="L207" s="30" t="n">
        <v>42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70.90000000000001</v>
      </c>
      <c r="P207" s="31" t="n">
        <v>34.49</v>
      </c>
      <c r="Q207" s="31" t="n">
        <v>382.38</v>
      </c>
      <c r="R207" s="30" t="inlineStr">
        <is>
          <t>Near 52W High Breakout</t>
        </is>
      </c>
      <c r="S207" s="30" t="inlineStr">
        <is>
          <t>Nifty 50</t>
        </is>
      </c>
      <c r="T207" s="31" t="n">
        <v>-6.14</v>
      </c>
      <c r="U207" s="31" t="n">
        <v>22.68</v>
      </c>
      <c r="V207" s="31" t="n">
        <v>30.71</v>
      </c>
      <c r="W207" s="31" t="n">
        <v>13.8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IF(B208=0,"",RANK(B208,$B$2:$B$290,0))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QPOWER</t>
        </is>
      </c>
      <c r="D208" s="30" t="inlineStr">
        <is>
          <t>Quality Power Electrical Equipments Ltd</t>
        </is>
      </c>
      <c r="E208" s="30" t="inlineStr">
        <is>
          <t>industrials</t>
        </is>
      </c>
      <c r="F208" s="30" t="inlineStr">
        <is>
          <t>electric equipment</t>
        </is>
      </c>
      <c r="G208" s="30" t="inlineStr">
        <is>
          <t>midcap</t>
        </is>
      </c>
      <c r="H208" s="31" t="n">
        <v>11617.39</v>
      </c>
      <c r="I208" s="31" t="n">
        <v>1517.8</v>
      </c>
      <c r="J208" s="31" t="n">
        <v>1.18</v>
      </c>
      <c r="K208" s="31" t="n">
        <v>161416</v>
      </c>
      <c r="L208" s="30" t="n">
        <v>45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65.88</v>
      </c>
      <c r="P208" s="31" t="n">
        <v>19.23</v>
      </c>
      <c r="Q208" s="31" t="n">
        <v>1116.87</v>
      </c>
      <c r="R208" s="30" t="inlineStr">
        <is>
          <t>Near 52W High Breakout</t>
        </is>
      </c>
      <c r="S208" s="30" t="inlineStr">
        <is>
          <t>Nifty 50</t>
        </is>
      </c>
      <c r="T208" s="31" t="n">
        <v>-6.14</v>
      </c>
      <c r="U208" s="31" t="n">
        <v>49.9</v>
      </c>
      <c r="V208" s="31" t="n">
        <v>59.7</v>
      </c>
      <c r="W208" s="31" t="n">
        <v>15.41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Between 1.5 to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IF(B209=0,"",RANK(B209,$B$2:$B$290,0))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HARSHA</t>
        </is>
      </c>
      <c r="D209" s="30" t="inlineStr">
        <is>
          <t>Harsha Engineers International Ltd</t>
        </is>
      </c>
      <c r="E209" s="30" t="inlineStr">
        <is>
          <t>industrials</t>
        </is>
      </c>
      <c r="F209" s="30" t="inlineStr">
        <is>
          <t>engineering</t>
        </is>
      </c>
      <c r="G209" s="30" t="inlineStr">
        <is>
          <t>smallcap</t>
        </is>
      </c>
      <c r="H209" s="31" t="n">
        <v>4165.72</v>
      </c>
      <c r="I209" s="31" t="n">
        <v>462.05</v>
      </c>
      <c r="J209" s="31" t="n">
        <v>0.98</v>
      </c>
      <c r="K209" s="31" t="n">
        <v>150621</v>
      </c>
      <c r="L209" s="30" t="n">
        <v>16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63.24</v>
      </c>
      <c r="P209" s="31" t="n">
        <v>35.65</v>
      </c>
      <c r="Q209" s="31" t="n">
        <v>365.75</v>
      </c>
      <c r="R209" s="30" t="inlineStr">
        <is>
          <t>Volume Spike &amp; Near 52W High Breakout</t>
        </is>
      </c>
      <c r="S209" s="30" t="inlineStr">
        <is>
          <t>Nifty 50</t>
        </is>
      </c>
      <c r="T209" s="31" t="n">
        <v>-6.14</v>
      </c>
      <c r="U209" s="31" t="n">
        <v>14.7</v>
      </c>
      <c r="V209" s="31" t="n">
        <v>22.2</v>
      </c>
      <c r="W209" s="31" t="n">
        <v>6.13</v>
      </c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IF(B210=0,"",RANK(B210,$B$2:$B$290,0))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DOLPHIN</t>
        </is>
      </c>
      <c r="D210" s="30" t="inlineStr">
        <is>
          <t>Dolphin Offshore Enterprises (India) Ltd</t>
        </is>
      </c>
      <c r="E210" s="30" t="inlineStr">
        <is>
          <t>energy</t>
        </is>
      </c>
      <c r="F210" s="30" t="inlineStr">
        <is>
          <t>oil drilling / allied services</t>
        </is>
      </c>
      <c r="G210" s="30" t="inlineStr">
        <is>
          <t>smallcap</t>
        </is>
      </c>
      <c r="H210" s="31" t="n">
        <v>2741.51</v>
      </c>
      <c r="I210" s="31" t="n">
        <v>687.45</v>
      </c>
      <c r="J210" s="31" t="n">
        <v>0.31</v>
      </c>
      <c r="K210" s="31" t="n">
        <v>35738</v>
      </c>
      <c r="L210" s="30" t="inlineStr"/>
      <c r="M210" s="30" t="inlineStr"/>
      <c r="N210" s="31">
        <f>IF(M210="Underperforming",-5,IF(L210&gt;=95,15,IF(L210&gt;=90,10,IF(L210&gt;=80,5,0))))</f>
        <v/>
      </c>
      <c r="O210" s="31" t="n">
        <v>76.59999999999999</v>
      </c>
      <c r="P210" s="31" t="n">
        <v>42.16</v>
      </c>
      <c r="Q210" s="31" t="n">
        <v>491.45</v>
      </c>
      <c r="R210" s="30" t="inlineStr">
        <is>
          <t>Near 52W High Breakout</t>
        </is>
      </c>
      <c r="S210" s="30" t="inlineStr">
        <is>
          <t>Nifty Energy</t>
        </is>
      </c>
      <c r="T210" s="31" t="inlineStr"/>
      <c r="U210" s="31" t="inlineStr"/>
      <c r="V210" s="31" t="inlineStr"/>
      <c r="W210" s="31" t="inlineStr"/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Oligopoly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Yes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Cyclical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Volatile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IF(B211=0,"",RANK(B211,$B$2:$B$290,0))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2" t="inlineStr">
        <is>
          <t>TEXRAIL</t>
        </is>
      </c>
      <c r="D211" s="32" t="inlineStr">
        <is>
          <t>Texmaco Rail &amp; Engineering Limited</t>
        </is>
      </c>
      <c r="E211" s="30" t="inlineStr">
        <is>
          <t>industrials</t>
        </is>
      </c>
      <c r="F211" s="30" t="inlineStr">
        <is>
          <t>engineering</t>
        </is>
      </c>
      <c r="G211" s="30" t="inlineStr">
        <is>
          <t>midcap</t>
        </is>
      </c>
      <c r="H211" s="31" t="n">
        <v>5157.82</v>
      </c>
      <c r="I211" s="31" t="n">
        <v>125.67</v>
      </c>
      <c r="J211" s="31" t="n">
        <v>-0.87</v>
      </c>
      <c r="K211" s="31" t="n">
        <v>3485269</v>
      </c>
      <c r="L211" s="30" t="n">
        <v>9</v>
      </c>
      <c r="M211" s="30" t="inlineStr">
        <is>
          <t>Underperforming</t>
        </is>
      </c>
      <c r="N211" s="31">
        <f>IF(M211="Underperforming",-5,IF(L211&gt;=95,15,IF(L211&gt;=90,10,IF(L211&gt;=80,5,0))))</f>
        <v/>
      </c>
      <c r="O211" s="31" t="n">
        <v>62.31</v>
      </c>
      <c r="P211" s="31" t="n">
        <v>13.44</v>
      </c>
      <c r="Q211" s="31" t="n">
        <v>96.97</v>
      </c>
      <c r="R211" s="30" t="inlineStr">
        <is>
          <t>Volume Spike / Accumulation</t>
        </is>
      </c>
      <c r="S211" s="30" t="inlineStr">
        <is>
          <t>Nifty 50</t>
        </is>
      </c>
      <c r="T211" s="31" t="n">
        <v>-6.14</v>
      </c>
      <c r="U211" s="31" t="n">
        <v>-8.789999999999999</v>
      </c>
      <c r="V211" s="31" t="n">
        <v>-2.83</v>
      </c>
      <c r="W211" s="31" t="n">
        <v>4.44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IF(B212=0,"",RANK(B212,$B$2:$B$290,0))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SRHHYPOLTD</t>
        </is>
      </c>
      <c r="D212" s="30" t="inlineStr">
        <is>
          <t>Sree Rayalaseema Hi-strength Hypo Limited</t>
        </is>
      </c>
      <c r="E212" s="30" t="inlineStr">
        <is>
          <t>chemicals</t>
        </is>
      </c>
      <c r="F212" s="30" t="inlineStr">
        <is>
          <t>chemicals</t>
        </is>
      </c>
      <c r="G212" s="30" t="inlineStr">
        <is>
          <t>smallcap</t>
        </is>
      </c>
      <c r="H212" s="31" t="n">
        <v>1039.76</v>
      </c>
      <c r="I212" s="31" t="n">
        <v>594.8</v>
      </c>
      <c r="J212" s="31" t="n">
        <v>-1.81</v>
      </c>
      <c r="K212" s="31" t="n">
        <v>23038</v>
      </c>
      <c r="L212" s="30" t="n">
        <v>19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66.31999999999999</v>
      </c>
      <c r="P212" s="31" t="n">
        <v>12.59</v>
      </c>
      <c r="Q212" s="31" t="n">
        <v>460.03</v>
      </c>
      <c r="R212" s="30" t="inlineStr">
        <is>
          <t>Volume Spike &amp; Near 52W High Breakout</t>
        </is>
      </c>
      <c r="S212" s="30" t="inlineStr">
        <is>
          <t>Nifty 50</t>
        </is>
      </c>
      <c r="T212" s="31" t="n">
        <v>-6.14</v>
      </c>
      <c r="U212" s="31" t="n">
        <v>3.2</v>
      </c>
      <c r="V212" s="31" t="n">
        <v>9.960000000000001</v>
      </c>
      <c r="W212" s="31" t="n">
        <v>6.72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IF(B213=0,"",RANK(B213,$B$2:$B$290,0))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KOPRAN</t>
        </is>
      </c>
      <c r="D213" s="30" t="inlineStr">
        <is>
          <t>Kopran Limited</t>
        </is>
      </c>
      <c r="E213" s="30" t="inlineStr">
        <is>
          <t>healthcare</t>
        </is>
      </c>
      <c r="F213" s="30" t="inlineStr">
        <is>
          <t>pharmaceuticals - indian - bulk drugs &amp; formln</t>
        </is>
      </c>
      <c r="G213" s="30" t="inlineStr">
        <is>
          <t>smallcap</t>
        </is>
      </c>
      <c r="H213" s="31" t="n">
        <v>1307.62</v>
      </c>
      <c r="I213" s="31" t="n">
        <v>284.53</v>
      </c>
      <c r="J213" s="31" t="n">
        <v>5.07</v>
      </c>
      <c r="K213" s="31" t="n">
        <v>662546</v>
      </c>
      <c r="L213" s="30" t="n">
        <v>75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79.44</v>
      </c>
      <c r="P213" s="31" t="n">
        <v>43.44</v>
      </c>
      <c r="Q213" s="31" t="n">
        <v>216.15</v>
      </c>
      <c r="R213" s="30" t="inlineStr">
        <is>
          <t>Near 52W High Breakout</t>
        </is>
      </c>
      <c r="S213" s="30" t="inlineStr">
        <is>
          <t>Nifty Pharma</t>
        </is>
      </c>
      <c r="T213" s="31" t="n">
        <v>25.55</v>
      </c>
      <c r="U213" s="31" t="n">
        <v>66.63</v>
      </c>
      <c r="V213" s="31" t="n">
        <v>32.71</v>
      </c>
      <c r="W213" s="31" t="n">
        <v>26.86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Yes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Annuity, Lower One Time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Above 40</t>
        </is>
      </c>
      <c r="AY213" s="30">
        <f>IF(AX213="Above 40",20,IF(AX213="20 to 40",10,IF(AX213="0 to 20",-5,0)))</f>
        <v/>
      </c>
      <c r="AZ213" s="30" t="inlineStr">
        <is>
          <t>Above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IF(B214=0,"",RANK(B214,$B$2:$B$290,0))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INDGN</t>
        </is>
      </c>
      <c r="D214" s="32" t="inlineStr">
        <is>
          <t>Indegene Ltd</t>
        </is>
      </c>
      <c r="E214" s="30" t="inlineStr">
        <is>
          <t>healthcare</t>
        </is>
      </c>
      <c r="F214" s="30" t="inlineStr">
        <is>
          <t>miscellaneous</t>
        </is>
      </c>
      <c r="G214" s="30" t="inlineStr">
        <is>
          <t>midcap</t>
        </is>
      </c>
      <c r="H214" s="31" t="n">
        <v>14315.1</v>
      </c>
      <c r="I214" s="31" t="n">
        <v>608.95</v>
      </c>
      <c r="J214" s="31" t="n">
        <v>2.5</v>
      </c>
      <c r="K214" s="31" t="n">
        <v>2095862</v>
      </c>
      <c r="L214" s="30" t="n">
        <v>14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67.8</v>
      </c>
      <c r="P214" s="31" t="n">
        <v>23.81</v>
      </c>
      <c r="Q214" s="31" t="n">
        <v>505.11</v>
      </c>
      <c r="R214" s="30" t="inlineStr">
        <is>
          <t>Near 52W High Breakout</t>
        </is>
      </c>
      <c r="S214" s="30" t="inlineStr">
        <is>
          <t>Nifty Pharma</t>
        </is>
      </c>
      <c r="T214" s="31" t="n">
        <v>25.55</v>
      </c>
      <c r="U214" s="31" t="n">
        <v>6.3</v>
      </c>
      <c r="V214" s="31" t="n">
        <v>-15.34</v>
      </c>
      <c r="W214" s="31" t="n">
        <v>5.61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Yes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Annuity, Lower One Time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IF(B215=0,"",RANK(B215,$B$2:$B$290,0))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TIPSMUSIC</t>
        </is>
      </c>
      <c r="D215" s="30" t="inlineStr">
        <is>
          <t>Tips Music Ltd</t>
        </is>
      </c>
      <c r="E215" s="30" t="inlineStr">
        <is>
          <t>media</t>
        </is>
      </c>
      <c r="F215" s="30" t="inlineStr">
        <is>
          <t>entertainment / electronic media software</t>
        </is>
      </c>
      <c r="G215" s="30" t="inlineStr">
        <is>
          <t>midcap</t>
        </is>
      </c>
      <c r="H215" s="31" t="n">
        <v>8463.09</v>
      </c>
      <c r="I215" s="31" t="n">
        <v>668.95</v>
      </c>
      <c r="J215" s="31" t="n">
        <v>1.04</v>
      </c>
      <c r="K215" s="31" t="n">
        <v>245082</v>
      </c>
      <c r="L215" s="30" t="n">
        <v>11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55.45</v>
      </c>
      <c r="P215" s="31" t="n">
        <v>24.21</v>
      </c>
      <c r="Q215" s="31" t="n">
        <v>568.46</v>
      </c>
      <c r="R215" s="30" t="inlineStr">
        <is>
          <t>Earnings / Momentum Support</t>
        </is>
      </c>
      <c r="S215" s="30" t="inlineStr">
        <is>
          <t>Nifty IT</t>
        </is>
      </c>
      <c r="T215" s="31" t="n">
        <v>-16.44</v>
      </c>
      <c r="U215" s="31" t="n">
        <v>16</v>
      </c>
      <c r="V215" s="31" t="n">
        <v>38.82</v>
      </c>
      <c r="W215" s="31" t="n">
        <v>4.72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Annuity, Lower One Time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IF(B216=0,"",RANK(B216,$B$2:$B$290,0))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2" t="inlineStr">
        <is>
          <t>SHIVALIK</t>
        </is>
      </c>
      <c r="D216" s="32" t="inlineStr">
        <is>
          <t>Shivalik Rasayan Ltd</t>
        </is>
      </c>
      <c r="E216" s="30" t="inlineStr">
        <is>
          <t>chemicals</t>
        </is>
      </c>
      <c r="F216" s="30" t="inlineStr">
        <is>
          <t>pesticides / agrochemicals - indian</t>
        </is>
      </c>
      <c r="G216" s="30" t="inlineStr">
        <is>
          <t>smallcap</t>
        </is>
      </c>
      <c r="H216" s="31" t="n">
        <v>658.45</v>
      </c>
      <c r="I216" s="31" t="n">
        <v>408.45</v>
      </c>
      <c r="J216" s="31" t="n">
        <v>-0.55</v>
      </c>
      <c r="K216" s="31" t="n">
        <v>67598</v>
      </c>
      <c r="L216" s="30" t="n">
        <v>71</v>
      </c>
      <c r="M216" s="30" t="inlineStr">
        <is>
          <t>Underperforming</t>
        </is>
      </c>
      <c r="N216" s="31">
        <f>IF(M216="Underperforming",-5,IF(L216&gt;=95,15,IF(L216&gt;=90,10,IF(L216&gt;=80,5,0))))</f>
        <v/>
      </c>
      <c r="O216" s="31" t="n">
        <v>73.45</v>
      </c>
      <c r="P216" s="31" t="n">
        <v>28.42</v>
      </c>
      <c r="Q216" s="31" t="n">
        <v>284.48</v>
      </c>
      <c r="R216" s="30" t="inlineStr">
        <is>
          <t>Volume Spike / Accumulation</t>
        </is>
      </c>
      <c r="S216" s="30" t="inlineStr">
        <is>
          <t>Nifty 50</t>
        </is>
      </c>
      <c r="T216" s="31" t="n">
        <v>-6.14</v>
      </c>
      <c r="U216" s="31" t="n">
        <v>-6.36</v>
      </c>
      <c r="V216" s="31" t="n">
        <v>-0.24</v>
      </c>
      <c r="W216" s="31" t="n">
        <v>24.71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Monopoly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Shallow Cyclical (2 to 3 Years Growth)</t>
        </is>
      </c>
      <c r="AG216" s="30">
        <f>IF(AF216="Structural (10 Years Consistency)",10,IF(AF216="Shallow Cyclical (2 to 3 years growth)",5,0))</f>
        <v/>
      </c>
      <c r="AH216" s="30" t="inlineStr">
        <is>
          <t>Yes due to Product Mix change or Operating Leverage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Fully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Yes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Between 1.5 to 2</t>
        </is>
      </c>
      <c r="BU216" s="30">
        <f>IF(BT216="Above 2",0,IF(BT216="Between 1.5 to 2",5,IF(BT216="Less than 1.5",10,0)))</f>
        <v/>
      </c>
      <c r="BV216" s="30" t="inlineStr">
        <is>
          <t>Less than 50%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IF(B217=0,"",RANK(B217,$B$2:$B$290,0))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2" t="inlineStr">
        <is>
          <t>MEDANTA</t>
        </is>
      </c>
      <c r="D217" s="32" t="inlineStr">
        <is>
          <t>Global Health Ltd</t>
        </is>
      </c>
      <c r="E217" s="30" t="inlineStr">
        <is>
          <t>healthcare</t>
        </is>
      </c>
      <c r="F217" s="30" t="inlineStr">
        <is>
          <t>healthcare</t>
        </is>
      </c>
      <c r="G217" s="30" t="inlineStr">
        <is>
          <t>largecap</t>
        </is>
      </c>
      <c r="H217" s="31" t="n">
        <v>40497.47</v>
      </c>
      <c r="I217" s="31" t="n">
        <v>1495.4</v>
      </c>
      <c r="J217" s="31" t="n">
        <v>-0.72</v>
      </c>
      <c r="K217" s="31" t="n">
        <v>158143</v>
      </c>
      <c r="L217" s="30" t="n">
        <v>20</v>
      </c>
      <c r="M217" s="30" t="inlineStr">
        <is>
          <t>Underperforming</t>
        </is>
      </c>
      <c r="N217" s="31">
        <f>IF(M217="Underperforming",-5,IF(L217&gt;=95,15,IF(L217&gt;=90,10,IF(L217&gt;=80,5,0))))</f>
        <v/>
      </c>
      <c r="O217" s="31" t="n">
        <v>68.95</v>
      </c>
      <c r="P217" s="31" t="n">
        <v>39.06</v>
      </c>
      <c r="Q217" s="31" t="n">
        <v>1243.69</v>
      </c>
      <c r="R217" s="30" t="inlineStr">
        <is>
          <t>Near 52W High Breakout</t>
        </is>
      </c>
      <c r="S217" s="30" t="inlineStr">
        <is>
          <t>Nifty Pharma</t>
        </is>
      </c>
      <c r="T217" s="31" t="n">
        <v>25.55</v>
      </c>
      <c r="U217" s="31" t="n">
        <v>15.1</v>
      </c>
      <c r="V217" s="31" t="n">
        <v>-8.33</v>
      </c>
      <c r="W217" s="31" t="n">
        <v>7.09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Yes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Annuity, Lower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IF(B218=0,"",RANK(B218,$B$2:$B$290,0))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MUKANDLTD</t>
        </is>
      </c>
      <c r="D218" s="30" t="inlineStr">
        <is>
          <t>Mukand Limited</t>
        </is>
      </c>
      <c r="E218" s="30" t="inlineStr">
        <is>
          <t>metals &amp; mining</t>
        </is>
      </c>
      <c r="F218" s="30" t="inlineStr">
        <is>
          <t>steel - medium / small</t>
        </is>
      </c>
      <c r="G218" s="30" t="inlineStr">
        <is>
          <t>smallcap</t>
        </is>
      </c>
      <c r="H218" s="31" t="n">
        <v>2243.44</v>
      </c>
      <c r="I218" s="31" t="n">
        <v>167.05</v>
      </c>
      <c r="J218" s="31" t="n">
        <v>7.59</v>
      </c>
      <c r="K218" s="31" t="n">
        <v>1109036</v>
      </c>
      <c r="L218" s="30" t="inlineStr"/>
      <c r="M218" s="30" t="inlineStr"/>
      <c r="N218" s="31">
        <f>IF(M218="Underperforming",-5,IF(L218&gt;=95,15,IF(L218&gt;=90,10,IF(L218&gt;=80,5,0))))</f>
        <v/>
      </c>
      <c r="O218" s="31" t="n">
        <v>69.47</v>
      </c>
      <c r="P218" s="31" t="n">
        <v>37.82</v>
      </c>
      <c r="Q218" s="31" t="n">
        <v>132.42</v>
      </c>
      <c r="R218" s="30" t="inlineStr">
        <is>
          <t>Volume Spike &amp; Near 52W High Breakout</t>
        </is>
      </c>
      <c r="S218" s="30" t="inlineStr">
        <is>
          <t>Nifty Metal</t>
        </is>
      </c>
      <c r="T218" s="31" t="inlineStr"/>
      <c r="U218" s="31" t="inlineStr"/>
      <c r="V218" s="31" t="inlineStr"/>
      <c r="W218" s="31" t="inlineStr"/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Cyclical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Volatile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Between 0.7 to 1.2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IF(B219=0,"",RANK(B219,$B$2:$B$290,0))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GREAVESCOT</t>
        </is>
      </c>
      <c r="D219" s="30" t="inlineStr">
        <is>
          <t>Greaves Cotton Limited</t>
        </is>
      </c>
      <c r="E219" s="30" t="inlineStr">
        <is>
          <t>industrials</t>
        </is>
      </c>
      <c r="F219" s="30" t="inlineStr">
        <is>
          <t>engines</t>
        </is>
      </c>
      <c r="G219" s="30" t="inlineStr">
        <is>
          <t>midcap</t>
        </is>
      </c>
      <c r="H219" s="31" t="n">
        <v>5167.56</v>
      </c>
      <c r="I219" s="31" t="n">
        <v>234.78</v>
      </c>
      <c r="J219" s="31" t="n">
        <v>5.84</v>
      </c>
      <c r="K219" s="31" t="n">
        <v>10729752</v>
      </c>
      <c r="L219" s="30" t="n">
        <v>25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62.63</v>
      </c>
      <c r="P219" s="31" t="n">
        <v>27.18</v>
      </c>
      <c r="Q219" s="31" t="n">
        <v>201.57</v>
      </c>
      <c r="R219" s="30" t="inlineStr">
        <is>
          <t>Volume Spike / Accumulation</t>
        </is>
      </c>
      <c r="S219" s="30" t="inlineStr">
        <is>
          <t>Nifty 50</t>
        </is>
      </c>
      <c r="T219" s="31" t="n">
        <v>-6.14</v>
      </c>
      <c r="U219" s="31" t="n">
        <v>9.289999999999999</v>
      </c>
      <c r="V219" s="31" t="n">
        <v>16.44</v>
      </c>
      <c r="W219" s="31" t="n">
        <v>8.81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IF(B220=0,"",RANK(B220,$B$2:$B$290,0))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STLTECH</t>
        </is>
      </c>
      <c r="D220" s="30" t="inlineStr">
        <is>
          <t>Sterlite Technologies Limited</t>
        </is>
      </c>
      <c r="E220" s="30" t="inlineStr">
        <is>
          <t>industrials</t>
        </is>
      </c>
      <c r="F220" s="30" t="inlineStr">
        <is>
          <t>cables - telephone</t>
        </is>
      </c>
      <c r="G220" s="30" t="inlineStr">
        <is>
          <t>largecap</t>
        </is>
      </c>
      <c r="H220" s="31" t="n">
        <v>42332.19</v>
      </c>
      <c r="I220" s="31" t="n">
        <v>837.2</v>
      </c>
      <c r="J220" s="31" t="n">
        <v>1.63</v>
      </c>
      <c r="K220" s="31" t="n">
        <v>807308</v>
      </c>
      <c r="L220" s="30" t="inlineStr"/>
      <c r="M220" s="30" t="inlineStr"/>
      <c r="N220" s="31">
        <f>IF(M220="Underperforming",-5,IF(L220&gt;=95,15,IF(L220&gt;=90,10,IF(L220&gt;=80,5,0))))</f>
        <v/>
      </c>
      <c r="O220" s="31" t="n">
        <v>73.72</v>
      </c>
      <c r="P220" s="31" t="n">
        <v>72.02</v>
      </c>
      <c r="Q220" s="31" t="n">
        <v>655.85</v>
      </c>
      <c r="R220" s="30" t="inlineStr">
        <is>
          <t>Earnings / Momentum Support</t>
        </is>
      </c>
      <c r="S220" s="30" t="inlineStr">
        <is>
          <t>Nifty Infra</t>
        </is>
      </c>
      <c r="T220" s="31" t="inlineStr"/>
      <c r="U220" s="31" t="inlineStr"/>
      <c r="V220" s="31" t="inlineStr"/>
      <c r="W220" s="31" t="inlineStr"/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Above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Between 0.7 to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IF(B221=0,"",RANK(B221,$B$2:$B$290,0))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INDOAMIN</t>
        </is>
      </c>
      <c r="D221" s="30" t="inlineStr">
        <is>
          <t>Indo Amines Ltd</t>
        </is>
      </c>
      <c r="E221" s="30" t="inlineStr">
        <is>
          <t>chemicals</t>
        </is>
      </c>
      <c r="F221" s="30" t="inlineStr">
        <is>
          <t>chemicals</t>
        </is>
      </c>
      <c r="G221" s="30" t="inlineStr">
        <is>
          <t>smallcap</t>
        </is>
      </c>
      <c r="H221" s="31" t="n">
        <v>976.16</v>
      </c>
      <c r="I221" s="31" t="n">
        <v>136.5</v>
      </c>
      <c r="J221" s="31" t="n">
        <v>1.5</v>
      </c>
      <c r="K221" s="31" t="n">
        <v>67910</v>
      </c>
      <c r="L221" s="30" t="n">
        <v>6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59.25</v>
      </c>
      <c r="P221" s="31" t="n">
        <v>23.56</v>
      </c>
      <c r="Q221" s="31" t="n">
        <v>104.13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-6.14</v>
      </c>
      <c r="U221" s="31" t="n">
        <v>0.28</v>
      </c>
      <c r="V221" s="31" t="n">
        <v>6.85</v>
      </c>
      <c r="W221" s="31" t="n">
        <v>3.03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Between 0.7 to 1.2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IF(B222=0,"",RANK(B222,$B$2:$B$290,0))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TEGA</t>
        </is>
      </c>
      <c r="D222" s="30" t="inlineStr">
        <is>
          <t>Tega Industries Ltd</t>
        </is>
      </c>
      <c r="E222" s="30" t="inlineStr">
        <is>
          <t>industrials</t>
        </is>
      </c>
      <c r="F222" s="30" t="inlineStr">
        <is>
          <t>engineering</t>
        </is>
      </c>
      <c r="G222" s="30" t="inlineStr">
        <is>
          <t>midcap</t>
        </is>
      </c>
      <c r="H222" s="31" t="n">
        <v>15491.33</v>
      </c>
      <c r="I222" s="31" t="n">
        <v>2091.6</v>
      </c>
      <c r="J222" s="31" t="n">
        <v>1.44</v>
      </c>
      <c r="K222" s="31" t="n">
        <v>261282</v>
      </c>
      <c r="L222" s="30" t="n">
        <v>17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65.34999999999999</v>
      </c>
      <c r="P222" s="31" t="n">
        <v>12.58</v>
      </c>
      <c r="Q222" s="31" t="n">
        <v>1603.45</v>
      </c>
      <c r="R222" s="30" t="inlineStr">
        <is>
          <t>Volume Spike &amp; Near 52W High Breakout</t>
        </is>
      </c>
      <c r="S222" s="30" t="inlineStr">
        <is>
          <t>Nifty 50</t>
        </is>
      </c>
      <c r="T222" s="31" t="n">
        <v>-6.14</v>
      </c>
      <c r="U222" s="31" t="n">
        <v>7.82</v>
      </c>
      <c r="V222" s="31" t="n">
        <v>14.88</v>
      </c>
      <c r="W222" s="31" t="n">
        <v>6.27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IF(B223=0,"",RANK(B223,$B$2:$B$290,0))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OBEROIRLTY</t>
        </is>
      </c>
      <c r="D223" s="30" t="inlineStr">
        <is>
          <t>Oberoi Realty Limited</t>
        </is>
      </c>
      <c r="E223" s="30" t="inlineStr">
        <is>
          <t>realty</t>
        </is>
      </c>
      <c r="F223" s="30" t="inlineStr">
        <is>
          <t>construction</t>
        </is>
      </c>
      <c r="G223" s="30" t="inlineStr">
        <is>
          <t>largecap</t>
        </is>
      </c>
      <c r="H223" s="31" t="n">
        <v>66811.91</v>
      </c>
      <c r="I223" s="31" t="n">
        <v>1858.5</v>
      </c>
      <c r="J223" s="31" t="n">
        <v>1.14</v>
      </c>
      <c r="K223" s="31" t="n">
        <v>638248</v>
      </c>
      <c r="L223" s="30" t="inlineStr"/>
      <c r="M223" s="30" t="inlineStr"/>
      <c r="N223" s="31">
        <f>IF(M223="Underperforming",-5,IF(L223&gt;=95,15,IF(L223&gt;=90,10,IF(L223&gt;=80,5,0))))</f>
        <v/>
      </c>
      <c r="O223" s="31" t="n">
        <v>57.04</v>
      </c>
      <c r="P223" s="31" t="n">
        <v>23.15</v>
      </c>
      <c r="Q223" s="31" t="n">
        <v>1602.34</v>
      </c>
      <c r="R223" s="30" t="inlineStr">
        <is>
          <t>Near 52W High Breakout</t>
        </is>
      </c>
      <c r="S223" s="30" t="inlineStr">
        <is>
          <t>Nifty Realty</t>
        </is>
      </c>
      <c r="T223" s="31" t="inlineStr"/>
      <c r="U223" s="31" t="inlineStr"/>
      <c r="V223" s="31" t="inlineStr"/>
      <c r="W223" s="31" t="inlineStr"/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Negative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IF(B224=0,"",RANK(B224,$B$2:$B$290,0))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MAHSEAMLES</t>
        </is>
      </c>
      <c r="D224" s="30" t="inlineStr">
        <is>
          <t>Maharashtra Seamless Limited</t>
        </is>
      </c>
      <c r="E224" s="30" t="inlineStr">
        <is>
          <t>metals &amp; mining</t>
        </is>
      </c>
      <c r="F224" s="30" t="inlineStr">
        <is>
          <t>steel - medium / small</t>
        </is>
      </c>
      <c r="G224" s="30" t="inlineStr">
        <is>
          <t>midcap</t>
        </is>
      </c>
      <c r="H224" s="31" t="n">
        <v>9494.52</v>
      </c>
      <c r="I224" s="31" t="n">
        <v>715.65</v>
      </c>
      <c r="J224" s="31" t="n">
        <v>1</v>
      </c>
      <c r="K224" s="31" t="n">
        <v>210790</v>
      </c>
      <c r="L224" s="30" t="inlineStr"/>
      <c r="M224" s="30" t="inlineStr"/>
      <c r="N224" s="31">
        <f>IF(M224="Underperforming",-5,IF(L224&gt;=95,15,IF(L224&gt;=90,10,IF(L224&gt;=80,5,0))))</f>
        <v/>
      </c>
      <c r="O224" s="31" t="n">
        <v>71.16</v>
      </c>
      <c r="P224" s="31" t="n">
        <v>24.87</v>
      </c>
      <c r="Q224" s="31" t="n">
        <v>607.42</v>
      </c>
      <c r="R224" s="30" t="inlineStr">
        <is>
          <t>Near 52W High Breakout</t>
        </is>
      </c>
      <c r="S224" s="30" t="inlineStr">
        <is>
          <t>Nifty Metal</t>
        </is>
      </c>
      <c r="T224" s="31" t="inlineStr"/>
      <c r="U224" s="31" t="inlineStr"/>
      <c r="V224" s="31" t="inlineStr"/>
      <c r="W224" s="31" t="inlineStr"/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Cyclical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Volatile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Between 12 to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IF(B225=0,"",RANK(B225,$B$2:$B$290,0))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GRAPHITE</t>
        </is>
      </c>
      <c r="D225" s="30" t="inlineStr">
        <is>
          <t>Graphite India Limited</t>
        </is>
      </c>
      <c r="E225" s="30" t="inlineStr">
        <is>
          <t>industrials</t>
        </is>
      </c>
      <c r="F225" s="30" t="inlineStr">
        <is>
          <t>electrodes - graphites</t>
        </is>
      </c>
      <c r="G225" s="30" t="inlineStr">
        <is>
          <t>midcap</t>
        </is>
      </c>
      <c r="H225" s="31" t="n">
        <v>15917.25</v>
      </c>
      <c r="I225" s="31" t="n">
        <v>820.7</v>
      </c>
      <c r="J225" s="31" t="n">
        <v>0.74</v>
      </c>
      <c r="K225" s="31" t="n">
        <v>1351331</v>
      </c>
      <c r="L225" s="30" t="n">
        <v>51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67.08</v>
      </c>
      <c r="P225" s="31" t="n">
        <v>18.94</v>
      </c>
      <c r="Q225" s="31" t="n">
        <v>639.28</v>
      </c>
      <c r="R225" s="30" t="inlineStr">
        <is>
          <t>Near 52W High Breakout</t>
        </is>
      </c>
      <c r="S225" s="30" t="inlineStr">
        <is>
          <t>Nifty 50</t>
        </is>
      </c>
      <c r="T225" s="31" t="n">
        <v>-6.14</v>
      </c>
      <c r="U225" s="31" t="n">
        <v>49.89</v>
      </c>
      <c r="V225" s="31" t="n">
        <v>59.7</v>
      </c>
      <c r="W225" s="31" t="n">
        <v>16.74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IF(B226=0,"",RANK(B226,$B$2:$B$290,0))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SESHAPAPER</t>
        </is>
      </c>
      <c r="D226" s="30" t="inlineStr">
        <is>
          <t>Seshasayee Paper And Boards Limited</t>
        </is>
      </c>
      <c r="E226" s="30" t="inlineStr">
        <is>
          <t>building materials</t>
        </is>
      </c>
      <c r="F226" s="30" t="inlineStr">
        <is>
          <t>paper</t>
        </is>
      </c>
      <c r="G226" s="30" t="inlineStr">
        <is>
          <t>smallcap</t>
        </is>
      </c>
      <c r="H226" s="31" t="n">
        <v>1543.53</v>
      </c>
      <c r="I226" s="31" t="n">
        <v>246.27</v>
      </c>
      <c r="J226" s="31" t="n">
        <v>0.63</v>
      </c>
      <c r="K226" s="31" t="n">
        <v>34098</v>
      </c>
      <c r="L226" s="30" t="inlineStr"/>
      <c r="M226" s="30" t="inlineStr"/>
      <c r="N226" s="31">
        <f>IF(M226="Underperforming",-5,IF(L226&gt;=95,15,IF(L226&gt;=90,10,IF(L226&gt;=80,5,0))))</f>
        <v/>
      </c>
      <c r="O226" s="31" t="n">
        <v>53.92</v>
      </c>
      <c r="P226" s="31" t="n">
        <v>20.08</v>
      </c>
      <c r="Q226" s="31" t="n">
        <v>200.83</v>
      </c>
      <c r="R226" s="30" t="inlineStr">
        <is>
          <t>Earnings / Momentum Support</t>
        </is>
      </c>
      <c r="S226" s="30" t="inlineStr">
        <is>
          <t>Nifty Infra</t>
        </is>
      </c>
      <c r="T226" s="31" t="inlineStr"/>
      <c r="U226" s="31" t="inlineStr"/>
      <c r="V226" s="31" t="inlineStr"/>
      <c r="W226" s="31" t="inlineStr"/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IF(B227=0,"",RANK(B227,$B$2:$B$290,0))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ANDHRAPAP</t>
        </is>
      </c>
      <c r="D227" s="30" t="inlineStr">
        <is>
          <t>Andhra Paper Ltd</t>
        </is>
      </c>
      <c r="E227" s="30" t="inlineStr">
        <is>
          <t>building materials</t>
        </is>
      </c>
      <c r="F227" s="30" t="inlineStr">
        <is>
          <t>paper</t>
        </is>
      </c>
      <c r="G227" s="30" t="inlineStr">
        <is>
          <t>smallcap</t>
        </is>
      </c>
      <c r="H227" s="31" t="n">
        <v>1463.94</v>
      </c>
      <c r="I227" s="31" t="n">
        <v>74.05</v>
      </c>
      <c r="J227" s="31" t="n">
        <v>0.58</v>
      </c>
      <c r="K227" s="31" t="n">
        <v>441096</v>
      </c>
      <c r="L227" s="30" t="inlineStr"/>
      <c r="M227" s="30" t="inlineStr"/>
      <c r="N227" s="31">
        <f>IF(M227="Underperforming",-5,IF(L227&gt;=95,15,IF(L227&gt;=90,10,IF(L227&gt;=80,5,0))))</f>
        <v/>
      </c>
      <c r="O227" s="31" t="n">
        <v>69.28</v>
      </c>
      <c r="P227" s="31" t="n">
        <v>19.69</v>
      </c>
      <c r="Q227" s="31" t="n">
        <v>59.73</v>
      </c>
      <c r="R227" s="30" t="inlineStr">
        <is>
          <t>Earnings / Momentum Support</t>
        </is>
      </c>
      <c r="S227" s="30" t="inlineStr">
        <is>
          <t>Nifty Infra</t>
        </is>
      </c>
      <c r="T227" s="31" t="inlineStr"/>
      <c r="U227" s="31" t="inlineStr"/>
      <c r="V227" s="31" t="inlineStr"/>
      <c r="W227" s="31" t="inlineStr"/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IF(B228=0,"",RANK(B228,$B$2:$B$290,0))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UFLEX</t>
        </is>
      </c>
      <c r="D228" s="30" t="inlineStr">
        <is>
          <t>Uflex Limited</t>
        </is>
      </c>
      <c r="E228" s="30" t="inlineStr">
        <is>
          <t>industrials</t>
        </is>
      </c>
      <c r="F228" s="30" t="inlineStr">
        <is>
          <t>packaging</t>
        </is>
      </c>
      <c r="G228" s="30" t="inlineStr">
        <is>
          <t>smallcap</t>
        </is>
      </c>
      <c r="H228" s="31" t="n">
        <v>4777.15</v>
      </c>
      <c r="I228" s="31" t="n">
        <v>664.2</v>
      </c>
      <c r="J228" s="31" t="n">
        <v>0.4</v>
      </c>
      <c r="K228" s="31" t="n">
        <v>77164</v>
      </c>
      <c r="L228" s="30" t="n">
        <v>57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75.33</v>
      </c>
      <c r="P228" s="31" t="n">
        <v>37.88</v>
      </c>
      <c r="Q228" s="31" t="n">
        <v>529.62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-6.14</v>
      </c>
      <c r="U228" s="31" t="n">
        <v>23.53</v>
      </c>
      <c r="V228" s="31" t="n">
        <v>31.61</v>
      </c>
      <c r="W228" s="31" t="n">
        <v>18.92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Above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More than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IF(B229=0,"",RANK(B229,$B$2:$B$290,0))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ADANIPORTS</t>
        </is>
      </c>
      <c r="D229" s="30" t="inlineStr">
        <is>
          <t>Adani Ports And Special Economic Zone Limited</t>
        </is>
      </c>
      <c r="E229" s="30" t="inlineStr">
        <is>
          <t>transportation</t>
        </is>
      </c>
      <c r="F229" s="30" t="inlineStr">
        <is>
          <t>miscellaneous</t>
        </is>
      </c>
      <c r="G229" s="30" t="inlineStr">
        <is>
          <t>largecap</t>
        </is>
      </c>
      <c r="H229" s="31" t="n">
        <v>411325.82</v>
      </c>
      <c r="I229" s="31" t="n">
        <v>1788</v>
      </c>
      <c r="J229" s="31" t="n">
        <v>0.15</v>
      </c>
      <c r="K229" s="31" t="n">
        <v>895306</v>
      </c>
      <c r="L229" s="30" t="n">
        <v>16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59.34</v>
      </c>
      <c r="P229" s="31" t="n">
        <v>15.26</v>
      </c>
      <c r="Q229" s="31" t="n">
        <v>1616.41</v>
      </c>
      <c r="R229" s="30" t="inlineStr">
        <is>
          <t>Near 52W High Breakout</t>
        </is>
      </c>
      <c r="S229" s="30" t="inlineStr">
        <is>
          <t>Nifty 50</t>
        </is>
      </c>
      <c r="T229" s="31" t="n">
        <v>-6.14</v>
      </c>
      <c r="U229" s="31" t="n">
        <v>28.99</v>
      </c>
      <c r="V229" s="31" t="n">
        <v>37.43</v>
      </c>
      <c r="W229" s="31" t="n">
        <v>6.14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IF(B230=0,"",RANK(B230,$B$2:$B$290,0))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YUKEN</t>
        </is>
      </c>
      <c r="D230" s="30" t="inlineStr">
        <is>
          <t>Yuken India Ltd</t>
        </is>
      </c>
      <c r="E230" s="30" t="inlineStr">
        <is>
          <t>industrials</t>
        </is>
      </c>
      <c r="F230" s="30" t="inlineStr">
        <is>
          <t>engineering</t>
        </is>
      </c>
      <c r="G230" s="30" t="inlineStr">
        <is>
          <t>smallcap</t>
        </is>
      </c>
      <c r="H230" s="31" t="n">
        <v>1531.94</v>
      </c>
      <c r="I230" s="31" t="n">
        <v>1127.6</v>
      </c>
      <c r="J230" s="31" t="n">
        <v>-0.01</v>
      </c>
      <c r="K230" s="31" t="n">
        <v>11780</v>
      </c>
      <c r="L230" s="30" t="n">
        <v>51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76.16</v>
      </c>
      <c r="P230" s="31" t="n">
        <v>31.38</v>
      </c>
      <c r="Q230" s="31" t="n">
        <v>895.9</v>
      </c>
      <c r="R230" s="30" t="inlineStr">
        <is>
          <t>Near 52W High Breakout</t>
        </is>
      </c>
      <c r="S230" s="30" t="inlineStr">
        <is>
          <t>Nifty 50</t>
        </is>
      </c>
      <c r="T230" s="31" t="n">
        <v>-6.14</v>
      </c>
      <c r="U230" s="31" t="n">
        <v>16.29</v>
      </c>
      <c r="V230" s="31" t="n">
        <v>23.9</v>
      </c>
      <c r="W230" s="31" t="n">
        <v>16.72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IF(B231=0,"",RANK(B231,$B$2:$B$290,0))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SHARDAMOTR</t>
        </is>
      </c>
      <c r="D231" s="30" t="inlineStr">
        <is>
          <t>Sharda Motor Industries Limited</t>
        </is>
      </c>
      <c r="E231" s="30" t="inlineStr">
        <is>
          <t>auto</t>
        </is>
      </c>
      <c r="F231" s="30" t="inlineStr">
        <is>
          <t>auto ancillaries</t>
        </is>
      </c>
      <c r="G231" s="30" t="inlineStr">
        <is>
          <t>midcap</t>
        </is>
      </c>
      <c r="H231" s="31" t="n">
        <v>5521.76</v>
      </c>
      <c r="I231" s="31" t="n">
        <v>956.35</v>
      </c>
      <c r="J231" s="31" t="n">
        <v>-0.57</v>
      </c>
      <c r="K231" s="31" t="n">
        <v>45449</v>
      </c>
      <c r="L231" s="30" t="inlineStr"/>
      <c r="M231" s="30" t="inlineStr"/>
      <c r="N231" s="31">
        <f>IF(M231="Underperforming",-5,IF(L231&gt;=95,15,IF(L231&gt;=90,10,IF(L231&gt;=80,5,0))))</f>
        <v/>
      </c>
      <c r="O231" s="31" t="n">
        <v>59.06</v>
      </c>
      <c r="P231" s="31" t="n">
        <v>22.17</v>
      </c>
      <c r="Q231" s="31" t="n">
        <v>760.65</v>
      </c>
      <c r="R231" s="30" t="inlineStr">
        <is>
          <t>Earnings / Momentum Support</t>
        </is>
      </c>
      <c r="S231" s="30" t="inlineStr">
        <is>
          <t>Nifty Auto</t>
        </is>
      </c>
      <c r="T231" s="31" t="inlineStr"/>
      <c r="U231" s="31" t="inlineStr"/>
      <c r="V231" s="31" t="inlineStr"/>
      <c r="W231" s="31" t="inlineStr"/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IF(B232=0,"",RANK(B232,$B$2:$B$290,0))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GOODLUCK</t>
        </is>
      </c>
      <c r="D232" s="30" t="inlineStr">
        <is>
          <t>Goodluck India Limited</t>
        </is>
      </c>
      <c r="E232" s="30" t="inlineStr">
        <is>
          <t>metals &amp; mining</t>
        </is>
      </c>
      <c r="F232" s="30" t="inlineStr">
        <is>
          <t>steel - medium / small</t>
        </is>
      </c>
      <c r="G232" s="30" t="inlineStr">
        <is>
          <t>midcap</t>
        </is>
      </c>
      <c r="H232" s="31" t="n">
        <v>5289.41</v>
      </c>
      <c r="I232" s="31" t="n">
        <v>525.65</v>
      </c>
      <c r="J232" s="31" t="n">
        <v>-0.9</v>
      </c>
      <c r="K232" s="31" t="n">
        <v>239704</v>
      </c>
      <c r="L232" s="30" t="inlineStr"/>
      <c r="M232" s="30" t="inlineStr"/>
      <c r="N232" s="31">
        <f>IF(M232="Underperforming",-5,IF(L232&gt;=95,15,IF(L232&gt;=90,10,IF(L232&gt;=80,5,0))))</f>
        <v/>
      </c>
      <c r="O232" s="31" t="n">
        <v>60.32</v>
      </c>
      <c r="P232" s="31" t="n">
        <v>35.37</v>
      </c>
      <c r="Q232" s="31" t="n">
        <v>383.16</v>
      </c>
      <c r="R232" s="30" t="inlineStr">
        <is>
          <t>Near 52W High Breakout</t>
        </is>
      </c>
      <c r="S232" s="30" t="inlineStr">
        <is>
          <t>Nifty Metal</t>
        </is>
      </c>
      <c r="T232" s="31" t="inlineStr"/>
      <c r="U232" s="31" t="inlineStr"/>
      <c r="V232" s="31" t="inlineStr"/>
      <c r="W232" s="31" t="inlineStr"/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Cyclical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Volatile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Between 0.7 to 1.2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IF(B233=0,"",RANK(B233,$B$2:$B$290,0))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RATNAMANI</t>
        </is>
      </c>
      <c r="D233" s="30" t="inlineStr">
        <is>
          <t>Ratnamani Metals &amp; Tubes Limited</t>
        </is>
      </c>
      <c r="E233" s="30" t="inlineStr">
        <is>
          <t>industrials</t>
        </is>
      </c>
      <c r="F233" s="30" t="inlineStr">
        <is>
          <t>steel - medium / small</t>
        </is>
      </c>
      <c r="G233" s="30" t="inlineStr">
        <is>
          <t>midcap</t>
        </is>
      </c>
      <c r="H233" s="31" t="n">
        <v>19795.38</v>
      </c>
      <c r="I233" s="31" t="n">
        <v>2778.3</v>
      </c>
      <c r="J233" s="31" t="n">
        <v>-1.63</v>
      </c>
      <c r="K233" s="31" t="n">
        <v>25715</v>
      </c>
      <c r="L233" s="30" t="inlineStr"/>
      <c r="M233" s="30" t="inlineStr"/>
      <c r="N233" s="31">
        <f>IF(M233="Underperforming",-5,IF(L233&gt;=95,15,IF(L233&gt;=90,10,IF(L233&gt;=80,5,0))))</f>
        <v/>
      </c>
      <c r="O233" s="31" t="n">
        <v>58.02</v>
      </c>
      <c r="P233" s="31" t="n">
        <v>22.84</v>
      </c>
      <c r="Q233" s="31" t="n">
        <v>2187.6</v>
      </c>
      <c r="R233" s="30" t="inlineStr">
        <is>
          <t>Near 52W High Breakout</t>
        </is>
      </c>
      <c r="S233" s="30" t="inlineStr">
        <is>
          <t>Nifty Metal</t>
        </is>
      </c>
      <c r="T233" s="31" t="inlineStr"/>
      <c r="U233" s="31" t="inlineStr"/>
      <c r="V233" s="31" t="inlineStr"/>
      <c r="W233" s="31" t="inlineStr"/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IF(B234=0,"",RANK(B234,$B$2:$B$290,0))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MAXESTATES</t>
        </is>
      </c>
      <c r="D234" s="30" t="inlineStr">
        <is>
          <t>Max Estates Ltd</t>
        </is>
      </c>
      <c r="E234" s="30" t="inlineStr">
        <is>
          <t>realty</t>
        </is>
      </c>
      <c r="F234" s="30" t="inlineStr">
        <is>
          <t>construction</t>
        </is>
      </c>
      <c r="G234" s="30" t="inlineStr">
        <is>
          <t>midcap</t>
        </is>
      </c>
      <c r="H234" s="31" t="n">
        <v>10084.51</v>
      </c>
      <c r="I234" s="31" t="n">
        <v>594.65</v>
      </c>
      <c r="J234" s="31" t="n">
        <v>-3.59</v>
      </c>
      <c r="K234" s="31" t="n">
        <v>156458</v>
      </c>
      <c r="L234" s="30" t="inlineStr"/>
      <c r="M234" s="30" t="inlineStr"/>
      <c r="N234" s="31">
        <f>IF(M234="Underperforming",-5,IF(L234&gt;=95,15,IF(L234&gt;=90,10,IF(L234&gt;=80,5,0))))</f>
        <v/>
      </c>
      <c r="O234" s="31" t="n">
        <v>74.95999999999999</v>
      </c>
      <c r="P234" s="31" t="n">
        <v>30.27</v>
      </c>
      <c r="Q234" s="31" t="n">
        <v>455.76</v>
      </c>
      <c r="R234" s="30" t="inlineStr">
        <is>
          <t>Volume Spike &amp; Near 52W High Breakout</t>
        </is>
      </c>
      <c r="S234" s="30" t="inlineStr">
        <is>
          <t>Nifty Realty</t>
        </is>
      </c>
      <c r="T234" s="31" t="inlineStr"/>
      <c r="U234" s="31" t="inlineStr"/>
      <c r="V234" s="31" t="inlineStr"/>
      <c r="W234" s="31" t="inlineStr"/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Between 0.7 to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IF(B235=0,"",RANK(B235,$B$2:$B$290,0))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APLAPOLLO</t>
        </is>
      </c>
      <c r="D235" s="30" t="inlineStr">
        <is>
          <t>Apl Apollo Tubes Limited</t>
        </is>
      </c>
      <c r="E235" s="30" t="inlineStr">
        <is>
          <t>industrials</t>
        </is>
      </c>
      <c r="F235" s="30" t="inlineStr">
        <is>
          <t>steel - large</t>
        </is>
      </c>
      <c r="G235" s="30" t="inlineStr">
        <is>
          <t>largecap</t>
        </is>
      </c>
      <c r="H235" s="31" t="n">
        <v>60662.81</v>
      </c>
      <c r="I235" s="31" t="n">
        <v>2214.7</v>
      </c>
      <c r="J235" s="31" t="n">
        <v>1.37</v>
      </c>
      <c r="K235" s="31" t="n">
        <v>339098</v>
      </c>
      <c r="L235" s="30" t="inlineStr"/>
      <c r="M235" s="30" t="inlineStr"/>
      <c r="N235" s="31">
        <f>IF(M235="Underperforming",-5,IF(L235&gt;=95,15,IF(L235&gt;=90,10,IF(L235&gt;=80,5,0))))</f>
        <v/>
      </c>
      <c r="O235" s="31" t="n">
        <v>62.33</v>
      </c>
      <c r="P235" s="31" t="n">
        <v>23.93</v>
      </c>
      <c r="Q235" s="31" t="n">
        <v>1894.3</v>
      </c>
      <c r="R235" s="30" t="inlineStr">
        <is>
          <t>Near 52W High Breakout</t>
        </is>
      </c>
      <c r="S235" s="30" t="inlineStr">
        <is>
          <t>Nifty Metal</t>
        </is>
      </c>
      <c r="T235" s="31" t="inlineStr"/>
      <c r="U235" s="31" t="inlineStr"/>
      <c r="V235" s="31" t="inlineStr"/>
      <c r="W235" s="31" t="inlineStr"/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Oligopoly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B2C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Fully One Time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Above 40</t>
        </is>
      </c>
      <c r="AY235" s="30">
        <f>IF(AX235="Above 40",20,IF(AX235="20 to 40",10,IF(AX235="0 to 20",-5,0)))</f>
        <v/>
      </c>
      <c r="AZ235" s="30" t="inlineStr">
        <is>
          <t>Above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Yes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Between 1.5 to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IF(B236=0,"",RANK(B236,$B$2:$B$290,0))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SOFTTECH</t>
        </is>
      </c>
      <c r="D236" s="30" t="inlineStr">
        <is>
          <t>Softtech Engineers Ltd</t>
        </is>
      </c>
      <c r="E236" s="30" t="inlineStr">
        <is>
          <t>i.t</t>
        </is>
      </c>
      <c r="F236" s="30" t="inlineStr">
        <is>
          <t>computers - software - medium / small</t>
        </is>
      </c>
      <c r="G236" s="30" t="inlineStr">
        <is>
          <t>smallcap</t>
        </is>
      </c>
      <c r="H236" s="31" t="n">
        <v>673</v>
      </c>
      <c r="I236" s="31" t="n">
        <v>479.8</v>
      </c>
      <c r="J236" s="31" t="n">
        <v>-1.32</v>
      </c>
      <c r="K236" s="31" t="n">
        <v>5218</v>
      </c>
      <c r="L236" s="30" t="n">
        <v>40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62.42</v>
      </c>
      <c r="P236" s="31" t="n">
        <v>29.52</v>
      </c>
      <c r="Q236" s="31" t="n">
        <v>412.72</v>
      </c>
      <c r="R236" s="30" t="inlineStr">
        <is>
          <t>Earnings / Momentum Support</t>
        </is>
      </c>
      <c r="S236" s="30" t="inlineStr">
        <is>
          <t>Nifty IT</t>
        </is>
      </c>
      <c r="T236" s="31" t="n">
        <v>-16.44</v>
      </c>
      <c r="U236" s="31" t="n">
        <v>29.48</v>
      </c>
      <c r="V236" s="31" t="n">
        <v>54.96</v>
      </c>
      <c r="W236" s="31" t="n">
        <v>12.93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IF(B237=0,"",RANK(B237,$B$2:$B$290,0))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ANTELOPUS</t>
        </is>
      </c>
      <c r="D237" s="30" t="inlineStr">
        <is>
          <t>Antelopus Selan Energy Ltd</t>
        </is>
      </c>
      <c r="E237" s="30" t="inlineStr">
        <is>
          <t>energy</t>
        </is>
      </c>
      <c r="F237" s="30" t="inlineStr">
        <is>
          <t>oil drilling / allied services</t>
        </is>
      </c>
      <c r="G237" s="30" t="inlineStr">
        <is>
          <t>smallcap</t>
        </is>
      </c>
      <c r="H237" s="31" t="n">
        <v>3976.69</v>
      </c>
      <c r="I237" s="31" t="n">
        <v>1261.7</v>
      </c>
      <c r="J237" s="31" t="n">
        <v>11.56</v>
      </c>
      <c r="K237" s="31" t="n">
        <v>7877531</v>
      </c>
      <c r="L237" s="30" t="inlineStr"/>
      <c r="M237" s="30" t="inlineStr"/>
      <c r="N237" s="31">
        <f>IF(M237="Underperforming",-5,IF(L237&gt;=95,15,IF(L237&gt;=90,10,IF(L237&gt;=80,5,0))))</f>
        <v/>
      </c>
      <c r="O237" s="31" t="n">
        <v>76.17</v>
      </c>
      <c r="P237" s="31" t="n">
        <v>47.52</v>
      </c>
      <c r="Q237" s="31" t="n">
        <v>877.58</v>
      </c>
      <c r="R237" s="30" t="inlineStr">
        <is>
          <t>Near 52W High Breakout</t>
        </is>
      </c>
      <c r="S237" s="30" t="inlineStr">
        <is>
          <t>Nifty Energy</t>
        </is>
      </c>
      <c r="T237" s="31" t="inlineStr"/>
      <c r="U237" s="31" t="inlineStr"/>
      <c r="V237" s="31" t="inlineStr"/>
      <c r="W237" s="31" t="inlineStr"/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Oligopoly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Cyclical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Volatile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Above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IF(B238=0,"",RANK(B238,$B$2:$B$290,0))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MBAPL</t>
        </is>
      </c>
      <c r="D238" s="30" t="inlineStr">
        <is>
          <t>Madhya Bharat Agro Products Ltd</t>
        </is>
      </c>
      <c r="E238" s="30" t="inlineStr">
        <is>
          <t>chemicals</t>
        </is>
      </c>
      <c r="F238" s="30" t="inlineStr">
        <is>
          <t>fertilizers</t>
        </is>
      </c>
      <c r="G238" s="30" t="inlineStr">
        <is>
          <t>smallcap</t>
        </is>
      </c>
      <c r="H238" s="31" t="n">
        <v>1437.7</v>
      </c>
      <c r="I238" s="31" t="n">
        <v>168.47</v>
      </c>
      <c r="J238" s="31" t="n">
        <v>2.68</v>
      </c>
      <c r="K238" s="31" t="n">
        <v>596290</v>
      </c>
      <c r="L238" s="30" t="n">
        <v>73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75.69</v>
      </c>
      <c r="P238" s="31" t="n">
        <v>71.56</v>
      </c>
      <c r="Q238" s="31" t="n">
        <v>134.31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-6.14</v>
      </c>
      <c r="U238" s="31" t="n">
        <v>106.29</v>
      </c>
      <c r="V238" s="31" t="n">
        <v>119.79</v>
      </c>
      <c r="W238" s="31" t="n">
        <v>26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Above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Between 12 to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More than 1.2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IF(B239=0,"",RANK(B239,$B$2:$B$290,0))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JUBLCPL</t>
        </is>
      </c>
      <c r="D239" s="32" t="inlineStr">
        <is>
          <t>Jubilant Agri &amp; Consumer Products Ltd</t>
        </is>
      </c>
      <c r="E239" s="30" t="inlineStr">
        <is>
          <t>chemicals</t>
        </is>
      </c>
      <c r="F239" s="30" t="inlineStr">
        <is>
          <t>chemicals</t>
        </is>
      </c>
      <c r="G239" s="30" t="inlineStr">
        <is>
          <t>smallcap</t>
        </is>
      </c>
      <c r="H239" s="31" t="n">
        <v>3273.39</v>
      </c>
      <c r="I239" s="31" t="n">
        <v>2210.1</v>
      </c>
      <c r="J239" s="31" t="n">
        <v>2.31</v>
      </c>
      <c r="K239" s="31" t="n">
        <v>4393</v>
      </c>
      <c r="L239" s="30" t="n">
        <v>6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55.51</v>
      </c>
      <c r="P239" s="31" t="n">
        <v>24.8</v>
      </c>
      <c r="Q239" s="31" t="n">
        <v>1723.63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-6.14</v>
      </c>
      <c r="U239" s="31" t="n">
        <v>-6.9</v>
      </c>
      <c r="V239" s="31" t="n">
        <v>-0.8100000000000001</v>
      </c>
      <c r="W239" s="31" t="n">
        <v>2.99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IF(B240=0,"",RANK(B240,$B$2:$B$290,0))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GMMPFAUDLR</t>
        </is>
      </c>
      <c r="D240" s="30" t="inlineStr">
        <is>
          <t>GMM Pfaudler Ltd</t>
        </is>
      </c>
      <c r="E240" s="30" t="inlineStr">
        <is>
          <t>industrials</t>
        </is>
      </c>
      <c r="F240" s="30" t="inlineStr">
        <is>
          <t>engineering</t>
        </is>
      </c>
      <c r="G240" s="30" t="inlineStr">
        <is>
          <t>midcap</t>
        </is>
      </c>
      <c r="H240" s="31" t="n">
        <v>6632.99</v>
      </c>
      <c r="I240" s="31" t="n">
        <v>1505.2</v>
      </c>
      <c r="J240" s="31" t="n">
        <v>2.02</v>
      </c>
      <c r="K240" s="31" t="n">
        <v>220062</v>
      </c>
      <c r="L240" s="30" t="n">
        <v>79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82.36</v>
      </c>
      <c r="P240" s="31" t="n">
        <v>36.15</v>
      </c>
      <c r="Q240" s="31" t="n">
        <v>1222.15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-6.14</v>
      </c>
      <c r="U240" s="31" t="n">
        <v>42.31</v>
      </c>
      <c r="V240" s="31" t="n">
        <v>51.63</v>
      </c>
      <c r="W240" s="31" t="n">
        <v>30.2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Between 0.7 to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IF(B241=0,"",RANK(B241,$B$2:$B$290,0))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BIL</t>
        </is>
      </c>
      <c r="D241" s="30" t="inlineStr">
        <is>
          <t>Bhartiya International Limited</t>
        </is>
      </c>
      <c r="E241" s="30" t="inlineStr">
        <is>
          <t>consumer discretionary</t>
        </is>
      </c>
      <c r="F241" s="30" t="inlineStr">
        <is>
          <t>leather / leather products</t>
        </is>
      </c>
      <c r="G241" s="30" t="inlineStr">
        <is>
          <t>smallcap</t>
        </is>
      </c>
      <c r="H241" s="31" t="n">
        <v>1354.79</v>
      </c>
      <c r="I241" s="31" t="n">
        <v>1010.85</v>
      </c>
      <c r="J241" s="31" t="n">
        <v>0.06</v>
      </c>
      <c r="K241" s="31" t="n">
        <v>4693</v>
      </c>
      <c r="L241" s="30" t="n">
        <v>27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67.06</v>
      </c>
      <c r="P241" s="31" t="n">
        <v>29.28</v>
      </c>
      <c r="Q241" s="31" t="n">
        <v>795.55</v>
      </c>
      <c r="R241" s="30" t="inlineStr">
        <is>
          <t>Earnings / Momentum Support</t>
        </is>
      </c>
      <c r="S241" s="30" t="inlineStr">
        <is>
          <t>Nifty 50</t>
        </is>
      </c>
      <c r="T241" s="31" t="n">
        <v>-6.14</v>
      </c>
      <c r="U241" s="31" t="n">
        <v>17.75</v>
      </c>
      <c r="V241" s="31" t="n">
        <v>25.46</v>
      </c>
      <c r="W241" s="31" t="n">
        <v>9.369999999999999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Between 0.7 to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IF(B242=0,"",RANK(B242,$B$2:$B$290,0))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SPLPETRO</t>
        </is>
      </c>
      <c r="D242" s="30" t="inlineStr">
        <is>
          <t>Supreme Petrochem Ltd</t>
        </is>
      </c>
      <c r="E242" s="30" t="inlineStr">
        <is>
          <t>energy</t>
        </is>
      </c>
      <c r="F242" s="30" t="inlineStr">
        <is>
          <t>petrochemicals</t>
        </is>
      </c>
      <c r="G242" s="30" t="inlineStr">
        <is>
          <t>midcap</t>
        </is>
      </c>
      <c r="H242" s="31" t="n">
        <v>16545.76</v>
      </c>
      <c r="I242" s="31" t="n">
        <v>880</v>
      </c>
      <c r="J242" s="31" t="n">
        <v>0.01</v>
      </c>
      <c r="K242" s="31" t="n">
        <v>162786</v>
      </c>
      <c r="L242" s="30" t="inlineStr"/>
      <c r="M242" s="30" t="inlineStr"/>
      <c r="N242" s="31">
        <f>IF(M242="Underperforming",-5,IF(L242&gt;=95,15,IF(L242&gt;=90,10,IF(L242&gt;=80,5,0))))</f>
        <v/>
      </c>
      <c r="O242" s="31" t="n">
        <v>67.88</v>
      </c>
      <c r="P242" s="31" t="n">
        <v>30.68</v>
      </c>
      <c r="Q242" s="31" t="n">
        <v>698.14</v>
      </c>
      <c r="R242" s="30" t="inlineStr">
        <is>
          <t>Near 52W High Breakout</t>
        </is>
      </c>
      <c r="S242" s="30" t="inlineStr">
        <is>
          <t>Nifty Energy</t>
        </is>
      </c>
      <c r="T242" s="31" t="inlineStr"/>
      <c r="U242" s="31" t="inlineStr"/>
      <c r="V242" s="31" t="inlineStr"/>
      <c r="W242" s="31" t="inlineStr"/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Oligopoly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Yes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Cyclical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Volatile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IF(B243=0,"",RANK(B243,$B$2:$B$290,0))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PREMEXPLN</t>
        </is>
      </c>
      <c r="D243" s="30" t="inlineStr">
        <is>
          <t>Premier Explosives Limited</t>
        </is>
      </c>
      <c r="E243" s="30" t="inlineStr">
        <is>
          <t>aerospace &amp; defence</t>
        </is>
      </c>
      <c r="F243" s="30" t="inlineStr">
        <is>
          <t>chemicals</t>
        </is>
      </c>
      <c r="G243" s="30" t="inlineStr">
        <is>
          <t>smallcap</t>
        </is>
      </c>
      <c r="H243" s="31" t="n">
        <v>3658.45</v>
      </c>
      <c r="I243" s="31" t="n">
        <v>680.35</v>
      </c>
      <c r="J243" s="31" t="n">
        <v>-0.02</v>
      </c>
      <c r="K243" s="31" t="n">
        <v>97193</v>
      </c>
      <c r="L243" s="30" t="n">
        <v>18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58.06</v>
      </c>
      <c r="P243" s="31" t="n">
        <v>33.21</v>
      </c>
      <c r="Q243" s="31" t="n">
        <v>640</v>
      </c>
      <c r="R243" s="30" t="inlineStr">
        <is>
          <t>Earnings / Momentum Support</t>
        </is>
      </c>
      <c r="S243" s="30" t="inlineStr">
        <is>
          <t>Nifty 50</t>
        </is>
      </c>
      <c r="T243" s="31" t="n">
        <v>-6.14</v>
      </c>
      <c r="U243" s="31" t="n">
        <v>15.64</v>
      </c>
      <c r="V243" s="31" t="n">
        <v>23.21</v>
      </c>
      <c r="W243" s="31" t="n">
        <v>6.55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IF(B244=0,"",RANK(B244,$B$2:$B$290,0))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LGBBROSLTD</t>
        </is>
      </c>
      <c r="D244" s="30" t="inlineStr">
        <is>
          <t>Lg Balakrishnan &amp; Bros Limited</t>
        </is>
      </c>
      <c r="E244" s="30" t="inlineStr">
        <is>
          <t>auto</t>
        </is>
      </c>
      <c r="F244" s="30" t="inlineStr">
        <is>
          <t>bearings</t>
        </is>
      </c>
      <c r="G244" s="30" t="inlineStr">
        <is>
          <t>midcap</t>
        </is>
      </c>
      <c r="H244" s="31" t="n">
        <v>5566.18</v>
      </c>
      <c r="I244" s="31" t="n">
        <v>1735.3</v>
      </c>
      <c r="J244" s="31" t="n">
        <v>-0.57</v>
      </c>
      <c r="K244" s="31" t="n">
        <v>16354</v>
      </c>
      <c r="L244" s="30" t="inlineStr"/>
      <c r="M244" s="30" t="inlineStr"/>
      <c r="N244" s="31">
        <f>IF(M244="Underperforming",-5,IF(L244&gt;=95,15,IF(L244&gt;=90,10,IF(L244&gt;=80,5,0))))</f>
        <v/>
      </c>
      <c r="O244" s="31" t="n">
        <v>59.89</v>
      </c>
      <c r="P244" s="31" t="n">
        <v>12.64</v>
      </c>
      <c r="Q244" s="31" t="n">
        <v>1447.95</v>
      </c>
      <c r="R244" s="30" t="inlineStr">
        <is>
          <t>Earnings / Momentum Support</t>
        </is>
      </c>
      <c r="S244" s="30" t="inlineStr">
        <is>
          <t>Nifty Auto</t>
        </is>
      </c>
      <c r="T244" s="31" t="inlineStr"/>
      <c r="U244" s="31" t="inlineStr"/>
      <c r="V244" s="31" t="inlineStr"/>
      <c r="W244" s="31" t="inlineStr"/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Less than 1.5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IF(B245=0,"",RANK(B245,$B$2:$B$290,0))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KSL</t>
        </is>
      </c>
      <c r="D245" s="30" t="inlineStr">
        <is>
          <t>Kalyani Steels Limited</t>
        </is>
      </c>
      <c r="E245" s="30" t="inlineStr">
        <is>
          <t>metals &amp; mining</t>
        </is>
      </c>
      <c r="F245" s="30" t="inlineStr">
        <is>
          <t>steel - medium / small</t>
        </is>
      </c>
      <c r="G245" s="30" t="inlineStr">
        <is>
          <t>smallcap</t>
        </is>
      </c>
      <c r="H245" s="31" t="n">
        <v>4252.68</v>
      </c>
      <c r="I245" s="31" t="n">
        <v>964.7</v>
      </c>
      <c r="J245" s="31" t="n">
        <v>-0.98</v>
      </c>
      <c r="K245" s="31" t="n">
        <v>94739</v>
      </c>
      <c r="L245" s="30" t="inlineStr"/>
      <c r="M245" s="30" t="inlineStr"/>
      <c r="N245" s="31">
        <f>IF(M245="Underperforming",-5,IF(L245&gt;=95,15,IF(L245&gt;=90,10,IF(L245&gt;=80,5,0))))</f>
        <v/>
      </c>
      <c r="O245" s="31" t="n">
        <v>65.41</v>
      </c>
      <c r="P245" s="31" t="n">
        <v>30.2</v>
      </c>
      <c r="Q245" s="31" t="n">
        <v>749.6</v>
      </c>
      <c r="R245" s="30" t="inlineStr">
        <is>
          <t>Volume Spike &amp; Near 52W High Breakout</t>
        </is>
      </c>
      <c r="S245" s="30" t="inlineStr">
        <is>
          <t>Nifty Metal</t>
        </is>
      </c>
      <c r="T245" s="31" t="inlineStr"/>
      <c r="U245" s="31" t="inlineStr"/>
      <c r="V245" s="31" t="inlineStr"/>
      <c r="W245" s="31" t="inlineStr"/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IF(B246=0,"",RANK(B246,$B$2:$B$290,0))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SANATHAN</t>
        </is>
      </c>
      <c r="D246" s="30" t="inlineStr">
        <is>
          <t>Sanathan Textiles Ltd</t>
        </is>
      </c>
      <c r="E246" s="30" t="inlineStr">
        <is>
          <t>textiles</t>
        </is>
      </c>
      <c r="F246" s="30" t="inlineStr">
        <is>
          <t>textiles - cotton/blended</t>
        </is>
      </c>
      <c r="G246" s="30" t="inlineStr">
        <is>
          <t>smallcap</t>
        </is>
      </c>
      <c r="H246" s="31" t="n">
        <v>4467.08</v>
      </c>
      <c r="I246" s="31" t="n">
        <v>523.2</v>
      </c>
      <c r="J246" s="31" t="n">
        <v>-1.14</v>
      </c>
      <c r="K246" s="31" t="n">
        <v>189507</v>
      </c>
      <c r="L246" s="30" t="n">
        <v>12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69.53</v>
      </c>
      <c r="P246" s="31" t="n">
        <v>20.94</v>
      </c>
      <c r="Q246" s="31" t="n">
        <v>400.95</v>
      </c>
      <c r="R246" s="30" t="inlineStr">
        <is>
          <t>Volume Spike &amp; Near 52W High Breakout</t>
        </is>
      </c>
      <c r="S246" s="30" t="inlineStr">
        <is>
          <t>Nifty 50</t>
        </is>
      </c>
      <c r="T246" s="31" t="n">
        <v>-6.14</v>
      </c>
      <c r="U246" s="31" t="n">
        <v>4.64</v>
      </c>
      <c r="V246" s="31" t="n">
        <v>11.49</v>
      </c>
      <c r="W246" s="31" t="n">
        <v>5.31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IF(B247=0,"",RANK(B247,$B$2:$B$290,0))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GLOBAL</t>
        </is>
      </c>
      <c r="D247" s="30" t="inlineStr">
        <is>
          <t>Global Education Ltd</t>
        </is>
      </c>
      <c r="E247" s="30" t="inlineStr">
        <is>
          <t>services</t>
        </is>
      </c>
      <c r="F247" s="30" t="inlineStr">
        <is>
          <t>miscellaneous</t>
        </is>
      </c>
      <c r="G247" s="30" t="inlineStr">
        <is>
          <t>smallcap</t>
        </is>
      </c>
      <c r="H247" s="31" t="n">
        <v>717.71</v>
      </c>
      <c r="I247" s="31" t="n">
        <v>135.4</v>
      </c>
      <c r="J247" s="31" t="n">
        <v>-3.97</v>
      </c>
      <c r="K247" s="31" t="n">
        <v>227619</v>
      </c>
      <c r="L247" s="30" t="n">
        <v>66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75.28</v>
      </c>
      <c r="P247" s="31" t="n">
        <v>34.62</v>
      </c>
      <c r="Q247" s="31" t="n">
        <v>102.61</v>
      </c>
      <c r="R247" s="30" t="inlineStr">
        <is>
          <t>Volume Spike &amp; Near 52W High Breakout</t>
        </is>
      </c>
      <c r="S247" s="30" t="inlineStr">
        <is>
          <t>Nifty 50</t>
        </is>
      </c>
      <c r="T247" s="31" t="n">
        <v>-6.14</v>
      </c>
      <c r="U247" s="31" t="n">
        <v>111.82</v>
      </c>
      <c r="V247" s="31" t="n">
        <v>125.68</v>
      </c>
      <c r="W247" s="31" t="n">
        <v>22.88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Above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Blue sky scenario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IF(B248=0,"",RANK(B248,$B$2:$B$290,0))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AVADHSUGAR</t>
        </is>
      </c>
      <c r="D248" s="30" t="inlineStr">
        <is>
          <t>Avadh Sugar &amp; Energy</t>
        </is>
      </c>
      <c r="E248" s="30" t="inlineStr">
        <is>
          <t>fmcg</t>
        </is>
      </c>
      <c r="F248" s="30" t="inlineStr">
        <is>
          <t>sugar</t>
        </is>
      </c>
      <c r="G248" s="30" t="inlineStr">
        <is>
          <t>smallcap</t>
        </is>
      </c>
      <c r="H248" s="31" t="n">
        <v>1449.53</v>
      </c>
      <c r="I248" s="31" t="n">
        <v>796.5</v>
      </c>
      <c r="J248" s="31" t="n">
        <v>10</v>
      </c>
      <c r="K248" s="31" t="n">
        <v>465223</v>
      </c>
      <c r="L248" s="30" t="inlineStr"/>
      <c r="M248" s="30" t="inlineStr"/>
      <c r="N248" s="31">
        <f>IF(M248="Underperforming",-5,IF(L248&gt;=95,15,IF(L248&gt;=90,10,IF(L248&gt;=80,5,0))))</f>
        <v/>
      </c>
      <c r="O248" s="31" t="n">
        <v>71.97</v>
      </c>
      <c r="P248" s="31" t="n">
        <v>54.07</v>
      </c>
      <c r="Q248" s="31" t="n">
        <v>631.7</v>
      </c>
      <c r="R248" s="30" t="inlineStr">
        <is>
          <t>Near 52W High Breakout</t>
        </is>
      </c>
      <c r="S248" s="30" t="inlineStr">
        <is>
          <t>Nifty FMCG</t>
        </is>
      </c>
      <c r="T248" s="31" t="inlineStr"/>
      <c r="U248" s="31" t="inlineStr"/>
      <c r="V248" s="31" t="inlineStr"/>
      <c r="W248" s="31" t="inlineStr"/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B2C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More than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IF(B249=0,"",RANK(B249,$B$2:$B$290,0))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MANKIND</t>
        </is>
      </c>
      <c r="D249" s="32" t="inlineStr">
        <is>
          <t>Mankind Pharma Ltd</t>
        </is>
      </c>
      <c r="E249" s="30" t="inlineStr">
        <is>
          <t>healthcare</t>
        </is>
      </c>
      <c r="F249" s="30" t="inlineStr">
        <is>
          <t>pharmaceuticals - indian - bulk drugs &amp; formln</t>
        </is>
      </c>
      <c r="G249" s="30" t="inlineStr">
        <is>
          <t>largecap</t>
        </is>
      </c>
      <c r="H249" s="31" t="n">
        <v>103248.99</v>
      </c>
      <c r="I249" s="31" t="n">
        <v>2474.9</v>
      </c>
      <c r="J249" s="31" t="n">
        <v>-1</v>
      </c>
      <c r="K249" s="31" t="n">
        <v>333769</v>
      </c>
      <c r="L249" s="30" t="n">
        <v>2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57.88</v>
      </c>
      <c r="P249" s="31" t="n">
        <v>22.9</v>
      </c>
      <c r="Q249" s="31" t="n">
        <v>2144.75</v>
      </c>
      <c r="R249" s="30" t="inlineStr">
        <is>
          <t>Volume Spike &amp; Near 52W High Breakout</t>
        </is>
      </c>
      <c r="S249" s="30" t="inlineStr">
        <is>
          <t>Nifty Pharma</t>
        </is>
      </c>
      <c r="T249" s="31" t="n">
        <v>25.55</v>
      </c>
      <c r="U249" s="31" t="n">
        <v>-0.32</v>
      </c>
      <c r="V249" s="31" t="n">
        <v>-20.61</v>
      </c>
      <c r="W249" s="31" t="n">
        <v>0.62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1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Between 1.5 to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IF(B250=0,"",RANK(B250,$B$2:$B$290,0))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AXISCADES</t>
        </is>
      </c>
      <c r="D250" s="30" t="inlineStr">
        <is>
          <t>AXISCADES Technologies Ltd</t>
        </is>
      </c>
      <c r="E250" s="30" t="inlineStr">
        <is>
          <t>aerospace &amp; defence</t>
        </is>
      </c>
      <c r="F250" s="30" t="inlineStr">
        <is>
          <t>computers - software - medium / small</t>
        </is>
      </c>
      <c r="G250" s="30" t="inlineStr">
        <is>
          <t>midcap</t>
        </is>
      </c>
      <c r="H250" s="31" t="n">
        <v>8179.13</v>
      </c>
      <c r="I250" s="31" t="n">
        <v>1892.1</v>
      </c>
      <c r="J250" s="31" t="n">
        <v>-1.61</v>
      </c>
      <c r="K250" s="31" t="n">
        <v>130914</v>
      </c>
      <c r="L250" s="30" t="n">
        <v>16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60</v>
      </c>
      <c r="P250" s="31" t="n">
        <v>10.77</v>
      </c>
      <c r="Q250" s="31" t="n">
        <v>1353.42</v>
      </c>
      <c r="R250" s="30" t="inlineStr">
        <is>
          <t>Earnings / Momentum Support</t>
        </is>
      </c>
      <c r="S250" s="30" t="inlineStr">
        <is>
          <t>Nifty IT</t>
        </is>
      </c>
      <c r="T250" s="31" t="n">
        <v>-16.44</v>
      </c>
      <c r="U250" s="31" t="n">
        <v>15.34</v>
      </c>
      <c r="V250" s="31" t="n">
        <v>38.04</v>
      </c>
      <c r="W250" s="31" t="n">
        <v>6.13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IF(B251=0,"",RANK(B251,$B$2:$B$290,0))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SBC</t>
        </is>
      </c>
      <c r="D251" s="30" t="inlineStr">
        <is>
          <t>SBC Exports Ltd</t>
        </is>
      </c>
      <c r="E251" s="30" t="inlineStr">
        <is>
          <t>textiles</t>
        </is>
      </c>
      <c r="F251" s="30" t="inlineStr">
        <is>
          <t>textiles - products</t>
        </is>
      </c>
      <c r="G251" s="30" t="inlineStr">
        <is>
          <t>smallcap</t>
        </is>
      </c>
      <c r="H251" s="31" t="n">
        <v>2286.19</v>
      </c>
      <c r="I251" s="31" t="n">
        <v>53.02</v>
      </c>
      <c r="J251" s="31" t="n">
        <v>10.44</v>
      </c>
      <c r="K251" s="31" t="n">
        <v>23868200</v>
      </c>
      <c r="L251" s="30" t="n">
        <v>73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80.43000000000001</v>
      </c>
      <c r="P251" s="31" t="n">
        <v>32.26</v>
      </c>
      <c r="Q251" s="31" t="n">
        <v>43.36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-6.14</v>
      </c>
      <c r="U251" s="31" t="n">
        <v>145.58</v>
      </c>
      <c r="V251" s="31" t="n">
        <v>161.65</v>
      </c>
      <c r="W251" s="31" t="n">
        <v>25.95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Above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More than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IF(B252=0,"",RANK(B252,$B$2:$B$290,0))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SUNFLAG</t>
        </is>
      </c>
      <c r="D252" s="30" t="inlineStr">
        <is>
          <t>Sunflag Iron And Steel Company Limited</t>
        </is>
      </c>
      <c r="E252" s="30" t="inlineStr">
        <is>
          <t>metals &amp; mining</t>
        </is>
      </c>
      <c r="F252" s="30" t="inlineStr">
        <is>
          <t>steel - medium / small</t>
        </is>
      </c>
      <c r="G252" s="30" t="inlineStr">
        <is>
          <t>midcap</t>
        </is>
      </c>
      <c r="H252" s="31" t="n">
        <v>7151.11</v>
      </c>
      <c r="I252" s="31" t="n">
        <v>410.65</v>
      </c>
      <c r="J252" s="31" t="n">
        <v>3.49</v>
      </c>
      <c r="K252" s="31" t="n">
        <v>2066226</v>
      </c>
      <c r="L252" s="30" t="inlineStr"/>
      <c r="M252" s="30" t="inlineStr"/>
      <c r="N252" s="31">
        <f>IF(M252="Underperforming",-5,IF(L252&gt;=95,15,IF(L252&gt;=90,10,IF(L252&gt;=80,5,0))))</f>
        <v/>
      </c>
      <c r="O252" s="31" t="n">
        <v>67.23999999999999</v>
      </c>
      <c r="P252" s="31" t="n">
        <v>31.92</v>
      </c>
      <c r="Q252" s="31" t="n">
        <v>313.76</v>
      </c>
      <c r="R252" s="30" t="inlineStr">
        <is>
          <t>Volume Spike &amp; Near 52W High Breakout</t>
        </is>
      </c>
      <c r="S252" s="30" t="inlineStr">
        <is>
          <t>Nifty Metal</t>
        </is>
      </c>
      <c r="T252" s="31" t="inlineStr"/>
      <c r="U252" s="31" t="inlineStr"/>
      <c r="V252" s="31" t="inlineStr"/>
      <c r="W252" s="31" t="inlineStr"/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IF(B253=0,"",RANK(B253,$B$2:$B$290,0))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RATNAVEER</t>
        </is>
      </c>
      <c r="D253" s="30" t="inlineStr">
        <is>
          <t>Ratnaveer Precision Engineering Ltd</t>
        </is>
      </c>
      <c r="E253" s="30" t="inlineStr">
        <is>
          <t>metals &amp; mining</t>
        </is>
      </c>
      <c r="F253" s="30" t="inlineStr">
        <is>
          <t>steel - medium / small</t>
        </is>
      </c>
      <c r="G253" s="30" t="inlineStr">
        <is>
          <t>smallcap</t>
        </is>
      </c>
      <c r="H253" s="31" t="n">
        <v>2313.87</v>
      </c>
      <c r="I253" s="31" t="n">
        <v>333.95</v>
      </c>
      <c r="J253" s="31" t="n">
        <v>3.09</v>
      </c>
      <c r="K253" s="31" t="n">
        <v>6123089</v>
      </c>
      <c r="L253" s="30" t="inlineStr"/>
      <c r="M253" s="30" t="inlineStr"/>
      <c r="N253" s="31">
        <f>IF(M253="Underperforming",-5,IF(L253&gt;=95,15,IF(L253&gt;=90,10,IF(L253&gt;=80,5,0))))</f>
        <v/>
      </c>
      <c r="O253" s="31" t="n">
        <v>81.02</v>
      </c>
      <c r="P253" s="31" t="n">
        <v>63.07</v>
      </c>
      <c r="Q253" s="31" t="n">
        <v>243.76</v>
      </c>
      <c r="R253" s="30" t="inlineStr">
        <is>
          <t>Near 52W High Breakout</t>
        </is>
      </c>
      <c r="S253" s="30" t="inlineStr">
        <is>
          <t>Nifty Metal</t>
        </is>
      </c>
      <c r="T253" s="31" t="inlineStr"/>
      <c r="U253" s="31" t="inlineStr"/>
      <c r="V253" s="31" t="inlineStr"/>
      <c r="W253" s="31" t="inlineStr"/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Cyclical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Volatile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Above 40</t>
        </is>
      </c>
      <c r="AY253" s="30">
        <f>IF(AX253="Above 40",20,IF(AX253="20 to 40",10,IF(AX253="0 to 20",-5,0)))</f>
        <v/>
      </c>
      <c r="AZ253" s="30" t="inlineStr">
        <is>
          <t>Above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Blue sky scenario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IF(B254=0,"",RANK(B254,$B$2:$B$290,0))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PANACHE</t>
        </is>
      </c>
      <c r="D254" s="30" t="inlineStr">
        <is>
          <t>Panache Digilife Ltd</t>
        </is>
      </c>
      <c r="E254" s="30" t="inlineStr">
        <is>
          <t>i.t</t>
        </is>
      </c>
      <c r="F254" s="30" t="inlineStr">
        <is>
          <t>computers - hardware</t>
        </is>
      </c>
      <c r="G254" s="30" t="inlineStr">
        <is>
          <t>smallcap</t>
        </is>
      </c>
      <c r="H254" s="31" t="n">
        <v>824.5599999999999</v>
      </c>
      <c r="I254" s="31" t="n">
        <v>525</v>
      </c>
      <c r="J254" s="31" t="n">
        <v>1.96</v>
      </c>
      <c r="K254" s="31" t="n">
        <v>2113</v>
      </c>
      <c r="L254" s="30" t="n">
        <v>38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70.14</v>
      </c>
      <c r="P254" s="31" t="n">
        <v>37.26</v>
      </c>
      <c r="Q254" s="31" t="n">
        <v>421.57</v>
      </c>
      <c r="R254" s="30" t="inlineStr">
        <is>
          <t>Near 52W High Breakout</t>
        </is>
      </c>
      <c r="S254" s="30" t="inlineStr">
        <is>
          <t>Nifty IT</t>
        </is>
      </c>
      <c r="T254" s="31" t="n">
        <v>-16.44</v>
      </c>
      <c r="U254" s="31" t="n">
        <v>30.29</v>
      </c>
      <c r="V254" s="31" t="n">
        <v>55.93</v>
      </c>
      <c r="W254" s="31" t="n">
        <v>12.19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Negative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Blue sky scenario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IF(B255=0,"",RANK(B255,$B$2:$B$290,0))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NAVINFLUOR</t>
        </is>
      </c>
      <c r="D255" s="30" t="inlineStr">
        <is>
          <t>Navin Fluorine International Limited</t>
        </is>
      </c>
      <c r="E255" s="30" t="inlineStr">
        <is>
          <t>chemicals</t>
        </is>
      </c>
      <c r="F255" s="30" t="inlineStr">
        <is>
          <t>chemicals</t>
        </is>
      </c>
      <c r="G255" s="30" t="inlineStr">
        <is>
          <t>largecap</t>
        </is>
      </c>
      <c r="H255" s="31" t="n">
        <v>43397.45</v>
      </c>
      <c r="I255" s="31" t="n">
        <v>8584.5</v>
      </c>
      <c r="J255" s="31" t="n">
        <v>1.46</v>
      </c>
      <c r="K255" s="31" t="n">
        <v>107462</v>
      </c>
      <c r="L255" s="30" t="n">
        <v>50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77.84</v>
      </c>
      <c r="P255" s="31" t="n">
        <v>59.55</v>
      </c>
      <c r="Q255" s="31" t="n">
        <v>7192.5</v>
      </c>
      <c r="R255" s="30" t="inlineStr">
        <is>
          <t>Near 52W High Breakout</t>
        </is>
      </c>
      <c r="S255" s="30" t="inlineStr">
        <is>
          <t>Nifty 50</t>
        </is>
      </c>
      <c r="T255" s="31" t="n">
        <v>-6.14</v>
      </c>
      <c r="U255" s="31" t="n">
        <v>88.14</v>
      </c>
      <c r="V255" s="31" t="n">
        <v>100.45</v>
      </c>
      <c r="W255" s="31" t="n">
        <v>16.54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Oligopoly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Shallow Cyclical (2 to 3 Years Growth)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3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Between 50% to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IF(B256=0,"",RANK(B256,$B$2:$B$290,0))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PHOENIXLTD</t>
        </is>
      </c>
      <c r="D256" s="30" t="inlineStr">
        <is>
          <t>The Phoenix Mills Limited</t>
        </is>
      </c>
      <c r="E256" s="30" t="inlineStr">
        <is>
          <t>realty</t>
        </is>
      </c>
      <c r="F256" s="30" t="inlineStr">
        <is>
          <t>construction</t>
        </is>
      </c>
      <c r="G256" s="30" t="inlineStr">
        <is>
          <t>largecap</t>
        </is>
      </c>
      <c r="H256" s="31" t="n">
        <v>69918.71000000001</v>
      </c>
      <c r="I256" s="31" t="n">
        <v>1978.4</v>
      </c>
      <c r="J256" s="31" t="n">
        <v>1.2</v>
      </c>
      <c r="K256" s="31" t="n">
        <v>463656</v>
      </c>
      <c r="L256" s="30" t="inlineStr"/>
      <c r="M256" s="30" t="inlineStr"/>
      <c r="N256" s="31">
        <f>IF(M256="Underperforming",-5,IF(L256&gt;=95,15,IF(L256&gt;=90,10,IF(L256&gt;=80,5,0))))</f>
        <v/>
      </c>
      <c r="O256" s="31" t="n">
        <v>58.36</v>
      </c>
      <c r="P256" s="31" t="n">
        <v>15</v>
      </c>
      <c r="Q256" s="31" t="n">
        <v>1800.52</v>
      </c>
      <c r="R256" s="30" t="inlineStr">
        <is>
          <t>Earnings / Momentum Support</t>
        </is>
      </c>
      <c r="S256" s="30" t="inlineStr">
        <is>
          <t>Nifty Realty</t>
        </is>
      </c>
      <c r="T256" s="31" t="inlineStr"/>
      <c r="U256" s="31" t="inlineStr"/>
      <c r="V256" s="31" t="inlineStr"/>
      <c r="W256" s="31" t="inlineStr"/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IF(B257=0,"",RANK(B257,$B$2:$B$290,0))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BOSCHLTD</t>
        </is>
      </c>
      <c r="D257" s="30" t="inlineStr">
        <is>
          <t>Bosch Limited</t>
        </is>
      </c>
      <c r="E257" s="30" t="inlineStr">
        <is>
          <t>auto</t>
        </is>
      </c>
      <c r="F257" s="30" t="inlineStr">
        <is>
          <t>auto ancillaries</t>
        </is>
      </c>
      <c r="G257" s="30" t="inlineStr">
        <is>
          <t>largecap</t>
        </is>
      </c>
      <c r="H257" s="31" t="n">
        <v>140843.88</v>
      </c>
      <c r="I257" s="31" t="n">
        <v>48250</v>
      </c>
      <c r="J257" s="31" t="n">
        <v>1.05</v>
      </c>
      <c r="K257" s="31" t="n">
        <v>18852</v>
      </c>
      <c r="L257" s="30" t="inlineStr"/>
      <c r="M257" s="30" t="inlineStr"/>
      <c r="N257" s="31">
        <f>IF(M257="Underperforming",-5,IF(L257&gt;=95,15,IF(L257&gt;=90,10,IF(L257&gt;=80,5,0))))</f>
        <v/>
      </c>
      <c r="O257" s="31" t="n">
        <v>67.78</v>
      </c>
      <c r="P257" s="31" t="n">
        <v>43.5</v>
      </c>
      <c r="Q257" s="31" t="n">
        <v>41610.55</v>
      </c>
      <c r="R257" s="30" t="inlineStr">
        <is>
          <t>Near 52W High Breakout</t>
        </is>
      </c>
      <c r="S257" s="30" t="inlineStr">
        <is>
          <t>Nifty Auto</t>
        </is>
      </c>
      <c r="T257" s="31" t="inlineStr"/>
      <c r="U257" s="31" t="inlineStr"/>
      <c r="V257" s="31" t="inlineStr"/>
      <c r="W257" s="31" t="inlineStr"/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Blue sky scenario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IF(B258=0,"",RANK(B258,$B$2:$B$290,0))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SHANTIGEAR</t>
        </is>
      </c>
      <c r="D258" s="30" t="inlineStr">
        <is>
          <t>Shanthi Gears Limited</t>
        </is>
      </c>
      <c r="E258" s="30" t="inlineStr">
        <is>
          <t>industrials</t>
        </is>
      </c>
      <c r="F258" s="30" t="inlineStr">
        <is>
          <t>engineering</t>
        </is>
      </c>
      <c r="G258" s="30" t="inlineStr">
        <is>
          <t>midcap</t>
        </is>
      </c>
      <c r="H258" s="31" t="n">
        <v>5111.19</v>
      </c>
      <c r="I258" s="31" t="n">
        <v>666.55</v>
      </c>
      <c r="J258" s="31" t="n">
        <v>0.05</v>
      </c>
      <c r="K258" s="31" t="n">
        <v>28415</v>
      </c>
      <c r="L258" s="30" t="n">
        <v>53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73.34</v>
      </c>
      <c r="P258" s="31" t="n">
        <v>34.13</v>
      </c>
      <c r="Q258" s="31" t="n">
        <v>561.1900000000001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-6.14</v>
      </c>
      <c r="U258" s="31" t="n">
        <v>27.57</v>
      </c>
      <c r="V258" s="31" t="n">
        <v>35.91</v>
      </c>
      <c r="W258" s="31" t="n">
        <v>17.44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IF(B259=0,"",RANK(B259,$B$2:$B$290,0))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ROSSTECH</t>
        </is>
      </c>
      <c r="D259" s="30" t="inlineStr">
        <is>
          <t>Rossell Techsys Ltd</t>
        </is>
      </c>
      <c r="E259" s="30" t="inlineStr">
        <is>
          <t>aerospace &amp; defence</t>
        </is>
      </c>
      <c r="F259" s="30" t="inlineStr">
        <is>
          <t>engineering</t>
        </is>
      </c>
      <c r="G259" s="30" t="inlineStr">
        <is>
          <t>midcap</t>
        </is>
      </c>
      <c r="H259" s="31" t="n">
        <v>5348.75</v>
      </c>
      <c r="I259" s="31" t="n">
        <v>1402.7</v>
      </c>
      <c r="J259" s="31" t="n">
        <v>-1.14</v>
      </c>
      <c r="K259" s="31" t="n">
        <v>132626</v>
      </c>
      <c r="L259" s="30" t="n">
        <v>74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77.31</v>
      </c>
      <c r="P259" s="31" t="n">
        <v>29.26</v>
      </c>
      <c r="Q259" s="31" t="n">
        <v>1028.5</v>
      </c>
      <c r="R259" s="30" t="inlineStr">
        <is>
          <t>Near 52W High Breakout</t>
        </is>
      </c>
      <c r="S259" s="30" t="inlineStr">
        <is>
          <t>Nifty 50</t>
        </is>
      </c>
      <c r="T259" s="31" t="n">
        <v>-6.14</v>
      </c>
      <c r="U259" s="31" t="n">
        <v>92.31</v>
      </c>
      <c r="V259" s="31" t="n">
        <v>104.9</v>
      </c>
      <c r="W259" s="31" t="n">
        <v>26.36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Above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More than 1.2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IF(B260=0,"",RANK(B260,$B$2:$B$290,0))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DLF</t>
        </is>
      </c>
      <c r="D260" s="30" t="inlineStr">
        <is>
          <t>Dlf Limited</t>
        </is>
      </c>
      <c r="E260" s="30" t="inlineStr">
        <is>
          <t>realty</t>
        </is>
      </c>
      <c r="F260" s="30" t="inlineStr">
        <is>
          <t>construction</t>
        </is>
      </c>
      <c r="G260" s="30" t="inlineStr">
        <is>
          <t>largecap</t>
        </is>
      </c>
      <c r="H260" s="31" t="n">
        <v>165944.9</v>
      </c>
      <c r="I260" s="31" t="n">
        <v>683</v>
      </c>
      <c r="J260" s="31" t="n">
        <v>1.88</v>
      </c>
      <c r="K260" s="31" t="n">
        <v>3573018</v>
      </c>
      <c r="L260" s="30" t="inlineStr"/>
      <c r="M260" s="30" t="inlineStr"/>
      <c r="N260" s="31">
        <f>IF(M260="Underperforming",-5,IF(L260&gt;=95,15,IF(L260&gt;=90,10,IF(L260&gt;=80,5,0))))</f>
        <v/>
      </c>
      <c r="O260" s="31" t="n">
        <v>58.1</v>
      </c>
      <c r="P260" s="31" t="n">
        <v>10.13</v>
      </c>
      <c r="Q260" s="31" t="n">
        <v>564.15</v>
      </c>
      <c r="R260" s="30" t="inlineStr">
        <is>
          <t>Earnings / Momentum Support</t>
        </is>
      </c>
      <c r="S260" s="30" t="inlineStr">
        <is>
          <t>Nifty Realty</t>
        </is>
      </c>
      <c r="T260" s="31" t="inlineStr"/>
      <c r="U260" s="31" t="inlineStr"/>
      <c r="V260" s="31" t="inlineStr"/>
      <c r="W260" s="31" t="inlineStr"/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IF(B261=0,"",RANK(B261,$B$2:$B$290,0))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DICIND</t>
        </is>
      </c>
      <c r="D261" s="30" t="inlineStr">
        <is>
          <t>Dic India Limited</t>
        </is>
      </c>
      <c r="E261" s="30" t="inlineStr">
        <is>
          <t>chemicals</t>
        </is>
      </c>
      <c r="F261" s="30" t="inlineStr">
        <is>
          <t>chemicals</t>
        </is>
      </c>
      <c r="G261" s="30" t="inlineStr">
        <is>
          <t>smallcap</t>
        </is>
      </c>
      <c r="H261" s="31" t="n">
        <v>594.5700000000001</v>
      </c>
      <c r="I261" s="31" t="n">
        <v>656.5</v>
      </c>
      <c r="J261" s="31" t="n">
        <v>1.35</v>
      </c>
      <c r="K261" s="31" t="n">
        <v>4187</v>
      </c>
      <c r="L261" s="30" t="n">
        <v>33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73.28</v>
      </c>
      <c r="P261" s="31" t="n">
        <v>15.83</v>
      </c>
      <c r="Q261" s="31" t="n">
        <v>507.04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-6.14</v>
      </c>
      <c r="U261" s="31" t="n">
        <v>26.13</v>
      </c>
      <c r="V261" s="31" t="n">
        <v>34.38</v>
      </c>
      <c r="W261" s="31" t="n">
        <v>11.19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Negative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IF(B262=0,"",RANK(B262,$B$2:$B$290,0))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JYOTICNC</t>
        </is>
      </c>
      <c r="D262" s="30" t="inlineStr">
        <is>
          <t>Jyoti CNC Automation Ltd</t>
        </is>
      </c>
      <c r="E262" s="30" t="inlineStr">
        <is>
          <t>industrials</t>
        </is>
      </c>
      <c r="F262" s="30" t="inlineStr">
        <is>
          <t>engineering</t>
        </is>
      </c>
      <c r="G262" s="30" t="inlineStr">
        <is>
          <t>largecap</t>
        </is>
      </c>
      <c r="H262" s="31" t="n">
        <v>24392.26</v>
      </c>
      <c r="I262" s="31" t="n">
        <v>1065.1</v>
      </c>
      <c r="J262" s="31" t="n">
        <v>-0.6899999999999999</v>
      </c>
      <c r="K262" s="31" t="n">
        <v>793087</v>
      </c>
      <c r="L262" s="30" t="n">
        <v>42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68.73</v>
      </c>
      <c r="P262" s="31" t="n">
        <v>13.75</v>
      </c>
      <c r="Q262" s="31" t="n">
        <v>812.4299999999999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-6.14</v>
      </c>
      <c r="U262" s="31" t="n">
        <v>22.57</v>
      </c>
      <c r="V262" s="31" t="n">
        <v>30.59</v>
      </c>
      <c r="W262" s="31" t="n">
        <v>14.13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Less than 12%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IF(B263=0,"",RANK(B263,$B$2:$B$290,0))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2" t="inlineStr">
        <is>
          <t>JUBLPHARMA</t>
        </is>
      </c>
      <c r="D263" s="32" t="inlineStr">
        <is>
          <t>Jubilant Pharmova Ltd</t>
        </is>
      </c>
      <c r="E263" s="30" t="inlineStr">
        <is>
          <t>healthcare</t>
        </is>
      </c>
      <c r="F263" s="30" t="inlineStr">
        <is>
          <t>pharmaceuticals - indian - bulk drugs</t>
        </is>
      </c>
      <c r="G263" s="30" t="inlineStr">
        <is>
          <t>midcap</t>
        </is>
      </c>
      <c r="H263" s="31" t="n">
        <v>16945.12</v>
      </c>
      <c r="I263" s="31" t="n">
        <v>1071.95</v>
      </c>
      <c r="J263" s="31" t="n">
        <v>0.76</v>
      </c>
      <c r="K263" s="31" t="n">
        <v>156277</v>
      </c>
      <c r="L263" s="30" t="n">
        <v>8</v>
      </c>
      <c r="M263" s="30" t="inlineStr">
        <is>
          <t>Underperforming</t>
        </is>
      </c>
      <c r="N263" s="31">
        <f>IF(M263="Underperforming",-5,IF(L263&gt;=95,15,IF(L263&gt;=90,10,IF(L263&gt;=80,5,0))))</f>
        <v/>
      </c>
      <c r="O263" s="31" t="n">
        <v>63.7</v>
      </c>
      <c r="P263" s="31" t="n">
        <v>13.44</v>
      </c>
      <c r="Q263" s="31" t="n">
        <v>867.4400000000001</v>
      </c>
      <c r="R263" s="30" t="inlineStr">
        <is>
          <t>Near 52W High Breakout</t>
        </is>
      </c>
      <c r="S263" s="30" t="inlineStr">
        <is>
          <t>Nifty Pharma</t>
        </is>
      </c>
      <c r="T263" s="31" t="n">
        <v>25.55</v>
      </c>
      <c r="U263" s="31" t="n">
        <v>3.32</v>
      </c>
      <c r="V263" s="31" t="n">
        <v>-17.71</v>
      </c>
      <c r="W263" s="31" t="n">
        <v>3.86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Yes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Annuity, Lower One Time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IF(B264=0,"",RANK(B264,$B$2:$B$290,0))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BLSE</t>
        </is>
      </c>
      <c r="D264" s="30" t="inlineStr">
        <is>
          <t>BLS E-Services Ltd</t>
        </is>
      </c>
      <c r="E264" s="30" t="inlineStr">
        <is>
          <t>i.t</t>
        </is>
      </c>
      <c r="F264" s="30" t="inlineStr">
        <is>
          <t>computers - software - medium / small</t>
        </is>
      </c>
      <c r="G264" s="30" t="inlineStr">
        <is>
          <t>smallcap</t>
        </is>
      </c>
      <c r="H264" s="31" t="n">
        <v>2968.28</v>
      </c>
      <c r="I264" s="31" t="n">
        <v>324.55</v>
      </c>
      <c r="J264" s="31" t="n">
        <v>-0.66</v>
      </c>
      <c r="K264" s="31" t="n">
        <v>242706</v>
      </c>
      <c r="L264" s="30" t="n">
        <v>68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78.37</v>
      </c>
      <c r="P264" s="31" t="n">
        <v>58.71</v>
      </c>
      <c r="Q264" s="31" t="n">
        <v>260.52</v>
      </c>
      <c r="R264" s="30" t="inlineStr">
        <is>
          <t>Near 52W High Breakout</t>
        </is>
      </c>
      <c r="S264" s="30" t="inlineStr">
        <is>
          <t>Nifty IT</t>
        </is>
      </c>
      <c r="T264" s="31" t="n">
        <v>-16.44</v>
      </c>
      <c r="U264" s="31" t="n">
        <v>75.45</v>
      </c>
      <c r="V264" s="31" t="n">
        <v>109.97</v>
      </c>
      <c r="W264" s="31" t="n">
        <v>23.85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Annuity, Lower One Time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Above 40</t>
        </is>
      </c>
      <c r="AY264" s="30">
        <f>IF(AX264="Above 40",20,IF(AX264="20 to 40",10,IF(AX264="0 to 20",-5,0)))</f>
        <v/>
      </c>
      <c r="AZ264" s="30" t="inlineStr">
        <is>
          <t>Above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IF(B265=0,"",RANK(B265,$B$2:$B$290,0))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ENRIN</t>
        </is>
      </c>
      <c r="D265" s="30" t="inlineStr">
        <is>
          <t>Siemens Energy India Ltd</t>
        </is>
      </c>
      <c r="E265" s="30" t="inlineStr">
        <is>
          <t>power &amp; utilities</t>
        </is>
      </c>
      <c r="F265" s="30" t="inlineStr">
        <is>
          <t>power generation and supply</t>
        </is>
      </c>
      <c r="G265" s="30" t="inlineStr">
        <is>
          <t>largecap</t>
        </is>
      </c>
      <c r="H265" s="31" t="n">
        <v>114506.99</v>
      </c>
      <c r="I265" s="31" t="n">
        <v>3313</v>
      </c>
      <c r="J265" s="31" t="n">
        <v>3.04</v>
      </c>
      <c r="K265" s="31" t="n">
        <v>462792</v>
      </c>
      <c r="L265" s="30" t="n">
        <v>1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51.72</v>
      </c>
      <c r="P265" s="31" t="n">
        <v>11.64</v>
      </c>
      <c r="Q265" s="31" t="n">
        <v>2875.61</v>
      </c>
      <c r="R265" s="30" t="inlineStr">
        <is>
          <t>Earnings / Momentum Support</t>
        </is>
      </c>
      <c r="S265" s="30" t="inlineStr">
        <is>
          <t>Nifty IT</t>
        </is>
      </c>
      <c r="T265" s="31" t="n">
        <v>-16.44</v>
      </c>
      <c r="U265" s="31" t="n">
        <v>-5.63</v>
      </c>
      <c r="V265" s="31" t="n">
        <v>12.94</v>
      </c>
      <c r="W265" s="31" t="n">
        <v>-1.01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1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IF(B266=0,"",RANK(B266,$B$2:$B$290,0))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JTLIND</t>
        </is>
      </c>
      <c r="D266" s="30" t="inlineStr">
        <is>
          <t>JTL Industries Ltd</t>
        </is>
      </c>
      <c r="E266" s="30" t="inlineStr">
        <is>
          <t>metals &amp; mining</t>
        </is>
      </c>
      <c r="F266" s="30" t="inlineStr">
        <is>
          <t>steel - medium / small</t>
        </is>
      </c>
      <c r="G266" s="30" t="inlineStr">
        <is>
          <t>smallcap</t>
        </is>
      </c>
      <c r="H266" s="31" t="n">
        <v>3541.67</v>
      </c>
      <c r="I266" s="31" t="n">
        <v>91.16</v>
      </c>
      <c r="J266" s="31" t="n">
        <v>1.18</v>
      </c>
      <c r="K266" s="31" t="n">
        <v>1548897</v>
      </c>
      <c r="L266" s="30" t="inlineStr"/>
      <c r="M266" s="30" t="inlineStr"/>
      <c r="N266" s="31">
        <f>IF(M266="Underperforming",-5,IF(L266&gt;=95,15,IF(L266&gt;=90,10,IF(L266&gt;=80,5,0))))</f>
        <v/>
      </c>
      <c r="O266" s="31" t="n">
        <v>63.58</v>
      </c>
      <c r="P266" s="31" t="n">
        <v>14.82</v>
      </c>
      <c r="Q266" s="31" t="n">
        <v>66.70999999999999</v>
      </c>
      <c r="R266" s="30" t="inlineStr">
        <is>
          <t>Near 52W High Breakout</t>
        </is>
      </c>
      <c r="S266" s="30" t="inlineStr">
        <is>
          <t>Nifty Metal</t>
        </is>
      </c>
      <c r="T266" s="31" t="inlineStr"/>
      <c r="U266" s="31" t="inlineStr"/>
      <c r="V266" s="31" t="inlineStr"/>
      <c r="W266" s="31" t="inlineStr"/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0 to 20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IF(B267=0,"",RANK(B267,$B$2:$B$290,0))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SHYAMMETL</t>
        </is>
      </c>
      <c r="D267" s="30" t="inlineStr">
        <is>
          <t>Shyam Metalics &amp; Energy Ltd</t>
        </is>
      </c>
      <c r="E267" s="30" t="inlineStr">
        <is>
          <t>metals &amp; mining</t>
        </is>
      </c>
      <c r="F267" s="30" t="inlineStr">
        <is>
          <t>steel - large</t>
        </is>
      </c>
      <c r="G267" s="30" t="inlineStr">
        <is>
          <t>largecap</t>
        </is>
      </c>
      <c r="H267" s="31" t="n">
        <v>30645.89</v>
      </c>
      <c r="I267" s="31" t="n">
        <v>1085.6</v>
      </c>
      <c r="J267" s="31" t="n">
        <v>-1.12</v>
      </c>
      <c r="K267" s="31" t="n">
        <v>591086</v>
      </c>
      <c r="L267" s="30" t="inlineStr"/>
      <c r="M267" s="30" t="inlineStr"/>
      <c r="N267" s="31">
        <f>IF(M267="Underperforming",-5,IF(L267&gt;=95,15,IF(L267&gt;=90,10,IF(L267&gt;=80,5,0))))</f>
        <v/>
      </c>
      <c r="O267" s="31" t="n">
        <v>64.48999999999999</v>
      </c>
      <c r="P267" s="31" t="n">
        <v>26.93</v>
      </c>
      <c r="Q267" s="31" t="n">
        <v>910.01</v>
      </c>
      <c r="R267" s="30" t="inlineStr">
        <is>
          <t>Volume Spike &amp; Near 52W High Breakout</t>
        </is>
      </c>
      <c r="S267" s="30" t="inlineStr">
        <is>
          <t>Nifty Metal</t>
        </is>
      </c>
      <c r="T267" s="31" t="inlineStr"/>
      <c r="U267" s="31" t="inlineStr"/>
      <c r="V267" s="31" t="inlineStr"/>
      <c r="W267" s="31" t="inlineStr"/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Negative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IF(B268=0,"",RANK(B268,$B$2:$B$290,0))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UTTAMSUGAR</t>
        </is>
      </c>
      <c r="D268" s="30" t="inlineStr">
        <is>
          <t>Uttam Sugar Mills Limited</t>
        </is>
      </c>
      <c r="E268" s="30" t="inlineStr">
        <is>
          <t>fmcg</t>
        </is>
      </c>
      <c r="F268" s="30" t="inlineStr">
        <is>
          <t>sugar</t>
        </is>
      </c>
      <c r="G268" s="30" t="inlineStr">
        <is>
          <t>smallcap</t>
        </is>
      </c>
      <c r="H268" s="31" t="n">
        <v>991.59</v>
      </c>
      <c r="I268" s="31" t="n">
        <v>293.15</v>
      </c>
      <c r="J268" s="31" t="n">
        <v>12.75</v>
      </c>
      <c r="K268" s="31" t="n">
        <v>2805051</v>
      </c>
      <c r="L268" s="30" t="inlineStr"/>
      <c r="M268" s="30" t="inlineStr"/>
      <c r="N268" s="31">
        <f>IF(M268="Underperforming",-5,IF(L268&gt;=95,15,IF(L268&gt;=90,10,IF(L268&gt;=80,5,0))))</f>
        <v/>
      </c>
      <c r="O268" s="31" t="n">
        <v>59.74</v>
      </c>
      <c r="P268" s="31" t="n">
        <v>25.47</v>
      </c>
      <c r="Q268" s="31" t="n">
        <v>224.69</v>
      </c>
      <c r="R268" s="30" t="inlineStr">
        <is>
          <t>Volume Spike / Accumulation</t>
        </is>
      </c>
      <c r="S268" s="30" t="inlineStr">
        <is>
          <t>Nifty FMCG</t>
        </is>
      </c>
      <c r="T268" s="31" t="inlineStr"/>
      <c r="U268" s="31" t="inlineStr"/>
      <c r="V268" s="31" t="inlineStr"/>
      <c r="W268" s="31" t="inlineStr"/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B2C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Annuity, Lower One Time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20 to 40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Between 0.7 to 1.2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IF(B269=0,"",RANK(B269,$B$2:$B$290,0))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HATSUN</t>
        </is>
      </c>
      <c r="D269" s="30" t="inlineStr">
        <is>
          <t>Hatsun Agro Product Limited</t>
        </is>
      </c>
      <c r="E269" s="30" t="inlineStr">
        <is>
          <t>fmcg</t>
        </is>
      </c>
      <c r="F269" s="30" t="inlineStr">
        <is>
          <t>food - processing - indian</t>
        </is>
      </c>
      <c r="G269" s="30" t="inlineStr">
        <is>
          <t>largecap</t>
        </is>
      </c>
      <c r="H269" s="31" t="n">
        <v>25268.56</v>
      </c>
      <c r="I269" s="31" t="n">
        <v>1165.3</v>
      </c>
      <c r="J269" s="31" t="n">
        <v>2.72</v>
      </c>
      <c r="K269" s="31" t="n">
        <v>44714</v>
      </c>
      <c r="L269" s="30" t="inlineStr"/>
      <c r="M269" s="30" t="inlineStr"/>
      <c r="N269" s="31">
        <f>IF(M269="Underperforming",-5,IF(L269&gt;=95,15,IF(L269&gt;=90,10,IF(L269&gt;=80,5,0))))</f>
        <v/>
      </c>
      <c r="O269" s="31" t="n">
        <v>66.79000000000001</v>
      </c>
      <c r="P269" s="31" t="n">
        <v>32.05</v>
      </c>
      <c r="Q269" s="31" t="n">
        <v>975.98</v>
      </c>
      <c r="R269" s="30" t="inlineStr">
        <is>
          <t>Near 52W High Breakout</t>
        </is>
      </c>
      <c r="S269" s="30" t="inlineStr">
        <is>
          <t>Nifty FMCG</t>
        </is>
      </c>
      <c r="T269" s="31" t="inlineStr"/>
      <c r="U269" s="31" t="inlineStr"/>
      <c r="V269" s="31" t="inlineStr"/>
      <c r="W269" s="31" t="inlineStr"/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B2C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Annuity, Lower One Time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Negative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Between 0.7 to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IF(B270=0,"",RANK(B270,$B$2:$B$290,0))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PRIMO</t>
        </is>
      </c>
      <c r="D270" s="30" t="inlineStr">
        <is>
          <t>Primo Chemicals Ltd</t>
        </is>
      </c>
      <c r="E270" s="30" t="inlineStr">
        <is>
          <t>chemicals</t>
        </is>
      </c>
      <c r="F270" s="30" t="inlineStr">
        <is>
          <t>chlor alkali / soda ash</t>
        </is>
      </c>
      <c r="G270" s="30" t="inlineStr">
        <is>
          <t>smallcap</t>
        </is>
      </c>
      <c r="H270" s="31" t="n">
        <v>540.1799999999999</v>
      </c>
      <c r="I270" s="31" t="n">
        <v>25.28</v>
      </c>
      <c r="J270" s="31" t="n">
        <v>13.41</v>
      </c>
      <c r="K270" s="31" t="n">
        <v>1374230</v>
      </c>
      <c r="L270" s="30" t="n">
        <v>9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54.76</v>
      </c>
      <c r="P270" s="31" t="n">
        <v>17.67</v>
      </c>
      <c r="Q270" s="31" t="n">
        <v>16.4</v>
      </c>
      <c r="R270" s="30" t="inlineStr">
        <is>
          <t>Near 52W High Breakout</t>
        </is>
      </c>
      <c r="S270" s="30" t="inlineStr">
        <is>
          <t>Nifty 50</t>
        </is>
      </c>
      <c r="T270" s="31" t="n">
        <v>-6.14</v>
      </c>
      <c r="U270" s="31" t="n">
        <v>4.68</v>
      </c>
      <c r="V270" s="31" t="n">
        <v>11.53</v>
      </c>
      <c r="W270" s="31" t="n">
        <v>4.14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1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IF(B271=0,"",RANK(B271,$B$2:$B$290,0))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YASHO</t>
        </is>
      </c>
      <c r="D271" s="30" t="inlineStr">
        <is>
          <t>Yasho Industries Ltd</t>
        </is>
      </c>
      <c r="E271" s="30" t="inlineStr">
        <is>
          <t>chemicals</t>
        </is>
      </c>
      <c r="F271" s="30" t="inlineStr">
        <is>
          <t>chemicals</t>
        </is>
      </c>
      <c r="G271" s="30" t="inlineStr">
        <is>
          <t>smallcap</t>
        </is>
      </c>
      <c r="H271" s="31" t="n">
        <v>4875.53</v>
      </c>
      <c r="I271" s="31" t="n">
        <v>4234.1</v>
      </c>
      <c r="J271" s="31" t="n">
        <v>4.71</v>
      </c>
      <c r="K271" s="31" t="n">
        <v>45970</v>
      </c>
      <c r="L271" s="30" t="n">
        <v>87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76.98999999999999</v>
      </c>
      <c r="P271" s="31" t="n">
        <v>71.63</v>
      </c>
      <c r="Q271" s="31" t="n">
        <v>3238.4</v>
      </c>
      <c r="R271" s="30" t="inlineStr">
        <is>
          <t>Near 52W High Breakout</t>
        </is>
      </c>
      <c r="S271" s="30" t="inlineStr">
        <is>
          <t>Nifty 50</t>
        </is>
      </c>
      <c r="T271" s="31" t="n">
        <v>-6.14</v>
      </c>
      <c r="U271" s="31" t="n">
        <v>155.92</v>
      </c>
      <c r="V271" s="31" t="n">
        <v>172.67</v>
      </c>
      <c r="W271" s="31" t="n">
        <v>37.47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Above 40</t>
        </is>
      </c>
      <c r="AY271" s="30">
        <f>IF(AX271="Above 40",20,IF(AX271="20 to 40",10,IF(AX271="0 to 20",-5,0)))</f>
        <v/>
      </c>
      <c r="AZ271" s="30" t="inlineStr">
        <is>
          <t>Above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Blue sky scenario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More than 1.2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IF(B272=0,"",RANK(B272,$B$2:$B$290,0))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PRECWIRE</t>
        </is>
      </c>
      <c r="D272" s="30" t="inlineStr">
        <is>
          <t>Precision Wires India Limited</t>
        </is>
      </c>
      <c r="E272" s="30" t="inlineStr">
        <is>
          <t>metals &amp; mining</t>
        </is>
      </c>
      <c r="F272" s="30" t="inlineStr">
        <is>
          <t>mining / minerals / metals</t>
        </is>
      </c>
      <c r="G272" s="30" t="inlineStr">
        <is>
          <t>midcap</t>
        </is>
      </c>
      <c r="H272" s="31" t="n">
        <v>8937.48</v>
      </c>
      <c r="I272" s="31" t="n">
        <v>502.6</v>
      </c>
      <c r="J272" s="31" t="n">
        <v>2.8</v>
      </c>
      <c r="K272" s="31" t="n">
        <v>619641</v>
      </c>
      <c r="L272" s="30" t="inlineStr"/>
      <c r="M272" s="30" t="inlineStr"/>
      <c r="N272" s="31">
        <f>IF(M272="Underperforming",-5,IF(L272&gt;=95,15,IF(L272&gt;=90,10,IF(L272&gt;=80,5,0))))</f>
        <v/>
      </c>
      <c r="O272" s="31" t="n">
        <v>66.29000000000001</v>
      </c>
      <c r="P272" s="31" t="n">
        <v>38.71</v>
      </c>
      <c r="Q272" s="31" t="n">
        <v>367.58</v>
      </c>
      <c r="R272" s="30" t="inlineStr">
        <is>
          <t>Near 52W High Breakout</t>
        </is>
      </c>
      <c r="S272" s="30" t="inlineStr">
        <is>
          <t>Nifty Metal</t>
        </is>
      </c>
      <c r="T272" s="31" t="inlineStr"/>
      <c r="U272" s="31" t="inlineStr"/>
      <c r="V272" s="31" t="inlineStr"/>
      <c r="W272" s="31" t="inlineStr"/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Cyclical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Volatile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Negative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IF(B273=0,"",RANK(B273,$B$2:$B$290,0))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PRABHA</t>
        </is>
      </c>
      <c r="D273" s="30" t="inlineStr">
        <is>
          <t>Prabha Energy Ltd</t>
        </is>
      </c>
      <c r="E273" s="30" t="inlineStr">
        <is>
          <t>energy</t>
        </is>
      </c>
      <c r="F273" s="30" t="inlineStr">
        <is>
          <t>oil drilling / allied services</t>
        </is>
      </c>
      <c r="G273" s="30" t="inlineStr">
        <is>
          <t>smallcap</t>
        </is>
      </c>
      <c r="H273" s="31" t="n">
        <v>3309.03</v>
      </c>
      <c r="I273" s="31" t="n">
        <v>230.87</v>
      </c>
      <c r="J273" s="31" t="n">
        <v>2.26</v>
      </c>
      <c r="K273" s="31" t="n">
        <v>161400</v>
      </c>
      <c r="L273" s="30" t="inlineStr"/>
      <c r="M273" s="30" t="inlineStr"/>
      <c r="N273" s="31">
        <f>IF(M273="Underperforming",-5,IF(L273&gt;=95,15,IF(L273&gt;=90,10,IF(L273&gt;=80,5,0))))</f>
        <v/>
      </c>
      <c r="O273" s="31" t="n">
        <v>66.93000000000001</v>
      </c>
      <c r="P273" s="31" t="n">
        <v>29.62</v>
      </c>
      <c r="Q273" s="31" t="n">
        <v>176.42</v>
      </c>
      <c r="R273" s="30" t="inlineStr">
        <is>
          <t>Earnings / Momentum Support</t>
        </is>
      </c>
      <c r="S273" s="30" t="inlineStr">
        <is>
          <t>Nifty Energy</t>
        </is>
      </c>
      <c r="T273" s="31" t="inlineStr"/>
      <c r="U273" s="31" t="inlineStr"/>
      <c r="V273" s="31" t="inlineStr"/>
      <c r="W273" s="31" t="inlineStr"/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Oligopoly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Yes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Cyclical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Volatile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IF(B274=0,"",RANK(B274,$B$2:$B$290,0))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PVP</t>
        </is>
      </c>
      <c r="D274" s="30" t="inlineStr">
        <is>
          <t>Pvp Ventures Limited</t>
        </is>
      </c>
      <c r="E274" s="30" t="inlineStr">
        <is>
          <t>realty</t>
        </is>
      </c>
      <c r="F274" s="30" t="inlineStr">
        <is>
          <t>construction</t>
        </is>
      </c>
      <c r="G274" s="30" t="inlineStr">
        <is>
          <t>smallcap</t>
        </is>
      </c>
      <c r="H274" s="31" t="n">
        <v>1697.83</v>
      </c>
      <c r="I274" s="31" t="n">
        <v>61.94</v>
      </c>
      <c r="J274" s="31" t="n">
        <v>-5</v>
      </c>
      <c r="K274" s="31" t="n">
        <v>2454711</v>
      </c>
      <c r="L274" s="30" t="inlineStr"/>
      <c r="M274" s="30" t="inlineStr"/>
      <c r="N274" s="31">
        <f>IF(M274="Underperforming",-5,IF(L274&gt;=95,15,IF(L274&gt;=90,10,IF(L274&gt;=80,5,0))))</f>
        <v/>
      </c>
      <c r="O274" s="31" t="n">
        <v>71.63</v>
      </c>
      <c r="P274" s="31" t="n">
        <v>35.27</v>
      </c>
      <c r="Q274" s="31" t="n">
        <v>46.57</v>
      </c>
      <c r="R274" s="30" t="inlineStr">
        <is>
          <t>Earnings / Momentum Support</t>
        </is>
      </c>
      <c r="S274" s="30" t="inlineStr">
        <is>
          <t>Nifty Realty</t>
        </is>
      </c>
      <c r="T274" s="31" t="inlineStr"/>
      <c r="U274" s="31" t="inlineStr"/>
      <c r="V274" s="31" t="inlineStr"/>
      <c r="W274" s="31" t="inlineStr"/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IF(B275=0,"",RANK(B275,$B$2:$B$290,0))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CYIENT</t>
        </is>
      </c>
      <c r="D275" s="30" t="inlineStr">
        <is>
          <t>Cyient Limited</t>
        </is>
      </c>
      <c r="E275" s="30" t="inlineStr">
        <is>
          <t>i.t</t>
        </is>
      </c>
      <c r="F275" s="30" t="inlineStr">
        <is>
          <t>computers - software - medium / small</t>
        </is>
      </c>
      <c r="G275" s="30" t="inlineStr">
        <is>
          <t>midcap</t>
        </is>
      </c>
      <c r="H275" s="31" t="n">
        <v>11079.59</v>
      </c>
      <c r="I275" s="31" t="n">
        <v>1094.7</v>
      </c>
      <c r="J275" s="31" t="n">
        <v>3.49</v>
      </c>
      <c r="K275" s="31" t="n">
        <v>334991</v>
      </c>
      <c r="L275" s="30" t="n">
        <v>15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64.31999999999999</v>
      </c>
      <c r="P275" s="31" t="n">
        <v>20.83</v>
      </c>
      <c r="Q275" s="31" t="n">
        <v>878.75</v>
      </c>
      <c r="R275" s="30" t="inlineStr">
        <is>
          <t>Earnings / Momentum Support</t>
        </is>
      </c>
      <c r="S275" s="30" t="inlineStr">
        <is>
          <t>Nifty IT</t>
        </is>
      </c>
      <c r="T275" s="31" t="n">
        <v>-16.44</v>
      </c>
      <c r="U275" s="31" t="n">
        <v>-2.18</v>
      </c>
      <c r="V275" s="31" t="n">
        <v>17.06</v>
      </c>
      <c r="W275" s="31" t="n">
        <v>6.02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Less than 12%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IF(B276=0,"",RANK(B276,$B$2:$B$290,0))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INDIQUBE</t>
        </is>
      </c>
      <c r="D276" s="32" t="inlineStr">
        <is>
          <t>Indiqube Spaces Ltd</t>
        </is>
      </c>
      <c r="E276" s="30" t="inlineStr">
        <is>
          <t>co-working</t>
        </is>
      </c>
      <c r="F276" s="30" t="inlineStr">
        <is>
          <t>miscellaneous</t>
        </is>
      </c>
      <c r="G276" s="30" t="inlineStr">
        <is>
          <t>smallcap</t>
        </is>
      </c>
      <c r="H276" s="31" t="n">
        <v>4114.03</v>
      </c>
      <c r="I276" s="31" t="n">
        <v>198.94</v>
      </c>
      <c r="J276" s="31" t="n">
        <v>2.51</v>
      </c>
      <c r="K276" s="31" t="n">
        <v>42054</v>
      </c>
      <c r="L276" s="30" t="n">
        <v>6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58.7</v>
      </c>
      <c r="P276" s="31" t="n">
        <v>19.77</v>
      </c>
      <c r="Q276" s="31" t="n">
        <v>151.37</v>
      </c>
      <c r="R276" s="30" t="inlineStr">
        <is>
          <t>Earnings / Momentum Support</t>
        </is>
      </c>
      <c r="S276" s="30" t="inlineStr">
        <is>
          <t>Nifty 50</t>
        </is>
      </c>
      <c r="T276" s="31" t="n">
        <v>-6.14</v>
      </c>
      <c r="U276" s="31" t="n">
        <v>-13.28</v>
      </c>
      <c r="V276" s="31" t="n">
        <v>-7.61</v>
      </c>
      <c r="W276" s="31" t="n">
        <v>3.19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More than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IF(B277=0,"",RANK(B277,$B$2:$B$290,0))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VENUSPIPES</t>
        </is>
      </c>
      <c r="D277" s="30" t="inlineStr">
        <is>
          <t>Venus Pipes &amp; Tubes Ltd</t>
        </is>
      </c>
      <c r="E277" s="30" t="inlineStr">
        <is>
          <t>metals &amp; mining</t>
        </is>
      </c>
      <c r="F277" s="30" t="inlineStr">
        <is>
          <t>steel - medium / small</t>
        </is>
      </c>
      <c r="G277" s="30" t="inlineStr">
        <is>
          <t>smallcap</t>
        </is>
      </c>
      <c r="H277" s="31" t="n">
        <v>4570.6</v>
      </c>
      <c r="I277" s="31" t="n">
        <v>2163.2</v>
      </c>
      <c r="J277" s="31" t="n">
        <v>-1.95</v>
      </c>
      <c r="K277" s="31" t="n">
        <v>148235</v>
      </c>
      <c r="L277" s="30" t="inlineStr"/>
      <c r="M277" s="30" t="inlineStr"/>
      <c r="N277" s="31">
        <f>IF(M277="Underperforming",-5,IF(L277&gt;=95,15,IF(L277&gt;=90,10,IF(L277&gt;=80,5,0))))</f>
        <v/>
      </c>
      <c r="O277" s="31" t="n">
        <v>72.02</v>
      </c>
      <c r="P277" s="31" t="n">
        <v>38.47</v>
      </c>
      <c r="Q277" s="31" t="n">
        <v>1758.34</v>
      </c>
      <c r="R277" s="30" t="inlineStr">
        <is>
          <t>Earnings / Momentum Support</t>
        </is>
      </c>
      <c r="S277" s="30" t="inlineStr">
        <is>
          <t>Nifty Metal</t>
        </is>
      </c>
      <c r="T277" s="31" t="inlineStr"/>
      <c r="U277" s="31" t="inlineStr"/>
      <c r="V277" s="31" t="inlineStr"/>
      <c r="W277" s="31" t="inlineStr"/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Cyclical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Volatile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IF(B278=0,"",RANK(B278,$B$2:$B$290,0))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DHAMPURSUG</t>
        </is>
      </c>
      <c r="D278" s="30" t="inlineStr">
        <is>
          <t>Dhampur Sugar Mills Limited</t>
        </is>
      </c>
      <c r="E278" s="30" t="inlineStr">
        <is>
          <t>fmcg</t>
        </is>
      </c>
      <c r="F278" s="30" t="inlineStr">
        <is>
          <t>sugar</t>
        </is>
      </c>
      <c r="G278" s="30" t="inlineStr">
        <is>
          <t>smallcap</t>
        </is>
      </c>
      <c r="H278" s="31" t="n">
        <v>1058.74</v>
      </c>
      <c r="I278" s="31" t="n">
        <v>174.67</v>
      </c>
      <c r="J278" s="31" t="n">
        <v>6.09</v>
      </c>
      <c r="K278" s="31" t="n">
        <v>2148612</v>
      </c>
      <c r="L278" s="30" t="inlineStr"/>
      <c r="M278" s="30" t="inlineStr"/>
      <c r="N278" s="31">
        <f>IF(M278="Underperforming",-5,IF(L278&gt;=95,15,IF(L278&gt;=90,10,IF(L278&gt;=80,5,0))))</f>
        <v/>
      </c>
      <c r="O278" s="31" t="n">
        <v>62.65</v>
      </c>
      <c r="P278" s="31" t="n">
        <v>22.37</v>
      </c>
      <c r="Q278" s="31" t="n">
        <v>138.41</v>
      </c>
      <c r="R278" s="30" t="inlineStr">
        <is>
          <t>Earnings / Momentum Support</t>
        </is>
      </c>
      <c r="S278" s="30" t="inlineStr">
        <is>
          <t>Nifty FMCG</t>
        </is>
      </c>
      <c r="T278" s="31" t="inlineStr"/>
      <c r="U278" s="31" t="inlineStr"/>
      <c r="V278" s="31" t="inlineStr"/>
      <c r="W278" s="31" t="inlineStr"/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B2C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Negative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Between 0.7 to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IF(B279=0,"",RANK(B279,$B$2:$B$290,0))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SALSTEEL</t>
        </is>
      </c>
      <c r="D279" s="30" t="inlineStr">
        <is>
          <t>SAL Steel</t>
        </is>
      </c>
      <c r="E279" s="30" t="inlineStr">
        <is>
          <t>metals &amp; mining</t>
        </is>
      </c>
      <c r="F279" s="30" t="inlineStr">
        <is>
          <t>steel - sponge iron</t>
        </is>
      </c>
      <c r="G279" s="30" t="inlineStr">
        <is>
          <t>smallcap</t>
        </is>
      </c>
      <c r="H279" s="31" t="n">
        <v>1292.33</v>
      </c>
      <c r="I279" s="31" t="n">
        <v>93.59999999999999</v>
      </c>
      <c r="J279" s="31" t="n">
        <v>4.85</v>
      </c>
      <c r="K279" s="31" t="n">
        <v>741473</v>
      </c>
      <c r="L279" s="30" t="inlineStr"/>
      <c r="M279" s="30" t="inlineStr"/>
      <c r="N279" s="31">
        <f>IF(M279="Underperforming",-5,IF(L279&gt;=95,15,IF(L279&gt;=90,10,IF(L279&gt;=80,5,0))))</f>
        <v/>
      </c>
      <c r="O279" s="31" t="n">
        <v>75.45999999999999</v>
      </c>
      <c r="P279" s="31" t="n">
        <v>30.93</v>
      </c>
      <c r="Q279" s="31" t="n">
        <v>65.89</v>
      </c>
      <c r="R279" s="30" t="inlineStr">
        <is>
          <t>Near 52W High Breakout</t>
        </is>
      </c>
      <c r="S279" s="30" t="inlineStr">
        <is>
          <t>Nifty Metal</t>
        </is>
      </c>
      <c r="T279" s="31" t="inlineStr"/>
      <c r="U279" s="31" t="inlineStr"/>
      <c r="V279" s="31" t="inlineStr"/>
      <c r="W279" s="31" t="inlineStr"/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Cyclical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Volatile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Above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IF(B280=0,"",RANK(B280,$B$2:$B$290,0))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RAMRAT</t>
        </is>
      </c>
      <c r="D280" s="30" t="inlineStr">
        <is>
          <t>Ram Ratna Wires Ltd</t>
        </is>
      </c>
      <c r="E280" s="30" t="inlineStr">
        <is>
          <t>metals &amp; mining</t>
        </is>
      </c>
      <c r="F280" s="30" t="inlineStr">
        <is>
          <t>mining / minerals / metals</t>
        </is>
      </c>
      <c r="G280" s="30" t="inlineStr">
        <is>
          <t>midcap</t>
        </is>
      </c>
      <c r="H280" s="31" t="n">
        <v>5119.26</v>
      </c>
      <c r="I280" s="31" t="n">
        <v>570</v>
      </c>
      <c r="J280" s="31" t="n">
        <v>3.94</v>
      </c>
      <c r="K280" s="31" t="n">
        <v>292137</v>
      </c>
      <c r="L280" s="30" t="inlineStr"/>
      <c r="M280" s="30" t="inlineStr"/>
      <c r="N280" s="31">
        <f>IF(M280="Underperforming",-5,IF(L280&gt;=95,15,IF(L280&gt;=90,10,IF(L280&gt;=80,5,0))))</f>
        <v/>
      </c>
      <c r="O280" s="31" t="n">
        <v>70.54000000000001</v>
      </c>
      <c r="P280" s="31" t="n">
        <v>47.65</v>
      </c>
      <c r="Q280" s="31" t="n">
        <v>445.58</v>
      </c>
      <c r="R280" s="30" t="inlineStr">
        <is>
          <t>Near 52W High Breakout</t>
        </is>
      </c>
      <c r="S280" s="30" t="inlineStr">
        <is>
          <t>Nifty Metal</t>
        </is>
      </c>
      <c r="T280" s="31" t="inlineStr"/>
      <c r="U280" s="31" t="inlineStr"/>
      <c r="V280" s="31" t="inlineStr"/>
      <c r="W280" s="31" t="inlineStr"/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Cyclical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Above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Negative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Blue sky scenario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Between 0.7 to 1.2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IF(B281=0,"",RANK(B281,$B$2:$B$290,0))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LIKHITHA</t>
        </is>
      </c>
      <c r="D281" s="30" t="inlineStr">
        <is>
          <t>Likhitha Infrastructure Ltd</t>
        </is>
      </c>
      <c r="E281" s="30" t="inlineStr">
        <is>
          <t>realty</t>
        </is>
      </c>
      <c r="F281" s="30" t="inlineStr">
        <is>
          <t>construction</t>
        </is>
      </c>
      <c r="G281" s="30" t="inlineStr">
        <is>
          <t>smallcap</t>
        </is>
      </c>
      <c r="H281" s="31" t="n">
        <v>897.01</v>
      </c>
      <c r="I281" s="31" t="n">
        <v>230.23</v>
      </c>
      <c r="J281" s="31" t="n">
        <v>1.25</v>
      </c>
      <c r="K281" s="31" t="n">
        <v>35441</v>
      </c>
      <c r="L281" s="30" t="inlineStr"/>
      <c r="M281" s="30" t="inlineStr"/>
      <c r="N281" s="31">
        <f>IF(M281="Underperforming",-5,IF(L281&gt;=95,15,IF(L281&gt;=90,10,IF(L281&gt;=80,5,0))))</f>
        <v/>
      </c>
      <c r="O281" s="31" t="n">
        <v>55.88</v>
      </c>
      <c r="P281" s="31" t="n">
        <v>18.2</v>
      </c>
      <c r="Q281" s="31" t="n">
        <v>192.57</v>
      </c>
      <c r="R281" s="30" t="inlineStr">
        <is>
          <t>Earnings / Momentum Support</t>
        </is>
      </c>
      <c r="S281" s="30" t="inlineStr">
        <is>
          <t>Nifty Realty</t>
        </is>
      </c>
      <c r="T281" s="31" t="inlineStr"/>
      <c r="U281" s="31" t="inlineStr"/>
      <c r="V281" s="31" t="inlineStr"/>
      <c r="W281" s="31" t="inlineStr"/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1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IF(B282=0,"",RANK(B282,$B$2:$B$290,0))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KIRLFER</t>
        </is>
      </c>
      <c r="D282" s="30" t="inlineStr">
        <is>
          <t>Kirloskar Ferrous Industries Ltd</t>
        </is>
      </c>
      <c r="E282" s="30" t="inlineStr">
        <is>
          <t>metals &amp; mining</t>
        </is>
      </c>
      <c r="F282" s="30" t="inlineStr">
        <is>
          <t>steel - large</t>
        </is>
      </c>
      <c r="G282" s="30" t="inlineStr">
        <is>
          <t>midcap</t>
        </is>
      </c>
      <c r="H282" s="31" t="n">
        <v>7889.94</v>
      </c>
      <c r="I282" s="31" t="n">
        <v>483.2</v>
      </c>
      <c r="J282" s="31" t="n">
        <v>1.05</v>
      </c>
      <c r="K282" s="31" t="n">
        <v>146189</v>
      </c>
      <c r="L282" s="30" t="inlineStr"/>
      <c r="M282" s="30" t="inlineStr"/>
      <c r="N282" s="31">
        <f>IF(M282="Underperforming",-5,IF(L282&gt;=95,15,IF(L282&gt;=90,10,IF(L282&gt;=80,5,0))))</f>
        <v/>
      </c>
      <c r="O282" s="31" t="n">
        <v>59.44</v>
      </c>
      <c r="P282" s="31" t="n">
        <v>14.13</v>
      </c>
      <c r="Q282" s="31" t="n">
        <v>393.92</v>
      </c>
      <c r="R282" s="30" t="inlineStr">
        <is>
          <t>Earnings / Momentum Support</t>
        </is>
      </c>
      <c r="S282" s="30" t="inlineStr">
        <is>
          <t>Nifty Metal</t>
        </is>
      </c>
      <c r="T282" s="31" t="inlineStr"/>
      <c r="U282" s="31" t="inlineStr"/>
      <c r="V282" s="31" t="inlineStr"/>
      <c r="W282" s="31" t="inlineStr"/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Cyclical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Volatile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IF(B283=0,"",RANK(B283,$B$2:$B$290,0))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20MICRONS</t>
        </is>
      </c>
      <c r="D283" s="30" t="inlineStr">
        <is>
          <t>20 Microns Limited</t>
        </is>
      </c>
      <c r="E283" s="30" t="inlineStr">
        <is>
          <t>metals &amp; mining</t>
        </is>
      </c>
      <c r="F283" s="30" t="inlineStr">
        <is>
          <t>mining / minerals / metals</t>
        </is>
      </c>
      <c r="G283" s="30" t="inlineStr">
        <is>
          <t>smallcap</t>
        </is>
      </c>
      <c r="H283" s="31" t="n">
        <v>754.67</v>
      </c>
      <c r="I283" s="31" t="n">
        <v>217.58</v>
      </c>
      <c r="J283" s="31" t="n">
        <v>1.73</v>
      </c>
      <c r="K283" s="31" t="n">
        <v>101345</v>
      </c>
      <c r="L283" s="30" t="inlineStr"/>
      <c r="M283" s="30" t="inlineStr"/>
      <c r="N283" s="31">
        <f>IF(M283="Underperforming",-5,IF(L283&gt;=95,15,IF(L283&gt;=90,10,IF(L283&gt;=80,5,0))))</f>
        <v/>
      </c>
      <c r="O283" s="31" t="n">
        <v>60.06</v>
      </c>
      <c r="P283" s="31" t="n">
        <v>22.36</v>
      </c>
      <c r="Q283" s="31" t="n">
        <v>164.68</v>
      </c>
      <c r="R283" s="30" t="inlineStr">
        <is>
          <t>Near 52W High Breakout</t>
        </is>
      </c>
      <c r="S283" s="30" t="inlineStr">
        <is>
          <t>Nifty Metal</t>
        </is>
      </c>
      <c r="T283" s="31" t="inlineStr"/>
      <c r="U283" s="31" t="inlineStr"/>
      <c r="V283" s="31" t="inlineStr"/>
      <c r="W283" s="31" t="inlineStr"/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Cyclical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Volatile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IF(B284=0,"",RANK(B284,$B$2:$B$290,0))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INDIAGLYCO</t>
        </is>
      </c>
      <c r="D284" s="30" t="inlineStr">
        <is>
          <t>India Glycols Limited</t>
        </is>
      </c>
      <c r="E284" s="30" t="inlineStr">
        <is>
          <t>fmcg</t>
        </is>
      </c>
      <c r="F284" s="30" t="inlineStr">
        <is>
          <t>breweries &amp; distilleries</t>
        </is>
      </c>
      <c r="G284" s="30" t="inlineStr">
        <is>
          <t>smallcap</t>
        </is>
      </c>
      <c r="H284" s="31" t="n">
        <v>2051.02</v>
      </c>
      <c r="I284" s="31" t="n">
        <v>309.9</v>
      </c>
      <c r="J284" s="31" t="n">
        <v>1.27</v>
      </c>
      <c r="K284" s="31" t="n">
        <v>2054007</v>
      </c>
      <c r="L284" s="30" t="inlineStr"/>
      <c r="M284" s="30" t="inlineStr"/>
      <c r="N284" s="31">
        <f>IF(M284="Underperforming",-5,IF(L284&gt;=95,15,IF(L284&gt;=90,10,IF(L284&gt;=80,5,0))))</f>
        <v/>
      </c>
      <c r="O284" s="31" t="n">
        <v>27.31</v>
      </c>
      <c r="P284" s="31" t="n">
        <v>36.46</v>
      </c>
      <c r="Q284" s="31" t="n">
        <v>788.27</v>
      </c>
      <c r="R284" s="30" t="inlineStr">
        <is>
          <t>Volume Spike / Accumulation</t>
        </is>
      </c>
      <c r="S284" s="30" t="inlineStr">
        <is>
          <t>Nifty FMCG</t>
        </is>
      </c>
      <c r="T284" s="31" t="inlineStr"/>
      <c r="U284" s="31" t="inlineStr"/>
      <c r="V284" s="31" t="inlineStr"/>
      <c r="W284" s="31" t="inlineStr"/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B2C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Annuity, Lower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Below 45</t>
        </is>
      </c>
      <c r="BA284" s="30">
        <f>IF(AZ284="Between 50 to 75",10,IF(AZ284="Above 75",0,0))</f>
        <v/>
      </c>
      <c r="BB284" s="30" t="inlineStr">
        <is>
          <t>Stage 4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No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Less than 1.5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IF(B285=0,"",RANK(B285,$B$2:$B$290,0))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BANSALWIRE</t>
        </is>
      </c>
      <c r="D285" s="30" t="inlineStr">
        <is>
          <t>Bansal Wire Industries Ltd</t>
        </is>
      </c>
      <c r="E285" s="30" t="inlineStr">
        <is>
          <t>metals &amp; mining</t>
        </is>
      </c>
      <c r="F285" s="30" t="inlineStr">
        <is>
          <t>steel - medium / small</t>
        </is>
      </c>
      <c r="G285" s="30" t="inlineStr">
        <is>
          <t>midcap</t>
        </is>
      </c>
      <c r="H285" s="31" t="n">
        <v>5062.24</v>
      </c>
      <c r="I285" s="31" t="n">
        <v>321.4</v>
      </c>
      <c r="J285" s="31" t="n">
        <v>-0.6</v>
      </c>
      <c r="K285" s="31" t="n">
        <v>55601</v>
      </c>
      <c r="L285" s="30" t="inlineStr"/>
      <c r="M285" s="30" t="inlineStr"/>
      <c r="N285" s="31">
        <f>IF(M285="Underperforming",-5,IF(L285&gt;=95,15,IF(L285&gt;=90,10,IF(L285&gt;=80,5,0))))</f>
        <v/>
      </c>
      <c r="O285" s="31" t="n">
        <v>53</v>
      </c>
      <c r="P285" s="31" t="n">
        <v>17.59</v>
      </c>
      <c r="Q285" s="31" t="n">
        <v>289.6</v>
      </c>
      <c r="R285" s="30" t="inlineStr">
        <is>
          <t>Earnings / Momentum Support</t>
        </is>
      </c>
      <c r="S285" s="30" t="inlineStr">
        <is>
          <t>Nifty Metal</t>
        </is>
      </c>
      <c r="T285" s="31" t="inlineStr"/>
      <c r="U285" s="31" t="inlineStr"/>
      <c r="V285" s="31" t="inlineStr"/>
      <c r="W285" s="31" t="inlineStr"/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Cyclical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Volatile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1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IF(B286=0,"",RANK(B286,$B$2:$B$290,0))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UNITEDPOLY</t>
        </is>
      </c>
      <c r="D286" s="30" t="inlineStr">
        <is>
          <t>United Polyfab Gujarat Ltd</t>
        </is>
      </c>
      <c r="E286" s="30" t="inlineStr">
        <is>
          <t>textiles</t>
        </is>
      </c>
      <c r="F286" s="30" t="inlineStr">
        <is>
          <t>textiles - products</t>
        </is>
      </c>
      <c r="G286" s="30" t="inlineStr">
        <is>
          <t>smallcap</t>
        </is>
      </c>
      <c r="H286" s="31" t="n">
        <v>1039.02</v>
      </c>
      <c r="I286" s="31" t="n">
        <v>46.81</v>
      </c>
      <c r="J286" s="31" t="n">
        <v>3.4</v>
      </c>
      <c r="K286" s="31" t="n">
        <v>1037819</v>
      </c>
      <c r="L286" s="30" t="n">
        <v>43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74.95999999999999</v>
      </c>
      <c r="P286" s="31" t="n">
        <v>23.4</v>
      </c>
      <c r="Q286" s="31" t="n">
        <v>34.35</v>
      </c>
      <c r="R286" s="30" t="inlineStr">
        <is>
          <t>Volume Spike &amp; Near 52W High Breakout</t>
        </is>
      </c>
      <c r="S286" s="30" t="inlineStr">
        <is>
          <t>Nifty 50</t>
        </is>
      </c>
      <c r="T286" s="31" t="n">
        <v>-6.14</v>
      </c>
      <c r="U286" s="31" t="n">
        <v>-5.68</v>
      </c>
      <c r="V286" s="31" t="n">
        <v>0.49</v>
      </c>
      <c r="W286" s="31" t="n">
        <v>14.28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Oligopoly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Shallow Cyclical (2 to 3 Years Growth)</t>
        </is>
      </c>
      <c r="AG286" s="30">
        <f>IF(AF286="Structural (10 Years Consistency)",10,IF(AF286="Shallow Cyclical (2 to 3 years growth)",5,0))</f>
        <v/>
      </c>
      <c r="AH286" s="30" t="inlineStr">
        <is>
          <t>Yes due to Product Mix change or Operating Leverage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Volatile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Allocated capital in Non-core Areas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Above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3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Sideways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Overhead supply in last 2 years in last 2 years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More than 15%</t>
        </is>
      </c>
      <c r="CC286" s="30">
        <f>IF(CB286="More than 15%",-10,IF(CB286="Less than 15%",10,0))</f>
        <v/>
      </c>
      <c r="CD286" s="30" t="inlineStr">
        <is>
          <t>Yes Upto 10%</t>
        </is>
      </c>
      <c r="CE286" s="30">
        <f>IF(CD286="Yes, more than 10%",-10,IF(CD286="No",10,0))</f>
        <v/>
      </c>
    </row>
    <row r="287">
      <c r="A287" s="30">
        <f>IF(B287=0,"",RANK(B287,$B$2:$B$290,0))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COALINDIA</t>
        </is>
      </c>
      <c r="D287" s="30" t="inlineStr">
        <is>
          <t>Coal India Limited</t>
        </is>
      </c>
      <c r="E287" s="30" t="inlineStr">
        <is>
          <t>metals &amp; mining</t>
        </is>
      </c>
      <c r="F287" s="30" t="inlineStr">
        <is>
          <t>mining / minerals / metals</t>
        </is>
      </c>
      <c r="G287" s="30" t="inlineStr">
        <is>
          <t>largecap</t>
        </is>
      </c>
      <c r="H287" s="31" t="n">
        <v>260067.14</v>
      </c>
      <c r="I287" s="31" t="n">
        <v>426.1</v>
      </c>
      <c r="J287" s="31" t="n">
        <v>0.97</v>
      </c>
      <c r="K287" s="31" t="n">
        <v>4798343</v>
      </c>
      <c r="L287" s="30" t="inlineStr"/>
      <c r="M287" s="30" t="inlineStr"/>
      <c r="N287" s="31">
        <f>IF(M287="Underperforming",-5,IF(L287&gt;=95,15,IF(L287&gt;=90,10,IF(L287&gt;=80,5,0))))</f>
        <v/>
      </c>
      <c r="O287" s="31" t="n">
        <v>52.93</v>
      </c>
      <c r="P287" s="31" t="n">
        <v>9.210000000000001</v>
      </c>
      <c r="Q287" s="31" t="n">
        <v>366.58</v>
      </c>
      <c r="R287" s="30" t="inlineStr">
        <is>
          <t>Earnings / Momentum Support</t>
        </is>
      </c>
      <c r="S287" s="30" t="inlineStr">
        <is>
          <t>Nifty Metal</t>
        </is>
      </c>
      <c r="T287" s="31" t="inlineStr"/>
      <c r="U287" s="31" t="inlineStr"/>
      <c r="V287" s="31" t="inlineStr"/>
      <c r="W287" s="31" t="inlineStr"/>
      <c r="X287" s="30" t="inlineStr">
        <is>
          <t>Cyclical in an Upturn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Cyclical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Volatile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1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IF(B288=0,"",RANK(B288,$B$2:$B$290,0))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GNFC</t>
        </is>
      </c>
      <c r="D288" s="30" t="inlineStr">
        <is>
          <t>Gujarat Narmada Valley Fertilizers And Chemicals Limited</t>
        </is>
      </c>
      <c r="E288" s="30" t="inlineStr">
        <is>
          <t>chemicals</t>
        </is>
      </c>
      <c r="F288" s="30" t="inlineStr">
        <is>
          <t>chemicals</t>
        </is>
      </c>
      <c r="G288" s="30" t="inlineStr">
        <is>
          <t>midcap</t>
        </is>
      </c>
      <c r="H288" s="31" t="n">
        <v>9185.26</v>
      </c>
      <c r="I288" s="31" t="n">
        <v>630.3</v>
      </c>
      <c r="J288" s="31" t="n">
        <v>0.83</v>
      </c>
      <c r="K288" s="31" t="n">
        <v>1734397</v>
      </c>
      <c r="L288" s="30" t="n">
        <v>36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74.16</v>
      </c>
      <c r="P288" s="31" t="n">
        <v>40.19</v>
      </c>
      <c r="Q288" s="31" t="n">
        <v>511.97</v>
      </c>
      <c r="R288" s="30" t="inlineStr">
        <is>
          <t>Volume Spike &amp; Near 52W High Breakout</t>
        </is>
      </c>
      <c r="S288" s="30" t="inlineStr">
        <is>
          <t>Nifty 50</t>
        </is>
      </c>
      <c r="T288" s="31" t="n">
        <v>-6.14</v>
      </c>
      <c r="U288" s="31" t="n">
        <v>31.43</v>
      </c>
      <c r="V288" s="31" t="n">
        <v>40.03</v>
      </c>
      <c r="W288" s="31" t="n">
        <v>11.6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Oligopoly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Shallow Cyclical (2 to 3 Years Growth)</t>
        </is>
      </c>
      <c r="AG288" s="30">
        <f>IF(AF288="Structural (10 Years Consistency)",10,IF(AF288="Shallow Cyclical (2 to 3 years growth)",5,0))</f>
        <v/>
      </c>
      <c r="AH288" s="30" t="inlineStr">
        <is>
          <t>Yes due to Product Mix change or Operating Leverage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Volatile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Allocated capital in Non-core Areas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Above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3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Sideways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Overhead supply in last 2 years in last 2 years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Less than 1.5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More than 15%</t>
        </is>
      </c>
      <c r="CC288" s="30">
        <f>IF(CB288="More than 15%",-10,IF(CB288="Less than 15%",10,0))</f>
        <v/>
      </c>
      <c r="CD288" s="30" t="inlineStr">
        <is>
          <t>Yes Upto 10%</t>
        </is>
      </c>
      <c r="CE288" s="30">
        <f>IF(CD288="Yes, more than 10%",-10,IF(CD288="No",10,0))</f>
        <v/>
      </c>
    </row>
    <row r="289">
      <c r="A289" s="30">
        <f>IF(B289=0,"",RANK(B289,$B$2:$B$290,0))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HEG</t>
        </is>
      </c>
      <c r="D289" s="32" t="inlineStr">
        <is>
          <t>Heg Limited</t>
        </is>
      </c>
      <c r="E289" s="30" t="inlineStr">
        <is>
          <t>industrials</t>
        </is>
      </c>
      <c r="F289" s="30" t="inlineStr">
        <is>
          <t>electrodes - graphites</t>
        </is>
      </c>
      <c r="G289" s="30" t="inlineStr">
        <is>
          <t>midcap</t>
        </is>
      </c>
      <c r="H289" s="31" t="n">
        <v>8195.5</v>
      </c>
      <c r="I289" s="31" t="n">
        <v>248.5</v>
      </c>
      <c r="J289" s="31" t="n">
        <v>4.83</v>
      </c>
      <c r="K289" s="31" t="n">
        <v>9065570</v>
      </c>
      <c r="L289" s="30" t="n">
        <v>1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26.33</v>
      </c>
      <c r="P289" s="31" t="n">
        <v>36.51</v>
      </c>
      <c r="Q289" s="31" t="n">
        <v>511.47</v>
      </c>
      <c r="R289" s="30" t="inlineStr">
        <is>
          <t>Earnings / Momentum Support</t>
        </is>
      </c>
      <c r="S289" s="30" t="inlineStr">
        <is>
          <t>Nifty 50</t>
        </is>
      </c>
      <c r="T289" s="31" t="n">
        <v>-6.14</v>
      </c>
      <c r="U289" s="31" t="n">
        <v>-53.31</v>
      </c>
      <c r="V289" s="31" t="n">
        <v>-50.26</v>
      </c>
      <c r="W289" s="31" t="n">
        <v>-21.09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Below 45</t>
        </is>
      </c>
      <c r="BA289" s="30">
        <f>IF(AZ289="Between 50 to 75",10,IF(AZ289="Above 75",0,0))</f>
        <v/>
      </c>
      <c r="BB289" s="30" t="inlineStr">
        <is>
          <t>Stage 4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No</t>
        </is>
      </c>
      <c r="BM289" s="30">
        <f>IF(BL289="Yes",10,0)</f>
        <v/>
      </c>
      <c r="BN289" s="30" t="inlineStr">
        <is>
          <t>Between 12 to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IF(B290=0,"",RANK(B290,$B$2:$B$290,0))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JINDALSTEL</t>
        </is>
      </c>
      <c r="D290" s="30" t="inlineStr">
        <is>
          <t>Jindal Steel Ltd</t>
        </is>
      </c>
      <c r="E290" s="30" t="inlineStr">
        <is>
          <t>metals &amp; mining</t>
        </is>
      </c>
      <c r="F290" s="30" t="inlineStr">
        <is>
          <t>steel - large</t>
        </is>
      </c>
      <c r="G290" s="30" t="inlineStr">
        <is>
          <t>largecap</t>
        </is>
      </c>
      <c r="H290" s="31" t="n">
        <v>118105.8</v>
      </c>
      <c r="I290" s="31" t="n">
        <v>1164.8</v>
      </c>
      <c r="J290" s="31" t="n">
        <v>0.6</v>
      </c>
      <c r="K290" s="31" t="n">
        <v>423334</v>
      </c>
      <c r="L290" s="30" t="inlineStr"/>
      <c r="M290" s="30" t="inlineStr"/>
      <c r="N290" s="31">
        <f>IF(M290="Underperforming",-5,IF(L290&gt;=95,15,IF(L290&gt;=90,10,IF(L290&gt;=80,5,0))))</f>
        <v/>
      </c>
      <c r="O290" s="31" t="n">
        <v>55.13</v>
      </c>
      <c r="P290" s="31" t="n">
        <v>14.58</v>
      </c>
      <c r="Q290" s="31" t="n">
        <v>985.63</v>
      </c>
      <c r="R290" s="30" t="inlineStr">
        <is>
          <t>Earnings / Momentum Support</t>
        </is>
      </c>
      <c r="S290" s="30" t="inlineStr">
        <is>
          <t>Nifty Metal</t>
        </is>
      </c>
      <c r="T290" s="31" t="inlineStr"/>
      <c r="U290" s="31" t="inlineStr"/>
      <c r="V290" s="31" t="inlineStr"/>
      <c r="W290" s="31" t="inlineStr"/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1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</sheetData>
  <autoFilter ref="A1:CE290"/>
  <conditionalFormatting sqref="B2:B29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9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9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9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9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90">
    <cfRule type="cellIs" priority="36" operator="equal" dxfId="3" stopIfTrue="1">
      <formula>"Underperforming"</formula>
    </cfRule>
  </conditionalFormatting>
  <conditionalFormatting sqref="N2:N290">
    <cfRule type="cellIs" priority="37" operator="equal" dxfId="3" stopIfTrue="1">
      <formula>-5</formula>
    </cfRule>
  </conditionalFormatting>
  <conditionalFormatting sqref="Q2:Q29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90" showDropDown="0" showInputMessage="0" showErrorMessage="0" allowBlank="1" type="list">
      <formula1>"Growing Industry,Stagnant Industry,Cyclical in an Upturn"</formula1>
    </dataValidation>
    <dataValidation sqref="Z2:Z29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90" showDropDown="0" showInputMessage="0" showErrorMessage="0" allowBlank="1" type="list">
      <formula1>"Yes,No"</formula1>
    </dataValidation>
    <dataValidation sqref="AD2:AD290" showDropDown="0" showInputMessage="0" showErrorMessage="0" allowBlank="1" type="list">
      <formula1>"Tailwind,Headwind"</formula1>
    </dataValidation>
    <dataValidation sqref="AF2:AF290" showDropDown="0" showInputMessage="0" showErrorMessage="0" allowBlank="1" type="list">
      <formula1>"Structural (10 Years Consistency),Shallow Cyclical (2 to 3 Years Growth),Cyclical"</formula1>
    </dataValidation>
    <dataValidation sqref="AH2:AH290" showDropDown="0" showInputMessage="0" showErrorMessage="0" allowBlank="1" type="list">
      <formula1>"Yes due to Product Mix change or Operating Leverage,Yes, these are peak margins,No"</formula1>
    </dataValidation>
    <dataValidation sqref="AJ2:AJ290" showDropDown="0" showInputMessage="0" showErrorMessage="0" allowBlank="1" type="list">
      <formula1>"Stable,Volatile"</formula1>
    </dataValidation>
    <dataValidation sqref="AL2:AL290" showDropDown="0" showInputMessage="0" showErrorMessage="0" allowBlank="1" type="list">
      <formula1>"Yes,No"</formula1>
    </dataValidation>
    <dataValidation sqref="AN2:AN290" showDropDown="0" showInputMessage="0" showErrorMessage="0" allowBlank="1" type="list">
      <formula1>"B2C,B2B,B2G"</formula1>
    </dataValidation>
    <dataValidation sqref="AP2:AP290" showDropDown="0" showInputMessage="0" showErrorMessage="0" allowBlank="1" type="list">
      <formula1>"Yes,No"</formula1>
    </dataValidation>
    <dataValidation sqref="AR2:AR290" showDropDown="0" showInputMessage="0" showErrorMessage="0" allowBlank="1" type="list">
      <formula1>"Fully Annuity,Higher Annuity, Lower One time,Higher One Time, Lower Annuity,Fully One Time"</formula1>
    </dataValidation>
    <dataValidation sqref="AT2:AT290" showDropDown="0" showInputMessage="0" showErrorMessage="0" allowBlank="1" type="list">
      <formula1>"Good,Allocated capital in Non-core Areas"</formula1>
    </dataValidation>
    <dataValidation sqref="AV2:AV290" showDropDown="0" showInputMessage="0" showErrorMessage="0" allowBlank="1" type="list">
      <formula1>"Yes for more than 2 years,Yes only for next 1 to 2 years,No"</formula1>
    </dataValidation>
    <dataValidation sqref="AX2:AX290" showDropDown="0" showInputMessage="0" showErrorMessage="0" allowBlank="1" type="list">
      <formula1>"Above 40,20 to 40,0 to 20"</formula1>
    </dataValidation>
    <dataValidation sqref="AZ2:AZ290" showDropDown="0" showInputMessage="0" showErrorMessage="0" allowBlank="1" type="list">
      <formula1>"Between 50 to 75,Above 75,Below 45"</formula1>
    </dataValidation>
    <dataValidation sqref="BB2:BB290" showDropDown="0" showInputMessage="0" showErrorMessage="0" allowBlank="1" type="list">
      <formula1>"Stage 1,Stage 2,Stage 3,Stage 4"</formula1>
    </dataValidation>
    <dataValidation sqref="BD2:BD290" showDropDown="0" showInputMessage="0" showErrorMessage="0" allowBlank="1" type="list">
      <formula1>"Positive Trend,Negative Trend"</formula1>
    </dataValidation>
    <dataValidation sqref="BF2:BF290" showDropDown="0" showInputMessage="0" showErrorMessage="0" allowBlank="1" type="list">
      <formula1>"Uptrend,Sideways,Downtrend"</formula1>
    </dataValidation>
    <dataValidation sqref="BH2:BH290" showDropDown="0" showInputMessage="0" showErrorMessage="0" allowBlank="1" type="list">
      <formula1>"Uptrend,Sideways,Downtrend"</formula1>
    </dataValidation>
    <dataValidation sqref="BJ2:BJ29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90" showDropDown="0" showInputMessage="0" showErrorMessage="0" allowBlank="1" type="list">
      <formula1>"Yes,No"</formula1>
    </dataValidation>
    <dataValidation sqref="BN2:BN290" showDropDown="0" showInputMessage="0" showErrorMessage="0" allowBlank="1" type="list">
      <formula1>"More than 20%,Between 12 to 20%,Less than 12%"</formula1>
    </dataValidation>
    <dataValidation sqref="BP2:BP290" showDropDown="0" showInputMessage="0" showErrorMessage="0" allowBlank="1" type="list">
      <formula1>"Yes,No"</formula1>
    </dataValidation>
    <dataValidation sqref="BR2:BR290" showDropDown="0" showInputMessage="0" showErrorMessage="0" allowBlank="1" type="list">
      <formula1>"Yes,No"</formula1>
    </dataValidation>
    <dataValidation sqref="BT2:BT290" showDropDown="0" showInputMessage="0" showErrorMessage="0" allowBlank="1" type="list">
      <formula1>"Above 2,Between 1.5 to 2,Less than 1.5"</formula1>
    </dataValidation>
    <dataValidation sqref="BV2:BV290" showDropDown="0" showInputMessage="0" showErrorMessage="0" allowBlank="1" type="list">
      <formula1>"Above 70%,Between 50% to 70%,Less than 50%,Less than 50% and Borrowings are increasing,Negative"</formula1>
    </dataValidation>
    <dataValidation sqref="BX2:BX290" showDropDown="0" showInputMessage="0" showErrorMessage="0" allowBlank="1" type="list">
      <formula1>"More than 1.2,Between 0.7 to 1.2,Less than 0.7"</formula1>
    </dataValidation>
    <dataValidation sqref="BZ2:BZ290" showDropDown="0" showInputMessage="0" showErrorMessage="0" allowBlank="1" type="list">
      <formula1>"Yes,No"</formula1>
    </dataValidation>
    <dataValidation sqref="CB2:CB290" showDropDown="0" showInputMessage="0" showErrorMessage="0" allowBlank="1" type="list">
      <formula1>"More than 15%,Less than 15%"</formula1>
    </dataValidation>
    <dataValidation sqref="CD2:CD29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IF(B2=0,"",RANK(B2,$B$2:$B$22,0))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12788.95</v>
      </c>
      <c r="I2" s="31" t="n">
        <v>335.5</v>
      </c>
      <c r="J2" s="31" t="n">
        <v>-0.78</v>
      </c>
      <c r="K2" s="31" t="n">
        <v>680592</v>
      </c>
      <c r="L2" s="30" t="n">
        <v>62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72.37</v>
      </c>
      <c r="P2" s="31" t="n">
        <v>52.54</v>
      </c>
      <c r="Q2" s="31" t="n">
        <v>274.34</v>
      </c>
      <c r="R2" s="30" t="inlineStr">
        <is>
          <t>Near 52W High Breakout</t>
        </is>
      </c>
      <c r="S2" s="30" t="inlineStr">
        <is>
          <t>Nifty Bank</t>
        </is>
      </c>
      <c r="T2" s="31" t="n">
        <v>2.19</v>
      </c>
      <c r="U2" s="31" t="n">
        <v>99.2</v>
      </c>
      <c r="V2" s="31" t="n">
        <v>94.93000000000001</v>
      </c>
      <c r="W2" s="31" t="n">
        <v>20.8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IF(B3=0,"",RANK(B3,$B$2:$B$22,0))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WELINV</t>
        </is>
      </c>
      <c r="D3" s="30" t="inlineStr">
        <is>
          <t>Welspun Investments And Commercials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897.9</v>
      </c>
      <c r="I3" s="31" t="n">
        <v>2499.9</v>
      </c>
      <c r="J3" s="31" t="n">
        <v>1.75</v>
      </c>
      <c r="K3" s="31" t="n">
        <v>20</v>
      </c>
      <c r="L3" s="30" t="n">
        <v>78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85.52</v>
      </c>
      <c r="P3" s="31" t="n">
        <v>59.14</v>
      </c>
      <c r="Q3" s="31" t="n">
        <v>1982.96</v>
      </c>
      <c r="R3" s="30" t="inlineStr">
        <is>
          <t>Near 52W High Breakout</t>
        </is>
      </c>
      <c r="S3" s="30" t="inlineStr">
        <is>
          <t>Nifty Bank</t>
        </is>
      </c>
      <c r="T3" s="31" t="n">
        <v>2.19</v>
      </c>
      <c r="U3" s="31" t="n">
        <v>144.6</v>
      </c>
      <c r="V3" s="31" t="n">
        <v>139.36</v>
      </c>
      <c r="W3" s="31" t="n">
        <v>29.09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IF(B4=0,"",RANK(B4,$B$2:$B$22,0))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SATIN</t>
        </is>
      </c>
      <c r="D4" s="30" t="inlineStr">
        <is>
          <t>Satin Creditcare Network Limited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2498.3</v>
      </c>
      <c r="I4" s="31" t="n">
        <v>236.65</v>
      </c>
      <c r="J4" s="31" t="n">
        <v>4.64</v>
      </c>
      <c r="K4" s="31" t="n">
        <v>421528</v>
      </c>
      <c r="L4" s="30" t="n">
        <v>40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59.57</v>
      </c>
      <c r="P4" s="31" t="n">
        <v>45.84</v>
      </c>
      <c r="Q4" s="31" t="n">
        <v>215.56</v>
      </c>
      <c r="R4" s="30" t="inlineStr">
        <is>
          <t>Earnings / Momentum Support</t>
        </is>
      </c>
      <c r="S4" s="30" t="inlineStr">
        <is>
          <t>Nifty Bank</t>
        </is>
      </c>
      <c r="T4" s="31" t="n">
        <v>2.19</v>
      </c>
      <c r="U4" s="31" t="n">
        <v>63.14</v>
      </c>
      <c r="V4" s="31" t="n">
        <v>59.64</v>
      </c>
      <c r="W4" s="31" t="n">
        <v>13.03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IF(B5=0,"",RANK(B5,$B$2:$B$22,0))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PAISALO</t>
        </is>
      </c>
      <c r="D5" s="30" t="inlineStr">
        <is>
          <t>Paisalo Digital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midcap</t>
        </is>
      </c>
      <c r="H5" s="31" t="n">
        <v>8135.67</v>
      </c>
      <c r="I5" s="31" t="n">
        <v>89.02</v>
      </c>
      <c r="J5" s="31" t="n">
        <v>-0.48</v>
      </c>
      <c r="K5" s="31" t="n">
        <v>7721853</v>
      </c>
      <c r="L5" s="30" t="n">
        <v>83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81.63</v>
      </c>
      <c r="P5" s="31" t="n">
        <v>70.8</v>
      </c>
      <c r="Q5" s="31" t="n">
        <v>70.67</v>
      </c>
      <c r="R5" s="30" t="inlineStr">
        <is>
          <t>Near 52W High Breakout</t>
        </is>
      </c>
      <c r="S5" s="30" t="inlineStr">
        <is>
          <t>Nifty Bank</t>
        </is>
      </c>
      <c r="T5" s="31" t="n">
        <v>2.19</v>
      </c>
      <c r="U5" s="31" t="n">
        <v>135.23</v>
      </c>
      <c r="V5" s="31" t="n">
        <v>130.19</v>
      </c>
      <c r="W5" s="31" t="n">
        <v>32.74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IF(B6=0,"",RANK(B6,$B$2:$B$22,0))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MANBA</t>
        </is>
      </c>
      <c r="D6" s="30" t="inlineStr">
        <is>
          <t>Manba Finance Ltd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705.11</v>
      </c>
      <c r="I6" s="31" t="n">
        <v>139.35</v>
      </c>
      <c r="J6" s="31" t="n">
        <v>-0.71</v>
      </c>
      <c r="K6" s="31" t="n">
        <v>86634</v>
      </c>
      <c r="L6" s="30" t="n">
        <v>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62.83</v>
      </c>
      <c r="P6" s="31" t="n">
        <v>37.14</v>
      </c>
      <c r="Q6" s="31" t="n">
        <v>110.11</v>
      </c>
      <c r="R6" s="30" t="inlineStr">
        <is>
          <t>Volume Spike &amp; Near 52W High Breakout</t>
        </is>
      </c>
      <c r="S6" s="30" t="inlineStr">
        <is>
          <t>Nifty Bank</t>
        </is>
      </c>
      <c r="T6" s="31" t="n">
        <v>2.19</v>
      </c>
      <c r="U6" s="31" t="n">
        <v>3.53</v>
      </c>
      <c r="V6" s="31" t="n">
        <v>1.32</v>
      </c>
      <c r="W6" s="31" t="n">
        <v>3.24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IF(B7=0,"",RANK(B7,$B$2:$B$22,0))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EDELWEISS</t>
        </is>
      </c>
      <c r="D7" s="30" t="inlineStr">
        <is>
          <t>Edelweiss Financial Services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midcap</t>
        </is>
      </c>
      <c r="H7" s="31" t="n">
        <v>13157.74</v>
      </c>
      <c r="I7" s="31" t="n">
        <v>136.83</v>
      </c>
      <c r="J7" s="31" t="n">
        <v>-1.57</v>
      </c>
      <c r="K7" s="31" t="n">
        <v>4432948</v>
      </c>
      <c r="L7" s="30" t="n">
        <v>21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64.64</v>
      </c>
      <c r="P7" s="31" t="n">
        <v>21.13</v>
      </c>
      <c r="Q7" s="31" t="n">
        <v>104.42</v>
      </c>
      <c r="R7" s="30" t="inlineStr">
        <is>
          <t>Volume Spike &amp; Near 52W High Breakout</t>
        </is>
      </c>
      <c r="S7" s="30" t="inlineStr">
        <is>
          <t>Nifty Bank</t>
        </is>
      </c>
      <c r="T7" s="31" t="n">
        <v>2.19</v>
      </c>
      <c r="U7" s="31" t="n">
        <v>26.54</v>
      </c>
      <c r="V7" s="31" t="n">
        <v>23.83</v>
      </c>
      <c r="W7" s="31" t="n">
        <v>7.76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IF(B8=0,"",RANK(B8,$B$2:$B$22,0))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MAHABANK</t>
        </is>
      </c>
      <c r="D8" s="30" t="inlineStr">
        <is>
          <t>Bank Of Maharashtra Ltd</t>
        </is>
      </c>
      <c r="E8" s="30" t="inlineStr">
        <is>
          <t>bank</t>
        </is>
      </c>
      <c r="F8" s="30" t="inlineStr">
        <is>
          <t>banks - public sector</t>
        </is>
      </c>
      <c r="G8" s="30" t="inlineStr">
        <is>
          <t>largecap</t>
        </is>
      </c>
      <c r="H8" s="31" t="n">
        <v>63363.03</v>
      </c>
      <c r="I8" s="31" t="n">
        <v>84.88</v>
      </c>
      <c r="J8" s="31" t="n">
        <v>3.03</v>
      </c>
      <c r="K8" s="31" t="n">
        <v>12167444</v>
      </c>
      <c r="L8" s="30" t="n">
        <v>30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60.16</v>
      </c>
      <c r="P8" s="31" t="n">
        <v>34.81</v>
      </c>
      <c r="Q8" s="31" t="n">
        <v>73.27</v>
      </c>
      <c r="R8" s="30" t="inlineStr">
        <is>
          <t>Earnings / Momentum Support</t>
        </is>
      </c>
      <c r="S8" s="30" t="inlineStr">
        <is>
          <t>Nifty Bank</t>
        </is>
      </c>
      <c r="T8" s="31" t="n">
        <v>2.19</v>
      </c>
      <c r="U8" s="31" t="n">
        <v>62.04</v>
      </c>
      <c r="V8" s="31" t="n">
        <v>58.57</v>
      </c>
      <c r="W8" s="31" t="n">
        <v>10.29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IF(B9=0,"",RANK(B9,$B$2:$B$22,0))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SMCGLOBAL</t>
        </is>
      </c>
      <c r="D9" s="30" t="inlineStr">
        <is>
          <t>SMC Global Securities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1781.37</v>
      </c>
      <c r="I9" s="31" t="n">
        <v>85.59999999999999</v>
      </c>
      <c r="J9" s="31" t="n">
        <v>0.62</v>
      </c>
      <c r="K9" s="31" t="n">
        <v>892402</v>
      </c>
      <c r="L9" s="30" t="n">
        <v>31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60.86</v>
      </c>
      <c r="P9" s="31" t="n">
        <v>28.83</v>
      </c>
      <c r="Q9" s="31" t="n">
        <v>64.98</v>
      </c>
      <c r="R9" s="30" t="inlineStr">
        <is>
          <t>Earnings / Momentum Support</t>
        </is>
      </c>
      <c r="S9" s="30" t="inlineStr">
        <is>
          <t>Nifty Bank</t>
        </is>
      </c>
      <c r="T9" s="31" t="n">
        <v>2.19</v>
      </c>
      <c r="U9" s="31" t="n">
        <v>23.95</v>
      </c>
      <c r="V9" s="31" t="n">
        <v>21.29</v>
      </c>
      <c r="W9" s="31" t="n">
        <v>10.57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IF(B10=0,"",RANK(B10,$B$2:$B$22,0))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RBLBANK</t>
        </is>
      </c>
      <c r="D10" s="30" t="inlineStr">
        <is>
          <t>Rbl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largecap</t>
        </is>
      </c>
      <c r="H10" s="31" t="n">
        <v>63916.73</v>
      </c>
      <c r="I10" s="31" t="n">
        <v>415.05</v>
      </c>
      <c r="J10" s="31" t="n">
        <v>0.5600000000000001</v>
      </c>
      <c r="K10" s="31" t="n">
        <v>3419454</v>
      </c>
      <c r="L10" s="30" t="n">
        <v>37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67.75</v>
      </c>
      <c r="P10" s="31" t="n">
        <v>35</v>
      </c>
      <c r="Q10" s="31" t="n">
        <v>352.22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2.19</v>
      </c>
      <c r="U10" s="31" t="n">
        <v>52.79</v>
      </c>
      <c r="V10" s="31" t="n">
        <v>49.52</v>
      </c>
      <c r="W10" s="31" t="n">
        <v>11.73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less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IF(B11=0,"",RANK(B11,$B$2:$B$22,0))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SOUTHBANK</t>
        </is>
      </c>
      <c r="D11" s="30" t="inlineStr">
        <is>
          <t>The South Indian Bank Limited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midcap</t>
        </is>
      </c>
      <c r="H11" s="31" t="n">
        <v>13064.15</v>
      </c>
      <c r="I11" s="31" t="n">
        <v>49.95</v>
      </c>
      <c r="J11" s="31" t="n">
        <v>0.1</v>
      </c>
      <c r="K11" s="31" t="n">
        <v>28889000</v>
      </c>
      <c r="L11" s="30" t="n">
        <v>44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66.83</v>
      </c>
      <c r="P11" s="31" t="n">
        <v>37.01</v>
      </c>
      <c r="Q11" s="31" t="n">
        <v>40.33</v>
      </c>
      <c r="R11" s="30" t="inlineStr">
        <is>
          <t>Volume Spike &amp; Near 52W High Breakout</t>
        </is>
      </c>
      <c r="S11" s="30" t="inlineStr">
        <is>
          <t>Nifty Bank</t>
        </is>
      </c>
      <c r="T11" s="31" t="n">
        <v>2.19</v>
      </c>
      <c r="U11" s="31" t="n">
        <v>73.98999999999999</v>
      </c>
      <c r="V11" s="31" t="n">
        <v>70.27</v>
      </c>
      <c r="W11" s="31" t="n">
        <v>14.79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less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IF(B12=0,"",RANK(B12,$B$2:$B$22,0))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SHAREINDIA</t>
        </is>
      </c>
      <c r="D12" s="30" t="inlineStr">
        <is>
          <t>Share India Securities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4635.82</v>
      </c>
      <c r="I12" s="31" t="n">
        <v>209.62</v>
      </c>
      <c r="J12" s="31" t="n">
        <v>-1.05</v>
      </c>
      <c r="K12" s="31" t="n">
        <v>1080901</v>
      </c>
      <c r="L12" s="30" t="n">
        <v>72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64.59</v>
      </c>
      <c r="P12" s="31" t="n">
        <v>37.92</v>
      </c>
      <c r="Q12" s="31" t="n">
        <v>170.78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2.19</v>
      </c>
      <c r="U12" s="31" t="n">
        <v>65.5</v>
      </c>
      <c r="V12" s="31" t="n">
        <v>61.95</v>
      </c>
      <c r="W12" s="31" t="n">
        <v>25.57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IF(B13=0,"",RANK(B13,$B$2:$B$22,0))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GCSL</t>
        </is>
      </c>
      <c r="D13" s="30" t="inlineStr">
        <is>
          <t>Gretex Corporate Services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1583.59</v>
      </c>
      <c r="I13" s="31" t="n">
        <v>653.45</v>
      </c>
      <c r="J13" s="31" t="n">
        <v>3.18</v>
      </c>
      <c r="K13" s="31" t="n">
        <v>444252</v>
      </c>
      <c r="L13" s="30" t="n">
        <v>84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78.69</v>
      </c>
      <c r="P13" s="31" t="n">
        <v>33.43</v>
      </c>
      <c r="Q13" s="31" t="n">
        <v>517.54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2.19</v>
      </c>
      <c r="U13" s="31" t="n">
        <v>152.64</v>
      </c>
      <c r="V13" s="31" t="n">
        <v>147.23</v>
      </c>
      <c r="W13" s="31" t="n">
        <v>34.01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above 5x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Above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IF(B14=0,"",RANK(B14,$B$2:$B$22,0))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PRIMESECU</t>
        </is>
      </c>
      <c r="D14" s="30" t="inlineStr">
        <is>
          <t>Prime Securities Limited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1017.19</v>
      </c>
      <c r="I14" s="31" t="n">
        <v>301.9</v>
      </c>
      <c r="J14" s="31" t="n">
        <v>0.73</v>
      </c>
      <c r="K14" s="31" t="n">
        <v>39045</v>
      </c>
      <c r="L14" s="30" t="n">
        <v>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57.9</v>
      </c>
      <c r="P14" s="31" t="n">
        <v>34.28</v>
      </c>
      <c r="Q14" s="31" t="n">
        <v>237.49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2.19</v>
      </c>
      <c r="U14" s="31" t="n">
        <v>11.57</v>
      </c>
      <c r="V14" s="31" t="n">
        <v>9.18</v>
      </c>
      <c r="W14" s="31" t="n">
        <v>2.53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less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IF(B15=0,"",RANK(B15,$B$2:$B$22,0))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ESAFSFB</t>
        </is>
      </c>
      <c r="D15" s="30" t="inlineStr">
        <is>
          <t>ESAF Small Finance Bank Ltd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smallcap</t>
        </is>
      </c>
      <c r="H15" s="31" t="n">
        <v>2106.12</v>
      </c>
      <c r="I15" s="31" t="n">
        <v>42.86</v>
      </c>
      <c r="J15" s="31" t="n">
        <v>5</v>
      </c>
      <c r="K15" s="31" t="n">
        <v>1195142</v>
      </c>
      <c r="L15" s="30" t="n">
        <v>55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63.54</v>
      </c>
      <c r="P15" s="31" t="n">
        <v>39.18</v>
      </c>
      <c r="Q15" s="31" t="n">
        <v>33.55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2.19</v>
      </c>
      <c r="U15" s="31" t="n">
        <v>49.97</v>
      </c>
      <c r="V15" s="31" t="n">
        <v>46.75</v>
      </c>
      <c r="W15" s="31" t="n">
        <v>17.74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IF(B16=0,"",RANK(B16,$B$2:$B$22,0))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LICHSGFIN</t>
        </is>
      </c>
      <c r="D16" s="30" t="inlineStr">
        <is>
          <t>Lic Housing Finance Limited</t>
        </is>
      </c>
      <c r="E16" s="30" t="inlineStr">
        <is>
          <t>financials</t>
        </is>
      </c>
      <c r="F16" s="30" t="inlineStr">
        <is>
          <t>finance - housing</t>
        </is>
      </c>
      <c r="G16" s="30" t="inlineStr">
        <is>
          <t>largecap</t>
        </is>
      </c>
      <c r="H16" s="31" t="n">
        <v>31037.3</v>
      </c>
      <c r="I16" s="31" t="n">
        <v>566</v>
      </c>
      <c r="J16" s="31" t="n">
        <v>0.31</v>
      </c>
      <c r="K16" s="31" t="n">
        <v>1070523</v>
      </c>
      <c r="L16" s="30" t="n">
        <v>3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59.57</v>
      </c>
      <c r="P16" s="31" t="n">
        <v>14.99</v>
      </c>
      <c r="Q16" s="31" t="n">
        <v>473.62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2.19</v>
      </c>
      <c r="U16" s="31" t="n">
        <v>2.2</v>
      </c>
      <c r="V16" s="31" t="n">
        <v>0.01</v>
      </c>
      <c r="W16" s="31" t="n">
        <v>1.59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0 to 20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IF(B17=0,"",RANK(B17,$B$2:$B$22,0))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TFCILTD</t>
        </is>
      </c>
      <c r="D17" s="30" t="inlineStr">
        <is>
          <t>Tourism Finance Corporation Of India Limited</t>
        </is>
      </c>
      <c r="E17" s="30" t="inlineStr">
        <is>
          <t>financials</t>
        </is>
      </c>
      <c r="F17" s="30" t="inlineStr">
        <is>
          <t>finance - term-lending institutions</t>
        </is>
      </c>
      <c r="G17" s="30" t="inlineStr">
        <is>
          <t>midcap</t>
        </is>
      </c>
      <c r="H17" s="31" t="n">
        <v>6641.87</v>
      </c>
      <c r="I17" s="31" t="n">
        <v>138.31</v>
      </c>
      <c r="J17" s="31" t="n">
        <v>-3.59</v>
      </c>
      <c r="K17" s="31" t="n">
        <v>30056074</v>
      </c>
      <c r="L17" s="30" t="n">
        <v>84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80</v>
      </c>
      <c r="P17" s="31" t="n">
        <v>70.48999999999999</v>
      </c>
      <c r="Q17" s="31" t="n">
        <v>114.98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2.19</v>
      </c>
      <c r="U17" s="31" t="n">
        <v>91.51000000000001</v>
      </c>
      <c r="V17" s="31" t="n">
        <v>87.40000000000001</v>
      </c>
      <c r="W17" s="31" t="n">
        <v>32.99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Above 40</t>
        </is>
      </c>
      <c r="BM17" s="30">
        <f>IF(BL17="Above 40",20,IF(BL17="20 to 40",10,IF(BL17="0 to 20",-5,0)))</f>
        <v/>
      </c>
      <c r="BN17" s="30" t="inlineStr">
        <is>
          <t>Above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Negative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IF(B18=0,"",RANK(B18,$B$2:$B$22,0))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BANDHANBNK</t>
        </is>
      </c>
      <c r="D18" s="30" t="inlineStr">
        <is>
          <t>Bandhan Bank Ltd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largecap</t>
        </is>
      </c>
      <c r="H18" s="31" t="n">
        <v>29466.62</v>
      </c>
      <c r="I18" s="31" t="n">
        <v>187.7</v>
      </c>
      <c r="J18" s="31" t="n">
        <v>2.62</v>
      </c>
      <c r="K18" s="31" t="n">
        <v>10120013</v>
      </c>
      <c r="L18" s="30" t="n">
        <v>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54.1</v>
      </c>
      <c r="P18" s="31" t="n">
        <v>13.47</v>
      </c>
      <c r="Q18" s="31" t="n">
        <v>169.06</v>
      </c>
      <c r="R18" s="30" t="inlineStr">
        <is>
          <t>Volume Spike / Accumulation</t>
        </is>
      </c>
      <c r="S18" s="30" t="inlineStr">
        <is>
          <t>Nifty Bank</t>
        </is>
      </c>
      <c r="T18" s="31" t="n">
        <v>2.19</v>
      </c>
      <c r="U18" s="31" t="n">
        <v>22.13</v>
      </c>
      <c r="V18" s="31" t="n">
        <v>19.51</v>
      </c>
      <c r="W18" s="31" t="n">
        <v>3.88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0 to 20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1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IF(B19=0,"",RANK(B19,$B$2:$B$22,0))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IIFLCAPS</t>
        </is>
      </c>
      <c r="D19" s="30" t="inlineStr">
        <is>
          <t>IIFL Capital Services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midcap</t>
        </is>
      </c>
      <c r="H19" s="31" t="n">
        <v>10898.68</v>
      </c>
      <c r="I19" s="31" t="n">
        <v>346.7</v>
      </c>
      <c r="J19" s="31" t="n">
        <v>-0.29</v>
      </c>
      <c r="K19" s="31" t="n">
        <v>263461</v>
      </c>
      <c r="L19" s="30" t="n">
        <v>19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58.52</v>
      </c>
      <c r="P19" s="31" t="n">
        <v>18.16</v>
      </c>
      <c r="Q19" s="31" t="n">
        <v>302.85</v>
      </c>
      <c r="R19" s="30" t="inlineStr">
        <is>
          <t>Volume Spike / Accumulation</t>
        </is>
      </c>
      <c r="S19" s="30" t="inlineStr">
        <is>
          <t>Nifty Bank</t>
        </is>
      </c>
      <c r="T19" s="31" t="n">
        <v>2.19</v>
      </c>
      <c r="U19" s="31" t="n">
        <v>27.8</v>
      </c>
      <c r="V19" s="31" t="n">
        <v>25.07</v>
      </c>
      <c r="W19" s="31" t="n">
        <v>6.87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0 to 20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IF(B20=0,"",RANK(B20,$B$2:$B$22,0))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MCX</t>
        </is>
      </c>
      <c r="D20" s="30" t="inlineStr">
        <is>
          <t>Multi Commodity Exchange Of India Limited</t>
        </is>
      </c>
      <c r="E20" s="30" t="inlineStr">
        <is>
          <t>financials</t>
        </is>
      </c>
      <c r="F20" s="30" t="inlineStr">
        <is>
          <t>miscellaneous</t>
        </is>
      </c>
      <c r="G20" s="30" t="inlineStr">
        <is>
          <t>largecap</t>
        </is>
      </c>
      <c r="H20" s="31" t="n">
        <v>87403.55</v>
      </c>
      <c r="I20" s="31" t="n">
        <v>3324.9</v>
      </c>
      <c r="J20" s="31" t="n">
        <v>-3</v>
      </c>
      <c r="K20" s="31" t="n">
        <v>2386852</v>
      </c>
      <c r="L20" s="30" t="n">
        <v>60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68.04000000000001</v>
      </c>
      <c r="P20" s="31" t="n">
        <v>23.12</v>
      </c>
      <c r="Q20" s="31" t="n">
        <v>2642.67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2.19</v>
      </c>
      <c r="U20" s="31" t="n">
        <v>110.41</v>
      </c>
      <c r="V20" s="31" t="n">
        <v>105.9</v>
      </c>
      <c r="W20" s="31" t="n">
        <v>20.3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above 5x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Negative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IF(B21=0,"",RANK(B21,$B$2:$B$22,0))</f>
        <v/>
      </c>
      <c r="B21" s="31">
        <f>SUM(N21,Y21,AA21,AC21,AE21,AG21,AI21,AK21,AM21,AO21,AQ21,AS21,AU21,AW21,AY21,BA21,BC21,BE21,BG21,BI21,BK21,BM21,BO21,BQ21,BS21,BU21,BW21,BY21,CA21)</f>
        <v/>
      </c>
      <c r="C21" s="32" t="inlineStr">
        <is>
          <t>AIIL</t>
        </is>
      </c>
      <c r="D21" s="32" t="inlineStr">
        <is>
          <t>Authum Investment &amp; Infrastructure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largecap</t>
        </is>
      </c>
      <c r="H21" s="31" t="n">
        <v>46843.28</v>
      </c>
      <c r="I21" s="31" t="n">
        <v>559.6</v>
      </c>
      <c r="J21" s="31" t="n">
        <v>1.45</v>
      </c>
      <c r="K21" s="31" t="n">
        <v>338399</v>
      </c>
      <c r="L21" s="30" t="n">
        <v>3</v>
      </c>
      <c r="M21" s="30" t="inlineStr">
        <is>
          <t>Underperforming</t>
        </is>
      </c>
      <c r="N21" s="31">
        <f>IF(M21="Underperforming",-5,IF(L21&gt;=95,15,IF(L21&gt;=90,10,IF(L21&gt;=80,5,0))))</f>
        <v/>
      </c>
      <c r="O21" s="31" t="n">
        <v>54.6</v>
      </c>
      <c r="P21" s="31" t="n">
        <v>17.77</v>
      </c>
      <c r="Q21" s="31" t="n">
        <v>446.45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2.19</v>
      </c>
      <c r="U21" s="31" t="n">
        <v>-5.65</v>
      </c>
      <c r="V21" s="31" t="n">
        <v>-7.67</v>
      </c>
      <c r="W21" s="31" t="n">
        <v>0.83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less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0 to 20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IF(B22=0,"",RANK(B22,$B$2:$B$22,0))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MOTILALOFS</t>
        </is>
      </c>
      <c r="D22" s="30" t="inlineStr">
        <is>
          <t>Motilal Oswal Financial Services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largecap</t>
        </is>
      </c>
      <c r="H22" s="31" t="n">
        <v>61539.39</v>
      </c>
      <c r="I22" s="31" t="n">
        <v>1029</v>
      </c>
      <c r="J22" s="31" t="n">
        <v>0.68</v>
      </c>
      <c r="K22" s="31" t="n">
        <v>866039</v>
      </c>
      <c r="L22" s="30" t="n">
        <v>18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63.38</v>
      </c>
      <c r="P22" s="31" t="n">
        <v>18.85</v>
      </c>
      <c r="Q22" s="31" t="n">
        <v>843.6900000000001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2.19</v>
      </c>
      <c r="U22" s="31" t="n">
        <v>13.9</v>
      </c>
      <c r="V22" s="31" t="n">
        <v>11.46</v>
      </c>
      <c r="W22" s="31" t="n">
        <v>6.38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Negative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</sheetData>
  <autoFilter ref="A1:CA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2">
    <cfRule type="cellIs" priority="34" operator="equal" dxfId="3" stopIfTrue="1">
      <formula>"Underperforming"</formula>
    </cfRule>
  </conditionalFormatting>
  <conditionalFormatting sqref="N2:N22">
    <cfRule type="cellIs" priority="35" operator="equal" dxfId="3" stopIfTrue="1">
      <formula>-5</formula>
    </cfRule>
  </conditionalFormatting>
  <conditionalFormatting sqref="Q2:Q2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2" showDropDown="0" showInputMessage="0" showErrorMessage="0" allowBlank="1" type="list">
      <formula1>"Growing Industry,Stagnant Industry,Cyclical in an Upturn"</formula1>
    </dataValidation>
    <dataValidation sqref="Z2:Z22" showDropDown="0" showInputMessage="0" showErrorMessage="0" allowBlank="1" type="list">
      <formula1>"Fragmented with Low ROE,Fragmented with High ROE,Highly Cyclical"</formula1>
    </dataValidation>
    <dataValidation sqref="AB2:AB22" showDropDown="0" showInputMessage="0" showErrorMessage="0" allowBlank="1" type="list">
      <formula1>"Yes,No"</formula1>
    </dataValidation>
    <dataValidation sqref="AD2:AD22" showDropDown="0" showInputMessage="0" showErrorMessage="0" allowBlank="1" type="list">
      <formula1>"Tailwind,Headwind"</formula1>
    </dataValidation>
    <dataValidation sqref="AF2:AF2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2" showDropDown="0" showInputMessage="0" showErrorMessage="0" allowBlank="1" type="list">
      <formula1>"Yes,No"</formula1>
    </dataValidation>
    <dataValidation sqref="AJ2:AJ22" showDropDown="0" showInputMessage="0" showErrorMessage="0" allowBlank="1" type="list">
      <formula1>"Yes,No,Not Applicable"</formula1>
    </dataValidation>
    <dataValidation sqref="AL2:AL22" showDropDown="0" showInputMessage="0" showErrorMessage="0" allowBlank="1" type="list">
      <formula1>"Yes,No"</formula1>
    </dataValidation>
    <dataValidation sqref="AN2:AN22" showDropDown="0" showInputMessage="0" showErrorMessage="0" allowBlank="1" type="list">
      <formula1>"Yes,No"</formula1>
    </dataValidation>
    <dataValidation sqref="AP2:AP22" showDropDown="0" showInputMessage="0" showErrorMessage="0" allowBlank="1" type="list">
      <formula1>"Yes,No"</formula1>
    </dataValidation>
    <dataValidation sqref="AR2:AR22" showDropDown="0" showInputMessage="0" showErrorMessage="0" allowBlank="1" type="list">
      <formula1>"Yes,No"</formula1>
    </dataValidation>
    <dataValidation sqref="AT2:AT22" showDropDown="0" showInputMessage="0" showErrorMessage="0" allowBlank="1" type="list">
      <formula1>"No,Yes"</formula1>
    </dataValidation>
    <dataValidation sqref="AV2:AV22" showDropDown="0" showInputMessage="0" showErrorMessage="0" allowBlank="1" type="list">
      <formula1>"No,Yes"</formula1>
    </dataValidation>
    <dataValidation sqref="AX2:AX22" showDropDown="0" showInputMessage="0" showErrorMessage="0" allowBlank="1" type="list">
      <formula1>"No,Yes CEO Resignation,Yes CEO Retirement"</formula1>
    </dataValidation>
    <dataValidation sqref="AZ2:AZ22" showDropDown="0" showInputMessage="0" showErrorMessage="0" allowBlank="1" type="list">
      <formula1>"No,Yes"</formula1>
    </dataValidation>
    <dataValidation sqref="BB2:BB22" showDropDown="0" showInputMessage="0" showErrorMessage="0" allowBlank="1" type="list">
      <formula1>"No,Yes"</formula1>
    </dataValidation>
    <dataValidation sqref="BD2:BD22" showDropDown="0" showInputMessage="0" showErrorMessage="0" allowBlank="1" type="list">
      <formula1>"Yes,No"</formula1>
    </dataValidation>
    <dataValidation sqref="BF2:BF22" showDropDown="0" showInputMessage="0" showErrorMessage="0" allowBlank="1" type="list">
      <formula1>"Yes,No"</formula1>
    </dataValidation>
    <dataValidation sqref="BH2:BH22" showDropDown="0" showInputMessage="0" showErrorMessage="0" allowBlank="1" type="list">
      <formula1>"Yes,No"</formula1>
    </dataValidation>
    <dataValidation sqref="BJ2:BJ2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2" showDropDown="0" showInputMessage="0" showErrorMessage="0" allowBlank="1" type="list">
      <formula1>"Above 40,20 to 40,0 to 20"</formula1>
    </dataValidation>
    <dataValidation sqref="BN2:BN22" showDropDown="0" showInputMessage="0" showErrorMessage="0" allowBlank="1" type="list">
      <formula1>"Between 50 to 75,Above 75,Below 45"</formula1>
    </dataValidation>
    <dataValidation sqref="BP2:BP22" showDropDown="0" showInputMessage="0" showErrorMessage="0" allowBlank="1" type="list">
      <formula1>"Stage 1,Stage 2,Stage 3,Stage 4"</formula1>
    </dataValidation>
    <dataValidation sqref="BR2:BR22" showDropDown="0" showInputMessage="0" showErrorMessage="0" allowBlank="1" type="list">
      <formula1>"Positive Trend,Negative Trend"</formula1>
    </dataValidation>
    <dataValidation sqref="BT2:BT22" showDropDown="0" showInputMessage="0" showErrorMessage="0" allowBlank="1" type="list">
      <formula1>"Uptrend,Sideways,Downtrend"</formula1>
    </dataValidation>
    <dataValidation sqref="BV2:BV22" showDropDown="0" showInputMessage="0" showErrorMessage="0" allowBlank="1" type="list">
      <formula1>"Uptrend,Sideways,Downtrend"</formula1>
    </dataValidation>
    <dataValidation sqref="BX2:BX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138.1</v>
      </c>
      <c r="E2" s="31" t="inlineStr">
        <is>
          <t>5%</t>
        </is>
      </c>
      <c r="F2" s="31" t="n">
        <v>50000</v>
      </c>
      <c r="G2" s="31" t="n">
        <v>37</v>
      </c>
      <c r="H2" s="30" t="inlineStr">
        <is>
          <t>PGIL</t>
        </is>
      </c>
      <c r="I2" s="30" t="inlineStr">
        <is>
          <t>Pearl Global Industries Limited</t>
        </is>
      </c>
      <c r="J2" s="30" t="inlineStr">
        <is>
          <t>readymade garments/apparels</t>
        </is>
      </c>
      <c r="K2" s="30" t="inlineStr">
        <is>
          <t>textiles - products</t>
        </is>
      </c>
      <c r="L2" s="30" t="inlineStr">
        <is>
          <t>midcap</t>
        </is>
      </c>
      <c r="M2" s="31" t="n">
        <v>11765.65</v>
      </c>
      <c r="N2" s="31" t="n">
        <v>1329.1</v>
      </c>
      <c r="O2" s="31" t="n">
        <v>4.36</v>
      </c>
      <c r="P2" s="31" t="n">
        <v>477150</v>
      </c>
      <c r="Q2" s="30" t="n">
        <v>68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72.05</v>
      </c>
      <c r="U2" s="31" t="n">
        <v>59.49</v>
      </c>
      <c r="V2" s="31" t="n">
        <v>1014.98</v>
      </c>
      <c r="W2" s="30" t="inlineStr">
        <is>
          <t>Near 52W High Breakout</t>
        </is>
      </c>
      <c r="X2" s="30" t="inlineStr">
        <is>
          <t>Nifty 50</t>
        </is>
      </c>
      <c r="Y2" s="31" t="n">
        <v>-6.14</v>
      </c>
      <c r="Z2" s="31" t="n">
        <v>109.45</v>
      </c>
      <c r="AA2" s="31" t="n">
        <v>123.16</v>
      </c>
      <c r="AB2" s="31" t="n">
        <v>23.69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138.9</v>
      </c>
      <c r="E3" s="31" t="inlineStr">
        <is>
          <t>5%</t>
        </is>
      </c>
      <c r="F3" s="31" t="n">
        <v>50000</v>
      </c>
      <c r="G3" s="31" t="n">
        <v>507</v>
      </c>
      <c r="H3" s="30" t="inlineStr">
        <is>
          <t>LLOYDSENGG</t>
        </is>
      </c>
      <c r="I3" s="30" t="inlineStr">
        <is>
          <t>Lloyds Engineering Works Ltd</t>
        </is>
      </c>
      <c r="J3" s="30" t="inlineStr">
        <is>
          <t>industrials</t>
        </is>
      </c>
      <c r="K3" s="30" t="inlineStr">
        <is>
          <t>engineering</t>
        </is>
      </c>
      <c r="L3" s="30" t="inlineStr">
        <is>
          <t>midcap</t>
        </is>
      </c>
      <c r="M3" s="31" t="n">
        <v>14100.49</v>
      </c>
      <c r="N3" s="31" t="n">
        <v>98.56</v>
      </c>
      <c r="O3" s="31" t="n">
        <v>8.41</v>
      </c>
      <c r="P3" s="31" t="n">
        <v>60674433</v>
      </c>
      <c r="Q3" s="30" t="n">
        <v>66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69.09</v>
      </c>
      <c r="U3" s="31" t="n">
        <v>45.79</v>
      </c>
      <c r="V3" s="31" t="n">
        <v>74.23</v>
      </c>
      <c r="W3" s="30" t="inlineStr">
        <is>
          <t>Volume Spike &amp; Near 52W High Breakout</t>
        </is>
      </c>
      <c r="X3" s="30" t="inlineStr">
        <is>
          <t>Nifty 50</t>
        </is>
      </c>
      <c r="Y3" s="31" t="n">
        <v>-6.14</v>
      </c>
      <c r="Z3" s="31" t="n">
        <v>67.43000000000001</v>
      </c>
      <c r="AA3" s="31" t="n">
        <v>78.38</v>
      </c>
      <c r="AB3" s="31" t="n">
        <v>22.99</v>
      </c>
      <c r="AC3" s="30" t="inlineStr">
        <is>
          <t>Cyclical in an Upturn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137.8</v>
      </c>
      <c r="E4" s="31" t="inlineStr">
        <is>
          <t>5%</t>
        </is>
      </c>
      <c r="F4" s="31" t="n">
        <v>50000</v>
      </c>
      <c r="G4" s="31" t="n">
        <v>153</v>
      </c>
      <c r="H4" s="30" t="inlineStr">
        <is>
          <t>SHANTIGOLD</t>
        </is>
      </c>
      <c r="I4" s="30" t="inlineStr">
        <is>
          <t>Shanti Gold International Ltd</t>
        </is>
      </c>
      <c r="J4" s="30" t="inlineStr">
        <is>
          <t>consumer discretionary</t>
        </is>
      </c>
      <c r="K4" s="30" t="inlineStr">
        <is>
          <t>diamond cutting / jewellery</t>
        </is>
      </c>
      <c r="L4" s="30" t="inlineStr">
        <is>
          <t>smallcap</t>
        </is>
      </c>
      <c r="M4" s="31" t="n">
        <v>2176.48</v>
      </c>
      <c r="N4" s="31" t="n">
        <v>325.68</v>
      </c>
      <c r="O4" s="31" t="n">
        <v>14.83</v>
      </c>
      <c r="P4" s="31" t="n">
        <v>36407266</v>
      </c>
      <c r="Q4" s="30" t="n">
        <v>61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74.25</v>
      </c>
      <c r="U4" s="31" t="n">
        <v>39.2</v>
      </c>
      <c r="V4" s="31" t="n">
        <v>241.29</v>
      </c>
      <c r="W4" s="30" t="inlineStr">
        <is>
          <t>Volume Spike &amp; Near 52W High Breakout</t>
        </is>
      </c>
      <c r="X4" s="30" t="inlineStr">
        <is>
          <t>Nifty 50</t>
        </is>
      </c>
      <c r="Y4" s="31" t="n">
        <v>-6.14</v>
      </c>
      <c r="Z4" s="31" t="n">
        <v>49.17</v>
      </c>
      <c r="AA4" s="31" t="n">
        <v>58.93</v>
      </c>
      <c r="AB4" s="31" t="n">
        <v>20.46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20 to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140</v>
      </c>
      <c r="E5" s="31" t="inlineStr">
        <is>
          <t>5%</t>
        </is>
      </c>
      <c r="F5" s="31" t="n">
        <v>50000</v>
      </c>
      <c r="G5" s="31" t="n">
        <v>59</v>
      </c>
      <c r="H5" s="30" t="inlineStr">
        <is>
          <t>KABRAEXTRU</t>
        </is>
      </c>
      <c r="I5" s="30" t="inlineStr">
        <is>
          <t>Kabra Extrusion Technik Limited</t>
        </is>
      </c>
      <c r="J5" s="30" t="inlineStr">
        <is>
          <t>industrials</t>
        </is>
      </c>
      <c r="K5" s="30" t="inlineStr">
        <is>
          <t>engineering</t>
        </is>
      </c>
      <c r="L5" s="30" t="inlineStr">
        <is>
          <t>smallcap</t>
        </is>
      </c>
      <c r="M5" s="31" t="n">
        <v>2819.16</v>
      </c>
      <c r="N5" s="31" t="n">
        <v>846.4</v>
      </c>
      <c r="O5" s="31" t="n">
        <v>5</v>
      </c>
      <c r="P5" s="31" t="n">
        <v>454583</v>
      </c>
      <c r="Q5" s="30" t="n">
        <v>99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86.12</v>
      </c>
      <c r="U5" s="31" t="n">
        <v>66.29000000000001</v>
      </c>
      <c r="V5" s="31" t="n">
        <v>637.08</v>
      </c>
      <c r="W5" s="30" t="inlineStr">
        <is>
          <t>Near 52W High Breakout</t>
        </is>
      </c>
      <c r="X5" s="30" t="inlineStr">
        <is>
          <t>Nifty 50</t>
        </is>
      </c>
      <c r="Y5" s="31" t="n">
        <v>-6.14</v>
      </c>
      <c r="Z5" s="31" t="n">
        <v>223.36</v>
      </c>
      <c r="AA5" s="31" t="n">
        <v>244.52</v>
      </c>
      <c r="AB5" s="31" t="n">
        <v>98.06</v>
      </c>
      <c r="AC5" s="30" t="inlineStr">
        <is>
          <t>Cyclical in an Upturn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139.3</v>
      </c>
      <c r="E6" s="31" t="inlineStr">
        <is>
          <t>5%</t>
        </is>
      </c>
      <c r="F6" s="31" t="n">
        <v>50000</v>
      </c>
      <c r="G6" s="31" t="n">
        <v>251</v>
      </c>
      <c r="H6" s="30" t="inlineStr">
        <is>
          <t>KANORICHEM</t>
        </is>
      </c>
      <c r="I6" s="30" t="inlineStr">
        <is>
          <t>Kanoria Chemicals &amp; Industries Limited</t>
        </is>
      </c>
      <c r="J6" s="30" t="inlineStr">
        <is>
          <t>chemicals</t>
        </is>
      </c>
      <c r="K6" s="30" t="inlineStr">
        <is>
          <t>chemicals</t>
        </is>
      </c>
      <c r="L6" s="30" t="inlineStr">
        <is>
          <t>smallcap</t>
        </is>
      </c>
      <c r="M6" s="31" t="n">
        <v>835.98</v>
      </c>
      <c r="N6" s="31" t="n">
        <v>198.55</v>
      </c>
      <c r="O6" s="31" t="n">
        <v>3.77</v>
      </c>
      <c r="P6" s="31" t="n">
        <v>67459</v>
      </c>
      <c r="Q6" s="30" t="n">
        <v>89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80.54000000000001</v>
      </c>
      <c r="U6" s="31" t="n">
        <v>70.93000000000001</v>
      </c>
      <c r="V6" s="31" t="n">
        <v>148.84</v>
      </c>
      <c r="W6" s="30" t="inlineStr">
        <is>
          <t>Near 52W High Breakout</t>
        </is>
      </c>
      <c r="X6" s="30" t="inlineStr">
        <is>
          <t>Nifty 50</t>
        </is>
      </c>
      <c r="Y6" s="31" t="n">
        <v>-6.14</v>
      </c>
      <c r="Z6" s="31" t="n">
        <v>146.95</v>
      </c>
      <c r="AA6" s="31" t="n">
        <v>163.11</v>
      </c>
      <c r="AB6" s="31" t="n">
        <v>39.19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138.3</v>
      </c>
      <c r="E7" s="31" t="inlineStr">
        <is>
          <t>5%</t>
        </is>
      </c>
      <c r="F7" s="31" t="n">
        <v>50000</v>
      </c>
      <c r="G7" s="31" t="n">
        <v>28</v>
      </c>
      <c r="H7" s="30" t="inlineStr">
        <is>
          <t>AETHER</t>
        </is>
      </c>
      <c r="I7" s="30" t="inlineStr">
        <is>
          <t>Aether Industries Ltd</t>
        </is>
      </c>
      <c r="J7" s="30" t="inlineStr">
        <is>
          <t>chemicals</t>
        </is>
      </c>
      <c r="K7" s="30" t="inlineStr">
        <is>
          <t>chemicals</t>
        </is>
      </c>
      <c r="L7" s="30" t="inlineStr">
        <is>
          <t>largecap</t>
        </is>
      </c>
      <c r="M7" s="31" t="n">
        <v>21847.14</v>
      </c>
      <c r="N7" s="31" t="n">
        <v>1767</v>
      </c>
      <c r="O7" s="31" t="n">
        <v>7.34</v>
      </c>
      <c r="P7" s="31" t="n">
        <v>1686153</v>
      </c>
      <c r="Q7" s="30" t="n">
        <v>75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73.65000000000001</v>
      </c>
      <c r="U7" s="31" t="n">
        <v>60.22</v>
      </c>
      <c r="V7" s="31" t="n">
        <v>1423.38</v>
      </c>
      <c r="W7" s="30" t="inlineStr">
        <is>
          <t>Near 52W High Breakout</t>
        </is>
      </c>
      <c r="X7" s="30" t="inlineStr">
        <is>
          <t>Nifty 50</t>
        </is>
      </c>
      <c r="Y7" s="31" t="n">
        <v>-6.14</v>
      </c>
      <c r="Z7" s="31" t="n">
        <v>140.51</v>
      </c>
      <c r="AA7" s="31" t="n">
        <v>156.24</v>
      </c>
      <c r="AB7" s="31" t="n">
        <v>26.68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138.1</v>
      </c>
      <c r="E8" s="31" t="inlineStr">
        <is>
          <t>5%</t>
        </is>
      </c>
      <c r="F8" s="31" t="n">
        <v>50000</v>
      </c>
      <c r="G8" s="31" t="n">
        <v>247</v>
      </c>
      <c r="H8" s="30" t="inlineStr">
        <is>
          <t>BODALCHEM</t>
        </is>
      </c>
      <c r="I8" s="30" t="inlineStr">
        <is>
          <t>Bodal Chemicals Limited</t>
        </is>
      </c>
      <c r="J8" s="30" t="inlineStr">
        <is>
          <t>chemicals</t>
        </is>
      </c>
      <c r="K8" s="30" t="inlineStr">
        <is>
          <t>dyes and pigments</t>
        </is>
      </c>
      <c r="L8" s="30" t="inlineStr">
        <is>
          <t>smallcap</t>
        </is>
      </c>
      <c r="M8" s="31" t="n">
        <v>2456.92</v>
      </c>
      <c r="N8" s="31" t="n">
        <v>202.02</v>
      </c>
      <c r="O8" s="31" t="n">
        <v>3.56</v>
      </c>
      <c r="P8" s="31" t="n">
        <v>1397350</v>
      </c>
      <c r="Q8" s="30" t="n">
        <v>98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91.14</v>
      </c>
      <c r="U8" s="31" t="n">
        <v>44.72</v>
      </c>
      <c r="V8" s="31" t="n">
        <v>159.36</v>
      </c>
      <c r="W8" s="30" t="inlineStr">
        <is>
          <t>Near 52W High Breakout</t>
        </is>
      </c>
      <c r="X8" s="30" t="inlineStr">
        <is>
          <t>Nifty 50</t>
        </is>
      </c>
      <c r="Y8" s="31" t="n">
        <v>-6.14</v>
      </c>
      <c r="Z8" s="31" t="n">
        <v>221.69</v>
      </c>
      <c r="AA8" s="31" t="n">
        <v>242.74</v>
      </c>
      <c r="AB8" s="31" t="n">
        <v>83.48999999999999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Between 0.7 to 1.2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140</v>
      </c>
      <c r="E9" s="31" t="inlineStr">
        <is>
          <t>5%</t>
        </is>
      </c>
      <c r="F9" s="31" t="n">
        <v>50000</v>
      </c>
      <c r="G9" s="31" t="n">
        <v>1586</v>
      </c>
      <c r="H9" s="30" t="inlineStr">
        <is>
          <t>AHCL</t>
        </is>
      </c>
      <c r="I9" s="30" t="inlineStr">
        <is>
          <t>Anlon Healthcare Ltd</t>
        </is>
      </c>
      <c r="J9" s="30" t="inlineStr">
        <is>
          <t>healthcare</t>
        </is>
      </c>
      <c r="K9" s="30" t="inlineStr">
        <is>
          <t>pharmaceuticals - indian - bulk drugs &amp; formln</t>
        </is>
      </c>
      <c r="L9" s="30" t="inlineStr">
        <is>
          <t>smallcap</t>
        </is>
      </c>
      <c r="M9" s="31" t="n">
        <v>1522.79</v>
      </c>
      <c r="N9" s="31" t="n">
        <v>31.51</v>
      </c>
      <c r="O9" s="31" t="n">
        <v>9.98</v>
      </c>
      <c r="P9" s="31" t="n">
        <v>80210539</v>
      </c>
      <c r="Q9" s="30" t="n">
        <v>91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87.42</v>
      </c>
      <c r="U9" s="31" t="n">
        <v>44.75</v>
      </c>
      <c r="V9" s="31" t="n">
        <v>24.35</v>
      </c>
      <c r="W9" s="30" t="inlineStr">
        <is>
          <t>Volume Spike &amp; Near 52W High Breakout</t>
        </is>
      </c>
      <c r="X9" s="30" t="inlineStr">
        <is>
          <t>Nifty Pharma</t>
        </is>
      </c>
      <c r="Y9" s="31" t="n">
        <v>25.55</v>
      </c>
      <c r="Z9" s="31" t="n">
        <v>144.89</v>
      </c>
      <c r="AA9" s="31" t="n">
        <v>95.05</v>
      </c>
      <c r="AB9" s="31" t="n">
        <v>44.02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139.1</v>
      </c>
      <c r="E10" s="31" t="inlineStr">
        <is>
          <t>5%</t>
        </is>
      </c>
      <c r="F10" s="31" t="n">
        <v>50000</v>
      </c>
      <c r="G10" s="31" t="n">
        <v>10</v>
      </c>
      <c r="H10" s="30" t="inlineStr">
        <is>
          <t>SHRIPISTON</t>
        </is>
      </c>
      <c r="I10" s="30" t="inlineStr">
        <is>
          <t>Shriram Pistons &amp; Rings Limited</t>
        </is>
      </c>
      <c r="J10" s="30" t="inlineStr">
        <is>
          <t>auto</t>
        </is>
      </c>
      <c r="K10" s="30" t="inlineStr">
        <is>
          <t>auto ancillaries</t>
        </is>
      </c>
      <c r="L10" s="30" t="inlineStr">
        <is>
          <t>largecap</t>
        </is>
      </c>
      <c r="M10" s="31" t="n">
        <v>20997.67</v>
      </c>
      <c r="N10" s="31" t="n">
        <v>4746.8</v>
      </c>
      <c r="O10" s="31" t="n">
        <v>4.86</v>
      </c>
      <c r="P10" s="31" t="n">
        <v>110008</v>
      </c>
      <c r="Q10" s="30" t="inlineStr"/>
      <c r="R10" s="30" t="inlineStr"/>
      <c r="S10" s="31">
        <f>IF(R10="Underperforming",-5,IF(Q10&gt;=95,15,IF(Q10&gt;=90,10,IF(Q10&gt;=80,5,0))))</f>
        <v/>
      </c>
      <c r="T10" s="31" t="n">
        <v>72.55</v>
      </c>
      <c r="U10" s="31" t="n">
        <v>58.32</v>
      </c>
      <c r="V10" s="31" t="n">
        <v>3837.06</v>
      </c>
      <c r="W10" s="30" t="inlineStr">
        <is>
          <t>Near 52W High Breakout</t>
        </is>
      </c>
      <c r="X10" s="30" t="inlineStr">
        <is>
          <t>Nifty Auto</t>
        </is>
      </c>
      <c r="Y10" s="31" t="inlineStr"/>
      <c r="Z10" s="31" t="inlineStr"/>
      <c r="AA10" s="31" t="inlineStr"/>
      <c r="AB10" s="31" t="inlineStr"/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Less than 12%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138.3</v>
      </c>
      <c r="E11" s="31" t="inlineStr">
        <is>
          <t>5%</t>
        </is>
      </c>
      <c r="F11" s="31" t="n">
        <v>50000</v>
      </c>
      <c r="G11" s="31" t="n">
        <v>10</v>
      </c>
      <c r="H11" s="30" t="inlineStr">
        <is>
          <t>SANSERA</t>
        </is>
      </c>
      <c r="I11" s="30" t="inlineStr">
        <is>
          <t>Sansera Engineering Ltd</t>
        </is>
      </c>
      <c r="J11" s="30" t="inlineStr">
        <is>
          <t>auto</t>
        </is>
      </c>
      <c r="K11" s="30" t="inlineStr">
        <is>
          <t>auto ancillaries</t>
        </is>
      </c>
      <c r="L11" s="30" t="inlineStr">
        <is>
          <t>largecap</t>
        </is>
      </c>
      <c r="M11" s="31" t="n">
        <v>28740.59</v>
      </c>
      <c r="N11" s="31" t="n">
        <v>4662.4</v>
      </c>
      <c r="O11" s="31" t="n">
        <v>1.23</v>
      </c>
      <c r="P11" s="31" t="n">
        <v>315334</v>
      </c>
      <c r="Q11" s="30" t="inlineStr"/>
      <c r="R11" s="30" t="inlineStr"/>
      <c r="S11" s="31">
        <f>IF(R11="Underperforming",-5,IF(Q11&gt;=95,15,IF(Q11&gt;=90,10,IF(Q11&gt;=80,5,0))))</f>
        <v/>
      </c>
      <c r="T11" s="31" t="n">
        <v>85.69</v>
      </c>
      <c r="U11" s="31" t="n">
        <v>67.64</v>
      </c>
      <c r="V11" s="31" t="n">
        <v>3747.82</v>
      </c>
      <c r="W11" s="30" t="inlineStr">
        <is>
          <t>Volume Spike &amp; Near 52W High Breakout</t>
        </is>
      </c>
      <c r="X11" s="30" t="inlineStr">
        <is>
          <t>Nifty Auto</t>
        </is>
      </c>
      <c r="Y11" s="31" t="inlineStr"/>
      <c r="Z11" s="31" t="inlineStr"/>
      <c r="AA11" s="31" t="inlineStr"/>
      <c r="AB11" s="31" t="inlineStr"/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139.8</v>
      </c>
      <c r="E12" s="31" t="inlineStr">
        <is>
          <t>5%</t>
        </is>
      </c>
      <c r="F12" s="31" t="n">
        <v>50000</v>
      </c>
      <c r="G12" s="31" t="n">
        <v>14</v>
      </c>
      <c r="H12" s="30" t="inlineStr">
        <is>
          <t>SPECTRUM</t>
        </is>
      </c>
      <c r="I12" s="30" t="inlineStr">
        <is>
          <t>Spectrum Electrical Industries Ltd</t>
        </is>
      </c>
      <c r="J12" s="30" t="inlineStr">
        <is>
          <t>industrials</t>
        </is>
      </c>
      <c r="K12" s="30" t="inlineStr">
        <is>
          <t>electric equipment</t>
        </is>
      </c>
      <c r="L12" s="30" t="inlineStr">
        <is>
          <t>midcap</t>
        </is>
      </c>
      <c r="M12" s="31" t="n">
        <v>5735.07</v>
      </c>
      <c r="N12" s="31" t="n">
        <v>3518.8</v>
      </c>
      <c r="O12" s="31" t="n">
        <v>4.84</v>
      </c>
      <c r="P12" s="31" t="n">
        <v>16796</v>
      </c>
      <c r="Q12" s="30" t="n">
        <v>92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82.51000000000001</v>
      </c>
      <c r="U12" s="31" t="n">
        <v>62.86</v>
      </c>
      <c r="V12" s="31" t="n">
        <v>2648.74</v>
      </c>
      <c r="W12" s="30" t="inlineStr">
        <is>
          <t>Near 52W High Breakout</t>
        </is>
      </c>
      <c r="X12" s="30" t="inlineStr">
        <is>
          <t>Nifty 50</t>
        </is>
      </c>
      <c r="Y12" s="31" t="n">
        <v>-6.14</v>
      </c>
      <c r="Z12" s="31" t="n">
        <v>156.12</v>
      </c>
      <c r="AA12" s="31" t="n">
        <v>172.88</v>
      </c>
      <c r="AB12" s="31" t="n">
        <v>44.93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139.8</v>
      </c>
      <c r="E13" s="31" t="inlineStr">
        <is>
          <t>5%</t>
        </is>
      </c>
      <c r="F13" s="31" t="n">
        <v>50000</v>
      </c>
      <c r="G13" s="31" t="n">
        <v>66</v>
      </c>
      <c r="H13" s="30" t="inlineStr">
        <is>
          <t>SHREEJISPG</t>
        </is>
      </c>
      <c r="I13" s="30" t="inlineStr">
        <is>
          <t>Shreeji Shipping Global Ltd</t>
        </is>
      </c>
      <c r="J13" s="30" t="inlineStr">
        <is>
          <t>transportation</t>
        </is>
      </c>
      <c r="K13" s="30" t="inlineStr">
        <is>
          <t>shipping</t>
        </is>
      </c>
      <c r="L13" s="30" t="inlineStr">
        <is>
          <t>midcap</t>
        </is>
      </c>
      <c r="M13" s="31" t="n">
        <v>11809.13</v>
      </c>
      <c r="N13" s="31" t="n">
        <v>752.45</v>
      </c>
      <c r="O13" s="31" t="n">
        <v>3.81</v>
      </c>
      <c r="P13" s="31" t="n">
        <v>1197147</v>
      </c>
      <c r="Q13" s="30" t="n">
        <v>88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82.17</v>
      </c>
      <c r="U13" s="31" t="n">
        <v>56.35</v>
      </c>
      <c r="V13" s="31" t="n">
        <v>621.16</v>
      </c>
      <c r="W13" s="30" t="inlineStr">
        <is>
          <t>Near 52W High Breakout</t>
        </is>
      </c>
      <c r="X13" s="30" t="inlineStr">
        <is>
          <t>Nifty 50</t>
        </is>
      </c>
      <c r="Y13" s="31" t="n">
        <v>-6.14</v>
      </c>
      <c r="Z13" s="31" t="n">
        <v>206.27</v>
      </c>
      <c r="AA13" s="31" t="n">
        <v>226.31</v>
      </c>
      <c r="AB13" s="31" t="n">
        <v>38.64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138.9</v>
      </c>
      <c r="E14" s="31" t="inlineStr">
        <is>
          <t>5%</t>
        </is>
      </c>
      <c r="F14" s="31" t="n">
        <v>50000</v>
      </c>
      <c r="G14" s="31" t="n">
        <v>73</v>
      </c>
      <c r="H14" s="30" t="inlineStr">
        <is>
          <t>NRAIL</t>
        </is>
      </c>
      <c r="I14" s="30" t="inlineStr">
        <is>
          <t>N R Agarwal Industries Ltd</t>
        </is>
      </c>
      <c r="J14" s="30" t="inlineStr">
        <is>
          <t>building materials</t>
        </is>
      </c>
      <c r="K14" s="30" t="inlineStr">
        <is>
          <t>paper</t>
        </is>
      </c>
      <c r="L14" s="30" t="inlineStr">
        <is>
          <t>smallcap</t>
        </is>
      </c>
      <c r="M14" s="31" t="n">
        <v>1085.39</v>
      </c>
      <c r="N14" s="31" t="n">
        <v>677.25</v>
      </c>
      <c r="O14" s="31" t="n">
        <v>6.19</v>
      </c>
      <c r="P14" s="31" t="n">
        <v>24892</v>
      </c>
      <c r="Q14" s="30" t="inlineStr"/>
      <c r="R14" s="30" t="inlineStr"/>
      <c r="S14" s="31">
        <f>IF(R14="Underperforming",-5,IF(Q14&gt;=95,15,IF(Q14&gt;=90,10,IF(Q14&gt;=80,5,0))))</f>
        <v/>
      </c>
      <c r="T14" s="31" t="n">
        <v>72.77</v>
      </c>
      <c r="U14" s="31" t="n">
        <v>38.89</v>
      </c>
      <c r="V14" s="31" t="n">
        <v>500.03</v>
      </c>
      <c r="W14" s="30" t="inlineStr">
        <is>
          <t>Near 52W High Breakout</t>
        </is>
      </c>
      <c r="X14" s="30" t="inlineStr">
        <is>
          <t>Nifty Infra</t>
        </is>
      </c>
      <c r="Y14" s="31" t="inlineStr"/>
      <c r="Z14" s="31" t="inlineStr"/>
      <c r="AA14" s="31" t="inlineStr"/>
      <c r="AB14" s="31" t="inlineStr"/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</v>
      </c>
      <c r="E15" s="31" t="inlineStr">
        <is>
          <t>5%</t>
        </is>
      </c>
      <c r="F15" s="31" t="n">
        <v>50000</v>
      </c>
      <c r="G15" s="31" t="n">
        <v>158</v>
      </c>
      <c r="H15" s="30" t="inlineStr">
        <is>
          <t>ENGINERSIN</t>
        </is>
      </c>
      <c r="I15" s="30" t="inlineStr">
        <is>
          <t>Engineers India Limited</t>
        </is>
      </c>
      <c r="J15" s="30" t="inlineStr">
        <is>
          <t>realty</t>
        </is>
      </c>
      <c r="K15" s="30" t="inlineStr">
        <is>
          <t>engineering - turnkey services</t>
        </is>
      </c>
      <c r="L15" s="30" t="inlineStr">
        <is>
          <t>midcap</t>
        </is>
      </c>
      <c r="M15" s="31" t="n">
        <v>16672.99</v>
      </c>
      <c r="N15" s="31" t="n">
        <v>315.65</v>
      </c>
      <c r="O15" s="31" t="n">
        <v>6.4</v>
      </c>
      <c r="P15" s="31" t="n">
        <v>19615591</v>
      </c>
      <c r="Q15" s="30" t="inlineStr"/>
      <c r="R15" s="30" t="inlineStr"/>
      <c r="S15" s="31">
        <f>IF(R15="Underperforming",-5,IF(Q15&gt;=95,15,IF(Q15&gt;=90,10,IF(Q15&gt;=80,5,0))))</f>
        <v/>
      </c>
      <c r="T15" s="31" t="n">
        <v>73.16</v>
      </c>
      <c r="U15" s="31" t="n">
        <v>18.55</v>
      </c>
      <c r="V15" s="31" t="n">
        <v>250.81</v>
      </c>
      <c r="W15" s="30" t="inlineStr">
        <is>
          <t>Volume Spike &amp; Near 52W High Breakout</t>
        </is>
      </c>
      <c r="X15" s="30" t="inlineStr">
        <is>
          <t>Nifty Realty</t>
        </is>
      </c>
      <c r="Y15" s="31" t="inlineStr"/>
      <c r="Z15" s="31" t="inlineStr"/>
      <c r="AA15" s="31" t="inlineStr"/>
      <c r="AB15" s="31" t="inlineStr"/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0 to 20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</v>
      </c>
      <c r="E16" s="31" t="inlineStr">
        <is>
          <t>5%</t>
        </is>
      </c>
      <c r="F16" s="31" t="n">
        <v>50000</v>
      </c>
      <c r="G16" s="31" t="n">
        <v>3</v>
      </c>
      <c r="H16" s="30" t="inlineStr">
        <is>
          <t>DYNAMATECH</t>
        </is>
      </c>
      <c r="I16" s="30" t="inlineStr">
        <is>
          <t>Dynamatic Technologies Limited</t>
        </is>
      </c>
      <c r="J16" s="30" t="inlineStr">
        <is>
          <t>aerospace &amp; defence</t>
        </is>
      </c>
      <c r="K16" s="30" t="inlineStr">
        <is>
          <t>engineering</t>
        </is>
      </c>
      <c r="L16" s="30" t="inlineStr">
        <is>
          <t>midcap</t>
        </is>
      </c>
      <c r="M16" s="31" t="n">
        <v>8523.940000000001</v>
      </c>
      <c r="N16" s="31" t="n">
        <v>13153</v>
      </c>
      <c r="O16" s="31" t="n">
        <v>4.8</v>
      </c>
      <c r="P16" s="31" t="n">
        <v>38127</v>
      </c>
      <c r="Q16" s="30" t="n">
        <v>61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67.95999999999999</v>
      </c>
      <c r="U16" s="31" t="n">
        <v>26.55</v>
      </c>
      <c r="V16" s="31" t="n">
        <v>10002.16</v>
      </c>
      <c r="W16" s="30" t="inlineStr">
        <is>
          <t>Volume Spike &amp; Near 52W High Breakout</t>
        </is>
      </c>
      <c r="X16" s="30" t="inlineStr">
        <is>
          <t>Nifty 50</t>
        </is>
      </c>
      <c r="Y16" s="31" t="n">
        <v>-6.14</v>
      </c>
      <c r="Z16" s="31" t="n">
        <v>90.11</v>
      </c>
      <c r="AA16" s="31" t="n">
        <v>102.55</v>
      </c>
      <c r="AB16" s="31" t="n">
        <v>20.62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Between 0.7 to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138.4</v>
      </c>
      <c r="E17" s="31" t="inlineStr">
        <is>
          <t>5%</t>
        </is>
      </c>
      <c r="F17" s="31" t="n">
        <v>50000</v>
      </c>
      <c r="G17" s="31" t="n">
        <v>314</v>
      </c>
      <c r="H17" s="30" t="inlineStr">
        <is>
          <t>SAMBHV</t>
        </is>
      </c>
      <c r="I17" s="30" t="inlineStr">
        <is>
          <t>Sambhv Steel Tubes Ltd</t>
        </is>
      </c>
      <c r="J17" s="30" t="inlineStr">
        <is>
          <t>metals &amp; mining</t>
        </is>
      </c>
      <c r="K17" s="30" t="inlineStr">
        <is>
          <t>steel - medium / small</t>
        </is>
      </c>
      <c r="L17" s="30" t="inlineStr">
        <is>
          <t>smallcap</t>
        </is>
      </c>
      <c r="M17" s="31" t="n">
        <v>4489.61</v>
      </c>
      <c r="N17" s="31" t="n">
        <v>159.12</v>
      </c>
      <c r="O17" s="31" t="n">
        <v>4.44</v>
      </c>
      <c r="P17" s="31" t="n">
        <v>5127428</v>
      </c>
      <c r="Q17" s="30" t="inlineStr"/>
      <c r="R17" s="30" t="inlineStr"/>
      <c r="S17" s="31">
        <f>IF(R17="Underperforming",-5,IF(Q17&gt;=95,15,IF(Q17&gt;=90,10,IF(Q17&gt;=80,5,0))))</f>
        <v/>
      </c>
      <c r="T17" s="31" t="n">
        <v>78.29000000000001</v>
      </c>
      <c r="U17" s="31" t="n">
        <v>42.09</v>
      </c>
      <c r="V17" s="31" t="n">
        <v>124.44</v>
      </c>
      <c r="W17" s="30" t="inlineStr">
        <is>
          <t>Volume Spike &amp; Near 52W High Breakout</t>
        </is>
      </c>
      <c r="X17" s="30" t="inlineStr">
        <is>
          <t>Nifty Metal</t>
        </is>
      </c>
      <c r="Y17" s="31" t="inlineStr"/>
      <c r="Z17" s="31" t="inlineStr"/>
      <c r="AA17" s="31" t="inlineStr"/>
      <c r="AB17" s="31" t="inlineStr"/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Cyclical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Volatile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138.1</v>
      </c>
      <c r="E18" s="31" t="inlineStr">
        <is>
          <t>5%</t>
        </is>
      </c>
      <c r="F18" s="31" t="n">
        <v>50000</v>
      </c>
      <c r="G18" s="31" t="n">
        <v>49</v>
      </c>
      <c r="H18" s="30" t="inlineStr">
        <is>
          <t>MANINDS</t>
        </is>
      </c>
      <c r="I18" s="30" t="inlineStr">
        <is>
          <t>Man Industries (india) Limited</t>
        </is>
      </c>
      <c r="J18" s="30" t="inlineStr">
        <is>
          <t>metals &amp; mining</t>
        </is>
      </c>
      <c r="K18" s="30" t="inlineStr">
        <is>
          <t>steel - medium / small</t>
        </is>
      </c>
      <c r="L18" s="30" t="inlineStr">
        <is>
          <t>midcap</t>
        </is>
      </c>
      <c r="M18" s="31" t="n">
        <v>7222.3</v>
      </c>
      <c r="N18" s="31" t="n">
        <v>1020.35</v>
      </c>
      <c r="O18" s="31" t="n">
        <v>5.97</v>
      </c>
      <c r="P18" s="31" t="n">
        <v>1762428</v>
      </c>
      <c r="Q18" s="30" t="inlineStr"/>
      <c r="R18" s="30" t="inlineStr"/>
      <c r="S18" s="31">
        <f>IF(R18="Underperforming",-5,IF(Q18&gt;=95,15,IF(Q18&gt;=90,10,IF(Q18&gt;=80,5,0))))</f>
        <v/>
      </c>
      <c r="T18" s="31" t="n">
        <v>83.54000000000001</v>
      </c>
      <c r="U18" s="31" t="n">
        <v>40.79</v>
      </c>
      <c r="V18" s="31" t="n">
        <v>771.15</v>
      </c>
      <c r="W18" s="30" t="inlineStr">
        <is>
          <t>Volume Spike &amp; Near 52W High Breakout</t>
        </is>
      </c>
      <c r="X18" s="30" t="inlineStr">
        <is>
          <t>Nifty Metal</t>
        </is>
      </c>
      <c r="Y18" s="31" t="inlineStr"/>
      <c r="Z18" s="31" t="inlineStr"/>
      <c r="AA18" s="31" t="inlineStr"/>
      <c r="AB18" s="31" t="inlineStr"/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Cyclical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Volatile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Less than 1.5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139.5</v>
      </c>
      <c r="E19" s="31" t="inlineStr">
        <is>
          <t>5%</t>
        </is>
      </c>
      <c r="F19" s="31" t="n">
        <v>50000</v>
      </c>
      <c r="G19" s="31" t="n">
        <v>299</v>
      </c>
      <c r="H19" s="30" t="inlineStr">
        <is>
          <t>MUKANDLTD</t>
        </is>
      </c>
      <c r="I19" s="30" t="inlineStr">
        <is>
          <t>Mukand Limited</t>
        </is>
      </c>
      <c r="J19" s="30" t="inlineStr">
        <is>
          <t>metals &amp; mining</t>
        </is>
      </c>
      <c r="K19" s="30" t="inlineStr">
        <is>
          <t>steel - medium / small</t>
        </is>
      </c>
      <c r="L19" s="30" t="inlineStr">
        <is>
          <t>smallcap</t>
        </is>
      </c>
      <c r="M19" s="31" t="n">
        <v>2243.44</v>
      </c>
      <c r="N19" s="31" t="n">
        <v>167.05</v>
      </c>
      <c r="O19" s="31" t="n">
        <v>7.59</v>
      </c>
      <c r="P19" s="31" t="n">
        <v>1109036</v>
      </c>
      <c r="Q19" s="30" t="inlineStr"/>
      <c r="R19" s="30" t="inlineStr"/>
      <c r="S19" s="31">
        <f>IF(R19="Underperforming",-5,IF(Q19&gt;=95,15,IF(Q19&gt;=90,10,IF(Q19&gt;=80,5,0))))</f>
        <v/>
      </c>
      <c r="T19" s="31" t="n">
        <v>69.47</v>
      </c>
      <c r="U19" s="31" t="n">
        <v>37.82</v>
      </c>
      <c r="V19" s="31" t="n">
        <v>132.42</v>
      </c>
      <c r="W19" s="30" t="inlineStr">
        <is>
          <t>Volume Spike &amp; Near 52W High Breakout</t>
        </is>
      </c>
      <c r="X19" s="30" t="inlineStr">
        <is>
          <t>Nifty Metal</t>
        </is>
      </c>
      <c r="Y19" s="31" t="inlineStr"/>
      <c r="Z19" s="31" t="inlineStr"/>
      <c r="AA19" s="31" t="inlineStr"/>
      <c r="AB19" s="31" t="inlineStr"/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Cyclical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Volatile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Less than 1.5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138.7</v>
      </c>
      <c r="E20" s="31" t="inlineStr">
        <is>
          <t>5%</t>
        </is>
      </c>
      <c r="F20" s="31" t="n">
        <v>50000</v>
      </c>
      <c r="G20" s="31" t="n">
        <v>943</v>
      </c>
      <c r="H20" s="30" t="inlineStr">
        <is>
          <t>SBC</t>
        </is>
      </c>
      <c r="I20" s="30" t="inlineStr">
        <is>
          <t>SBC Exports Ltd</t>
        </is>
      </c>
      <c r="J20" s="30" t="inlineStr">
        <is>
          <t>textiles</t>
        </is>
      </c>
      <c r="K20" s="30" t="inlineStr">
        <is>
          <t>textiles - products</t>
        </is>
      </c>
      <c r="L20" s="30" t="inlineStr">
        <is>
          <t>smallcap</t>
        </is>
      </c>
      <c r="M20" s="31" t="n">
        <v>2286.19</v>
      </c>
      <c r="N20" s="31" t="n">
        <v>53.02</v>
      </c>
      <c r="O20" s="31" t="n">
        <v>10.44</v>
      </c>
      <c r="P20" s="31" t="n">
        <v>23868200</v>
      </c>
      <c r="Q20" s="30" t="n">
        <v>73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80.43000000000001</v>
      </c>
      <c r="U20" s="31" t="n">
        <v>32.26</v>
      </c>
      <c r="V20" s="31" t="n">
        <v>43.36</v>
      </c>
      <c r="W20" s="30" t="inlineStr">
        <is>
          <t>Near 52W High Breakout</t>
        </is>
      </c>
      <c r="X20" s="30" t="inlineStr">
        <is>
          <t>Nifty 50</t>
        </is>
      </c>
      <c r="Y20" s="31" t="n">
        <v>-6.14</v>
      </c>
      <c r="Z20" s="31" t="n">
        <v>145.58</v>
      </c>
      <c r="AA20" s="31" t="n">
        <v>161.65</v>
      </c>
      <c r="AB20" s="31" t="n">
        <v>25.95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More than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139.9</v>
      </c>
      <c r="E21" s="31" t="inlineStr">
        <is>
          <t>5%</t>
        </is>
      </c>
      <c r="F21" s="31" t="n">
        <v>50000</v>
      </c>
      <c r="G21" s="31" t="n">
        <v>534</v>
      </c>
      <c r="H21" s="30" t="inlineStr">
        <is>
          <t>SALSTEEL</t>
        </is>
      </c>
      <c r="I21" s="30" t="inlineStr">
        <is>
          <t>SAL Steel</t>
        </is>
      </c>
      <c r="J21" s="30" t="inlineStr">
        <is>
          <t>metals &amp; mining</t>
        </is>
      </c>
      <c r="K21" s="30" t="inlineStr">
        <is>
          <t>steel - sponge iron</t>
        </is>
      </c>
      <c r="L21" s="30" t="inlineStr">
        <is>
          <t>smallcap</t>
        </is>
      </c>
      <c r="M21" s="31" t="n">
        <v>1292.33</v>
      </c>
      <c r="N21" s="31" t="n">
        <v>93.59999999999999</v>
      </c>
      <c r="O21" s="31" t="n">
        <v>4.85</v>
      </c>
      <c r="P21" s="31" t="n">
        <v>741473</v>
      </c>
      <c r="Q21" s="30" t="inlineStr"/>
      <c r="R21" s="30" t="inlineStr"/>
      <c r="S21" s="31">
        <f>IF(R21="Underperforming",-5,IF(Q21&gt;=95,15,IF(Q21&gt;=90,10,IF(Q21&gt;=80,5,0))))</f>
        <v/>
      </c>
      <c r="T21" s="31" t="n">
        <v>75.45999999999999</v>
      </c>
      <c r="U21" s="31" t="n">
        <v>30.93</v>
      </c>
      <c r="V21" s="31" t="n">
        <v>65.89</v>
      </c>
      <c r="W21" s="30" t="inlineStr">
        <is>
          <t>Near 52W High Breakout</t>
        </is>
      </c>
      <c r="X21" s="30" t="inlineStr">
        <is>
          <t>Nifty Metal</t>
        </is>
      </c>
      <c r="Y21" s="31" t="inlineStr"/>
      <c r="Z21" s="31" t="inlineStr"/>
      <c r="AA21" s="31" t="inlineStr"/>
      <c r="AB21" s="31" t="inlineStr"/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More than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138.6</v>
      </c>
      <c r="E2" s="31" t="inlineStr">
        <is>
          <t>5%</t>
        </is>
      </c>
      <c r="F2" s="31" t="n">
        <v>50000</v>
      </c>
      <c r="G2" s="31" t="n">
        <v>1001</v>
      </c>
      <c r="H2" s="30" t="inlineStr">
        <is>
          <t>SOUTHBANK</t>
        </is>
      </c>
      <c r="I2" s="30" t="inlineStr">
        <is>
          <t>The South Indian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13064.15</v>
      </c>
      <c r="N2" s="31" t="n">
        <v>49.95</v>
      </c>
      <c r="O2" s="31" t="n">
        <v>0.1</v>
      </c>
      <c r="P2" s="31" t="n">
        <v>28889000</v>
      </c>
      <c r="Q2" s="30" t="n">
        <v>44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66.83</v>
      </c>
      <c r="U2" s="31" t="n">
        <v>37.01</v>
      </c>
      <c r="V2" s="31" t="n">
        <v>40.33</v>
      </c>
      <c r="W2" s="30" t="inlineStr">
        <is>
          <t>Volume Spike &amp; Near 52W High Breakout</t>
        </is>
      </c>
      <c r="X2" s="30" t="inlineStr">
        <is>
          <t>Nifty Bank</t>
        </is>
      </c>
      <c r="Y2" s="31" t="n">
        <v>2.19</v>
      </c>
      <c r="Z2" s="31" t="n">
        <v>73.98999999999999</v>
      </c>
      <c r="AA2" s="31" t="n">
        <v>70.27</v>
      </c>
      <c r="AB2" s="31" t="n">
        <v>14.79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less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139.8</v>
      </c>
      <c r="E3" s="31" t="inlineStr">
        <is>
          <t>5%</t>
        </is>
      </c>
      <c r="F3" s="31" t="n">
        <v>50000</v>
      </c>
      <c r="G3" s="31" t="n">
        <v>76</v>
      </c>
      <c r="H3" s="30" t="inlineStr">
        <is>
          <t>GCSL</t>
        </is>
      </c>
      <c r="I3" s="30" t="inlineStr">
        <is>
          <t>Gretex Corporate Services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smallcap</t>
        </is>
      </c>
      <c r="M3" s="31" t="n">
        <v>1583.59</v>
      </c>
      <c r="N3" s="31" t="n">
        <v>653.45</v>
      </c>
      <c r="O3" s="31" t="n">
        <v>3.18</v>
      </c>
      <c r="P3" s="31" t="n">
        <v>444252</v>
      </c>
      <c r="Q3" s="30" t="n">
        <v>84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78.69</v>
      </c>
      <c r="U3" s="31" t="n">
        <v>33.43</v>
      </c>
      <c r="V3" s="31" t="n">
        <v>517.54</v>
      </c>
      <c r="W3" s="30" t="inlineStr">
        <is>
          <t>Near 52W High Breakout</t>
        </is>
      </c>
      <c r="X3" s="30" t="inlineStr">
        <is>
          <t>Nifty Bank</t>
        </is>
      </c>
      <c r="Y3" s="31" t="n">
        <v>2.19</v>
      </c>
      <c r="Z3" s="31" t="n">
        <v>152.64</v>
      </c>
      <c r="AA3" s="31" t="n">
        <v>147.23</v>
      </c>
      <c r="AB3" s="31" t="n">
        <v>34.01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above 5x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Above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3" t="inlineStr">
        <is>
          <t>AIMTRON</t>
        </is>
      </c>
      <c r="D2" s="33" t="inlineStr">
        <is>
          <t>Aimtron Electronics Ltd</t>
        </is>
      </c>
      <c r="E2" s="30" t="inlineStr">
        <is>
          <t>unknown</t>
        </is>
      </c>
      <c r="F2" s="30" t="inlineStr">
        <is>
          <t>EMS</t>
        </is>
      </c>
      <c r="G2" s="30" t="inlineStr">
        <is>
          <t>smallcap</t>
        </is>
      </c>
      <c r="H2" s="31" t="n">
        <v>3994.39</v>
      </c>
      <c r="I2" s="31" t="n">
        <v>1877.55</v>
      </c>
      <c r="J2" s="31" t="n">
        <v>4.45</v>
      </c>
      <c r="K2" s="31" t="n">
        <v>0</v>
      </c>
      <c r="L2" s="30" t="n">
        <v>81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70.51000000000001</v>
      </c>
      <c r="P2" s="31" t="n">
        <v>64.86</v>
      </c>
      <c r="Q2" s="31" t="n">
        <v>1326.08</v>
      </c>
      <c r="R2" s="30" t="inlineStr">
        <is>
          <t>Near 52W High Breakout</t>
        </is>
      </c>
      <c r="S2" s="30" t="inlineStr">
        <is>
          <t>Nifty 50</t>
        </is>
      </c>
      <c r="T2" s="31" t="n">
        <v>-6.14</v>
      </c>
      <c r="U2" s="31" t="n">
        <v>154.48</v>
      </c>
      <c r="V2" s="31" t="n">
        <v>171.14</v>
      </c>
      <c r="W2" s="31" t="n">
        <v>30.61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22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TIMEX</t>
        </is>
      </c>
      <c r="D3" s="30" t="inlineStr">
        <is>
          <t>Timex Group India Ltd</t>
        </is>
      </c>
      <c r="E3" s="30" t="inlineStr">
        <is>
          <t>Consumer Cyclical</t>
        </is>
      </c>
      <c r="F3" s="30" t="inlineStr">
        <is>
          <t>Watches</t>
        </is>
      </c>
      <c r="G3" s="30" t="inlineStr">
        <is>
          <t>midcap</t>
        </is>
      </c>
      <c r="H3" s="31" t="n">
        <v>7349.16</v>
      </c>
      <c r="I3" s="31" t="n">
        <v>728</v>
      </c>
      <c r="J3" s="31" t="n">
        <v>2.48</v>
      </c>
      <c r="K3" s="31" t="n">
        <v>0</v>
      </c>
      <c r="L3" s="30" t="n">
        <v>82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73.48</v>
      </c>
      <c r="P3" s="31" t="n">
        <v>61.38</v>
      </c>
      <c r="Q3" s="31" t="n">
        <v>553.13</v>
      </c>
      <c r="R3" s="30" t="inlineStr">
        <is>
          <t>Near 52W High Breakout</t>
        </is>
      </c>
      <c r="S3" s="30" t="inlineStr">
        <is>
          <t>Nifty 50</t>
        </is>
      </c>
      <c r="T3" s="31" t="n">
        <v>-6.14</v>
      </c>
      <c r="U3" s="31" t="n">
        <v>114.28</v>
      </c>
      <c r="V3" s="31" t="n">
        <v>128.3</v>
      </c>
      <c r="W3" s="31" t="n">
        <v>32.32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21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IBULLSLTD</t>
        </is>
      </c>
      <c r="D4" s="30" t="inlineStr">
        <is>
          <t>Indiabulls Limited</t>
        </is>
      </c>
      <c r="E4" s="30" t="inlineStr">
        <is>
          <t>miscellaneous</t>
        </is>
      </c>
      <c r="F4" s="30" t="inlineStr">
        <is>
          <t>Diversified</t>
        </is>
      </c>
      <c r="G4" s="30" t="inlineStr">
        <is>
          <t>midcap</t>
        </is>
      </c>
      <c r="H4" s="31" t="n">
        <v>6956.97</v>
      </c>
      <c r="I4" s="31" t="n">
        <v>29.83</v>
      </c>
      <c r="J4" s="31" t="n">
        <v>5</v>
      </c>
      <c r="K4" s="31" t="n">
        <v>0</v>
      </c>
      <c r="L4" s="30" t="n">
        <v>80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64.39</v>
      </c>
      <c r="P4" s="31" t="n">
        <v>40.79</v>
      </c>
      <c r="Q4" s="31" t="n">
        <v>20.94</v>
      </c>
      <c r="R4" s="30" t="inlineStr">
        <is>
          <t>Near 52W High Breakout</t>
        </is>
      </c>
      <c r="S4" s="30" t="inlineStr">
        <is>
          <t>Nifty 50</t>
        </is>
      </c>
      <c r="T4" s="31" t="n">
        <v>-6.14</v>
      </c>
      <c r="U4" s="31" t="n">
        <v>59.09</v>
      </c>
      <c r="V4" s="31" t="n">
        <v>69.5</v>
      </c>
      <c r="W4" s="31" t="n">
        <v>30.55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19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3" t="inlineStr">
        <is>
          <t>GNA</t>
        </is>
      </c>
      <c r="D5" s="33" t="inlineStr">
        <is>
          <t>GNA Axles Ltd</t>
        </is>
      </c>
      <c r="E5" s="30" t="inlineStr">
        <is>
          <t>auto</t>
        </is>
      </c>
      <c r="F5" s="30" t="inlineStr">
        <is>
          <t>Auto Axles</t>
        </is>
      </c>
      <c r="G5" s="30" t="inlineStr">
        <is>
          <t>smallcap</t>
        </is>
      </c>
      <c r="H5" s="31" t="n">
        <v>2644.54</v>
      </c>
      <c r="I5" s="31" t="n">
        <v>616</v>
      </c>
      <c r="J5" s="31" t="n">
        <v>-0.72</v>
      </c>
      <c r="K5" s="31" t="n">
        <v>0</v>
      </c>
      <c r="L5" s="30" t="inlineStr"/>
      <c r="M5" s="30" t="inlineStr"/>
      <c r="N5" s="31">
        <f>IF(M5="Underperforming",-5,IF(L5&gt;=95,15,IF(L5&gt;=90,10,IF(L5&gt;=80,5,0))))</f>
        <v/>
      </c>
      <c r="O5" s="31" t="n">
        <v>72.73999999999999</v>
      </c>
      <c r="P5" s="31" t="n">
        <v>49.18</v>
      </c>
      <c r="Q5" s="31" t="n">
        <v>460.08</v>
      </c>
      <c r="R5" s="30" t="inlineStr">
        <is>
          <t>Volume Spike &amp; Near 52W High Breakout</t>
        </is>
      </c>
      <c r="S5" s="30" t="inlineStr">
        <is>
          <t>Nifty Auto</t>
        </is>
      </c>
      <c r="T5" s="31" t="inlineStr"/>
      <c r="U5" s="31" t="inlineStr"/>
      <c r="V5" s="31" t="inlineStr"/>
      <c r="W5" s="31" t="inlineStr"/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22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VIKRAMTH</t>
        </is>
      </c>
      <c r="D6" s="30" t="inlineStr">
        <is>
          <t>Vikram Thermo (India) Ltd</t>
        </is>
      </c>
      <c r="E6" s="30" t="inlineStr">
        <is>
          <t>Healthcare</t>
        </is>
      </c>
      <c r="F6" s="30" t="inlineStr">
        <is>
          <t>Specialty Chemicals</t>
        </is>
      </c>
      <c r="G6" s="30" t="inlineStr">
        <is>
          <t>smallcap</t>
        </is>
      </c>
      <c r="H6" s="31" t="n">
        <v>1342.12</v>
      </c>
      <c r="I6" s="31" t="n">
        <v>428</v>
      </c>
      <c r="J6" s="31" t="n">
        <v>5.71</v>
      </c>
      <c r="K6" s="31" t="n">
        <v>0</v>
      </c>
      <c r="L6" s="30" t="n">
        <v>92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92.39</v>
      </c>
      <c r="P6" s="31" t="n">
        <v>68.33</v>
      </c>
      <c r="Q6" s="31" t="n">
        <v>330.07</v>
      </c>
      <c r="R6" s="30" t="inlineStr">
        <is>
          <t>Volume Spike &amp; Near 52W High Breakout</t>
        </is>
      </c>
      <c r="S6" s="30" t="inlineStr">
        <is>
          <t>Nifty Pharma</t>
        </is>
      </c>
      <c r="T6" s="31" t="n">
        <v>25.55</v>
      </c>
      <c r="U6" s="31" t="n">
        <v>166.12</v>
      </c>
      <c r="V6" s="31" t="n">
        <v>111.96</v>
      </c>
      <c r="W6" s="31" t="n">
        <v>44.87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27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AVTNPL</t>
        </is>
      </c>
      <c r="D7" s="30" t="inlineStr">
        <is>
          <t>AVT Natural Products Ltd</t>
        </is>
      </c>
      <c r="E7" s="30" t="inlineStr">
        <is>
          <t>fmcg</t>
        </is>
      </c>
      <c r="F7" s="30" t="inlineStr">
        <is>
          <t>Natural Extracts and Food Ingredients</t>
        </is>
      </c>
      <c r="G7" s="30" t="inlineStr">
        <is>
          <t>smallcap</t>
        </is>
      </c>
      <c r="H7" s="31" t="n">
        <v>1419.9</v>
      </c>
      <c r="I7" s="31" t="n">
        <v>93.23999999999999</v>
      </c>
      <c r="J7" s="31" t="n">
        <v>0.33</v>
      </c>
      <c r="K7" s="31" t="n">
        <v>0</v>
      </c>
      <c r="L7" s="30" t="inlineStr"/>
      <c r="M7" s="30" t="inlineStr"/>
      <c r="N7" s="31">
        <f>IF(M7="Underperforming",-5,IF(L7&gt;=95,15,IF(L7&gt;=90,10,IF(L7&gt;=80,5,0))))</f>
        <v/>
      </c>
      <c r="O7" s="31" t="n">
        <v>70.97</v>
      </c>
      <c r="P7" s="31" t="n">
        <v>46.3</v>
      </c>
      <c r="Q7" s="31" t="n">
        <v>71.66</v>
      </c>
      <c r="R7" s="30" t="inlineStr">
        <is>
          <t>Volume Spike &amp; Near 52W High Breakout</t>
        </is>
      </c>
      <c r="S7" s="30" t="inlineStr">
        <is>
          <t>Nifty FMCG</t>
        </is>
      </c>
      <c r="T7" s="31" t="inlineStr"/>
      <c r="U7" s="31" t="inlineStr"/>
      <c r="V7" s="31" t="inlineStr"/>
      <c r="W7" s="31" t="inlineStr"/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23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VINCOFE</t>
        </is>
      </c>
      <c r="D8" s="30" t="inlineStr">
        <is>
          <t>Vintage Coffee &amp; Beverages Ltd</t>
        </is>
      </c>
      <c r="E8" s="30" t="inlineStr">
        <is>
          <t>consumer discretionary</t>
        </is>
      </c>
      <c r="F8" s="30" t="inlineStr">
        <is>
          <t>FMCG Coffee</t>
        </is>
      </c>
      <c r="G8" s="30" t="inlineStr">
        <is>
          <t>smallcap</t>
        </is>
      </c>
      <c r="H8" s="31" t="n">
        <v>2702.71</v>
      </c>
      <c r="I8" s="31" t="n">
        <v>184.5</v>
      </c>
      <c r="J8" s="31" t="n">
        <v>0.38</v>
      </c>
      <c r="K8" s="31" t="n">
        <v>0</v>
      </c>
      <c r="L8" s="30" t="n">
        <v>27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67.43000000000001</v>
      </c>
      <c r="P8" s="31" t="n">
        <v>29.05</v>
      </c>
      <c r="Q8" s="31" t="n">
        <v>137.48</v>
      </c>
      <c r="R8" s="30" t="inlineStr">
        <is>
          <t>Near 52W High Breakout</t>
        </is>
      </c>
      <c r="S8" s="30" t="inlineStr">
        <is>
          <t>Nifty 50</t>
        </is>
      </c>
      <c r="T8" s="31" t="n">
        <v>-6.14</v>
      </c>
      <c r="U8" s="31" t="n">
        <v>24.54</v>
      </c>
      <c r="V8" s="31" t="n">
        <v>32.69</v>
      </c>
      <c r="W8" s="31" t="n">
        <v>9.619999999999999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20 to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21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BHAGYANGR</t>
        </is>
      </c>
      <c r="D9" s="30" t="inlineStr">
        <is>
          <t>Bhagyanagar India Ltd</t>
        </is>
      </c>
      <c r="E9" s="30" t="inlineStr">
        <is>
          <t>power &amp; utilities</t>
        </is>
      </c>
      <c r="F9" s="30" t="inlineStr">
        <is>
          <t>Recycling</t>
        </is>
      </c>
      <c r="G9" s="30" t="inlineStr">
        <is>
          <t>smallcap</t>
        </is>
      </c>
      <c r="H9" s="31" t="n">
        <v>1417.07</v>
      </c>
      <c r="I9" s="31" t="n">
        <v>423.05</v>
      </c>
      <c r="J9" s="31" t="n">
        <v>-2.14</v>
      </c>
      <c r="K9" s="31" t="n">
        <v>0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65.89</v>
      </c>
      <c r="P9" s="31" t="n">
        <v>66.04000000000001</v>
      </c>
      <c r="Q9" s="31" t="n">
        <v>314.45</v>
      </c>
      <c r="R9" s="30" t="inlineStr">
        <is>
          <t>Near 52W High Breakout</t>
        </is>
      </c>
      <c r="S9" s="30" t="inlineStr">
        <is>
          <t>Nifty IT</t>
        </is>
      </c>
      <c r="T9" s="31" t="n">
        <v>-16.44</v>
      </c>
      <c r="U9" s="31" t="n">
        <v>343.37</v>
      </c>
      <c r="V9" s="31" t="n">
        <v>430.61</v>
      </c>
      <c r="W9" s="31" t="n">
        <v>48.78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Between 0.7 to 1.2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TBZ</t>
        </is>
      </c>
      <c r="D10" s="30" t="inlineStr">
        <is>
          <t>Tribhovandas Bhimji Zaveri Ltd</t>
        </is>
      </c>
      <c r="E10" s="30" t="inlineStr">
        <is>
          <t>consumer discretionary</t>
        </is>
      </c>
      <c r="F10" s="30" t="inlineStr">
        <is>
          <t>Diamond Gems and Jewellery</t>
        </is>
      </c>
      <c r="G10" s="30" t="inlineStr">
        <is>
          <t>smallcap</t>
        </is>
      </c>
      <c r="H10" s="31" t="n">
        <v>4377.53</v>
      </c>
      <c r="I10" s="31" t="n">
        <v>656</v>
      </c>
      <c r="J10" s="31" t="n">
        <v>-2.79</v>
      </c>
      <c r="K10" s="31" t="n">
        <v>0</v>
      </c>
      <c r="L10" s="30" t="n">
        <v>99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92.69</v>
      </c>
      <c r="P10" s="31" t="n">
        <v>59.98</v>
      </c>
      <c r="Q10" s="31" t="n">
        <v>496.32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-6.14</v>
      </c>
      <c r="U10" s="31" t="n">
        <v>264.84</v>
      </c>
      <c r="V10" s="31" t="n">
        <v>288.71</v>
      </c>
      <c r="W10" s="31" t="n">
        <v>106.07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Between 0.7 to 1.2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NRL</t>
        </is>
      </c>
      <c r="D11" s="30" t="inlineStr">
        <is>
          <t>Nupur Recyclers Ltd</t>
        </is>
      </c>
      <c r="E11" s="30" t="inlineStr">
        <is>
          <t>services</t>
        </is>
      </c>
      <c r="F11" s="30" t="inlineStr">
        <is>
          <t>Trading</t>
        </is>
      </c>
      <c r="G11" s="30" t="inlineStr">
        <is>
          <t>smallcap</t>
        </is>
      </c>
      <c r="H11" s="31" t="n">
        <v>1116.85</v>
      </c>
      <c r="I11" s="31" t="n">
        <v>161.7</v>
      </c>
      <c r="J11" s="31" t="n">
        <v>-2</v>
      </c>
      <c r="K11" s="31" t="n">
        <v>0</v>
      </c>
      <c r="L11" s="30" t="n">
        <v>93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92.81</v>
      </c>
      <c r="P11" s="31" t="n">
        <v>74.06</v>
      </c>
      <c r="Q11" s="31" t="n">
        <v>133.63</v>
      </c>
      <c r="R11" s="30" t="inlineStr">
        <is>
          <t>Volume Spike &amp; Near 52W High Breakout</t>
        </is>
      </c>
      <c r="S11" s="30" t="inlineStr">
        <is>
          <t>Nifty 50</t>
        </is>
      </c>
      <c r="T11" s="31" t="n">
        <v>-6.14</v>
      </c>
      <c r="U11" s="31" t="n">
        <v>123.28</v>
      </c>
      <c r="V11" s="31" t="n">
        <v>137.89</v>
      </c>
      <c r="W11" s="31" t="n">
        <v>45.24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FILATEX</t>
        </is>
      </c>
      <c r="D12" s="30" t="inlineStr">
        <is>
          <t>Filatex India Ltd</t>
        </is>
      </c>
      <c r="E12" s="30" t="inlineStr">
        <is>
          <t>textiles</t>
        </is>
      </c>
      <c r="F12" s="30" t="inlineStr">
        <is>
          <t>Textiles Manmade PFY and PSF</t>
        </is>
      </c>
      <c r="G12" s="30" t="inlineStr">
        <is>
          <t>smallcap</t>
        </is>
      </c>
      <c r="H12" s="31" t="n">
        <v>4853.56</v>
      </c>
      <c r="I12" s="31" t="n">
        <v>109.3</v>
      </c>
      <c r="J12" s="31" t="n">
        <v>3.78</v>
      </c>
      <c r="K12" s="31" t="n">
        <v>0</v>
      </c>
      <c r="L12" s="30" t="n">
        <v>91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83.06</v>
      </c>
      <c r="P12" s="31" t="n">
        <v>47.71</v>
      </c>
      <c r="Q12" s="31" t="n">
        <v>80.11</v>
      </c>
      <c r="R12" s="30" t="inlineStr">
        <is>
          <t>Volume Spike &amp; Near 52W High Breakout</t>
        </is>
      </c>
      <c r="S12" s="30" t="inlineStr">
        <is>
          <t>Nifty 50</t>
        </is>
      </c>
      <c r="T12" s="31" t="n">
        <v>-6.14</v>
      </c>
      <c r="U12" s="31" t="n">
        <v>107.76</v>
      </c>
      <c r="V12" s="31" t="n">
        <v>121.36</v>
      </c>
      <c r="W12" s="31" t="n">
        <v>43.53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Between 12 to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19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IOLCP</t>
        </is>
      </c>
      <c r="D13" s="30" t="inlineStr">
        <is>
          <t>IOL Chemicals &amp; Pharmaceuticals Ltd</t>
        </is>
      </c>
      <c r="E13" s="30" t="inlineStr">
        <is>
          <t>healthcare</t>
        </is>
      </c>
      <c r="F13" s="30" t="inlineStr">
        <is>
          <t>Pharma API</t>
        </is>
      </c>
      <c r="G13" s="30" t="inlineStr">
        <is>
          <t>midcap</t>
        </is>
      </c>
      <c r="H13" s="31" t="n">
        <v>5976.22</v>
      </c>
      <c r="I13" s="31" t="n">
        <v>203.6</v>
      </c>
      <c r="J13" s="31" t="n">
        <v>0.19</v>
      </c>
      <c r="K13" s="31" t="n">
        <v>0</v>
      </c>
      <c r="L13" s="30" t="n">
        <v>80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77.43000000000001</v>
      </c>
      <c r="P13" s="31" t="n">
        <v>80.17</v>
      </c>
      <c r="Q13" s="31" t="n">
        <v>146.8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25.55</v>
      </c>
      <c r="U13" s="31" t="n">
        <v>99.25</v>
      </c>
      <c r="V13" s="31" t="n">
        <v>58.7</v>
      </c>
      <c r="W13" s="31" t="n">
        <v>30.48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20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BHAGERIA</t>
        </is>
      </c>
      <c r="D14" s="30" t="inlineStr">
        <is>
          <t>Bhageria Industries Ltd</t>
        </is>
      </c>
      <c r="E14" s="30" t="inlineStr">
        <is>
          <t>chemicals</t>
        </is>
      </c>
      <c r="F14" s="30" t="inlineStr">
        <is>
          <t>Dyes and Pigments</t>
        </is>
      </c>
      <c r="G14" s="30" t="inlineStr">
        <is>
          <t>smallcap</t>
        </is>
      </c>
      <c r="H14" s="31" t="n">
        <v>1723.73</v>
      </c>
      <c r="I14" s="31" t="n">
        <v>394.95</v>
      </c>
      <c r="J14" s="31" t="n">
        <v>9.82</v>
      </c>
      <c r="K14" s="31" t="n">
        <v>0</v>
      </c>
      <c r="L14" s="30" t="n">
        <v>90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83.45999999999999</v>
      </c>
      <c r="P14" s="31" t="n">
        <v>40.96</v>
      </c>
      <c r="Q14" s="31" t="n">
        <v>304.74</v>
      </c>
      <c r="R14" s="30" t="inlineStr">
        <is>
          <t>Volume Spike &amp; Near 52W High Breakout</t>
        </is>
      </c>
      <c r="S14" s="30" t="inlineStr">
        <is>
          <t>Nifty 50</t>
        </is>
      </c>
      <c r="T14" s="31" t="n">
        <v>-6.14</v>
      </c>
      <c r="U14" s="31" t="n">
        <v>125.13</v>
      </c>
      <c r="V14" s="31" t="n">
        <v>139.86</v>
      </c>
      <c r="W14" s="31" t="n">
        <v>40.82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28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SHANTIGOLD</t>
        </is>
      </c>
      <c r="D15" s="33" t="inlineStr">
        <is>
          <t>Shanti Gold International Ltd</t>
        </is>
      </c>
      <c r="E15" s="30" t="inlineStr">
        <is>
          <t>consumer discretionary</t>
        </is>
      </c>
      <c r="F15" s="30" t="inlineStr">
        <is>
          <t>Diamond Gems and Jewellery</t>
        </is>
      </c>
      <c r="G15" s="30" t="inlineStr">
        <is>
          <t>smallcap</t>
        </is>
      </c>
      <c r="H15" s="31" t="n">
        <v>2427.27</v>
      </c>
      <c r="I15" s="31" t="n">
        <v>316.3</v>
      </c>
      <c r="J15" s="31" t="n">
        <v>11.52</v>
      </c>
      <c r="K15" s="31" t="n">
        <v>0</v>
      </c>
      <c r="L15" s="30" t="n">
        <v>61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74.25</v>
      </c>
      <c r="P15" s="31" t="n">
        <v>39.2</v>
      </c>
      <c r="Q15" s="31" t="n">
        <v>241.29</v>
      </c>
      <c r="R15" s="30" t="inlineStr">
        <is>
          <t>Volume Spike &amp; Near 52W High Breakout</t>
        </is>
      </c>
      <c r="S15" s="30" t="inlineStr">
        <is>
          <t>Nifty 50</t>
        </is>
      </c>
      <c r="T15" s="31" t="n">
        <v>-6.14</v>
      </c>
      <c r="U15" s="31" t="n">
        <v>49.17</v>
      </c>
      <c r="V15" s="31" t="n">
        <v>58.93</v>
      </c>
      <c r="W15" s="31" t="n">
        <v>20.46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21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QUADFUTURE</t>
        </is>
      </c>
      <c r="D16" s="30" t="inlineStr">
        <is>
          <t>Quadrant Future Tek Ltd</t>
        </is>
      </c>
      <c r="E16" s="30" t="inlineStr">
        <is>
          <t>industrials</t>
        </is>
      </c>
      <c r="F16" s="30" t="inlineStr">
        <is>
          <t>Railways Kavach and Springs</t>
        </is>
      </c>
      <c r="G16" s="30" t="inlineStr">
        <is>
          <t>smallcap</t>
        </is>
      </c>
      <c r="H16" s="31" t="n">
        <v>2168</v>
      </c>
      <c r="I16" s="31" t="n">
        <v>542</v>
      </c>
      <c r="J16" s="31" t="n">
        <v>8.31</v>
      </c>
      <c r="K16" s="31" t="n">
        <v>0</v>
      </c>
      <c r="L16" s="30" t="inlineStr"/>
      <c r="M16" s="30" t="inlineStr"/>
      <c r="N16" s="31">
        <f>IF(M16="Underperforming",-5,IF(L16&gt;=95,15,IF(L16&gt;=90,10,IF(L16&gt;=80,5,0))))</f>
        <v/>
      </c>
      <c r="O16" s="31" t="n">
        <v>71.97</v>
      </c>
      <c r="P16" s="31" t="n">
        <v>40.36</v>
      </c>
      <c r="Q16" s="31" t="n">
        <v>385.57</v>
      </c>
      <c r="R16" s="30" t="inlineStr">
        <is>
          <t>Near 52W High Breakout</t>
        </is>
      </c>
      <c r="S16" s="30" t="inlineStr">
        <is>
          <t>Nifty Energy</t>
        </is>
      </c>
      <c r="T16" s="31" t="inlineStr"/>
      <c r="U16" s="31" t="inlineStr"/>
      <c r="V16" s="31" t="inlineStr"/>
      <c r="W16" s="31" t="inlineStr"/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21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3" t="inlineStr">
        <is>
          <t>IGPL</t>
        </is>
      </c>
      <c r="D17" s="33" t="inlineStr">
        <is>
          <t>I G Petrochemicals Ltd</t>
        </is>
      </c>
      <c r="E17" s="30" t="inlineStr">
        <is>
          <t>chemicals</t>
        </is>
      </c>
      <c r="F17" s="30" t="inlineStr">
        <is>
          <t>Chemicals Organic Maleic Anhydride</t>
        </is>
      </c>
      <c r="G17" s="30" t="inlineStr">
        <is>
          <t>smallcap</t>
        </is>
      </c>
      <c r="H17" s="31" t="n">
        <v>1817.05</v>
      </c>
      <c r="I17" s="31" t="n">
        <v>590.05</v>
      </c>
      <c r="J17" s="31" t="n">
        <v>0.62</v>
      </c>
      <c r="K17" s="31" t="n">
        <v>0</v>
      </c>
      <c r="L17" s="30" t="n">
        <v>47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71.65000000000001</v>
      </c>
      <c r="P17" s="31" t="n">
        <v>33.56</v>
      </c>
      <c r="Q17" s="31" t="n">
        <v>463.56</v>
      </c>
      <c r="R17" s="30" t="inlineStr">
        <is>
          <t>Volume Spike &amp; Near 52W High Breakout</t>
        </is>
      </c>
      <c r="S17" s="30" t="inlineStr">
        <is>
          <t>Nifty 50</t>
        </is>
      </c>
      <c r="T17" s="31" t="n">
        <v>-6.14</v>
      </c>
      <c r="U17" s="31" t="n">
        <v>43.43</v>
      </c>
      <c r="V17" s="31" t="n">
        <v>52.82</v>
      </c>
      <c r="W17" s="31" t="n">
        <v>15.94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21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MENONBE</t>
        </is>
      </c>
      <c r="D18" s="30" t="inlineStr">
        <is>
          <t>Menon Bearings Ltd</t>
        </is>
      </c>
      <c r="E18" s="30" t="inlineStr">
        <is>
          <t>Consumer Cyclical</t>
        </is>
      </c>
      <c r="F18" s="30" t="inlineStr">
        <is>
          <t>Bearings</t>
        </is>
      </c>
      <c r="G18" s="30" t="inlineStr">
        <is>
          <t>smallcap</t>
        </is>
      </c>
      <c r="H18" s="31" t="n">
        <v>1689.61</v>
      </c>
      <c r="I18" s="31" t="n">
        <v>301.5</v>
      </c>
      <c r="J18" s="31" t="n">
        <v>2.81</v>
      </c>
      <c r="K18" s="31" t="n">
        <v>0</v>
      </c>
      <c r="L18" s="30" t="inlineStr"/>
      <c r="M18" s="30" t="inlineStr"/>
      <c r="N18" s="31">
        <f>IF(M18="Underperforming",-5,IF(L18&gt;=95,15,IF(L18&gt;=90,10,IF(L18&gt;=80,5,0))))</f>
        <v/>
      </c>
      <c r="O18" s="31" t="n">
        <v>71.47</v>
      </c>
      <c r="P18" s="31" t="n">
        <v>67</v>
      </c>
      <c r="Q18" s="31" t="n">
        <v>235.37</v>
      </c>
      <c r="R18" s="30" t="inlineStr">
        <is>
          <t>Earnings / Momentum Support</t>
        </is>
      </c>
      <c r="S18" s="30" t="inlineStr">
        <is>
          <t>Nifty Auto</t>
        </is>
      </c>
      <c r="T18" s="31" t="inlineStr"/>
      <c r="U18" s="31" t="inlineStr"/>
      <c r="V18" s="31" t="inlineStr"/>
      <c r="W18" s="31" t="inlineStr"/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21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KINGFA</t>
        </is>
      </c>
      <c r="D19" s="30" t="inlineStr">
        <is>
          <t>Kingfa Science &amp; Technology (India) Ltd</t>
        </is>
      </c>
      <c r="E19" s="30" t="inlineStr">
        <is>
          <t>plastic products</t>
        </is>
      </c>
      <c r="F19" s="30" t="inlineStr">
        <is>
          <t>Plastics Plastic and Plastic Products</t>
        </is>
      </c>
      <c r="G19" s="30" t="inlineStr">
        <is>
          <t>midcap</t>
        </is>
      </c>
      <c r="H19" s="31" t="n">
        <v>8416.76</v>
      </c>
      <c r="I19" s="31" t="n">
        <v>6211</v>
      </c>
      <c r="J19" s="31" t="n">
        <v>-0.28</v>
      </c>
      <c r="K19" s="31" t="n">
        <v>0</v>
      </c>
      <c r="L19" s="30" t="n">
        <v>41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</v>
      </c>
      <c r="P19" s="31" t="n">
        <v>39.78</v>
      </c>
      <c r="Q19" s="31" t="n">
        <v>4932.92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-6.14</v>
      </c>
      <c r="U19" s="31" t="n">
        <v>44.01</v>
      </c>
      <c r="V19" s="31" t="n">
        <v>53.43</v>
      </c>
      <c r="W19" s="31" t="n">
        <v>13.11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21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MBECL</t>
        </is>
      </c>
      <c r="D20" s="30" t="inlineStr">
        <is>
          <t>McNally Bharat Engineering Company Ltd</t>
        </is>
      </c>
      <c r="E20" s="30" t="inlineStr">
        <is>
          <t>realty</t>
        </is>
      </c>
      <c r="F20" s="30" t="inlineStr">
        <is>
          <t>Engineering Turnkey Services</t>
        </is>
      </c>
      <c r="G20" s="30" t="inlineStr">
        <is>
          <t>smallcap</t>
        </is>
      </c>
      <c r="H20" s="31" t="n">
        <v>1521.33</v>
      </c>
      <c r="I20" s="31" t="n">
        <v>456.4</v>
      </c>
      <c r="J20" s="31" t="n">
        <v>2</v>
      </c>
      <c r="K20" s="31" t="n">
        <v>0</v>
      </c>
      <c r="L20" s="30" t="inlineStr"/>
      <c r="M20" s="30" t="inlineStr"/>
      <c r="N20" s="31">
        <f>IF(M20="Underperforming",-5,IF(L20&gt;=95,15,IF(L20&gt;=90,10,IF(L20&gt;=80,5,0))))</f>
        <v/>
      </c>
      <c r="O20" s="31" t="n">
        <v>99.98</v>
      </c>
      <c r="P20" s="31" t="n">
        <v>64.65000000000001</v>
      </c>
      <c r="Q20" s="31" t="n">
        <v>383.85</v>
      </c>
      <c r="R20" s="30" t="inlineStr">
        <is>
          <t>Volume Spike &amp; Near 52W High Breakout</t>
        </is>
      </c>
      <c r="S20" s="30" t="inlineStr">
        <is>
          <t>Nifty Realty</t>
        </is>
      </c>
      <c r="T20" s="31" t="inlineStr"/>
      <c r="U20" s="31" t="inlineStr"/>
      <c r="V20" s="31" t="inlineStr"/>
      <c r="W20" s="31" t="inlineStr"/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20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GHCLTEXTIL</t>
        </is>
      </c>
      <c r="D21" s="30" t="inlineStr">
        <is>
          <t>GHCL Textiles Ltd</t>
        </is>
      </c>
      <c r="E21" s="30" t="inlineStr">
        <is>
          <t>textiles</t>
        </is>
      </c>
      <c r="F21" s="30" t="inlineStr">
        <is>
          <t>Textiles General</t>
        </is>
      </c>
      <c r="G21" s="30" t="inlineStr">
        <is>
          <t>smallcap</t>
        </is>
      </c>
      <c r="H21" s="31" t="n">
        <v>1328.36</v>
      </c>
      <c r="I21" s="31" t="n">
        <v>138.97</v>
      </c>
      <c r="J21" s="31" t="n">
        <v>2.68</v>
      </c>
      <c r="K21" s="31" t="n">
        <v>0</v>
      </c>
      <c r="L21" s="30" t="n">
        <v>71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70.64</v>
      </c>
      <c r="P21" s="31" t="n">
        <v>48.59</v>
      </c>
      <c r="Q21" s="31" t="n">
        <v>105.8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-6.14</v>
      </c>
      <c r="U21" s="31" t="n">
        <v>80.98</v>
      </c>
      <c r="V21" s="31" t="n">
        <v>92.81999999999999</v>
      </c>
      <c r="W21" s="31" t="n">
        <v>24.92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19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IRISDOREME</t>
        </is>
      </c>
      <c r="D22" s="30" t="inlineStr">
        <is>
          <t>Iris Clothings Ltd</t>
        </is>
      </c>
      <c r="E22" s="30" t="inlineStr">
        <is>
          <t>readymade garments/apparels</t>
        </is>
      </c>
      <c r="F22" s="30" t="inlineStr">
        <is>
          <t>Textiles Readymade Apparel</t>
        </is>
      </c>
      <c r="G22" s="30" t="inlineStr">
        <is>
          <t>smallcap</t>
        </is>
      </c>
      <c r="H22" s="31" t="n">
        <v>1260.95</v>
      </c>
      <c r="I22" s="31" t="n">
        <v>66.25</v>
      </c>
      <c r="J22" s="31" t="n">
        <v>0.61</v>
      </c>
      <c r="K22" s="31" t="n">
        <v>0</v>
      </c>
      <c r="L22" s="30" t="n">
        <v>84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82.52</v>
      </c>
      <c r="P22" s="31" t="n">
        <v>55.69</v>
      </c>
      <c r="Q22" s="31" t="n">
        <v>51.55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-6.14</v>
      </c>
      <c r="U22" s="31" t="n">
        <v>107.3</v>
      </c>
      <c r="V22" s="31" t="n">
        <v>120.87</v>
      </c>
      <c r="W22" s="31" t="n">
        <v>33.68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18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MARKSANS</t>
        </is>
      </c>
      <c r="D23" s="30" t="inlineStr">
        <is>
          <t>Marksans Pharma Ltd</t>
        </is>
      </c>
      <c r="E23" s="30" t="inlineStr">
        <is>
          <t>healthcare</t>
        </is>
      </c>
      <c r="F23" s="30" t="inlineStr">
        <is>
          <t>Pharma Formulations</t>
        </is>
      </c>
      <c r="G23" s="30" t="inlineStr">
        <is>
          <t>midcap</t>
        </is>
      </c>
      <c r="H23" s="31" t="n">
        <v>15248.96</v>
      </c>
      <c r="I23" s="31" t="n">
        <v>336.5</v>
      </c>
      <c r="J23" s="31" t="n">
        <v>-0.27</v>
      </c>
      <c r="K23" s="31" t="n">
        <v>0</v>
      </c>
      <c r="L23" s="30" t="n">
        <v>69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72.56999999999999</v>
      </c>
      <c r="P23" s="31" t="n">
        <v>57.06</v>
      </c>
      <c r="Q23" s="31" t="n">
        <v>260.61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25.55</v>
      </c>
      <c r="U23" s="31" t="n">
        <v>105.55</v>
      </c>
      <c r="V23" s="31" t="n">
        <v>63.71</v>
      </c>
      <c r="W23" s="31" t="n">
        <v>24.18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22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ENTERO</t>
        </is>
      </c>
      <c r="D24" s="30" t="inlineStr">
        <is>
          <t>Entero Healthcare Solutions Ltd</t>
        </is>
      </c>
      <c r="E24" s="30" t="inlineStr">
        <is>
          <t>healthcare</t>
        </is>
      </c>
      <c r="F24" s="30" t="inlineStr">
        <is>
          <t>Pharma Distribution</t>
        </is>
      </c>
      <c r="G24" s="30" t="inlineStr">
        <is>
          <t>midcap</t>
        </is>
      </c>
      <c r="H24" s="31" t="n">
        <v>7901.61</v>
      </c>
      <c r="I24" s="31" t="n">
        <v>1815.5</v>
      </c>
      <c r="J24" s="31" t="n">
        <v>-1.98</v>
      </c>
      <c r="K24" s="31" t="n">
        <v>0</v>
      </c>
      <c r="L24" s="30" t="n">
        <v>70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73.23999999999999</v>
      </c>
      <c r="P24" s="31" t="n">
        <v>42.86</v>
      </c>
      <c r="Q24" s="31" t="n">
        <v>1418.21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25.55</v>
      </c>
      <c r="U24" s="31" t="n">
        <v>68.19</v>
      </c>
      <c r="V24" s="31" t="n">
        <v>33.96</v>
      </c>
      <c r="W24" s="31" t="n">
        <v>24.39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21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ASMTEC</t>
        </is>
      </c>
      <c r="D25" s="30" t="inlineStr">
        <is>
          <t>ASM Technologies Ltd</t>
        </is>
      </c>
      <c r="E25" s="30" t="inlineStr">
        <is>
          <t>Technology</t>
        </is>
      </c>
      <c r="F25" s="30" t="inlineStr">
        <is>
          <t>IT Services</t>
        </is>
      </c>
      <c r="G25" s="30" t="inlineStr">
        <is>
          <t>midcap</t>
        </is>
      </c>
      <c r="H25" s="31" t="n">
        <v>10239.76</v>
      </c>
      <c r="I25" s="31" t="n">
        <v>7019.95</v>
      </c>
      <c r="J25" s="31" t="n">
        <v>2.07</v>
      </c>
      <c r="K25" s="31" t="n">
        <v>0</v>
      </c>
      <c r="L25" s="30" t="n">
        <v>85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83.09</v>
      </c>
      <c r="P25" s="31" t="n">
        <v>57.17</v>
      </c>
      <c r="Q25" s="31" t="n">
        <v>5235.96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-6.14</v>
      </c>
      <c r="U25" s="31" t="n">
        <v>70.04000000000001</v>
      </c>
      <c r="V25" s="31" t="n">
        <v>81.16</v>
      </c>
      <c r="W25" s="31" t="n">
        <v>35.22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Between 1.5 to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21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MOREPENLAB</t>
        </is>
      </c>
      <c r="D26" s="30" t="inlineStr">
        <is>
          <t>Morepen Laboratories Ltd</t>
        </is>
      </c>
      <c r="E26" s="30" t="inlineStr">
        <is>
          <t>healthcare</t>
        </is>
      </c>
      <c r="F26" s="30" t="inlineStr">
        <is>
          <t>Pharma API</t>
        </is>
      </c>
      <c r="G26" s="30" t="inlineStr">
        <is>
          <t>midcap</t>
        </is>
      </c>
      <c r="H26" s="31" t="n">
        <v>6608.87</v>
      </c>
      <c r="I26" s="31" t="n">
        <v>120.61</v>
      </c>
      <c r="J26" s="31" t="n">
        <v>3.44</v>
      </c>
      <c r="K26" s="31" t="n">
        <v>0</v>
      </c>
      <c r="L26" s="30" t="n">
        <v>96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87.92</v>
      </c>
      <c r="P26" s="31" t="n">
        <v>55.3</v>
      </c>
      <c r="Q26" s="31" t="n">
        <v>89.51000000000001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25.55</v>
      </c>
      <c r="U26" s="31" t="n">
        <v>146.74</v>
      </c>
      <c r="V26" s="31" t="n">
        <v>96.52</v>
      </c>
      <c r="W26" s="31" t="n">
        <v>54.55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21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INDSWFTLAB</t>
        </is>
      </c>
      <c r="D27" s="33" t="inlineStr">
        <is>
          <t>Ind-Swift Laboratories Ltd</t>
        </is>
      </c>
      <c r="E27" s="30" t="inlineStr">
        <is>
          <t>healthcare</t>
        </is>
      </c>
      <c r="F27" s="30" t="inlineStr">
        <is>
          <t>Pharma Formulations</t>
        </is>
      </c>
      <c r="G27" s="30" t="inlineStr">
        <is>
          <t>smallcap</t>
        </is>
      </c>
      <c r="H27" s="31" t="n">
        <v>3547.6</v>
      </c>
      <c r="I27" s="31" t="n">
        <v>407.95</v>
      </c>
      <c r="J27" s="31" t="n">
        <v>1.67</v>
      </c>
      <c r="K27" s="31" t="n">
        <v>0</v>
      </c>
      <c r="L27" s="30" t="n">
        <v>97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85.44</v>
      </c>
      <c r="P27" s="31" t="n">
        <v>76.01000000000001</v>
      </c>
      <c r="Q27" s="31" t="n">
        <v>297.99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25.55</v>
      </c>
      <c r="U27" s="31" t="n">
        <v>304.63</v>
      </c>
      <c r="V27" s="31" t="n">
        <v>222.28</v>
      </c>
      <c r="W27" s="31" t="n">
        <v>58.1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20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SAKAR</t>
        </is>
      </c>
      <c r="D28" s="30" t="inlineStr">
        <is>
          <t>Sakar Healthcare Ltd</t>
        </is>
      </c>
      <c r="E28" s="30" t="inlineStr">
        <is>
          <t>healthcare</t>
        </is>
      </c>
      <c r="F28" s="30" t="inlineStr">
        <is>
          <t>Pharma Integrated</t>
        </is>
      </c>
      <c r="G28" s="30" t="inlineStr">
        <is>
          <t>smallcap</t>
        </is>
      </c>
      <c r="H28" s="31" t="n">
        <v>2536.04</v>
      </c>
      <c r="I28" s="31" t="n">
        <v>1139.8</v>
      </c>
      <c r="J28" s="31" t="n">
        <v>1</v>
      </c>
      <c r="K28" s="31" t="n">
        <v>0</v>
      </c>
      <c r="L28" s="30" t="n">
        <v>86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72.42</v>
      </c>
      <c r="P28" s="31" t="n">
        <v>53.93</v>
      </c>
      <c r="Q28" s="31" t="n">
        <v>861.0700000000001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25.55</v>
      </c>
      <c r="U28" s="31" t="n">
        <v>218.61</v>
      </c>
      <c r="V28" s="31" t="n">
        <v>153.77</v>
      </c>
      <c r="W28" s="31" t="n">
        <v>35.64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19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BODALCHEM</t>
        </is>
      </c>
      <c r="D29" s="30" t="inlineStr">
        <is>
          <t>Bodal Chemicals Ltd</t>
        </is>
      </c>
      <c r="E29" s="30" t="inlineStr">
        <is>
          <t>chemicals</t>
        </is>
      </c>
      <c r="F29" s="30" t="inlineStr">
        <is>
          <t>Dyes and Pigments</t>
        </is>
      </c>
      <c r="G29" s="30" t="inlineStr">
        <is>
          <t>smallcap</t>
        </is>
      </c>
      <c r="H29" s="31" t="n">
        <v>2549.11</v>
      </c>
      <c r="I29" s="31" t="n">
        <v>202.4</v>
      </c>
      <c r="J29" s="31" t="n">
        <v>3.75</v>
      </c>
      <c r="K29" s="31" t="n">
        <v>0</v>
      </c>
      <c r="L29" s="30" t="n">
        <v>98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91.14</v>
      </c>
      <c r="P29" s="31" t="n">
        <v>44.72</v>
      </c>
      <c r="Q29" s="31" t="n">
        <v>159.36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-6.14</v>
      </c>
      <c r="U29" s="31" t="n">
        <v>221.69</v>
      </c>
      <c r="V29" s="31" t="n">
        <v>242.74</v>
      </c>
      <c r="W29" s="31" t="n">
        <v>83.48999999999999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Between 0.7 to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31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PCJEWELLER</t>
        </is>
      </c>
      <c r="D30" s="33" t="inlineStr">
        <is>
          <t>PC Jeweller Ltd</t>
        </is>
      </c>
      <c r="E30" s="30" t="inlineStr">
        <is>
          <t>consumer discretionary</t>
        </is>
      </c>
      <c r="F30" s="30" t="inlineStr">
        <is>
          <t>Diamond Gems and Jewellery</t>
        </is>
      </c>
      <c r="G30" s="30" t="inlineStr">
        <is>
          <t>midcap</t>
        </is>
      </c>
      <c r="H30" s="31" t="n">
        <v>13846.07</v>
      </c>
      <c r="I30" s="31" t="n">
        <v>14.17</v>
      </c>
      <c r="J30" s="31" t="n">
        <v>-0.5600000000000001</v>
      </c>
      <c r="K30" s="31" t="n">
        <v>0</v>
      </c>
      <c r="L30" s="30" t="n">
        <v>60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69.76000000000001</v>
      </c>
      <c r="P30" s="31" t="n">
        <v>29.99</v>
      </c>
      <c r="Q30" s="31" t="n">
        <v>10.01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-6.14</v>
      </c>
      <c r="U30" s="31" t="n">
        <v>16.13</v>
      </c>
      <c r="V30" s="31" t="n">
        <v>23.73</v>
      </c>
      <c r="W30" s="31" t="n">
        <v>19.82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29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BIRLACABLE</t>
        </is>
      </c>
      <c r="D31" s="30" t="inlineStr">
        <is>
          <t>Birla Cable Ltd</t>
        </is>
      </c>
      <c r="E31" s="30" t="inlineStr">
        <is>
          <t>industrials</t>
        </is>
      </c>
      <c r="F31" s="30" t="inlineStr">
        <is>
          <t>Cables Telecom</t>
        </is>
      </c>
      <c r="G31" s="30" t="inlineStr">
        <is>
          <t>smallcap</t>
        </is>
      </c>
      <c r="H31" s="31" t="n">
        <v>1087.35</v>
      </c>
      <c r="I31" s="31" t="n">
        <v>362.45</v>
      </c>
      <c r="J31" s="31" t="n">
        <v>5</v>
      </c>
      <c r="K31" s="31" t="n">
        <v>0</v>
      </c>
      <c r="L31" s="30" t="inlineStr"/>
      <c r="M31" s="30" t="inlineStr"/>
      <c r="N31" s="31">
        <f>IF(M31="Underperforming",-5,IF(L31&gt;=95,15,IF(L31&gt;=90,10,IF(L31&gt;=80,5,0))))</f>
        <v/>
      </c>
      <c r="O31" s="31" t="n">
        <v>69.56999999999999</v>
      </c>
      <c r="P31" s="31" t="n">
        <v>53.12</v>
      </c>
      <c r="Q31" s="31" t="n">
        <v>291.07</v>
      </c>
      <c r="R31" s="30" t="inlineStr">
        <is>
          <t>Volume Spike / Accumulation</t>
        </is>
      </c>
      <c r="S31" s="30" t="inlineStr">
        <is>
          <t>Nifty Infra</t>
        </is>
      </c>
      <c r="T31" s="31" t="inlineStr"/>
      <c r="U31" s="31" t="inlineStr"/>
      <c r="V31" s="31" t="inlineStr"/>
      <c r="W31" s="31" t="inlineStr"/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Oligopoly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27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ARROWGREEN</t>
        </is>
      </c>
      <c r="D32" s="30" t="inlineStr">
        <is>
          <t>Arrow Greentech Ltd</t>
        </is>
      </c>
      <c r="E32" s="30" t="inlineStr">
        <is>
          <t>plastic products</t>
        </is>
      </c>
      <c r="F32" s="30" t="inlineStr">
        <is>
          <t>Plastics Plastic and Plastic Products</t>
        </is>
      </c>
      <c r="G32" s="30" t="inlineStr">
        <is>
          <t>smallcap</t>
        </is>
      </c>
      <c r="H32" s="31" t="n">
        <v>1364.03</v>
      </c>
      <c r="I32" s="31" t="n">
        <v>904.05</v>
      </c>
      <c r="J32" s="31" t="n">
        <v>0.9</v>
      </c>
      <c r="K32" s="31" t="n">
        <v>0</v>
      </c>
      <c r="L32" s="30" t="n">
        <v>74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71.87</v>
      </c>
      <c r="P32" s="31" t="n">
        <v>47.87</v>
      </c>
      <c r="Q32" s="31" t="n">
        <v>671.47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-6.14</v>
      </c>
      <c r="U32" s="31" t="n">
        <v>66.47</v>
      </c>
      <c r="V32" s="31" t="n">
        <v>77.36</v>
      </c>
      <c r="W32" s="31" t="n">
        <v>26.22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23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SYRMA</t>
        </is>
      </c>
      <c r="D33" s="30" t="inlineStr">
        <is>
          <t>Syrma SGS Technology Ltd</t>
        </is>
      </c>
      <c r="E33" s="30" t="inlineStr">
        <is>
          <t>consumer discretionary</t>
        </is>
      </c>
      <c r="F33" s="30" t="inlineStr">
        <is>
          <t>EMS</t>
        </is>
      </c>
      <c r="G33" s="30" t="inlineStr">
        <is>
          <t>largecap</t>
        </is>
      </c>
      <c r="H33" s="31" t="n">
        <v>33378.96</v>
      </c>
      <c r="I33" s="31" t="n">
        <v>1731</v>
      </c>
      <c r="J33" s="31" t="n">
        <v>1.91</v>
      </c>
      <c r="K33" s="31" t="n">
        <v>0</v>
      </c>
      <c r="L33" s="30" t="n">
        <v>69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76.66</v>
      </c>
      <c r="P33" s="31" t="n">
        <v>60.77</v>
      </c>
      <c r="Q33" s="31" t="n">
        <v>1338.25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-6.14</v>
      </c>
      <c r="U33" s="31" t="n">
        <v>116.03</v>
      </c>
      <c r="V33" s="31" t="n">
        <v>130.16</v>
      </c>
      <c r="W33" s="31" t="n">
        <v>23.93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22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MACPOWER</t>
        </is>
      </c>
      <c r="D34" s="30" t="inlineStr">
        <is>
          <t>Macpower CNC Machines Ltd</t>
        </is>
      </c>
      <c r="E34" s="30" t="inlineStr">
        <is>
          <t>industrials</t>
        </is>
      </c>
      <c r="F34" s="30" t="inlineStr">
        <is>
          <t>CNC Machines</t>
        </is>
      </c>
      <c r="G34" s="30" t="inlineStr">
        <is>
          <t>smallcap</t>
        </is>
      </c>
      <c r="H34" s="31" t="n">
        <v>2084.87</v>
      </c>
      <c r="I34" s="31" t="n">
        <v>2084</v>
      </c>
      <c r="J34" s="31" t="n">
        <v>1.11</v>
      </c>
      <c r="K34" s="31" t="n">
        <v>0</v>
      </c>
      <c r="L34" s="30" t="n">
        <v>89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73.12</v>
      </c>
      <c r="P34" s="31" t="n">
        <v>51.88</v>
      </c>
      <c r="Q34" s="31" t="n">
        <v>1485.53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-6.14</v>
      </c>
      <c r="U34" s="31" t="n">
        <v>147.2</v>
      </c>
      <c r="V34" s="31" t="n">
        <v>163.38</v>
      </c>
      <c r="W34" s="31" t="n">
        <v>40.21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22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LOTUSDEV</t>
        </is>
      </c>
      <c r="D35" s="30" t="inlineStr">
        <is>
          <t>Sri Lotus Developers &amp; Realty Ltd</t>
        </is>
      </c>
      <c r="E35" s="30" t="inlineStr">
        <is>
          <t>realty</t>
        </is>
      </c>
      <c r="F35" s="30" t="inlineStr">
        <is>
          <t>Construction Factories and Offices and Commercial</t>
        </is>
      </c>
      <c r="G35" s="30" t="inlineStr">
        <is>
          <t>midcap</t>
        </is>
      </c>
      <c r="H35" s="31" t="n">
        <v>10654.18</v>
      </c>
      <c r="I35" s="31" t="n">
        <v>218</v>
      </c>
      <c r="J35" s="31" t="n">
        <v>-0.48</v>
      </c>
      <c r="K35" s="31" t="n">
        <v>0</v>
      </c>
      <c r="L35" s="30" t="inlineStr"/>
      <c r="M35" s="30" t="inlineStr"/>
      <c r="N35" s="31">
        <f>IF(M35="Underperforming",-5,IF(L35&gt;=95,15,IF(L35&gt;=90,10,IF(L35&gt;=80,5,0))))</f>
        <v/>
      </c>
      <c r="O35" s="31" t="n">
        <v>67.7</v>
      </c>
      <c r="P35" s="31" t="n">
        <v>26.46</v>
      </c>
      <c r="Q35" s="31" t="n">
        <v>166.09</v>
      </c>
      <c r="R35" s="30" t="inlineStr">
        <is>
          <t>Near 52W High Breakout</t>
        </is>
      </c>
      <c r="S35" s="30" t="inlineStr">
        <is>
          <t>Nifty Realty</t>
        </is>
      </c>
      <c r="T35" s="31" t="inlineStr"/>
      <c r="U35" s="31" t="inlineStr"/>
      <c r="V35" s="31" t="inlineStr"/>
      <c r="W35" s="31" t="inlineStr"/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21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MARINE</t>
        </is>
      </c>
      <c r="D36" s="33" t="inlineStr">
        <is>
          <t>Marine Electricals (India) Ltd</t>
        </is>
      </c>
      <c r="E36" s="30" t="inlineStr">
        <is>
          <t>industrials</t>
        </is>
      </c>
      <c r="F36" s="30" t="inlineStr">
        <is>
          <t>Shipping Proxy</t>
        </is>
      </c>
      <c r="G36" s="30" t="inlineStr">
        <is>
          <t>midcap</t>
        </is>
      </c>
      <c r="H36" s="31" t="n">
        <v>5793.7</v>
      </c>
      <c r="I36" s="31" t="n">
        <v>414</v>
      </c>
      <c r="J36" s="31" t="n">
        <v>3.11</v>
      </c>
      <c r="K36" s="31" t="n">
        <v>0</v>
      </c>
      <c r="L36" s="30" t="n">
        <v>79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69.93000000000001</v>
      </c>
      <c r="P36" s="31" t="n">
        <v>48.7</v>
      </c>
      <c r="Q36" s="31" t="n">
        <v>307.99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-6.14</v>
      </c>
      <c r="U36" s="31" t="n">
        <v>94.90000000000001</v>
      </c>
      <c r="V36" s="31" t="n">
        <v>107.66</v>
      </c>
      <c r="W36" s="31" t="n">
        <v>30.21</v>
      </c>
      <c r="X36" s="30" t="inlineStr">
        <is>
          <t>Cyclical in an Upturn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MOTISONS</t>
        </is>
      </c>
      <c r="D37" s="33" t="inlineStr">
        <is>
          <t>Motisons Jewellers Ltd</t>
        </is>
      </c>
      <c r="E37" s="30" t="inlineStr">
        <is>
          <t>consumer discretionary</t>
        </is>
      </c>
      <c r="F37" s="30" t="inlineStr">
        <is>
          <t>Diamond Gems and Jewellery</t>
        </is>
      </c>
      <c r="G37" s="30" t="inlineStr">
        <is>
          <t>smallcap</t>
        </is>
      </c>
      <c r="H37" s="31" t="n">
        <v>2032.72</v>
      </c>
      <c r="I37" s="31" t="n">
        <v>17.87</v>
      </c>
      <c r="J37" s="31" t="n">
        <v>-4.9</v>
      </c>
      <c r="K37" s="31" t="n">
        <v>0</v>
      </c>
      <c r="L37" s="30" t="n">
        <v>20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63.53</v>
      </c>
      <c r="P37" s="31" t="n">
        <v>24.19</v>
      </c>
      <c r="Q37" s="31" t="n">
        <v>12.43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-6.14</v>
      </c>
      <c r="U37" s="31" t="n">
        <v>-1.92</v>
      </c>
      <c r="V37" s="31" t="n">
        <v>4.49</v>
      </c>
      <c r="W37" s="31" t="n">
        <v>7.28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KABRAEXTRU</t>
        </is>
      </c>
      <c r="D38" s="30" t="inlineStr">
        <is>
          <t>Kabra Extrusion Technik Ltd</t>
        </is>
      </c>
      <c r="E38" s="30" t="inlineStr">
        <is>
          <t>industrials</t>
        </is>
      </c>
      <c r="F38" s="30" t="inlineStr">
        <is>
          <t>Capital Goods Engineering Heavy</t>
        </is>
      </c>
      <c r="G38" s="30" t="inlineStr">
        <is>
          <t>smallcap</t>
        </is>
      </c>
      <c r="H38" s="31" t="n">
        <v>2960.1</v>
      </c>
      <c r="I38" s="31" t="n">
        <v>846.4</v>
      </c>
      <c r="J38" s="31" t="n">
        <v>5</v>
      </c>
      <c r="K38" s="31" t="n">
        <v>0</v>
      </c>
      <c r="L38" s="30" t="n">
        <v>99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86.12</v>
      </c>
      <c r="P38" s="31" t="n">
        <v>66.29000000000001</v>
      </c>
      <c r="Q38" s="31" t="n">
        <v>637.08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-6.14</v>
      </c>
      <c r="U38" s="31" t="n">
        <v>223.36</v>
      </c>
      <c r="V38" s="31" t="n">
        <v>244.52</v>
      </c>
      <c r="W38" s="31" t="n">
        <v>98.06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WELSPUNLIV</t>
        </is>
      </c>
      <c r="D39" s="30" t="inlineStr">
        <is>
          <t>Welspun Living Ltd</t>
        </is>
      </c>
      <c r="E39" s="30" t="inlineStr">
        <is>
          <t>textiles</t>
        </is>
      </c>
      <c r="F39" s="30" t="inlineStr">
        <is>
          <t>Textiles Home Textile</t>
        </is>
      </c>
      <c r="G39" s="30" t="inlineStr">
        <is>
          <t>largecap</t>
        </is>
      </c>
      <c r="H39" s="31" t="n">
        <v>21257.88</v>
      </c>
      <c r="I39" s="31" t="n">
        <v>225.01</v>
      </c>
      <c r="J39" s="31" t="n">
        <v>1.21</v>
      </c>
      <c r="K39" s="31" t="n">
        <v>0</v>
      </c>
      <c r="L39" s="30" t="n">
        <v>66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81.95</v>
      </c>
      <c r="P39" s="31" t="n">
        <v>43.96</v>
      </c>
      <c r="Q39" s="31" t="n">
        <v>180.58</v>
      </c>
      <c r="R39" s="30" t="inlineStr">
        <is>
          <t>Near 52W High Breakout</t>
        </is>
      </c>
      <c r="S39" s="30" t="inlineStr">
        <is>
          <t>Nifty 50</t>
        </is>
      </c>
      <c r="T39" s="31" t="n">
        <v>-6.14</v>
      </c>
      <c r="U39" s="31" t="n">
        <v>93.02</v>
      </c>
      <c r="V39" s="31" t="n">
        <v>105.65</v>
      </c>
      <c r="W39" s="31" t="n">
        <v>22.81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18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KPL</t>
        </is>
      </c>
      <c r="D40" s="30" t="inlineStr">
        <is>
          <t>Kwality Pharmaceuticals Ltd</t>
        </is>
      </c>
      <c r="E40" s="30" t="inlineStr">
        <is>
          <t>Healthcare</t>
        </is>
      </c>
      <c r="F40" s="30" t="inlineStr">
        <is>
          <t>Pharma Formulations</t>
        </is>
      </c>
      <c r="G40" s="30" t="inlineStr">
        <is>
          <t>smallcap</t>
        </is>
      </c>
      <c r="H40" s="31" t="n">
        <v>3799.76</v>
      </c>
      <c r="I40" s="31" t="n">
        <v>3662</v>
      </c>
      <c r="J40" s="31" t="n">
        <v>0.89</v>
      </c>
      <c r="K40" s="31" t="n">
        <v>0</v>
      </c>
      <c r="L40" s="30" t="n">
        <v>93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75.15000000000001</v>
      </c>
      <c r="P40" s="31" t="n">
        <v>69.75</v>
      </c>
      <c r="Q40" s="31" t="n">
        <v>2655.86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25.55</v>
      </c>
      <c r="U40" s="31" t="n">
        <v>306.58</v>
      </c>
      <c r="V40" s="31" t="n">
        <v>223.83</v>
      </c>
      <c r="W40" s="31" t="n">
        <v>45.02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23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VALIANT</t>
        </is>
      </c>
      <c r="D41" s="30" t="inlineStr">
        <is>
          <t>Valiant Communications Ltd</t>
        </is>
      </c>
      <c r="E41" s="30" t="inlineStr">
        <is>
          <t>Technology</t>
        </is>
      </c>
      <c r="F41" s="30" t="inlineStr">
        <is>
          <t>Telecommunications Equipment</t>
        </is>
      </c>
      <c r="G41" s="30" t="inlineStr">
        <is>
          <t>smallcap</t>
        </is>
      </c>
      <c r="H41" s="31" t="n">
        <v>1731.6</v>
      </c>
      <c r="I41" s="31" t="n">
        <v>1481</v>
      </c>
      <c r="J41" s="31" t="n">
        <v>2.46</v>
      </c>
      <c r="K41" s="31" t="n">
        <v>0</v>
      </c>
      <c r="L41" s="30" t="n">
        <v>75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71.7</v>
      </c>
      <c r="P41" s="31" t="n">
        <v>24.01</v>
      </c>
      <c r="Q41" s="31" t="n">
        <v>1036.33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-6.14</v>
      </c>
      <c r="U41" s="31" t="n">
        <v>125.09</v>
      </c>
      <c r="V41" s="31" t="n">
        <v>139.82</v>
      </c>
      <c r="W41" s="31" t="n">
        <v>26.61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Oligopoly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20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INNOVACAP</t>
        </is>
      </c>
      <c r="D42" s="33" t="inlineStr">
        <is>
          <t>Innova Captab Ltd</t>
        </is>
      </c>
      <c r="E42" s="30" t="inlineStr">
        <is>
          <t>healthcare</t>
        </is>
      </c>
      <c r="F42" s="30" t="inlineStr">
        <is>
          <t>Pharma CRAMS</t>
        </is>
      </c>
      <c r="G42" s="30" t="inlineStr">
        <is>
          <t>midcap</t>
        </is>
      </c>
      <c r="H42" s="31" t="n">
        <v>7353.4</v>
      </c>
      <c r="I42" s="31" t="n">
        <v>1285</v>
      </c>
      <c r="J42" s="31" t="n">
        <v>-0.8</v>
      </c>
      <c r="K42" s="31" t="n">
        <v>0</v>
      </c>
      <c r="L42" s="30" t="n">
        <v>55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78.12</v>
      </c>
      <c r="P42" s="31" t="n">
        <v>62.61</v>
      </c>
      <c r="Q42" s="31" t="n">
        <v>999.38</v>
      </c>
      <c r="R42" s="30" t="inlineStr">
        <is>
          <t>Volume Spike &amp; Near 52W High Breakout</t>
        </is>
      </c>
      <c r="S42" s="30" t="inlineStr">
        <is>
          <t>Nifty Pharma</t>
        </is>
      </c>
      <c r="T42" s="31" t="n">
        <v>25.55</v>
      </c>
      <c r="U42" s="31" t="n">
        <v>52.04</v>
      </c>
      <c r="V42" s="31" t="n">
        <v>21.09</v>
      </c>
      <c r="W42" s="31" t="n">
        <v>18.25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20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AHCL</t>
        </is>
      </c>
      <c r="D43" s="30" t="inlineStr">
        <is>
          <t>Anlon Healthcare Ltd</t>
        </is>
      </c>
      <c r="E43" s="30" t="inlineStr">
        <is>
          <t>healthcare</t>
        </is>
      </c>
      <c r="F43" s="30" t="inlineStr">
        <is>
          <t>Pharma API</t>
        </is>
      </c>
      <c r="G43" s="30" t="inlineStr">
        <is>
          <t>smallcap</t>
        </is>
      </c>
      <c r="H43" s="31" t="n">
        <v>1674.8</v>
      </c>
      <c r="I43" s="31" t="n">
        <v>31.51</v>
      </c>
      <c r="J43" s="31" t="n">
        <v>9.98</v>
      </c>
      <c r="K43" s="31" t="n">
        <v>0</v>
      </c>
      <c r="L43" s="30" t="n">
        <v>91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87.42</v>
      </c>
      <c r="P43" s="31" t="n">
        <v>44.75</v>
      </c>
      <c r="Q43" s="31" t="n">
        <v>24.35</v>
      </c>
      <c r="R43" s="30" t="inlineStr">
        <is>
          <t>Volume Spike &amp; Near 52W High Breakout</t>
        </is>
      </c>
      <c r="S43" s="30" t="inlineStr">
        <is>
          <t>Nifty Pharma</t>
        </is>
      </c>
      <c r="T43" s="31" t="n">
        <v>25.55</v>
      </c>
      <c r="U43" s="31" t="n">
        <v>144.89</v>
      </c>
      <c r="V43" s="31" t="n">
        <v>95.05</v>
      </c>
      <c r="W43" s="31" t="n">
        <v>44.02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EBGNG</t>
        </is>
      </c>
      <c r="D44" s="30" t="inlineStr">
        <is>
          <t>GNG Electronics Ltd</t>
        </is>
      </c>
      <c r="E44" s="30" t="inlineStr">
        <is>
          <t>Technology</t>
        </is>
      </c>
      <c r="F44" s="30" t="inlineStr">
        <is>
          <t>New age Platform E Retail</t>
        </is>
      </c>
      <c r="G44" s="30" t="inlineStr">
        <is>
          <t>midcap</t>
        </is>
      </c>
      <c r="H44" s="31" t="n">
        <v>7614.26</v>
      </c>
      <c r="I44" s="31" t="n">
        <v>667.85</v>
      </c>
      <c r="J44" s="31" t="n">
        <v>-1.3</v>
      </c>
      <c r="K44" s="31" t="n">
        <v>0</v>
      </c>
      <c r="L44" s="30" t="n">
        <v>59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65.09</v>
      </c>
      <c r="P44" s="31" t="n">
        <v>39.22</v>
      </c>
      <c r="Q44" s="31" t="n">
        <v>500.14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-6.14</v>
      </c>
      <c r="U44" s="31" t="n">
        <v>93.63</v>
      </c>
      <c r="V44" s="31" t="n">
        <v>106.3</v>
      </c>
      <c r="W44" s="31" t="n">
        <v>19.6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B2C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SHILPAMED</t>
        </is>
      </c>
      <c r="D45" s="30" t="inlineStr">
        <is>
          <t>Shilpa Medicare Ltd</t>
        </is>
      </c>
      <c r="E45" s="30" t="inlineStr">
        <is>
          <t>healthcare</t>
        </is>
      </c>
      <c r="F45" s="30" t="inlineStr">
        <is>
          <t>Pharma API</t>
        </is>
      </c>
      <c r="G45" s="30" t="inlineStr">
        <is>
          <t>midcap</t>
        </is>
      </c>
      <c r="H45" s="31" t="n">
        <v>19753.76</v>
      </c>
      <c r="I45" s="31" t="n">
        <v>1010</v>
      </c>
      <c r="J45" s="31" t="n">
        <v>0.27</v>
      </c>
      <c r="K45" s="31" t="n">
        <v>0</v>
      </c>
      <c r="L45" s="30" t="n">
        <v>90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90.43000000000001</v>
      </c>
      <c r="P45" s="31" t="n">
        <v>81.55</v>
      </c>
      <c r="Q45" s="31" t="n">
        <v>817.72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25.55</v>
      </c>
      <c r="U45" s="31" t="n">
        <v>162.77</v>
      </c>
      <c r="V45" s="31" t="n">
        <v>109.29</v>
      </c>
      <c r="W45" s="31" t="n">
        <v>42.08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19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FCL</t>
        </is>
      </c>
      <c r="D46" s="30" t="inlineStr">
        <is>
          <t>Fineotex Chemical Ltd</t>
        </is>
      </c>
      <c r="E46" s="30" t="inlineStr">
        <is>
          <t>chemicals</t>
        </is>
      </c>
      <c r="F46" s="30" t="inlineStr">
        <is>
          <t>Specialty Chemicals</t>
        </is>
      </c>
      <c r="G46" s="30" t="inlineStr">
        <is>
          <t>midcap</t>
        </is>
      </c>
      <c r="H46" s="31" t="n">
        <v>7033.59</v>
      </c>
      <c r="I46" s="31" t="n">
        <v>60.4</v>
      </c>
      <c r="J46" s="31" t="n">
        <v>7.72</v>
      </c>
      <c r="K46" s="31" t="n">
        <v>0</v>
      </c>
      <c r="L46" s="30" t="n">
        <v>86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81.65000000000001</v>
      </c>
      <c r="P46" s="31" t="n">
        <v>48.81</v>
      </c>
      <c r="Q46" s="31" t="n">
        <v>45.03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-6.14</v>
      </c>
      <c r="U46" s="31" t="n">
        <v>142.52</v>
      </c>
      <c r="V46" s="31" t="n">
        <v>158.39</v>
      </c>
      <c r="W46" s="31" t="n">
        <v>35.96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24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NRBBEARING</t>
        </is>
      </c>
      <c r="D47" s="30" t="inlineStr">
        <is>
          <t>NRB Bearings Ltd</t>
        </is>
      </c>
      <c r="E47" s="30" t="inlineStr">
        <is>
          <t>industrials</t>
        </is>
      </c>
      <c r="F47" s="30" t="inlineStr">
        <is>
          <t>Bearings</t>
        </is>
      </c>
      <c r="G47" s="30" t="inlineStr">
        <is>
          <t>midcap</t>
        </is>
      </c>
      <c r="H47" s="31" t="n">
        <v>5185.36</v>
      </c>
      <c r="I47" s="31" t="n">
        <v>535</v>
      </c>
      <c r="J47" s="31" t="n">
        <v>1.15</v>
      </c>
      <c r="K47" s="31" t="n">
        <v>0</v>
      </c>
      <c r="L47" s="30" t="n">
        <v>69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74.94</v>
      </c>
      <c r="P47" s="31" t="n">
        <v>50.8</v>
      </c>
      <c r="Q47" s="31" t="n">
        <v>413.1</v>
      </c>
      <c r="R47" s="30" t="inlineStr">
        <is>
          <t>Near 52W High Breakout</t>
        </is>
      </c>
      <c r="S47" s="30" t="inlineStr">
        <is>
          <t>Nifty 50</t>
        </is>
      </c>
      <c r="T47" s="31" t="n">
        <v>-6.14</v>
      </c>
      <c r="U47" s="31" t="n">
        <v>96.40000000000001</v>
      </c>
      <c r="V47" s="31" t="n">
        <v>109.25</v>
      </c>
      <c r="W47" s="31" t="n">
        <v>24.37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Between 12 to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FINCABLES</t>
        </is>
      </c>
      <c r="D48" s="30" t="inlineStr">
        <is>
          <t>Finolex Cables Ltd</t>
        </is>
      </c>
      <c r="E48" s="30" t="inlineStr">
        <is>
          <t>industrials</t>
        </is>
      </c>
      <c r="F48" s="30" t="inlineStr">
        <is>
          <t>Cables Telecom</t>
        </is>
      </c>
      <c r="G48" s="30" t="inlineStr">
        <is>
          <t>largecap</t>
        </is>
      </c>
      <c r="H48" s="31" t="n">
        <v>22408.67</v>
      </c>
      <c r="I48" s="31" t="n">
        <v>1465.2</v>
      </c>
      <c r="J48" s="31" t="n">
        <v>-1</v>
      </c>
      <c r="K48" s="31" t="n">
        <v>0</v>
      </c>
      <c r="L48" s="30" t="inlineStr"/>
      <c r="M48" s="30" t="inlineStr"/>
      <c r="N48" s="31">
        <f>IF(M48="Underperforming",-5,IF(L48&gt;=95,15,IF(L48&gt;=90,10,IF(L48&gt;=80,5,0))))</f>
        <v/>
      </c>
      <c r="O48" s="31" t="n">
        <v>71.22</v>
      </c>
      <c r="P48" s="31" t="n">
        <v>38.42</v>
      </c>
      <c r="Q48" s="31" t="n">
        <v>1109.43</v>
      </c>
      <c r="R48" s="30" t="inlineStr">
        <is>
          <t>Near 52W High Breakout</t>
        </is>
      </c>
      <c r="S48" s="30" t="inlineStr">
        <is>
          <t>Nifty Energy</t>
        </is>
      </c>
      <c r="T48" s="31" t="inlineStr"/>
      <c r="U48" s="31" t="inlineStr"/>
      <c r="V48" s="31" t="inlineStr"/>
      <c r="W48" s="31" t="inlineStr"/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Oligopoly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20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3" t="inlineStr">
        <is>
          <t>AARTIPHARM</t>
        </is>
      </c>
      <c r="D49" s="33" t="inlineStr">
        <is>
          <t>Aarti Pharmalabs Ltd</t>
        </is>
      </c>
      <c r="E49" s="30" t="inlineStr">
        <is>
          <t>healthcare</t>
        </is>
      </c>
      <c r="F49" s="30" t="inlineStr">
        <is>
          <t>Pharma API</t>
        </is>
      </c>
      <c r="G49" s="30" t="inlineStr">
        <is>
          <t>midcap</t>
        </is>
      </c>
      <c r="H49" s="31" t="n">
        <v>8542.950000000001</v>
      </c>
      <c r="I49" s="31" t="n">
        <v>942.1</v>
      </c>
      <c r="J49" s="31" t="n">
        <v>0.84</v>
      </c>
      <c r="K49" s="31" t="n">
        <v>0</v>
      </c>
      <c r="L49" s="30" t="n">
        <v>36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69.13</v>
      </c>
      <c r="P49" s="31" t="n">
        <v>22.58</v>
      </c>
      <c r="Q49" s="31" t="n">
        <v>713.99</v>
      </c>
      <c r="R49" s="30" t="inlineStr">
        <is>
          <t>Volume Spike &amp; Near 52W High Breakout</t>
        </is>
      </c>
      <c r="S49" s="30" t="inlineStr">
        <is>
          <t>Nifty Pharma</t>
        </is>
      </c>
      <c r="T49" s="31" t="n">
        <v>25.55</v>
      </c>
      <c r="U49" s="31" t="n">
        <v>14.53</v>
      </c>
      <c r="V49" s="31" t="n">
        <v>-8.779999999999999</v>
      </c>
      <c r="W49" s="31" t="n">
        <v>11.69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25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EMUDHRA</t>
        </is>
      </c>
      <c r="D50" s="30" t="inlineStr">
        <is>
          <t>eMudhra Ltd</t>
        </is>
      </c>
      <c r="E50" s="30" t="inlineStr">
        <is>
          <t>i.t</t>
        </is>
      </c>
      <c r="F50" s="30" t="inlineStr">
        <is>
          <t>Services Others</t>
        </is>
      </c>
      <c r="G50" s="30" t="inlineStr">
        <is>
          <t>midcap</t>
        </is>
      </c>
      <c r="H50" s="31" t="n">
        <v>5396.84</v>
      </c>
      <c r="I50" s="31" t="n">
        <v>651.7</v>
      </c>
      <c r="J50" s="31" t="n">
        <v>-1.17</v>
      </c>
      <c r="K50" s="31" t="n">
        <v>0</v>
      </c>
      <c r="L50" s="30" t="n">
        <v>42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68.14</v>
      </c>
      <c r="P50" s="31" t="n">
        <v>26.01</v>
      </c>
      <c r="Q50" s="31" t="n">
        <v>496.37</v>
      </c>
      <c r="R50" s="30" t="inlineStr">
        <is>
          <t>Near 52W High Breakout</t>
        </is>
      </c>
      <c r="S50" s="30" t="inlineStr">
        <is>
          <t>Nifty IT</t>
        </is>
      </c>
      <c r="T50" s="31" t="n">
        <v>-16.44</v>
      </c>
      <c r="U50" s="31" t="n">
        <v>3.63</v>
      </c>
      <c r="V50" s="31" t="n">
        <v>24.02</v>
      </c>
      <c r="W50" s="31" t="n">
        <v>14.11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24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ACMESOLAR</t>
        </is>
      </c>
      <c r="D51" s="30" t="inlineStr">
        <is>
          <t>ACME Solar Holdings Ltd</t>
        </is>
      </c>
      <c r="E51" s="30" t="inlineStr">
        <is>
          <t>realty</t>
        </is>
      </c>
      <c r="F51" s="30" t="inlineStr">
        <is>
          <t>Power Generation and Distribution</t>
        </is>
      </c>
      <c r="G51" s="30" t="inlineStr">
        <is>
          <t>largecap</t>
        </is>
      </c>
      <c r="H51" s="31" t="n">
        <v>31077.73</v>
      </c>
      <c r="I51" s="31" t="n">
        <v>439.65</v>
      </c>
      <c r="J51" s="31" t="n">
        <v>-1.57</v>
      </c>
      <c r="K51" s="31" t="n">
        <v>0</v>
      </c>
      <c r="L51" s="30" t="inlineStr"/>
      <c r="M51" s="30" t="inlineStr"/>
      <c r="N51" s="31">
        <f>IF(M51="Underperforming",-5,IF(L51&gt;=95,15,IF(L51&gt;=90,10,IF(L51&gt;=80,5,0))))</f>
        <v/>
      </c>
      <c r="O51" s="31" t="n">
        <v>72.20999999999999</v>
      </c>
      <c r="P51" s="31" t="n">
        <v>52.07</v>
      </c>
      <c r="Q51" s="31" t="n">
        <v>344.49</v>
      </c>
      <c r="R51" s="30" t="inlineStr">
        <is>
          <t>Volume Spike &amp; Near 52W High Breakout</t>
        </is>
      </c>
      <c r="S51" s="30" t="inlineStr">
        <is>
          <t>Nifty Realty</t>
        </is>
      </c>
      <c r="T51" s="31" t="inlineStr"/>
      <c r="U51" s="31" t="inlineStr"/>
      <c r="V51" s="31" t="inlineStr"/>
      <c r="W51" s="31" t="inlineStr"/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More than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22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SANSERA</t>
        </is>
      </c>
      <c r="D52" s="30" t="inlineStr">
        <is>
          <t>Sansera Engineering Ltd</t>
        </is>
      </c>
      <c r="E52" s="30" t="inlineStr">
        <is>
          <t>auto</t>
        </is>
      </c>
      <c r="F52" s="30" t="inlineStr">
        <is>
          <t>Diversified Auto Components</t>
        </is>
      </c>
      <c r="G52" s="30" t="inlineStr">
        <is>
          <t>largecap</t>
        </is>
      </c>
      <c r="H52" s="31" t="n">
        <v>29149.09</v>
      </c>
      <c r="I52" s="31" t="n">
        <v>4670</v>
      </c>
      <c r="J52" s="31" t="n">
        <v>1.4</v>
      </c>
      <c r="K52" s="31" t="n">
        <v>0</v>
      </c>
      <c r="L52" s="30" t="inlineStr"/>
      <c r="M52" s="30" t="inlineStr"/>
      <c r="N52" s="31">
        <f>IF(M52="Underperforming",-5,IF(L52&gt;=95,15,IF(L52&gt;=90,10,IF(L52&gt;=80,5,0))))</f>
        <v/>
      </c>
      <c r="O52" s="31" t="n">
        <v>85.69</v>
      </c>
      <c r="P52" s="31" t="n">
        <v>67.64</v>
      </c>
      <c r="Q52" s="31" t="n">
        <v>3747.82</v>
      </c>
      <c r="R52" s="30" t="inlineStr">
        <is>
          <t>Volume Spike &amp; Near 52W High Breakout</t>
        </is>
      </c>
      <c r="S52" s="30" t="inlineStr">
        <is>
          <t>Nifty Auto</t>
        </is>
      </c>
      <c r="T52" s="31" t="inlineStr"/>
      <c r="U52" s="31" t="inlineStr"/>
      <c r="V52" s="31" t="inlineStr"/>
      <c r="W52" s="31" t="inlineStr"/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3" t="inlineStr">
        <is>
          <t>TATVA</t>
        </is>
      </c>
      <c r="D53" s="33" t="inlineStr">
        <is>
          <t>Tatva Chintan Pharma Chem Ltd</t>
        </is>
      </c>
      <c r="E53" s="30" t="inlineStr">
        <is>
          <t>chemicals</t>
        </is>
      </c>
      <c r="F53" s="30" t="inlineStr">
        <is>
          <t>Specialty Chemicals</t>
        </is>
      </c>
      <c r="G53" s="30" t="inlineStr">
        <is>
          <t>smallcap</t>
        </is>
      </c>
      <c r="H53" s="31" t="n">
        <v>4201.45</v>
      </c>
      <c r="I53" s="31" t="n">
        <v>1796.1</v>
      </c>
      <c r="J53" s="31" t="n">
        <v>3.9</v>
      </c>
      <c r="K53" s="31" t="n">
        <v>0</v>
      </c>
      <c r="L53" s="30" t="n">
        <v>72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67.77</v>
      </c>
      <c r="P53" s="31" t="n">
        <v>37.74</v>
      </c>
      <c r="Q53" s="31" t="n">
        <v>1346.16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-6.14</v>
      </c>
      <c r="U53" s="31" t="n">
        <v>77.65000000000001</v>
      </c>
      <c r="V53" s="31" t="n">
        <v>89.28</v>
      </c>
      <c r="W53" s="31" t="n">
        <v>25.02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20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SOMANYCERA</t>
        </is>
      </c>
      <c r="D54" s="30" t="inlineStr">
        <is>
          <t>Somany Ceramics Ltd</t>
        </is>
      </c>
      <c r="E54" s="30" t="inlineStr">
        <is>
          <t>building materials</t>
        </is>
      </c>
      <c r="F54" s="30" t="inlineStr">
        <is>
          <t>Ceramics Tiles and Sanitaryware</t>
        </is>
      </c>
      <c r="G54" s="30" t="inlineStr">
        <is>
          <t>smallcap</t>
        </is>
      </c>
      <c r="H54" s="31" t="n">
        <v>2522.29</v>
      </c>
      <c r="I54" s="31" t="n">
        <v>615</v>
      </c>
      <c r="J54" s="31" t="n">
        <v>2.18</v>
      </c>
      <c r="K54" s="31" t="n">
        <v>0</v>
      </c>
      <c r="L54" s="30" t="inlineStr"/>
      <c r="M54" s="30" t="inlineStr"/>
      <c r="N54" s="31">
        <f>IF(M54="Underperforming",-5,IF(L54&gt;=95,15,IF(L54&gt;=90,10,IF(L54&gt;=80,5,0))))</f>
        <v/>
      </c>
      <c r="O54" s="31" t="n">
        <v>73</v>
      </c>
      <c r="P54" s="31" t="n">
        <v>33.19</v>
      </c>
      <c r="Q54" s="31" t="n">
        <v>497.04</v>
      </c>
      <c r="R54" s="30" t="inlineStr">
        <is>
          <t>Near 52W High Breakout</t>
        </is>
      </c>
      <c r="S54" s="30" t="inlineStr">
        <is>
          <t>Nifty Infra</t>
        </is>
      </c>
      <c r="T54" s="31" t="inlineStr"/>
      <c r="U54" s="31" t="inlineStr"/>
      <c r="V54" s="31" t="inlineStr"/>
      <c r="W54" s="31" t="inlineStr"/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KMCSHIL</t>
        </is>
      </c>
      <c r="D55" s="30" t="inlineStr">
        <is>
          <t>KMC Speciality Hospitals (India) Ltd</t>
        </is>
      </c>
      <c r="E55" s="30" t="inlineStr">
        <is>
          <t>Healthcare</t>
        </is>
      </c>
      <c r="F55" s="30" t="inlineStr">
        <is>
          <t>Hospitals</t>
        </is>
      </c>
      <c r="G55" s="30" t="inlineStr">
        <is>
          <t>smallcap</t>
        </is>
      </c>
      <c r="H55" s="31" t="n">
        <v>2545.76</v>
      </c>
      <c r="I55" s="31" t="n">
        <v>156.1</v>
      </c>
      <c r="J55" s="31" t="n">
        <v>-1.17</v>
      </c>
      <c r="K55" s="31" t="n">
        <v>0</v>
      </c>
      <c r="L55" s="30" t="n">
        <v>70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77.48999999999999</v>
      </c>
      <c r="P55" s="31" t="n">
        <v>54.42</v>
      </c>
      <c r="Q55" s="31" t="n">
        <v>119.75</v>
      </c>
      <c r="R55" s="30" t="inlineStr">
        <is>
          <t>Near 52W High Breakout</t>
        </is>
      </c>
      <c r="S55" s="30" t="inlineStr">
        <is>
          <t>Nifty Pharma</t>
        </is>
      </c>
      <c r="T55" s="31" t="n">
        <v>25.55</v>
      </c>
      <c r="U55" s="31" t="n">
        <v>136.18</v>
      </c>
      <c r="V55" s="31" t="n">
        <v>88.11</v>
      </c>
      <c r="W55" s="31" t="n">
        <v>24.7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25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LAURUSLABS</t>
        </is>
      </c>
      <c r="D56" s="30" t="inlineStr">
        <is>
          <t>Laurus Labs Ltd</t>
        </is>
      </c>
      <c r="E56" s="30" t="inlineStr">
        <is>
          <t>healthcare</t>
        </is>
      </c>
      <c r="F56" s="30" t="inlineStr">
        <is>
          <t>Pharma API</t>
        </is>
      </c>
      <c r="G56" s="30" t="inlineStr">
        <is>
          <t>largecap</t>
        </is>
      </c>
      <c r="H56" s="31" t="n">
        <v>108440.66</v>
      </c>
      <c r="I56" s="31" t="n">
        <v>2007</v>
      </c>
      <c r="J56" s="31" t="n">
        <v>-0.95</v>
      </c>
      <c r="K56" s="31" t="n">
        <v>0</v>
      </c>
      <c r="L56" s="30" t="n">
        <v>77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77.52</v>
      </c>
      <c r="P56" s="31" t="n">
        <v>74.73999999999999</v>
      </c>
      <c r="Q56" s="31" t="n">
        <v>1708.11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25.55</v>
      </c>
      <c r="U56" s="31" t="n">
        <v>141.58</v>
      </c>
      <c r="V56" s="31" t="n">
        <v>92.41</v>
      </c>
      <c r="W56" s="31" t="n">
        <v>28.83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20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AVALON</t>
        </is>
      </c>
      <c r="D57" s="30" t="inlineStr">
        <is>
          <t>Avalon Technologies Ltd</t>
        </is>
      </c>
      <c r="E57" s="30" t="inlineStr">
        <is>
          <t>Technology</t>
        </is>
      </c>
      <c r="F57" s="30" t="inlineStr">
        <is>
          <t>EMS</t>
        </is>
      </c>
      <c r="G57" s="30" t="inlineStr">
        <is>
          <t>midcap</t>
        </is>
      </c>
      <c r="H57" s="31" t="n">
        <v>15549.47</v>
      </c>
      <c r="I57" s="31" t="n">
        <v>2324.9</v>
      </c>
      <c r="J57" s="31" t="n">
        <v>0.38</v>
      </c>
      <c r="K57" s="31" t="n">
        <v>0</v>
      </c>
      <c r="L57" s="30" t="n">
        <v>78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72.39</v>
      </c>
      <c r="P57" s="31" t="n">
        <v>55.68</v>
      </c>
      <c r="Q57" s="31" t="n">
        <v>1868.83</v>
      </c>
      <c r="R57" s="30" t="inlineStr">
        <is>
          <t>Earnings / Momentum Support</t>
        </is>
      </c>
      <c r="S57" s="30" t="inlineStr">
        <is>
          <t>Nifty 50</t>
        </is>
      </c>
      <c r="T57" s="31" t="n">
        <v>-6.14</v>
      </c>
      <c r="U57" s="31" t="n">
        <v>134.27</v>
      </c>
      <c r="V57" s="31" t="n">
        <v>149.6</v>
      </c>
      <c r="W57" s="31" t="n">
        <v>29.13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20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ONEPOINT</t>
        </is>
      </c>
      <c r="D58" s="33" t="inlineStr">
        <is>
          <t>One Point One Solutions Ltd</t>
        </is>
      </c>
      <c r="E58" s="30" t="inlineStr">
        <is>
          <t>i.t</t>
        </is>
      </c>
      <c r="F58" s="30" t="inlineStr">
        <is>
          <t>IT Enabled Services</t>
        </is>
      </c>
      <c r="G58" s="30" t="inlineStr">
        <is>
          <t>smallcap</t>
        </is>
      </c>
      <c r="H58" s="31" t="n">
        <v>1835.3</v>
      </c>
      <c r="I58" s="31" t="n">
        <v>69.8</v>
      </c>
      <c r="J58" s="31" t="n">
        <v>0.71</v>
      </c>
      <c r="K58" s="31" t="n">
        <v>0</v>
      </c>
      <c r="L58" s="30" t="n">
        <v>50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68.70999999999999</v>
      </c>
      <c r="P58" s="31" t="n">
        <v>13.68</v>
      </c>
      <c r="Q58" s="31" t="n">
        <v>53.48</v>
      </c>
      <c r="R58" s="30" t="inlineStr">
        <is>
          <t>Volume Spike &amp; Near 52W High Breakout</t>
        </is>
      </c>
      <c r="S58" s="30" t="inlineStr">
        <is>
          <t>Nifty IT</t>
        </is>
      </c>
      <c r="T58" s="31" t="n">
        <v>-16.44</v>
      </c>
      <c r="U58" s="31" t="n">
        <v>58.72</v>
      </c>
      <c r="V58" s="31" t="n">
        <v>89.95</v>
      </c>
      <c r="W58" s="31" t="n">
        <v>16.48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25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CASTROLIND</t>
        </is>
      </c>
      <c r="D59" s="33" t="inlineStr">
        <is>
          <t>Castrol India Ltd</t>
        </is>
      </c>
      <c r="E59" s="30" t="inlineStr">
        <is>
          <t>chemicals</t>
        </is>
      </c>
      <c r="F59" s="30" t="inlineStr">
        <is>
          <t>Lubricants</t>
        </is>
      </c>
      <c r="G59" s="30" t="inlineStr">
        <is>
          <t>midcap</t>
        </is>
      </c>
      <c r="H59" s="31" t="n">
        <v>19939.72</v>
      </c>
      <c r="I59" s="31" t="n">
        <v>201.59</v>
      </c>
      <c r="J59" s="31" t="n">
        <v>3.49</v>
      </c>
      <c r="K59" s="31" t="n">
        <v>0</v>
      </c>
      <c r="L59" s="30" t="n">
        <v>10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75.36</v>
      </c>
      <c r="P59" s="31" t="n">
        <v>38.42</v>
      </c>
      <c r="Q59" s="31" t="n">
        <v>183.99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-6.14</v>
      </c>
      <c r="U59" s="31" t="n">
        <v>9.57</v>
      </c>
      <c r="V59" s="31" t="n">
        <v>16.74</v>
      </c>
      <c r="W59" s="31" t="n">
        <v>4.54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Between 50% to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NRAIL</t>
        </is>
      </c>
      <c r="D60" s="30" t="inlineStr">
        <is>
          <t>N R Agarwal Industries Ltd</t>
        </is>
      </c>
      <c r="E60" s="30" t="inlineStr">
        <is>
          <t>building materials</t>
        </is>
      </c>
      <c r="F60" s="30" t="inlineStr">
        <is>
          <t>Paper</t>
        </is>
      </c>
      <c r="G60" s="30" t="inlineStr">
        <is>
          <t>smallcap</t>
        </is>
      </c>
      <c r="H60" s="31" t="n">
        <v>1157.38</v>
      </c>
      <c r="I60" s="31" t="n">
        <v>680.05</v>
      </c>
      <c r="J60" s="31" t="n">
        <v>6.63</v>
      </c>
      <c r="K60" s="31" t="n">
        <v>0</v>
      </c>
      <c r="L60" s="30" t="inlineStr"/>
      <c r="M60" s="30" t="inlineStr"/>
      <c r="N60" s="31">
        <f>IF(M60="Underperforming",-5,IF(L60&gt;=95,15,IF(L60&gt;=90,10,IF(L60&gt;=80,5,0))))</f>
        <v/>
      </c>
      <c r="O60" s="31" t="n">
        <v>72.77</v>
      </c>
      <c r="P60" s="31" t="n">
        <v>38.89</v>
      </c>
      <c r="Q60" s="31" t="n">
        <v>500.03</v>
      </c>
      <c r="R60" s="30" t="inlineStr">
        <is>
          <t>Near 52W High Breakout</t>
        </is>
      </c>
      <c r="S60" s="30" t="inlineStr">
        <is>
          <t>Nifty Infra</t>
        </is>
      </c>
      <c r="T60" s="31" t="inlineStr"/>
      <c r="U60" s="31" t="inlineStr"/>
      <c r="V60" s="31" t="inlineStr"/>
      <c r="W60" s="31" t="inlineStr"/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21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MVGJL</t>
        </is>
      </c>
      <c r="D61" s="30" t="inlineStr">
        <is>
          <t>Manoj Vaibhav Gems N Jewellers Ltd</t>
        </is>
      </c>
      <c r="E61" s="30" t="inlineStr">
        <is>
          <t>consumer discretionary</t>
        </is>
      </c>
      <c r="F61" s="30" t="inlineStr">
        <is>
          <t>Diamond Gems and Jewellery</t>
        </is>
      </c>
      <c r="G61" s="30" t="inlineStr">
        <is>
          <t>smallcap</t>
        </is>
      </c>
      <c r="H61" s="31" t="n">
        <v>1088.57</v>
      </c>
      <c r="I61" s="31" t="n">
        <v>222.85</v>
      </c>
      <c r="J61" s="31" t="n">
        <v>3.75</v>
      </c>
      <c r="K61" s="31" t="n">
        <v>0</v>
      </c>
      <c r="L61" s="30" t="n">
        <v>54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71.79000000000001</v>
      </c>
      <c r="P61" s="31" t="n">
        <v>19.74</v>
      </c>
      <c r="Q61" s="31" t="n">
        <v>162.26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-6.14</v>
      </c>
      <c r="U61" s="31" t="n">
        <v>17.52</v>
      </c>
      <c r="V61" s="31" t="n">
        <v>25.21</v>
      </c>
      <c r="W61" s="31" t="n">
        <v>17.6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21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EMIL</t>
        </is>
      </c>
      <c r="D62" s="33" t="inlineStr">
        <is>
          <t>Electronics Mart India Ltd</t>
        </is>
      </c>
      <c r="E62" s="30" t="inlineStr">
        <is>
          <t>consumer discretionary</t>
        </is>
      </c>
      <c r="F62" s="30" t="inlineStr">
        <is>
          <t>Retail Electronics</t>
        </is>
      </c>
      <c r="G62" s="30" t="inlineStr">
        <is>
          <t>midcap</t>
        </is>
      </c>
      <c r="H62" s="31" t="n">
        <v>7656.5</v>
      </c>
      <c r="I62" s="31" t="n">
        <v>199</v>
      </c>
      <c r="J62" s="31" t="n">
        <v>5.2</v>
      </c>
      <c r="K62" s="31" t="n">
        <v>0</v>
      </c>
      <c r="L62" s="30" t="n">
        <v>72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74.26000000000001</v>
      </c>
      <c r="P62" s="31" t="n">
        <v>41.97</v>
      </c>
      <c r="Q62" s="31" t="n">
        <v>150.94</v>
      </c>
      <c r="R62" s="30" t="inlineStr">
        <is>
          <t>Near 52W High Breakout</t>
        </is>
      </c>
      <c r="S62" s="30" t="inlineStr">
        <is>
          <t>Nifty 50</t>
        </is>
      </c>
      <c r="T62" s="31" t="n">
        <v>-6.14</v>
      </c>
      <c r="U62" s="31" t="n">
        <v>36.67</v>
      </c>
      <c r="V62" s="31" t="n">
        <v>45.61</v>
      </c>
      <c r="W62" s="31" t="n">
        <v>25.1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B2C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More than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20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JASH</t>
        </is>
      </c>
      <c r="D63" s="30" t="inlineStr">
        <is>
          <t>Jash Engineering Ltd</t>
        </is>
      </c>
      <c r="E63" s="30" t="inlineStr">
        <is>
          <t>industrials</t>
        </is>
      </c>
      <c r="F63" s="30" t="inlineStr">
        <is>
          <t>Water Treatment</t>
        </is>
      </c>
      <c r="G63" s="30" t="inlineStr">
        <is>
          <t>smallcap</t>
        </is>
      </c>
      <c r="H63" s="31" t="n">
        <v>3760.03</v>
      </c>
      <c r="I63" s="31" t="n">
        <v>595</v>
      </c>
      <c r="J63" s="31" t="n">
        <v>3.09</v>
      </c>
      <c r="K63" s="31" t="n">
        <v>0</v>
      </c>
      <c r="L63" s="30" t="n">
        <v>24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69.98</v>
      </c>
      <c r="P63" s="31" t="n">
        <v>21.44</v>
      </c>
      <c r="Q63" s="31" t="n">
        <v>462.35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-6.14</v>
      </c>
      <c r="U63" s="31" t="n">
        <v>18.76</v>
      </c>
      <c r="V63" s="31" t="n">
        <v>26.53</v>
      </c>
      <c r="W63" s="31" t="n">
        <v>8.630000000000001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20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SPECTRUM</t>
        </is>
      </c>
      <c r="D64" s="30" t="inlineStr">
        <is>
          <t>Spectrum Electrical Industries Ltd</t>
        </is>
      </c>
      <c r="E64" s="30" t="inlineStr">
        <is>
          <t>industrials</t>
        </is>
      </c>
      <c r="F64" s="30" t="inlineStr">
        <is>
          <t>Capital Goods Electric General</t>
        </is>
      </c>
      <c r="G64" s="30" t="inlineStr">
        <is>
          <t>midcap</t>
        </is>
      </c>
      <c r="H64" s="31" t="n">
        <v>6021.79</v>
      </c>
      <c r="I64" s="31" t="n">
        <v>3524.1</v>
      </c>
      <c r="J64" s="31" t="n">
        <v>5</v>
      </c>
      <c r="K64" s="31" t="n">
        <v>0</v>
      </c>
      <c r="L64" s="30" t="n">
        <v>92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82.51000000000001</v>
      </c>
      <c r="P64" s="31" t="n">
        <v>62.86</v>
      </c>
      <c r="Q64" s="31" t="n">
        <v>2648.74</v>
      </c>
      <c r="R64" s="30" t="inlineStr">
        <is>
          <t>Near 52W High Breakout</t>
        </is>
      </c>
      <c r="S64" s="30" t="inlineStr">
        <is>
          <t>Nifty 50</t>
        </is>
      </c>
      <c r="T64" s="31" t="n">
        <v>-6.14</v>
      </c>
      <c r="U64" s="31" t="n">
        <v>156.12</v>
      </c>
      <c r="V64" s="31" t="n">
        <v>172.88</v>
      </c>
      <c r="W64" s="31" t="n">
        <v>44.93</v>
      </c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20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GAYAPROJ</t>
        </is>
      </c>
      <c r="D65" s="30" t="inlineStr">
        <is>
          <t>Gayatri Projects Ltd</t>
        </is>
      </c>
      <c r="E65" s="30" t="inlineStr">
        <is>
          <t>Industrials</t>
        </is>
      </c>
      <c r="F65" s="30" t="inlineStr">
        <is>
          <t>Construction Civil and Turnkey</t>
        </is>
      </c>
      <c r="G65" s="30" t="inlineStr">
        <is>
          <t>smallcap</t>
        </is>
      </c>
      <c r="H65" s="31" t="n">
        <v>1062.78</v>
      </c>
      <c r="I65" s="31" t="n">
        <v>22.89</v>
      </c>
      <c r="J65" s="31" t="n">
        <v>-0.52</v>
      </c>
      <c r="K65" s="31" t="n">
        <v>0</v>
      </c>
      <c r="L65" s="30" t="inlineStr"/>
      <c r="M65" s="30" t="inlineStr"/>
      <c r="N65" s="31">
        <f>IF(M65="Underperforming",-5,IF(L65&gt;=95,15,IF(L65&gt;=90,10,IF(L65&gt;=80,5,0))))</f>
        <v/>
      </c>
      <c r="O65" s="31" t="n">
        <v>59.27</v>
      </c>
      <c r="P65" s="31" t="n">
        <v>27.33</v>
      </c>
      <c r="Q65" s="31" t="n">
        <v>18.81</v>
      </c>
      <c r="R65" s="30" t="inlineStr">
        <is>
          <t>Earnings / Momentum Support</t>
        </is>
      </c>
      <c r="S65" s="30" t="inlineStr">
        <is>
          <t>Nifty Infra</t>
        </is>
      </c>
      <c r="T65" s="31" t="inlineStr"/>
      <c r="U65" s="31" t="inlineStr"/>
      <c r="V65" s="31" t="inlineStr"/>
      <c r="W65" s="31" t="inlineStr"/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LUMAXTECH</t>
        </is>
      </c>
      <c r="D66" s="30" t="inlineStr">
        <is>
          <t>Lumax Auto Technologies Ltd</t>
        </is>
      </c>
      <c r="E66" s="30" t="inlineStr">
        <is>
          <t>Consumer Cyclical</t>
        </is>
      </c>
      <c r="F66" s="30" t="inlineStr">
        <is>
          <t>Diversified Auto Components</t>
        </is>
      </c>
      <c r="G66" s="30" t="inlineStr">
        <is>
          <t>midcap</t>
        </is>
      </c>
      <c r="H66" s="31" t="n">
        <v>13931.43</v>
      </c>
      <c r="I66" s="31" t="n">
        <v>2044</v>
      </c>
      <c r="J66" s="31" t="n">
        <v>-1.2</v>
      </c>
      <c r="K66" s="31" t="n">
        <v>0</v>
      </c>
      <c r="L66" s="30" t="inlineStr"/>
      <c r="M66" s="30" t="inlineStr"/>
      <c r="N66" s="31">
        <f>IF(M66="Underperforming",-5,IF(L66&gt;=95,15,IF(L66&gt;=90,10,IF(L66&gt;=80,5,0))))</f>
        <v/>
      </c>
      <c r="O66" s="31" t="n">
        <v>63.7</v>
      </c>
      <c r="P66" s="31" t="n">
        <v>24.1</v>
      </c>
      <c r="Q66" s="31" t="n">
        <v>1607.83</v>
      </c>
      <c r="R66" s="30" t="inlineStr">
        <is>
          <t>Near 52W High Breakout</t>
        </is>
      </c>
      <c r="S66" s="30" t="inlineStr">
        <is>
          <t>Nifty Auto</t>
        </is>
      </c>
      <c r="T66" s="31" t="inlineStr"/>
      <c r="U66" s="31" t="inlineStr"/>
      <c r="V66" s="31" t="inlineStr"/>
      <c r="W66" s="31" t="inlineStr"/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B2C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3" t="inlineStr">
        <is>
          <t>CFF</t>
        </is>
      </c>
      <c r="D67" s="33" t="inlineStr">
        <is>
          <t>CFF Fluid Control Ltd</t>
        </is>
      </c>
      <c r="E67" s="30" t="inlineStr">
        <is>
          <t>Industrials</t>
        </is>
      </c>
      <c r="F67" s="30" t="inlineStr">
        <is>
          <t>Shipping Proxy</t>
        </is>
      </c>
      <c r="G67" s="30" t="inlineStr">
        <is>
          <t>smallcap</t>
        </is>
      </c>
      <c r="H67" s="31" t="n">
        <v>2328.13</v>
      </c>
      <c r="I67" s="31" t="n">
        <v>1110</v>
      </c>
      <c r="J67" s="31" t="n">
        <v>-0.67</v>
      </c>
      <c r="K67" s="31" t="n">
        <v>0</v>
      </c>
      <c r="L67" s="30" t="n">
        <v>64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70.48</v>
      </c>
      <c r="P67" s="31" t="n">
        <v>48.85</v>
      </c>
      <c r="Q67" s="31" t="n">
        <v>839.83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-6.14</v>
      </c>
      <c r="U67" s="31" t="n">
        <v>80.78</v>
      </c>
      <c r="V67" s="31" t="n">
        <v>92.61</v>
      </c>
      <c r="W67" s="31" t="n">
        <v>21.69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18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SUNRAKSHAK</t>
        </is>
      </c>
      <c r="D68" s="30" t="inlineStr">
        <is>
          <t>Sunrakshakk Industries India Ltd</t>
        </is>
      </c>
      <c r="E68" s="30" t="inlineStr">
        <is>
          <t>Consumer Cyclical</t>
        </is>
      </c>
      <c r="F68" s="30" t="inlineStr">
        <is>
          <t>FMCG and Soap Ingredients</t>
        </is>
      </c>
      <c r="G68" s="30" t="inlineStr">
        <is>
          <t>smallcap</t>
        </is>
      </c>
      <c r="H68" s="31" t="n">
        <v>1134.38</v>
      </c>
      <c r="I68" s="31" t="n">
        <v>365.85</v>
      </c>
      <c r="J68" s="31" t="n">
        <v>-0.04</v>
      </c>
      <c r="K68" s="31" t="n">
        <v>0</v>
      </c>
      <c r="L68" s="30" t="n">
        <v>45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61.58</v>
      </c>
      <c r="P68" s="31" t="n">
        <v>46.15</v>
      </c>
      <c r="Q68" s="31" t="n">
        <v>303.01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-6.14</v>
      </c>
      <c r="U68" s="31" t="n">
        <v>79.56</v>
      </c>
      <c r="V68" s="31" t="n">
        <v>91.31</v>
      </c>
      <c r="W68" s="31" t="n">
        <v>15.7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B2C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18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SAMBHV</t>
        </is>
      </c>
      <c r="D69" s="30" t="inlineStr">
        <is>
          <t>Sambhv Steel Tubes Ltd</t>
        </is>
      </c>
      <c r="E69" s="30" t="inlineStr">
        <is>
          <t>metals &amp; mining</t>
        </is>
      </c>
      <c r="F69" s="30" t="inlineStr">
        <is>
          <t>Steel Tubes and Pipes</t>
        </is>
      </c>
      <c r="G69" s="30" t="inlineStr">
        <is>
          <t>smallcap</t>
        </is>
      </c>
      <c r="H69" s="31" t="n">
        <v>4677.91</v>
      </c>
      <c r="I69" s="31" t="n">
        <v>158.75</v>
      </c>
      <c r="J69" s="31" t="n">
        <v>4.19</v>
      </c>
      <c r="K69" s="31" t="n">
        <v>0</v>
      </c>
      <c r="L69" s="30" t="inlineStr"/>
      <c r="M69" s="30" t="inlineStr"/>
      <c r="N69" s="31">
        <f>IF(M69="Underperforming",-5,IF(L69&gt;=95,15,IF(L69&gt;=90,10,IF(L69&gt;=80,5,0))))</f>
        <v/>
      </c>
      <c r="O69" s="31" t="n">
        <v>78.29000000000001</v>
      </c>
      <c r="P69" s="31" t="n">
        <v>42.09</v>
      </c>
      <c r="Q69" s="31" t="n">
        <v>124.44</v>
      </c>
      <c r="R69" s="30" t="inlineStr">
        <is>
          <t>Volume Spike &amp; Near 52W High Breakout</t>
        </is>
      </c>
      <c r="S69" s="30" t="inlineStr">
        <is>
          <t>Nifty Metal</t>
        </is>
      </c>
      <c r="T69" s="31" t="inlineStr"/>
      <c r="U69" s="31" t="inlineStr"/>
      <c r="V69" s="31" t="inlineStr"/>
      <c r="W69" s="31" t="inlineStr"/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Cyclical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Volatile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28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MANINDS</t>
        </is>
      </c>
      <c r="D70" s="30" t="inlineStr">
        <is>
          <t>Man Industries (India) Ltd</t>
        </is>
      </c>
      <c r="E70" s="30" t="inlineStr">
        <is>
          <t>metals &amp; mining</t>
        </is>
      </c>
      <c r="F70" s="30" t="inlineStr">
        <is>
          <t>Steel Tubes and Pipes</t>
        </is>
      </c>
      <c r="G70" s="30" t="inlineStr">
        <is>
          <t>midcap</t>
        </is>
      </c>
      <c r="H70" s="31" t="n">
        <v>7639.72</v>
      </c>
      <c r="I70" s="31" t="n">
        <v>1018.5</v>
      </c>
      <c r="J70" s="31" t="n">
        <v>5.78</v>
      </c>
      <c r="K70" s="31" t="n">
        <v>0</v>
      </c>
      <c r="L70" s="30" t="inlineStr"/>
      <c r="M70" s="30" t="inlineStr"/>
      <c r="N70" s="31">
        <f>IF(M70="Underperforming",-5,IF(L70&gt;=95,15,IF(L70&gt;=90,10,IF(L70&gt;=80,5,0))))</f>
        <v/>
      </c>
      <c r="O70" s="31" t="n">
        <v>83.54000000000001</v>
      </c>
      <c r="P70" s="31" t="n">
        <v>40.79</v>
      </c>
      <c r="Q70" s="31" t="n">
        <v>771.15</v>
      </c>
      <c r="R70" s="30" t="inlineStr">
        <is>
          <t>Volume Spike &amp; Near 52W High Breakout</t>
        </is>
      </c>
      <c r="S70" s="30" t="inlineStr">
        <is>
          <t>Nifty Metal</t>
        </is>
      </c>
      <c r="T70" s="31" t="inlineStr"/>
      <c r="U70" s="31" t="inlineStr"/>
      <c r="V70" s="31" t="inlineStr"/>
      <c r="W70" s="31" t="inlineStr"/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27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ENGINERSIN</t>
        </is>
      </c>
      <c r="D71" s="33" t="inlineStr">
        <is>
          <t>Engineers India Ltd</t>
        </is>
      </c>
      <c r="E71" s="30" t="inlineStr">
        <is>
          <t>realty</t>
        </is>
      </c>
      <c r="F71" s="30" t="inlineStr">
        <is>
          <t>Infra Engineering General</t>
        </is>
      </c>
      <c r="G71" s="30" t="inlineStr">
        <is>
          <t>midcap</t>
        </is>
      </c>
      <c r="H71" s="31" t="n">
        <v>17648.13</v>
      </c>
      <c r="I71" s="31" t="n">
        <v>314</v>
      </c>
      <c r="J71" s="31" t="n">
        <v>5.85</v>
      </c>
      <c r="K71" s="31" t="n">
        <v>0</v>
      </c>
      <c r="L71" s="30" t="inlineStr"/>
      <c r="M71" s="30" t="inlineStr"/>
      <c r="N71" s="31">
        <f>IF(M71="Underperforming",-5,IF(L71&gt;=95,15,IF(L71&gt;=90,10,IF(L71&gt;=80,5,0))))</f>
        <v/>
      </c>
      <c r="O71" s="31" t="n">
        <v>73.16</v>
      </c>
      <c r="P71" s="31" t="n">
        <v>18.55</v>
      </c>
      <c r="Q71" s="31" t="n">
        <v>250.81</v>
      </c>
      <c r="R71" s="30" t="inlineStr">
        <is>
          <t>Volume Spike &amp; Near 52W High Breakout</t>
        </is>
      </c>
      <c r="S71" s="30" t="inlineStr">
        <is>
          <t>Nifty Realty</t>
        </is>
      </c>
      <c r="T71" s="31" t="inlineStr"/>
      <c r="U71" s="31" t="inlineStr"/>
      <c r="V71" s="31" t="inlineStr"/>
      <c r="W71" s="31" t="inlineStr"/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22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NEOGEN</t>
        </is>
      </c>
      <c r="D72" s="33" t="inlineStr">
        <is>
          <t>Neogen Chemicals Ltd</t>
        </is>
      </c>
      <c r="E72" s="30" t="inlineStr">
        <is>
          <t>chemicals</t>
        </is>
      </c>
      <c r="F72" s="30" t="inlineStr">
        <is>
          <t>Specialty Chemicals</t>
        </is>
      </c>
      <c r="G72" s="30" t="inlineStr">
        <is>
          <t>midcap</t>
        </is>
      </c>
      <c r="H72" s="31" t="n">
        <v>7174.13</v>
      </c>
      <c r="I72" s="31" t="n">
        <v>2388</v>
      </c>
      <c r="J72" s="31" t="n">
        <v>2.66</v>
      </c>
      <c r="K72" s="31" t="n">
        <v>0</v>
      </c>
      <c r="L72" s="30" t="n">
        <v>56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66.88</v>
      </c>
      <c r="P72" s="31" t="n">
        <v>58.15</v>
      </c>
      <c r="Q72" s="31" t="n">
        <v>1873.2</v>
      </c>
      <c r="R72" s="30" t="inlineStr">
        <is>
          <t>Near 52W High Breakout</t>
        </is>
      </c>
      <c r="S72" s="30" t="inlineStr">
        <is>
          <t>Nifty 50</t>
        </is>
      </c>
      <c r="T72" s="31" t="n">
        <v>-6.14</v>
      </c>
      <c r="U72" s="31" t="n">
        <v>57.08</v>
      </c>
      <c r="V72" s="31" t="n">
        <v>67.36</v>
      </c>
      <c r="W72" s="31" t="n">
        <v>18.33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More than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20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RGL</t>
        </is>
      </c>
      <c r="D73" s="30" t="inlineStr">
        <is>
          <t>Renaissance Global Ltd</t>
        </is>
      </c>
      <c r="E73" s="30" t="inlineStr">
        <is>
          <t>consumer discretionary</t>
        </is>
      </c>
      <c r="F73" s="30" t="inlineStr">
        <is>
          <t>Lab Grown Diamonds</t>
        </is>
      </c>
      <c r="G73" s="30" t="inlineStr">
        <is>
          <t>smallcap</t>
        </is>
      </c>
      <c r="H73" s="31" t="n">
        <v>1786.73</v>
      </c>
      <c r="I73" s="31" t="n">
        <v>166.35</v>
      </c>
      <c r="J73" s="31" t="n">
        <v>0.03</v>
      </c>
      <c r="K73" s="31" t="n">
        <v>0</v>
      </c>
      <c r="L73" s="30" t="n">
        <v>58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77.27</v>
      </c>
      <c r="P73" s="31" t="n">
        <v>31.64</v>
      </c>
      <c r="Q73" s="31" t="n">
        <v>125.55</v>
      </c>
      <c r="R73" s="30" t="inlineStr">
        <is>
          <t>Near 52W High Breakout</t>
        </is>
      </c>
      <c r="S73" s="30" t="inlineStr">
        <is>
          <t>Nifty 50</t>
        </is>
      </c>
      <c r="T73" s="31" t="n">
        <v>-6.14</v>
      </c>
      <c r="U73" s="31" t="n">
        <v>47.21</v>
      </c>
      <c r="V73" s="31" t="n">
        <v>56.85</v>
      </c>
      <c r="W73" s="31" t="n">
        <v>19.3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DYNAMATECH</t>
        </is>
      </c>
      <c r="D74" s="33" t="inlineStr">
        <is>
          <t>Dynamatic Technologies Ltd</t>
        </is>
      </c>
      <c r="E74" s="30" t="inlineStr">
        <is>
          <t>aerospace &amp; defence</t>
        </is>
      </c>
      <c r="F74" s="30" t="inlineStr">
        <is>
          <t>Aerospace and Defence Equipment</t>
        </is>
      </c>
      <c r="G74" s="30" t="inlineStr">
        <is>
          <t>midcap</t>
        </is>
      </c>
      <c r="H74" s="31" t="n">
        <v>8964.700000000001</v>
      </c>
      <c r="I74" s="31" t="n">
        <v>13200</v>
      </c>
      <c r="J74" s="31" t="n">
        <v>5.17</v>
      </c>
      <c r="K74" s="31" t="n">
        <v>0</v>
      </c>
      <c r="L74" s="30" t="n">
        <v>61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67.95999999999999</v>
      </c>
      <c r="P74" s="31" t="n">
        <v>26.55</v>
      </c>
      <c r="Q74" s="31" t="n">
        <v>10002.16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-6.14</v>
      </c>
      <c r="U74" s="31" t="n">
        <v>90.11</v>
      </c>
      <c r="V74" s="31" t="n">
        <v>102.55</v>
      </c>
      <c r="W74" s="31" t="n">
        <v>20.62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SAPL</t>
        </is>
      </c>
      <c r="D75" s="30" t="inlineStr">
        <is>
          <t>Sar Auto Products Ltd</t>
        </is>
      </c>
      <c r="E75" s="30" t="inlineStr">
        <is>
          <t>Consumer Cyclical</t>
        </is>
      </c>
      <c r="F75" s="30" t="inlineStr">
        <is>
          <t>Auto Gears</t>
        </is>
      </c>
      <c r="G75" s="30" t="inlineStr">
        <is>
          <t>smallcap</t>
        </is>
      </c>
      <c r="H75" s="31" t="n">
        <v>3811.79</v>
      </c>
      <c r="I75" s="31" t="n">
        <v>8000</v>
      </c>
      <c r="J75" s="31" t="n">
        <v>2.96</v>
      </c>
      <c r="K75" s="31" t="n">
        <v>0</v>
      </c>
      <c r="L75" s="30" t="inlineStr"/>
      <c r="M75" s="30" t="inlineStr"/>
      <c r="N75" s="31">
        <f>IF(M75="Underperforming",-5,IF(L75&gt;=95,15,IF(L75&gt;=90,10,IF(L75&gt;=80,5,0))))</f>
        <v/>
      </c>
      <c r="O75" s="31" t="n">
        <v>91.63</v>
      </c>
      <c r="P75" s="31" t="n">
        <v>48.31</v>
      </c>
      <c r="Q75" s="31" t="n">
        <v>6301.25</v>
      </c>
      <c r="R75" s="30" t="inlineStr">
        <is>
          <t>Volume Spike &amp; Near 52W High Breakout</t>
        </is>
      </c>
      <c r="S75" s="30" t="inlineStr">
        <is>
          <t>Nifty Auto</t>
        </is>
      </c>
      <c r="T75" s="31" t="inlineStr"/>
      <c r="U75" s="31" t="inlineStr"/>
      <c r="V75" s="31" t="inlineStr"/>
      <c r="W75" s="31" t="inlineStr"/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B2C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More than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24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SKYGOLD</t>
        </is>
      </c>
      <c r="D76" s="30" t="inlineStr">
        <is>
          <t>Sky Gold &amp; Diamonds Ltd</t>
        </is>
      </c>
      <c r="E76" s="30" t="inlineStr">
        <is>
          <t>Consumer Cyclical</t>
        </is>
      </c>
      <c r="F76" s="30" t="inlineStr">
        <is>
          <t>Diamond Gems and Jewellery</t>
        </is>
      </c>
      <c r="G76" s="30" t="inlineStr">
        <is>
          <t>midcap</t>
        </is>
      </c>
      <c r="H76" s="31" t="n">
        <v>12296.99</v>
      </c>
      <c r="I76" s="31" t="n">
        <v>794</v>
      </c>
      <c r="J76" s="31" t="n">
        <v>1.44</v>
      </c>
      <c r="K76" s="31" t="n">
        <v>0</v>
      </c>
      <c r="L76" s="30" t="n">
        <v>87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71.63</v>
      </c>
      <c r="P76" s="31" t="n">
        <v>67.09999999999999</v>
      </c>
      <c r="Q76" s="31" t="n">
        <v>624.97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-6.14</v>
      </c>
      <c r="U76" s="31" t="n">
        <v>191.21</v>
      </c>
      <c r="V76" s="31" t="n">
        <v>210.27</v>
      </c>
      <c r="W76" s="31" t="n">
        <v>38.15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B2C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AEGISLOG</t>
        </is>
      </c>
      <c r="D77" s="30" t="inlineStr">
        <is>
          <t>Aegis Logistics Ltd</t>
        </is>
      </c>
      <c r="E77" s="30" t="inlineStr">
        <is>
          <t>Energy</t>
        </is>
      </c>
      <c r="F77" s="30" t="inlineStr">
        <is>
          <t>Logistics</t>
        </is>
      </c>
      <c r="G77" s="30" t="inlineStr">
        <is>
          <t>largecap</t>
        </is>
      </c>
      <c r="H77" s="31" t="n">
        <v>47946.6</v>
      </c>
      <c r="I77" s="31" t="n">
        <v>1366</v>
      </c>
      <c r="J77" s="31" t="n">
        <v>-0.27</v>
      </c>
      <c r="K77" s="31" t="n">
        <v>0</v>
      </c>
      <c r="L77" s="30" t="inlineStr"/>
      <c r="M77" s="30" t="inlineStr"/>
      <c r="N77" s="31">
        <f>IF(M77="Underperforming",-5,IF(L77&gt;=95,15,IF(L77&gt;=90,10,IF(L77&gt;=80,5,0))))</f>
        <v/>
      </c>
      <c r="O77" s="31" t="n">
        <v>63.84</v>
      </c>
      <c r="P77" s="31" t="n">
        <v>60.43</v>
      </c>
      <c r="Q77" s="31" t="n">
        <v>1016.07</v>
      </c>
      <c r="R77" s="30" t="inlineStr">
        <is>
          <t>Near 52W High Breakout</t>
        </is>
      </c>
      <c r="S77" s="30" t="inlineStr">
        <is>
          <t>Nifty Energy</t>
        </is>
      </c>
      <c r="T77" s="31" t="inlineStr"/>
      <c r="U77" s="31" t="inlineStr"/>
      <c r="V77" s="31" t="inlineStr"/>
      <c r="W77" s="31" t="inlineStr"/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23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TNPETRO</t>
        </is>
      </c>
      <c r="D78" s="30" t="inlineStr">
        <is>
          <t>Tamil Nadu Petro Products Ltd</t>
        </is>
      </c>
      <c r="E78" s="30" t="inlineStr">
        <is>
          <t>energy</t>
        </is>
      </c>
      <c r="F78" s="30" t="inlineStr">
        <is>
          <t>Petrochemicals Others</t>
        </is>
      </c>
      <c r="G78" s="30" t="inlineStr">
        <is>
          <t>smallcap</t>
        </is>
      </c>
      <c r="H78" s="31" t="n">
        <v>1195.27</v>
      </c>
      <c r="I78" s="31" t="n">
        <v>132.85</v>
      </c>
      <c r="J78" s="31" t="n">
        <v>4.62</v>
      </c>
      <c r="K78" s="31" t="n">
        <v>0</v>
      </c>
      <c r="L78" s="30" t="inlineStr"/>
      <c r="M78" s="30" t="inlineStr"/>
      <c r="N78" s="31">
        <f>IF(M78="Underperforming",-5,IF(L78&gt;=95,15,IF(L78&gt;=90,10,IF(L78&gt;=80,5,0))))</f>
        <v/>
      </c>
      <c r="O78" s="31" t="n">
        <v>74.61</v>
      </c>
      <c r="P78" s="31" t="n">
        <v>45.76</v>
      </c>
      <c r="Q78" s="31" t="n">
        <v>99.90000000000001</v>
      </c>
      <c r="R78" s="30" t="inlineStr">
        <is>
          <t>Near 52W High Breakout</t>
        </is>
      </c>
      <c r="S78" s="30" t="inlineStr">
        <is>
          <t>Nifty Energy</t>
        </is>
      </c>
      <c r="T78" s="31" t="inlineStr"/>
      <c r="U78" s="31" t="inlineStr"/>
      <c r="V78" s="31" t="inlineStr"/>
      <c r="W78" s="31" t="inlineStr"/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20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DEEPINDS</t>
        </is>
      </c>
      <c r="D79" s="30" t="inlineStr">
        <is>
          <t>Deep Industries Ltd</t>
        </is>
      </c>
      <c r="E79" s="30" t="inlineStr">
        <is>
          <t>energy</t>
        </is>
      </c>
      <c r="F79" s="30" t="inlineStr">
        <is>
          <t>Oil Drilling and Exploration</t>
        </is>
      </c>
      <c r="G79" s="30" t="inlineStr">
        <is>
          <t>smallcap</t>
        </is>
      </c>
      <c r="H79" s="31" t="n">
        <v>4994.88</v>
      </c>
      <c r="I79" s="31" t="n">
        <v>780.45</v>
      </c>
      <c r="J79" s="31" t="n">
        <v>1.89</v>
      </c>
      <c r="K79" s="31" t="n">
        <v>0</v>
      </c>
      <c r="L79" s="30" t="inlineStr"/>
      <c r="M79" s="30" t="inlineStr"/>
      <c r="N79" s="31">
        <f>IF(M79="Underperforming",-5,IF(L79&gt;=95,15,IF(L79&gt;=90,10,IF(L79&gt;=80,5,0))))</f>
        <v/>
      </c>
      <c r="O79" s="31" t="n">
        <v>74.83</v>
      </c>
      <c r="P79" s="31" t="n">
        <v>35.32</v>
      </c>
      <c r="Q79" s="31" t="n">
        <v>599.4299999999999</v>
      </c>
      <c r="R79" s="30" t="inlineStr">
        <is>
          <t>Near 52W High Breakout</t>
        </is>
      </c>
      <c r="S79" s="30" t="inlineStr">
        <is>
          <t>Nifty Energy</t>
        </is>
      </c>
      <c r="T79" s="31" t="inlineStr"/>
      <c r="U79" s="31" t="inlineStr"/>
      <c r="V79" s="31" t="inlineStr"/>
      <c r="W79" s="31" t="inlineStr"/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18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GANDHAR</t>
        </is>
      </c>
      <c r="D80" s="30" t="inlineStr">
        <is>
          <t>Gandhar Oil Refinery (India) Ltd</t>
        </is>
      </c>
      <c r="E80" s="30" t="inlineStr">
        <is>
          <t>Energy</t>
        </is>
      </c>
      <c r="F80" s="30" t="inlineStr">
        <is>
          <t>Refineries</t>
        </is>
      </c>
      <c r="G80" s="30" t="inlineStr">
        <is>
          <t>smallcap</t>
        </is>
      </c>
      <c r="H80" s="31" t="n">
        <v>2567.38</v>
      </c>
      <c r="I80" s="31" t="n">
        <v>262.3</v>
      </c>
      <c r="J80" s="31" t="n">
        <v>-0.15</v>
      </c>
      <c r="K80" s="31" t="n">
        <v>0</v>
      </c>
      <c r="L80" s="30" t="inlineStr"/>
      <c r="M80" s="30" t="inlineStr"/>
      <c r="N80" s="31">
        <f>IF(M80="Underperforming",-5,IF(L80&gt;=95,15,IF(L80&gt;=90,10,IF(L80&gt;=80,5,0))))</f>
        <v/>
      </c>
      <c r="O80" s="31" t="n">
        <v>65.47</v>
      </c>
      <c r="P80" s="31" t="n">
        <v>76.3</v>
      </c>
      <c r="Q80" s="31" t="n">
        <v>213.62</v>
      </c>
      <c r="R80" s="30" t="inlineStr">
        <is>
          <t>Earnings / Momentum Support</t>
        </is>
      </c>
      <c r="S80" s="30" t="inlineStr">
        <is>
          <t>Nifty Energy</t>
        </is>
      </c>
      <c r="T80" s="31" t="inlineStr"/>
      <c r="U80" s="31" t="inlineStr"/>
      <c r="V80" s="31" t="inlineStr"/>
      <c r="W80" s="31" t="inlineStr"/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23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MUKANDLTD</t>
        </is>
      </c>
      <c r="D81" s="33" t="inlineStr">
        <is>
          <t>Mukand Ltd</t>
        </is>
      </c>
      <c r="E81" s="30" t="inlineStr">
        <is>
          <t>metals &amp; mining</t>
        </is>
      </c>
      <c r="F81" s="30" t="inlineStr">
        <is>
          <t>Steel</t>
        </is>
      </c>
      <c r="G81" s="30" t="inlineStr">
        <is>
          <t>smallcap</t>
        </is>
      </c>
      <c r="H81" s="31" t="n">
        <v>2417.41</v>
      </c>
      <c r="I81" s="31" t="n">
        <v>167.3</v>
      </c>
      <c r="J81" s="31" t="n">
        <v>7.75</v>
      </c>
      <c r="K81" s="31" t="n">
        <v>0</v>
      </c>
      <c r="L81" s="30" t="inlineStr"/>
      <c r="M81" s="30" t="inlineStr"/>
      <c r="N81" s="31">
        <f>IF(M81="Underperforming",-5,IF(L81&gt;=95,15,IF(L81&gt;=90,10,IF(L81&gt;=80,5,0))))</f>
        <v/>
      </c>
      <c r="O81" s="31" t="n">
        <v>69.47</v>
      </c>
      <c r="P81" s="31" t="n">
        <v>37.82</v>
      </c>
      <c r="Q81" s="31" t="n">
        <v>132.42</v>
      </c>
      <c r="R81" s="30" t="inlineStr">
        <is>
          <t>Volume Spike &amp; Near 52W High Breakout</t>
        </is>
      </c>
      <c r="S81" s="30" t="inlineStr">
        <is>
          <t>Nifty Metal</t>
        </is>
      </c>
      <c r="T81" s="31" t="inlineStr"/>
      <c r="U81" s="31" t="inlineStr"/>
      <c r="V81" s="31" t="inlineStr"/>
      <c r="W81" s="31" t="inlineStr"/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Between 0.7 to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21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TEGA</t>
        </is>
      </c>
      <c r="D82" s="30" t="inlineStr">
        <is>
          <t>Tega Industries Ltd</t>
        </is>
      </c>
      <c r="E82" s="30" t="inlineStr">
        <is>
          <t>industrials</t>
        </is>
      </c>
      <c r="F82" s="30" t="inlineStr">
        <is>
          <t>Capital Goods Mining Equipment</t>
        </is>
      </c>
      <c r="G82" s="30" t="inlineStr">
        <is>
          <t>midcap</t>
        </is>
      </c>
      <c r="H82" s="31" t="n">
        <v>15668.63</v>
      </c>
      <c r="I82" s="31" t="n">
        <v>2085.6</v>
      </c>
      <c r="J82" s="31" t="n">
        <v>1.14</v>
      </c>
      <c r="K82" s="31" t="n">
        <v>0</v>
      </c>
      <c r="L82" s="30" t="n">
        <v>17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65.34999999999999</v>
      </c>
      <c r="P82" s="31" t="n">
        <v>12.58</v>
      </c>
      <c r="Q82" s="31" t="n">
        <v>1603.45</v>
      </c>
      <c r="R82" s="30" t="inlineStr">
        <is>
          <t>Volume Spike &amp; Near 52W High Breakout</t>
        </is>
      </c>
      <c r="S82" s="30" t="inlineStr">
        <is>
          <t>Nifty 50</t>
        </is>
      </c>
      <c r="T82" s="31" t="n">
        <v>-6.14</v>
      </c>
      <c r="U82" s="31" t="n">
        <v>7.82</v>
      </c>
      <c r="V82" s="31" t="n">
        <v>14.88</v>
      </c>
      <c r="W82" s="31" t="n">
        <v>6.27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ANTELOPUS</t>
        </is>
      </c>
      <c r="D83" s="30" t="inlineStr">
        <is>
          <t>Antelopus Selan Energy Ltd</t>
        </is>
      </c>
      <c r="E83" s="30" t="inlineStr">
        <is>
          <t>energy</t>
        </is>
      </c>
      <c r="F83" s="30" t="inlineStr">
        <is>
          <t>Oil Drilling and Exploration</t>
        </is>
      </c>
      <c r="G83" s="30" t="inlineStr">
        <is>
          <t>smallcap</t>
        </is>
      </c>
      <c r="H83" s="31" t="n">
        <v>4446.27</v>
      </c>
      <c r="I83" s="31" t="n">
        <v>1260</v>
      </c>
      <c r="J83" s="31" t="n">
        <v>11.41</v>
      </c>
      <c r="K83" s="31" t="n">
        <v>0</v>
      </c>
      <c r="L83" s="30" t="inlineStr"/>
      <c r="M83" s="30" t="inlineStr"/>
      <c r="N83" s="31">
        <f>IF(M83="Underperforming",-5,IF(L83&gt;=95,15,IF(L83&gt;=90,10,IF(L83&gt;=80,5,0))))</f>
        <v/>
      </c>
      <c r="O83" s="31" t="n">
        <v>76.17</v>
      </c>
      <c r="P83" s="31" t="n">
        <v>47.52</v>
      </c>
      <c r="Q83" s="31" t="n">
        <v>877.58</v>
      </c>
      <c r="R83" s="30" t="inlineStr">
        <is>
          <t>Near 52W High Breakout</t>
        </is>
      </c>
      <c r="S83" s="30" t="inlineStr">
        <is>
          <t>Nifty Energy</t>
        </is>
      </c>
      <c r="T83" s="31" t="inlineStr"/>
      <c r="U83" s="31" t="inlineStr"/>
      <c r="V83" s="31" t="inlineStr"/>
      <c r="W83" s="31" t="inlineStr"/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31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STLTECH</t>
        </is>
      </c>
      <c r="D84" s="30" t="inlineStr">
        <is>
          <t>Sterlite Technologies Ltd</t>
        </is>
      </c>
      <c r="E84" s="30" t="inlineStr">
        <is>
          <t>industrials</t>
        </is>
      </c>
      <c r="F84" s="30" t="inlineStr">
        <is>
          <t>Cables Telecom</t>
        </is>
      </c>
      <c r="G84" s="30" t="inlineStr">
        <is>
          <t>largecap</t>
        </is>
      </c>
      <c r="H84" s="31" t="n">
        <v>43026.61</v>
      </c>
      <c r="I84" s="31" t="n">
        <v>837</v>
      </c>
      <c r="J84" s="31" t="n">
        <v>1.61</v>
      </c>
      <c r="K84" s="31" t="n">
        <v>0</v>
      </c>
      <c r="L84" s="30" t="inlineStr"/>
      <c r="M84" s="30" t="inlineStr"/>
      <c r="N84" s="31">
        <f>IF(M84="Underperforming",-5,IF(L84&gt;=95,15,IF(L84&gt;=90,10,IF(L84&gt;=80,5,0))))</f>
        <v/>
      </c>
      <c r="O84" s="31" t="n">
        <v>73.72</v>
      </c>
      <c r="P84" s="31" t="n">
        <v>72.02</v>
      </c>
      <c r="Q84" s="31" t="n">
        <v>655.85</v>
      </c>
      <c r="R84" s="30" t="inlineStr">
        <is>
          <t>Earnings / Momentum Support</t>
        </is>
      </c>
      <c r="S84" s="30" t="inlineStr">
        <is>
          <t>Nifty Infra</t>
        </is>
      </c>
      <c r="T84" s="31" t="inlineStr"/>
      <c r="U84" s="31" t="inlineStr"/>
      <c r="V84" s="31" t="inlineStr"/>
      <c r="W84" s="31" t="inlineStr"/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22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SBC</t>
        </is>
      </c>
      <c r="D85" s="30" t="inlineStr">
        <is>
          <t>SBC Exports Ltd</t>
        </is>
      </c>
      <c r="E85" s="30" t="inlineStr">
        <is>
          <t>textiles</t>
        </is>
      </c>
      <c r="F85" s="30" t="inlineStr">
        <is>
          <t>Textiles Readymade Apparel</t>
        </is>
      </c>
      <c r="G85" s="30" t="inlineStr">
        <is>
          <t>smallcap</t>
        </is>
      </c>
      <c r="H85" s="31" t="n">
        <v>2511.9</v>
      </c>
      <c r="I85" s="31" t="n">
        <v>52.75</v>
      </c>
      <c r="J85" s="31" t="n">
        <v>9.869999999999999</v>
      </c>
      <c r="K85" s="31" t="n">
        <v>0</v>
      </c>
      <c r="L85" s="30" t="n">
        <v>73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80.43000000000001</v>
      </c>
      <c r="P85" s="31" t="n">
        <v>32.26</v>
      </c>
      <c r="Q85" s="31" t="n">
        <v>43.36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-6.14</v>
      </c>
      <c r="U85" s="31" t="n">
        <v>145.58</v>
      </c>
      <c r="V85" s="31" t="n">
        <v>161.65</v>
      </c>
      <c r="W85" s="31" t="n">
        <v>25.95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23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RATNAVEER</t>
        </is>
      </c>
      <c r="D86" s="30" t="inlineStr">
        <is>
          <t>Ratnaveer Precision Engineering Ltd</t>
        </is>
      </c>
      <c r="E86" s="30" t="inlineStr">
        <is>
          <t>metals &amp; mining</t>
        </is>
      </c>
      <c r="F86" s="30" t="inlineStr">
        <is>
          <t>Stainless Steel</t>
        </is>
      </c>
      <c r="G86" s="30" t="inlineStr">
        <is>
          <t>smallcap</t>
        </is>
      </c>
      <c r="H86" s="31" t="n">
        <v>2798.1</v>
      </c>
      <c r="I86" s="31" t="n">
        <v>333.4</v>
      </c>
      <c r="J86" s="31" t="n">
        <v>2.92</v>
      </c>
      <c r="K86" s="31" t="n">
        <v>0</v>
      </c>
      <c r="L86" s="30" t="inlineStr"/>
      <c r="M86" s="30" t="inlineStr"/>
      <c r="N86" s="31">
        <f>IF(M86="Underperforming",-5,IF(L86&gt;=95,15,IF(L86&gt;=90,10,IF(L86&gt;=80,5,0))))</f>
        <v/>
      </c>
      <c r="O86" s="31" t="n">
        <v>81.02</v>
      </c>
      <c r="P86" s="31" t="n">
        <v>63.07</v>
      </c>
      <c r="Q86" s="31" t="n">
        <v>243.76</v>
      </c>
      <c r="R86" s="30" t="inlineStr">
        <is>
          <t>Near 52W High Breakout</t>
        </is>
      </c>
      <c r="S86" s="30" t="inlineStr">
        <is>
          <t>Nifty Metal</t>
        </is>
      </c>
      <c r="T86" s="31" t="inlineStr"/>
      <c r="U86" s="31" t="inlineStr"/>
      <c r="V86" s="31" t="inlineStr"/>
      <c r="W86" s="31" t="inlineStr"/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Less than 12%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22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ROSSTECH</t>
        </is>
      </c>
      <c r="D87" s="30" t="inlineStr">
        <is>
          <t>Rossell Techsys Ltd</t>
        </is>
      </c>
      <c r="E87" s="30" t="inlineStr">
        <is>
          <t>aerospace &amp; defence</t>
        </is>
      </c>
      <c r="F87" s="30" t="inlineStr">
        <is>
          <t>Aerospace and Defence Equipment</t>
        </is>
      </c>
      <c r="G87" s="30" t="inlineStr">
        <is>
          <t>midcap</t>
        </is>
      </c>
      <c r="H87" s="31" t="n">
        <v>5269.97</v>
      </c>
      <c r="I87" s="31" t="n">
        <v>1398</v>
      </c>
      <c r="J87" s="31" t="n">
        <v>-1.47</v>
      </c>
      <c r="K87" s="31" t="n">
        <v>0</v>
      </c>
      <c r="L87" s="30" t="n">
        <v>74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77.31</v>
      </c>
      <c r="P87" s="31" t="n">
        <v>29.26</v>
      </c>
      <c r="Q87" s="31" t="n">
        <v>1028.5</v>
      </c>
      <c r="R87" s="30" t="inlineStr">
        <is>
          <t>Near 52W High Breakout</t>
        </is>
      </c>
      <c r="S87" s="30" t="inlineStr">
        <is>
          <t>Nifty 50</t>
        </is>
      </c>
      <c r="T87" s="31" t="n">
        <v>-6.14</v>
      </c>
      <c r="U87" s="31" t="n">
        <v>92.31</v>
      </c>
      <c r="V87" s="31" t="n">
        <v>104.9</v>
      </c>
      <c r="W87" s="31" t="n">
        <v>26.36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21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BHEL</t>
        </is>
      </c>
      <c r="D88" s="30" t="inlineStr">
        <is>
          <t>Bharat Heavy Electricals Ltd</t>
        </is>
      </c>
      <c r="E88" s="30" t="inlineStr">
        <is>
          <t>Industrials</t>
        </is>
      </c>
      <c r="F88" s="30" t="inlineStr">
        <is>
          <t>Capital Goods Engineering Heavy</t>
        </is>
      </c>
      <c r="G88" s="30" t="inlineStr">
        <is>
          <t>largecap</t>
        </is>
      </c>
      <c r="H88" s="31" t="n">
        <v>145881.04</v>
      </c>
      <c r="I88" s="31" t="n">
        <v>418.95</v>
      </c>
      <c r="J88" s="31" t="n">
        <v>0.87</v>
      </c>
      <c r="K88" s="31" t="n">
        <v>0</v>
      </c>
      <c r="L88" s="30" t="n">
        <v>46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59.91</v>
      </c>
      <c r="P88" s="31" t="n">
        <v>36.52</v>
      </c>
      <c r="Q88" s="31" t="n">
        <v>356.35</v>
      </c>
      <c r="R88" s="30" t="inlineStr">
        <is>
          <t>Near 52W High Breakout</t>
        </is>
      </c>
      <c r="S88" s="30" t="inlineStr">
        <is>
          <t>Nifty 50</t>
        </is>
      </c>
      <c r="T88" s="31" t="n">
        <v>-6.14</v>
      </c>
      <c r="U88" s="31" t="n">
        <v>81.94</v>
      </c>
      <c r="V88" s="31" t="n">
        <v>93.84999999999999</v>
      </c>
      <c r="W88" s="31" t="n">
        <v>15.83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Between 1.5 to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19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NAVINFLUOR</t>
        </is>
      </c>
      <c r="D89" s="33" t="inlineStr">
        <is>
          <t>Navin Fluorine International Ltd</t>
        </is>
      </c>
      <c r="E89" s="30" t="inlineStr">
        <is>
          <t>chemicals</t>
        </is>
      </c>
      <c r="F89" s="30" t="inlineStr">
        <is>
          <t>Chemicals Fluorine</t>
        </is>
      </c>
      <c r="G89" s="30" t="inlineStr">
        <is>
          <t>largecap</t>
        </is>
      </c>
      <c r="H89" s="31" t="n">
        <v>43986.88</v>
      </c>
      <c r="I89" s="31" t="n">
        <v>8572</v>
      </c>
      <c r="J89" s="31" t="n">
        <v>1.31</v>
      </c>
      <c r="K89" s="31" t="n">
        <v>0</v>
      </c>
      <c r="L89" s="30" t="n">
        <v>50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77.84</v>
      </c>
      <c r="P89" s="31" t="n">
        <v>59.55</v>
      </c>
      <c r="Q89" s="31" t="n">
        <v>7192.5</v>
      </c>
      <c r="R89" s="30" t="inlineStr">
        <is>
          <t>Near 52W High Breakout</t>
        </is>
      </c>
      <c r="S89" s="30" t="inlineStr">
        <is>
          <t>Nifty 50</t>
        </is>
      </c>
      <c r="T89" s="31" t="n">
        <v>-6.14</v>
      </c>
      <c r="U89" s="31" t="n">
        <v>88.14</v>
      </c>
      <c r="V89" s="31" t="n">
        <v>100.45</v>
      </c>
      <c r="W89" s="31" t="n">
        <v>16.54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Shallow Cyclical (2 to 3 Years Growth)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Between 50% to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19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CUPID</t>
        </is>
      </c>
      <c r="D90" s="33" t="inlineStr">
        <is>
          <t>Cupid Ltd</t>
        </is>
      </c>
      <c r="E90" s="30" t="inlineStr">
        <is>
          <t>Consumer Defensive</t>
        </is>
      </c>
      <c r="F90" s="30" t="inlineStr">
        <is>
          <t>Contraceptives and Protectives</t>
        </is>
      </c>
      <c r="G90" s="30" t="inlineStr">
        <is>
          <t>largecap</t>
        </is>
      </c>
      <c r="H90" s="31" t="n">
        <v>36319.29</v>
      </c>
      <c r="I90" s="31" t="n">
        <v>270.1</v>
      </c>
      <c r="J90" s="31" t="n">
        <v>1.43</v>
      </c>
      <c r="K90" s="31" t="n">
        <v>0</v>
      </c>
      <c r="L90" s="30" t="n">
        <v>97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76.61</v>
      </c>
      <c r="P90" s="31" t="n">
        <v>69.05</v>
      </c>
      <c r="Q90" s="31" t="n">
        <v>223.37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-6.14</v>
      </c>
      <c r="U90" s="31" t="n">
        <v>526.39</v>
      </c>
      <c r="V90" s="31" t="n">
        <v>567.38</v>
      </c>
      <c r="W90" s="31" t="n">
        <v>64.44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KMEW</t>
        </is>
      </c>
      <c r="D91" s="30" t="inlineStr">
        <is>
          <t>Knowledge Marine &amp; Engineering Works Ltd</t>
        </is>
      </c>
      <c r="E91" s="30" t="inlineStr">
        <is>
          <t>Industrials</t>
        </is>
      </c>
      <c r="F91" s="30" t="inlineStr">
        <is>
          <t>Shipping</t>
        </is>
      </c>
      <c r="G91" s="30" t="inlineStr">
        <is>
          <t>midcap</t>
        </is>
      </c>
      <c r="H91" s="31" t="n">
        <v>7289.7</v>
      </c>
      <c r="I91" s="31" t="n">
        <v>2874</v>
      </c>
      <c r="J91" s="31" t="n">
        <v>-0.58</v>
      </c>
      <c r="K91" s="31" t="n">
        <v>0</v>
      </c>
      <c r="L91" s="30" t="n">
        <v>76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71.01000000000001</v>
      </c>
      <c r="P91" s="31" t="n">
        <v>58.63</v>
      </c>
      <c r="Q91" s="31" t="n">
        <v>2229.47</v>
      </c>
      <c r="R91" s="30" t="inlineStr">
        <is>
          <t>Earnings / Momentum Support</t>
        </is>
      </c>
      <c r="S91" s="30" t="inlineStr">
        <is>
          <t>Nifty 50</t>
        </is>
      </c>
      <c r="T91" s="31" t="n">
        <v>-6.14</v>
      </c>
      <c r="U91" s="31" t="n">
        <v>129.94</v>
      </c>
      <c r="V91" s="31" t="n">
        <v>144.99</v>
      </c>
      <c r="W91" s="31" t="n">
        <v>26.93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PRABHA</t>
        </is>
      </c>
      <c r="D92" s="33" t="inlineStr">
        <is>
          <t>Prabha Energy Ltd</t>
        </is>
      </c>
      <c r="E92" s="30" t="inlineStr">
        <is>
          <t>energy</t>
        </is>
      </c>
      <c r="F92" s="30" t="inlineStr">
        <is>
          <t>Oil Exploration and Allied Services</t>
        </is>
      </c>
      <c r="G92" s="30" t="inlineStr">
        <is>
          <t>smallcap</t>
        </is>
      </c>
      <c r="H92" s="31" t="n">
        <v>3652.43</v>
      </c>
      <c r="I92" s="31" t="n">
        <v>234</v>
      </c>
      <c r="J92" s="31" t="n">
        <v>3.65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n">
        <v>66.93000000000001</v>
      </c>
      <c r="P92" s="31" t="n">
        <v>29.62</v>
      </c>
      <c r="Q92" s="31" t="n">
        <v>176.42</v>
      </c>
      <c r="R92" s="30" t="inlineStr">
        <is>
          <t>Earnings / Momentum Support</t>
        </is>
      </c>
      <c r="S92" s="30" t="inlineStr">
        <is>
          <t>Nifty Energy</t>
        </is>
      </c>
      <c r="T92" s="31" t="inlineStr"/>
      <c r="U92" s="31" t="inlineStr"/>
      <c r="V92" s="31" t="inlineStr"/>
      <c r="W92" s="31" t="inlineStr"/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20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RAMRAT</t>
        </is>
      </c>
      <c r="D93" s="33" t="inlineStr">
        <is>
          <t>Ram Ratna Wires Ltd</t>
        </is>
      </c>
      <c r="E93" s="30" t="inlineStr">
        <is>
          <t>metals &amp; mining</t>
        </is>
      </c>
      <c r="F93" s="30" t="inlineStr">
        <is>
          <t>Copper Wires</t>
        </is>
      </c>
      <c r="G93" s="30" t="inlineStr">
        <is>
          <t>midcap</t>
        </is>
      </c>
      <c r="H93" s="31" t="n">
        <v>5349.84</v>
      </c>
      <c r="I93" s="31" t="n">
        <v>573.1</v>
      </c>
      <c r="J93" s="31" t="n">
        <v>4.5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n">
        <v>70.54000000000001</v>
      </c>
      <c r="P93" s="31" t="n">
        <v>47.65</v>
      </c>
      <c r="Q93" s="31" t="n">
        <v>445.58</v>
      </c>
      <c r="R93" s="30" t="inlineStr">
        <is>
          <t>Near 52W High Breakout</t>
        </is>
      </c>
      <c r="S93" s="30" t="inlineStr">
        <is>
          <t>Nifty Metal</t>
        </is>
      </c>
      <c r="T93" s="31" t="inlineStr"/>
      <c r="U93" s="31" t="inlineStr"/>
      <c r="V93" s="31" t="inlineStr"/>
      <c r="W93" s="31" t="inlineStr"/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Between 0.7 to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20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GNFC</t>
        </is>
      </c>
      <c r="D94" s="30" t="inlineStr">
        <is>
          <t>Gujarat Narmada Valley Fertilizers &amp; Chemicals Ltd</t>
        </is>
      </c>
      <c r="E94" s="30" t="inlineStr">
        <is>
          <t>chemicals</t>
        </is>
      </c>
      <c r="F94" s="30" t="inlineStr">
        <is>
          <t>Fertilisers</t>
        </is>
      </c>
      <c r="G94" s="30" t="inlineStr">
        <is>
          <t>midcap</t>
        </is>
      </c>
      <c r="H94" s="31" t="n">
        <v>9286.65</v>
      </c>
      <c r="I94" s="31" t="n">
        <v>632</v>
      </c>
      <c r="J94" s="31" t="n">
        <v>1.1</v>
      </c>
      <c r="K94" s="31" t="n">
        <v>0</v>
      </c>
      <c r="L94" s="30" t="n">
        <v>36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74.16</v>
      </c>
      <c r="P94" s="31" t="n">
        <v>40.19</v>
      </c>
      <c r="Q94" s="31" t="n">
        <v>511.97</v>
      </c>
      <c r="R94" s="30" t="inlineStr">
        <is>
          <t>Volume Spike &amp; Near 52W High Breakout</t>
        </is>
      </c>
      <c r="S94" s="30" t="inlineStr">
        <is>
          <t>Nifty 50</t>
        </is>
      </c>
      <c r="T94" s="31" t="n">
        <v>-6.14</v>
      </c>
      <c r="U94" s="31" t="n">
        <v>31.43</v>
      </c>
      <c r="V94" s="31" t="n">
        <v>40.03</v>
      </c>
      <c r="W94" s="31" t="n">
        <v>11.6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Oligopoly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Shallow Cyclical (2 to 3 Years Growth)</t>
        </is>
      </c>
      <c r="AG94" s="30">
        <f>IF(AF94="Structural (10 Years Consistency)",10,IF(AF94="Shallow Cyclical (2 to 3 years growth)",5,0))</f>
        <v/>
      </c>
      <c r="AH94" s="30" t="inlineStr">
        <is>
          <t>Yes due to Product Mix change or Operating Leverage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Allocated capital in Non-core Areas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Sideways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Overhead supply in last 2 years in last 2 years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More than 15%</t>
        </is>
      </c>
      <c r="CC94" s="30">
        <f>IF(CB94="More than 15%",-10,IF(CB94="Less than 15%",10,0))</f>
        <v/>
      </c>
      <c r="CD94" s="30" t="inlineStr">
        <is>
          <t>Yes Upto 10%</t>
        </is>
      </c>
      <c r="CE94" s="30">
        <f>IF(CD94="Yes, more than 10%",-10,IF(CD94="No",10,0))</f>
        <v/>
      </c>
      <c r="CF94" s="30" t="inlineStr">
        <is>
          <t>24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UTSSAV</t>
        </is>
      </c>
      <c r="D95" s="30" t="inlineStr">
        <is>
          <t>Utssav CZ Gold Jewels Ltd</t>
        </is>
      </c>
      <c r="E95" s="30" t="inlineStr">
        <is>
          <t>unknown</t>
        </is>
      </c>
      <c r="F95" s="30" t="inlineStr">
        <is>
          <t>Diamond Gems and Jewellery</t>
        </is>
      </c>
      <c r="G95" s="30" t="inlineStr">
        <is>
          <t>smallcap</t>
        </is>
      </c>
      <c r="H95" s="31" t="n">
        <v>1750.73</v>
      </c>
      <c r="I95" s="31" t="n">
        <v>725</v>
      </c>
      <c r="J95" s="31" t="n">
        <v>11.16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2026-09-25</t>
        </is>
      </c>
    </row>
    <row r="102">
      <c r="A102" s="35" t="inlineStr">
        <is>
          <t>AFCOM</t>
        </is>
      </c>
      <c r="B102" s="36" t="inlineStr">
        <is>
          <t>AFCOM</t>
        </is>
      </c>
      <c r="C102" s="36" t="inlineStr">
        <is>
          <t>unknown</t>
        </is>
      </c>
      <c r="D102" s="37" t="inlineStr">
        <is>
          <t>2026-09-24</t>
        </is>
      </c>
    </row>
    <row r="103">
      <c r="A103" s="35" t="inlineStr">
        <is>
          <t>BIL</t>
        </is>
      </c>
      <c r="B103" s="36" t="inlineStr">
        <is>
          <t>Bhartiya International Ltd.</t>
        </is>
      </c>
      <c r="C103" s="36" t="inlineStr">
        <is>
          <t>Consumer Cyclical</t>
        </is>
      </c>
      <c r="D103" s="37" t="inlineStr">
        <is>
          <t>2026-09-23</t>
        </is>
      </c>
    </row>
    <row r="104">
      <c r="A104" s="35" t="inlineStr">
        <is>
          <t>CENTUM</t>
        </is>
      </c>
      <c r="B104" s="36" t="inlineStr">
        <is>
          <t>Centum Electronics Limited</t>
        </is>
      </c>
      <c r="C104" s="36" t="inlineStr">
        <is>
          <t>Technology</t>
        </is>
      </c>
      <c r="D104" s="37" t="inlineStr">
        <is>
          <t>2026-09-22</t>
        </is>
      </c>
    </row>
    <row r="105">
      <c r="A105" s="35" t="inlineStr">
        <is>
          <t>CONFIPET</t>
        </is>
      </c>
      <c r="B105" s="36" t="inlineStr">
        <is>
          <t>Confidence Petroleum India Limited</t>
        </is>
      </c>
      <c r="C105" s="36" t="inlineStr">
        <is>
          <t>Energy</t>
        </is>
      </c>
      <c r="D105" s="37" t="inlineStr">
        <is>
          <t>2026-09-24</t>
        </is>
      </c>
    </row>
    <row r="106">
      <c r="A106" s="35" t="inlineStr">
        <is>
          <t>CRAFTSMAN</t>
        </is>
      </c>
      <c r="B106" s="36" t="inlineStr">
        <is>
          <t>CRAFTSMAN</t>
        </is>
      </c>
      <c r="C106" s="36" t="inlineStr">
        <is>
          <t>unknown</t>
        </is>
      </c>
      <c r="D106" s="37" t="inlineStr">
        <is>
          <t>2026-09-22</t>
        </is>
      </c>
    </row>
    <row r="107">
      <c r="A107" s="35" t="inlineStr">
        <is>
          <t>DEEPINDS</t>
        </is>
      </c>
      <c r="B107" s="36" t="inlineStr">
        <is>
          <t>Deep Industries Limited</t>
        </is>
      </c>
      <c r="C107" s="36" t="inlineStr">
        <is>
          <t>Energy</t>
        </is>
      </c>
      <c r="D107" s="37" t="inlineStr">
        <is>
          <t>2026-09-23</t>
        </is>
      </c>
    </row>
    <row r="108">
      <c r="A108" s="35" t="inlineStr">
        <is>
          <t>DIVISLAB</t>
        </is>
      </c>
      <c r="B108" s="36" t="inlineStr">
        <is>
          <t>Divi's Laboratories Limited</t>
        </is>
      </c>
      <c r="C108" s="36" t="inlineStr">
        <is>
          <t>Healthcare</t>
        </is>
      </c>
      <c r="D108" s="37" t="inlineStr">
        <is>
          <t>2026-09-25</t>
        </is>
      </c>
    </row>
    <row r="109">
      <c r="A109" s="35" t="inlineStr">
        <is>
          <t>DOLPHIN</t>
        </is>
      </c>
      <c r="B109" s="36" t="inlineStr">
        <is>
          <t>Dolphin Offshore Enterprises (India) Limited</t>
        </is>
      </c>
      <c r="C109" s="36" t="inlineStr">
        <is>
          <t>Energy</t>
        </is>
      </c>
      <c r="D109" s="37" t="inlineStr">
        <is>
          <t>2026-09-22</t>
        </is>
      </c>
    </row>
    <row r="110">
      <c r="A110" s="35" t="inlineStr">
        <is>
          <t>DYCL</t>
        </is>
      </c>
      <c r="B110" s="36" t="inlineStr">
        <is>
          <t>DYCL</t>
        </is>
      </c>
      <c r="C110" s="36" t="inlineStr">
        <is>
          <t>unknown</t>
        </is>
      </c>
      <c r="D110" s="37" t="inlineStr">
        <is>
          <t>2026-09-24</t>
        </is>
      </c>
    </row>
    <row r="111">
      <c r="A111" s="35" t="inlineStr">
        <is>
          <t>ELANTAS</t>
        </is>
      </c>
      <c r="B111" s="36" t="inlineStr">
        <is>
          <t>ELANTAS</t>
        </is>
      </c>
      <c r="C111" s="36" t="inlineStr">
        <is>
          <t>unknown</t>
        </is>
      </c>
      <c r="D111" s="37" t="inlineStr">
        <is>
          <t>2026-09-22</t>
        </is>
      </c>
    </row>
    <row r="112">
      <c r="A112" s="35" t="inlineStr">
        <is>
          <t>FEDDERSHOL</t>
        </is>
      </c>
      <c r="B112" s="36" t="inlineStr">
        <is>
          <t>FEDDERSHOL</t>
        </is>
      </c>
      <c r="C112" s="36" t="inlineStr">
        <is>
          <t>unknown</t>
        </is>
      </c>
      <c r="D112" s="37" t="inlineStr">
        <is>
          <t>2026-09-24</t>
        </is>
      </c>
    </row>
    <row r="113">
      <c r="A113" s="35" t="inlineStr">
        <is>
          <t>GMMPFAUDLR</t>
        </is>
      </c>
      <c r="B113" s="36" t="inlineStr">
        <is>
          <t>GMM Pfaudler Limited</t>
        </is>
      </c>
      <c r="C113" s="36" t="inlineStr">
        <is>
          <t>Industrials</t>
        </is>
      </c>
      <c r="D113" s="37" t="inlineStr">
        <is>
          <t>2026-09-25</t>
        </is>
      </c>
    </row>
    <row r="114">
      <c r="A114" s="35" t="inlineStr">
        <is>
          <t>GRANULES</t>
        </is>
      </c>
      <c r="B114" s="36" t="inlineStr">
        <is>
          <t>GRANULES</t>
        </is>
      </c>
      <c r="C114" s="36" t="inlineStr">
        <is>
          <t>unknown</t>
        </is>
      </c>
      <c r="D114" s="37" t="inlineStr">
        <is>
          <t>2026-09-25</t>
        </is>
      </c>
    </row>
    <row r="115">
      <c r="A115" s="35" t="inlineStr">
        <is>
          <t>HFCL</t>
        </is>
      </c>
      <c r="B115" s="36" t="inlineStr">
        <is>
          <t>HFCL</t>
        </is>
      </c>
      <c r="C115" s="36" t="inlineStr">
        <is>
          <t>unknown</t>
        </is>
      </c>
      <c r="D115" s="37" t="inlineStr">
        <is>
          <t>2026-09-23</t>
        </is>
      </c>
    </row>
    <row r="116">
      <c r="A116" s="35" t="inlineStr">
        <is>
          <t>HOMEFIRST</t>
        </is>
      </c>
      <c r="B116" s="36" t="inlineStr">
        <is>
          <t>HOMEFIRST</t>
        </is>
      </c>
      <c r="C116" s="36" t="inlineStr">
        <is>
          <t>unknown</t>
        </is>
      </c>
      <c r="D116" s="37" t="inlineStr">
        <is>
          <t>2026-09-22</t>
        </is>
      </c>
    </row>
    <row r="117">
      <c r="A117" s="35" t="inlineStr">
        <is>
          <t>HONASA</t>
        </is>
      </c>
      <c r="B117" s="36" t="inlineStr">
        <is>
          <t>HONASA</t>
        </is>
      </c>
      <c r="C117" s="36" t="inlineStr">
        <is>
          <t>unknown</t>
        </is>
      </c>
      <c r="D117" s="37" t="inlineStr">
        <is>
          <t>2026-09-24</t>
        </is>
      </c>
    </row>
    <row r="118">
      <c r="A118" s="35" t="inlineStr">
        <is>
          <t>INDNIPPON</t>
        </is>
      </c>
      <c r="B118" s="36" t="inlineStr">
        <is>
          <t>India Nippon Electricals Limited</t>
        </is>
      </c>
      <c r="C118" s="36" t="inlineStr">
        <is>
          <t>Consumer Cyclical</t>
        </is>
      </c>
      <c r="D118" s="37" t="inlineStr">
        <is>
          <t>2026-09-25</t>
        </is>
      </c>
    </row>
    <row r="119">
      <c r="A119" s="35" t="inlineStr">
        <is>
          <t>INDORAMA</t>
        </is>
      </c>
      <c r="B119" s="36" t="inlineStr">
        <is>
          <t>Indo Rama Synthetics (India) Limited</t>
        </is>
      </c>
      <c r="C119" s="36" t="inlineStr">
        <is>
          <t>Consumer Cyclical</t>
        </is>
      </c>
      <c r="D119" s="37" t="inlineStr">
        <is>
          <t>2026-09-22</t>
        </is>
      </c>
    </row>
    <row r="120">
      <c r="A120" s="35" t="inlineStr">
        <is>
          <t>IRISDOREME</t>
        </is>
      </c>
      <c r="B120" s="36" t="inlineStr">
        <is>
          <t>Iris Clothings Limited</t>
        </is>
      </c>
      <c r="C120" s="36" t="inlineStr">
        <is>
          <t>Consumer Cyclical</t>
        </is>
      </c>
      <c r="D120" s="37" t="inlineStr">
        <is>
          <t>2026-09-25</t>
        </is>
      </c>
    </row>
    <row r="121">
      <c r="A121" s="35" t="inlineStr">
        <is>
          <t>JOJO</t>
        </is>
      </c>
      <c r="B121" s="36" t="inlineStr">
        <is>
          <t>JOJO</t>
        </is>
      </c>
      <c r="C121" s="36" t="inlineStr">
        <is>
          <t>unknown</t>
        </is>
      </c>
      <c r="D121" s="37" t="inlineStr">
        <is>
          <t>2026-09-25</t>
        </is>
      </c>
    </row>
    <row r="122">
      <c r="A122" s="35" t="inlineStr">
        <is>
          <t>KENNAMET</t>
        </is>
      </c>
      <c r="B122" s="36" t="inlineStr">
        <is>
          <t>KENNAMET</t>
        </is>
      </c>
      <c r="C122" s="36" t="inlineStr">
        <is>
          <t>unknown</t>
        </is>
      </c>
      <c r="D122" s="37" t="inlineStr">
        <is>
          <t>2026-09-23</t>
        </is>
      </c>
    </row>
    <row r="123">
      <c r="A123" s="35" t="inlineStr">
        <is>
          <t>KRISHANA</t>
        </is>
      </c>
      <c r="B123" s="36" t="inlineStr">
        <is>
          <t>KRISHANA</t>
        </is>
      </c>
      <c r="C123" s="36" t="inlineStr">
        <is>
          <t>unknown</t>
        </is>
      </c>
      <c r="D123" s="37" t="inlineStr">
        <is>
          <t>2026-09-23</t>
        </is>
      </c>
    </row>
    <row r="124">
      <c r="A124" s="35" t="inlineStr">
        <is>
          <t>MINDSPACE</t>
        </is>
      </c>
      <c r="B124" s="36" t="inlineStr">
        <is>
          <t>MINDSPACE</t>
        </is>
      </c>
      <c r="C124" s="36" t="inlineStr">
        <is>
          <t>unknown</t>
        </is>
      </c>
      <c r="D124" s="37" t="inlineStr">
        <is>
          <t>2026-09-24</t>
        </is>
      </c>
    </row>
    <row r="125">
      <c r="A125" s="35" t="inlineStr">
        <is>
          <t>MMP</t>
        </is>
      </c>
      <c r="B125" s="36" t="inlineStr">
        <is>
          <t>MMP Industries Limited</t>
        </is>
      </c>
      <c r="C125" s="36" t="inlineStr">
        <is>
          <t>Basic Materials</t>
        </is>
      </c>
      <c r="D125" s="37" t="inlineStr">
        <is>
          <t>2026-09-24</t>
        </is>
      </c>
    </row>
    <row r="126">
      <c r="A126" s="35" t="inlineStr">
        <is>
          <t>MODISONLTD</t>
        </is>
      </c>
      <c r="B126" s="36" t="inlineStr">
        <is>
          <t>MODISONLTD</t>
        </is>
      </c>
      <c r="C126" s="36" t="inlineStr">
        <is>
          <t>unknown</t>
        </is>
      </c>
      <c r="D126" s="37" t="inlineStr">
        <is>
          <t>2026-09-24</t>
        </is>
      </c>
    </row>
    <row r="127">
      <c r="A127" s="35" t="inlineStr">
        <is>
          <t>MONOLITH</t>
        </is>
      </c>
      <c r="B127" s="36" t="inlineStr">
        <is>
          <t>MONOLITH</t>
        </is>
      </c>
      <c r="C127" s="36" t="inlineStr">
        <is>
          <t>unknown</t>
        </is>
      </c>
      <c r="D127" s="37" t="inlineStr">
        <is>
          <t>2026-09-23</t>
        </is>
      </c>
    </row>
    <row r="128">
      <c r="A128" s="35" t="inlineStr">
        <is>
          <t>NOCIL</t>
        </is>
      </c>
      <c r="B128" s="36" t="inlineStr">
        <is>
          <t>NOCIL Limited</t>
        </is>
      </c>
      <c r="C128" s="36" t="inlineStr">
        <is>
          <t>Basic Materials</t>
        </is>
      </c>
      <c r="D128" s="37" t="inlineStr">
        <is>
          <t>2026-09-22</t>
        </is>
      </c>
    </row>
    <row r="129">
      <c r="A129" s="35" t="inlineStr">
        <is>
          <t>NPST</t>
        </is>
      </c>
      <c r="B129" s="36" t="inlineStr">
        <is>
          <t>Network People Services Technologies Limited</t>
        </is>
      </c>
      <c r="C129" s="36" t="inlineStr">
        <is>
          <t>Technology</t>
        </is>
      </c>
      <c r="D129" s="37" t="inlineStr">
        <is>
          <t>2026-09-23</t>
        </is>
      </c>
    </row>
    <row r="130">
      <c r="A130" s="35" t="inlineStr">
        <is>
          <t>OBSCP</t>
        </is>
      </c>
      <c r="B130" s="36" t="inlineStr">
        <is>
          <t>OBSCP</t>
        </is>
      </c>
      <c r="C130" s="36" t="inlineStr">
        <is>
          <t>unknown</t>
        </is>
      </c>
      <c r="D130" s="37" t="inlineStr">
        <is>
          <t>2026-09-24</t>
        </is>
      </c>
    </row>
    <row r="131">
      <c r="A131" s="35" t="inlineStr">
        <is>
          <t>OPTIEMUS</t>
        </is>
      </c>
      <c r="B131" s="36" t="inlineStr">
        <is>
          <t>Optiemus Infracom Limited</t>
        </is>
      </c>
      <c r="C131" s="36" t="inlineStr">
        <is>
          <t>Technology</t>
        </is>
      </c>
      <c r="D131" s="37" t="inlineStr">
        <is>
          <t>2026-09-25</t>
        </is>
      </c>
    </row>
    <row r="132">
      <c r="A132" s="35" t="inlineStr">
        <is>
          <t>PAYTM</t>
        </is>
      </c>
      <c r="B132" s="36" t="inlineStr">
        <is>
          <t>PAYTM</t>
        </is>
      </c>
      <c r="C132" s="36" t="inlineStr">
        <is>
          <t>unknown</t>
        </is>
      </c>
      <c r="D132" s="37" t="inlineStr">
        <is>
          <t>2026-09-24</t>
        </is>
      </c>
    </row>
    <row r="133">
      <c r="A133" s="35" t="inlineStr">
        <is>
          <t>PIRAMALFIN</t>
        </is>
      </c>
      <c r="B133" s="36" t="inlineStr">
        <is>
          <t>PIRAMALFIN</t>
        </is>
      </c>
      <c r="C133" s="36" t="inlineStr">
        <is>
          <t>unknown</t>
        </is>
      </c>
      <c r="D133" s="37" t="inlineStr">
        <is>
          <t>2026-09-22</t>
        </is>
      </c>
    </row>
    <row r="134">
      <c r="A134" s="35" t="inlineStr">
        <is>
          <t>PREMIERPOL</t>
        </is>
      </c>
      <c r="B134" s="36" t="inlineStr">
        <is>
          <t>Premier Polyfilm Ltd.</t>
        </is>
      </c>
      <c r="C134" s="36" t="inlineStr">
        <is>
          <t>Basic Materials</t>
        </is>
      </c>
      <c r="D134" s="37" t="inlineStr">
        <is>
          <t>2026-09-25</t>
        </is>
      </c>
    </row>
    <row r="135">
      <c r="A135" s="35" t="inlineStr">
        <is>
          <t>RAYMOND</t>
        </is>
      </c>
      <c r="B135" s="36" t="inlineStr">
        <is>
          <t>Raymond Limited</t>
        </is>
      </c>
      <c r="C135" s="36" t="inlineStr">
        <is>
          <t>Industrials</t>
        </is>
      </c>
      <c r="D135" s="37" t="inlineStr">
        <is>
          <t>2026-09-25</t>
        </is>
      </c>
    </row>
    <row r="136">
      <c r="A136" s="35" t="inlineStr">
        <is>
          <t>RML</t>
        </is>
      </c>
      <c r="B136" s="36" t="inlineStr">
        <is>
          <t>Rane (Madras) Limited</t>
        </is>
      </c>
      <c r="C136" s="36" t="inlineStr">
        <is>
          <t>Consumer Cyclical</t>
        </is>
      </c>
      <c r="D136" s="37" t="inlineStr">
        <is>
          <t>2026-09-25</t>
        </is>
      </c>
    </row>
    <row r="137">
      <c r="A137" s="35" t="inlineStr">
        <is>
          <t>SHUKRAPHAR</t>
        </is>
      </c>
      <c r="B137" s="36" t="inlineStr">
        <is>
          <t>SHUKRAPHAR</t>
        </is>
      </c>
      <c r="C137" s="36" t="inlineStr">
        <is>
          <t>unknown</t>
        </is>
      </c>
      <c r="D137" s="37" t="inlineStr">
        <is>
          <t>2026-09-23</t>
        </is>
      </c>
    </row>
    <row r="138">
      <c r="A138" s="35" t="inlineStr">
        <is>
          <t>SOTL</t>
        </is>
      </c>
      <c r="B138" s="36" t="inlineStr">
        <is>
          <t>SOTL</t>
        </is>
      </c>
      <c r="C138" s="36" t="inlineStr">
        <is>
          <t>unknown</t>
        </is>
      </c>
      <c r="D138" s="37" t="inlineStr">
        <is>
          <t>2026-09-25</t>
        </is>
      </c>
    </row>
    <row r="139">
      <c r="A139" s="35" t="inlineStr">
        <is>
          <t>SPICELOUNG</t>
        </is>
      </c>
      <c r="B139" s="36" t="inlineStr">
        <is>
          <t>SPICELOUNG</t>
        </is>
      </c>
      <c r="C139" s="36" t="inlineStr">
        <is>
          <t>unknown</t>
        </is>
      </c>
      <c r="D139" s="37" t="inlineStr">
        <is>
          <t>2026-09-23</t>
        </is>
      </c>
    </row>
    <row r="140">
      <c r="A140" s="35" t="inlineStr">
        <is>
          <t>SPLPETRO</t>
        </is>
      </c>
      <c r="B140" s="36" t="inlineStr">
        <is>
          <t>Supreme Petrochem Limited</t>
        </is>
      </c>
      <c r="C140" s="36" t="inlineStr">
        <is>
          <t>Basic Materials</t>
        </is>
      </c>
      <c r="D140" s="37" t="inlineStr">
        <is>
          <t>2026-09-25</t>
        </is>
      </c>
    </row>
    <row r="141">
      <c r="A141" s="35" t="inlineStr">
        <is>
          <t>SRHHYPOLTD</t>
        </is>
      </c>
      <c r="B141" s="36" t="inlineStr">
        <is>
          <t>Sree Rayalaseema Hi-Strength Hypo Limited</t>
        </is>
      </c>
      <c r="C141" s="36" t="inlineStr">
        <is>
          <t>Basic Materials</t>
        </is>
      </c>
      <c r="D141" s="37" t="inlineStr">
        <is>
          <t>2026-09-25</t>
        </is>
      </c>
    </row>
    <row r="142">
      <c r="A142" s="35" t="inlineStr">
        <is>
          <t>TAALTECH</t>
        </is>
      </c>
      <c r="B142" s="36" t="inlineStr">
        <is>
          <t>TAALTECH</t>
        </is>
      </c>
      <c r="C142" s="36" t="inlineStr">
        <is>
          <t>unknown</t>
        </is>
      </c>
      <c r="D142" s="37" t="inlineStr">
        <is>
          <t>2026-09-22</t>
        </is>
      </c>
    </row>
    <row r="143">
      <c r="A143" s="35" t="inlineStr">
        <is>
          <t>UNIMECH</t>
        </is>
      </c>
      <c r="B143" s="36" t="inlineStr">
        <is>
          <t>Unimech Aerospace and Manufacturing Limited</t>
        </is>
      </c>
      <c r="C143" s="36" t="inlineStr">
        <is>
          <t>Industrials</t>
        </is>
      </c>
      <c r="D143" s="37" t="inlineStr">
        <is>
          <t>2026-09-22</t>
        </is>
      </c>
    </row>
    <row r="144">
      <c r="A144" s="35" t="inlineStr">
        <is>
          <t>UNIPARTS</t>
        </is>
      </c>
      <c r="B144" s="36" t="inlineStr">
        <is>
          <t>UNIPARTS</t>
        </is>
      </c>
      <c r="C144" s="36" t="inlineStr">
        <is>
          <t>unknown</t>
        </is>
      </c>
      <c r="D144" s="37" t="inlineStr">
        <is>
          <t>2026-09-23</t>
        </is>
      </c>
    </row>
    <row r="145">
      <c r="A145" s="35" t="inlineStr">
        <is>
          <t>VALIANTORG</t>
        </is>
      </c>
      <c r="B145" s="36" t="inlineStr">
        <is>
          <t>Valiant Organics Limited</t>
        </is>
      </c>
      <c r="C145" s="36" t="inlineStr">
        <is>
          <t>Basic Materials</t>
        </is>
      </c>
      <c r="D145" s="37" t="inlineStr">
        <is>
          <t>2026-09-25</t>
        </is>
      </c>
    </row>
    <row r="146">
      <c r="A146" s="35" t="inlineStr">
        <is>
          <t>WELCORP</t>
        </is>
      </c>
      <c r="B146" s="36" t="inlineStr">
        <is>
          <t>Welspun Corp Limited</t>
        </is>
      </c>
      <c r="C146" s="36" t="inlineStr">
        <is>
          <t>Basic Materials</t>
        </is>
      </c>
      <c r="D146" s="37" t="inlineStr">
        <is>
          <t>2026-09-25</t>
        </is>
      </c>
    </row>
    <row r="147">
      <c r="A147" s="35" t="inlineStr">
        <is>
          <t>WELSPUNLIV</t>
        </is>
      </c>
      <c r="B147" s="36" t="inlineStr">
        <is>
          <t>Welspun Living Limited</t>
        </is>
      </c>
      <c r="C147" s="36" t="inlineStr">
        <is>
          <t>Consumer Cyclical</t>
        </is>
      </c>
      <c r="D147" s="37" t="inlineStr">
        <is>
          <t>2026-09-23</t>
        </is>
      </c>
    </row>
    <row r="148">
      <c r="A148" s="35" t="inlineStr">
        <is>
          <t>WHEELS</t>
        </is>
      </c>
      <c r="B148" s="36" t="inlineStr">
        <is>
          <t>Wheels India Limited</t>
        </is>
      </c>
      <c r="C148" s="36" t="inlineStr">
        <is>
          <t>Consumer Cyclical</t>
        </is>
      </c>
      <c r="D148" s="37" t="inlineStr">
        <is>
          <t>2026-09-25</t>
        </is>
      </c>
    </row>
    <row r="149">
      <c r="A149" s="35" t="inlineStr">
        <is>
          <t>YATHARTH</t>
        </is>
      </c>
      <c r="B149" s="36" t="inlineStr">
        <is>
          <t>Yatharth Hospital &amp; Trauma Care Services Limited</t>
        </is>
      </c>
      <c r="C149" s="36" t="inlineStr">
        <is>
          <t>Healthcare</t>
        </is>
      </c>
      <c r="D149" s="37" t="inlineStr">
        <is>
          <t>2026-09-25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SHAREINDIA</t>
        </is>
      </c>
      <c r="D2" s="30" t="inlineStr">
        <is>
          <t>Share India Securities Ltd</t>
        </is>
      </c>
      <c r="E2" s="30" t="inlineStr">
        <is>
          <t>financials</t>
        </is>
      </c>
      <c r="F2" s="30" t="inlineStr">
        <is>
          <t>Finance Capital Markets Brokers</t>
        </is>
      </c>
      <c r="G2" s="30" t="inlineStr">
        <is>
          <t>smallcap</t>
        </is>
      </c>
      <c r="H2" s="31" t="n">
        <v>4553.76</v>
      </c>
      <c r="I2" s="31" t="n">
        <v>208.1</v>
      </c>
      <c r="J2" s="31" t="n">
        <v>-1.77</v>
      </c>
      <c r="K2" s="31" t="n">
        <v>0</v>
      </c>
      <c r="L2" s="30" t="n">
        <v>72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64.59</v>
      </c>
      <c r="P2" s="31" t="n">
        <v>37.92</v>
      </c>
      <c r="Q2" s="31" t="n">
        <v>170.78</v>
      </c>
      <c r="R2" s="30" t="inlineStr">
        <is>
          <t>Earnings / Momentum Support</t>
        </is>
      </c>
      <c r="S2" s="30" t="inlineStr">
        <is>
          <t>Nifty Bank</t>
        </is>
      </c>
      <c r="T2" s="31" t="n">
        <v>2.19</v>
      </c>
      <c r="U2" s="31" t="n">
        <v>65.5</v>
      </c>
      <c r="V2" s="31" t="n">
        <v>61.95</v>
      </c>
      <c r="W2" s="31" t="n">
        <v>25.57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No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18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ALGOQUANT</t>
        </is>
      </c>
      <c r="D3" s="30" t="inlineStr">
        <is>
          <t>Algoquant Fintech Ltd</t>
        </is>
      </c>
      <c r="E3" s="30" t="inlineStr">
        <is>
          <t>Financial Services</t>
        </is>
      </c>
      <c r="F3" s="30" t="inlineStr">
        <is>
          <t>Finance and Investments Others</t>
        </is>
      </c>
      <c r="G3" s="30" t="inlineStr">
        <is>
          <t>smallcap</t>
        </is>
      </c>
      <c r="H3" s="31" t="n">
        <v>2029.51</v>
      </c>
      <c r="I3" s="31" t="n">
        <v>72.2</v>
      </c>
      <c r="J3" s="31" t="n">
        <v>-1.68</v>
      </c>
      <c r="K3" s="31" t="n">
        <v>0</v>
      </c>
      <c r="L3" s="30" t="n">
        <v>10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66.06999999999999</v>
      </c>
      <c r="P3" s="31" t="n">
        <v>28.58</v>
      </c>
      <c r="Q3" s="31" t="n">
        <v>53.87</v>
      </c>
      <c r="R3" s="30" t="inlineStr">
        <is>
          <t>Near 52W High Breakout</t>
        </is>
      </c>
      <c r="S3" s="30" t="inlineStr">
        <is>
          <t>Nifty Bank</t>
        </is>
      </c>
      <c r="T3" s="31" t="n">
        <v>-6.2</v>
      </c>
      <c r="U3" s="31" t="n">
        <v>7.64</v>
      </c>
      <c r="V3" s="31" t="n">
        <v>14.75</v>
      </c>
      <c r="W3" s="31" t="n">
        <v>4.51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above 5x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25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GCSL</t>
        </is>
      </c>
      <c r="D4" s="30" t="inlineStr">
        <is>
          <t>Gretex Corporate Services Ltd</t>
        </is>
      </c>
      <c r="E4" s="30" t="inlineStr">
        <is>
          <t>financials</t>
        </is>
      </c>
      <c r="F4" s="30" t="inlineStr">
        <is>
          <t>Finance and Investments Others</t>
        </is>
      </c>
      <c r="G4" s="30" t="inlineStr">
        <is>
          <t>smallcap</t>
        </is>
      </c>
      <c r="H4" s="31" t="n">
        <v>1630.98</v>
      </c>
      <c r="I4" s="31" t="n">
        <v>652.25</v>
      </c>
      <c r="J4" s="31" t="n">
        <v>3.15</v>
      </c>
      <c r="K4" s="31" t="n">
        <v>0</v>
      </c>
      <c r="L4" s="30" t="n">
        <v>84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78.69</v>
      </c>
      <c r="P4" s="31" t="n">
        <v>33.43</v>
      </c>
      <c r="Q4" s="31" t="n">
        <v>517.54</v>
      </c>
      <c r="R4" s="30" t="inlineStr">
        <is>
          <t>Near 52W High Breakout</t>
        </is>
      </c>
      <c r="S4" s="30" t="inlineStr">
        <is>
          <t>Nifty Bank</t>
        </is>
      </c>
      <c r="T4" s="31" t="n">
        <v>2.19</v>
      </c>
      <c r="U4" s="31" t="n">
        <v>152.64</v>
      </c>
      <c r="V4" s="31" t="n">
        <v>147.23</v>
      </c>
      <c r="W4" s="31" t="n">
        <v>34.01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above 5x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24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3" t="inlineStr">
        <is>
          <t>TFCILTD</t>
        </is>
      </c>
      <c r="D5" s="33" t="inlineStr">
        <is>
          <t>Tourism Finance Corporation of India Ltd</t>
        </is>
      </c>
      <c r="E5" s="30" t="inlineStr">
        <is>
          <t>financials</t>
        </is>
      </c>
      <c r="F5" s="30" t="inlineStr">
        <is>
          <t>Finance PSU Lending</t>
        </is>
      </c>
      <c r="G5" s="30" t="inlineStr">
        <is>
          <t>midcap</t>
        </is>
      </c>
      <c r="H5" s="31" t="n">
        <v>6430.75</v>
      </c>
      <c r="I5" s="31" t="n">
        <v>138.9</v>
      </c>
      <c r="J5" s="31" t="n">
        <v>-3.18</v>
      </c>
      <c r="K5" s="31" t="n">
        <v>0</v>
      </c>
      <c r="L5" s="30" t="n">
        <v>84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80</v>
      </c>
      <c r="P5" s="31" t="n">
        <v>70.48999999999999</v>
      </c>
      <c r="Q5" s="31" t="n">
        <v>114.98</v>
      </c>
      <c r="R5" s="30" t="inlineStr">
        <is>
          <t>Near 52W High Breakout</t>
        </is>
      </c>
      <c r="S5" s="30" t="inlineStr">
        <is>
          <t>Nifty Bank</t>
        </is>
      </c>
      <c r="T5" s="31" t="n">
        <v>2.19</v>
      </c>
      <c r="U5" s="31" t="n">
        <v>91.51000000000001</v>
      </c>
      <c r="V5" s="31" t="n">
        <v>87.40000000000001</v>
      </c>
      <c r="W5" s="31" t="n">
        <v>32.99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18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CGCL</t>
        </is>
      </c>
      <c r="D6" s="30" t="inlineStr">
        <is>
          <t>Capri Global Capital Ltd</t>
        </is>
      </c>
      <c r="E6" s="30" t="inlineStr">
        <is>
          <t>Financial Services</t>
        </is>
      </c>
      <c r="F6" s="30" t="inlineStr">
        <is>
          <t>Finance and Investments Gold Loan</t>
        </is>
      </c>
      <c r="G6" s="30" t="inlineStr">
        <is>
          <t>largecap</t>
        </is>
      </c>
      <c r="H6" s="31" t="n">
        <v>24385.79</v>
      </c>
      <c r="I6" s="31" t="n">
        <v>253.45</v>
      </c>
      <c r="J6" s="31" t="n">
        <v>-2.29</v>
      </c>
      <c r="K6" s="31" t="n">
        <v>0</v>
      </c>
      <c r="L6" s="30" t="n">
        <v>32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59.98</v>
      </c>
      <c r="P6" s="31" t="n">
        <v>38.8</v>
      </c>
      <c r="Q6" s="31" t="n">
        <v>217.67</v>
      </c>
      <c r="R6" s="30" t="inlineStr">
        <is>
          <t>Earnings / Momentum Support</t>
        </is>
      </c>
      <c r="S6" s="30" t="inlineStr">
        <is>
          <t>Nifty Bank</t>
        </is>
      </c>
      <c r="T6" s="31" t="n">
        <v>2.19</v>
      </c>
      <c r="U6" s="31" t="n">
        <v>37.04</v>
      </c>
      <c r="V6" s="31" t="n">
        <v>34.11</v>
      </c>
      <c r="W6" s="31" t="n">
        <v>10.79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FEDDERSHOL</t>
        </is>
      </c>
      <c r="D7" s="30" t="inlineStr">
        <is>
          <t>Fedders Holding Ltd</t>
        </is>
      </c>
      <c r="E7" s="30" t="inlineStr">
        <is>
          <t>unknown</t>
        </is>
      </c>
      <c r="F7" s="30" t="inlineStr">
        <is>
          <t>Finance and Investments Others</t>
        </is>
      </c>
      <c r="G7" s="30" t="inlineStr">
        <is>
          <t>smallcap</t>
        </is>
      </c>
      <c r="H7" s="31" t="n">
        <v>1248.78</v>
      </c>
      <c r="I7" s="31" t="n">
        <v>62</v>
      </c>
      <c r="J7" s="31" t="n">
        <v>-4.76</v>
      </c>
      <c r="K7" s="31" t="n">
        <v>0</v>
      </c>
      <c r="L7" s="30" t="inlineStr"/>
      <c r="M7" s="30" t="inlineStr"/>
      <c r="N7" s="31">
        <f>IF(M7="Underperforming",-5,IF(L7&gt;=95,15,IF(L7&gt;=90,10,IF(L7&gt;=80,5,0))))</f>
        <v/>
      </c>
      <c r="O7" s="31" t="inlineStr"/>
      <c r="P7" s="31" t="inlineStr"/>
      <c r="Q7" s="31" t="inlineStr"/>
      <c r="R7" s="30" t="inlineStr"/>
      <c r="S7" s="30" t="inlineStr"/>
      <c r="T7" s="31" t="inlineStr"/>
      <c r="U7" s="31" t="inlineStr"/>
      <c r="V7" s="31" t="inlineStr"/>
      <c r="W7" s="31" t="inlineStr"/>
      <c r="X7" s="30" t="n"/>
      <c r="Y7" s="30">
        <f>IF(X7="Growing Industry",10,IF(X7="Cyclical in an Upturn",5,0))</f>
        <v/>
      </c>
      <c r="Z7" s="30" t="n"/>
      <c r="AA7" s="30">
        <f>IF(Z7="Fragmented with Low ROE",-5,IF(Z7="Fragmented with High ROE",10,IF(Z7= "highly cyclical",5,0)))</f>
        <v/>
      </c>
      <c r="AB7" s="30" t="n"/>
      <c r="AC7" s="30">
        <f>IF(AB7="No",5,0)</f>
        <v/>
      </c>
      <c r="AD7" s="30" t="n"/>
      <c r="AE7" s="30">
        <f>IF(AD7="Tailwind",10,0)</f>
        <v/>
      </c>
      <c r="AF7" s="30" t="n"/>
      <c r="AG7" s="30">
        <f>IF(AF7="Structural (10 Years Consistency)",15,IF(AF7="Shallow Cyclical (2 to 3 years growth)",10,IF(AF7 = "Cyclical in an Uptick",5,IF(AF7 = "Cyclical in an Downtick",-10,0))))</f>
        <v/>
      </c>
      <c r="AH7" s="30" t="n"/>
      <c r="AI7" s="30">
        <f>IF(AH7="Yes",10,0)</f>
        <v/>
      </c>
      <c r="AJ7" s="30" t="n"/>
      <c r="AK7" s="30">
        <f>IF(AJ7="Yes",10,0)</f>
        <v/>
      </c>
      <c r="AL7" s="30" t="n"/>
      <c r="AM7" s="30">
        <f>IF(AL7="No",10,0)</f>
        <v/>
      </c>
      <c r="AN7" s="30" t="n"/>
      <c r="AO7" s="30">
        <f>IF(AN7="Yes",10,0)</f>
        <v/>
      </c>
      <c r="AP7" s="30" t="n"/>
      <c r="AQ7" s="30">
        <f>IF(AP7="Yes",10,0)</f>
        <v/>
      </c>
      <c r="AR7" s="30" t="n"/>
      <c r="AS7" s="30">
        <f>IF(AR7="Yes",5,0)</f>
        <v/>
      </c>
      <c r="AT7" s="30" t="n"/>
      <c r="AU7" s="30">
        <f>IF(AT7="No",10,IF(AT7="Yes",-10,0))</f>
        <v/>
      </c>
      <c r="AV7" s="30" t="n"/>
      <c r="AW7" s="30">
        <f>IF(AV7="No",10,0)</f>
        <v/>
      </c>
      <c r="AX7" s="30" t="n"/>
      <c r="AY7" s="30">
        <f>IF(AX7="No",10,IF(AX7= "Yes CEO Resignation",-5,0))</f>
        <v/>
      </c>
      <c r="AZ7" s="30" t="n"/>
      <c r="BA7" s="30">
        <f>IF(AZ7="No",10,IF(AZ7="Yes",-5,0))</f>
        <v/>
      </c>
      <c r="BB7" s="30" t="n"/>
      <c r="BC7" s="30">
        <f>IF(BB7="No",5,IF(BB7="Yes",-5,0))</f>
        <v/>
      </c>
      <c r="BD7" s="30" t="n"/>
      <c r="BE7" s="30">
        <f>IF(BD7="Yes",10,0)</f>
        <v/>
      </c>
      <c r="BF7" s="30" t="n"/>
      <c r="BG7" s="30">
        <f>IF(BF7="Yes",10,0)</f>
        <v/>
      </c>
      <c r="BH7" s="30" t="n"/>
      <c r="BI7" s="30">
        <f>IF(BH7="Yes",10,0)</f>
        <v/>
      </c>
      <c r="BJ7" s="30" t="n"/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n"/>
      <c r="BM7" s="30">
        <f>IF(BL7="Above 40",20,IF(BL7="20 to 40",10,IF(BL7="0 to 20",-5,0)))</f>
        <v/>
      </c>
      <c r="BN7" s="30" t="n"/>
      <c r="BO7" s="30">
        <f>IF(BN7="Between 50 to 75",10,IF(BN7="Above 75",0,0))</f>
        <v/>
      </c>
      <c r="BP7" s="30" t="n"/>
      <c r="BQ7" s="30">
        <f>IF(BP7="Stage 2",20,IF(BP7="Stage 1",0,IF(BP7="Stage 3",5,IF(BP7="Stage 4",-5,0))))</f>
        <v/>
      </c>
      <c r="BR7" s="30" t="n"/>
      <c r="BS7" s="30">
        <f>IF(BR7="Positive Trend",20,IF(BR7="Negative Trend",-10,0))</f>
        <v/>
      </c>
      <c r="BT7" s="30" t="n"/>
      <c r="BU7" s="30">
        <f>IF(BT7="Uptrend",10,IF(BT7="Sideways",5,0))</f>
        <v/>
      </c>
      <c r="BV7" s="30" t="n"/>
      <c r="BW7" s="30">
        <f>IF(BV7="Uptrend",10,IF(BV7="Sideways",5,0))</f>
        <v/>
      </c>
      <c r="BX7" s="30" t="n"/>
      <c r="BY7" s="30">
        <f>IF(BX7="Overhead supply in last 2 years in last 2 years",-5,IF(BX7="Close to 52 week high or retracement",5,IF(BX7="Blue sky scenario",10,IF(BX7="Long term Downtrend",-10,0))))</f>
        <v/>
      </c>
      <c r="BZ7" s="30" t="n"/>
      <c r="CA7" s="30">
        <f>IF(BZ7="Yes",10,0)</f>
        <v/>
      </c>
      <c r="CB7" s="30" t="n"/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PAISALO</t>
        </is>
      </c>
      <c r="B13" s="36" t="inlineStr">
        <is>
          <t>Paisalo Digital Limited</t>
        </is>
      </c>
      <c r="C13" s="36" t="inlineStr">
        <is>
          <t>Financial Services</t>
        </is>
      </c>
      <c r="D13" s="37" t="inlineStr">
        <is>
          <t>2026-09-25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2026-09-25T15:21:20Z</dcterms:created>
  <dcterms:modified xmlns:dcterms="http://purl.org/dc/terms/" xmlns:xsi="http://www.w3.org/2001/XMLSchema-instance" xsi:type="dcterms:W3CDTF">2026-09-25T15:22:17Z</dcterms:modified>
</cp:coreProperties>
</file>