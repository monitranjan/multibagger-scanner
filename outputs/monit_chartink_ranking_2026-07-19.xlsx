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Universe'!$A$1:$J$344</definedName>
    <definedName name="_xlnm._FilterDatabase" localSheetId="3" hidden="1">'Confluence Overlap'!$A$1:$K$86</definedName>
    <definedName name="_xlnm._FilterDatabase" localSheetId="4" hidden="1">'Monit Non Financial'!$A$1:$CE$300</definedName>
    <definedName name="_xlnm._FilterDatabase" localSheetId="5" hidden="1">'Monit Banks NBFC'!$A$1:$CA$45</definedName>
    <definedName name="_xlnm._FilterDatabase" localSheetId="6" hidden="1">'Scanner Non Financial'!$A$1:$CJ$19</definedName>
    <definedName name="_xlnm._FilterDatabase" localSheetId="7" hidden="1">'Scanner Banks NBFC'!$A$1:$CF$5</definedName>
    <definedName name="_xlnm._FilterDatabase" localSheetId="8" hidden="1">'Scan Match Non Financial'!$A$1:$CG$85</definedName>
    <definedName name="_xlnm._FilterDatabase" localSheetId="9" hidden="1">'Scan Match Banks NBFC'!$A$1:$CC$17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Sunday, 19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2" customWidth="1" min="2" max="2"/>
    <col width="25" customWidth="1" min="3" max="3"/>
    <col width="37" customWidth="1" min="4" max="4"/>
    <col width="25" customWidth="1" min="5" max="5"/>
    <col width="43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582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82</v>
      </c>
      <c r="G6" s="19" t="n">
        <v>15223.7</v>
      </c>
      <c r="H6" s="18" t="inlineStr">
        <is>
          <t>Potential Leader</t>
        </is>
      </c>
      <c r="J6" s="18" t="inlineStr">
        <is>
          <t>plastic products</t>
        </is>
      </c>
      <c r="K6" s="16" t="n">
        <v>17</v>
      </c>
      <c r="L6" s="16" t="n">
        <v>11</v>
      </c>
      <c r="M6" s="20" t="inlineStr">
        <is>
          <t>54.5%</t>
        </is>
      </c>
    </row>
    <row r="7">
      <c r="A7" s="16" t="n">
        <v>2</v>
      </c>
      <c r="B7" s="17" t="n">
        <v>564</v>
      </c>
      <c r="C7" s="17" t="inlineStr">
        <is>
          <t>WELCORP</t>
        </is>
      </c>
      <c r="D7" s="18" t="inlineStr">
        <is>
          <t>Welspun Corp Limited</t>
        </is>
      </c>
      <c r="E7" s="18" t="inlineStr">
        <is>
          <t>industrials</t>
        </is>
      </c>
      <c r="F7" s="16" t="n">
        <v>79</v>
      </c>
      <c r="G7" s="19" t="n">
        <v>41718.49</v>
      </c>
      <c r="H7" s="18" t="inlineStr">
        <is>
          <t>Potential Leader</t>
        </is>
      </c>
      <c r="J7" s="18" t="inlineStr">
        <is>
          <t>chemicals</t>
        </is>
      </c>
      <c r="K7" s="16" t="n">
        <v>118</v>
      </c>
      <c r="L7" s="16" t="n">
        <v>81</v>
      </c>
      <c r="M7" s="20" t="inlineStr">
        <is>
          <t>45.7%</t>
        </is>
      </c>
    </row>
    <row r="8">
      <c r="A8" s="16" t="n">
        <v>3</v>
      </c>
      <c r="B8" s="17" t="n">
        <v>546</v>
      </c>
      <c r="C8" s="17" t="inlineStr">
        <is>
          <t>SHILPAMED</t>
        </is>
      </c>
      <c r="D8" s="18" t="inlineStr">
        <is>
          <t>Shilpa Medicare Limited</t>
        </is>
      </c>
      <c r="E8" s="18" t="inlineStr">
        <is>
          <t>healthcare</t>
        </is>
      </c>
      <c r="F8" s="16" t="n">
        <v>76</v>
      </c>
      <c r="G8" s="19" t="n">
        <v>12130.96</v>
      </c>
      <c r="H8" s="18" t="inlineStr">
        <is>
          <t>Potential Leader</t>
        </is>
      </c>
      <c r="J8" s="18" t="inlineStr">
        <is>
          <t>energy</t>
        </is>
      </c>
      <c r="K8" s="16" t="n">
        <v>28</v>
      </c>
      <c r="L8" s="16" t="n">
        <v>23</v>
      </c>
      <c r="M8" s="20" t="inlineStr">
        <is>
          <t>21.7%</t>
        </is>
      </c>
    </row>
    <row r="9">
      <c r="A9" s="16" t="n">
        <v>4</v>
      </c>
      <c r="B9" s="17" t="n">
        <v>522</v>
      </c>
      <c r="C9" s="17" t="inlineStr">
        <is>
          <t>NINSYS</t>
        </is>
      </c>
      <c r="D9" s="18" t="inlineStr">
        <is>
          <t>NINtec Systems Ltd</t>
        </is>
      </c>
      <c r="E9" s="18" t="inlineStr">
        <is>
          <t>i.t</t>
        </is>
      </c>
      <c r="F9" s="16" t="n">
        <v>72</v>
      </c>
      <c r="G9" s="19" t="n">
        <v>1659.95</v>
      </c>
      <c r="H9" s="18" t="inlineStr">
        <is>
          <t>Potential Leader</t>
        </is>
      </c>
      <c r="J9" s="18" t="inlineStr">
        <is>
          <t>i.t</t>
        </is>
      </c>
      <c r="K9" s="16" t="n">
        <v>97</v>
      </c>
      <c r="L9" s="16" t="n">
        <v>83</v>
      </c>
      <c r="M9" s="20" t="inlineStr">
        <is>
          <t>16.9%</t>
        </is>
      </c>
    </row>
    <row r="10">
      <c r="A10" s="16" t="n">
        <v>5</v>
      </c>
      <c r="B10" s="17" t="n">
        <v>516</v>
      </c>
      <c r="C10" s="17" t="inlineStr">
        <is>
          <t>SIGMAADV</t>
        </is>
      </c>
      <c r="D10" s="18" t="inlineStr">
        <is>
          <t>Sigma Advanced System Ltd</t>
        </is>
      </c>
      <c r="E10" s="18" t="inlineStr">
        <is>
          <t>aerospace &amp; defence</t>
        </is>
      </c>
      <c r="F10" s="16" t="n">
        <v>71</v>
      </c>
      <c r="G10" s="19" t="n">
        <v>9830.65</v>
      </c>
      <c r="H10" s="18" t="inlineStr">
        <is>
          <t>Potential Leader</t>
        </is>
      </c>
      <c r="J10" s="18" t="inlineStr">
        <is>
          <t>industrials</t>
        </is>
      </c>
      <c r="K10" s="16" t="n">
        <v>207</v>
      </c>
      <c r="L10" s="16" t="n">
        <v>183</v>
      </c>
      <c r="M10" s="20" t="inlineStr">
        <is>
          <t>13.1%</t>
        </is>
      </c>
    </row>
    <row r="11">
      <c r="A11" s="16" t="n">
        <v>6</v>
      </c>
      <c r="B11" s="17" t="n">
        <v>462</v>
      </c>
      <c r="C11" s="17" t="inlineStr">
        <is>
          <t>INDOBORAX</t>
        </is>
      </c>
      <c r="D11" s="18" t="inlineStr">
        <is>
          <t>Indo Borax &amp; Chemicals Ltd</t>
        </is>
      </c>
      <c r="E11" s="18" t="inlineStr">
        <is>
          <t>chemicals</t>
        </is>
      </c>
      <c r="F11" s="16" t="n">
        <v>62</v>
      </c>
      <c r="G11" s="19" t="n">
        <v>1494.43</v>
      </c>
      <c r="H11" s="18" t="inlineStr">
        <is>
          <t>Potential Leader</t>
        </is>
      </c>
      <c r="J11" s="18" t="inlineStr">
        <is>
          <t>power &amp; utilities</t>
        </is>
      </c>
      <c r="K11" s="16" t="n">
        <v>12</v>
      </c>
      <c r="L11" s="16" t="n">
        <v>11</v>
      </c>
      <c r="M11" s="20" t="inlineStr">
        <is>
          <t>9.1%</t>
        </is>
      </c>
    </row>
    <row r="12">
      <c r="A12" s="16" t="n">
        <v>7</v>
      </c>
      <c r="B12" s="17" t="n">
        <v>456</v>
      </c>
      <c r="C12" s="17" t="inlineStr">
        <is>
          <t>BLSE</t>
        </is>
      </c>
      <c r="D12" s="18" t="inlineStr">
        <is>
          <t>BLS E-Services Ltd</t>
        </is>
      </c>
      <c r="E12" s="18" t="inlineStr">
        <is>
          <t>i.t</t>
        </is>
      </c>
      <c r="F12" s="16" t="n">
        <v>61</v>
      </c>
      <c r="G12" s="19" t="n">
        <v>2492.83</v>
      </c>
      <c r="H12" s="18" t="inlineStr">
        <is>
          <t>Potential Leader</t>
        </is>
      </c>
      <c r="J12" s="18" t="inlineStr">
        <is>
          <t>transportation</t>
        </is>
      </c>
      <c r="K12" s="16" t="n">
        <v>43</v>
      </c>
      <c r="L12" s="16" t="n">
        <v>41</v>
      </c>
      <c r="M12" s="20" t="inlineStr">
        <is>
          <t>4.9%</t>
        </is>
      </c>
    </row>
    <row r="13">
      <c r="A13" s="16" t="n">
        <v>8</v>
      </c>
      <c r="B13" s="17" t="n">
        <v>456</v>
      </c>
      <c r="C13" s="17" t="inlineStr">
        <is>
          <t>CEMPRO</t>
        </is>
      </c>
      <c r="D13" s="18" t="inlineStr">
        <is>
          <t>Cemindia Projects Ltd</t>
        </is>
      </c>
      <c r="E13" s="18" t="inlineStr">
        <is>
          <t>realty</t>
        </is>
      </c>
      <c r="F13" s="16" t="n">
        <v>61</v>
      </c>
      <c r="G13" s="19" t="n">
        <v>27743.69</v>
      </c>
      <c r="H13" s="18" t="inlineStr">
        <is>
          <t>Potential Leader</t>
        </is>
      </c>
      <c r="J13" s="18" t="inlineStr">
        <is>
          <t>consumer discretionary</t>
        </is>
      </c>
      <c r="K13" s="16" t="n">
        <v>160</v>
      </c>
      <c r="L13" s="16" t="n">
        <v>153</v>
      </c>
      <c r="M13" s="20" t="inlineStr">
        <is>
          <t>4.6%</t>
        </is>
      </c>
    </row>
    <row r="14">
      <c r="A14" s="16" t="n">
        <v>9</v>
      </c>
      <c r="B14" s="17" t="n">
        <v>456</v>
      </c>
      <c r="C14" s="17" t="inlineStr">
        <is>
          <t>RATEGAIN</t>
        </is>
      </c>
      <c r="D14" s="18" t="inlineStr">
        <is>
          <t>Rategain Travel Technologies Ltd</t>
        </is>
      </c>
      <c r="E14" s="18" t="inlineStr">
        <is>
          <t>i.t</t>
        </is>
      </c>
      <c r="F14" s="16" t="n">
        <v>61</v>
      </c>
      <c r="G14" s="19" t="n">
        <v>11233.99</v>
      </c>
      <c r="H14" s="18" t="inlineStr">
        <is>
          <t>Potential Leader</t>
        </is>
      </c>
      <c r="J14" s="18" t="inlineStr">
        <is>
          <t>metals &amp; mining</t>
        </is>
      </c>
      <c r="K14" s="16" t="n">
        <v>70</v>
      </c>
      <c r="L14" s="16" t="n">
        <v>67</v>
      </c>
      <c r="M14" s="20" t="inlineStr">
        <is>
          <t>4.5%</t>
        </is>
      </c>
    </row>
    <row r="15">
      <c r="A15" s="16" t="n">
        <v>10</v>
      </c>
      <c r="B15" s="17" t="n">
        <v>450</v>
      </c>
      <c r="C15" s="17" t="inlineStr">
        <is>
          <t>GRWRHITECH</t>
        </is>
      </c>
      <c r="D15" s="18" t="inlineStr">
        <is>
          <t>Garware Hi Tech Films Ltd</t>
        </is>
      </c>
      <c r="E15" s="18" t="inlineStr">
        <is>
          <t>industrials</t>
        </is>
      </c>
      <c r="F15" s="16" t="n">
        <v>60</v>
      </c>
      <c r="G15" s="19" t="n">
        <v>16194.14</v>
      </c>
      <c r="H15" s="18" t="inlineStr">
        <is>
          <t>Potential Leader</t>
        </is>
      </c>
      <c r="J15" s="18" t="inlineStr">
        <is>
          <t>building materials</t>
        </is>
      </c>
      <c r="K15" s="16" t="n">
        <v>66</v>
      </c>
      <c r="L15" s="16" t="n">
        <v>65</v>
      </c>
      <c r="M15" s="20" t="inlineStr">
        <is>
          <t>1.5%</t>
        </is>
      </c>
    </row>
    <row r="16">
      <c r="A16" s="16" t="n">
        <v>11</v>
      </c>
      <c r="B16" s="17" t="n">
        <v>450</v>
      </c>
      <c r="C16" s="17" t="inlineStr">
        <is>
          <t>LAURUSLABS</t>
        </is>
      </c>
      <c r="D16" s="18" t="inlineStr">
        <is>
          <t>Laurus Labs Limited</t>
        </is>
      </c>
      <c r="E16" s="18" t="inlineStr">
        <is>
          <t>healthcare</t>
        </is>
      </c>
      <c r="F16" s="16" t="n">
        <v>60</v>
      </c>
      <c r="G16" s="19" t="n">
        <v>82587.25999999999</v>
      </c>
      <c r="H16" s="18" t="inlineStr">
        <is>
          <t>Potential Leader</t>
        </is>
      </c>
      <c r="J16" s="18" t="inlineStr">
        <is>
          <t>telecom-service</t>
        </is>
      </c>
      <c r="K16" s="16" t="n">
        <v>9</v>
      </c>
      <c r="L16" s="16" t="n">
        <v>9</v>
      </c>
      <c r="M16" s="20" t="inlineStr">
        <is>
          <t>0.0%</t>
        </is>
      </c>
    </row>
    <row r="17">
      <c r="A17" s="16" t="n">
        <v>12</v>
      </c>
      <c r="B17" s="17" t="n">
        <v>402</v>
      </c>
      <c r="C17" s="17" t="inlineStr">
        <is>
          <t>CAPLIPOINT</t>
        </is>
      </c>
      <c r="D17" s="18" t="inlineStr">
        <is>
          <t>Caplin Point Laboratories Limited</t>
        </is>
      </c>
      <c r="E17" s="18" t="inlineStr">
        <is>
          <t>healthcare</t>
        </is>
      </c>
      <c r="F17" s="16" t="n">
        <v>52</v>
      </c>
      <c r="G17" s="19" t="n">
        <v>19870.98</v>
      </c>
      <c r="H17" s="18" t="inlineStr">
        <is>
          <t>Potential Leader</t>
        </is>
      </c>
      <c r="J17" s="18" t="inlineStr">
        <is>
          <t>realty</t>
        </is>
      </c>
      <c r="K17" s="16" t="n">
        <v>86</v>
      </c>
      <c r="L17" s="16" t="n">
        <v>88</v>
      </c>
      <c r="M17" s="21" t="inlineStr">
        <is>
          <t>-2.3%</t>
        </is>
      </c>
    </row>
    <row r="18">
      <c r="A18" s="16" t="n">
        <v>13</v>
      </c>
      <c r="B18" s="17" t="n">
        <v>402</v>
      </c>
      <c r="C18" s="17" t="inlineStr">
        <is>
          <t>PAISALO</t>
        </is>
      </c>
      <c r="D18" s="18" t="inlineStr">
        <is>
          <t>Paisalo Digital Ltd</t>
        </is>
      </c>
      <c r="E18" s="18" t="inlineStr">
        <is>
          <t>financials</t>
        </is>
      </c>
      <c r="F18" s="16" t="n">
        <v>52</v>
      </c>
      <c r="G18" s="19" t="n">
        <v>6525.82</v>
      </c>
      <c r="H18" s="18" t="inlineStr">
        <is>
          <t>Potential Leader</t>
        </is>
      </c>
      <c r="J18" s="18" t="inlineStr">
        <is>
          <t>auto</t>
        </is>
      </c>
      <c r="K18" s="16" t="n">
        <v>157</v>
      </c>
      <c r="L18" s="16" t="n">
        <v>163</v>
      </c>
      <c r="M18" s="21" t="inlineStr">
        <is>
          <t>-3.7%</t>
        </is>
      </c>
    </row>
    <row r="19">
      <c r="A19" s="16" t="n">
        <v>14</v>
      </c>
      <c r="B19" s="17" t="n">
        <v>390</v>
      </c>
      <c r="C19" s="17" t="inlineStr">
        <is>
          <t>RPEL</t>
        </is>
      </c>
      <c r="D19" s="18" t="inlineStr">
        <is>
          <t>Raghav Productivity Enhancers Ltd</t>
        </is>
      </c>
      <c r="E19" s="18" t="inlineStr">
        <is>
          <t>building materials</t>
        </is>
      </c>
      <c r="F19" s="16" t="n">
        <v>50</v>
      </c>
      <c r="G19" s="19" t="n">
        <v>6033.23</v>
      </c>
      <c r="H19" s="18" t="inlineStr">
        <is>
          <t>Potential Leader</t>
        </is>
      </c>
      <c r="J19" s="18" t="inlineStr">
        <is>
          <t>bank</t>
        </is>
      </c>
      <c r="K19" s="16" t="n">
        <v>75</v>
      </c>
      <c r="L19" s="16" t="n">
        <v>79</v>
      </c>
      <c r="M19" s="21" t="inlineStr">
        <is>
          <t>-5.1%</t>
        </is>
      </c>
    </row>
    <row r="20">
      <c r="A20" s="16" t="n">
        <v>15</v>
      </c>
      <c r="B20" s="17" t="n">
        <v>384</v>
      </c>
      <c r="C20" s="17" t="inlineStr">
        <is>
          <t>YASHO</t>
        </is>
      </c>
      <c r="D20" s="18" t="inlineStr">
        <is>
          <t>Yasho Industries Ltd</t>
        </is>
      </c>
      <c r="E20" s="18" t="inlineStr">
        <is>
          <t>chemicals</t>
        </is>
      </c>
      <c r="F20" s="16" t="n">
        <v>49</v>
      </c>
      <c r="G20" s="19" t="n">
        <v>3628.55</v>
      </c>
      <c r="H20" s="18" t="inlineStr">
        <is>
          <t>Potential Leader</t>
        </is>
      </c>
      <c r="J20" s="18" t="inlineStr">
        <is>
          <t>media</t>
        </is>
      </c>
      <c r="K20" s="16" t="n">
        <v>16</v>
      </c>
      <c r="L20" s="16" t="n">
        <v>17</v>
      </c>
      <c r="M20" s="21" t="inlineStr">
        <is>
          <t>-5.9%</t>
        </is>
      </c>
    </row>
    <row r="21">
      <c r="A21" s="16" t="n">
        <v>16</v>
      </c>
      <c r="B21" s="17" t="n">
        <v>378</v>
      </c>
      <c r="C21" s="17" t="inlineStr">
        <is>
          <t>ASTRAMICRO</t>
        </is>
      </c>
      <c r="D21" s="18" t="inlineStr">
        <is>
          <t>Astra Microwave Products Limited</t>
        </is>
      </c>
      <c r="E21" s="18" t="inlineStr">
        <is>
          <t>aerospace &amp; defence</t>
        </is>
      </c>
      <c r="F21" s="16" t="n">
        <v>48</v>
      </c>
      <c r="G21" s="19" t="n">
        <v>16338.14</v>
      </c>
      <c r="H21" s="18" t="inlineStr">
        <is>
          <t>Potential Leader</t>
        </is>
      </c>
    </row>
    <row r="22">
      <c r="A22" s="16" t="n">
        <v>17</v>
      </c>
      <c r="B22" s="17" t="n">
        <v>378</v>
      </c>
      <c r="C22" s="17" t="inlineStr">
        <is>
          <t>CUPID</t>
        </is>
      </c>
      <c r="D22" s="18" t="inlineStr">
        <is>
          <t>Cupid Limited</t>
        </is>
      </c>
      <c r="E22" s="18" t="inlineStr">
        <is>
          <t>fmcg</t>
        </is>
      </c>
      <c r="F22" s="16" t="n">
        <v>48</v>
      </c>
      <c r="G22" s="19" t="n">
        <v>28880.62</v>
      </c>
      <c r="H22" s="18" t="inlineStr">
        <is>
          <t>Potential Leader</t>
        </is>
      </c>
    </row>
    <row r="23">
      <c r="A23" s="16" t="n">
        <v>18</v>
      </c>
      <c r="B23" s="17" t="n">
        <v>378</v>
      </c>
      <c r="C23" s="17" t="inlineStr">
        <is>
          <t>UFBL</t>
        </is>
      </c>
      <c r="D23" s="18" t="inlineStr">
        <is>
          <t>United Foodbrands Ltd</t>
        </is>
      </c>
      <c r="E23" s="18" t="inlineStr">
        <is>
          <t>consumer discretionary</t>
        </is>
      </c>
      <c r="F23" s="16" t="n">
        <v>48</v>
      </c>
      <c r="G23" s="19" t="n">
        <v>2743.47</v>
      </c>
      <c r="H23" s="18" t="inlineStr">
        <is>
          <t>Potential Leader</t>
        </is>
      </c>
    </row>
    <row r="24">
      <c r="A24" s="16" t="n">
        <v>19</v>
      </c>
      <c r="B24" s="17" t="n">
        <v>372</v>
      </c>
      <c r="C24" s="17" t="inlineStr">
        <is>
          <t>HONAUT</t>
        </is>
      </c>
      <c r="D24" s="18" t="inlineStr">
        <is>
          <t>Honeywell Automation India Limited</t>
        </is>
      </c>
      <c r="E24" s="18" t="inlineStr">
        <is>
          <t>consumer discretionary</t>
        </is>
      </c>
      <c r="F24" s="16" t="n">
        <v>47</v>
      </c>
      <c r="G24" s="19" t="n">
        <v>34442.15</v>
      </c>
      <c r="H24" s="18" t="inlineStr">
        <is>
          <t>Potential Leader</t>
        </is>
      </c>
    </row>
    <row r="25">
      <c r="A25" s="16" t="n">
        <v>20</v>
      </c>
      <c r="B25" s="17" t="n">
        <v>372</v>
      </c>
      <c r="C25" s="17" t="inlineStr">
        <is>
          <t>PGHL</t>
        </is>
      </c>
      <c r="D25" s="18" t="inlineStr">
        <is>
          <t>Procter &amp; Gamble Health Ltd</t>
        </is>
      </c>
      <c r="E25" s="18" t="inlineStr">
        <is>
          <t>healthcare</t>
        </is>
      </c>
      <c r="F25" s="16" t="n">
        <v>47</v>
      </c>
      <c r="G25" s="19" t="n">
        <v>11286.75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ARROWGREEN</t>
        </is>
      </c>
      <c r="B30" s="18" t="inlineStr">
        <is>
          <t>Arrow Greentech Limited</t>
        </is>
      </c>
      <c r="C30" s="18" t="inlineStr">
        <is>
          <t>plastic products</t>
        </is>
      </c>
      <c r="D30" s="16" t="n">
        <v>10</v>
      </c>
      <c r="E30" s="16" t="n">
        <v>0</v>
      </c>
      <c r="F30" s="19" t="n">
        <v>1010.89</v>
      </c>
      <c r="J30" s="17" t="inlineStr">
        <is>
          <t>SATIN</t>
        </is>
      </c>
      <c r="K30" s="18" t="inlineStr">
        <is>
          <t>Financial Services</t>
        </is>
      </c>
      <c r="L30" s="19" t="n">
        <v>302</v>
      </c>
      <c r="M30" s="19" t="n">
        <v>2805.46</v>
      </c>
      <c r="N30" s="16" t="n">
        <v>25</v>
      </c>
    </row>
    <row r="31">
      <c r="A31" s="17" t="inlineStr">
        <is>
          <t>UNICHEMLAB</t>
        </is>
      </c>
      <c r="B31" s="18" t="inlineStr">
        <is>
          <t>Unichem Laboratories Limited</t>
        </is>
      </c>
      <c r="C31" s="18" t="inlineStr">
        <is>
          <t>healthcare</t>
        </is>
      </c>
      <c r="D31" s="16" t="n">
        <v>9</v>
      </c>
      <c r="E31" s="16" t="n">
        <v>0</v>
      </c>
      <c r="F31" s="19" t="n">
        <v>4147.25</v>
      </c>
      <c r="J31" s="17" t="inlineStr">
        <is>
          <t>SAKAR</t>
        </is>
      </c>
      <c r="K31" s="18" t="inlineStr">
        <is>
          <t>healthcare</t>
        </is>
      </c>
      <c r="L31" s="19" t="n">
        <v>292</v>
      </c>
      <c r="M31" s="19" t="n">
        <v>1952.87</v>
      </c>
      <c r="N31" s="16" t="n">
        <v>25</v>
      </c>
    </row>
    <row r="32">
      <c r="A32" s="17" t="inlineStr">
        <is>
          <t>MOSCHIP</t>
        </is>
      </c>
      <c r="B32" s="18" t="inlineStr">
        <is>
          <t>Moschip Technologies Ltd</t>
        </is>
      </c>
      <c r="C32" s="18" t="inlineStr">
        <is>
          <t>i.t</t>
        </is>
      </c>
      <c r="D32" s="16" t="n">
        <v>9</v>
      </c>
      <c r="E32" s="16" t="n">
        <v>1</v>
      </c>
      <c r="F32" s="19" t="n">
        <v>4669.22</v>
      </c>
      <c r="J32" s="17" t="inlineStr">
        <is>
          <t>INDOBORAX</t>
        </is>
      </c>
      <c r="K32" s="18" t="inlineStr">
        <is>
          <t>chemicals</t>
        </is>
      </c>
      <c r="L32" s="19" t="n">
        <v>290</v>
      </c>
      <c r="M32" s="19" t="n">
        <v>1494.43</v>
      </c>
      <c r="N32" s="16" t="n">
        <v>30</v>
      </c>
    </row>
    <row r="33">
      <c r="A33" s="17" t="inlineStr">
        <is>
          <t>RBZJEWEL</t>
        </is>
      </c>
      <c r="B33" s="18" t="inlineStr">
        <is>
          <t>RBZ Jewellers Ltd</t>
        </is>
      </c>
      <c r="C33" s="18" t="inlineStr">
        <is>
          <t>consumer discretionary</t>
        </is>
      </c>
      <c r="D33" s="16" t="n">
        <v>9</v>
      </c>
      <c r="E33" s="16" t="n">
        <v>1</v>
      </c>
      <c r="F33" s="19" t="n">
        <v>602.96</v>
      </c>
      <c r="J33" s="17" t="inlineStr">
        <is>
          <t>PAISALO</t>
        </is>
      </c>
      <c r="K33" s="18" t="inlineStr">
        <is>
          <t>financials</t>
        </is>
      </c>
      <c r="L33" s="19" t="n">
        <v>287</v>
      </c>
      <c r="M33" s="19" t="n">
        <v>6525.82</v>
      </c>
      <c r="N33" s="16" t="n">
        <v>30</v>
      </c>
    </row>
    <row r="34">
      <c r="A34" s="17" t="inlineStr">
        <is>
          <t>SHAREINDIA</t>
        </is>
      </c>
      <c r="B34" s="18" t="inlineStr">
        <is>
          <t>Share India Securities Ltd</t>
        </is>
      </c>
      <c r="C34" s="18" t="inlineStr">
        <is>
          <t>financials</t>
        </is>
      </c>
      <c r="D34" s="16" t="n">
        <v>9</v>
      </c>
      <c r="E34" s="16" t="n">
        <v>0</v>
      </c>
      <c r="F34" s="19" t="n">
        <v>3878.46</v>
      </c>
      <c r="J34" s="17" t="inlineStr">
        <is>
          <t>UJJIVANSFB</t>
        </is>
      </c>
      <c r="K34" s="18" t="inlineStr">
        <is>
          <t>bank</t>
        </is>
      </c>
      <c r="L34" s="19" t="n">
        <v>287</v>
      </c>
      <c r="M34" s="19" t="n">
        <v>12620.82</v>
      </c>
      <c r="N34" s="16" t="n">
        <v>21</v>
      </c>
    </row>
    <row r="35">
      <c r="A35" s="17" t="inlineStr">
        <is>
          <t>SUBEXLTD</t>
        </is>
      </c>
      <c r="B35" s="18" t="inlineStr">
        <is>
          <t>Subex Ltd</t>
        </is>
      </c>
      <c r="C35" s="18" t="inlineStr">
        <is>
          <t>i.t</t>
        </is>
      </c>
      <c r="D35" s="16" t="n">
        <v>9</v>
      </c>
      <c r="E35" s="16" t="n">
        <v>0</v>
      </c>
      <c r="F35" s="19" t="n">
        <v>745.78</v>
      </c>
      <c r="J35" s="17" t="inlineStr">
        <is>
          <t>INDIAGLYCO</t>
        </is>
      </c>
      <c r="K35" s="18" t="inlineStr">
        <is>
          <t>fmcg</t>
        </is>
      </c>
      <c r="L35" s="19" t="n">
        <v>287</v>
      </c>
      <c r="M35" s="19" t="n">
        <v>7770.41</v>
      </c>
      <c r="N35" s="16" t="n">
        <v>14</v>
      </c>
    </row>
    <row r="36">
      <c r="A36" s="17" t="inlineStr">
        <is>
          <t>GANESHHOU</t>
        </is>
      </c>
      <c r="B36" s="18" t="inlineStr">
        <is>
          <t>Ganesh Housing Ltd</t>
        </is>
      </c>
      <c r="C36" s="18" t="inlineStr">
        <is>
          <t>realty</t>
        </is>
      </c>
      <c r="D36" s="16" t="n">
        <v>9</v>
      </c>
      <c r="E36" s="16" t="n">
        <v>0</v>
      </c>
      <c r="F36" s="19" t="n">
        <v>6860.26</v>
      </c>
      <c r="J36" s="17" t="inlineStr">
        <is>
          <t>MENONBE</t>
        </is>
      </c>
      <c r="K36" s="18" t="inlineStr">
        <is>
          <t>auto</t>
        </is>
      </c>
      <c r="L36" s="19" t="n">
        <v>285</v>
      </c>
      <c r="M36" s="19" t="n">
        <v>1118.95</v>
      </c>
      <c r="N36" s="16" t="n">
        <v>24</v>
      </c>
    </row>
    <row r="37">
      <c r="A37" s="17" t="inlineStr">
        <is>
          <t>CCAVENUE</t>
        </is>
      </c>
      <c r="B37" s="18" t="inlineStr">
        <is>
          <t>AvenuesAI Ltd</t>
        </is>
      </c>
      <c r="C37" s="18" t="inlineStr">
        <is>
          <t>i.t</t>
        </is>
      </c>
      <c r="D37" s="16" t="n">
        <v>9</v>
      </c>
      <c r="E37" s="16" t="n">
        <v>2</v>
      </c>
      <c r="F37" s="19" t="n">
        <v>5964.89</v>
      </c>
      <c r="J37" s="17" t="inlineStr">
        <is>
          <t>TMB</t>
        </is>
      </c>
      <c r="K37" s="18" t="inlineStr">
        <is>
          <t>bank</t>
        </is>
      </c>
      <c r="L37" s="19" t="n">
        <v>285</v>
      </c>
      <c r="M37" s="19" t="n">
        <v>12626.15</v>
      </c>
      <c r="N37" s="16" t="n">
        <v>22</v>
      </c>
    </row>
    <row r="38">
      <c r="A38" s="17" t="inlineStr">
        <is>
          <t>IKIO</t>
        </is>
      </c>
      <c r="B38" s="18" t="inlineStr">
        <is>
          <t>IKIO Lighting Ltd</t>
        </is>
      </c>
      <c r="C38" s="18" t="inlineStr">
        <is>
          <t>consumer discretionary</t>
        </is>
      </c>
      <c r="D38" s="16" t="n">
        <v>8</v>
      </c>
      <c r="E38" s="16" t="n">
        <v>1</v>
      </c>
      <c r="F38" s="19" t="n">
        <v>1695.31</v>
      </c>
      <c r="J38" s="17" t="inlineStr">
        <is>
          <t>PGIL</t>
        </is>
      </c>
      <c r="K38" s="18" t="inlineStr">
        <is>
          <t>consumer discretionary</t>
        </is>
      </c>
      <c r="L38" s="19" t="n">
        <v>283</v>
      </c>
      <c r="M38" s="19" t="n">
        <v>9427.559999999999</v>
      </c>
      <c r="N38" s="16" t="n">
        <v>26</v>
      </c>
    </row>
    <row r="39">
      <c r="A39" s="17" t="inlineStr">
        <is>
          <t>OMAXE</t>
        </is>
      </c>
      <c r="B39" s="18" t="inlineStr">
        <is>
          <t>Omaxe Limited</t>
        </is>
      </c>
      <c r="C39" s="18" t="inlineStr">
        <is>
          <t>realty</t>
        </is>
      </c>
      <c r="D39" s="16" t="n">
        <v>8</v>
      </c>
      <c r="E39" s="16" t="n">
        <v>1</v>
      </c>
      <c r="F39" s="19" t="n">
        <v>1710.12</v>
      </c>
      <c r="J39" s="17" t="inlineStr">
        <is>
          <t>PRECOT</t>
        </is>
      </c>
      <c r="K39" s="18" t="inlineStr">
        <is>
          <t>textiles</t>
        </is>
      </c>
      <c r="L39" s="19" t="n">
        <v>283</v>
      </c>
      <c r="M39" s="19" t="n">
        <v>990.36</v>
      </c>
      <c r="N39" s="16" t="n">
        <v>15</v>
      </c>
    </row>
    <row r="40">
      <c r="A40" s="17" t="inlineStr">
        <is>
          <t>MIRZAINT</t>
        </is>
      </c>
      <c r="B40" s="18" t="inlineStr">
        <is>
          <t>Mirza International Limited</t>
        </is>
      </c>
      <c r="C40" s="18" t="inlineStr">
        <is>
          <t>consumer discretionary</t>
        </is>
      </c>
      <c r="D40" s="16" t="n">
        <v>8</v>
      </c>
      <c r="E40" s="16" t="n">
        <v>0</v>
      </c>
      <c r="F40" s="19" t="n">
        <v>535.39</v>
      </c>
      <c r="J40" s="17" t="inlineStr">
        <is>
          <t>SURYODAY</t>
        </is>
      </c>
      <c r="K40" s="18" t="inlineStr">
        <is>
          <t>Financial Services</t>
        </is>
      </c>
      <c r="L40" s="19" t="n">
        <v>282</v>
      </c>
      <c r="M40" s="19" t="n">
        <v>1910.98</v>
      </c>
      <c r="N40" s="16" t="n">
        <v>26</v>
      </c>
    </row>
    <row r="41">
      <c r="A41" s="17" t="inlineStr">
        <is>
          <t>PICCADIL</t>
        </is>
      </c>
      <c r="B41" s="18" t="inlineStr">
        <is>
          <t>Piccadily Agro Industries Ltd</t>
        </is>
      </c>
      <c r="C41" s="18" t="inlineStr">
        <is>
          <t>fmcg</t>
        </is>
      </c>
      <c r="D41" s="16" t="n">
        <v>8</v>
      </c>
      <c r="E41" s="16" t="n">
        <v>0</v>
      </c>
      <c r="F41" s="19" t="n">
        <v>7191.33</v>
      </c>
      <c r="J41" s="17" t="inlineStr">
        <is>
          <t>IBULLSLTD</t>
        </is>
      </c>
      <c r="K41" s="18" t="inlineStr">
        <is>
          <t>miscellaneous</t>
        </is>
      </c>
      <c r="L41" s="19" t="n">
        <v>280</v>
      </c>
      <c r="M41" s="19" t="n">
        <v>6738.38</v>
      </c>
      <c r="N41" s="16" t="n">
        <v>30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87.59999999999999</v>
      </c>
      <c r="D47" s="28" t="n">
        <v>260</v>
      </c>
      <c r="E47" s="17" t="inlineStr">
        <is>
          <t>SIGMAADV</t>
        </is>
      </c>
      <c r="F47" s="18" t="inlineStr">
        <is>
          <t>Sigma Advanced System Ltd</t>
        </is>
      </c>
      <c r="G47" s="18" t="inlineStr">
        <is>
          <t>aerospace &amp; defence</t>
        </is>
      </c>
      <c r="H47" s="19" t="n">
        <v>9830.65</v>
      </c>
    </row>
    <row r="48">
      <c r="A48" s="16" t="n">
        <v>2</v>
      </c>
      <c r="B48" s="27" t="n">
        <v>99</v>
      </c>
      <c r="C48" s="28" t="n">
        <v>76.51000000000001</v>
      </c>
      <c r="D48" s="28" t="n">
        <v>277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28880.62</v>
      </c>
    </row>
    <row r="49">
      <c r="A49" s="16" t="n">
        <v>3</v>
      </c>
      <c r="B49" s="27" t="n">
        <v>98</v>
      </c>
      <c r="C49" s="28" t="n">
        <v>68.5</v>
      </c>
      <c r="D49" s="28" t="n">
        <v>248</v>
      </c>
      <c r="E49" s="17" t="inlineStr">
        <is>
          <t>SWANDEF</t>
        </is>
      </c>
      <c r="F49" s="18" t="inlineStr">
        <is>
          <t>Swan Defence and Heavy Industries Ltd</t>
        </is>
      </c>
      <c r="G49" s="18" t="inlineStr">
        <is>
          <t>transportation</t>
        </is>
      </c>
      <c r="H49" s="19" t="n">
        <v>11746.01</v>
      </c>
    </row>
    <row r="50">
      <c r="A50" s="16" t="n">
        <v>4</v>
      </c>
      <c r="B50" s="27" t="n">
        <v>98</v>
      </c>
      <c r="C50" s="28" t="n">
        <v>55.75</v>
      </c>
      <c r="D50" s="28" t="n">
        <v>270</v>
      </c>
      <c r="E50" s="17" t="inlineStr">
        <is>
          <t>CEMPRO</t>
        </is>
      </c>
      <c r="F50" s="18" t="inlineStr">
        <is>
          <t>Cemindia Projects Ltd</t>
        </is>
      </c>
      <c r="G50" s="18" t="inlineStr">
        <is>
          <t>realty</t>
        </is>
      </c>
      <c r="H50" s="19" t="n">
        <v>27743.69</v>
      </c>
    </row>
    <row r="51">
      <c r="A51" s="16" t="n">
        <v>5</v>
      </c>
      <c r="B51" s="27" t="n">
        <v>98</v>
      </c>
      <c r="C51" s="28" t="n">
        <v>53.93</v>
      </c>
      <c r="D51" s="28" t="n">
        <v>255</v>
      </c>
      <c r="E51" s="17" t="inlineStr">
        <is>
          <t>HFCL</t>
        </is>
      </c>
      <c r="F51" s="18" t="inlineStr">
        <is>
          <t>HFCL Ltd</t>
        </is>
      </c>
      <c r="G51" s="18" t="inlineStr">
        <is>
          <t>telecom</t>
        </is>
      </c>
      <c r="H51" s="19" t="n">
        <v>32627.85</v>
      </c>
    </row>
    <row r="52">
      <c r="A52" s="16" t="n">
        <v>6</v>
      </c>
      <c r="B52" s="27" t="n">
        <v>98</v>
      </c>
      <c r="C52" s="28" t="n">
        <v>53.46</v>
      </c>
      <c r="D52" s="28" t="n">
        <v>270</v>
      </c>
      <c r="E52" s="17" t="inlineStr">
        <is>
          <t>BHAGYANGR</t>
        </is>
      </c>
      <c r="F52" s="18" t="inlineStr">
        <is>
          <t>Bhagyanagar India</t>
        </is>
      </c>
      <c r="G52" s="18" t="inlineStr">
        <is>
          <t>power &amp; utilities</t>
        </is>
      </c>
      <c r="H52" s="19" t="n">
        <v>1283.16</v>
      </c>
    </row>
    <row r="53">
      <c r="A53" s="16" t="n">
        <v>7</v>
      </c>
      <c r="B53" s="27" t="n">
        <v>97</v>
      </c>
      <c r="C53" s="28" t="n">
        <v>51.33</v>
      </c>
      <c r="D53" s="28" t="n">
        <v>248</v>
      </c>
      <c r="E53" s="17" t="inlineStr">
        <is>
          <t>UFBL</t>
        </is>
      </c>
      <c r="F53" s="18" t="inlineStr">
        <is>
          <t>United Foodbrands Ltd</t>
        </is>
      </c>
      <c r="G53" s="18" t="inlineStr">
        <is>
          <t>consumer discretionary</t>
        </is>
      </c>
      <c r="H53" s="19" t="n">
        <v>2743.47</v>
      </c>
    </row>
    <row r="54">
      <c r="A54" s="16" t="n">
        <v>8</v>
      </c>
      <c r="B54" s="27" t="n">
        <v>97</v>
      </c>
      <c r="C54" s="28" t="n">
        <v>50.8</v>
      </c>
      <c r="D54" s="28" t="n">
        <v>242</v>
      </c>
      <c r="E54" s="17" t="inlineStr">
        <is>
          <t>MODINSU</t>
        </is>
      </c>
      <c r="F54" s="18" t="inlineStr">
        <is>
          <t>Modern Insulators Limited</t>
        </is>
      </c>
      <c r="G54" s="18" t="inlineStr">
        <is>
          <t>Technology</t>
        </is>
      </c>
      <c r="H54" s="19" t="n">
        <v>2340.46</v>
      </c>
    </row>
    <row r="55">
      <c r="A55" s="16" t="n">
        <v>9</v>
      </c>
      <c r="B55" s="27" t="n">
        <v>97</v>
      </c>
      <c r="C55" s="28" t="n">
        <v>46.25</v>
      </c>
      <c r="D55" s="28" t="n">
        <v>275</v>
      </c>
      <c r="E55" s="17" t="inlineStr">
        <is>
          <t>ATHERENERG</t>
        </is>
      </c>
      <c r="F55" s="18" t="inlineStr">
        <is>
          <t>Ather Energy Ltd</t>
        </is>
      </c>
      <c r="G55" s="18" t="inlineStr">
        <is>
          <t>auto</t>
        </is>
      </c>
      <c r="H55" s="19" t="n">
        <v>49123.77</v>
      </c>
    </row>
    <row r="56">
      <c r="A56" s="16" t="n">
        <v>10</v>
      </c>
      <c r="B56" s="27" t="n">
        <v>97</v>
      </c>
      <c r="C56" s="28" t="n">
        <v>46.01</v>
      </c>
      <c r="D56" s="28" t="n">
        <v>265</v>
      </c>
      <c r="E56" s="17" t="inlineStr">
        <is>
          <t>NITTAGELA</t>
        </is>
      </c>
      <c r="F56" s="18" t="inlineStr">
        <is>
          <t>Nitta Gelatin India Limited</t>
        </is>
      </c>
      <c r="G56" s="18" t="inlineStr">
        <is>
          <t>Basic Materials</t>
        </is>
      </c>
      <c r="H56" s="19" t="n">
        <v>1709.83</v>
      </c>
    </row>
    <row r="57">
      <c r="A57" s="16" t="n">
        <v>11</v>
      </c>
      <c r="B57" s="27" t="n">
        <v>96</v>
      </c>
      <c r="C57" s="28" t="n">
        <v>45.46</v>
      </c>
      <c r="D57" s="28" t="n">
        <v>277</v>
      </c>
      <c r="E57" s="17" t="inlineStr">
        <is>
          <t>VENUSREM</t>
        </is>
      </c>
      <c r="F57" s="18" t="inlineStr">
        <is>
          <t>Venus Remedies Limited</t>
        </is>
      </c>
      <c r="G57" s="18" t="inlineStr">
        <is>
          <t>Healthcare</t>
        </is>
      </c>
      <c r="H57" s="19" t="n">
        <v>2368.74</v>
      </c>
    </row>
    <row r="58">
      <c r="A58" s="16" t="n">
        <v>12</v>
      </c>
      <c r="B58" s="27" t="n">
        <v>96</v>
      </c>
      <c r="C58" s="28" t="n">
        <v>42.77</v>
      </c>
      <c r="D58" s="28" t="n">
        <v>275</v>
      </c>
      <c r="E58" s="17" t="inlineStr">
        <is>
          <t>THANGAMAYL</t>
        </is>
      </c>
      <c r="F58" s="18" t="inlineStr">
        <is>
          <t>Thangamayil Jewellery Limited</t>
        </is>
      </c>
      <c r="G58" s="18" t="inlineStr">
        <is>
          <t>consumer discretionary</t>
        </is>
      </c>
      <c r="H58" s="19" t="n">
        <v>20004.39</v>
      </c>
    </row>
    <row r="59">
      <c r="A59" s="16" t="n">
        <v>13</v>
      </c>
      <c r="B59" s="27" t="n">
        <v>96</v>
      </c>
      <c r="C59" s="28" t="n">
        <v>42.21</v>
      </c>
      <c r="D59" s="28" t="n">
        <v>273</v>
      </c>
      <c r="E59" s="17" t="inlineStr">
        <is>
          <t>HITECHCORP</t>
        </is>
      </c>
      <c r="F59" s="18" t="inlineStr">
        <is>
          <t>Hitech Corporation</t>
        </is>
      </c>
      <c r="G59" s="18" t="inlineStr">
        <is>
          <t>industrials</t>
        </is>
      </c>
      <c r="H59" s="19" t="n">
        <v>553.4</v>
      </c>
    </row>
    <row r="60">
      <c r="A60" s="16" t="n">
        <v>14</v>
      </c>
      <c r="B60" s="27" t="n">
        <v>96</v>
      </c>
      <c r="C60" s="28" t="n">
        <v>39.66</v>
      </c>
      <c r="D60" s="28" t="n">
        <v>270</v>
      </c>
      <c r="E60" s="17" t="inlineStr">
        <is>
          <t>IZMO</t>
        </is>
      </c>
      <c r="F60" s="18" t="inlineStr">
        <is>
          <t>Izmo Limited</t>
        </is>
      </c>
      <c r="G60" s="18" t="inlineStr">
        <is>
          <t>i.t</t>
        </is>
      </c>
      <c r="H60" s="19" t="n">
        <v>1681.79</v>
      </c>
    </row>
    <row r="61">
      <c r="A61" s="16" t="n">
        <v>15</v>
      </c>
      <c r="B61" s="27" t="n">
        <v>95</v>
      </c>
      <c r="C61" s="28" t="n">
        <v>38.5</v>
      </c>
      <c r="D61" s="28" t="n">
        <v>270</v>
      </c>
      <c r="E61" s="17" t="inlineStr">
        <is>
          <t>NINSYS</t>
        </is>
      </c>
      <c r="F61" s="18" t="inlineStr">
        <is>
          <t>NINtec Systems Ltd</t>
        </is>
      </c>
      <c r="G61" s="18" t="inlineStr">
        <is>
          <t>i.t</t>
        </is>
      </c>
      <c r="H61" s="19" t="n">
        <v>1659.95</v>
      </c>
    </row>
    <row r="62">
      <c r="A62" s="16" t="n">
        <v>16</v>
      </c>
      <c r="B62" s="27" t="n">
        <v>95</v>
      </c>
      <c r="C62" s="28" t="n">
        <v>38.18</v>
      </c>
      <c r="D62" s="28" t="n">
        <v>280</v>
      </c>
      <c r="E62" s="17" t="inlineStr">
        <is>
          <t>TIMEX</t>
        </is>
      </c>
      <c r="F62" s="18" t="inlineStr">
        <is>
          <t>Timex Group India Limited</t>
        </is>
      </c>
      <c r="G62" s="18" t="inlineStr">
        <is>
          <t>Consumer Cyclical</t>
        </is>
      </c>
      <c r="H62" s="19" t="n">
        <v>5387.2</v>
      </c>
    </row>
    <row r="63">
      <c r="A63" s="16" t="n">
        <v>17</v>
      </c>
      <c r="B63" s="27" t="n">
        <v>95</v>
      </c>
      <c r="C63" s="28" t="n">
        <v>37.4</v>
      </c>
      <c r="D63" s="28" t="n">
        <v>253</v>
      </c>
      <c r="E63" s="17" t="inlineStr">
        <is>
          <t>SETL</t>
        </is>
      </c>
      <c r="F63" s="18" t="inlineStr">
        <is>
          <t>Standard Enginnering Technology Ltd</t>
        </is>
      </c>
      <c r="G63" s="18" t="inlineStr">
        <is>
          <t>industrials</t>
        </is>
      </c>
      <c r="H63" s="19" t="n">
        <v>5607.71</v>
      </c>
    </row>
    <row r="64">
      <c r="A64" s="16" t="n">
        <v>18</v>
      </c>
      <c r="B64" s="27" t="n">
        <v>95</v>
      </c>
      <c r="C64" s="28" t="n">
        <v>37.14</v>
      </c>
      <c r="D64" s="28" t="n">
        <v>282</v>
      </c>
      <c r="E64" s="17" t="inlineStr">
        <is>
          <t>ACUTAAS</t>
        </is>
      </c>
      <c r="F64" s="18" t="inlineStr">
        <is>
          <t>Acutaas Chemicals Ltd</t>
        </is>
      </c>
      <c r="G64" s="18" t="inlineStr">
        <is>
          <t>healthcare</t>
        </is>
      </c>
      <c r="H64" s="19" t="n">
        <v>29632.43</v>
      </c>
    </row>
    <row r="65">
      <c r="A65" s="16" t="n">
        <v>19</v>
      </c>
      <c r="B65" s="29" t="n">
        <v>94</v>
      </c>
      <c r="C65" s="28" t="n">
        <v>36.79</v>
      </c>
      <c r="D65" s="28" t="n">
        <v>270</v>
      </c>
      <c r="E65" s="17" t="inlineStr">
        <is>
          <t>BAFNAPH</t>
        </is>
      </c>
      <c r="F65" s="18" t="inlineStr">
        <is>
          <t>Bafna Pharmaceuticals Ltd</t>
        </is>
      </c>
      <c r="G65" s="18" t="inlineStr">
        <is>
          <t>healthcare</t>
        </is>
      </c>
      <c r="H65" s="19" t="n">
        <v>534.35</v>
      </c>
    </row>
    <row r="66">
      <c r="A66" s="16" t="n">
        <v>20</v>
      </c>
      <c r="B66" s="29" t="n">
        <v>94</v>
      </c>
      <c r="C66" s="28" t="n">
        <v>36.14</v>
      </c>
      <c r="D66" s="28" t="n">
        <v>275</v>
      </c>
      <c r="E66" s="17" t="inlineStr">
        <is>
          <t>RAMCOSYS</t>
        </is>
      </c>
      <c r="F66" s="18" t="inlineStr">
        <is>
          <t>Ramco Systems Limited</t>
        </is>
      </c>
      <c r="G66" s="18" t="inlineStr">
        <is>
          <t>i.t</t>
        </is>
      </c>
      <c r="H66" s="19" t="n">
        <v>2951.99</v>
      </c>
    </row>
    <row r="67">
      <c r="A67" s="16" t="n">
        <v>21</v>
      </c>
      <c r="B67" s="29" t="n">
        <v>94</v>
      </c>
      <c r="C67" s="28" t="n">
        <v>35.84</v>
      </c>
      <c r="D67" s="28" t="n">
        <v>285</v>
      </c>
      <c r="E67" s="17" t="inlineStr">
        <is>
          <t>AEGISLOG</t>
        </is>
      </c>
      <c r="F67" s="18" t="inlineStr">
        <is>
          <t>Aegis Logistics Ltd</t>
        </is>
      </c>
      <c r="G67" s="18" t="inlineStr">
        <is>
          <t>services</t>
        </is>
      </c>
      <c r="H67" s="19" t="n">
        <v>47353.41</v>
      </c>
    </row>
    <row r="68">
      <c r="A68" s="16" t="n">
        <v>22</v>
      </c>
      <c r="B68" s="29" t="n">
        <v>93</v>
      </c>
      <c r="C68" s="28" t="n">
        <v>35.71</v>
      </c>
      <c r="D68" s="28" t="n">
        <v>277</v>
      </c>
      <c r="E68" s="17" t="inlineStr">
        <is>
          <t>SKMEGGPROD</t>
        </is>
      </c>
      <c r="F68" s="18" t="inlineStr">
        <is>
          <t>Skm Egg Products Export (india) Limited</t>
        </is>
      </c>
      <c r="G68" s="18" t="inlineStr">
        <is>
          <t>fmcg</t>
        </is>
      </c>
      <c r="H68" s="19" t="n">
        <v>1679.59</v>
      </c>
    </row>
    <row r="69">
      <c r="A69" s="16" t="n">
        <v>23</v>
      </c>
      <c r="B69" s="29" t="n">
        <v>93</v>
      </c>
      <c r="C69" s="28" t="n">
        <v>35.04</v>
      </c>
      <c r="D69" s="28" t="n">
        <v>275</v>
      </c>
      <c r="E69" s="17" t="inlineStr">
        <is>
          <t>RPEL</t>
        </is>
      </c>
      <c r="F69" s="18" t="inlineStr">
        <is>
          <t>Raghav Productivity Enhancers Ltd</t>
        </is>
      </c>
      <c r="G69" s="18" t="inlineStr">
        <is>
          <t>building materials</t>
        </is>
      </c>
      <c r="H69" s="19" t="n">
        <v>6033.23</v>
      </c>
    </row>
    <row r="70">
      <c r="A70" s="16" t="n">
        <v>24</v>
      </c>
      <c r="B70" s="29" t="n">
        <v>93</v>
      </c>
      <c r="C70" s="28" t="n">
        <v>34.84</v>
      </c>
      <c r="D70" s="28" t="n">
        <v>225</v>
      </c>
      <c r="E70" s="17" t="inlineStr">
        <is>
          <t>INDSWFTLAB</t>
        </is>
      </c>
      <c r="F70" s="18" t="inlineStr">
        <is>
          <t>Ind-swift Laboratories Limited</t>
        </is>
      </c>
      <c r="G70" s="18" t="inlineStr">
        <is>
          <t>healthcare</t>
        </is>
      </c>
      <c r="H70" s="19" t="n">
        <v>2010.01</v>
      </c>
    </row>
    <row r="71">
      <c r="A71" s="16" t="n">
        <v>25</v>
      </c>
      <c r="B71" s="29" t="n">
        <v>93</v>
      </c>
      <c r="C71" s="28" t="n">
        <v>34.53</v>
      </c>
      <c r="D71" s="28" t="n">
        <v>253</v>
      </c>
      <c r="E71" s="17" t="inlineStr">
        <is>
          <t>YASHO</t>
        </is>
      </c>
      <c r="F71" s="18" t="inlineStr">
        <is>
          <t>Yasho Industries Ltd</t>
        </is>
      </c>
      <c r="G71" s="18" t="inlineStr">
        <is>
          <t>chemicals</t>
        </is>
      </c>
      <c r="H71" s="19" t="n">
        <v>3628.55</v>
      </c>
    </row>
    <row r="72">
      <c r="A72" s="16" t="n">
        <v>26</v>
      </c>
      <c r="B72" s="29" t="n">
        <v>92</v>
      </c>
      <c r="C72" s="28" t="n">
        <v>34.4</v>
      </c>
      <c r="D72" s="28" t="n">
        <v>260</v>
      </c>
      <c r="E72" s="17" t="inlineStr">
        <is>
          <t>INDOTECH</t>
        </is>
      </c>
      <c r="F72" s="18" t="inlineStr">
        <is>
          <t>Indo Tech Transformers Limited</t>
        </is>
      </c>
      <c r="G72" s="18" t="inlineStr">
        <is>
          <t>industrials</t>
        </is>
      </c>
      <c r="H72" s="19" t="n">
        <v>3611.76</v>
      </c>
    </row>
    <row r="73">
      <c r="A73" s="16" t="n">
        <v>27</v>
      </c>
      <c r="B73" s="29" t="n">
        <v>92</v>
      </c>
      <c r="C73" s="28" t="n">
        <v>34.04</v>
      </c>
      <c r="D73" s="28" t="n">
        <v>290</v>
      </c>
      <c r="E73" s="17" t="inlineStr">
        <is>
          <t>INDOBORAX</t>
        </is>
      </c>
      <c r="F73" s="18" t="inlineStr">
        <is>
          <t>Indo Borax &amp; Chemicals Ltd</t>
        </is>
      </c>
      <c r="G73" s="18" t="inlineStr">
        <is>
          <t>chemicals</t>
        </is>
      </c>
      <c r="H73" s="19" t="n">
        <v>1494.43</v>
      </c>
    </row>
    <row r="74">
      <c r="A74" s="16" t="n">
        <v>28</v>
      </c>
      <c r="B74" s="29" t="n">
        <v>92</v>
      </c>
      <c r="C74" s="28" t="n">
        <v>33.86</v>
      </c>
      <c r="D74" s="28" t="n">
        <v>272</v>
      </c>
      <c r="E74" s="17" t="inlineStr">
        <is>
          <t>KPL</t>
        </is>
      </c>
      <c r="F74" s="18" t="inlineStr">
        <is>
          <t>Kwality Pharmaceuticals Limited</t>
        </is>
      </c>
      <c r="G74" s="18" t="inlineStr">
        <is>
          <t>Healthcare</t>
        </is>
      </c>
      <c r="H74" s="19" t="n">
        <v>2800.59</v>
      </c>
    </row>
    <row r="75">
      <c r="A75" s="16" t="n">
        <v>29</v>
      </c>
      <c r="B75" s="29" t="n">
        <v>92</v>
      </c>
      <c r="C75" s="28" t="n">
        <v>33.77</v>
      </c>
      <c r="D75" s="28" t="n">
        <v>287</v>
      </c>
      <c r="E75" s="17" t="inlineStr">
        <is>
          <t>PAISALO</t>
        </is>
      </c>
      <c r="F75" s="18" t="inlineStr">
        <is>
          <t>Paisalo Digital Ltd</t>
        </is>
      </c>
      <c r="G75" s="18" t="inlineStr">
        <is>
          <t>financials</t>
        </is>
      </c>
      <c r="H75" s="19" t="n">
        <v>6525.82</v>
      </c>
    </row>
    <row r="76">
      <c r="A76" s="16" t="n">
        <v>30</v>
      </c>
      <c r="B76" s="29" t="n">
        <v>91</v>
      </c>
      <c r="C76" s="28" t="n">
        <v>32.97</v>
      </c>
      <c r="D76" s="28" t="n">
        <v>273</v>
      </c>
      <c r="E76" s="17" t="inlineStr">
        <is>
          <t>GRWRHITECH</t>
        </is>
      </c>
      <c r="F76" s="18" t="inlineStr">
        <is>
          <t>Garware Hi Tech Films Ltd</t>
        </is>
      </c>
      <c r="G76" s="18" t="inlineStr">
        <is>
          <t>industrials</t>
        </is>
      </c>
      <c r="H76" s="19" t="n">
        <v>16194.14</v>
      </c>
    </row>
    <row r="77">
      <c r="A77" s="16" t="n">
        <v>31</v>
      </c>
      <c r="B77" s="29" t="n">
        <v>91</v>
      </c>
      <c r="C77" s="28" t="n">
        <v>32.91</v>
      </c>
      <c r="D77" s="28" t="n">
        <v>168</v>
      </c>
      <c r="E77" s="17" t="inlineStr">
        <is>
          <t>BALAMINES</t>
        </is>
      </c>
      <c r="F77" s="18" t="inlineStr">
        <is>
          <t>Balaji Amines Limited</t>
        </is>
      </c>
      <c r="G77" s="18" t="inlineStr">
        <is>
          <t>chemicals</t>
        </is>
      </c>
      <c r="H77" s="19" t="n">
        <v>7416.91</v>
      </c>
    </row>
    <row r="78">
      <c r="A78" s="16" t="n">
        <v>32</v>
      </c>
      <c r="B78" s="29" t="n">
        <v>91</v>
      </c>
      <c r="C78" s="28" t="n">
        <v>32.46</v>
      </c>
      <c r="D78" s="28" t="n">
        <v>237</v>
      </c>
      <c r="E78" s="17" t="inlineStr">
        <is>
          <t>RPTECH</t>
        </is>
      </c>
      <c r="F78" s="18" t="inlineStr">
        <is>
          <t>Rashi Peripherals Limited</t>
        </is>
      </c>
      <c r="G78" s="18" t="inlineStr">
        <is>
          <t>Technology</t>
        </is>
      </c>
      <c r="H78" s="19" t="n">
        <v>4840</v>
      </c>
    </row>
    <row r="79">
      <c r="A79" s="16" t="n">
        <v>33</v>
      </c>
      <c r="B79" s="29" t="n">
        <v>91</v>
      </c>
      <c r="C79" s="28" t="n">
        <v>31.61</v>
      </c>
      <c r="D79" s="28" t="n">
        <v>263</v>
      </c>
      <c r="E79" s="17" t="inlineStr">
        <is>
          <t>NRL</t>
        </is>
      </c>
      <c r="F79" s="18" t="inlineStr">
        <is>
          <t>Nupur Recyclers Ltd</t>
        </is>
      </c>
      <c r="G79" s="18" t="inlineStr">
        <is>
          <t>services</t>
        </is>
      </c>
      <c r="H79" s="19" t="n">
        <v>744.84</v>
      </c>
    </row>
    <row r="80">
      <c r="A80" s="16" t="n">
        <v>34</v>
      </c>
      <c r="B80" s="29" t="n">
        <v>90</v>
      </c>
      <c r="C80" s="28" t="n">
        <v>31.41</v>
      </c>
      <c r="D80" s="28" t="n">
        <v>265</v>
      </c>
      <c r="E80" s="17" t="inlineStr">
        <is>
          <t>KMEW</t>
        </is>
      </c>
      <c r="F80" s="18" t="inlineStr">
        <is>
          <t>Knowledge Marine &amp; Engineering Works Ltd</t>
        </is>
      </c>
      <c r="G80" s="18" t="inlineStr">
        <is>
          <t>transportation</t>
        </is>
      </c>
      <c r="H80" s="19" t="n">
        <v>5878.56</v>
      </c>
    </row>
    <row r="81">
      <c r="A81" s="16" t="n">
        <v>35</v>
      </c>
      <c r="B81" s="29" t="n">
        <v>90</v>
      </c>
      <c r="C81" s="28" t="n">
        <v>31.38</v>
      </c>
      <c r="D81" s="28" t="n">
        <v>292</v>
      </c>
      <c r="E81" s="17" t="inlineStr">
        <is>
          <t>SAKAR</t>
        </is>
      </c>
      <c r="F81" s="18" t="inlineStr">
        <is>
          <t>Sakar Healthcare Ltd</t>
        </is>
      </c>
      <c r="G81" s="18" t="inlineStr">
        <is>
          <t>healthcare</t>
        </is>
      </c>
      <c r="H81" s="19" t="n">
        <v>1952.87</v>
      </c>
    </row>
    <row r="82">
      <c r="A82" s="16" t="n">
        <v>36</v>
      </c>
      <c r="B82" s="29" t="n">
        <v>90</v>
      </c>
      <c r="C82" s="28" t="n">
        <v>31.09</v>
      </c>
      <c r="D82" s="28" t="n">
        <v>260</v>
      </c>
      <c r="E82" s="17" t="inlineStr">
        <is>
          <t>RATEGAIN</t>
        </is>
      </c>
      <c r="F82" s="18" t="inlineStr">
        <is>
          <t>Rategain Travel Technologies Ltd</t>
        </is>
      </c>
      <c r="G82" s="18" t="inlineStr">
        <is>
          <t>i.t</t>
        </is>
      </c>
      <c r="H82" s="19" t="n">
        <v>11233.99</v>
      </c>
    </row>
    <row r="83">
      <c r="A83" s="16" t="n">
        <v>37</v>
      </c>
      <c r="B83" s="29" t="n">
        <v>90</v>
      </c>
      <c r="C83" s="28" t="n">
        <v>30.51</v>
      </c>
      <c r="D83" s="28" t="n">
        <v>260</v>
      </c>
      <c r="E83" s="17" t="inlineStr">
        <is>
          <t>SENORES</t>
        </is>
      </c>
      <c r="F83" s="18" t="inlineStr">
        <is>
          <t>Senores Pharmaceuticals Ltd</t>
        </is>
      </c>
      <c r="G83" s="18" t="inlineStr">
        <is>
          <t>healthcare</t>
        </is>
      </c>
      <c r="H83" s="19" t="n">
        <v>6470.99</v>
      </c>
    </row>
    <row r="84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RELAXO</t>
        </is>
      </c>
      <c r="B2" s="31" t="inlineStr">
        <is>
          <t>Relaxo Footwears Limited</t>
        </is>
      </c>
      <c r="C2" s="31" t="inlineStr">
        <is>
          <t>consumer discretionary</t>
        </is>
      </c>
      <c r="D2" s="31" t="inlineStr">
        <is>
          <t>leather / leather products</t>
        </is>
      </c>
      <c r="E2" s="31" t="inlineStr">
        <is>
          <t>midcap</t>
        </is>
      </c>
      <c r="F2" s="31" t="n">
        <v>10952.05</v>
      </c>
      <c r="G2" s="31" t="n">
        <v>439.95</v>
      </c>
      <c r="H2" s="31" t="n">
        <v>19.99</v>
      </c>
      <c r="I2" s="31" t="n">
        <v>35746124</v>
      </c>
      <c r="J2" s="31" t="inlineStr">
        <is>
          <t>530517</t>
        </is>
      </c>
    </row>
    <row r="3">
      <c r="A3" s="31" t="inlineStr">
        <is>
          <t>RESPONIND</t>
        </is>
      </c>
      <c r="B3" s="31" t="inlineStr">
        <is>
          <t>Responsive Industries Limited</t>
        </is>
      </c>
      <c r="C3" s="31" t="inlineStr">
        <is>
          <t>plastic products</t>
        </is>
      </c>
      <c r="D3" s="31" t="inlineStr">
        <is>
          <t>plastics products</t>
        </is>
      </c>
      <c r="E3" s="31" t="inlineStr">
        <is>
          <t>midcap</t>
        </is>
      </c>
      <c r="F3" s="31" t="n">
        <v>5881.38</v>
      </c>
      <c r="G3" s="31" t="n">
        <v>220.6</v>
      </c>
      <c r="H3" s="31" t="n">
        <v>15.75</v>
      </c>
      <c r="I3" s="31" t="n">
        <v>27832498</v>
      </c>
      <c r="J3" s="31" t="inlineStr">
        <is>
          <t>505509</t>
        </is>
      </c>
    </row>
    <row r="4">
      <c r="A4" s="31" t="inlineStr">
        <is>
          <t>AIIL</t>
        </is>
      </c>
      <c r="B4" s="31" t="inlineStr">
        <is>
          <t>Authum Investment &amp; Infrastructure Ltd</t>
        </is>
      </c>
      <c r="C4" s="31" t="inlineStr">
        <is>
          <t>financials</t>
        </is>
      </c>
      <c r="D4" s="31" t="inlineStr">
        <is>
          <t>finance &amp; investments</t>
        </is>
      </c>
      <c r="E4" s="31" t="inlineStr">
        <is>
          <t>largecap</t>
        </is>
      </c>
      <c r="F4" s="31" t="n">
        <v>48490.78</v>
      </c>
      <c r="G4" s="31" t="n">
        <v>571</v>
      </c>
      <c r="H4" s="31" t="n">
        <v>9.880000000000001</v>
      </c>
      <c r="I4" s="31" t="n">
        <v>2640042</v>
      </c>
      <c r="J4" s="31" t="inlineStr">
        <is>
          <t>539177</t>
        </is>
      </c>
    </row>
    <row r="5">
      <c r="A5" s="31" t="inlineStr">
        <is>
          <t>FEDERALBNK</t>
        </is>
      </c>
      <c r="B5" s="31" t="inlineStr">
        <is>
          <t>The Federal Bank  Limited</t>
        </is>
      </c>
      <c r="C5" s="31" t="inlineStr">
        <is>
          <t>bank</t>
        </is>
      </c>
      <c r="D5" s="31" t="inlineStr">
        <is>
          <t>banks - private sector</t>
        </is>
      </c>
      <c r="E5" s="31" t="inlineStr">
        <is>
          <t>largecap</t>
        </is>
      </c>
      <c r="F5" s="31" t="n">
        <v>86003.45</v>
      </c>
      <c r="G5" s="31" t="n">
        <v>349</v>
      </c>
      <c r="H5" s="31" t="n">
        <v>6.86</v>
      </c>
      <c r="I5" s="31" t="n">
        <v>44155126</v>
      </c>
      <c r="J5" s="31" t="inlineStr">
        <is>
          <t>500469</t>
        </is>
      </c>
    </row>
    <row r="6">
      <c r="A6" s="31" t="inlineStr">
        <is>
          <t>KALYANKJIL</t>
        </is>
      </c>
      <c r="B6" s="31" t="inlineStr">
        <is>
          <t>Kalyan Jewellers India Ltd</t>
        </is>
      </c>
      <c r="C6" s="31" t="inlineStr">
        <is>
          <t>consumer discretionary</t>
        </is>
      </c>
      <c r="D6" s="31" t="inlineStr">
        <is>
          <t>diamond cutting / jewellery</t>
        </is>
      </c>
      <c r="E6" s="31" t="inlineStr">
        <is>
          <t>largecap</t>
        </is>
      </c>
      <c r="F6" s="31" t="n">
        <v>59320.6</v>
      </c>
      <c r="G6" s="31" t="n">
        <v>574.4</v>
      </c>
      <c r="H6" s="31" t="n">
        <v>5.09</v>
      </c>
      <c r="I6" s="31" t="n">
        <v>53915916</v>
      </c>
      <c r="J6" s="31" t="inlineStr">
        <is>
          <t>543278</t>
        </is>
      </c>
    </row>
    <row r="7">
      <c r="A7" s="31" t="inlineStr">
        <is>
          <t>MENONBE</t>
        </is>
      </c>
      <c r="B7" s="31" t="inlineStr">
        <is>
          <t>Menon Bearings Limited</t>
        </is>
      </c>
      <c r="C7" s="31" t="inlineStr">
        <is>
          <t>auto</t>
        </is>
      </c>
      <c r="D7" s="31" t="inlineStr">
        <is>
          <t>auto ancillaries</t>
        </is>
      </c>
      <c r="E7" s="31" t="inlineStr">
        <is>
          <t>smallcap</t>
        </is>
      </c>
      <c r="F7" s="31" t="n">
        <v>1118.95</v>
      </c>
      <c r="G7" s="31" t="n">
        <v>199.67</v>
      </c>
      <c r="H7" s="31" t="n">
        <v>5</v>
      </c>
      <c r="I7" s="31" t="n">
        <v>231637</v>
      </c>
      <c r="J7" s="31" t="inlineStr">
        <is>
          <t>523828</t>
        </is>
      </c>
    </row>
    <row r="8">
      <c r="A8" s="31" t="inlineStr">
        <is>
          <t>SVLL</t>
        </is>
      </c>
      <c r="B8" s="31" t="inlineStr">
        <is>
          <t>Shree Vasu Logistics Ltd</t>
        </is>
      </c>
      <c r="C8" s="31" t="inlineStr">
        <is>
          <t>transportation</t>
        </is>
      </c>
      <c r="D8" s="31" t="inlineStr">
        <is>
          <t>miscellaneous</t>
        </is>
      </c>
      <c r="E8" s="31" t="inlineStr">
        <is>
          <t>smallcap</t>
        </is>
      </c>
      <c r="F8" s="31" t="n">
        <v>856.63</v>
      </c>
      <c r="G8" s="31" t="n">
        <v>745.3</v>
      </c>
      <c r="H8" s="31" t="n">
        <v>4.99</v>
      </c>
      <c r="I8" s="31" t="n">
        <v>18844</v>
      </c>
      <c r="J8" s="31" t="inlineStr">
        <is>
          <t>535084</t>
        </is>
      </c>
    </row>
    <row r="9">
      <c r="A9" s="31" t="inlineStr">
        <is>
          <t>KANORICHEM</t>
        </is>
      </c>
      <c r="B9" s="31" t="inlineStr">
        <is>
          <t>Kanoria Chemicals &amp; Industries Limited</t>
        </is>
      </c>
      <c r="C9" s="31" t="inlineStr">
        <is>
          <t>chemicals</t>
        </is>
      </c>
      <c r="D9" s="31" t="inlineStr">
        <is>
          <t>chemicals</t>
        </is>
      </c>
      <c r="E9" s="31" t="inlineStr">
        <is>
          <t>smallcap</t>
        </is>
      </c>
      <c r="F9" s="31" t="n">
        <v>618.87</v>
      </c>
      <c r="G9" s="31" t="n">
        <v>141.64</v>
      </c>
      <c r="H9" s="31" t="n">
        <v>4.9</v>
      </c>
      <c r="I9" s="31" t="n">
        <v>83961</v>
      </c>
      <c r="J9" s="31" t="inlineStr">
        <is>
          <t>506525</t>
        </is>
      </c>
    </row>
    <row r="10">
      <c r="A10" s="31" t="inlineStr">
        <is>
          <t>MIRZAINT</t>
        </is>
      </c>
      <c r="B10" s="31" t="inlineStr">
        <is>
          <t>Mirza International Limited</t>
        </is>
      </c>
      <c r="C10" s="31" t="inlineStr">
        <is>
          <t>consumer discretionary</t>
        </is>
      </c>
      <c r="D10" s="31" t="inlineStr">
        <is>
          <t>leather / leather products</t>
        </is>
      </c>
      <c r="E10" s="31" t="inlineStr">
        <is>
          <t>smallcap</t>
        </is>
      </c>
      <c r="F10" s="31" t="n">
        <v>535.39</v>
      </c>
      <c r="G10" s="31" t="n">
        <v>38.74</v>
      </c>
      <c r="H10" s="31" t="n">
        <v>4.2</v>
      </c>
      <c r="I10" s="31" t="n">
        <v>3450128</v>
      </c>
      <c r="J10" s="31" t="inlineStr">
        <is>
          <t>526642</t>
        </is>
      </c>
    </row>
    <row r="11">
      <c r="A11" s="31" t="inlineStr">
        <is>
          <t>VAIBHAVGBL</t>
        </is>
      </c>
      <c r="B11" s="31" t="inlineStr">
        <is>
          <t>Vaibhav Global Limited</t>
        </is>
      </c>
      <c r="C11" s="31" t="inlineStr">
        <is>
          <t>consumer discretionary</t>
        </is>
      </c>
      <c r="D11" s="31" t="inlineStr">
        <is>
          <t>diamond cutting / jewellery</t>
        </is>
      </c>
      <c r="E11" s="31" t="inlineStr">
        <is>
          <t>smallcap</t>
        </is>
      </c>
      <c r="F11" s="31" t="n">
        <v>4378.34</v>
      </c>
      <c r="G11" s="31" t="n">
        <v>262.07</v>
      </c>
      <c r="H11" s="31" t="n">
        <v>4.15</v>
      </c>
      <c r="I11" s="31" t="n">
        <v>866511</v>
      </c>
      <c r="J11" s="31" t="inlineStr">
        <is>
          <t>532156</t>
        </is>
      </c>
    </row>
    <row r="12">
      <c r="A12" s="31" t="inlineStr">
        <is>
          <t>TECHM</t>
        </is>
      </c>
      <c r="B12" s="31" t="inlineStr">
        <is>
          <t>Tech Mahindra Limited</t>
        </is>
      </c>
      <c r="C12" s="31" t="inlineStr">
        <is>
          <t>i.t</t>
        </is>
      </c>
      <c r="D12" s="31" t="inlineStr">
        <is>
          <t>computers - software - large</t>
        </is>
      </c>
      <c r="E12" s="31" t="inlineStr">
        <is>
          <t>largecap</t>
        </is>
      </c>
      <c r="F12" s="31" t="n">
        <v>154119.23</v>
      </c>
      <c r="G12" s="31" t="n">
        <v>1572.9</v>
      </c>
      <c r="H12" s="31" t="n">
        <v>4.14</v>
      </c>
      <c r="I12" s="31" t="n">
        <v>10632264</v>
      </c>
      <c r="J12" s="31" t="inlineStr">
        <is>
          <t>532755</t>
        </is>
      </c>
    </row>
    <row r="13">
      <c r="A13" s="31" t="inlineStr">
        <is>
          <t>BHARATFORG</t>
        </is>
      </c>
      <c r="B13" s="31" t="inlineStr">
        <is>
          <t>Bharat Forge Limited</t>
        </is>
      </c>
      <c r="C13" s="31" t="inlineStr">
        <is>
          <t>industrials</t>
        </is>
      </c>
      <c r="D13" s="31" t="inlineStr">
        <is>
          <t>castings &amp; forgings</t>
        </is>
      </c>
      <c r="E13" s="31" t="inlineStr">
        <is>
          <t>largecap</t>
        </is>
      </c>
      <c r="F13" s="31" t="n">
        <v>104725.31</v>
      </c>
      <c r="G13" s="31" t="n">
        <v>2190.5</v>
      </c>
      <c r="H13" s="31" t="n">
        <v>4.08</v>
      </c>
      <c r="I13" s="31" t="n">
        <v>1942065</v>
      </c>
      <c r="J13" s="31" t="inlineStr">
        <is>
          <t>500493</t>
        </is>
      </c>
    </row>
    <row r="14">
      <c r="A14" s="31" t="inlineStr">
        <is>
          <t>INDOBORAX</t>
        </is>
      </c>
      <c r="B14" s="31" t="inlineStr">
        <is>
          <t>Indo Borax &amp; Chemicals Ltd</t>
        </is>
      </c>
      <c r="C14" s="31" t="inlineStr">
        <is>
          <t>chemicals</t>
        </is>
      </c>
      <c r="D14" s="31" t="inlineStr">
        <is>
          <t>chemicals</t>
        </is>
      </c>
      <c r="E14" s="31" t="inlineStr">
        <is>
          <t>smallcap</t>
        </is>
      </c>
      <c r="F14" s="31" t="n">
        <v>1494.43</v>
      </c>
      <c r="G14" s="31" t="n">
        <v>465.7</v>
      </c>
      <c r="H14" s="31" t="n">
        <v>4.07</v>
      </c>
      <c r="I14" s="31" t="n">
        <v>486648</v>
      </c>
      <c r="J14" s="31" t="inlineStr">
        <is>
          <t>524342</t>
        </is>
      </c>
    </row>
    <row r="15">
      <c r="A15" s="31" t="inlineStr">
        <is>
          <t>AEGISLOG</t>
        </is>
      </c>
      <c r="B15" s="31" t="inlineStr">
        <is>
          <t>Aegis Logistics Ltd</t>
        </is>
      </c>
      <c r="C15" s="31" t="inlineStr">
        <is>
          <t>services</t>
        </is>
      </c>
      <c r="D15" s="31" t="inlineStr">
        <is>
          <t>trading</t>
        </is>
      </c>
      <c r="E15" s="31" t="inlineStr">
        <is>
          <t>largecap</t>
        </is>
      </c>
      <c r="F15" s="31" t="n">
        <v>47353.41</v>
      </c>
      <c r="G15" s="31" t="n">
        <v>1349.1</v>
      </c>
      <c r="H15" s="31" t="n">
        <v>3.98</v>
      </c>
      <c r="I15" s="31" t="n">
        <v>2812560</v>
      </c>
      <c r="J15" s="31" t="inlineStr">
        <is>
          <t>500003</t>
        </is>
      </c>
    </row>
    <row r="16">
      <c r="A16" s="31" t="inlineStr">
        <is>
          <t>AYMSYNTEX</t>
        </is>
      </c>
      <c r="B16" s="31" t="inlineStr">
        <is>
          <t>Aym Syntex Limited</t>
        </is>
      </c>
      <c r="C16" s="31" t="inlineStr">
        <is>
          <t>textiles</t>
        </is>
      </c>
      <c r="D16" s="31" t="inlineStr">
        <is>
          <t>textiles - processing</t>
        </is>
      </c>
      <c r="E16" s="31" t="inlineStr">
        <is>
          <t>smallcap</t>
        </is>
      </c>
      <c r="F16" s="31" t="n">
        <v>1435.52</v>
      </c>
      <c r="G16" s="31" t="n">
        <v>244.91</v>
      </c>
      <c r="H16" s="31" t="n">
        <v>3.81</v>
      </c>
      <c r="I16" s="31" t="n">
        <v>34732</v>
      </c>
      <c r="J16" s="31" t="inlineStr">
        <is>
          <t>508933</t>
        </is>
      </c>
    </row>
    <row r="17">
      <c r="A17" s="31" t="inlineStr">
        <is>
          <t>MBAPL</t>
        </is>
      </c>
      <c r="B17" s="31" t="inlineStr">
        <is>
          <t>Madhya Bharat Agro Products Ltd</t>
        </is>
      </c>
      <c r="C17" s="31" t="inlineStr">
        <is>
          <t>chemicals</t>
        </is>
      </c>
      <c r="D17" s="31" t="inlineStr">
        <is>
          <t>fertilizers</t>
        </is>
      </c>
      <c r="E17" s="31" t="inlineStr">
        <is>
          <t>smallcap</t>
        </is>
      </c>
      <c r="F17" s="31" t="n">
        <v>1193.48</v>
      </c>
      <c r="G17" s="31" t="n">
        <v>136.2</v>
      </c>
      <c r="H17" s="31" t="n">
        <v>3.5</v>
      </c>
      <c r="I17" s="31" t="n">
        <v>1264418</v>
      </c>
      <c r="J17" s="31" t="inlineStr">
        <is>
          <t>538370</t>
        </is>
      </c>
    </row>
    <row r="18">
      <c r="A18" s="31" t="inlineStr">
        <is>
          <t>SHAREINDIA</t>
        </is>
      </c>
      <c r="B18" s="31" t="inlineStr">
        <is>
          <t>Share India Securities Ltd</t>
        </is>
      </c>
      <c r="C18" s="31" t="inlineStr">
        <is>
          <t>financials</t>
        </is>
      </c>
      <c r="D18" s="31" t="inlineStr">
        <is>
          <t>finance &amp; investments</t>
        </is>
      </c>
      <c r="E18" s="31" t="inlineStr">
        <is>
          <t>smallcap</t>
        </is>
      </c>
      <c r="F18" s="31" t="n">
        <v>3878.46</v>
      </c>
      <c r="G18" s="31" t="n">
        <v>177.24</v>
      </c>
      <c r="H18" s="31" t="n">
        <v>3.49</v>
      </c>
      <c r="I18" s="31" t="n">
        <v>5547369</v>
      </c>
      <c r="J18" s="31" t="inlineStr">
        <is>
          <t>540725</t>
        </is>
      </c>
    </row>
    <row r="19">
      <c r="A19" s="31" t="inlineStr">
        <is>
          <t>EXIDEIND</t>
        </is>
      </c>
      <c r="B19" s="31" t="inlineStr">
        <is>
          <t>Exide Industries Limited</t>
        </is>
      </c>
      <c r="C19" s="31" t="inlineStr">
        <is>
          <t>auto</t>
        </is>
      </c>
      <c r="D19" s="31" t="inlineStr">
        <is>
          <t>auto ancillaries</t>
        </is>
      </c>
      <c r="E19" s="31" t="inlineStr">
        <is>
          <t>largecap</t>
        </is>
      </c>
      <c r="F19" s="31" t="n">
        <v>36992</v>
      </c>
      <c r="G19" s="31" t="n">
        <v>435.2</v>
      </c>
      <c r="H19" s="31" t="n">
        <v>3.3</v>
      </c>
      <c r="I19" s="31" t="n">
        <v>12389278</v>
      </c>
      <c r="J19" s="31" t="inlineStr">
        <is>
          <t>500086</t>
        </is>
      </c>
    </row>
    <row r="20">
      <c r="A20" s="31" t="inlineStr">
        <is>
          <t>CONSOFINVT</t>
        </is>
      </c>
      <c r="B20" s="31" t="inlineStr">
        <is>
          <t>Consolidated Finvest &amp; Holdings Limited</t>
        </is>
      </c>
      <c r="C20" s="31" t="inlineStr">
        <is>
          <t>financials</t>
        </is>
      </c>
      <c r="D20" s="31" t="inlineStr">
        <is>
          <t>finance &amp; investments</t>
        </is>
      </c>
      <c r="E20" s="31" t="inlineStr">
        <is>
          <t>smallcap</t>
        </is>
      </c>
      <c r="F20" s="31" t="n">
        <v>901.9400000000001</v>
      </c>
      <c r="G20" s="31" t="n">
        <v>279.01</v>
      </c>
      <c r="H20" s="31" t="n">
        <v>3.29</v>
      </c>
      <c r="I20" s="31" t="n">
        <v>37496</v>
      </c>
      <c r="J20" s="31" t="inlineStr">
        <is>
          <t>500226</t>
        </is>
      </c>
    </row>
    <row r="21">
      <c r="A21" s="31" t="inlineStr">
        <is>
          <t>RUBYMILLS</t>
        </is>
      </c>
      <c r="B21" s="31" t="inlineStr">
        <is>
          <t>The Ruby Mills Limited</t>
        </is>
      </c>
      <c r="C21" s="31" t="inlineStr">
        <is>
          <t>textiles</t>
        </is>
      </c>
      <c r="D21" s="31" t="inlineStr">
        <is>
          <t>textiles - composite</t>
        </is>
      </c>
      <c r="E21" s="31" t="inlineStr">
        <is>
          <t>smallcap</t>
        </is>
      </c>
      <c r="F21" s="31" t="n">
        <v>1383.08</v>
      </c>
      <c r="G21" s="31" t="n">
        <v>413.6</v>
      </c>
      <c r="H21" s="31" t="n">
        <v>3.16</v>
      </c>
      <c r="I21" s="31" t="n">
        <v>66281</v>
      </c>
      <c r="J21" s="31" t="inlineStr">
        <is>
          <t>503169</t>
        </is>
      </c>
    </row>
    <row r="22">
      <c r="A22" s="31" t="inlineStr">
        <is>
          <t>SONACOMS</t>
        </is>
      </c>
      <c r="B22" s="31" t="inlineStr">
        <is>
          <t>Sona BLW Precision Forgings Ltd</t>
        </is>
      </c>
      <c r="C22" s="31" t="inlineStr">
        <is>
          <t>auto</t>
        </is>
      </c>
      <c r="D22" s="31" t="inlineStr">
        <is>
          <t>auto ancillaries</t>
        </is>
      </c>
      <c r="E22" s="31" t="inlineStr">
        <is>
          <t>largecap</t>
        </is>
      </c>
      <c r="F22" s="31" t="n">
        <v>43830.88</v>
      </c>
      <c r="G22" s="31" t="n">
        <v>704.85</v>
      </c>
      <c r="H22" s="31" t="n">
        <v>3.14</v>
      </c>
      <c r="I22" s="31" t="n">
        <v>4862624</v>
      </c>
      <c r="J22" s="31" t="inlineStr">
        <is>
          <t>543300</t>
        </is>
      </c>
    </row>
    <row r="23">
      <c r="A23" s="31" t="inlineStr">
        <is>
          <t>INDIACEM</t>
        </is>
      </c>
      <c r="B23" s="31" t="inlineStr">
        <is>
          <t>The India Cements Limited</t>
        </is>
      </c>
      <c r="C23" s="31" t="inlineStr">
        <is>
          <t>building materials</t>
        </is>
      </c>
      <c r="D23" s="31" t="inlineStr">
        <is>
          <t>cement - south india</t>
        </is>
      </c>
      <c r="E23" s="31" t="inlineStr">
        <is>
          <t>midcap</t>
        </is>
      </c>
      <c r="F23" s="31" t="n">
        <v>12715.08</v>
      </c>
      <c r="G23" s="31" t="n">
        <v>410.3</v>
      </c>
      <c r="H23" s="31" t="n">
        <v>3.13</v>
      </c>
      <c r="I23" s="31" t="n">
        <v>1173676</v>
      </c>
      <c r="J23" s="31" t="inlineStr">
        <is>
          <t>530005</t>
        </is>
      </c>
    </row>
    <row r="24">
      <c r="A24" s="31" t="inlineStr">
        <is>
          <t>BEPL</t>
        </is>
      </c>
      <c r="B24" s="31" t="inlineStr">
        <is>
          <t>Bhansali Engineering Polymers Limited</t>
        </is>
      </c>
      <c r="C24" s="31" t="inlineStr">
        <is>
          <t>energy</t>
        </is>
      </c>
      <c r="D24" s="31" t="inlineStr">
        <is>
          <t>petrochemicals</t>
        </is>
      </c>
      <c r="E24" s="31" t="inlineStr">
        <is>
          <t>smallcap</t>
        </is>
      </c>
      <c r="F24" s="31" t="n">
        <v>2814.59</v>
      </c>
      <c r="G24" s="31" t="n">
        <v>113.1</v>
      </c>
      <c r="H24" s="31" t="n">
        <v>3.12</v>
      </c>
      <c r="I24" s="31" t="n">
        <v>3105406</v>
      </c>
      <c r="J24" s="31" t="inlineStr">
        <is>
          <t>500052</t>
        </is>
      </c>
    </row>
    <row r="25">
      <c r="A25" s="31" t="inlineStr">
        <is>
          <t>PRESTIGE</t>
        </is>
      </c>
      <c r="B25" s="31" t="inlineStr">
        <is>
          <t>Prestige Estates Projects Limited</t>
        </is>
      </c>
      <c r="C25" s="31" t="inlineStr">
        <is>
          <t>realty</t>
        </is>
      </c>
      <c r="D25" s="31" t="inlineStr">
        <is>
          <t>construction</t>
        </is>
      </c>
      <c r="E25" s="31" t="inlineStr">
        <is>
          <t>largecap</t>
        </is>
      </c>
      <c r="F25" s="31" t="n">
        <v>72922.63</v>
      </c>
      <c r="G25" s="31" t="n">
        <v>1693</v>
      </c>
      <c r="H25" s="31" t="n">
        <v>3.12</v>
      </c>
      <c r="I25" s="31" t="n">
        <v>1057341</v>
      </c>
      <c r="J25" s="31" t="inlineStr">
        <is>
          <t>533274</t>
        </is>
      </c>
    </row>
    <row r="26">
      <c r="A26" s="31" t="inlineStr">
        <is>
          <t>IKIO</t>
        </is>
      </c>
      <c r="B26" s="31" t="inlineStr">
        <is>
          <t>IKIO Lighting Ltd</t>
        </is>
      </c>
      <c r="C26" s="31" t="inlineStr">
        <is>
          <t>consumer discretionary</t>
        </is>
      </c>
      <c r="D26" s="31" t="inlineStr">
        <is>
          <t>electric equipment</t>
        </is>
      </c>
      <c r="E26" s="31" t="inlineStr">
        <is>
          <t>smallcap</t>
        </is>
      </c>
      <c r="F26" s="31" t="n">
        <v>1695.31</v>
      </c>
      <c r="G26" s="31" t="n">
        <v>219.37</v>
      </c>
      <c r="H26" s="31" t="n">
        <v>3.09</v>
      </c>
      <c r="I26" s="31" t="n">
        <v>11211570</v>
      </c>
      <c r="J26" s="31" t="inlineStr">
        <is>
          <t>543923</t>
        </is>
      </c>
    </row>
    <row r="27">
      <c r="A27" s="31" t="inlineStr">
        <is>
          <t>RATNAVEER</t>
        </is>
      </c>
      <c r="B27" s="31" t="inlineStr">
        <is>
          <t>Ratnaveer Precision Engineering Ltd</t>
        </is>
      </c>
      <c r="C27" s="31" t="inlineStr">
        <is>
          <t>metals &amp; mining</t>
        </is>
      </c>
      <c r="D27" s="31" t="inlineStr">
        <is>
          <t>steel - medium / small</t>
        </is>
      </c>
      <c r="E27" s="31" t="inlineStr">
        <is>
          <t>smallcap</t>
        </is>
      </c>
      <c r="F27" s="31" t="n">
        <v>1290.39</v>
      </c>
      <c r="G27" s="31" t="n">
        <v>180.66</v>
      </c>
      <c r="H27" s="31" t="n">
        <v>2.92</v>
      </c>
      <c r="I27" s="31" t="n">
        <v>925451</v>
      </c>
      <c r="J27" s="31" t="inlineStr">
        <is>
          <t>543978</t>
        </is>
      </c>
    </row>
    <row r="28">
      <c r="A28" s="31" t="inlineStr">
        <is>
          <t>BHAGYANGR</t>
        </is>
      </c>
      <c r="B28" s="31" t="inlineStr">
        <is>
          <t>Bhagyanagar India</t>
        </is>
      </c>
      <c r="C28" s="31" t="inlineStr">
        <is>
          <t>power &amp; utilities</t>
        </is>
      </c>
      <c r="D28" s="31" t="inlineStr">
        <is>
          <t>power generation and supply</t>
        </is>
      </c>
      <c r="E28" s="31" t="inlineStr">
        <is>
          <t>smallcap</t>
        </is>
      </c>
      <c r="F28" s="31" t="n">
        <v>1283.16</v>
      </c>
      <c r="G28" s="31" t="n">
        <v>401.05</v>
      </c>
      <c r="H28" s="31" t="n">
        <v>2.85</v>
      </c>
      <c r="I28" s="31" t="n">
        <v>125914</v>
      </c>
      <c r="J28" s="31" t="inlineStr">
        <is>
          <t>512296</t>
        </is>
      </c>
    </row>
    <row r="29">
      <c r="A29" s="31" t="inlineStr">
        <is>
          <t>J&amp;KBANK</t>
        </is>
      </c>
      <c r="B29" s="31" t="inlineStr">
        <is>
          <t>The Jammu &amp; Kashmir Bank Limited</t>
        </is>
      </c>
      <c r="C29" s="31" t="inlineStr">
        <is>
          <t>bank</t>
        </is>
      </c>
      <c r="D29" s="31" t="inlineStr">
        <is>
          <t>banks - private sector</t>
        </is>
      </c>
      <c r="E29" s="31" t="inlineStr">
        <is>
          <t>largecap</t>
        </is>
      </c>
      <c r="F29" s="31" t="n">
        <v>20117.5</v>
      </c>
      <c r="G29" s="31" t="n">
        <v>182.69</v>
      </c>
      <c r="H29" s="31" t="n">
        <v>2.79</v>
      </c>
      <c r="I29" s="31" t="n">
        <v>6437349</v>
      </c>
      <c r="J29" s="31" t="inlineStr">
        <is>
          <t>532209</t>
        </is>
      </c>
    </row>
    <row r="30">
      <c r="A30" s="31" t="inlineStr">
        <is>
          <t>MGEL</t>
        </is>
      </c>
      <c r="B30" s="31" t="inlineStr">
        <is>
          <t>Mangalam Global Enterprise Ltd</t>
        </is>
      </c>
      <c r="C30" s="31" t="inlineStr">
        <is>
          <t>services</t>
        </is>
      </c>
      <c r="D30" s="31" t="inlineStr">
        <is>
          <t>trading</t>
        </is>
      </c>
      <c r="E30" s="31" t="inlineStr">
        <is>
          <t>smallcap</t>
        </is>
      </c>
      <c r="F30" s="31" t="n">
        <v>543.77</v>
      </c>
      <c r="G30" s="31" t="n">
        <v>16.5</v>
      </c>
      <c r="H30" s="31" t="n">
        <v>2.74</v>
      </c>
      <c r="I30" s="31" t="n">
        <v>117797</v>
      </c>
      <c r="J30" s="31" t="inlineStr">
        <is>
          <t>535349</t>
        </is>
      </c>
    </row>
    <row r="31">
      <c r="A31" s="31" t="inlineStr">
        <is>
          <t>KAMDHENU</t>
        </is>
      </c>
      <c r="B31" s="31" t="inlineStr">
        <is>
          <t>Kamdhenu Limited</t>
        </is>
      </c>
      <c r="C31" s="31" t="inlineStr">
        <is>
          <t>metals &amp; mining</t>
        </is>
      </c>
      <c r="D31" s="31" t="inlineStr">
        <is>
          <t>steel - medium / small</t>
        </is>
      </c>
      <c r="E31" s="31" t="inlineStr">
        <is>
          <t>smallcap</t>
        </is>
      </c>
      <c r="F31" s="31" t="n">
        <v>945.4400000000001</v>
      </c>
      <c r="G31" s="31" t="n">
        <v>33.54</v>
      </c>
      <c r="H31" s="31" t="n">
        <v>2.69</v>
      </c>
      <c r="I31" s="31" t="n">
        <v>1061472</v>
      </c>
      <c r="J31" s="31" t="inlineStr">
        <is>
          <t>532741</t>
        </is>
      </c>
    </row>
    <row r="32">
      <c r="A32" s="31" t="inlineStr">
        <is>
          <t>HSCL</t>
        </is>
      </c>
      <c r="B32" s="31" t="inlineStr">
        <is>
          <t>Himadri Speciality Chemical Limited</t>
        </is>
      </c>
      <c r="C32" s="31" t="inlineStr">
        <is>
          <t>chemicals</t>
        </is>
      </c>
      <c r="D32" s="31" t="inlineStr">
        <is>
          <t>chemicals</t>
        </is>
      </c>
      <c r="E32" s="31" t="inlineStr">
        <is>
          <t>largecap</t>
        </is>
      </c>
      <c r="F32" s="31" t="n">
        <v>37414.28</v>
      </c>
      <c r="G32" s="31" t="n">
        <v>741.55</v>
      </c>
      <c r="H32" s="31" t="n">
        <v>2.66</v>
      </c>
      <c r="I32" s="31" t="n">
        <v>18316544</v>
      </c>
      <c r="J32" s="31" t="inlineStr">
        <is>
          <t>500184</t>
        </is>
      </c>
    </row>
    <row r="33">
      <c r="A33" s="31" t="inlineStr">
        <is>
          <t>KROSS</t>
        </is>
      </c>
      <c r="B33" s="31" t="inlineStr">
        <is>
          <t>Kross Ltd</t>
        </is>
      </c>
      <c r="C33" s="31" t="inlineStr">
        <is>
          <t>auto</t>
        </is>
      </c>
      <c r="D33" s="31" t="inlineStr">
        <is>
          <t>auto ancillaries</t>
        </is>
      </c>
      <c r="E33" s="31" t="inlineStr">
        <is>
          <t>smallcap</t>
        </is>
      </c>
      <c r="F33" s="31" t="n">
        <v>1240.19</v>
      </c>
      <c r="G33" s="31" t="n">
        <v>192.25</v>
      </c>
      <c r="H33" s="31" t="n">
        <v>2.66</v>
      </c>
      <c r="I33" s="31" t="n">
        <v>711623</v>
      </c>
      <c r="J33" s="31" t="inlineStr">
        <is>
          <t>544253</t>
        </is>
      </c>
    </row>
    <row r="34">
      <c r="A34" s="31" t="inlineStr">
        <is>
          <t>PPLPHARMA</t>
        </is>
      </c>
      <c r="B34" s="31" t="inlineStr">
        <is>
          <t>Piramal Pharma Ltd</t>
        </is>
      </c>
      <c r="C34" s="31" t="inlineStr">
        <is>
          <t>healthcare</t>
        </is>
      </c>
      <c r="D34" s="31" t="inlineStr">
        <is>
          <t>pharmaceuticals - indian - bulk drugs &amp; formln</t>
        </is>
      </c>
      <c r="E34" s="31" t="inlineStr">
        <is>
          <t>largecap</t>
        </is>
      </c>
      <c r="F34" s="31" t="n">
        <v>23887.05</v>
      </c>
      <c r="G34" s="31" t="n">
        <v>179.42</v>
      </c>
      <c r="H34" s="31" t="n">
        <v>2.65</v>
      </c>
      <c r="I34" s="31" t="n">
        <v>6700414</v>
      </c>
      <c r="J34" s="31" t="inlineStr">
        <is>
          <t>543635</t>
        </is>
      </c>
    </row>
    <row r="35">
      <c r="A35" s="31" t="inlineStr">
        <is>
          <t>TIMETECHNO</t>
        </is>
      </c>
      <c r="B35" s="31" t="inlineStr">
        <is>
          <t>Time Technoplast Limited</t>
        </is>
      </c>
      <c r="C35" s="31" t="inlineStr">
        <is>
          <t>plastic products</t>
        </is>
      </c>
      <c r="D35" s="31" t="inlineStr">
        <is>
          <t>plastics products</t>
        </is>
      </c>
      <c r="E35" s="31" t="inlineStr">
        <is>
          <t>midcap</t>
        </is>
      </c>
      <c r="F35" s="31" t="n">
        <v>10071.64</v>
      </c>
      <c r="G35" s="31" t="n">
        <v>204.03</v>
      </c>
      <c r="H35" s="31" t="n">
        <v>2.32</v>
      </c>
      <c r="I35" s="31" t="n">
        <v>7234384</v>
      </c>
      <c r="J35" s="31" t="inlineStr">
        <is>
          <t>532856</t>
        </is>
      </c>
    </row>
    <row r="36">
      <c r="A36" s="31" t="inlineStr">
        <is>
          <t>ADOR</t>
        </is>
      </c>
      <c r="B36" s="31" t="inlineStr">
        <is>
          <t>Ador Welding Ltd</t>
        </is>
      </c>
      <c r="C36" s="31" t="inlineStr">
        <is>
          <t>industrials</t>
        </is>
      </c>
      <c r="D36" s="31" t="inlineStr">
        <is>
          <t>electrodes - welding equipment</t>
        </is>
      </c>
      <c r="E36" s="31" t="inlineStr">
        <is>
          <t>smallcap</t>
        </is>
      </c>
      <c r="F36" s="31" t="n">
        <v>2408.72</v>
      </c>
      <c r="G36" s="31" t="n">
        <v>1384.1</v>
      </c>
      <c r="H36" s="31" t="n">
        <v>2.31</v>
      </c>
      <c r="I36" s="31" t="n">
        <v>70837</v>
      </c>
      <c r="J36" s="31" t="inlineStr">
        <is>
          <t>517041</t>
        </is>
      </c>
    </row>
    <row r="37">
      <c r="A37" s="31" t="inlineStr">
        <is>
          <t>APTUS</t>
        </is>
      </c>
      <c r="B37" s="31" t="inlineStr">
        <is>
          <t>Aptus Value Housing Finance India Ltd</t>
        </is>
      </c>
      <c r="C37" s="31" t="inlineStr">
        <is>
          <t>financials</t>
        </is>
      </c>
      <c r="D37" s="31" t="inlineStr">
        <is>
          <t>finance - housing</t>
        </is>
      </c>
      <c r="E37" s="31" t="inlineStr">
        <is>
          <t>midcap</t>
        </is>
      </c>
      <c r="F37" s="31" t="n">
        <v>15366.83</v>
      </c>
      <c r="G37" s="31" t="n">
        <v>306.85</v>
      </c>
      <c r="H37" s="31" t="n">
        <v>2.3</v>
      </c>
      <c r="I37" s="31" t="n">
        <v>1598128</v>
      </c>
      <c r="J37" s="31" t="inlineStr">
        <is>
          <t>543335</t>
        </is>
      </c>
    </row>
    <row r="38">
      <c r="A38" s="31" t="inlineStr">
        <is>
          <t>PTCIL</t>
        </is>
      </c>
      <c r="B38" s="31" t="inlineStr">
        <is>
          <t>PTC Industries Ltd</t>
        </is>
      </c>
      <c r="C38" s="31" t="inlineStr">
        <is>
          <t>industrials</t>
        </is>
      </c>
      <c r="D38" s="31" t="inlineStr">
        <is>
          <t>castings &amp; forgings</t>
        </is>
      </c>
      <c r="E38" s="31" t="inlineStr">
        <is>
          <t>largecap</t>
        </is>
      </c>
      <c r="F38" s="31" t="n">
        <v>26898.13</v>
      </c>
      <c r="G38" s="31" t="n">
        <v>17941</v>
      </c>
      <c r="H38" s="31" t="n">
        <v>2.21</v>
      </c>
      <c r="I38" s="31" t="n">
        <v>36937</v>
      </c>
      <c r="J38" s="31" t="inlineStr">
        <is>
          <t>539006</t>
        </is>
      </c>
    </row>
    <row r="39">
      <c r="A39" s="31" t="inlineStr">
        <is>
          <t>SUMEETINDS</t>
        </is>
      </c>
      <c r="B39" s="31" t="inlineStr">
        <is>
          <t>Sumeet Industries Limited</t>
        </is>
      </c>
      <c r="C39" s="31" t="inlineStr">
        <is>
          <t>textiles</t>
        </is>
      </c>
      <c r="D39" s="31" t="inlineStr">
        <is>
          <t>textiles - manmade</t>
        </is>
      </c>
      <c r="E39" s="31" t="inlineStr">
        <is>
          <t>smallcap</t>
        </is>
      </c>
      <c r="F39" s="31" t="n">
        <v>1788.45</v>
      </c>
      <c r="G39" s="31" t="n">
        <v>33.98</v>
      </c>
      <c r="H39" s="31" t="n">
        <v>2.16</v>
      </c>
      <c r="I39" s="31" t="n">
        <v>10375981</v>
      </c>
      <c r="J39" s="31" t="inlineStr">
        <is>
          <t>514211</t>
        </is>
      </c>
    </row>
    <row r="40">
      <c r="A40" s="31" t="inlineStr">
        <is>
          <t>BLSE</t>
        </is>
      </c>
      <c r="B40" s="31" t="inlineStr">
        <is>
          <t>BLS E-Services Ltd</t>
        </is>
      </c>
      <c r="C40" s="31" t="inlineStr">
        <is>
          <t>i.t</t>
        </is>
      </c>
      <c r="D40" s="31" t="inlineStr">
        <is>
          <t>computers - software - medium / small</t>
        </is>
      </c>
      <c r="E40" s="31" t="inlineStr">
        <is>
          <t>smallcap</t>
        </is>
      </c>
      <c r="F40" s="31" t="n">
        <v>2492.83</v>
      </c>
      <c r="G40" s="31" t="n">
        <v>274.37</v>
      </c>
      <c r="H40" s="31" t="n">
        <v>2.09</v>
      </c>
      <c r="I40" s="31" t="n">
        <v>1085011</v>
      </c>
      <c r="J40" s="31" t="inlineStr">
        <is>
          <t>544107</t>
        </is>
      </c>
    </row>
    <row r="41">
      <c r="A41" s="31" t="inlineStr">
        <is>
          <t>EPL</t>
        </is>
      </c>
      <c r="B41" s="31" t="inlineStr">
        <is>
          <t>EPL Ltd</t>
        </is>
      </c>
      <c r="C41" s="31" t="inlineStr">
        <is>
          <t>industrials</t>
        </is>
      </c>
      <c r="D41" s="31" t="inlineStr">
        <is>
          <t>packaging</t>
        </is>
      </c>
      <c r="E41" s="31" t="inlineStr">
        <is>
          <t>midcap</t>
        </is>
      </c>
      <c r="F41" s="31" t="n">
        <v>7670.58</v>
      </c>
      <c r="G41" s="31" t="n">
        <v>239.52</v>
      </c>
      <c r="H41" s="31" t="n">
        <v>2.08</v>
      </c>
      <c r="I41" s="31" t="n">
        <v>345872</v>
      </c>
      <c r="J41" s="31" t="inlineStr">
        <is>
          <t>500135</t>
        </is>
      </c>
    </row>
    <row r="42">
      <c r="A42" s="31" t="inlineStr">
        <is>
          <t>HUHTAMAKI</t>
        </is>
      </c>
      <c r="B42" s="31" t="inlineStr">
        <is>
          <t>Huhtamaki India Ltd</t>
        </is>
      </c>
      <c r="C42" s="31" t="inlineStr">
        <is>
          <t>industrials</t>
        </is>
      </c>
      <c r="D42" s="31" t="inlineStr">
        <is>
          <t>packaging</t>
        </is>
      </c>
      <c r="E42" s="31" t="inlineStr">
        <is>
          <t>smallcap</t>
        </is>
      </c>
      <c r="F42" s="31" t="n">
        <v>1793.19</v>
      </c>
      <c r="G42" s="31" t="n">
        <v>237.44</v>
      </c>
      <c r="H42" s="31" t="n">
        <v>2.04</v>
      </c>
      <c r="I42" s="31" t="n">
        <v>412200</v>
      </c>
      <c r="J42" s="31" t="inlineStr">
        <is>
          <t>509820</t>
        </is>
      </c>
    </row>
    <row r="43">
      <c r="A43" s="31" t="inlineStr">
        <is>
          <t>BAFNAPH</t>
        </is>
      </c>
      <c r="B43" s="31" t="inlineStr">
        <is>
          <t>Bafna Pharmaceuticals Ltd</t>
        </is>
      </c>
      <c r="C43" s="31" t="inlineStr">
        <is>
          <t>healthcare</t>
        </is>
      </c>
      <c r="D43" s="31" t="inlineStr">
        <is>
          <t>pharmaceuticals - indian - formulations</t>
        </is>
      </c>
      <c r="E43" s="31" t="inlineStr">
        <is>
          <t>smallcap</t>
        </is>
      </c>
      <c r="F43" s="31" t="n">
        <v>534.35</v>
      </c>
      <c r="G43" s="31" t="n">
        <v>225.88</v>
      </c>
      <c r="H43" s="31" t="n">
        <v>2</v>
      </c>
      <c r="I43" s="31" t="n">
        <v>5824</v>
      </c>
      <c r="J43" s="31" t="inlineStr">
        <is>
          <t>532989</t>
        </is>
      </c>
    </row>
    <row r="44">
      <c r="A44" s="31" t="inlineStr">
        <is>
          <t>LOKESHMACH</t>
        </is>
      </c>
      <c r="B44" s="31" t="inlineStr">
        <is>
          <t>Lokesh Machines Limited</t>
        </is>
      </c>
      <c r="C44" s="31" t="inlineStr">
        <is>
          <t>industrials</t>
        </is>
      </c>
      <c r="D44" s="31" t="inlineStr">
        <is>
          <t>engineering</t>
        </is>
      </c>
      <c r="E44" s="31" t="inlineStr">
        <is>
          <t>smallcap</t>
        </is>
      </c>
      <c r="F44" s="31" t="n">
        <v>702.47</v>
      </c>
      <c r="G44" s="31" t="n">
        <v>329.85</v>
      </c>
      <c r="H44" s="31" t="n">
        <v>1.99</v>
      </c>
      <c r="I44" s="31" t="n">
        <v>8762</v>
      </c>
      <c r="J44" s="31" t="inlineStr">
        <is>
          <t>532740</t>
        </is>
      </c>
    </row>
    <row r="45">
      <c r="A45" s="31" t="inlineStr">
        <is>
          <t>ADANIENSOL</t>
        </is>
      </c>
      <c r="B45" s="31" t="inlineStr">
        <is>
          <t>Adani Energy Solutions Ltd</t>
        </is>
      </c>
      <c r="C45" s="31" t="inlineStr">
        <is>
          <t>power &amp; utilities</t>
        </is>
      </c>
      <c r="D45" s="31" t="inlineStr">
        <is>
          <t>power generation and supply</t>
        </is>
      </c>
      <c r="E45" s="31" t="inlineStr">
        <is>
          <t>largecap</t>
        </is>
      </c>
      <c r="F45" s="31" t="n">
        <v>206932.95</v>
      </c>
      <c r="G45" s="31" t="n">
        <v>1722.6</v>
      </c>
      <c r="H45" s="31" t="n">
        <v>1.96</v>
      </c>
      <c r="I45" s="31" t="n">
        <v>2898703</v>
      </c>
      <c r="J45" s="31" t="inlineStr">
        <is>
          <t>539254</t>
        </is>
      </c>
    </row>
    <row r="46">
      <c r="A46" s="31" t="inlineStr">
        <is>
          <t>EICHERMOT</t>
        </is>
      </c>
      <c r="B46" s="31" t="inlineStr">
        <is>
          <t>Eicher Motors Limited</t>
        </is>
      </c>
      <c r="C46" s="31" t="inlineStr">
        <is>
          <t>auto</t>
        </is>
      </c>
      <c r="D46" s="31" t="inlineStr">
        <is>
          <t>automobiles - motorcycles / mopeds</t>
        </is>
      </c>
      <c r="E46" s="31" t="inlineStr">
        <is>
          <t>largecap</t>
        </is>
      </c>
      <c r="F46" s="31" t="n">
        <v>207477.55</v>
      </c>
      <c r="G46" s="31" t="n">
        <v>7563.5</v>
      </c>
      <c r="H46" s="31" t="n">
        <v>1.95</v>
      </c>
      <c r="I46" s="31" t="n">
        <v>489811</v>
      </c>
      <c r="J46" s="31" t="inlineStr">
        <is>
          <t>505200</t>
        </is>
      </c>
    </row>
    <row r="47">
      <c r="A47" s="31" t="inlineStr">
        <is>
          <t>KARURVYSYA</t>
        </is>
      </c>
      <c r="B47" s="31" t="inlineStr">
        <is>
          <t>Karur Vysya Bank Limited</t>
        </is>
      </c>
      <c r="C47" s="31" t="inlineStr">
        <is>
          <t>bank</t>
        </is>
      </c>
      <c r="D47" s="31" t="inlineStr">
        <is>
          <t>banks - private sector</t>
        </is>
      </c>
      <c r="E47" s="31" t="inlineStr">
        <is>
          <t>largecap</t>
        </is>
      </c>
      <c r="F47" s="31" t="n">
        <v>29946.7</v>
      </c>
      <c r="G47" s="31" t="n">
        <v>309.8</v>
      </c>
      <c r="H47" s="31" t="n">
        <v>1.86</v>
      </c>
      <c r="I47" s="31" t="n">
        <v>1820679</v>
      </c>
      <c r="J47" s="31" t="inlineStr">
        <is>
          <t>590003</t>
        </is>
      </c>
    </row>
    <row r="48">
      <c r="A48" s="31" t="inlineStr">
        <is>
          <t>TIRUPATIFL</t>
        </is>
      </c>
      <c r="B48" s="31" t="inlineStr">
        <is>
          <t>Tirupati Forge Ltd</t>
        </is>
      </c>
      <c r="C48" s="31" t="inlineStr">
        <is>
          <t>industrials</t>
        </is>
      </c>
      <c r="D48" s="31" t="inlineStr">
        <is>
          <t>castings &amp; forgings</t>
        </is>
      </c>
      <c r="E48" s="31" t="inlineStr">
        <is>
          <t>smallcap</t>
        </is>
      </c>
      <c r="F48" s="31" t="n">
        <v>880.6900000000001</v>
      </c>
      <c r="G48" s="31" t="n">
        <v>68.17</v>
      </c>
      <c r="H48" s="31" t="n">
        <v>1.85</v>
      </c>
      <c r="I48" s="31" t="n">
        <v>473957</v>
      </c>
      <c r="J48" s="31" t="inlineStr">
        <is>
          <t>535021</t>
        </is>
      </c>
    </row>
    <row r="49">
      <c r="A49" s="31" t="inlineStr">
        <is>
          <t>ICICIBANK</t>
        </is>
      </c>
      <c r="B49" s="31" t="inlineStr">
        <is>
          <t>Icici Bank Limited</t>
        </is>
      </c>
      <c r="C49" s="31" t="inlineStr">
        <is>
          <t>bank</t>
        </is>
      </c>
      <c r="D49" s="31" t="inlineStr">
        <is>
          <t>banks - private sector</t>
        </is>
      </c>
      <c r="E49" s="31" t="inlineStr">
        <is>
          <t>largecap</t>
        </is>
      </c>
      <c r="F49" s="31" t="n">
        <v>1036085.32</v>
      </c>
      <c r="G49" s="31" t="n">
        <v>1444.3</v>
      </c>
      <c r="H49" s="31" t="n">
        <v>1.84</v>
      </c>
      <c r="I49" s="31" t="n">
        <v>11112550</v>
      </c>
      <c r="J49" s="31" t="inlineStr">
        <is>
          <t>532174</t>
        </is>
      </c>
    </row>
    <row r="50">
      <c r="A50" s="31" t="inlineStr">
        <is>
          <t>IKS</t>
        </is>
      </c>
      <c r="B50" s="31" t="inlineStr">
        <is>
          <t>Inventurus Knowledge Solutions Ltd</t>
        </is>
      </c>
      <c r="C50" s="31" t="inlineStr">
        <is>
          <t>i.t</t>
        </is>
      </c>
      <c r="D50" s="31" t="inlineStr">
        <is>
          <t>computers - software - medium / small</t>
        </is>
      </c>
      <c r="E50" s="31" t="inlineStr">
        <is>
          <t>largecap</t>
        </is>
      </c>
      <c r="F50" s="31" t="n">
        <v>32549.14</v>
      </c>
      <c r="G50" s="31" t="n">
        <v>1897.1</v>
      </c>
      <c r="H50" s="31" t="n">
        <v>1.82</v>
      </c>
      <c r="I50" s="31" t="n">
        <v>144172</v>
      </c>
      <c r="J50" s="31" t="inlineStr">
        <is>
          <t>544309</t>
        </is>
      </c>
    </row>
    <row r="51">
      <c r="A51" s="31" t="inlineStr">
        <is>
          <t>OBEROIRLTY</t>
        </is>
      </c>
      <c r="B51" s="31" t="inlineStr">
        <is>
          <t>Oberoi Realty Limited</t>
        </is>
      </c>
      <c r="C51" s="31" t="inlineStr">
        <is>
          <t>realty</t>
        </is>
      </c>
      <c r="D51" s="31" t="inlineStr">
        <is>
          <t>construction</t>
        </is>
      </c>
      <c r="E51" s="31" t="inlineStr">
        <is>
          <t>largecap</t>
        </is>
      </c>
      <c r="F51" s="31" t="n">
        <v>68895.35000000001</v>
      </c>
      <c r="G51" s="31" t="n">
        <v>1894.8</v>
      </c>
      <c r="H51" s="31" t="n">
        <v>1.81</v>
      </c>
      <c r="I51" s="31" t="n">
        <v>763441</v>
      </c>
      <c r="J51" s="31" t="inlineStr">
        <is>
          <t>533273</t>
        </is>
      </c>
    </row>
    <row r="52">
      <c r="A52" s="31" t="inlineStr">
        <is>
          <t>BAJFINANCE</t>
        </is>
      </c>
      <c r="B52" s="31" t="inlineStr">
        <is>
          <t>Bajaj Finance Limited</t>
        </is>
      </c>
      <c r="C52" s="31" t="inlineStr">
        <is>
          <t>financials</t>
        </is>
      </c>
      <c r="D52" s="31" t="inlineStr">
        <is>
          <t>finance &amp; investments</t>
        </is>
      </c>
      <c r="E52" s="31" t="inlineStr">
        <is>
          <t>largecap</t>
        </is>
      </c>
      <c r="F52" s="31" t="n">
        <v>657280.76</v>
      </c>
      <c r="G52" s="31" t="n">
        <v>1056.3</v>
      </c>
      <c r="H52" s="31" t="n">
        <v>1.8</v>
      </c>
      <c r="I52" s="31" t="n">
        <v>12882360</v>
      </c>
      <c r="J52" s="31" t="inlineStr">
        <is>
          <t>500034</t>
        </is>
      </c>
    </row>
    <row r="53">
      <c r="A53" s="31" t="inlineStr">
        <is>
          <t>CUB</t>
        </is>
      </c>
      <c r="B53" s="31" t="inlineStr">
        <is>
          <t>City Union Bank Limited</t>
        </is>
      </c>
      <c r="C53" s="31" t="inlineStr">
        <is>
          <t>bank</t>
        </is>
      </c>
      <c r="D53" s="31" t="inlineStr">
        <is>
          <t>banks - private sector</t>
        </is>
      </c>
      <c r="E53" s="31" t="inlineStr">
        <is>
          <t>midcap</t>
        </is>
      </c>
      <c r="F53" s="31" t="n">
        <v>16691.07</v>
      </c>
      <c r="G53" s="31" t="n">
        <v>224.63</v>
      </c>
      <c r="H53" s="31" t="n">
        <v>1.7</v>
      </c>
      <c r="I53" s="31" t="n">
        <v>1792388</v>
      </c>
      <c r="J53" s="31" t="inlineStr">
        <is>
          <t>532210</t>
        </is>
      </c>
    </row>
    <row r="54">
      <c r="A54" s="31" t="inlineStr">
        <is>
          <t>KICL</t>
        </is>
      </c>
      <c r="B54" s="31" t="inlineStr">
        <is>
          <t>Kalyani Investment Company Limited</t>
        </is>
      </c>
      <c r="C54" s="31" t="inlineStr">
        <is>
          <t>financials</t>
        </is>
      </c>
      <c r="D54" s="31" t="inlineStr">
        <is>
          <t>finance &amp; investments</t>
        </is>
      </c>
      <c r="E54" s="31" t="inlineStr">
        <is>
          <t>smallcap</t>
        </is>
      </c>
      <c r="F54" s="31" t="n">
        <v>2408.99</v>
      </c>
      <c r="G54" s="31" t="n">
        <v>5518.5</v>
      </c>
      <c r="H54" s="31" t="n">
        <v>1.6</v>
      </c>
      <c r="I54" s="31" t="n">
        <v>1694</v>
      </c>
      <c r="J54" s="31" t="inlineStr">
        <is>
          <t>533302</t>
        </is>
      </c>
    </row>
    <row r="55">
      <c r="A55" s="31" t="inlineStr">
        <is>
          <t>CAPITALSFB</t>
        </is>
      </c>
      <c r="B55" s="31" t="inlineStr">
        <is>
          <t>Capital Small Finance Bank Ltd</t>
        </is>
      </c>
      <c r="C55" s="31" t="inlineStr">
        <is>
          <t>bank</t>
        </is>
      </c>
      <c r="D55" s="31" t="inlineStr">
        <is>
          <t>banks - private sector</t>
        </is>
      </c>
      <c r="E55" s="31" t="inlineStr">
        <is>
          <t>smallcap</t>
        </is>
      </c>
      <c r="F55" s="31" t="n">
        <v>1381.91</v>
      </c>
      <c r="G55" s="31" t="n">
        <v>303.95</v>
      </c>
      <c r="H55" s="31" t="n">
        <v>1.54</v>
      </c>
      <c r="I55" s="31" t="n">
        <v>187364</v>
      </c>
      <c r="J55" s="31" t="n"/>
    </row>
    <row r="56">
      <c r="A56" s="31" t="inlineStr">
        <is>
          <t>TVSMOTOR</t>
        </is>
      </c>
      <c r="B56" s="31" t="inlineStr">
        <is>
          <t>Tvs Motor Company Limited</t>
        </is>
      </c>
      <c r="C56" s="31" t="inlineStr">
        <is>
          <t>auto</t>
        </is>
      </c>
      <c r="D56" s="31" t="inlineStr">
        <is>
          <t>automobiles - motorcycles / mopeds</t>
        </is>
      </c>
      <c r="E56" s="31" t="inlineStr">
        <is>
          <t>largecap</t>
        </is>
      </c>
      <c r="F56" s="31" t="n">
        <v>171896.02</v>
      </c>
      <c r="G56" s="31" t="n">
        <v>3618.2</v>
      </c>
      <c r="H56" s="31" t="n">
        <v>1.54</v>
      </c>
      <c r="I56" s="31" t="n">
        <v>825661</v>
      </c>
      <c r="J56" s="31" t="inlineStr">
        <is>
          <t>532343</t>
        </is>
      </c>
    </row>
    <row r="57">
      <c r="A57" s="31" t="inlineStr">
        <is>
          <t>ROLEXRINGS</t>
        </is>
      </c>
      <c r="B57" s="31" t="inlineStr">
        <is>
          <t>Rolex Rings Ltd</t>
        </is>
      </c>
      <c r="C57" s="31" t="inlineStr">
        <is>
          <t>auto</t>
        </is>
      </c>
      <c r="D57" s="31" t="inlineStr">
        <is>
          <t>auto ancillaries</t>
        </is>
      </c>
      <c r="E57" s="31" t="inlineStr">
        <is>
          <t>smallcap</t>
        </is>
      </c>
      <c r="F57" s="31" t="n">
        <v>4299.87</v>
      </c>
      <c r="G57" s="31" t="n">
        <v>157.89</v>
      </c>
      <c r="H57" s="31" t="n">
        <v>1.53</v>
      </c>
      <c r="I57" s="31" t="n">
        <v>1508407</v>
      </c>
      <c r="J57" s="31" t="inlineStr">
        <is>
          <t>543325</t>
        </is>
      </c>
    </row>
    <row r="58">
      <c r="A58" s="31" t="inlineStr">
        <is>
          <t>TFCILTD</t>
        </is>
      </c>
      <c r="B58" s="31" t="inlineStr">
        <is>
          <t>Tourism Finance Corporation Of India Limited</t>
        </is>
      </c>
      <c r="C58" s="31" t="inlineStr">
        <is>
          <t>financials</t>
        </is>
      </c>
      <c r="D58" s="31" t="inlineStr">
        <is>
          <t>finance - term-lending institutions</t>
        </is>
      </c>
      <c r="E58" s="31" t="inlineStr">
        <is>
          <t>smallcap</t>
        </is>
      </c>
      <c r="F58" s="31" t="n">
        <v>3936.7</v>
      </c>
      <c r="G58" s="31" t="n">
        <v>85.03</v>
      </c>
      <c r="H58" s="31" t="n">
        <v>1.52</v>
      </c>
      <c r="I58" s="31" t="n">
        <v>7217087</v>
      </c>
      <c r="J58" s="31" t="inlineStr">
        <is>
          <t>526650</t>
        </is>
      </c>
    </row>
    <row r="59">
      <c r="A59" s="31" t="inlineStr">
        <is>
          <t>HAL</t>
        </is>
      </c>
      <c r="B59" s="31" t="inlineStr">
        <is>
          <t>Hindustan Aeronautics Ltd</t>
        </is>
      </c>
      <c r="C59" s="31" t="inlineStr">
        <is>
          <t>aerospace &amp; defence</t>
        </is>
      </c>
      <c r="D59" s="31" t="inlineStr">
        <is>
          <t>engineering</t>
        </is>
      </c>
      <c r="E59" s="31" t="inlineStr">
        <is>
          <t>largecap</t>
        </is>
      </c>
      <c r="F59" s="31" t="n">
        <v>300995.56</v>
      </c>
      <c r="G59" s="31" t="n">
        <v>4500.7</v>
      </c>
      <c r="H59" s="31" t="n">
        <v>1.51</v>
      </c>
      <c r="I59" s="31" t="n">
        <v>658032</v>
      </c>
      <c r="J59" s="31" t="inlineStr">
        <is>
          <t>541154</t>
        </is>
      </c>
    </row>
    <row r="60">
      <c r="A60" s="31" t="inlineStr">
        <is>
          <t>TALBROAUTO</t>
        </is>
      </c>
      <c r="B60" s="31" t="inlineStr">
        <is>
          <t>Talbros Automotive Components Limited</t>
        </is>
      </c>
      <c r="C60" s="31" t="inlineStr">
        <is>
          <t>auto</t>
        </is>
      </c>
      <c r="D60" s="31" t="inlineStr">
        <is>
          <t>auto ancillaries</t>
        </is>
      </c>
      <c r="E60" s="31" t="inlineStr">
        <is>
          <t>smallcap</t>
        </is>
      </c>
      <c r="F60" s="31" t="n">
        <v>2500.61</v>
      </c>
      <c r="G60" s="31" t="n">
        <v>405.1</v>
      </c>
      <c r="H60" s="31" t="n">
        <v>1.49</v>
      </c>
      <c r="I60" s="31" t="n">
        <v>141816</v>
      </c>
      <c r="J60" s="31" t="inlineStr">
        <is>
          <t>505160</t>
        </is>
      </c>
    </row>
    <row r="61">
      <c r="A61" s="31" t="inlineStr">
        <is>
          <t>NGLFINE</t>
        </is>
      </c>
      <c r="B61" s="31" t="inlineStr">
        <is>
          <t>NGL Fine Chem Ltd</t>
        </is>
      </c>
      <c r="C61" s="31" t="inlineStr">
        <is>
          <t>healthcare</t>
        </is>
      </c>
      <c r="D61" s="31" t="inlineStr">
        <is>
          <t>pharmaceuticals - indian - bulk drugs</t>
        </is>
      </c>
      <c r="E61" s="31" t="inlineStr">
        <is>
          <t>smallcap</t>
        </is>
      </c>
      <c r="F61" s="31" t="n">
        <v>1934.9</v>
      </c>
      <c r="G61" s="31" t="n">
        <v>3131.9</v>
      </c>
      <c r="H61" s="31" t="n">
        <v>1.44</v>
      </c>
      <c r="I61" s="31" t="n">
        <v>5127</v>
      </c>
      <c r="J61" s="31" t="inlineStr">
        <is>
          <t>524774</t>
        </is>
      </c>
    </row>
    <row r="62">
      <c r="A62" s="31" t="inlineStr">
        <is>
          <t>RELTD</t>
        </is>
      </c>
      <c r="B62" s="31" t="inlineStr">
        <is>
          <t>Ravindra Energy Ltd</t>
        </is>
      </c>
      <c r="C62" s="31" t="inlineStr">
        <is>
          <t>industrials</t>
        </is>
      </c>
      <c r="D62" s="31" t="inlineStr">
        <is>
          <t>electric equipment</t>
        </is>
      </c>
      <c r="E62" s="31" t="inlineStr">
        <is>
          <t>smallcap</t>
        </is>
      </c>
      <c r="F62" s="31" t="n">
        <v>3525.44</v>
      </c>
      <c r="G62" s="31" t="n">
        <v>177.56</v>
      </c>
      <c r="H62" s="31" t="n">
        <v>1.39</v>
      </c>
      <c r="I62" s="31" t="n">
        <v>367203</v>
      </c>
      <c r="J62" s="31" t="inlineStr">
        <is>
          <t>504341</t>
        </is>
      </c>
    </row>
    <row r="63">
      <c r="A63" s="31" t="inlineStr">
        <is>
          <t>HOMEFIRST</t>
        </is>
      </c>
      <c r="B63" s="31" t="inlineStr">
        <is>
          <t>Home First Finance Company India Ltd</t>
        </is>
      </c>
      <c r="C63" s="31" t="inlineStr">
        <is>
          <t>financials</t>
        </is>
      </c>
      <c r="D63" s="31" t="inlineStr">
        <is>
          <t>finance - housing</t>
        </is>
      </c>
      <c r="E63" s="31" t="inlineStr">
        <is>
          <t>midcap</t>
        </is>
      </c>
      <c r="F63" s="31" t="n">
        <v>12955.45</v>
      </c>
      <c r="G63" s="31" t="n">
        <v>1241.8</v>
      </c>
      <c r="H63" s="31" t="n">
        <v>1.38</v>
      </c>
      <c r="I63" s="31" t="n">
        <v>66355</v>
      </c>
      <c r="J63" s="31" t="inlineStr">
        <is>
          <t>543259</t>
        </is>
      </c>
    </row>
    <row r="64">
      <c r="A64" s="31" t="inlineStr">
        <is>
          <t>SANGAMIND</t>
        </is>
      </c>
      <c r="B64" s="31" t="inlineStr">
        <is>
          <t>Sangam (india) Limited</t>
        </is>
      </c>
      <c r="C64" s="31" t="inlineStr">
        <is>
          <t>textiles</t>
        </is>
      </c>
      <c r="D64" s="31" t="inlineStr">
        <is>
          <t>textiles - spinning - synthetic / blended</t>
        </is>
      </c>
      <c r="E64" s="31" t="inlineStr">
        <is>
          <t>smallcap</t>
        </is>
      </c>
      <c r="F64" s="31" t="n">
        <v>3200.45</v>
      </c>
      <c r="G64" s="31" t="n">
        <v>636.95</v>
      </c>
      <c r="H64" s="31" t="n">
        <v>1.37</v>
      </c>
      <c r="I64" s="31" t="n">
        <v>126648</v>
      </c>
      <c r="J64" s="31" t="inlineStr">
        <is>
          <t>514234</t>
        </is>
      </c>
    </row>
    <row r="65">
      <c r="A65" s="31" t="inlineStr">
        <is>
          <t>INDUSINDBK</t>
        </is>
      </c>
      <c r="B65" s="31" t="inlineStr">
        <is>
          <t>Indusind Bank Limited</t>
        </is>
      </c>
      <c r="C65" s="31" t="inlineStr">
        <is>
          <t>bank</t>
        </is>
      </c>
      <c r="D65" s="31" t="inlineStr">
        <is>
          <t>banks - private sector</t>
        </is>
      </c>
      <c r="E65" s="31" t="inlineStr">
        <is>
          <t>largecap</t>
        </is>
      </c>
      <c r="F65" s="31" t="n">
        <v>80032.52</v>
      </c>
      <c r="G65" s="31" t="n">
        <v>1027.2</v>
      </c>
      <c r="H65" s="31" t="n">
        <v>1.35</v>
      </c>
      <c r="I65" s="31" t="n">
        <v>2257757</v>
      </c>
      <c r="J65" s="31" t="inlineStr">
        <is>
          <t>532187</t>
        </is>
      </c>
    </row>
    <row r="66">
      <c r="A66" s="31" t="inlineStr">
        <is>
          <t>IDFCFIRSTB</t>
        </is>
      </c>
      <c r="B66" s="31" t="inlineStr">
        <is>
          <t>IDFC First Bank Ltd</t>
        </is>
      </c>
      <c r="C66" s="31" t="inlineStr">
        <is>
          <t>bank</t>
        </is>
      </c>
      <c r="D66" s="31" t="inlineStr">
        <is>
          <t>banks - private sector</t>
        </is>
      </c>
      <c r="E66" s="31" t="inlineStr">
        <is>
          <t>largecap</t>
        </is>
      </c>
      <c r="F66" s="31" t="n">
        <v>69114.64999999999</v>
      </c>
      <c r="G66" s="31" t="n">
        <v>80.34999999999999</v>
      </c>
      <c r="H66" s="31" t="n">
        <v>1.35</v>
      </c>
      <c r="I66" s="31" t="n">
        <v>12269443</v>
      </c>
      <c r="J66" s="31" t="inlineStr">
        <is>
          <t>539437</t>
        </is>
      </c>
    </row>
    <row r="67">
      <c r="A67" s="31" t="inlineStr">
        <is>
          <t>POLYPLEX</t>
        </is>
      </c>
      <c r="B67" s="31" t="inlineStr">
        <is>
          <t>Polyplex Corporation Limited</t>
        </is>
      </c>
      <c r="C67" s="31" t="inlineStr">
        <is>
          <t>industrials</t>
        </is>
      </c>
      <c r="D67" s="31" t="inlineStr">
        <is>
          <t>packaging</t>
        </is>
      </c>
      <c r="E67" s="31" t="inlineStr">
        <is>
          <t>smallcap</t>
        </is>
      </c>
      <c r="F67" s="31" t="n">
        <v>3382.69</v>
      </c>
      <c r="G67" s="31" t="n">
        <v>1077.55</v>
      </c>
      <c r="H67" s="31" t="n">
        <v>1.29</v>
      </c>
      <c r="I67" s="31" t="n">
        <v>46297</v>
      </c>
      <c r="J67" s="31" t="inlineStr">
        <is>
          <t>524051</t>
        </is>
      </c>
    </row>
    <row r="68">
      <c r="A68" s="31" t="inlineStr">
        <is>
          <t>MOTILALOFS</t>
        </is>
      </c>
      <c r="B68" s="31" t="inlineStr">
        <is>
          <t>Motilal Oswal Financial Services Limited</t>
        </is>
      </c>
      <c r="C68" s="31" t="inlineStr">
        <is>
          <t>financials</t>
        </is>
      </c>
      <c r="D68" s="31" t="inlineStr">
        <is>
          <t>finance &amp; investments</t>
        </is>
      </c>
      <c r="E68" s="31" t="inlineStr">
        <is>
          <t>largecap</t>
        </is>
      </c>
      <c r="F68" s="31" t="n">
        <v>58233.61</v>
      </c>
      <c r="G68" s="31" t="n">
        <v>967.1</v>
      </c>
      <c r="H68" s="31" t="n">
        <v>1.28</v>
      </c>
      <c r="I68" s="31" t="n">
        <v>474373</v>
      </c>
      <c r="J68" s="31" t="inlineStr">
        <is>
          <t>532892</t>
        </is>
      </c>
    </row>
    <row r="69">
      <c r="A69" s="31" t="inlineStr">
        <is>
          <t>RBZJEWEL</t>
        </is>
      </c>
      <c r="B69" s="31" t="inlineStr">
        <is>
          <t>RBZ Jewellers Ltd</t>
        </is>
      </c>
      <c r="C69" s="31" t="inlineStr">
        <is>
          <t>consumer discretionary</t>
        </is>
      </c>
      <c r="D69" s="31" t="inlineStr">
        <is>
          <t>diamond cutting / jewellery</t>
        </is>
      </c>
      <c r="E69" s="31" t="inlineStr">
        <is>
          <t>smallcap</t>
        </is>
      </c>
      <c r="F69" s="31" t="n">
        <v>602.96</v>
      </c>
      <c r="G69" s="31" t="n">
        <v>150.74</v>
      </c>
      <c r="H69" s="31" t="n">
        <v>1.28</v>
      </c>
      <c r="I69" s="31" t="n">
        <v>122447</v>
      </c>
      <c r="J69" s="31" t="inlineStr">
        <is>
          <t>544060</t>
        </is>
      </c>
    </row>
    <row r="70">
      <c r="A70" s="31" t="inlineStr">
        <is>
          <t>SBIN</t>
        </is>
      </c>
      <c r="B70" s="31" t="inlineStr">
        <is>
          <t>State Bank Of India Ltd</t>
        </is>
      </c>
      <c r="C70" s="31" t="inlineStr">
        <is>
          <t>bank</t>
        </is>
      </c>
      <c r="D70" s="31" t="inlineStr">
        <is>
          <t>banks - public sector</t>
        </is>
      </c>
      <c r="E70" s="31" t="inlineStr">
        <is>
          <t>largecap</t>
        </is>
      </c>
      <c r="F70" s="31" t="n">
        <v>963953.39</v>
      </c>
      <c r="G70" s="31" t="n">
        <v>1044.3</v>
      </c>
      <c r="H70" s="31" t="n">
        <v>1.27</v>
      </c>
      <c r="I70" s="31" t="n">
        <v>8452780</v>
      </c>
      <c r="J70" s="31" t="inlineStr">
        <is>
          <t>500112</t>
        </is>
      </c>
    </row>
    <row r="71">
      <c r="A71" s="31" t="inlineStr">
        <is>
          <t>LLOYDSME</t>
        </is>
      </c>
      <c r="B71" s="31" t="inlineStr">
        <is>
          <t>Lloyds Metals &amp; Energy Ltd</t>
        </is>
      </c>
      <c r="C71" s="31" t="inlineStr">
        <is>
          <t>metals &amp; mining</t>
        </is>
      </c>
      <c r="D71" s="31" t="inlineStr">
        <is>
          <t>mining / minerals / metals</t>
        </is>
      </c>
      <c r="E71" s="31" t="inlineStr">
        <is>
          <t>largecap</t>
        </is>
      </c>
      <c r="F71" s="31" t="n">
        <v>105004.66</v>
      </c>
      <c r="G71" s="31" t="n">
        <v>1865.4</v>
      </c>
      <c r="H71" s="31" t="n">
        <v>1.19</v>
      </c>
      <c r="I71" s="31" t="n">
        <v>662493</v>
      </c>
      <c r="J71" s="31" t="inlineStr">
        <is>
          <t>512455</t>
        </is>
      </c>
    </row>
    <row r="72">
      <c r="A72" s="31" t="inlineStr">
        <is>
          <t>ATHERENERG</t>
        </is>
      </c>
      <c r="B72" s="31" t="inlineStr">
        <is>
          <t>Ather Energy Ltd</t>
        </is>
      </c>
      <c r="C72" s="31" t="inlineStr">
        <is>
          <t>auto</t>
        </is>
      </c>
      <c r="D72" s="31" t="inlineStr">
        <is>
          <t>automobiles - scooters and 3 - wheelers</t>
        </is>
      </c>
      <c r="E72" s="31" t="inlineStr">
        <is>
          <t>largecap</t>
        </is>
      </c>
      <c r="F72" s="31" t="n">
        <v>49123.77</v>
      </c>
      <c r="G72" s="31" t="n">
        <v>1282.2</v>
      </c>
      <c r="H72" s="31" t="n">
        <v>1.19</v>
      </c>
      <c r="I72" s="31" t="n">
        <v>4135957</v>
      </c>
      <c r="J72" s="31" t="inlineStr">
        <is>
          <t>544397</t>
        </is>
      </c>
    </row>
    <row r="73">
      <c r="A73" s="31" t="inlineStr">
        <is>
          <t>ETHOSLTD</t>
        </is>
      </c>
      <c r="B73" s="31" t="inlineStr">
        <is>
          <t>Ethos Ltd</t>
        </is>
      </c>
      <c r="C73" s="31" t="inlineStr">
        <is>
          <t>consumer discretionary</t>
        </is>
      </c>
      <c r="D73" s="31" t="inlineStr">
        <is>
          <t>trading</t>
        </is>
      </c>
      <c r="E73" s="31" t="inlineStr">
        <is>
          <t>midcap</t>
        </is>
      </c>
      <c r="F73" s="31" t="n">
        <v>7125.84</v>
      </c>
      <c r="G73" s="31" t="n">
        <v>2663.1</v>
      </c>
      <c r="H73" s="31" t="n">
        <v>1.13</v>
      </c>
      <c r="I73" s="31" t="n">
        <v>19093</v>
      </c>
      <c r="J73" s="31" t="inlineStr">
        <is>
          <t>543532</t>
        </is>
      </c>
    </row>
    <row r="74">
      <c r="A74" s="31" t="inlineStr">
        <is>
          <t>POONAWALLA</t>
        </is>
      </c>
      <c r="B74" s="31" t="inlineStr">
        <is>
          <t>Poonawalla Fincorp Ltd</t>
        </is>
      </c>
      <c r="C74" s="31" t="inlineStr">
        <is>
          <t>financials</t>
        </is>
      </c>
      <c r="D74" s="31" t="inlineStr">
        <is>
          <t>finance &amp; investments</t>
        </is>
      </c>
      <c r="E74" s="31" t="inlineStr">
        <is>
          <t>largecap</t>
        </is>
      </c>
      <c r="F74" s="31" t="n">
        <v>42026.2</v>
      </c>
      <c r="G74" s="31" t="n">
        <v>477.3</v>
      </c>
      <c r="H74" s="31" t="n">
        <v>1.09</v>
      </c>
      <c r="I74" s="31" t="n">
        <v>1447885</v>
      </c>
      <c r="J74" s="31" t="inlineStr">
        <is>
          <t>524000</t>
        </is>
      </c>
    </row>
    <row r="75">
      <c r="A75" s="31" t="inlineStr">
        <is>
          <t>BALRAMCHIN</t>
        </is>
      </c>
      <c r="B75" s="31" t="inlineStr">
        <is>
          <t>Balrampur Chini Mills Limited</t>
        </is>
      </c>
      <c r="C75" s="31" t="inlineStr">
        <is>
          <t>fmcg</t>
        </is>
      </c>
      <c r="D75" s="31" t="inlineStr">
        <is>
          <t>sugar</t>
        </is>
      </c>
      <c r="E75" s="31" t="inlineStr">
        <is>
          <t>midcap</t>
        </is>
      </c>
      <c r="F75" s="31" t="n">
        <v>12770.05</v>
      </c>
      <c r="G75" s="31" t="n">
        <v>604.45</v>
      </c>
      <c r="H75" s="31" t="n">
        <v>1.08</v>
      </c>
      <c r="I75" s="31" t="n">
        <v>1140005</v>
      </c>
      <c r="J75" s="31" t="inlineStr">
        <is>
          <t>500038</t>
        </is>
      </c>
    </row>
    <row r="76">
      <c r="A76" s="31" t="inlineStr">
        <is>
          <t>BAJAJ-AUTO</t>
        </is>
      </c>
      <c r="B76" s="31" t="inlineStr">
        <is>
          <t>Bajaj Auto Limited</t>
        </is>
      </c>
      <c r="C76" s="31" t="inlineStr">
        <is>
          <t>auto</t>
        </is>
      </c>
      <c r="D76" s="31" t="inlineStr">
        <is>
          <t>automobiles - scooters and 3 - wheelers</t>
        </is>
      </c>
      <c r="E76" s="31" t="inlineStr">
        <is>
          <t>largecap</t>
        </is>
      </c>
      <c r="F76" s="31" t="n">
        <v>291879.59</v>
      </c>
      <c r="G76" s="31" t="n">
        <v>10443</v>
      </c>
      <c r="H76" s="31" t="n">
        <v>1.08</v>
      </c>
      <c r="I76" s="31" t="n">
        <v>426656</v>
      </c>
      <c r="J76" s="31" t="inlineStr">
        <is>
          <t>532977</t>
        </is>
      </c>
    </row>
    <row r="77">
      <c r="A77" s="31" t="inlineStr">
        <is>
          <t>SAREGAMA</t>
        </is>
      </c>
      <c r="B77" s="31" t="inlineStr">
        <is>
          <t>Saregama India Limited</t>
        </is>
      </c>
      <c r="C77" s="31" t="inlineStr">
        <is>
          <t>media</t>
        </is>
      </c>
      <c r="D77" s="31" t="inlineStr">
        <is>
          <t>entertainment / electronic media software</t>
        </is>
      </c>
      <c r="E77" s="31" t="inlineStr">
        <is>
          <t>midcap</t>
        </is>
      </c>
      <c r="F77" s="31" t="n">
        <v>9541.18</v>
      </c>
      <c r="G77" s="31" t="n">
        <v>494.85</v>
      </c>
      <c r="H77" s="31" t="n">
        <v>1.08</v>
      </c>
      <c r="I77" s="31" t="n">
        <v>341267</v>
      </c>
      <c r="J77" s="31" t="inlineStr">
        <is>
          <t>532163</t>
        </is>
      </c>
    </row>
    <row r="78">
      <c r="A78" s="31" t="inlineStr">
        <is>
          <t>DALMIASUG</t>
        </is>
      </c>
      <c r="B78" s="31" t="inlineStr">
        <is>
          <t>Dalmia Bharat Sugar And Industries Limited</t>
        </is>
      </c>
      <c r="C78" s="31" t="inlineStr">
        <is>
          <t>fmcg</t>
        </is>
      </c>
      <c r="D78" s="31" t="inlineStr">
        <is>
          <t>sugar</t>
        </is>
      </c>
      <c r="E78" s="31" t="inlineStr">
        <is>
          <t>smallcap</t>
        </is>
      </c>
      <c r="F78" s="31" t="n">
        <v>2973.71</v>
      </c>
      <c r="G78" s="31" t="n">
        <v>367.4</v>
      </c>
      <c r="H78" s="31" t="n">
        <v>1</v>
      </c>
      <c r="I78" s="31" t="n">
        <v>360531</v>
      </c>
      <c r="J78" s="31" t="inlineStr">
        <is>
          <t>500097</t>
        </is>
      </c>
    </row>
    <row r="79">
      <c r="A79" s="31" t="inlineStr">
        <is>
          <t>ACUTAAS</t>
        </is>
      </c>
      <c r="B79" s="31" t="inlineStr">
        <is>
          <t>Acutaas Chemicals Ltd</t>
        </is>
      </c>
      <c r="C79" s="31" t="inlineStr">
        <is>
          <t>healthcare</t>
        </is>
      </c>
      <c r="D79" s="31" t="inlineStr">
        <is>
          <t>pharmaceuticals - indian - bulk drugs</t>
        </is>
      </c>
      <c r="E79" s="31" t="inlineStr">
        <is>
          <t>largecap</t>
        </is>
      </c>
      <c r="F79" s="31" t="n">
        <v>29632.43</v>
      </c>
      <c r="G79" s="31" t="n">
        <v>3619.4</v>
      </c>
      <c r="H79" s="31" t="n">
        <v>0.99</v>
      </c>
      <c r="I79" s="31" t="n">
        <v>187911</v>
      </c>
      <c r="J79" s="31" t="inlineStr">
        <is>
          <t>543349</t>
        </is>
      </c>
    </row>
    <row r="80">
      <c r="A80" s="31" t="inlineStr">
        <is>
          <t>OPTIEMUS</t>
        </is>
      </c>
      <c r="B80" s="31" t="inlineStr">
        <is>
          <t>Optiemus Infracom Ltd</t>
        </is>
      </c>
      <c r="C80" s="31" t="inlineStr">
        <is>
          <t>telecom</t>
        </is>
      </c>
      <c r="D80" s="31" t="inlineStr">
        <is>
          <t>trading</t>
        </is>
      </c>
      <c r="E80" s="31" t="inlineStr">
        <is>
          <t>midcap</t>
        </is>
      </c>
      <c r="F80" s="31" t="n">
        <v>5223.33</v>
      </c>
      <c r="G80" s="31" t="n">
        <v>588.95</v>
      </c>
      <c r="H80" s="31" t="n">
        <v>0.98</v>
      </c>
      <c r="I80" s="31" t="n">
        <v>260640</v>
      </c>
      <c r="J80" s="31" t="inlineStr">
        <is>
          <t>530135</t>
        </is>
      </c>
    </row>
    <row r="81">
      <c r="A81" s="31" t="inlineStr">
        <is>
          <t>ASTERDM</t>
        </is>
      </c>
      <c r="B81" s="31" t="inlineStr">
        <is>
          <t>Aster DM Healthcare Ltd</t>
        </is>
      </c>
      <c r="C81" s="31" t="inlineStr">
        <is>
          <t>healthcare</t>
        </is>
      </c>
      <c r="D81" s="31" t="inlineStr">
        <is>
          <t>healthcare</t>
        </is>
      </c>
      <c r="E81" s="31" t="inlineStr">
        <is>
          <t>largecap</t>
        </is>
      </c>
      <c r="F81" s="31" t="n">
        <v>42480.74</v>
      </c>
      <c r="G81" s="31" t="n">
        <v>819.9</v>
      </c>
      <c r="H81" s="31" t="n">
        <v>0.96</v>
      </c>
      <c r="I81" s="31" t="n">
        <v>534608</v>
      </c>
      <c r="J81" s="31" t="inlineStr">
        <is>
          <t>540975</t>
        </is>
      </c>
    </row>
    <row r="82">
      <c r="A82" s="31" t="inlineStr">
        <is>
          <t>THANGAMAYL</t>
        </is>
      </c>
      <c r="B82" s="31" t="inlineStr">
        <is>
          <t>Thangamayil Jewellery Limited</t>
        </is>
      </c>
      <c r="C82" s="31" t="inlineStr">
        <is>
          <t>consumer discretionary</t>
        </is>
      </c>
      <c r="D82" s="31" t="inlineStr">
        <is>
          <t>diamond cutting / jewellery</t>
        </is>
      </c>
      <c r="E82" s="31" t="inlineStr">
        <is>
          <t>largecap</t>
        </is>
      </c>
      <c r="F82" s="31" t="n">
        <v>20004.39</v>
      </c>
      <c r="G82" s="31" t="n">
        <v>6436</v>
      </c>
      <c r="H82" s="31" t="n">
        <v>0.93</v>
      </c>
      <c r="I82" s="31" t="n">
        <v>189280</v>
      </c>
      <c r="J82" s="31" t="inlineStr">
        <is>
          <t>533158</t>
        </is>
      </c>
    </row>
    <row r="83">
      <c r="A83" s="31" t="inlineStr">
        <is>
          <t>SILVERTUC</t>
        </is>
      </c>
      <c r="B83" s="31" t="inlineStr">
        <is>
          <t>Silver Touch Technologies Ltd</t>
        </is>
      </c>
      <c r="C83" s="31" t="inlineStr">
        <is>
          <t>i.t</t>
        </is>
      </c>
      <c r="D83" s="31" t="inlineStr">
        <is>
          <t>computers - software - medium / small</t>
        </is>
      </c>
      <c r="E83" s="31" t="inlineStr">
        <is>
          <t>smallcap</t>
        </is>
      </c>
      <c r="F83" s="31" t="n">
        <v>2507.29</v>
      </c>
      <c r="G83" s="31" t="n">
        <v>197.72</v>
      </c>
      <c r="H83" s="31" t="n">
        <v>0.9</v>
      </c>
      <c r="I83" s="31" t="n">
        <v>583223</v>
      </c>
      <c r="J83" s="31" t="inlineStr">
        <is>
          <t>535031</t>
        </is>
      </c>
    </row>
    <row r="84">
      <c r="A84" s="31" t="inlineStr">
        <is>
          <t>NUVAMA</t>
        </is>
      </c>
      <c r="B84" s="31" t="inlineStr">
        <is>
          <t>Nuvama Wealth Management Ltd</t>
        </is>
      </c>
      <c r="C84" s="31" t="inlineStr">
        <is>
          <t>financials</t>
        </is>
      </c>
      <c r="D84" s="31" t="inlineStr">
        <is>
          <t>finance &amp; investments</t>
        </is>
      </c>
      <c r="E84" s="31" t="inlineStr">
        <is>
          <t>largecap</t>
        </is>
      </c>
      <c r="F84" s="31" t="n">
        <v>34006.94</v>
      </c>
      <c r="G84" s="31" t="n">
        <v>1863.1</v>
      </c>
      <c r="H84" s="31" t="n">
        <v>0.9</v>
      </c>
      <c r="I84" s="31" t="n">
        <v>216726</v>
      </c>
      <c r="J84" s="31" t="inlineStr">
        <is>
          <t>543988</t>
        </is>
      </c>
    </row>
    <row r="85">
      <c r="A85" s="31" t="inlineStr">
        <is>
          <t>LODHA</t>
        </is>
      </c>
      <c r="B85" s="31" t="inlineStr">
        <is>
          <t>Lodha Developers Ltd</t>
        </is>
      </c>
      <c r="C85" s="31" t="inlineStr">
        <is>
          <t>realty</t>
        </is>
      </c>
      <c r="D85" s="31" t="inlineStr">
        <is>
          <t>construction</t>
        </is>
      </c>
      <c r="E85" s="31" t="inlineStr">
        <is>
          <t>largecap</t>
        </is>
      </c>
      <c r="F85" s="31" t="n">
        <v>118746.03</v>
      </c>
      <c r="G85" s="31" t="n">
        <v>1188.75</v>
      </c>
      <c r="H85" s="31" t="n">
        <v>0.9</v>
      </c>
      <c r="I85" s="31" t="n">
        <v>1143368</v>
      </c>
      <c r="J85" s="31" t="inlineStr">
        <is>
          <t>543287</t>
        </is>
      </c>
    </row>
    <row r="86">
      <c r="A86" s="31" t="inlineStr">
        <is>
          <t>CENTURYPLY</t>
        </is>
      </c>
      <c r="B86" s="31" t="inlineStr">
        <is>
          <t>Century Plyboards (india) Limited</t>
        </is>
      </c>
      <c r="C86" s="31" t="inlineStr">
        <is>
          <t>building materials</t>
        </is>
      </c>
      <c r="D86" s="31" t="inlineStr">
        <is>
          <t>miscellaneous</t>
        </is>
      </c>
      <c r="E86" s="31" t="inlineStr">
        <is>
          <t>midcap</t>
        </is>
      </c>
      <c r="F86" s="31" t="n">
        <v>17686.08</v>
      </c>
      <c r="G86" s="31" t="n">
        <v>796.05</v>
      </c>
      <c r="H86" s="31" t="n">
        <v>0.9</v>
      </c>
      <c r="I86" s="31" t="n">
        <v>31172</v>
      </c>
      <c r="J86" s="31" t="inlineStr">
        <is>
          <t>532548</t>
        </is>
      </c>
    </row>
    <row r="87">
      <c r="A87" s="31" t="inlineStr">
        <is>
          <t>RITCO</t>
        </is>
      </c>
      <c r="B87" s="31" t="inlineStr">
        <is>
          <t>Ritco Logistics Ltd</t>
        </is>
      </c>
      <c r="C87" s="31" t="inlineStr">
        <is>
          <t>transportation</t>
        </is>
      </c>
      <c r="D87" s="31" t="inlineStr">
        <is>
          <t>miscellaneous</t>
        </is>
      </c>
      <c r="E87" s="31" t="inlineStr">
        <is>
          <t>smallcap</t>
        </is>
      </c>
      <c r="F87" s="31" t="n">
        <v>784.12</v>
      </c>
      <c r="G87" s="31" t="n">
        <v>273.95</v>
      </c>
      <c r="H87" s="31" t="n">
        <v>0.88</v>
      </c>
      <c r="I87" s="31" t="n">
        <v>247683</v>
      </c>
      <c r="J87" s="31" t="inlineStr">
        <is>
          <t>542383</t>
        </is>
      </c>
    </row>
    <row r="88">
      <c r="A88" s="31" t="inlineStr">
        <is>
          <t>CHOLAFIN</t>
        </is>
      </c>
      <c r="B88" s="31" t="inlineStr">
        <is>
          <t>Cholamandalam Investment And Finance Company Limited</t>
        </is>
      </c>
      <c r="C88" s="31" t="inlineStr">
        <is>
          <t>financials</t>
        </is>
      </c>
      <c r="D88" s="31" t="inlineStr">
        <is>
          <t>finance &amp; investments</t>
        </is>
      </c>
      <c r="E88" s="31" t="inlineStr">
        <is>
          <t>largecap</t>
        </is>
      </c>
      <c r="F88" s="31" t="n">
        <v>153784.19</v>
      </c>
      <c r="G88" s="31" t="n">
        <v>1804.9</v>
      </c>
      <c r="H88" s="31" t="n">
        <v>0.88</v>
      </c>
      <c r="I88" s="31" t="n">
        <v>791604</v>
      </c>
      <c r="J88" s="31" t="inlineStr">
        <is>
          <t>511243</t>
        </is>
      </c>
    </row>
    <row r="89">
      <c r="A89" s="31" t="inlineStr">
        <is>
          <t>KOLTEPATIL</t>
        </is>
      </c>
      <c r="B89" s="31" t="inlineStr">
        <is>
          <t>Kolte - Patil Developers Limited</t>
        </is>
      </c>
      <c r="C89" s="31" t="inlineStr">
        <is>
          <t>realty</t>
        </is>
      </c>
      <c r="D89" s="31" t="inlineStr">
        <is>
          <t>construction</t>
        </is>
      </c>
      <c r="E89" s="31" t="inlineStr">
        <is>
          <t>smallcap</t>
        </is>
      </c>
      <c r="F89" s="31" t="n">
        <v>3435.91</v>
      </c>
      <c r="G89" s="31" t="n">
        <v>387.45</v>
      </c>
      <c r="H89" s="31" t="n">
        <v>0.87</v>
      </c>
      <c r="I89" s="31" t="n">
        <v>72486</v>
      </c>
      <c r="J89" s="31" t="inlineStr">
        <is>
          <t>532924</t>
        </is>
      </c>
    </row>
    <row r="90">
      <c r="A90" s="31" t="inlineStr">
        <is>
          <t>CUPID</t>
        </is>
      </c>
      <c r="B90" s="31" t="inlineStr">
        <is>
          <t>Cupid Limited</t>
        </is>
      </c>
      <c r="C90" s="31" t="inlineStr">
        <is>
          <t>fmcg</t>
        </is>
      </c>
      <c r="D90" s="31" t="inlineStr">
        <is>
          <t>personal care - indian</t>
        </is>
      </c>
      <c r="E90" s="31" t="inlineStr">
        <is>
          <t>largecap</t>
        </is>
      </c>
      <c r="F90" s="31" t="n">
        <v>28880.62</v>
      </c>
      <c r="G90" s="31" t="n">
        <v>214.78</v>
      </c>
      <c r="H90" s="31" t="n">
        <v>0.85</v>
      </c>
      <c r="I90" s="31" t="n">
        <v>38003173</v>
      </c>
      <c r="J90" s="31" t="inlineStr">
        <is>
          <t>530843</t>
        </is>
      </c>
    </row>
    <row r="91">
      <c r="A91" s="31" t="inlineStr">
        <is>
          <t>KSL</t>
        </is>
      </c>
      <c r="B91" s="31" t="inlineStr">
        <is>
          <t>Kalyani Steels Limited</t>
        </is>
      </c>
      <c r="C91" s="31" t="inlineStr">
        <is>
          <t>metals &amp; mining</t>
        </is>
      </c>
      <c r="D91" s="31" t="inlineStr">
        <is>
          <t>steel - medium / small</t>
        </is>
      </c>
      <c r="E91" s="31" t="inlineStr">
        <is>
          <t>smallcap</t>
        </is>
      </c>
      <c r="F91" s="31" t="n">
        <v>4042.49</v>
      </c>
      <c r="G91" s="31" t="n">
        <v>926.05</v>
      </c>
      <c r="H91" s="31" t="n">
        <v>0.85</v>
      </c>
      <c r="I91" s="31" t="n">
        <v>60116</v>
      </c>
      <c r="J91" s="31" t="inlineStr">
        <is>
          <t>500235</t>
        </is>
      </c>
    </row>
    <row r="92">
      <c r="A92" s="31" t="inlineStr">
        <is>
          <t>JSWINFRA</t>
        </is>
      </c>
      <c r="B92" s="31" t="inlineStr">
        <is>
          <t>JSW Infrastructure Ltd</t>
        </is>
      </c>
      <c r="C92" s="31" t="inlineStr">
        <is>
          <t>transportation</t>
        </is>
      </c>
      <c r="D92" s="31" t="inlineStr">
        <is>
          <t>miscellaneous</t>
        </is>
      </c>
      <c r="E92" s="31" t="inlineStr">
        <is>
          <t>largecap</t>
        </is>
      </c>
      <c r="F92" s="31" t="n">
        <v>79721</v>
      </c>
      <c r="G92" s="31" t="n">
        <v>342.15</v>
      </c>
      <c r="H92" s="31" t="n">
        <v>0.84</v>
      </c>
      <c r="I92" s="31" t="n">
        <v>2783722</v>
      </c>
      <c r="J92" s="31" t="inlineStr">
        <is>
          <t>543994</t>
        </is>
      </c>
    </row>
    <row r="93">
      <c r="A93" s="31" t="inlineStr">
        <is>
          <t>TBZ</t>
        </is>
      </c>
      <c r="B93" s="31" t="inlineStr">
        <is>
          <t>Tribhovandas Bhimji Zaveri Limited</t>
        </is>
      </c>
      <c r="C93" s="31" t="inlineStr">
        <is>
          <t>consumer discretionary</t>
        </is>
      </c>
      <c r="D93" s="31" t="inlineStr">
        <is>
          <t>diamond cutting / jewellery</t>
        </is>
      </c>
      <c r="E93" s="31" t="inlineStr">
        <is>
          <t>smallcap</t>
        </is>
      </c>
      <c r="F93" s="31" t="n">
        <v>1722.52</v>
      </c>
      <c r="G93" s="31" t="n">
        <v>258.13</v>
      </c>
      <c r="H93" s="31" t="n">
        <v>0.82</v>
      </c>
      <c r="I93" s="31" t="n">
        <v>1841342</v>
      </c>
      <c r="J93" s="31" t="inlineStr">
        <is>
          <t>534369</t>
        </is>
      </c>
    </row>
    <row r="94">
      <c r="A94" s="31" t="inlineStr">
        <is>
          <t>RPEL</t>
        </is>
      </c>
      <c r="B94" s="31" t="inlineStr">
        <is>
          <t>Raghav Productivity Enhancers Ltd</t>
        </is>
      </c>
      <c r="C94" s="31" t="inlineStr">
        <is>
          <t>building materials</t>
        </is>
      </c>
      <c r="D94" s="31" t="inlineStr">
        <is>
          <t>refractories / intermediates</t>
        </is>
      </c>
      <c r="E94" s="31" t="inlineStr">
        <is>
          <t>midcap</t>
        </is>
      </c>
      <c r="F94" s="31" t="n">
        <v>6033.23</v>
      </c>
      <c r="G94" s="31" t="n">
        <v>1313.8</v>
      </c>
      <c r="H94" s="31" t="n">
        <v>0.8</v>
      </c>
      <c r="I94" s="31" t="n">
        <v>74982</v>
      </c>
      <c r="J94" s="31" t="inlineStr">
        <is>
          <t>539837</t>
        </is>
      </c>
    </row>
    <row r="95">
      <c r="A95" s="31" t="inlineStr">
        <is>
          <t>OFSS</t>
        </is>
      </c>
      <c r="B95" s="31" t="inlineStr">
        <is>
          <t>Oracle Financial Services Software Limited</t>
        </is>
      </c>
      <c r="C95" s="31" t="inlineStr">
        <is>
          <t>i.t</t>
        </is>
      </c>
      <c r="D95" s="31" t="inlineStr">
        <is>
          <t>computers - software - large</t>
        </is>
      </c>
      <c r="E95" s="31" t="inlineStr">
        <is>
          <t>largecap</t>
        </is>
      </c>
      <c r="F95" s="31" t="n">
        <v>102492.61</v>
      </c>
      <c r="G95" s="31" t="n">
        <v>11771</v>
      </c>
      <c r="H95" s="31" t="n">
        <v>0.77</v>
      </c>
      <c r="I95" s="31" t="n">
        <v>299599</v>
      </c>
      <c r="J95" s="31" t="inlineStr">
        <is>
          <t>532466</t>
        </is>
      </c>
    </row>
    <row r="96">
      <c r="A96" s="31" t="inlineStr">
        <is>
          <t>COMSYN</t>
        </is>
      </c>
      <c r="B96" s="31" t="inlineStr">
        <is>
          <t>Commercial Syn Bags Ltd</t>
        </is>
      </c>
      <c r="C96" s="31" t="inlineStr">
        <is>
          <t>industrials</t>
        </is>
      </c>
      <c r="D96" s="31" t="inlineStr">
        <is>
          <t>packaging</t>
        </is>
      </c>
      <c r="E96" s="31" t="inlineStr">
        <is>
          <t>smallcap</t>
        </is>
      </c>
      <c r="F96" s="31" t="n">
        <v>763.5</v>
      </c>
      <c r="G96" s="31" t="n">
        <v>189.27</v>
      </c>
      <c r="H96" s="31" t="n">
        <v>0.76</v>
      </c>
      <c r="I96" s="31" t="n">
        <v>78146</v>
      </c>
      <c r="J96" s="31" t="inlineStr">
        <is>
          <t>539986</t>
        </is>
      </c>
    </row>
    <row r="97">
      <c r="A97" s="31" t="inlineStr">
        <is>
          <t>CEMPRO</t>
        </is>
      </c>
      <c r="B97" s="31" t="inlineStr">
        <is>
          <t>Cemindia Projects Ltd</t>
        </is>
      </c>
      <c r="C97" s="31" t="inlineStr">
        <is>
          <t>realty</t>
        </is>
      </c>
      <c r="D97" s="31" t="inlineStr">
        <is>
          <t>construction</t>
        </is>
      </c>
      <c r="E97" s="31" t="inlineStr">
        <is>
          <t>largecap</t>
        </is>
      </c>
      <c r="F97" s="31" t="n">
        <v>27743.69</v>
      </c>
      <c r="G97" s="31" t="n">
        <v>1615</v>
      </c>
      <c r="H97" s="31" t="n">
        <v>0.74</v>
      </c>
      <c r="I97" s="31" t="n">
        <v>687137</v>
      </c>
      <c r="J97" s="31" t="inlineStr">
        <is>
          <t>509496</t>
        </is>
      </c>
    </row>
    <row r="98">
      <c r="A98" s="31" t="inlineStr">
        <is>
          <t>AEGISVOPAK</t>
        </is>
      </c>
      <c r="B98" s="31" t="inlineStr">
        <is>
          <t>Aegis Vopak Terminals Ltd</t>
        </is>
      </c>
      <c r="C98" s="31" t="inlineStr">
        <is>
          <t>transportation</t>
        </is>
      </c>
      <c r="D98" s="31" t="inlineStr">
        <is>
          <t>miscellaneous</t>
        </is>
      </c>
      <c r="E98" s="31" t="inlineStr">
        <is>
          <t>largecap</t>
        </is>
      </c>
      <c r="F98" s="31" t="n">
        <v>30053.16</v>
      </c>
      <c r="G98" s="31" t="n">
        <v>271.24</v>
      </c>
      <c r="H98" s="31" t="n">
        <v>0.74</v>
      </c>
      <c r="I98" s="31" t="n">
        <v>1932179</v>
      </c>
      <c r="J98" s="31" t="inlineStr">
        <is>
          <t>544407</t>
        </is>
      </c>
    </row>
    <row r="99">
      <c r="A99" s="31" t="inlineStr">
        <is>
          <t>TATVA</t>
        </is>
      </c>
      <c r="B99" s="31" t="inlineStr">
        <is>
          <t>Tatva Chintan Pharma Chem Ltd</t>
        </is>
      </c>
      <c r="C99" s="31" t="inlineStr">
        <is>
          <t>chemicals</t>
        </is>
      </c>
      <c r="D99" s="31" t="inlineStr">
        <is>
          <t>chemicals</t>
        </is>
      </c>
      <c r="E99" s="31" t="inlineStr">
        <is>
          <t>smallcap</t>
        </is>
      </c>
      <c r="F99" s="31" t="n">
        <v>3340.62</v>
      </c>
      <c r="G99" s="31" t="n">
        <v>1428.1</v>
      </c>
      <c r="H99" s="31" t="n">
        <v>0.7</v>
      </c>
      <c r="I99" s="31" t="n">
        <v>126914</v>
      </c>
      <c r="J99" s="31" t="inlineStr">
        <is>
          <t>543321</t>
        </is>
      </c>
    </row>
    <row r="100">
      <c r="A100" s="31" t="inlineStr">
        <is>
          <t>MRPL</t>
        </is>
      </c>
      <c r="B100" s="31" t="inlineStr">
        <is>
          <t>Mangalore Refinery And Petrochemicals Limited</t>
        </is>
      </c>
      <c r="C100" s="31" t="inlineStr">
        <is>
          <t>energy</t>
        </is>
      </c>
      <c r="D100" s="31" t="inlineStr">
        <is>
          <t>refineries</t>
        </is>
      </c>
      <c r="E100" s="31" t="inlineStr">
        <is>
          <t>largecap</t>
        </is>
      </c>
      <c r="F100" s="31" t="n">
        <v>30581.1</v>
      </c>
      <c r="G100" s="31" t="n">
        <v>174.49</v>
      </c>
      <c r="H100" s="31" t="n">
        <v>0.67</v>
      </c>
      <c r="I100" s="31" t="n">
        <v>49682498</v>
      </c>
      <c r="J100" s="31" t="inlineStr">
        <is>
          <t>500109</t>
        </is>
      </c>
    </row>
    <row r="101">
      <c r="A101" s="31" t="inlineStr">
        <is>
          <t>MMFL</t>
        </is>
      </c>
      <c r="B101" s="31" t="inlineStr">
        <is>
          <t>Mm Forgings Limited</t>
        </is>
      </c>
      <c r="C101" s="31" t="inlineStr">
        <is>
          <t>industrials</t>
        </is>
      </c>
      <c r="D101" s="31" t="inlineStr">
        <is>
          <t>castings &amp; forgings</t>
        </is>
      </c>
      <c r="E101" s="31" t="inlineStr">
        <is>
          <t>smallcap</t>
        </is>
      </c>
      <c r="F101" s="31" t="n">
        <v>2547.34</v>
      </c>
      <c r="G101" s="31" t="n">
        <v>527.6</v>
      </c>
      <c r="H101" s="31" t="n">
        <v>0.67</v>
      </c>
      <c r="I101" s="31" t="n">
        <v>127940</v>
      </c>
      <c r="J101" s="31" t="inlineStr">
        <is>
          <t>522241</t>
        </is>
      </c>
    </row>
    <row r="102">
      <c r="A102" s="31" t="inlineStr">
        <is>
          <t>ARE&amp;M</t>
        </is>
      </c>
      <c r="B102" s="31" t="inlineStr">
        <is>
          <t>Amara Raja Energy &amp; Mobility Ltd</t>
        </is>
      </c>
      <c r="C102" s="31" t="inlineStr">
        <is>
          <t>auto</t>
        </is>
      </c>
      <c r="D102" s="31" t="inlineStr">
        <is>
          <t>auto ancillaries</t>
        </is>
      </c>
      <c r="E102" s="31" t="inlineStr">
        <is>
          <t>midcap</t>
        </is>
      </c>
      <c r="F102" s="31" t="n">
        <v>16607.72</v>
      </c>
      <c r="G102" s="31" t="n">
        <v>907.4</v>
      </c>
      <c r="H102" s="31" t="n">
        <v>0.66</v>
      </c>
      <c r="I102" s="31" t="n">
        <v>1009649</v>
      </c>
      <c r="J102" s="31" t="inlineStr">
        <is>
          <t>500008</t>
        </is>
      </c>
    </row>
    <row r="103">
      <c r="A103" s="31" t="inlineStr">
        <is>
          <t>TINNARUBR</t>
        </is>
      </c>
      <c r="B103" s="31" t="inlineStr">
        <is>
          <t>Tinna Rubber &amp; Infrastructure Ltd</t>
        </is>
      </c>
      <c r="C103" s="31" t="inlineStr">
        <is>
          <t>fmcg</t>
        </is>
      </c>
      <c r="D103" s="31" t="inlineStr">
        <is>
          <t>miscellaneous</t>
        </is>
      </c>
      <c r="E103" s="31" t="inlineStr">
        <is>
          <t>smallcap</t>
        </is>
      </c>
      <c r="F103" s="31" t="n">
        <v>1786.44</v>
      </c>
      <c r="G103" s="31" t="n">
        <v>991.6</v>
      </c>
      <c r="H103" s="31" t="n">
        <v>0.63</v>
      </c>
      <c r="I103" s="31" t="n">
        <v>52362</v>
      </c>
      <c r="J103" s="31" t="inlineStr">
        <is>
          <t>530475</t>
        </is>
      </c>
    </row>
    <row r="104">
      <c r="A104" s="31" t="inlineStr">
        <is>
          <t>KOVAI</t>
        </is>
      </c>
      <c r="B104" s="31" t="inlineStr">
        <is>
          <t>Kovai Medical Center &amp; Hospital Ltd</t>
        </is>
      </c>
      <c r="C104" s="31" t="inlineStr">
        <is>
          <t>healthcare</t>
        </is>
      </c>
      <c r="D104" s="31" t="inlineStr">
        <is>
          <t>healthcare</t>
        </is>
      </c>
      <c r="E104" s="31" t="inlineStr">
        <is>
          <t>midcap</t>
        </is>
      </c>
      <c r="F104" s="31" t="n">
        <v>6550.04</v>
      </c>
      <c r="G104" s="31" t="n">
        <v>5986</v>
      </c>
      <c r="H104" s="31" t="n">
        <v>0.62</v>
      </c>
      <c r="I104" s="31" t="n">
        <v>3781</v>
      </c>
      <c r="J104" s="31" t="inlineStr">
        <is>
          <t>523323</t>
        </is>
      </c>
    </row>
    <row r="105">
      <c r="A105" s="31" t="inlineStr">
        <is>
          <t>KAPSTON</t>
        </is>
      </c>
      <c r="B105" s="31" t="inlineStr">
        <is>
          <t>Kapston Services Ltd</t>
        </is>
      </c>
      <c r="C105" s="31" t="inlineStr">
        <is>
          <t>miscellaneous</t>
        </is>
      </c>
      <c r="D105" s="31" t="inlineStr">
        <is>
          <t>miscellaneous</t>
        </is>
      </c>
      <c r="E105" s="31" t="inlineStr">
        <is>
          <t>smallcap</t>
        </is>
      </c>
      <c r="F105" s="31" t="n">
        <v>1286.52</v>
      </c>
      <c r="G105" s="31" t="n">
        <v>422.75</v>
      </c>
      <c r="H105" s="31" t="n">
        <v>0.61</v>
      </c>
      <c r="I105" s="31" t="n">
        <v>12089</v>
      </c>
      <c r="J105" s="31" t="inlineStr">
        <is>
          <t>535064</t>
        </is>
      </c>
    </row>
    <row r="106">
      <c r="A106" s="31" t="inlineStr">
        <is>
          <t>INDNIPPON</t>
        </is>
      </c>
      <c r="B106" s="31" t="inlineStr">
        <is>
          <t>India Nippon Electricals Limited</t>
        </is>
      </c>
      <c r="C106" s="31" t="inlineStr">
        <is>
          <t>auto</t>
        </is>
      </c>
      <c r="D106" s="31" t="inlineStr">
        <is>
          <t>auto ancillaries</t>
        </is>
      </c>
      <c r="E106" s="31" t="inlineStr">
        <is>
          <t>smallcap</t>
        </is>
      </c>
      <c r="F106" s="31" t="n">
        <v>2744.88</v>
      </c>
      <c r="G106" s="31" t="n">
        <v>1213.4</v>
      </c>
      <c r="H106" s="31" t="n">
        <v>0.61</v>
      </c>
      <c r="I106" s="31" t="n">
        <v>98894</v>
      </c>
      <c r="J106" s="31" t="inlineStr">
        <is>
          <t>532240</t>
        </is>
      </c>
    </row>
    <row r="107">
      <c r="A107" s="31" t="inlineStr">
        <is>
          <t>BUTTERFLY</t>
        </is>
      </c>
      <c r="B107" s="31" t="inlineStr">
        <is>
          <t>Butterfly Gandhimathi Appliances Limited</t>
        </is>
      </c>
      <c r="C107" s="31" t="inlineStr">
        <is>
          <t>consumer discretionary</t>
        </is>
      </c>
      <c r="D107" s="31" t="inlineStr">
        <is>
          <t>domestic appliances</t>
        </is>
      </c>
      <c r="E107" s="31" t="inlineStr">
        <is>
          <t>smallcap</t>
        </is>
      </c>
      <c r="F107" s="31" t="n">
        <v>1387.36</v>
      </c>
      <c r="G107" s="31" t="n">
        <v>775.95</v>
      </c>
      <c r="H107" s="31" t="n">
        <v>0.58</v>
      </c>
      <c r="I107" s="31" t="n">
        <v>39581</v>
      </c>
      <c r="J107" s="31" t="inlineStr">
        <is>
          <t>517421</t>
        </is>
      </c>
    </row>
    <row r="108">
      <c r="A108" s="31" t="inlineStr">
        <is>
          <t>GODREJPROP</t>
        </is>
      </c>
      <c r="B108" s="31" t="inlineStr">
        <is>
          <t>Godrej Properties Limited</t>
        </is>
      </c>
      <c r="C108" s="31" t="inlineStr">
        <is>
          <t>realty</t>
        </is>
      </c>
      <c r="D108" s="31" t="inlineStr">
        <is>
          <t>construction</t>
        </is>
      </c>
      <c r="E108" s="31" t="inlineStr">
        <is>
          <t>largecap</t>
        </is>
      </c>
      <c r="F108" s="31" t="n">
        <v>63316.59</v>
      </c>
      <c r="G108" s="31" t="n">
        <v>2102.1</v>
      </c>
      <c r="H108" s="31" t="n">
        <v>0.5600000000000001</v>
      </c>
      <c r="I108" s="31" t="n">
        <v>900280</v>
      </c>
      <c r="J108" s="31" t="inlineStr">
        <is>
          <t>533150</t>
        </is>
      </c>
    </row>
    <row r="109">
      <c r="A109" s="31" t="inlineStr">
        <is>
          <t>GRWRHITECH</t>
        </is>
      </c>
      <c r="B109" s="31" t="inlineStr">
        <is>
          <t>Garware Hi Tech Films Ltd</t>
        </is>
      </c>
      <c r="C109" s="31" t="inlineStr">
        <is>
          <t>industrials</t>
        </is>
      </c>
      <c r="D109" s="31" t="inlineStr">
        <is>
          <t>packaging</t>
        </is>
      </c>
      <c r="E109" s="31" t="inlineStr">
        <is>
          <t>midcap</t>
        </is>
      </c>
      <c r="F109" s="31" t="n">
        <v>16194.14</v>
      </c>
      <c r="G109" s="31" t="n">
        <v>6970.5</v>
      </c>
      <c r="H109" s="31" t="n">
        <v>0.5600000000000001</v>
      </c>
      <c r="I109" s="31" t="n">
        <v>44738</v>
      </c>
      <c r="J109" s="31" t="inlineStr">
        <is>
          <t>500655</t>
        </is>
      </c>
    </row>
    <row r="110">
      <c r="A110" s="31" t="inlineStr">
        <is>
          <t>IPCALAB</t>
        </is>
      </c>
      <c r="B110" s="31" t="inlineStr">
        <is>
          <t>Ipca Laboratories Limited</t>
        </is>
      </c>
      <c r="C110" s="31" t="inlineStr">
        <is>
          <t>healthcare</t>
        </is>
      </c>
      <c r="D110" s="31" t="inlineStr">
        <is>
          <t>pharmaceuticals - indian - bulk drugs &amp; formln</t>
        </is>
      </c>
      <c r="E110" s="31" t="inlineStr">
        <is>
          <t>largecap</t>
        </is>
      </c>
      <c r="F110" s="31" t="n">
        <v>48219.02</v>
      </c>
      <c r="G110" s="31" t="n">
        <v>1900.6</v>
      </c>
      <c r="H110" s="31" t="n">
        <v>0.55</v>
      </c>
      <c r="I110" s="31" t="n">
        <v>157265</v>
      </c>
      <c r="J110" s="31" t="inlineStr">
        <is>
          <t>524494</t>
        </is>
      </c>
    </row>
    <row r="111">
      <c r="A111" s="31" t="inlineStr">
        <is>
          <t>DDEVPLSTIK</t>
        </is>
      </c>
      <c r="B111" s="31" t="inlineStr">
        <is>
          <t>DDev Plastiks Industries Ltd</t>
        </is>
      </c>
      <c r="C111" s="31" t="inlineStr">
        <is>
          <t>chemicals</t>
        </is>
      </c>
      <c r="D111" s="31" t="inlineStr">
        <is>
          <t>chemicals</t>
        </is>
      </c>
      <c r="E111" s="31" t="inlineStr">
        <is>
          <t>smallcap</t>
        </is>
      </c>
      <c r="F111" s="31" t="n">
        <v>2985.82</v>
      </c>
      <c r="G111" s="31" t="n">
        <v>288.55</v>
      </c>
      <c r="H111" s="31" t="n">
        <v>0.54</v>
      </c>
      <c r="I111" s="31" t="n">
        <v>73153</v>
      </c>
      <c r="J111" s="31" t="inlineStr">
        <is>
          <t>543547</t>
        </is>
      </c>
    </row>
    <row r="112">
      <c r="A112" s="31" t="inlineStr">
        <is>
          <t>JINDALSAW</t>
        </is>
      </c>
      <c r="B112" s="31" t="inlineStr">
        <is>
          <t>Jindal Saw Limited</t>
        </is>
      </c>
      <c r="C112" s="31" t="inlineStr">
        <is>
          <t>industrials</t>
        </is>
      </c>
      <c r="D112" s="31" t="inlineStr">
        <is>
          <t>steel - large</t>
        </is>
      </c>
      <c r="E112" s="31" t="inlineStr">
        <is>
          <t>midcap</t>
        </is>
      </c>
      <c r="F112" s="31" t="n">
        <v>17231.55</v>
      </c>
      <c r="G112" s="31" t="n">
        <v>269.45</v>
      </c>
      <c r="H112" s="31" t="n">
        <v>0.52</v>
      </c>
      <c r="I112" s="31" t="n">
        <v>1705330</v>
      </c>
      <c r="J112" s="31" t="inlineStr">
        <is>
          <t>500378</t>
        </is>
      </c>
    </row>
    <row r="113">
      <c r="A113" s="31" t="inlineStr">
        <is>
          <t>FLUOROCHEM</t>
        </is>
      </c>
      <c r="B113" s="31" t="inlineStr">
        <is>
          <t>Gujarat Fluorochemicals Ltd</t>
        </is>
      </c>
      <c r="C113" s="31" t="inlineStr">
        <is>
          <t>chemicals</t>
        </is>
      </c>
      <c r="D113" s="31" t="inlineStr">
        <is>
          <t>chemicals</t>
        </is>
      </c>
      <c r="E113" s="31" t="inlineStr">
        <is>
          <t>largecap</t>
        </is>
      </c>
      <c r="F113" s="31" t="n">
        <v>45531.73</v>
      </c>
      <c r="G113" s="31" t="n">
        <v>4144.9</v>
      </c>
      <c r="H113" s="31" t="n">
        <v>0.5</v>
      </c>
      <c r="I113" s="31" t="n">
        <v>145924</v>
      </c>
      <c r="J113" s="31" t="inlineStr">
        <is>
          <t>542812</t>
        </is>
      </c>
    </row>
    <row r="114">
      <c r="A114" s="31" t="inlineStr">
        <is>
          <t>SUPRAJIT</t>
        </is>
      </c>
      <c r="B114" s="31" t="inlineStr">
        <is>
          <t>Suprajit Engineering Limited</t>
        </is>
      </c>
      <c r="C114" s="31" t="inlineStr">
        <is>
          <t>auto</t>
        </is>
      </c>
      <c r="D114" s="31" t="inlineStr">
        <is>
          <t>auto ancillaries</t>
        </is>
      </c>
      <c r="E114" s="31" t="inlineStr">
        <is>
          <t>midcap</t>
        </is>
      </c>
      <c r="F114" s="31" t="n">
        <v>6722.07</v>
      </c>
      <c r="G114" s="31" t="n">
        <v>490.05</v>
      </c>
      <c r="H114" s="31" t="n">
        <v>0.5</v>
      </c>
      <c r="I114" s="31" t="n">
        <v>75670</v>
      </c>
      <c r="J114" s="31" t="inlineStr">
        <is>
          <t>532509</t>
        </is>
      </c>
    </row>
    <row r="115">
      <c r="A115" s="31" t="inlineStr">
        <is>
          <t>RGL</t>
        </is>
      </c>
      <c r="B115" s="31" t="inlineStr">
        <is>
          <t>Renaissance Global Ltd</t>
        </is>
      </c>
      <c r="C115" s="31" t="inlineStr">
        <is>
          <t>consumer discretionary</t>
        </is>
      </c>
      <c r="D115" s="31" t="inlineStr">
        <is>
          <t>diamond cutting / jewellery</t>
        </is>
      </c>
      <c r="E115" s="31" t="inlineStr">
        <is>
          <t>smallcap</t>
        </is>
      </c>
      <c r="F115" s="31" t="n">
        <v>1293.27</v>
      </c>
      <c r="G115" s="31" t="n">
        <v>120.5</v>
      </c>
      <c r="H115" s="31" t="n">
        <v>0.49</v>
      </c>
      <c r="I115" s="31" t="n">
        <v>529775</v>
      </c>
      <c r="J115" s="31" t="inlineStr">
        <is>
          <t>532923</t>
        </is>
      </c>
    </row>
    <row r="116">
      <c r="A116" s="31" t="inlineStr">
        <is>
          <t>ORICONENT</t>
        </is>
      </c>
      <c r="B116" s="31" t="inlineStr">
        <is>
          <t>Oricon Enterprises Limited</t>
        </is>
      </c>
      <c r="C116" s="31" t="inlineStr">
        <is>
          <t>industrials</t>
        </is>
      </c>
      <c r="D116" s="31" t="inlineStr">
        <is>
          <t>packaging</t>
        </is>
      </c>
      <c r="E116" s="31" t="inlineStr">
        <is>
          <t>smallcap</t>
        </is>
      </c>
      <c r="F116" s="31" t="n">
        <v>941.5</v>
      </c>
      <c r="G116" s="31" t="n">
        <v>59.95</v>
      </c>
      <c r="H116" s="31" t="n">
        <v>0.49</v>
      </c>
      <c r="I116" s="31" t="n">
        <v>134654</v>
      </c>
      <c r="J116" s="31" t="inlineStr">
        <is>
          <t>513121</t>
        </is>
      </c>
    </row>
    <row r="117">
      <c r="A117" s="31" t="inlineStr">
        <is>
          <t>ABCAPITAL</t>
        </is>
      </c>
      <c r="B117" s="31" t="inlineStr">
        <is>
          <t>Aditya Birla Capital Ltd</t>
        </is>
      </c>
      <c r="C117" s="31" t="inlineStr">
        <is>
          <t>financials</t>
        </is>
      </c>
      <c r="D117" s="31" t="inlineStr">
        <is>
          <t>finance &amp; investments</t>
        </is>
      </c>
      <c r="E117" s="31" t="inlineStr">
        <is>
          <t>largecap</t>
        </is>
      </c>
      <c r="F117" s="31" t="n">
        <v>109792.05</v>
      </c>
      <c r="G117" s="31" t="n">
        <v>401.55</v>
      </c>
      <c r="H117" s="31" t="n">
        <v>0.46</v>
      </c>
      <c r="I117" s="31" t="n">
        <v>4757491</v>
      </c>
      <c r="J117" s="31" t="inlineStr">
        <is>
          <t>540691</t>
        </is>
      </c>
    </row>
    <row r="118">
      <c r="A118" s="31" t="inlineStr">
        <is>
          <t>SIGNPOST</t>
        </is>
      </c>
      <c r="B118" s="31" t="inlineStr">
        <is>
          <t>Signpost India Ltd</t>
        </is>
      </c>
      <c r="C118" s="31" t="inlineStr">
        <is>
          <t>miscellaneous</t>
        </is>
      </c>
      <c r="D118" s="31" t="inlineStr">
        <is>
          <t>miscellaneous</t>
        </is>
      </c>
      <c r="E118" s="31" t="inlineStr">
        <is>
          <t>smallcap</t>
        </is>
      </c>
      <c r="F118" s="31" t="n">
        <v>1747.28</v>
      </c>
      <c r="G118" s="31" t="n">
        <v>326.9</v>
      </c>
      <c r="H118" s="31" t="n">
        <v>0.45</v>
      </c>
      <c r="I118" s="31" t="n">
        <v>210762</v>
      </c>
      <c r="J118" s="31" t="n"/>
    </row>
    <row r="119">
      <c r="A119" s="31" t="inlineStr">
        <is>
          <t>MANBA</t>
        </is>
      </c>
      <c r="B119" s="31" t="inlineStr">
        <is>
          <t>Manba Finance Ltd</t>
        </is>
      </c>
      <c r="C119" s="31" t="inlineStr">
        <is>
          <t>financials</t>
        </is>
      </c>
      <c r="D119" s="31" t="inlineStr">
        <is>
          <t>finance &amp; investments</t>
        </is>
      </c>
      <c r="E119" s="31" t="inlineStr">
        <is>
          <t>smallcap</t>
        </is>
      </c>
      <c r="F119" s="31" t="n">
        <v>687.22</v>
      </c>
      <c r="G119" s="31" t="n">
        <v>136.79</v>
      </c>
      <c r="H119" s="31" t="n">
        <v>0.43</v>
      </c>
      <c r="I119" s="31" t="n">
        <v>173500</v>
      </c>
      <c r="J119" s="31" t="inlineStr">
        <is>
          <t>544262</t>
        </is>
      </c>
    </row>
    <row r="120">
      <c r="A120" s="31" t="inlineStr">
        <is>
          <t>HESTERBIO</t>
        </is>
      </c>
      <c r="B120" s="31" t="inlineStr">
        <is>
          <t>Hester Biosciences Limited</t>
        </is>
      </c>
      <c r="C120" s="31" t="inlineStr">
        <is>
          <t>healthcare</t>
        </is>
      </c>
      <c r="D120" s="31" t="inlineStr">
        <is>
          <t>pharmaceuticals - indian - formulations</t>
        </is>
      </c>
      <c r="E120" s="31" t="inlineStr">
        <is>
          <t>smallcap</t>
        </is>
      </c>
      <c r="F120" s="31" t="n">
        <v>2082.31</v>
      </c>
      <c r="G120" s="31" t="n">
        <v>2447.8</v>
      </c>
      <c r="H120" s="31" t="n">
        <v>0.42</v>
      </c>
      <c r="I120" s="31" t="n">
        <v>16908</v>
      </c>
      <c r="J120" s="31" t="inlineStr">
        <is>
          <t>524669</t>
        </is>
      </c>
    </row>
    <row r="121">
      <c r="A121" s="31" t="inlineStr">
        <is>
          <t>IZMO</t>
        </is>
      </c>
      <c r="B121" s="31" t="inlineStr">
        <is>
          <t>Izmo Limited</t>
        </is>
      </c>
      <c r="C121" s="31" t="inlineStr">
        <is>
          <t>i.t</t>
        </is>
      </c>
      <c r="D121" s="31" t="inlineStr">
        <is>
          <t>computers - software - medium / small</t>
        </is>
      </c>
      <c r="E121" s="31" t="inlineStr">
        <is>
          <t>smallcap</t>
        </is>
      </c>
      <c r="F121" s="31" t="n">
        <v>1681.79</v>
      </c>
      <c r="G121" s="31" t="n">
        <v>1124</v>
      </c>
      <c r="H121" s="31" t="n">
        <v>0.4</v>
      </c>
      <c r="I121" s="31" t="n">
        <v>233254</v>
      </c>
      <c r="J121" s="31" t="inlineStr">
        <is>
          <t>532341</t>
        </is>
      </c>
    </row>
    <row r="122">
      <c r="A122" s="31" t="inlineStr">
        <is>
          <t>OAL</t>
        </is>
      </c>
      <c r="B122" s="31" t="inlineStr">
        <is>
          <t>Oriental Aromatics Ltd</t>
        </is>
      </c>
      <c r="C122" s="31" t="inlineStr">
        <is>
          <t>chemicals</t>
        </is>
      </c>
      <c r="D122" s="31" t="inlineStr">
        <is>
          <t>chemicals</t>
        </is>
      </c>
      <c r="E122" s="31" t="inlineStr">
        <is>
          <t>smallcap</t>
        </is>
      </c>
      <c r="F122" s="31" t="n">
        <v>1207.32</v>
      </c>
      <c r="G122" s="31" t="n">
        <v>358.75</v>
      </c>
      <c r="H122" s="31" t="n">
        <v>0.39</v>
      </c>
      <c r="I122" s="31" t="n">
        <v>13626</v>
      </c>
      <c r="J122" s="31" t="inlineStr">
        <is>
          <t>500078</t>
        </is>
      </c>
    </row>
    <row r="123">
      <c r="A123" s="31" t="inlineStr">
        <is>
          <t>UNOMINDA</t>
        </is>
      </c>
      <c r="B123" s="31" t="inlineStr">
        <is>
          <t>Uno Minda Ltd</t>
        </is>
      </c>
      <c r="C123" s="31" t="inlineStr">
        <is>
          <t>auto</t>
        </is>
      </c>
      <c r="D123" s="31" t="inlineStr">
        <is>
          <t>auto ancillaries</t>
        </is>
      </c>
      <c r="E123" s="31" t="inlineStr">
        <is>
          <t>largecap</t>
        </is>
      </c>
      <c r="F123" s="31" t="n">
        <v>66680.67</v>
      </c>
      <c r="G123" s="31" t="n">
        <v>1154.8</v>
      </c>
      <c r="H123" s="31" t="n">
        <v>0.37</v>
      </c>
      <c r="I123" s="31" t="n">
        <v>501204</v>
      </c>
      <c r="J123" s="31" t="inlineStr">
        <is>
          <t>532539</t>
        </is>
      </c>
    </row>
    <row r="124">
      <c r="A124" s="31" t="inlineStr">
        <is>
          <t>SOLARINDS</t>
        </is>
      </c>
      <c r="B124" s="31" t="inlineStr">
        <is>
          <t>Solar Industries India Limited</t>
        </is>
      </c>
      <c r="C124" s="31" t="inlineStr">
        <is>
          <t>aerospace &amp; defence</t>
        </is>
      </c>
      <c r="D124" s="31" t="inlineStr">
        <is>
          <t>chemicals</t>
        </is>
      </c>
      <c r="E124" s="31" t="inlineStr">
        <is>
          <t>largecap</t>
        </is>
      </c>
      <c r="F124" s="31" t="n">
        <v>167107.98</v>
      </c>
      <c r="G124" s="31" t="n">
        <v>18467</v>
      </c>
      <c r="H124" s="31" t="n">
        <v>0.36</v>
      </c>
      <c r="I124" s="31" t="n">
        <v>96644</v>
      </c>
      <c r="J124" s="31" t="inlineStr">
        <is>
          <t>532725</t>
        </is>
      </c>
    </row>
    <row r="125">
      <c r="A125" s="31" t="inlineStr">
        <is>
          <t>YASHO</t>
        </is>
      </c>
      <c r="B125" s="31" t="inlineStr">
        <is>
          <t>Yasho Industries Ltd</t>
        </is>
      </c>
      <c r="C125" s="31" t="inlineStr">
        <is>
          <t>chemicals</t>
        </is>
      </c>
      <c r="D125" s="31" t="inlineStr">
        <is>
          <t>chemicals</t>
        </is>
      </c>
      <c r="E125" s="31" t="inlineStr">
        <is>
          <t>smallcap</t>
        </is>
      </c>
      <c r="F125" s="31" t="n">
        <v>3628.55</v>
      </c>
      <c r="G125" s="31" t="n">
        <v>3010.7</v>
      </c>
      <c r="H125" s="31" t="n">
        <v>0.34</v>
      </c>
      <c r="I125" s="31" t="n">
        <v>10886</v>
      </c>
      <c r="J125" s="31" t="inlineStr">
        <is>
          <t>541167</t>
        </is>
      </c>
    </row>
    <row r="126">
      <c r="A126" s="31" t="inlineStr">
        <is>
          <t>SWANDEF</t>
        </is>
      </c>
      <c r="B126" s="31" t="inlineStr">
        <is>
          <t>Swan Defence and Heavy Industries Ltd</t>
        </is>
      </c>
      <c r="C126" s="31" t="inlineStr">
        <is>
          <t>transportation</t>
        </is>
      </c>
      <c r="D126" s="31" t="inlineStr">
        <is>
          <t>miscellaneous</t>
        </is>
      </c>
      <c r="E126" s="31" t="inlineStr">
        <is>
          <t>midcap</t>
        </is>
      </c>
      <c r="F126" s="31" t="n">
        <v>11746.01</v>
      </c>
      <c r="G126" s="31" t="n">
        <v>2229.6</v>
      </c>
      <c r="H126" s="31" t="n">
        <v>0.32</v>
      </c>
      <c r="I126" s="31" t="n">
        <v>6050</v>
      </c>
      <c r="J126" s="31" t="inlineStr">
        <is>
          <t>533107</t>
        </is>
      </c>
    </row>
    <row r="127">
      <c r="A127" s="31" t="inlineStr">
        <is>
          <t>VSSL</t>
        </is>
      </c>
      <c r="B127" s="31" t="inlineStr">
        <is>
          <t>Vardhman Special Steels Limited</t>
        </is>
      </c>
      <c r="C127" s="31" t="inlineStr">
        <is>
          <t>metals &amp; mining</t>
        </is>
      </c>
      <c r="D127" s="31" t="inlineStr">
        <is>
          <t>steel - medium / small</t>
        </is>
      </c>
      <c r="E127" s="31" t="inlineStr">
        <is>
          <t>smallcap</t>
        </is>
      </c>
      <c r="F127" s="31" t="n">
        <v>2884.62</v>
      </c>
      <c r="G127" s="31" t="n">
        <v>298.35</v>
      </c>
      <c r="H127" s="31" t="n">
        <v>0.32</v>
      </c>
      <c r="I127" s="31" t="n">
        <v>68902</v>
      </c>
      <c r="J127" s="31" t="inlineStr">
        <is>
          <t>534392</t>
        </is>
      </c>
    </row>
    <row r="128">
      <c r="A128" s="31" t="inlineStr">
        <is>
          <t>HITECHCORP</t>
        </is>
      </c>
      <c r="B128" s="31" t="inlineStr">
        <is>
          <t>Hitech Corporation</t>
        </is>
      </c>
      <c r="C128" s="31" t="inlineStr">
        <is>
          <t>industrials</t>
        </is>
      </c>
      <c r="D128" s="31" t="inlineStr">
        <is>
          <t>packaging</t>
        </is>
      </c>
      <c r="E128" s="31" t="inlineStr">
        <is>
          <t>smallcap</t>
        </is>
      </c>
      <c r="F128" s="31" t="n">
        <v>553.4</v>
      </c>
      <c r="G128" s="31" t="n">
        <v>322.2</v>
      </c>
      <c r="H128" s="31" t="n">
        <v>0.31</v>
      </c>
      <c r="I128" s="31" t="n">
        <v>9086</v>
      </c>
      <c r="J128" s="31" t="inlineStr">
        <is>
          <t>526217</t>
        </is>
      </c>
    </row>
    <row r="129">
      <c r="A129" s="31" t="inlineStr">
        <is>
          <t>ADANIENT</t>
        </is>
      </c>
      <c r="B129" s="31" t="inlineStr">
        <is>
          <t>Adani Enterprises Limited</t>
        </is>
      </c>
      <c r="C129" s="31" t="inlineStr">
        <is>
          <t>services</t>
        </is>
      </c>
      <c r="D129" s="31" t="inlineStr">
        <is>
          <t>trading</t>
        </is>
      </c>
      <c r="E129" s="31" t="inlineStr">
        <is>
          <t>largecap</t>
        </is>
      </c>
      <c r="F129" s="31" t="n">
        <v>427871.1</v>
      </c>
      <c r="G129" s="31" t="n">
        <v>3160.7</v>
      </c>
      <c r="H129" s="31" t="n">
        <v>0.3</v>
      </c>
      <c r="I129" s="31" t="n">
        <v>1021302</v>
      </c>
      <c r="J129" s="31" t="inlineStr">
        <is>
          <t>512599</t>
        </is>
      </c>
    </row>
    <row r="130">
      <c r="A130" s="31" t="inlineStr">
        <is>
          <t>SSWL</t>
        </is>
      </c>
      <c r="B130" s="31" t="inlineStr">
        <is>
          <t>Steel Strips Wheels Limited</t>
        </is>
      </c>
      <c r="C130" s="31" t="inlineStr">
        <is>
          <t>auto</t>
        </is>
      </c>
      <c r="D130" s="31" t="inlineStr">
        <is>
          <t>auto ancillaries</t>
        </is>
      </c>
      <c r="E130" s="31" t="inlineStr">
        <is>
          <t>smallcap</t>
        </is>
      </c>
      <c r="F130" s="31" t="n">
        <v>4184.3</v>
      </c>
      <c r="G130" s="31" t="n">
        <v>266.21</v>
      </c>
      <c r="H130" s="31" t="n">
        <v>0.29</v>
      </c>
      <c r="I130" s="31" t="n">
        <v>1526108</v>
      </c>
      <c r="J130" s="31" t="inlineStr">
        <is>
          <t>513262</t>
        </is>
      </c>
    </row>
    <row r="131">
      <c r="A131" s="31" t="inlineStr">
        <is>
          <t>CHOICEIN</t>
        </is>
      </c>
      <c r="B131" s="31" t="inlineStr">
        <is>
          <t>Choice International Ltd</t>
        </is>
      </c>
      <c r="C131" s="31" t="inlineStr">
        <is>
          <t>financials</t>
        </is>
      </c>
      <c r="D131" s="31" t="inlineStr">
        <is>
          <t>finance &amp; investments</t>
        </is>
      </c>
      <c r="E131" s="31" t="inlineStr">
        <is>
          <t>midcap</t>
        </is>
      </c>
      <c r="F131" s="31" t="n">
        <v>18018.16</v>
      </c>
      <c r="G131" s="31" t="n">
        <v>808.8</v>
      </c>
      <c r="H131" s="31" t="n">
        <v>0.27</v>
      </c>
      <c r="I131" s="31" t="n">
        <v>723085</v>
      </c>
      <c r="J131" s="31" t="inlineStr">
        <is>
          <t>531358</t>
        </is>
      </c>
    </row>
    <row r="132">
      <c r="A132" s="31" t="inlineStr">
        <is>
          <t>TITAN</t>
        </is>
      </c>
      <c r="B132" s="31" t="inlineStr">
        <is>
          <t>Titan Company Limited</t>
        </is>
      </c>
      <c r="C132" s="31" t="inlineStr">
        <is>
          <t>consumer discretionary</t>
        </is>
      </c>
      <c r="D132" s="31" t="inlineStr">
        <is>
          <t>diamond cutting / jewellery</t>
        </is>
      </c>
      <c r="E132" s="31" t="inlineStr">
        <is>
          <t>largecap</t>
        </is>
      </c>
      <c r="F132" s="31" t="n">
        <v>411764.1</v>
      </c>
      <c r="G132" s="31" t="n">
        <v>4638.1</v>
      </c>
      <c r="H132" s="31" t="n">
        <v>0.27</v>
      </c>
      <c r="I132" s="31" t="n">
        <v>667212</v>
      </c>
      <c r="J132" s="31" t="inlineStr">
        <is>
          <t>500114</t>
        </is>
      </c>
    </row>
    <row r="133">
      <c r="A133" s="31" t="inlineStr">
        <is>
          <t>INDIAGLYCO</t>
        </is>
      </c>
      <c r="B133" s="31" t="inlineStr">
        <is>
          <t>India Glycols Limited</t>
        </is>
      </c>
      <c r="C133" s="31" t="inlineStr">
        <is>
          <t>fmcg</t>
        </is>
      </c>
      <c r="D133" s="31" t="inlineStr">
        <is>
          <t>breweries &amp; distilleries</t>
        </is>
      </c>
      <c r="E133" s="31" t="inlineStr">
        <is>
          <t>midcap</t>
        </is>
      </c>
      <c r="F133" s="31" t="n">
        <v>7770.41</v>
      </c>
      <c r="G133" s="31" t="n">
        <v>1159.3</v>
      </c>
      <c r="H133" s="31" t="n">
        <v>0.24</v>
      </c>
      <c r="I133" s="31" t="n">
        <v>449815</v>
      </c>
      <c r="J133" s="31" t="inlineStr">
        <is>
          <t>500201</t>
        </is>
      </c>
    </row>
    <row r="134">
      <c r="A134" s="31" t="inlineStr">
        <is>
          <t>CIEINDIA</t>
        </is>
      </c>
      <c r="B134" s="31" t="inlineStr">
        <is>
          <t>CIE Automotive India Ltd</t>
        </is>
      </c>
      <c r="C134" s="31" t="inlineStr">
        <is>
          <t>industrials</t>
        </is>
      </c>
      <c r="D134" s="31" t="inlineStr">
        <is>
          <t>castings &amp; forgings</t>
        </is>
      </c>
      <c r="E134" s="31" t="inlineStr">
        <is>
          <t>midcap</t>
        </is>
      </c>
      <c r="F134" s="31" t="n">
        <v>17970.4</v>
      </c>
      <c r="G134" s="31" t="n">
        <v>473.7</v>
      </c>
      <c r="H134" s="31" t="n">
        <v>0.23</v>
      </c>
      <c r="I134" s="31" t="n">
        <v>244325</v>
      </c>
      <c r="J134" s="31" t="inlineStr">
        <is>
          <t>532756</t>
        </is>
      </c>
    </row>
    <row r="135">
      <c r="A135" s="31" t="inlineStr">
        <is>
          <t>AVADHSUGAR</t>
        </is>
      </c>
      <c r="B135" s="31" t="inlineStr">
        <is>
          <t>Avadh Sugar &amp; Energy</t>
        </is>
      </c>
      <c r="C135" s="31" t="inlineStr">
        <is>
          <t>fmcg</t>
        </is>
      </c>
      <c r="D135" s="31" t="inlineStr">
        <is>
          <t>sugar</t>
        </is>
      </c>
      <c r="E135" s="31" t="inlineStr">
        <is>
          <t>smallcap</t>
        </is>
      </c>
      <c r="F135" s="31" t="n">
        <v>1068.78</v>
      </c>
      <c r="G135" s="31" t="n">
        <v>533.9</v>
      </c>
      <c r="H135" s="31" t="n">
        <v>0.23</v>
      </c>
      <c r="I135" s="31" t="n">
        <v>24345</v>
      </c>
      <c r="J135" s="31" t="inlineStr">
        <is>
          <t>540649</t>
        </is>
      </c>
    </row>
    <row r="136">
      <c r="A136" s="31" t="inlineStr">
        <is>
          <t>SMCGLOBAL</t>
        </is>
      </c>
      <c r="B136" s="31" t="inlineStr">
        <is>
          <t>SMC Global Securities Ltd</t>
        </is>
      </c>
      <c r="C136" s="31" t="inlineStr">
        <is>
          <t>financials</t>
        </is>
      </c>
      <c r="D136" s="31" t="inlineStr">
        <is>
          <t>finance &amp; investments</t>
        </is>
      </c>
      <c r="E136" s="31" t="inlineStr">
        <is>
          <t>smallcap</t>
        </is>
      </c>
      <c r="F136" s="31" t="n">
        <v>1710.17</v>
      </c>
      <c r="G136" s="31" t="n">
        <v>81.67</v>
      </c>
      <c r="H136" s="31" t="n">
        <v>0.23</v>
      </c>
      <c r="I136" s="31" t="n">
        <v>778427</v>
      </c>
      <c r="J136" s="31" t="inlineStr">
        <is>
          <t>543263</t>
        </is>
      </c>
    </row>
    <row r="137">
      <c r="A137" s="31" t="inlineStr">
        <is>
          <t>JUBLPHARMA</t>
        </is>
      </c>
      <c r="B137" s="31" t="inlineStr">
        <is>
          <t>Jubilant Pharmova Ltd</t>
        </is>
      </c>
      <c r="C137" s="31" t="inlineStr">
        <is>
          <t>healthcare</t>
        </is>
      </c>
      <c r="D137" s="31" t="inlineStr">
        <is>
          <t>pharmaceuticals - indian - bulk drugs</t>
        </is>
      </c>
      <c r="E137" s="31" t="inlineStr">
        <is>
          <t>midcap</t>
        </is>
      </c>
      <c r="F137" s="31" t="n">
        <v>16288.09</v>
      </c>
      <c r="G137" s="31" t="n">
        <v>1022.6</v>
      </c>
      <c r="H137" s="31" t="n">
        <v>0.19</v>
      </c>
      <c r="I137" s="31" t="n">
        <v>106316</v>
      </c>
      <c r="J137" s="31" t="inlineStr">
        <is>
          <t>530019</t>
        </is>
      </c>
    </row>
    <row r="138">
      <c r="A138" s="31" t="inlineStr">
        <is>
          <t>WELENT</t>
        </is>
      </c>
      <c r="B138" s="31" t="inlineStr">
        <is>
          <t>Welspun Enterprises Limited</t>
        </is>
      </c>
      <c r="C138" s="31" t="inlineStr">
        <is>
          <t>realty</t>
        </is>
      </c>
      <c r="D138" s="31" t="inlineStr">
        <is>
          <t>construction</t>
        </is>
      </c>
      <c r="E138" s="31" t="inlineStr">
        <is>
          <t>midcap</t>
        </is>
      </c>
      <c r="F138" s="31" t="n">
        <v>8668.860000000001</v>
      </c>
      <c r="G138" s="31" t="n">
        <v>626.3</v>
      </c>
      <c r="H138" s="31" t="n">
        <v>0.17</v>
      </c>
      <c r="I138" s="31" t="n">
        <v>705721</v>
      </c>
      <c r="J138" s="31" t="inlineStr">
        <is>
          <t>532553</t>
        </is>
      </c>
    </row>
    <row r="139">
      <c r="A139" s="31" t="inlineStr">
        <is>
          <t>RAINBOW</t>
        </is>
      </c>
      <c r="B139" s="31" t="inlineStr">
        <is>
          <t>Rainbow Childrens Medicare Ltd</t>
        </is>
      </c>
      <c r="C139" s="31" t="inlineStr">
        <is>
          <t>healthcare</t>
        </is>
      </c>
      <c r="D139" s="31" t="inlineStr">
        <is>
          <t>healthcare</t>
        </is>
      </c>
      <c r="E139" s="31" t="inlineStr">
        <is>
          <t>midcap</t>
        </is>
      </c>
      <c r="F139" s="31" t="n">
        <v>15166.84</v>
      </c>
      <c r="G139" s="31" t="n">
        <v>1493.4</v>
      </c>
      <c r="H139" s="31" t="n">
        <v>0.17</v>
      </c>
      <c r="I139" s="31" t="n">
        <v>55868</v>
      </c>
      <c r="J139" s="31" t="inlineStr">
        <is>
          <t>543524</t>
        </is>
      </c>
    </row>
    <row r="140">
      <c r="A140" s="31" t="inlineStr">
        <is>
          <t>FUSION</t>
        </is>
      </c>
      <c r="B140" s="31" t="inlineStr">
        <is>
          <t>Fusion Micro Finance Ltd</t>
        </is>
      </c>
      <c r="C140" s="31" t="inlineStr">
        <is>
          <t>financials</t>
        </is>
      </c>
      <c r="D140" s="31" t="inlineStr">
        <is>
          <t>finance &amp; investments</t>
        </is>
      </c>
      <c r="E140" s="31" t="inlineStr">
        <is>
          <t>smallcap</t>
        </is>
      </c>
      <c r="F140" s="31" t="n">
        <v>3661.28</v>
      </c>
      <c r="G140" s="31" t="n">
        <v>225.89</v>
      </c>
      <c r="H140" s="31" t="n">
        <v>0.17</v>
      </c>
      <c r="I140" s="31" t="n">
        <v>454666</v>
      </c>
      <c r="J140" s="31" t="inlineStr">
        <is>
          <t>543652</t>
        </is>
      </c>
    </row>
    <row r="141">
      <c r="A141" s="31" t="inlineStr">
        <is>
          <t>TRIVENI</t>
        </is>
      </c>
      <c r="B141" s="31" t="inlineStr">
        <is>
          <t>Triveni Engineering &amp; Industries Limited</t>
        </is>
      </c>
      <c r="C141" s="31" t="inlineStr">
        <is>
          <t>fmcg</t>
        </is>
      </c>
      <c r="D141" s="31" t="inlineStr">
        <is>
          <t>sugar</t>
        </is>
      </c>
      <c r="E141" s="31" t="inlineStr">
        <is>
          <t>midcap</t>
        </is>
      </c>
      <c r="F141" s="31" t="n">
        <v>10335.27</v>
      </c>
      <c r="G141" s="31" t="n">
        <v>472.15</v>
      </c>
      <c r="H141" s="31" t="n">
        <v>0.16</v>
      </c>
      <c r="I141" s="31" t="n">
        <v>453963</v>
      </c>
      <c r="J141" s="31" t="inlineStr">
        <is>
          <t>532356</t>
        </is>
      </c>
    </row>
    <row r="142">
      <c r="A142" s="31" t="inlineStr">
        <is>
          <t>KABRAEXTRU</t>
        </is>
      </c>
      <c r="B142" s="31" t="inlineStr">
        <is>
          <t>Kabra Extrusion Technik Limited</t>
        </is>
      </c>
      <c r="C142" s="31" t="inlineStr">
        <is>
          <t>industrials</t>
        </is>
      </c>
      <c r="D142" s="31" t="inlineStr">
        <is>
          <t>engineering</t>
        </is>
      </c>
      <c r="E142" s="31" t="inlineStr">
        <is>
          <t>smallcap</t>
        </is>
      </c>
      <c r="F142" s="31" t="n">
        <v>1156.55</v>
      </c>
      <c r="G142" s="31" t="n">
        <v>330.7</v>
      </c>
      <c r="H142" s="31" t="n">
        <v>0.14</v>
      </c>
      <c r="I142" s="31" t="n">
        <v>194546</v>
      </c>
      <c r="J142" s="31" t="inlineStr">
        <is>
          <t>524109</t>
        </is>
      </c>
    </row>
    <row r="143">
      <c r="A143" s="31" t="inlineStr">
        <is>
          <t>KIRLFER</t>
        </is>
      </c>
      <c r="B143" s="31" t="inlineStr">
        <is>
          <t>Kirloskar Ferrous Industries Ltd</t>
        </is>
      </c>
      <c r="C143" s="31" t="inlineStr">
        <is>
          <t>metals &amp; mining</t>
        </is>
      </c>
      <c r="D143" s="31" t="inlineStr">
        <is>
          <t>steel - large</t>
        </is>
      </c>
      <c r="E143" s="31" t="inlineStr">
        <is>
          <t>midcap</t>
        </is>
      </c>
      <c r="F143" s="31" t="n">
        <v>7766.16</v>
      </c>
      <c r="G143" s="31" t="n">
        <v>470.9</v>
      </c>
      <c r="H143" s="31" t="n">
        <v>0.11</v>
      </c>
      <c r="I143" s="31" t="n">
        <v>73680</v>
      </c>
      <c r="J143" s="31" t="inlineStr">
        <is>
          <t>500245</t>
        </is>
      </c>
    </row>
    <row r="144">
      <c r="A144" s="31" t="inlineStr">
        <is>
          <t>SBC</t>
        </is>
      </c>
      <c r="B144" s="31" t="inlineStr">
        <is>
          <t>SBC Exports Ltd</t>
        </is>
      </c>
      <c r="C144" s="31" t="inlineStr">
        <is>
          <t>textiles</t>
        </is>
      </c>
      <c r="D144" s="31" t="inlineStr">
        <is>
          <t>textiles - products</t>
        </is>
      </c>
      <c r="E144" s="31" t="inlineStr">
        <is>
          <t>smallcap</t>
        </is>
      </c>
      <c r="F144" s="31" t="n">
        <v>2012.86</v>
      </c>
      <c r="G144" s="31" t="n">
        <v>42.27</v>
      </c>
      <c r="H144" s="31" t="n">
        <v>0.09</v>
      </c>
      <c r="I144" s="31" t="n">
        <v>8531196</v>
      </c>
      <c r="J144" s="31" t="inlineStr">
        <is>
          <t>542725</t>
        </is>
      </c>
    </row>
    <row r="145">
      <c r="A145" s="31" t="inlineStr">
        <is>
          <t>MUNJALSHOW</t>
        </is>
      </c>
      <c r="B145" s="31" t="inlineStr">
        <is>
          <t>Munjal Showa Limited</t>
        </is>
      </c>
      <c r="C145" s="31" t="inlineStr">
        <is>
          <t>auto</t>
        </is>
      </c>
      <c r="D145" s="31" t="inlineStr">
        <is>
          <t>auto ancillaries</t>
        </is>
      </c>
      <c r="E145" s="31" t="inlineStr">
        <is>
          <t>smallcap</t>
        </is>
      </c>
      <c r="F145" s="31" t="n">
        <v>542.49</v>
      </c>
      <c r="G145" s="31" t="n">
        <v>135.64</v>
      </c>
      <c r="H145" s="31" t="n">
        <v>0.09</v>
      </c>
      <c r="I145" s="31" t="n">
        <v>28554</v>
      </c>
      <c r="J145" s="31" t="inlineStr">
        <is>
          <t>520043</t>
        </is>
      </c>
    </row>
    <row r="146">
      <c r="A146" s="31" t="inlineStr">
        <is>
          <t>THELEELA</t>
        </is>
      </c>
      <c r="B146" s="31" t="inlineStr">
        <is>
          <t>Leela Palaces Hotels &amp; Resorts Ltd</t>
        </is>
      </c>
      <c r="C146" s="31" t="inlineStr">
        <is>
          <t>services</t>
        </is>
      </c>
      <c r="D146" s="31" t="inlineStr">
        <is>
          <t>hotels</t>
        </is>
      </c>
      <c r="E146" s="31" t="inlineStr">
        <is>
          <t>midcap</t>
        </is>
      </c>
      <c r="F146" s="31" t="n">
        <v>16218.66</v>
      </c>
      <c r="G146" s="31" t="n">
        <v>485.65</v>
      </c>
      <c r="H146" s="31" t="n">
        <v>0.08</v>
      </c>
      <c r="I146" s="31" t="n">
        <v>151693</v>
      </c>
      <c r="J146" s="31" t="inlineStr">
        <is>
          <t>544408</t>
        </is>
      </c>
    </row>
    <row r="147">
      <c r="A147" s="31" t="inlineStr">
        <is>
          <t>PNBHOUSING</t>
        </is>
      </c>
      <c r="B147" s="31" t="inlineStr">
        <is>
          <t>Pnb Housing Finance Limited</t>
        </is>
      </c>
      <c r="C147" s="31" t="inlineStr">
        <is>
          <t>financials</t>
        </is>
      </c>
      <c r="D147" s="31" t="inlineStr">
        <is>
          <t>finance - housing</t>
        </is>
      </c>
      <c r="E147" s="31" t="inlineStr">
        <is>
          <t>largecap</t>
        </is>
      </c>
      <c r="F147" s="31" t="n">
        <v>28650.73</v>
      </c>
      <c r="G147" s="31" t="n">
        <v>1099.8</v>
      </c>
      <c r="H147" s="31" t="n">
        <v>0.08</v>
      </c>
      <c r="I147" s="31" t="n">
        <v>464219</v>
      </c>
      <c r="J147" s="31" t="inlineStr">
        <is>
          <t>540173</t>
        </is>
      </c>
    </row>
    <row r="148">
      <c r="A148" s="31" t="inlineStr">
        <is>
          <t>INDIASHLTR</t>
        </is>
      </c>
      <c r="B148" s="31" t="inlineStr">
        <is>
          <t>India Shelter Finance Corporation Ltd</t>
        </is>
      </c>
      <c r="C148" s="31" t="inlineStr">
        <is>
          <t>financials</t>
        </is>
      </c>
      <c r="D148" s="31" t="inlineStr">
        <is>
          <t>finance - housing</t>
        </is>
      </c>
      <c r="E148" s="31" t="inlineStr">
        <is>
          <t>midcap</t>
        </is>
      </c>
      <c r="F148" s="31" t="n">
        <v>8867.620000000001</v>
      </c>
      <c r="G148" s="31" t="n">
        <v>815.35</v>
      </c>
      <c r="H148" s="31" t="n">
        <v>0.03</v>
      </c>
      <c r="I148" s="31" t="n">
        <v>78376</v>
      </c>
      <c r="J148" s="31" t="inlineStr">
        <is>
          <t>544044</t>
        </is>
      </c>
    </row>
    <row r="149">
      <c r="A149" s="31" t="inlineStr">
        <is>
          <t>MANGLMCEM</t>
        </is>
      </c>
      <c r="B149" s="31" t="inlineStr">
        <is>
          <t>Mangalam Cement Limited</t>
        </is>
      </c>
      <c r="C149" s="31" t="inlineStr">
        <is>
          <t>building materials</t>
        </is>
      </c>
      <c r="D149" s="31" t="inlineStr">
        <is>
          <t>cement - north india</t>
        </is>
      </c>
      <c r="E149" s="31" t="inlineStr">
        <is>
          <t>smallcap</t>
        </is>
      </c>
      <c r="F149" s="31" t="n">
        <v>2712.88</v>
      </c>
      <c r="G149" s="31" t="n">
        <v>986.6</v>
      </c>
      <c r="H149" s="31" t="n">
        <v>0.03</v>
      </c>
      <c r="I149" s="31" t="n">
        <v>112798</v>
      </c>
      <c r="J149" s="31" t="inlineStr">
        <is>
          <t>502157</t>
        </is>
      </c>
    </row>
    <row r="150">
      <c r="A150" s="31" t="inlineStr">
        <is>
          <t>SIEMENS</t>
        </is>
      </c>
      <c r="B150" s="31" t="inlineStr">
        <is>
          <t>Siemens Limited</t>
        </is>
      </c>
      <c r="C150" s="31" t="inlineStr">
        <is>
          <t>industrials</t>
        </is>
      </c>
      <c r="D150" s="31" t="inlineStr">
        <is>
          <t>electric equipment</t>
        </is>
      </c>
      <c r="E150" s="31" t="inlineStr">
        <is>
          <t>largecap</t>
        </is>
      </c>
      <c r="F150" s="31" t="n">
        <v>130297.37</v>
      </c>
      <c r="G150" s="31" t="n">
        <v>3658.8</v>
      </c>
      <c r="H150" s="31" t="n">
        <v>0.03</v>
      </c>
      <c r="I150" s="31" t="n">
        <v>339615</v>
      </c>
      <c r="J150" s="31" t="inlineStr">
        <is>
          <t>500550</t>
        </is>
      </c>
    </row>
    <row r="151">
      <c r="A151" s="31" t="inlineStr">
        <is>
          <t>STYLAMIND</t>
        </is>
      </c>
      <c r="B151" s="31" t="inlineStr">
        <is>
          <t>Stylam Industries Ltd</t>
        </is>
      </c>
      <c r="C151" s="31" t="inlineStr">
        <is>
          <t>building materials</t>
        </is>
      </c>
      <c r="D151" s="31" t="inlineStr">
        <is>
          <t>miscellaneous</t>
        </is>
      </c>
      <c r="E151" s="31" t="inlineStr">
        <is>
          <t>midcap</t>
        </is>
      </c>
      <c r="F151" s="31" t="n">
        <v>5508.8</v>
      </c>
      <c r="G151" s="31" t="n">
        <v>3250.4</v>
      </c>
      <c r="H151" s="31" t="n">
        <v>0.02</v>
      </c>
      <c r="I151" s="31" t="n">
        <v>22393</v>
      </c>
      <c r="J151" s="31" t="inlineStr">
        <is>
          <t>526951</t>
        </is>
      </c>
    </row>
    <row r="152">
      <c r="A152" s="31" t="inlineStr">
        <is>
          <t>NINSYS</t>
        </is>
      </c>
      <c r="B152" s="31" t="inlineStr">
        <is>
          <t>NINtec Systems Ltd</t>
        </is>
      </c>
      <c r="C152" s="31" t="inlineStr">
        <is>
          <t>i.t</t>
        </is>
      </c>
      <c r="D152" s="31" t="inlineStr">
        <is>
          <t>computers - software - medium / small</t>
        </is>
      </c>
      <c r="E152" s="31" t="inlineStr">
        <is>
          <t>smallcap</t>
        </is>
      </c>
      <c r="F152" s="31" t="n">
        <v>1659.95</v>
      </c>
      <c r="G152" s="31" t="n">
        <v>893.6</v>
      </c>
      <c r="H152" s="31" t="n">
        <v>0.01</v>
      </c>
      <c r="I152" s="31" t="n">
        <v>3162</v>
      </c>
      <c r="J152" s="31" t="inlineStr">
        <is>
          <t>539843</t>
        </is>
      </c>
    </row>
    <row r="153">
      <c r="A153" s="31" t="inlineStr">
        <is>
          <t>KOPRAN</t>
        </is>
      </c>
      <c r="B153" s="31" t="inlineStr">
        <is>
          <t>Kopran Limited</t>
        </is>
      </c>
      <c r="C153" s="31" t="inlineStr">
        <is>
          <t>healthcare</t>
        </is>
      </c>
      <c r="D153" s="31" t="inlineStr">
        <is>
          <t>pharmaceuticals - indian - bulk drugs &amp; formln</t>
        </is>
      </c>
      <c r="E153" s="31" t="inlineStr">
        <is>
          <t>smallcap</t>
        </is>
      </c>
      <c r="F153" s="31" t="n">
        <v>983.24</v>
      </c>
      <c r="G153" s="31" t="n">
        <v>203.63</v>
      </c>
      <c r="H153" s="31" t="n">
        <v>0</v>
      </c>
      <c r="I153" s="31" t="n">
        <v>101492</v>
      </c>
      <c r="J153" s="31" t="inlineStr">
        <is>
          <t>524280</t>
        </is>
      </c>
    </row>
    <row r="154">
      <c r="A154" s="31" t="inlineStr">
        <is>
          <t>SOTL</t>
        </is>
      </c>
      <c r="B154" s="31" t="inlineStr">
        <is>
          <t>Savita Oil Technologies Limited</t>
        </is>
      </c>
      <c r="C154" s="31" t="inlineStr">
        <is>
          <t>energy</t>
        </is>
      </c>
      <c r="D154" s="31" t="inlineStr">
        <is>
          <t>petrochemicals</t>
        </is>
      </c>
      <c r="E154" s="31" t="inlineStr">
        <is>
          <t>smallcap</t>
        </is>
      </c>
      <c r="F154" s="31" t="n">
        <v>3978.22</v>
      </c>
      <c r="G154" s="31" t="n">
        <v>580.25</v>
      </c>
      <c r="H154" s="31" t="n">
        <v>0</v>
      </c>
      <c r="I154" s="31" t="n">
        <v>128386</v>
      </c>
      <c r="J154" s="31" t="inlineStr">
        <is>
          <t>524667</t>
        </is>
      </c>
    </row>
    <row r="155">
      <c r="A155" s="31" t="inlineStr">
        <is>
          <t>JSL</t>
        </is>
      </c>
      <c r="B155" s="31" t="inlineStr">
        <is>
          <t>Jindal Stainless Limited</t>
        </is>
      </c>
      <c r="C155" s="31" t="inlineStr">
        <is>
          <t>metals &amp; mining</t>
        </is>
      </c>
      <c r="D155" s="31" t="inlineStr">
        <is>
          <t>steel - large</t>
        </is>
      </c>
      <c r="E155" s="31" t="inlineStr">
        <is>
          <t>largecap</t>
        </is>
      </c>
      <c r="F155" s="31" t="n">
        <v>60800.94</v>
      </c>
      <c r="G155" s="31" t="n">
        <v>737.5</v>
      </c>
      <c r="H155" s="31" t="n">
        <v>0</v>
      </c>
      <c r="I155" s="31" t="n">
        <v>474444</v>
      </c>
      <c r="J155" s="31" t="inlineStr">
        <is>
          <t>532508</t>
        </is>
      </c>
    </row>
    <row r="156">
      <c r="A156" s="31" t="inlineStr">
        <is>
          <t>PANSARI</t>
        </is>
      </c>
      <c r="B156" s="31" t="inlineStr">
        <is>
          <t>Pansari Developers Ltd</t>
        </is>
      </c>
      <c r="C156" s="31" t="inlineStr">
        <is>
          <t>realty</t>
        </is>
      </c>
      <c r="D156" s="31" t="inlineStr">
        <is>
          <t>construction</t>
        </is>
      </c>
      <c r="E156" s="31" t="inlineStr">
        <is>
          <t>smallcap</t>
        </is>
      </c>
      <c r="F156" s="31" t="n">
        <v>629.22</v>
      </c>
      <c r="G156" s="31" t="n">
        <v>360.65</v>
      </c>
      <c r="H156" s="31" t="n">
        <v>0</v>
      </c>
      <c r="I156" s="31" t="n">
        <v>4649</v>
      </c>
      <c r="J156" s="31" t="inlineStr">
        <is>
          <t>538381</t>
        </is>
      </c>
    </row>
    <row r="157">
      <c r="A157" s="31" t="inlineStr">
        <is>
          <t>BOROSCI</t>
        </is>
      </c>
      <c r="B157" s="31" t="inlineStr">
        <is>
          <t>Borosil Scientific Ltd</t>
        </is>
      </c>
      <c r="C157" s="31" t="inlineStr">
        <is>
          <t>building materials</t>
        </is>
      </c>
      <c r="D157" s="31" t="inlineStr">
        <is>
          <t>glass &amp; glass products</t>
        </is>
      </c>
      <c r="E157" s="31" t="inlineStr">
        <is>
          <t>smallcap</t>
        </is>
      </c>
      <c r="F157" s="31" t="n">
        <v>1429.82</v>
      </c>
      <c r="G157" s="31" t="n">
        <v>160.75</v>
      </c>
      <c r="H157" s="31" t="n">
        <v>-0.01</v>
      </c>
      <c r="I157" s="31" t="n">
        <v>66319</v>
      </c>
      <c r="J157" s="31" t="inlineStr">
        <is>
          <t>544184</t>
        </is>
      </c>
    </row>
    <row r="158">
      <c r="A158" s="31" t="inlineStr">
        <is>
          <t>PANACHE</t>
        </is>
      </c>
      <c r="B158" s="31" t="inlineStr">
        <is>
          <t>Panache Digilife Ltd</t>
        </is>
      </c>
      <c r="C158" s="31" t="inlineStr">
        <is>
          <t>i.t</t>
        </is>
      </c>
      <c r="D158" s="31" t="inlineStr">
        <is>
          <t>computers - hardware</t>
        </is>
      </c>
      <c r="E158" s="31" t="inlineStr">
        <is>
          <t>smallcap</t>
        </is>
      </c>
      <c r="F158" s="31" t="n">
        <v>690.2</v>
      </c>
      <c r="G158" s="31" t="n">
        <v>431</v>
      </c>
      <c r="H158" s="31" t="n">
        <v>-0.02</v>
      </c>
      <c r="I158" s="31" t="n">
        <v>5708</v>
      </c>
      <c r="J158" s="31" t="inlineStr">
        <is>
          <t>538424</t>
        </is>
      </c>
    </row>
    <row r="159">
      <c r="A159" s="31" t="inlineStr">
        <is>
          <t>TMB</t>
        </is>
      </c>
      <c r="B159" s="31" t="inlineStr">
        <is>
          <t>Tamilnad Mercantile Bank Ltd</t>
        </is>
      </c>
      <c r="C159" s="31" t="inlineStr">
        <is>
          <t>bank</t>
        </is>
      </c>
      <c r="D159" s="31" t="inlineStr">
        <is>
          <t>banks - private sector</t>
        </is>
      </c>
      <c r="E159" s="31" t="inlineStr">
        <is>
          <t>midcap</t>
        </is>
      </c>
      <c r="F159" s="31" t="n">
        <v>12626.15</v>
      </c>
      <c r="G159" s="31" t="n">
        <v>797.35</v>
      </c>
      <c r="H159" s="31" t="n">
        <v>-0.02</v>
      </c>
      <c r="I159" s="31" t="n">
        <v>99299</v>
      </c>
      <c r="J159" s="31" t="inlineStr">
        <is>
          <t>543596</t>
        </is>
      </c>
    </row>
    <row r="160">
      <c r="A160" s="31" t="inlineStr">
        <is>
          <t>LLOYDSENGG</t>
        </is>
      </c>
      <c r="B160" s="31" t="inlineStr">
        <is>
          <t>Lloyds Engineering Works Ltd</t>
        </is>
      </c>
      <c r="C160" s="31" t="inlineStr">
        <is>
          <t>industrials</t>
        </is>
      </c>
      <c r="D160" s="31" t="inlineStr">
        <is>
          <t>engineering</t>
        </is>
      </c>
      <c r="E160" s="31" t="inlineStr">
        <is>
          <t>midcap</t>
        </is>
      </c>
      <c r="F160" s="31" t="n">
        <v>13109.51</v>
      </c>
      <c r="G160" s="31" t="n">
        <v>88.56</v>
      </c>
      <c r="H160" s="31" t="n">
        <v>-0.03</v>
      </c>
      <c r="I160" s="31" t="n">
        <v>7570636</v>
      </c>
      <c r="J160" s="31" t="inlineStr">
        <is>
          <t>539992</t>
        </is>
      </c>
    </row>
    <row r="161">
      <c r="A161" s="31" t="inlineStr">
        <is>
          <t>JKPAPER</t>
        </is>
      </c>
      <c r="B161" s="31" t="inlineStr">
        <is>
          <t>Jk Paper Limited</t>
        </is>
      </c>
      <c r="C161" s="31" t="inlineStr">
        <is>
          <t>building materials</t>
        </is>
      </c>
      <c r="D161" s="31" t="inlineStr">
        <is>
          <t>paper</t>
        </is>
      </c>
      <c r="E161" s="31" t="inlineStr">
        <is>
          <t>midcap</t>
        </is>
      </c>
      <c r="F161" s="31" t="n">
        <v>6700.64</v>
      </c>
      <c r="G161" s="31" t="n">
        <v>369.55</v>
      </c>
      <c r="H161" s="31" t="n">
        <v>-0.04</v>
      </c>
      <c r="I161" s="31" t="n">
        <v>317945</v>
      </c>
      <c r="J161" s="31" t="inlineStr">
        <is>
          <t>532162</t>
        </is>
      </c>
    </row>
    <row r="162">
      <c r="A162" s="31" t="inlineStr">
        <is>
          <t>AVL</t>
        </is>
      </c>
      <c r="B162" s="31" t="inlineStr">
        <is>
          <t>Aditya Vision Ltd</t>
        </is>
      </c>
      <c r="C162" s="31" t="inlineStr">
        <is>
          <t>consumer discretionary</t>
        </is>
      </c>
      <c r="D162" s="31" t="inlineStr">
        <is>
          <t>trading</t>
        </is>
      </c>
      <c r="E162" s="31" t="inlineStr">
        <is>
          <t>midcap</t>
        </is>
      </c>
      <c r="F162" s="31" t="n">
        <v>8191.23</v>
      </c>
      <c r="G162" s="31" t="n">
        <v>634.3</v>
      </c>
      <c r="H162" s="31" t="n">
        <v>-0.04</v>
      </c>
      <c r="I162" s="31" t="n">
        <v>242523</v>
      </c>
      <c r="J162" s="31" t="inlineStr">
        <is>
          <t>540205</t>
        </is>
      </c>
    </row>
    <row r="163">
      <c r="A163" s="31" t="inlineStr">
        <is>
          <t>ASTRAMICRO</t>
        </is>
      </c>
      <c r="B163" s="31" t="inlineStr">
        <is>
          <t>Astra Microwave Products Limited</t>
        </is>
      </c>
      <c r="C163" s="31" t="inlineStr">
        <is>
          <t>aerospace &amp; defence</t>
        </is>
      </c>
      <c r="D163" s="31" t="inlineStr">
        <is>
          <t>telecommunications - equipment</t>
        </is>
      </c>
      <c r="E163" s="31" t="inlineStr">
        <is>
          <t>midcap</t>
        </is>
      </c>
      <c r="F163" s="31" t="n">
        <v>16338.14</v>
      </c>
      <c r="G163" s="31" t="n">
        <v>1720.8</v>
      </c>
      <c r="H163" s="31" t="n">
        <v>-0.05</v>
      </c>
      <c r="I163" s="31" t="n">
        <v>272683</v>
      </c>
      <c r="J163" s="31" t="inlineStr">
        <is>
          <t>532493</t>
        </is>
      </c>
    </row>
    <row r="164">
      <c r="A164" s="31" t="inlineStr">
        <is>
          <t>SFL</t>
        </is>
      </c>
      <c r="B164" s="31" t="inlineStr">
        <is>
          <t>Sheela Foam Limited</t>
        </is>
      </c>
      <c r="C164" s="31" t="inlineStr">
        <is>
          <t>consumer discretionary</t>
        </is>
      </c>
      <c r="D164" s="31" t="inlineStr">
        <is>
          <t>miscellaneous</t>
        </is>
      </c>
      <c r="E164" s="31" t="inlineStr">
        <is>
          <t>midcap</t>
        </is>
      </c>
      <c r="F164" s="31" t="n">
        <v>8273.98</v>
      </c>
      <c r="G164" s="31" t="n">
        <v>761.1</v>
      </c>
      <c r="H164" s="31" t="n">
        <v>-0.06</v>
      </c>
      <c r="I164" s="31" t="n">
        <v>219810</v>
      </c>
      <c r="J164" s="31" t="inlineStr">
        <is>
          <t>540203</t>
        </is>
      </c>
    </row>
    <row r="165">
      <c r="A165" s="31" t="inlineStr">
        <is>
          <t>JLHL</t>
        </is>
      </c>
      <c r="B165" s="31" t="inlineStr">
        <is>
          <t>Jupiter Life Line Hospitals Ltd</t>
        </is>
      </c>
      <c r="C165" s="31" t="inlineStr">
        <is>
          <t>healthcare</t>
        </is>
      </c>
      <c r="D165" s="31" t="inlineStr">
        <is>
          <t>healthcare</t>
        </is>
      </c>
      <c r="E165" s="31" t="inlineStr">
        <is>
          <t>midcap</t>
        </is>
      </c>
      <c r="F165" s="31" t="n">
        <v>10182.4</v>
      </c>
      <c r="G165" s="31" t="n">
        <v>1553</v>
      </c>
      <c r="H165" s="31" t="n">
        <v>-0.06</v>
      </c>
      <c r="I165" s="31" t="n">
        <v>34568</v>
      </c>
      <c r="J165" s="31" t="inlineStr">
        <is>
          <t>543980</t>
        </is>
      </c>
    </row>
    <row r="166">
      <c r="A166" s="31" t="inlineStr">
        <is>
          <t>NRL</t>
        </is>
      </c>
      <c r="B166" s="31" t="inlineStr">
        <is>
          <t>Nupur Recyclers Ltd</t>
        </is>
      </c>
      <c r="C166" s="31" t="inlineStr">
        <is>
          <t>services</t>
        </is>
      </c>
      <c r="D166" s="31" t="inlineStr">
        <is>
          <t>trading</t>
        </is>
      </c>
      <c r="E166" s="31" t="inlineStr">
        <is>
          <t>smallcap</t>
        </is>
      </c>
      <c r="F166" s="31" t="n">
        <v>744.84</v>
      </c>
      <c r="G166" s="31" t="n">
        <v>107.84</v>
      </c>
      <c r="H166" s="31" t="n">
        <v>-0.06</v>
      </c>
      <c r="I166" s="31" t="n">
        <v>104598</v>
      </c>
      <c r="J166" s="31" t="inlineStr">
        <is>
          <t>535413</t>
        </is>
      </c>
    </row>
    <row r="167">
      <c r="A167" s="31" t="inlineStr">
        <is>
          <t>HONAUT</t>
        </is>
      </c>
      <c r="B167" s="31" t="inlineStr">
        <is>
          <t>Honeywell Automation India Limited</t>
        </is>
      </c>
      <c r="C167" s="31" t="inlineStr">
        <is>
          <t>consumer discretionary</t>
        </is>
      </c>
      <c r="D167" s="31" t="inlineStr">
        <is>
          <t>electronics - components</t>
        </is>
      </c>
      <c r="E167" s="31" t="inlineStr">
        <is>
          <t>largecap</t>
        </is>
      </c>
      <c r="F167" s="31" t="n">
        <v>34442.15</v>
      </c>
      <c r="G167" s="31" t="n">
        <v>38955</v>
      </c>
      <c r="H167" s="31" t="n">
        <v>-0.15</v>
      </c>
      <c r="I167" s="31" t="n">
        <v>4822</v>
      </c>
      <c r="J167" s="31" t="inlineStr">
        <is>
          <t>517174</t>
        </is>
      </c>
    </row>
    <row r="168">
      <c r="A168" s="31" t="inlineStr">
        <is>
          <t>XPROINDIA</t>
        </is>
      </c>
      <c r="B168" s="31" t="inlineStr">
        <is>
          <t>Xpro India Limited</t>
        </is>
      </c>
      <c r="C168" s="31" t="inlineStr">
        <is>
          <t>industrials</t>
        </is>
      </c>
      <c r="D168" s="31" t="inlineStr">
        <is>
          <t>packaging</t>
        </is>
      </c>
      <c r="E168" s="31" t="inlineStr">
        <is>
          <t>smallcap</t>
        </is>
      </c>
      <c r="F168" s="31" t="n">
        <v>3279.52</v>
      </c>
      <c r="G168" s="31" t="n">
        <v>1397.3</v>
      </c>
      <c r="H168" s="31" t="n">
        <v>-0.17</v>
      </c>
      <c r="I168" s="31" t="n">
        <v>22102</v>
      </c>
      <c r="J168" s="31" t="inlineStr">
        <is>
          <t>590013</t>
        </is>
      </c>
    </row>
    <row r="169">
      <c r="A169" s="31" t="inlineStr">
        <is>
          <t>ARMANFIN</t>
        </is>
      </c>
      <c r="B169" s="31" t="inlineStr">
        <is>
          <t>Arman Financial Services Limited</t>
        </is>
      </c>
      <c r="C169" s="31" t="inlineStr">
        <is>
          <t>financials</t>
        </is>
      </c>
      <c r="D169" s="31" t="inlineStr">
        <is>
          <t>finance &amp; investments</t>
        </is>
      </c>
      <c r="E169" s="31" t="inlineStr">
        <is>
          <t>smallcap</t>
        </is>
      </c>
      <c r="F169" s="31" t="n">
        <v>2058.64</v>
      </c>
      <c r="G169" s="31" t="n">
        <v>1958.2</v>
      </c>
      <c r="H169" s="31" t="n">
        <v>-0.18</v>
      </c>
      <c r="I169" s="31" t="n">
        <v>30012</v>
      </c>
      <c r="J169" s="31" t="inlineStr">
        <is>
          <t>531179</t>
        </is>
      </c>
    </row>
    <row r="170">
      <c r="A170" s="31" t="inlineStr">
        <is>
          <t>SKYGOLD</t>
        </is>
      </c>
      <c r="B170" s="31" t="inlineStr">
        <is>
          <t>Sky Gold Ltd</t>
        </is>
      </c>
      <c r="C170" s="31" t="inlineStr">
        <is>
          <t>consumer discretionary</t>
        </is>
      </c>
      <c r="D170" s="31" t="inlineStr">
        <is>
          <t>diamond cutting / jewellery</t>
        </is>
      </c>
      <c r="E170" s="31" t="inlineStr">
        <is>
          <t>midcap</t>
        </is>
      </c>
      <c r="F170" s="31" t="n">
        <v>9622.309999999999</v>
      </c>
      <c r="G170" s="31" t="n">
        <v>621.3</v>
      </c>
      <c r="H170" s="31" t="n">
        <v>-0.18</v>
      </c>
      <c r="I170" s="31" t="n">
        <v>804246</v>
      </c>
      <c r="J170" s="31" t="inlineStr">
        <is>
          <t>541967</t>
        </is>
      </c>
    </row>
    <row r="171">
      <c r="A171" s="31" t="inlineStr">
        <is>
          <t>KAJARIACER</t>
        </is>
      </c>
      <c r="B171" s="31" t="inlineStr">
        <is>
          <t>Kajaria Ceramics Limited</t>
        </is>
      </c>
      <c r="C171" s="31" t="inlineStr">
        <is>
          <t>building materials</t>
        </is>
      </c>
      <c r="D171" s="31" t="inlineStr">
        <is>
          <t>ceramics - tiles / sanitaryware</t>
        </is>
      </c>
      <c r="E171" s="31" t="inlineStr">
        <is>
          <t>midcap</t>
        </is>
      </c>
      <c r="F171" s="31" t="n">
        <v>19741.8</v>
      </c>
      <c r="G171" s="31" t="n">
        <v>1239.5</v>
      </c>
      <c r="H171" s="31" t="n">
        <v>-0.19</v>
      </c>
      <c r="I171" s="31" t="n">
        <v>133918</v>
      </c>
      <c r="J171" s="31" t="inlineStr">
        <is>
          <t>500233</t>
        </is>
      </c>
    </row>
    <row r="172">
      <c r="A172" s="31" t="inlineStr">
        <is>
          <t>RADICO</t>
        </is>
      </c>
      <c r="B172" s="31" t="inlineStr">
        <is>
          <t>Radico Khaitan Limited</t>
        </is>
      </c>
      <c r="C172" s="31" t="inlineStr">
        <is>
          <t>fmcg</t>
        </is>
      </c>
      <c r="D172" s="31" t="inlineStr">
        <is>
          <t>breweries &amp; distilleries</t>
        </is>
      </c>
      <c r="E172" s="31" t="inlineStr">
        <is>
          <t>largecap</t>
        </is>
      </c>
      <c r="F172" s="31" t="n">
        <v>54870.03</v>
      </c>
      <c r="G172" s="31" t="n">
        <v>4097.9</v>
      </c>
      <c r="H172" s="31" t="n">
        <v>-0.2</v>
      </c>
      <c r="I172" s="31" t="n">
        <v>261239</v>
      </c>
      <c r="J172" s="31" t="inlineStr">
        <is>
          <t>532497</t>
        </is>
      </c>
    </row>
    <row r="173">
      <c r="A173" s="31" t="inlineStr">
        <is>
          <t>NH</t>
        </is>
      </c>
      <c r="B173" s="31" t="inlineStr">
        <is>
          <t>Narayana Hrudayalaya Ltd.</t>
        </is>
      </c>
      <c r="C173" s="31" t="inlineStr">
        <is>
          <t>healthcare</t>
        </is>
      </c>
      <c r="D173" s="31" t="inlineStr">
        <is>
          <t>healthcare</t>
        </is>
      </c>
      <c r="E173" s="31" t="inlineStr">
        <is>
          <t>largecap</t>
        </is>
      </c>
      <c r="F173" s="31" t="n">
        <v>41475.03</v>
      </c>
      <c r="G173" s="31" t="n">
        <v>2029.5</v>
      </c>
      <c r="H173" s="31" t="n">
        <v>-0.26</v>
      </c>
      <c r="I173" s="31" t="n">
        <v>167206</v>
      </c>
      <c r="J173" s="31" t="inlineStr">
        <is>
          <t>539551</t>
        </is>
      </c>
    </row>
    <row r="174">
      <c r="A174" s="31" t="inlineStr">
        <is>
          <t>SENCO</t>
        </is>
      </c>
      <c r="B174" s="31" t="inlineStr">
        <is>
          <t>Senco Gold Ltd</t>
        </is>
      </c>
      <c r="C174" s="31" t="inlineStr">
        <is>
          <t>consumer discretionary</t>
        </is>
      </c>
      <c r="D174" s="31" t="inlineStr">
        <is>
          <t>diamond cutting / jewellery</t>
        </is>
      </c>
      <c r="E174" s="31" t="inlineStr">
        <is>
          <t>midcap</t>
        </is>
      </c>
      <c r="F174" s="31" t="n">
        <v>5971.57</v>
      </c>
      <c r="G174" s="31" t="n">
        <v>364.55</v>
      </c>
      <c r="H174" s="31" t="n">
        <v>-0.26</v>
      </c>
      <c r="I174" s="31" t="n">
        <v>883913</v>
      </c>
      <c r="J174" s="31" t="inlineStr">
        <is>
          <t>543936</t>
        </is>
      </c>
    </row>
    <row r="175">
      <c r="A175" s="31" t="inlineStr">
        <is>
          <t>OCCLLTD</t>
        </is>
      </c>
      <c r="B175" s="31" t="inlineStr">
        <is>
          <t>OCCL Ltd</t>
        </is>
      </c>
      <c r="C175" s="31" t="inlineStr">
        <is>
          <t>chemicals</t>
        </is>
      </c>
      <c r="D175" s="31" t="inlineStr">
        <is>
          <t>chemicals</t>
        </is>
      </c>
      <c r="E175" s="31" t="inlineStr">
        <is>
          <t>smallcap</t>
        </is>
      </c>
      <c r="F175" s="31" t="n">
        <v>675.6799999999999</v>
      </c>
      <c r="G175" s="31" t="n">
        <v>135.27</v>
      </c>
      <c r="H175" s="31" t="n">
        <v>-0.29</v>
      </c>
      <c r="I175" s="31" t="n">
        <v>59920</v>
      </c>
      <c r="J175" s="31" t="inlineStr">
        <is>
          <t>544278</t>
        </is>
      </c>
    </row>
    <row r="176">
      <c r="A176" s="31" t="inlineStr">
        <is>
          <t>INDIGO</t>
        </is>
      </c>
      <c r="B176" s="31" t="inlineStr">
        <is>
          <t>Interglobe Aviation Limited</t>
        </is>
      </c>
      <c r="C176" s="31" t="inlineStr">
        <is>
          <t>transportation</t>
        </is>
      </c>
      <c r="D176" s="31" t="inlineStr">
        <is>
          <t>transport - airlines</t>
        </is>
      </c>
      <c r="E176" s="31" t="inlineStr">
        <is>
          <t>largecap</t>
        </is>
      </c>
      <c r="F176" s="31" t="n">
        <v>202913.83</v>
      </c>
      <c r="G176" s="31" t="n">
        <v>5248.5</v>
      </c>
      <c r="H176" s="31" t="n">
        <v>-0.32</v>
      </c>
      <c r="I176" s="31" t="n">
        <v>609593</v>
      </c>
      <c r="J176" s="31" t="inlineStr">
        <is>
          <t>539448</t>
        </is>
      </c>
    </row>
    <row r="177">
      <c r="A177" s="31" t="inlineStr">
        <is>
          <t>ANANDRATHI</t>
        </is>
      </c>
      <c r="B177" s="31" t="inlineStr">
        <is>
          <t>Anand Rathi Wealth Ltd</t>
        </is>
      </c>
      <c r="C177" s="31" t="inlineStr">
        <is>
          <t>financials</t>
        </is>
      </c>
      <c r="D177" s="31" t="inlineStr">
        <is>
          <t>finance &amp; investments</t>
        </is>
      </c>
      <c r="E177" s="31" t="inlineStr">
        <is>
          <t>largecap</t>
        </is>
      </c>
      <c r="F177" s="31" t="n">
        <v>34415.37</v>
      </c>
      <c r="G177" s="31" t="n">
        <v>2072.7</v>
      </c>
      <c r="H177" s="31" t="n">
        <v>-0.33</v>
      </c>
      <c r="I177" s="31" t="n">
        <v>148521</v>
      </c>
      <c r="J177" s="31" t="inlineStr">
        <is>
          <t>543415</t>
        </is>
      </c>
    </row>
    <row r="178">
      <c r="A178" s="31" t="inlineStr">
        <is>
          <t>MAHLOG</t>
        </is>
      </c>
      <c r="B178" s="31" t="inlineStr">
        <is>
          <t>Mahindra Logistics Ltd</t>
        </is>
      </c>
      <c r="C178" s="31" t="inlineStr">
        <is>
          <t>transportation</t>
        </is>
      </c>
      <c r="D178" s="31" t="inlineStr">
        <is>
          <t>miscellaneous</t>
        </is>
      </c>
      <c r="E178" s="31" t="inlineStr">
        <is>
          <t>smallcap</t>
        </is>
      </c>
      <c r="F178" s="31" t="n">
        <v>3843.38</v>
      </c>
      <c r="G178" s="31" t="n">
        <v>387.35</v>
      </c>
      <c r="H178" s="31" t="n">
        <v>-0.33</v>
      </c>
      <c r="I178" s="31" t="n">
        <v>164352</v>
      </c>
      <c r="J178" s="31" t="inlineStr">
        <is>
          <t>540768</t>
        </is>
      </c>
    </row>
    <row r="179">
      <c r="A179" s="31" t="inlineStr">
        <is>
          <t>GODREJIND</t>
        </is>
      </c>
      <c r="B179" s="31" t="inlineStr">
        <is>
          <t>Godrej Industries Limited</t>
        </is>
      </c>
      <c r="C179" s="31" t="inlineStr">
        <is>
          <t>chemicals</t>
        </is>
      </c>
      <c r="D179" s="31" t="inlineStr">
        <is>
          <t>chemicals</t>
        </is>
      </c>
      <c r="E179" s="31" t="inlineStr">
        <is>
          <t>largecap</t>
        </is>
      </c>
      <c r="F179" s="31" t="n">
        <v>44953.34</v>
      </c>
      <c r="G179" s="31" t="n">
        <v>1334.7</v>
      </c>
      <c r="H179" s="31" t="n">
        <v>-0.34</v>
      </c>
      <c r="I179" s="31" t="n">
        <v>132872</v>
      </c>
      <c r="J179" s="31" t="inlineStr">
        <is>
          <t>500164</t>
        </is>
      </c>
    </row>
    <row r="180">
      <c r="A180" s="31" t="inlineStr">
        <is>
          <t>CENTUM</t>
        </is>
      </c>
      <c r="B180" s="31" t="inlineStr">
        <is>
          <t>Centum Electronics Limited</t>
        </is>
      </c>
      <c r="C180" s="31" t="inlineStr">
        <is>
          <t>consumer discretionary</t>
        </is>
      </c>
      <c r="D180" s="31" t="inlineStr">
        <is>
          <t>electronics - components</t>
        </is>
      </c>
      <c r="E180" s="31" t="inlineStr">
        <is>
          <t>midcap</t>
        </is>
      </c>
      <c r="F180" s="31" t="n">
        <v>5477.66</v>
      </c>
      <c r="G180" s="31" t="n">
        <v>3711.4</v>
      </c>
      <c r="H180" s="31" t="n">
        <v>-0.34</v>
      </c>
      <c r="I180" s="31" t="n">
        <v>35768</v>
      </c>
      <c r="J180" s="31" t="inlineStr">
        <is>
          <t>517544</t>
        </is>
      </c>
    </row>
    <row r="181">
      <c r="A181" s="31" t="inlineStr">
        <is>
          <t>PGIL</t>
        </is>
      </c>
      <c r="B181" s="31" t="inlineStr">
        <is>
          <t>Pearl Global Industries Limited</t>
        </is>
      </c>
      <c r="C181" s="31" t="inlineStr">
        <is>
          <t>consumer discretionary</t>
        </is>
      </c>
      <c r="D181" s="31" t="inlineStr">
        <is>
          <t>textiles - products</t>
        </is>
      </c>
      <c r="E181" s="31" t="inlineStr">
        <is>
          <t>midcap</t>
        </is>
      </c>
      <c r="F181" s="31" t="n">
        <v>9427.559999999999</v>
      </c>
      <c r="G181" s="31" t="n">
        <v>2041.3</v>
      </c>
      <c r="H181" s="31" t="n">
        <v>-0.35</v>
      </c>
      <c r="I181" s="31" t="n">
        <v>74672</v>
      </c>
      <c r="J181" s="31" t="inlineStr">
        <is>
          <t>532808</t>
        </is>
      </c>
    </row>
    <row r="182">
      <c r="A182" s="31" t="inlineStr">
        <is>
          <t>MUKANDLTD</t>
        </is>
      </c>
      <c r="B182" s="31" t="inlineStr">
        <is>
          <t>Mukand Limited</t>
        </is>
      </c>
      <c r="C182" s="31" t="inlineStr">
        <is>
          <t>metals &amp; mining</t>
        </is>
      </c>
      <c r="D182" s="31" t="inlineStr">
        <is>
          <t>steel - medium / small</t>
        </is>
      </c>
      <c r="E182" s="31" t="inlineStr">
        <is>
          <t>smallcap</t>
        </is>
      </c>
      <c r="F182" s="31" t="n">
        <v>2105.16</v>
      </c>
      <c r="G182" s="31" t="n">
        <v>145.69</v>
      </c>
      <c r="H182" s="31" t="n">
        <v>-0.35</v>
      </c>
      <c r="I182" s="31" t="n">
        <v>451938</v>
      </c>
      <c r="J182" s="31" t="inlineStr">
        <is>
          <t>500460</t>
        </is>
      </c>
    </row>
    <row r="183">
      <c r="A183" s="31" t="inlineStr">
        <is>
          <t>ULTRACEMCO</t>
        </is>
      </c>
      <c r="B183" s="31" t="inlineStr">
        <is>
          <t>Ultratech Cement Limited</t>
        </is>
      </c>
      <c r="C183" s="31" t="inlineStr">
        <is>
          <t>building materials</t>
        </is>
      </c>
      <c r="D183" s="31" t="inlineStr">
        <is>
          <t>cement - north india</t>
        </is>
      </c>
      <c r="E183" s="31" t="inlineStr">
        <is>
          <t>largecap</t>
        </is>
      </c>
      <c r="F183" s="31" t="n">
        <v>345570.26</v>
      </c>
      <c r="G183" s="31" t="n">
        <v>11727</v>
      </c>
      <c r="H183" s="31" t="n">
        <v>-0.37</v>
      </c>
      <c r="I183" s="31" t="n">
        <v>247044</v>
      </c>
      <c r="J183" s="31" t="inlineStr">
        <is>
          <t>532538</t>
        </is>
      </c>
    </row>
    <row r="184">
      <c r="A184" s="31" t="inlineStr">
        <is>
          <t>SUMICHEM</t>
        </is>
      </c>
      <c r="B184" s="31" t="inlineStr">
        <is>
          <t>Sumitomo Chemical India Ltd</t>
        </is>
      </c>
      <c r="C184" s="31" t="inlineStr">
        <is>
          <t>chemicals</t>
        </is>
      </c>
      <c r="D184" s="31" t="inlineStr">
        <is>
          <t>pesticides / agrochemicals - indian</t>
        </is>
      </c>
      <c r="E184" s="31" t="inlineStr">
        <is>
          <t>largecap</t>
        </is>
      </c>
      <c r="F184" s="31" t="n">
        <v>26881.49</v>
      </c>
      <c r="G184" s="31" t="n">
        <v>538.55</v>
      </c>
      <c r="H184" s="31" t="n">
        <v>-0.37</v>
      </c>
      <c r="I184" s="31" t="n">
        <v>762912</v>
      </c>
      <c r="J184" s="31" t="inlineStr">
        <is>
          <t>542920</t>
        </is>
      </c>
    </row>
    <row r="185">
      <c r="A185" s="31" t="inlineStr">
        <is>
          <t>TEXINFRA</t>
        </is>
      </c>
      <c r="B185" s="31" t="inlineStr">
        <is>
          <t>Texmaco Infrastructure &amp; Holdings Limited</t>
        </is>
      </c>
      <c r="C185" s="31" t="inlineStr">
        <is>
          <t>realty</t>
        </is>
      </c>
      <c r="D185" s="31" t="inlineStr">
        <is>
          <t>construction</t>
        </is>
      </c>
      <c r="E185" s="31" t="inlineStr">
        <is>
          <t>smallcap</t>
        </is>
      </c>
      <c r="F185" s="31" t="n">
        <v>1447.06</v>
      </c>
      <c r="G185" s="31" t="n">
        <v>113.56</v>
      </c>
      <c r="H185" s="31" t="n">
        <v>-0.37</v>
      </c>
      <c r="I185" s="31" t="n">
        <v>103259</v>
      </c>
      <c r="J185" s="31" t="inlineStr">
        <is>
          <t>505400</t>
        </is>
      </c>
    </row>
    <row r="186">
      <c r="A186" s="31" t="inlineStr">
        <is>
          <t>SGIL</t>
        </is>
      </c>
      <c r="B186" s="31" t="inlineStr">
        <is>
          <t>Synergy Green Industries Ltd</t>
        </is>
      </c>
      <c r="C186" s="31" t="inlineStr">
        <is>
          <t>industrials</t>
        </is>
      </c>
      <c r="D186" s="31" t="inlineStr">
        <is>
          <t>castings &amp; forgings</t>
        </is>
      </c>
      <c r="E186" s="31" t="inlineStr">
        <is>
          <t>smallcap</t>
        </is>
      </c>
      <c r="F186" s="31" t="n">
        <v>925.4299999999999</v>
      </c>
      <c r="G186" s="31" t="n">
        <v>595.4</v>
      </c>
      <c r="H186" s="31" t="n">
        <v>-0.38</v>
      </c>
      <c r="I186" s="31" t="n">
        <v>4354</v>
      </c>
      <c r="J186" s="31" t="inlineStr">
        <is>
          <t>541929</t>
        </is>
      </c>
    </row>
    <row r="187">
      <c r="A187" s="31" t="inlineStr">
        <is>
          <t>REDINGTON</t>
        </is>
      </c>
      <c r="B187" s="31" t="inlineStr">
        <is>
          <t>Redington (india) Limited</t>
        </is>
      </c>
      <c r="C187" s="31" t="inlineStr">
        <is>
          <t>services</t>
        </is>
      </c>
      <c r="D187" s="31" t="inlineStr">
        <is>
          <t>trading</t>
        </is>
      </c>
      <c r="E187" s="31" t="inlineStr">
        <is>
          <t>largecap</t>
        </is>
      </c>
      <c r="F187" s="31" t="n">
        <v>21502.71</v>
      </c>
      <c r="G187" s="31" t="n">
        <v>275.05</v>
      </c>
      <c r="H187" s="31" t="n">
        <v>-0.38</v>
      </c>
      <c r="I187" s="31" t="n">
        <v>1289125</v>
      </c>
      <c r="J187" s="31" t="inlineStr">
        <is>
          <t>532805</t>
        </is>
      </c>
    </row>
    <row r="188">
      <c r="A188" s="31" t="inlineStr">
        <is>
          <t>CENTENKA</t>
        </is>
      </c>
      <c r="B188" s="31" t="inlineStr">
        <is>
          <t>Century Enka Limited</t>
        </is>
      </c>
      <c r="C188" s="31" t="inlineStr">
        <is>
          <t>textiles</t>
        </is>
      </c>
      <c r="D188" s="31" t="inlineStr">
        <is>
          <t>textiles - manmade</t>
        </is>
      </c>
      <c r="E188" s="31" t="inlineStr">
        <is>
          <t>smallcap</t>
        </is>
      </c>
      <c r="F188" s="31" t="n">
        <v>1182.99</v>
      </c>
      <c r="G188" s="31" t="n">
        <v>541.4</v>
      </c>
      <c r="H188" s="31" t="n">
        <v>-0.43</v>
      </c>
      <c r="I188" s="31" t="n">
        <v>38212</v>
      </c>
      <c r="J188" s="31" t="inlineStr">
        <is>
          <t>500280</t>
        </is>
      </c>
    </row>
    <row r="189">
      <c r="A189" s="31" t="inlineStr">
        <is>
          <t>DEEPAKFERT</t>
        </is>
      </c>
      <c r="B189" s="31" t="inlineStr">
        <is>
          <t>Deepak Fertilizers And Petrochemicals Corporation Limited</t>
        </is>
      </c>
      <c r="C189" s="31" t="inlineStr">
        <is>
          <t>chemicals</t>
        </is>
      </c>
      <c r="D189" s="31" t="inlineStr">
        <is>
          <t>chemicals</t>
        </is>
      </c>
      <c r="E189" s="31" t="inlineStr">
        <is>
          <t>largecap</t>
        </is>
      </c>
      <c r="F189" s="31" t="n">
        <v>20122.31</v>
      </c>
      <c r="G189" s="31" t="n">
        <v>1594</v>
      </c>
      <c r="H189" s="31" t="n">
        <v>-0.44</v>
      </c>
      <c r="I189" s="31" t="n">
        <v>203936</v>
      </c>
      <c r="J189" s="31" t="inlineStr">
        <is>
          <t>500645</t>
        </is>
      </c>
    </row>
    <row r="190">
      <c r="A190" s="31" t="inlineStr">
        <is>
          <t>SUBEXLTD</t>
        </is>
      </c>
      <c r="B190" s="31" t="inlineStr">
        <is>
          <t>Subex Ltd</t>
        </is>
      </c>
      <c r="C190" s="31" t="inlineStr">
        <is>
          <t>i.t</t>
        </is>
      </c>
      <c r="D190" s="31" t="inlineStr">
        <is>
          <t>computers - software - medium / small</t>
        </is>
      </c>
      <c r="E190" s="31" t="inlineStr">
        <is>
          <t>smallcap</t>
        </is>
      </c>
      <c r="F190" s="31" t="n">
        <v>745.78</v>
      </c>
      <c r="G190" s="31" t="n">
        <v>13.27</v>
      </c>
      <c r="H190" s="31" t="n">
        <v>-0.45</v>
      </c>
      <c r="I190" s="31" t="n">
        <v>649643</v>
      </c>
      <c r="J190" s="31" t="inlineStr">
        <is>
          <t>532348</t>
        </is>
      </c>
    </row>
    <row r="191">
      <c r="A191" s="31" t="inlineStr">
        <is>
          <t>ICEMAKE</t>
        </is>
      </c>
      <c r="B191" s="31" t="inlineStr">
        <is>
          <t>ICE Make Refrigeration Ltd</t>
        </is>
      </c>
      <c r="C191" s="31" t="inlineStr">
        <is>
          <t>industrials</t>
        </is>
      </c>
      <c r="D191" s="31" t="inlineStr">
        <is>
          <t>engineering</t>
        </is>
      </c>
      <c r="E191" s="31" t="inlineStr">
        <is>
          <t>smallcap</t>
        </is>
      </c>
      <c r="F191" s="31" t="n">
        <v>1263.64</v>
      </c>
      <c r="G191" s="31" t="n">
        <v>800.8</v>
      </c>
      <c r="H191" s="31" t="n">
        <v>-0.48</v>
      </c>
      <c r="I191" s="31" t="n">
        <v>26288</v>
      </c>
      <c r="J191" s="31" t="inlineStr">
        <is>
          <t>535034</t>
        </is>
      </c>
    </row>
    <row r="192">
      <c r="A192" s="31" t="inlineStr">
        <is>
          <t>PHOENIXLTD</t>
        </is>
      </c>
      <c r="B192" s="31" t="inlineStr">
        <is>
          <t>The Phoenix Mills Limited</t>
        </is>
      </c>
      <c r="C192" s="31" t="inlineStr">
        <is>
          <t>realty</t>
        </is>
      </c>
      <c r="D192" s="31" t="inlineStr">
        <is>
          <t>construction</t>
        </is>
      </c>
      <c r="E192" s="31" t="inlineStr">
        <is>
          <t>largecap</t>
        </is>
      </c>
      <c r="F192" s="31" t="n">
        <v>74239.00999999999</v>
      </c>
      <c r="G192" s="31" t="n">
        <v>2075.8</v>
      </c>
      <c r="H192" s="31" t="n">
        <v>-0.5</v>
      </c>
      <c r="I192" s="31" t="n">
        <v>590982</v>
      </c>
      <c r="J192" s="31" t="inlineStr">
        <is>
          <t>503100</t>
        </is>
      </c>
    </row>
    <row r="193">
      <c r="A193" s="31" t="inlineStr">
        <is>
          <t>SRF</t>
        </is>
      </c>
      <c r="B193" s="31" t="inlineStr">
        <is>
          <t>Srf Limited</t>
        </is>
      </c>
      <c r="C193" s="31" t="inlineStr">
        <is>
          <t>chemicals</t>
        </is>
      </c>
      <c r="D193" s="31" t="inlineStr">
        <is>
          <t>chemicals</t>
        </is>
      </c>
      <c r="E193" s="31" t="inlineStr">
        <is>
          <t>largecap</t>
        </is>
      </c>
      <c r="F193" s="31" t="n">
        <v>85213.24000000001</v>
      </c>
      <c r="G193" s="31" t="n">
        <v>2874.7</v>
      </c>
      <c r="H193" s="31" t="n">
        <v>-0.51</v>
      </c>
      <c r="I193" s="31" t="n">
        <v>232559</v>
      </c>
      <c r="J193" s="31" t="inlineStr">
        <is>
          <t>503806</t>
        </is>
      </c>
    </row>
    <row r="194">
      <c r="A194" s="31" t="inlineStr">
        <is>
          <t>RISHABH</t>
        </is>
      </c>
      <c r="B194" s="31" t="inlineStr">
        <is>
          <t>Rishabh Instruments Ltd</t>
        </is>
      </c>
      <c r="C194" s="31" t="inlineStr">
        <is>
          <t>industrials</t>
        </is>
      </c>
      <c r="D194" s="31" t="inlineStr">
        <is>
          <t>electric equipment</t>
        </is>
      </c>
      <c r="E194" s="31" t="inlineStr">
        <is>
          <t>smallcap</t>
        </is>
      </c>
      <c r="F194" s="31" t="n">
        <v>2529</v>
      </c>
      <c r="G194" s="31" t="n">
        <v>656.1</v>
      </c>
      <c r="H194" s="31" t="n">
        <v>-0.52</v>
      </c>
      <c r="I194" s="31" t="n">
        <v>288715</v>
      </c>
      <c r="J194" s="31" t="inlineStr">
        <is>
          <t>543977</t>
        </is>
      </c>
    </row>
    <row r="195">
      <c r="A195" s="31" t="inlineStr">
        <is>
          <t>SUNDRMFAST</t>
        </is>
      </c>
      <c r="B195" s="31" t="inlineStr">
        <is>
          <t>Sundram Fasteners Limited</t>
        </is>
      </c>
      <c r="C195" s="31" t="inlineStr">
        <is>
          <t>auto</t>
        </is>
      </c>
      <c r="D195" s="31" t="inlineStr">
        <is>
          <t>auto ancillaries</t>
        </is>
      </c>
      <c r="E195" s="31" t="inlineStr">
        <is>
          <t>largecap</t>
        </is>
      </c>
      <c r="F195" s="31" t="n">
        <v>20284.74</v>
      </c>
      <c r="G195" s="31" t="n">
        <v>965.35</v>
      </c>
      <c r="H195" s="31" t="n">
        <v>-0.52</v>
      </c>
      <c r="I195" s="31" t="n">
        <v>59356</v>
      </c>
      <c r="J195" s="31" t="inlineStr">
        <is>
          <t>500403</t>
        </is>
      </c>
    </row>
    <row r="196">
      <c r="A196" s="31" t="inlineStr">
        <is>
          <t>MONARCH</t>
        </is>
      </c>
      <c r="B196" s="31" t="inlineStr">
        <is>
          <t>Monarch Networth Capital Ltd</t>
        </is>
      </c>
      <c r="C196" s="31" t="inlineStr">
        <is>
          <t>financials</t>
        </is>
      </c>
      <c r="D196" s="31" t="inlineStr">
        <is>
          <t>finance &amp; investments</t>
        </is>
      </c>
      <c r="E196" s="31" t="inlineStr">
        <is>
          <t>smallcap</t>
        </is>
      </c>
      <c r="F196" s="31" t="n">
        <v>2859.46</v>
      </c>
      <c r="G196" s="31" t="n">
        <v>360.55</v>
      </c>
      <c r="H196" s="31" t="n">
        <v>-0.52</v>
      </c>
      <c r="I196" s="31" t="n">
        <v>211116</v>
      </c>
      <c r="J196" s="31" t="inlineStr">
        <is>
          <t>511551</t>
        </is>
      </c>
    </row>
    <row r="197">
      <c r="A197" s="31" t="inlineStr">
        <is>
          <t>RANEHOLDIN</t>
        </is>
      </c>
      <c r="B197" s="31" t="inlineStr">
        <is>
          <t>Rane Holdings Limited</t>
        </is>
      </c>
      <c r="C197" s="31" t="inlineStr">
        <is>
          <t>financials</t>
        </is>
      </c>
      <c r="D197" s="31" t="inlineStr">
        <is>
          <t>finance &amp; investments</t>
        </is>
      </c>
      <c r="E197" s="31" t="inlineStr">
        <is>
          <t>smallcap</t>
        </is>
      </c>
      <c r="F197" s="31" t="n">
        <v>2468.92</v>
      </c>
      <c r="G197" s="31" t="n">
        <v>1729.2</v>
      </c>
      <c r="H197" s="31" t="n">
        <v>-0.54</v>
      </c>
      <c r="I197" s="31" t="n">
        <v>8638</v>
      </c>
      <c r="J197" s="31" t="inlineStr">
        <is>
          <t>505800</t>
        </is>
      </c>
    </row>
    <row r="198">
      <c r="A198" s="31" t="inlineStr">
        <is>
          <t>BANDHANBNK</t>
        </is>
      </c>
      <c r="B198" s="31" t="inlineStr">
        <is>
          <t>Bandhan Bank Ltd</t>
        </is>
      </c>
      <c r="C198" s="31" t="inlineStr">
        <is>
          <t>bank</t>
        </is>
      </c>
      <c r="D198" s="31" t="inlineStr">
        <is>
          <t>banks - private sector</t>
        </is>
      </c>
      <c r="E198" s="31" t="inlineStr">
        <is>
          <t>largecap</t>
        </is>
      </c>
      <c r="F198" s="31" t="n">
        <v>34353.98</v>
      </c>
      <c r="G198" s="31" t="n">
        <v>213.25</v>
      </c>
      <c r="H198" s="31" t="n">
        <v>-0.55</v>
      </c>
      <c r="I198" s="31" t="n">
        <v>6777972</v>
      </c>
      <c r="J198" s="31" t="inlineStr">
        <is>
          <t>541153</t>
        </is>
      </c>
    </row>
    <row r="199">
      <c r="A199" s="31" t="inlineStr">
        <is>
          <t>STOVEKRAFT</t>
        </is>
      </c>
      <c r="B199" s="31" t="inlineStr">
        <is>
          <t>Stove Kraft Ltd</t>
        </is>
      </c>
      <c r="C199" s="31" t="inlineStr">
        <is>
          <t>consumer discretionary</t>
        </is>
      </c>
      <c r="D199" s="31" t="inlineStr">
        <is>
          <t>domestic appliances</t>
        </is>
      </c>
      <c r="E199" s="31" t="inlineStr">
        <is>
          <t>smallcap</t>
        </is>
      </c>
      <c r="F199" s="31" t="n">
        <v>2560.02</v>
      </c>
      <c r="G199" s="31" t="n">
        <v>773.25</v>
      </c>
      <c r="H199" s="31" t="n">
        <v>-0.55</v>
      </c>
      <c r="I199" s="31" t="n">
        <v>90497</v>
      </c>
      <c r="J199" s="31" t="inlineStr">
        <is>
          <t>543260</t>
        </is>
      </c>
    </row>
    <row r="200">
      <c r="A200" s="31" t="inlineStr">
        <is>
          <t>NYKAA</t>
        </is>
      </c>
      <c r="B200" s="31" t="inlineStr">
        <is>
          <t>FSN E-Commerce Ventures Ltd</t>
        </is>
      </c>
      <c r="C200" s="31" t="inlineStr">
        <is>
          <t>i.t</t>
        </is>
      </c>
      <c r="D200" s="31" t="inlineStr">
        <is>
          <t>trading</t>
        </is>
      </c>
      <c r="E200" s="31" t="inlineStr">
        <is>
          <t>largecap</t>
        </is>
      </c>
      <c r="F200" s="31" t="n">
        <v>92496.56</v>
      </c>
      <c r="G200" s="31" t="n">
        <v>323.05</v>
      </c>
      <c r="H200" s="31" t="n">
        <v>-0.55</v>
      </c>
      <c r="I200" s="31" t="n">
        <v>4054644</v>
      </c>
      <c r="J200" s="31" t="inlineStr">
        <is>
          <t>543384</t>
        </is>
      </c>
    </row>
    <row r="201">
      <c r="A201" s="31" t="inlineStr">
        <is>
          <t>PNGJL</t>
        </is>
      </c>
      <c r="B201" s="31" t="inlineStr">
        <is>
          <t>P N Gadgil Jewellers Ltd</t>
        </is>
      </c>
      <c r="C201" s="31" t="inlineStr">
        <is>
          <t>consumer discretionary</t>
        </is>
      </c>
      <c r="D201" s="31" t="inlineStr">
        <is>
          <t>diamond cutting / jewellery</t>
        </is>
      </c>
      <c r="E201" s="31" t="inlineStr">
        <is>
          <t>midcap</t>
        </is>
      </c>
      <c r="F201" s="31" t="n">
        <v>8030.54</v>
      </c>
      <c r="G201" s="31" t="n">
        <v>591.75</v>
      </c>
      <c r="H201" s="31" t="n">
        <v>-0.55</v>
      </c>
      <c r="I201" s="31" t="n">
        <v>130571</v>
      </c>
      <c r="J201" s="31" t="n"/>
    </row>
    <row r="202">
      <c r="A202" s="31" t="inlineStr">
        <is>
          <t>MACPOWER</t>
        </is>
      </c>
      <c r="B202" s="31" t="inlineStr">
        <is>
          <t>Macpower CNC Machines Ltd</t>
        </is>
      </c>
      <c r="C202" s="31" t="inlineStr">
        <is>
          <t>industrials</t>
        </is>
      </c>
      <c r="D202" s="31" t="inlineStr">
        <is>
          <t>engineering</t>
        </is>
      </c>
      <c r="E202" s="31" t="inlineStr">
        <is>
          <t>smallcap</t>
        </is>
      </c>
      <c r="F202" s="31" t="n">
        <v>1327.25</v>
      </c>
      <c r="G202" s="31" t="n">
        <v>1326.7</v>
      </c>
      <c r="H202" s="31" t="n">
        <v>-0.59</v>
      </c>
      <c r="I202" s="31" t="n">
        <v>12606</v>
      </c>
      <c r="J202" s="31" t="inlineStr">
        <is>
          <t>535057</t>
        </is>
      </c>
    </row>
    <row r="203">
      <c r="A203" s="31" t="inlineStr">
        <is>
          <t>JAYAGROGN</t>
        </is>
      </c>
      <c r="B203" s="31" t="inlineStr">
        <is>
          <t>Jayant Agro Organics Limited</t>
        </is>
      </c>
      <c r="C203" s="31" t="inlineStr">
        <is>
          <t>chemicals</t>
        </is>
      </c>
      <c r="D203" s="31" t="inlineStr">
        <is>
          <t>chemicals</t>
        </is>
      </c>
      <c r="E203" s="31" t="inlineStr">
        <is>
          <t>smallcap</t>
        </is>
      </c>
      <c r="F203" s="31" t="n">
        <v>660.78</v>
      </c>
      <c r="G203" s="31" t="n">
        <v>220.26</v>
      </c>
      <c r="H203" s="31" t="n">
        <v>-0.59</v>
      </c>
      <c r="I203" s="31" t="n">
        <v>5703</v>
      </c>
      <c r="J203" s="31" t="inlineStr">
        <is>
          <t>524330</t>
        </is>
      </c>
    </row>
    <row r="204">
      <c r="A204" s="31" t="inlineStr">
        <is>
          <t>ASKAUTOLTD</t>
        </is>
      </c>
      <c r="B204" s="31" t="inlineStr">
        <is>
          <t>ASK Automotive Ltd</t>
        </is>
      </c>
      <c r="C204" s="31" t="inlineStr">
        <is>
          <t>auto</t>
        </is>
      </c>
      <c r="D204" s="31" t="inlineStr">
        <is>
          <t>auto ancillaries</t>
        </is>
      </c>
      <c r="E204" s="31" t="inlineStr">
        <is>
          <t>midcap</t>
        </is>
      </c>
      <c r="F204" s="31" t="n">
        <v>9504.24</v>
      </c>
      <c r="G204" s="31" t="n">
        <v>482.1</v>
      </c>
      <c r="H204" s="31" t="n">
        <v>-0.6</v>
      </c>
      <c r="I204" s="31" t="n">
        <v>118821</v>
      </c>
      <c r="J204" s="31" t="inlineStr">
        <is>
          <t>544022</t>
        </is>
      </c>
    </row>
    <row r="205">
      <c r="A205" s="31" t="inlineStr">
        <is>
          <t>IRISDOREME</t>
        </is>
      </c>
      <c r="B205" s="31" t="inlineStr">
        <is>
          <t>Iris Clothings Ltd</t>
        </is>
      </c>
      <c r="C205" s="31" t="inlineStr">
        <is>
          <t>consumer discretionary</t>
        </is>
      </c>
      <c r="D205" s="31" t="inlineStr">
        <is>
          <t>textiles - products</t>
        </is>
      </c>
      <c r="E205" s="31" t="inlineStr">
        <is>
          <t>smallcap</t>
        </is>
      </c>
      <c r="F205" s="31" t="n">
        <v>885.8</v>
      </c>
      <c r="G205" s="31" t="n">
        <v>46.54</v>
      </c>
      <c r="H205" s="31" t="n">
        <v>-0.6</v>
      </c>
      <c r="I205" s="31" t="n">
        <v>473379</v>
      </c>
      <c r="J205" s="31" t="inlineStr">
        <is>
          <t>535123</t>
        </is>
      </c>
    </row>
    <row r="206">
      <c r="A206" s="31" t="inlineStr">
        <is>
          <t>GRAVITA</t>
        </is>
      </c>
      <c r="B206" s="31" t="inlineStr">
        <is>
          <t>Gravita India Limited</t>
        </is>
      </c>
      <c r="C206" s="31" t="inlineStr">
        <is>
          <t>metals &amp; mining</t>
        </is>
      </c>
      <c r="D206" s="31" t="inlineStr">
        <is>
          <t>mining / minerals / metals</t>
        </is>
      </c>
      <c r="E206" s="31" t="inlineStr">
        <is>
          <t>midcap</t>
        </is>
      </c>
      <c r="F206" s="31" t="n">
        <v>13419.85</v>
      </c>
      <c r="G206" s="31" t="n">
        <v>1818.2</v>
      </c>
      <c r="H206" s="31" t="n">
        <v>-0.62</v>
      </c>
      <c r="I206" s="31" t="n">
        <v>211437</v>
      </c>
      <c r="J206" s="31" t="inlineStr">
        <is>
          <t>533282</t>
        </is>
      </c>
    </row>
    <row r="207">
      <c r="A207" s="31" t="inlineStr">
        <is>
          <t>SHRIPISTON</t>
        </is>
      </c>
      <c r="B207" s="31" t="inlineStr">
        <is>
          <t>Shriram Pistons &amp; Rings Limited</t>
        </is>
      </c>
      <c r="C207" s="31" t="inlineStr">
        <is>
          <t>auto</t>
        </is>
      </c>
      <c r="D207" s="31" t="inlineStr">
        <is>
          <t>auto ancillaries</t>
        </is>
      </c>
      <c r="E207" s="31" t="inlineStr">
        <is>
          <t>midcap</t>
        </is>
      </c>
      <c r="F207" s="31" t="n">
        <v>18368.34</v>
      </c>
      <c r="G207" s="31" t="n">
        <v>4169.9</v>
      </c>
      <c r="H207" s="31" t="n">
        <v>-0.63</v>
      </c>
      <c r="I207" s="31" t="n">
        <v>42047</v>
      </c>
      <c r="J207" s="31" t="n"/>
    </row>
    <row r="208">
      <c r="A208" s="31" t="inlineStr">
        <is>
          <t>SPORTKING</t>
        </is>
      </c>
      <c r="B208" s="31" t="inlineStr">
        <is>
          <t>Sportking India Ltd</t>
        </is>
      </c>
      <c r="C208" s="31" t="inlineStr">
        <is>
          <t>textiles</t>
        </is>
      </c>
      <c r="D208" s="31" t="inlineStr">
        <is>
          <t>textiles - spinning - synthetic / blended</t>
        </is>
      </c>
      <c r="E208" s="31" t="inlineStr">
        <is>
          <t>smallcap</t>
        </is>
      </c>
      <c r="F208" s="31" t="n">
        <v>2505.99</v>
      </c>
      <c r="G208" s="31" t="n">
        <v>197.21</v>
      </c>
      <c r="H208" s="31" t="n">
        <v>-0.65</v>
      </c>
      <c r="I208" s="31" t="n">
        <v>311698</v>
      </c>
      <c r="J208" s="31" t="inlineStr">
        <is>
          <t>539221</t>
        </is>
      </c>
    </row>
    <row r="209">
      <c r="A209" s="31" t="inlineStr">
        <is>
          <t>DIAMONDYD</t>
        </is>
      </c>
      <c r="B209" s="31" t="inlineStr">
        <is>
          <t>Prataap Snacks Ltd</t>
        </is>
      </c>
      <c r="C209" s="31" t="inlineStr">
        <is>
          <t>fmcg</t>
        </is>
      </c>
      <c r="D209" s="31" t="inlineStr">
        <is>
          <t>food - processing - indian</t>
        </is>
      </c>
      <c r="E209" s="31" t="inlineStr">
        <is>
          <t>smallcap</t>
        </is>
      </c>
      <c r="F209" s="31" t="n">
        <v>2814.03</v>
      </c>
      <c r="G209" s="31" t="n">
        <v>1176.9</v>
      </c>
      <c r="H209" s="31" t="n">
        <v>-0.66</v>
      </c>
      <c r="I209" s="31" t="n">
        <v>25563</v>
      </c>
      <c r="J209" s="31" t="inlineStr">
        <is>
          <t>540724</t>
        </is>
      </c>
    </row>
    <row r="210">
      <c r="A210" s="31" t="inlineStr">
        <is>
          <t>HONASA</t>
        </is>
      </c>
      <c r="B210" s="31" t="inlineStr">
        <is>
          <t>Honasa Consumer Ltd</t>
        </is>
      </c>
      <c r="C210" s="31" t="inlineStr">
        <is>
          <t>services</t>
        </is>
      </c>
      <c r="D210" s="31" t="inlineStr">
        <is>
          <t>trading</t>
        </is>
      </c>
      <c r="E210" s="31" t="inlineStr">
        <is>
          <t>midcap</t>
        </is>
      </c>
      <c r="F210" s="31" t="n">
        <v>15223.7</v>
      </c>
      <c r="G210" s="31" t="n">
        <v>466.95</v>
      </c>
      <c r="H210" s="31" t="n">
        <v>-0.67</v>
      </c>
      <c r="I210" s="31" t="n">
        <v>522989</v>
      </c>
      <c r="J210" s="31" t="inlineStr">
        <is>
          <t>544014</t>
        </is>
      </c>
    </row>
    <row r="211">
      <c r="A211" s="31" t="inlineStr">
        <is>
          <t>PRECOT</t>
        </is>
      </c>
      <c r="B211" s="31" t="inlineStr">
        <is>
          <t>Precot Meridian Limited</t>
        </is>
      </c>
      <c r="C211" s="31" t="inlineStr">
        <is>
          <t>textiles</t>
        </is>
      </c>
      <c r="D211" s="31" t="inlineStr">
        <is>
          <t>textiles - cotton/blended</t>
        </is>
      </c>
      <c r="E211" s="31" t="inlineStr">
        <is>
          <t>smallcap</t>
        </is>
      </c>
      <c r="F211" s="31" t="n">
        <v>990.36</v>
      </c>
      <c r="G211" s="31" t="n">
        <v>825.3</v>
      </c>
      <c r="H211" s="31" t="n">
        <v>-0.6899999999999999</v>
      </c>
      <c r="I211" s="31" t="n">
        <v>11523</v>
      </c>
      <c r="J211" s="31" t="inlineStr">
        <is>
          <t>521184</t>
        </is>
      </c>
    </row>
    <row r="212">
      <c r="A212" s="31" t="inlineStr">
        <is>
          <t>APOLLOHOSP</t>
        </is>
      </c>
      <c r="B212" s="31" t="inlineStr">
        <is>
          <t>Apollo Hospitals Enterprise Limited</t>
        </is>
      </c>
      <c r="C212" s="31" t="inlineStr">
        <is>
          <t>healthcare</t>
        </is>
      </c>
      <c r="D212" s="31" t="inlineStr">
        <is>
          <t>healthcare</t>
        </is>
      </c>
      <c r="E212" s="31" t="inlineStr">
        <is>
          <t>largecap</t>
        </is>
      </c>
      <c r="F212" s="31" t="n">
        <v>126904.34</v>
      </c>
      <c r="G212" s="31" t="n">
        <v>8826</v>
      </c>
      <c r="H212" s="31" t="n">
        <v>-0.7</v>
      </c>
      <c r="I212" s="31" t="n">
        <v>144563</v>
      </c>
      <c r="J212" s="31" t="inlineStr">
        <is>
          <t>508869</t>
        </is>
      </c>
    </row>
    <row r="213">
      <c r="A213" s="31" t="inlineStr">
        <is>
          <t>INOXINDIA</t>
        </is>
      </c>
      <c r="B213" s="31" t="inlineStr">
        <is>
          <t>Inox India Ltd</t>
        </is>
      </c>
      <c r="C213" s="31" t="inlineStr">
        <is>
          <t>industrials</t>
        </is>
      </c>
      <c r="D213" s="31" t="inlineStr">
        <is>
          <t>packaging</t>
        </is>
      </c>
      <c r="E213" s="31" t="inlineStr">
        <is>
          <t>midcap</t>
        </is>
      </c>
      <c r="F213" s="31" t="n">
        <v>17972.99</v>
      </c>
      <c r="G213" s="31" t="n">
        <v>1980.2</v>
      </c>
      <c r="H213" s="31" t="n">
        <v>-0.71</v>
      </c>
      <c r="I213" s="31" t="n">
        <v>171843</v>
      </c>
      <c r="J213" s="31" t="inlineStr">
        <is>
          <t>544046</t>
        </is>
      </c>
    </row>
    <row r="214">
      <c r="A214" s="31" t="inlineStr">
        <is>
          <t>TTKPRESTIG</t>
        </is>
      </c>
      <c r="B214" s="31" t="inlineStr">
        <is>
          <t>Ttk Prestige Limited</t>
        </is>
      </c>
      <c r="C214" s="31" t="inlineStr">
        <is>
          <t>consumer discretionary</t>
        </is>
      </c>
      <c r="D214" s="31" t="inlineStr">
        <is>
          <t>domestic appliances</t>
        </is>
      </c>
      <c r="E214" s="31" t="inlineStr">
        <is>
          <t>midcap</t>
        </is>
      </c>
      <c r="F214" s="31" t="n">
        <v>9209.950000000001</v>
      </c>
      <c r="G214" s="31" t="n">
        <v>672.5</v>
      </c>
      <c r="H214" s="31" t="n">
        <v>-0.77</v>
      </c>
      <c r="I214" s="31" t="n">
        <v>62126</v>
      </c>
      <c r="J214" s="31" t="inlineStr">
        <is>
          <t>517506</t>
        </is>
      </c>
    </row>
    <row r="215">
      <c r="A215" s="31" t="inlineStr">
        <is>
          <t>AURUM</t>
        </is>
      </c>
      <c r="B215" s="31" t="inlineStr">
        <is>
          <t>Aurum Proptech Ltd</t>
        </is>
      </c>
      <c r="C215" s="31" t="inlineStr">
        <is>
          <t>i.t</t>
        </is>
      </c>
      <c r="D215" s="31" t="inlineStr">
        <is>
          <t>computers - software - medium / small</t>
        </is>
      </c>
      <c r="E215" s="31" t="inlineStr">
        <is>
          <t>smallcap</t>
        </is>
      </c>
      <c r="F215" s="31" t="n">
        <v>1834.29</v>
      </c>
      <c r="G215" s="31" t="n">
        <v>239.28</v>
      </c>
      <c r="H215" s="31" t="n">
        <v>-0.79</v>
      </c>
      <c r="I215" s="31" t="n">
        <v>332421</v>
      </c>
      <c r="J215" s="31" t="inlineStr">
        <is>
          <t>539289</t>
        </is>
      </c>
    </row>
    <row r="216">
      <c r="A216" s="31" t="inlineStr">
        <is>
          <t>BIOCON</t>
        </is>
      </c>
      <c r="B216" s="31" t="inlineStr">
        <is>
          <t>Biocon Limited</t>
        </is>
      </c>
      <c r="C216" s="31" t="inlineStr">
        <is>
          <t>healthcare</t>
        </is>
      </c>
      <c r="D216" s="31" t="inlineStr">
        <is>
          <t>pharmaceuticals - indian - bulk drugs &amp; formln</t>
        </is>
      </c>
      <c r="E216" s="31" t="inlineStr">
        <is>
          <t>largecap</t>
        </is>
      </c>
      <c r="F216" s="31" t="n">
        <v>71250.23</v>
      </c>
      <c r="G216" s="31" t="n">
        <v>437.2</v>
      </c>
      <c r="H216" s="31" t="n">
        <v>-0.79</v>
      </c>
      <c r="I216" s="31" t="n">
        <v>8811391</v>
      </c>
      <c r="J216" s="31" t="inlineStr">
        <is>
          <t>532523</t>
        </is>
      </c>
    </row>
    <row r="217">
      <c r="A217" s="31" t="inlineStr">
        <is>
          <t>PGHL</t>
        </is>
      </c>
      <c r="B217" s="31" t="inlineStr">
        <is>
          <t>Procter &amp; Gamble Health Ltd</t>
        </is>
      </c>
      <c r="C217" s="31" t="inlineStr">
        <is>
          <t>healthcare</t>
        </is>
      </c>
      <c r="D217" s="31" t="inlineStr">
        <is>
          <t>pharmaceuticals - multinational</t>
        </is>
      </c>
      <c r="E217" s="31" t="inlineStr">
        <is>
          <t>midcap</t>
        </is>
      </c>
      <c r="F217" s="31" t="n">
        <v>11286.75</v>
      </c>
      <c r="G217" s="31" t="n">
        <v>6799.5</v>
      </c>
      <c r="H217" s="31" t="n">
        <v>-0.8</v>
      </c>
      <c r="I217" s="31" t="n">
        <v>6998</v>
      </c>
      <c r="J217" s="31" t="inlineStr">
        <is>
          <t>500126</t>
        </is>
      </c>
    </row>
    <row r="218">
      <c r="A218" s="31" t="inlineStr">
        <is>
          <t>HAPPYFORGE</t>
        </is>
      </c>
      <c r="B218" s="31" t="inlineStr">
        <is>
          <t>Happy Forgings Ltd</t>
        </is>
      </c>
      <c r="C218" s="31" t="inlineStr">
        <is>
          <t>industrials</t>
        </is>
      </c>
      <c r="D218" s="31" t="inlineStr">
        <is>
          <t>castings &amp; forgings</t>
        </is>
      </c>
      <c r="E218" s="31" t="inlineStr">
        <is>
          <t>midcap</t>
        </is>
      </c>
      <c r="F218" s="31" t="n">
        <v>15056.24</v>
      </c>
      <c r="G218" s="31" t="n">
        <v>1595.3</v>
      </c>
      <c r="H218" s="31" t="n">
        <v>-0.85</v>
      </c>
      <c r="I218" s="31" t="n">
        <v>73219</v>
      </c>
      <c r="J218" s="31" t="inlineStr">
        <is>
          <t>544057</t>
        </is>
      </c>
    </row>
    <row r="219">
      <c r="A219" s="31" t="inlineStr">
        <is>
          <t>SPECIALITY</t>
        </is>
      </c>
      <c r="B219" s="31" t="inlineStr">
        <is>
          <t>Speciality Restaurants Limited</t>
        </is>
      </c>
      <c r="C219" s="31" t="inlineStr">
        <is>
          <t>services</t>
        </is>
      </c>
      <c r="D219" s="31" t="inlineStr">
        <is>
          <t>hotels</t>
        </is>
      </c>
      <c r="E219" s="31" t="inlineStr">
        <is>
          <t>smallcap</t>
        </is>
      </c>
      <c r="F219" s="31" t="n">
        <v>622.53</v>
      </c>
      <c r="G219" s="31" t="n">
        <v>129.06</v>
      </c>
      <c r="H219" s="31" t="n">
        <v>-0.86</v>
      </c>
      <c r="I219" s="31" t="n">
        <v>12145</v>
      </c>
      <c r="J219" s="31" t="inlineStr">
        <is>
          <t>534425</t>
        </is>
      </c>
    </row>
    <row r="220">
      <c r="A220" s="31" t="inlineStr">
        <is>
          <t>QUESS</t>
        </is>
      </c>
      <c r="B220" s="31" t="inlineStr">
        <is>
          <t>Quess Corp Limited</t>
        </is>
      </c>
      <c r="C220" s="31" t="inlineStr">
        <is>
          <t>miscellaneous</t>
        </is>
      </c>
      <c r="D220" s="31" t="inlineStr">
        <is>
          <t>diversified - large</t>
        </is>
      </c>
      <c r="E220" s="31" t="inlineStr">
        <is>
          <t>smallcap</t>
        </is>
      </c>
      <c r="F220" s="31" t="n">
        <v>4345.62</v>
      </c>
      <c r="G220" s="31" t="n">
        <v>290.95</v>
      </c>
      <c r="H220" s="31" t="n">
        <v>-0.87</v>
      </c>
      <c r="I220" s="31" t="n">
        <v>258245</v>
      </c>
      <c r="J220" s="31" t="inlineStr">
        <is>
          <t>539978</t>
        </is>
      </c>
    </row>
    <row r="221">
      <c r="A221" s="31" t="inlineStr">
        <is>
          <t>ZYDUSLIFE</t>
        </is>
      </c>
      <c r="B221" s="31" t="inlineStr">
        <is>
          <t>Zydus Lifesciences Ltd</t>
        </is>
      </c>
      <c r="C221" s="31" t="inlineStr">
        <is>
          <t>healthcare</t>
        </is>
      </c>
      <c r="D221" s="31" t="inlineStr">
        <is>
          <t>pharmaceuticals - indian - bulk drugs &amp; formln</t>
        </is>
      </c>
      <c r="E221" s="31" t="inlineStr">
        <is>
          <t>largecap</t>
        </is>
      </c>
      <c r="F221" s="31" t="n">
        <v>114084.51</v>
      </c>
      <c r="G221" s="31" t="n">
        <v>1143.7</v>
      </c>
      <c r="H221" s="31" t="n">
        <v>-0.88</v>
      </c>
      <c r="I221" s="31" t="n">
        <v>1240517</v>
      </c>
      <c r="J221" s="31" t="inlineStr">
        <is>
          <t>532321</t>
        </is>
      </c>
    </row>
    <row r="222">
      <c r="A222" s="31" t="inlineStr">
        <is>
          <t>SUNPHARMA</t>
        </is>
      </c>
      <c r="B222" s="31" t="inlineStr">
        <is>
          <t>Sun Pharmaceuticals Industries Limited</t>
        </is>
      </c>
      <c r="C222" s="31" t="inlineStr">
        <is>
          <t>healthcare</t>
        </is>
      </c>
      <c r="D222" s="31" t="inlineStr">
        <is>
          <t>pharmaceuticals - indian - bulk drugs &amp; formln</t>
        </is>
      </c>
      <c r="E222" s="31" t="inlineStr">
        <is>
          <t>largecap</t>
        </is>
      </c>
      <c r="F222" s="31" t="n">
        <v>463695.48</v>
      </c>
      <c r="G222" s="31" t="n">
        <v>1932.6</v>
      </c>
      <c r="H222" s="31" t="n">
        <v>-0.9</v>
      </c>
      <c r="I222" s="31" t="n">
        <v>2475664</v>
      </c>
      <c r="J222" s="31" t="inlineStr">
        <is>
          <t>524715</t>
        </is>
      </c>
    </row>
    <row r="223">
      <c r="A223" s="31" t="inlineStr">
        <is>
          <t>AUTOAXLES</t>
        </is>
      </c>
      <c r="B223" s="31" t="inlineStr">
        <is>
          <t>Automotive Axles Limited</t>
        </is>
      </c>
      <c r="C223" s="31" t="inlineStr">
        <is>
          <t>auto</t>
        </is>
      </c>
      <c r="D223" s="31" t="inlineStr">
        <is>
          <t>auto ancillaries</t>
        </is>
      </c>
      <c r="E223" s="31" t="inlineStr">
        <is>
          <t>smallcap</t>
        </is>
      </c>
      <c r="F223" s="31" t="n">
        <v>2752.04</v>
      </c>
      <c r="G223" s="31" t="n">
        <v>1821.1</v>
      </c>
      <c r="H223" s="31" t="n">
        <v>-0.91</v>
      </c>
      <c r="I223" s="31" t="n">
        <v>6509</v>
      </c>
      <c r="J223" s="31" t="inlineStr">
        <is>
          <t>505010</t>
        </is>
      </c>
    </row>
    <row r="224">
      <c r="A224" s="31" t="inlineStr">
        <is>
          <t>JASH</t>
        </is>
      </c>
      <c r="B224" s="31" t="inlineStr">
        <is>
          <t>Jash Engineering Ltd</t>
        </is>
      </c>
      <c r="C224" s="31" t="inlineStr">
        <is>
          <t>industrials</t>
        </is>
      </c>
      <c r="D224" s="31" t="inlineStr">
        <is>
          <t>engineering</t>
        </is>
      </c>
      <c r="E224" s="31" t="inlineStr">
        <is>
          <t>smallcap</t>
        </is>
      </c>
      <c r="F224" s="31" t="n">
        <v>3288.92</v>
      </c>
      <c r="G224" s="31" t="n">
        <v>520.45</v>
      </c>
      <c r="H224" s="31" t="n">
        <v>-0.91</v>
      </c>
      <c r="I224" s="31" t="n">
        <v>99349</v>
      </c>
      <c r="J224" s="31" t="inlineStr">
        <is>
          <t>535019</t>
        </is>
      </c>
    </row>
    <row r="225">
      <c r="A225" s="31" t="inlineStr">
        <is>
          <t>RSWM</t>
        </is>
      </c>
      <c r="B225" s="31" t="inlineStr">
        <is>
          <t>Rswm Limited</t>
        </is>
      </c>
      <c r="C225" s="31" t="inlineStr">
        <is>
          <t>textiles</t>
        </is>
      </c>
      <c r="D225" s="31" t="inlineStr">
        <is>
          <t>textiles - cotton/blended</t>
        </is>
      </c>
      <c r="E225" s="31" t="inlineStr">
        <is>
          <t>smallcap</t>
        </is>
      </c>
      <c r="F225" s="31" t="n">
        <v>1001.76</v>
      </c>
      <c r="G225" s="31" t="n">
        <v>212.68</v>
      </c>
      <c r="H225" s="31" t="n">
        <v>-0.92</v>
      </c>
      <c r="I225" s="31" t="n">
        <v>47138</v>
      </c>
      <c r="J225" s="31" t="inlineStr">
        <is>
          <t>500350</t>
        </is>
      </c>
    </row>
    <row r="226">
      <c r="A226" s="31" t="inlineStr">
        <is>
          <t>EIFFL</t>
        </is>
      </c>
      <c r="B226" s="31" t="inlineStr">
        <is>
          <t>Euro India Fresh Foods Ltd</t>
        </is>
      </c>
      <c r="C226" s="31" t="inlineStr">
        <is>
          <t>fmcg</t>
        </is>
      </c>
      <c r="D226" s="31" t="inlineStr">
        <is>
          <t>food - processing - indian</t>
        </is>
      </c>
      <c r="E226" s="31" t="inlineStr">
        <is>
          <t>smallcap</t>
        </is>
      </c>
      <c r="F226" s="31" t="n">
        <v>818.15</v>
      </c>
      <c r="G226" s="31" t="n">
        <v>329.9</v>
      </c>
      <c r="H226" s="31" t="n">
        <v>-0.93</v>
      </c>
      <c r="I226" s="31" t="n">
        <v>4404</v>
      </c>
      <c r="J226" s="31" t="inlineStr">
        <is>
          <t>538412</t>
        </is>
      </c>
    </row>
    <row r="227">
      <c r="A227" s="31" t="inlineStr">
        <is>
          <t>JSFB</t>
        </is>
      </c>
      <c r="B227" s="31" t="inlineStr">
        <is>
          <t>Jana Small Finance Bank Ltd</t>
        </is>
      </c>
      <c r="C227" s="31" t="inlineStr">
        <is>
          <t>bank</t>
        </is>
      </c>
      <c r="D227" s="31" t="inlineStr">
        <is>
          <t>banks - private sector</t>
        </is>
      </c>
      <c r="E227" s="31" t="inlineStr">
        <is>
          <t>midcap</t>
        </is>
      </c>
      <c r="F227" s="31" t="n">
        <v>5193.31</v>
      </c>
      <c r="G227" s="31" t="n">
        <v>493</v>
      </c>
      <c r="H227" s="31" t="n">
        <v>-0.9399999999999999</v>
      </c>
      <c r="I227" s="31" t="n">
        <v>626855</v>
      </c>
      <c r="J227" s="31" t="n"/>
    </row>
    <row r="228">
      <c r="A228" s="31" t="inlineStr">
        <is>
          <t>DIVISLAB</t>
        </is>
      </c>
      <c r="B228" s="31" t="inlineStr">
        <is>
          <t>Divi's Laboratories Limited</t>
        </is>
      </c>
      <c r="C228" s="31" t="inlineStr">
        <is>
          <t>healthcare</t>
        </is>
      </c>
      <c r="D228" s="31" t="inlineStr">
        <is>
          <t>pharmaceuticals - indian - bulk drugs</t>
        </is>
      </c>
      <c r="E228" s="31" t="inlineStr">
        <is>
          <t>largecap</t>
        </is>
      </c>
      <c r="F228" s="31" t="n">
        <v>192398.35</v>
      </c>
      <c r="G228" s="31" t="n">
        <v>7247.5</v>
      </c>
      <c r="H228" s="31" t="n">
        <v>-0.9399999999999999</v>
      </c>
      <c r="I228" s="31" t="n">
        <v>455060</v>
      </c>
      <c r="J228" s="31" t="inlineStr">
        <is>
          <t>532488</t>
        </is>
      </c>
    </row>
    <row r="229">
      <c r="A229" s="31" t="inlineStr">
        <is>
          <t>GHCLTEXTIL</t>
        </is>
      </c>
      <c r="B229" s="31" t="inlineStr">
        <is>
          <t>GHCL Textiles Ltd</t>
        </is>
      </c>
      <c r="C229" s="31" t="inlineStr">
        <is>
          <t>textiles</t>
        </is>
      </c>
      <c r="D229" s="31" t="inlineStr">
        <is>
          <t>textiles - spinning - synthetic / blended</t>
        </is>
      </c>
      <c r="E229" s="31" t="inlineStr">
        <is>
          <t>smallcap</t>
        </is>
      </c>
      <c r="F229" s="31" t="n">
        <v>1086.81</v>
      </c>
      <c r="G229" s="31" t="n">
        <v>113.7</v>
      </c>
      <c r="H229" s="31" t="n">
        <v>-0.95</v>
      </c>
      <c r="I229" s="31" t="n">
        <v>464717</v>
      </c>
      <c r="J229" s="31" t="inlineStr">
        <is>
          <t>543918</t>
        </is>
      </c>
    </row>
    <row r="230">
      <c r="A230" s="31" t="inlineStr">
        <is>
          <t>PAYTM</t>
        </is>
      </c>
      <c r="B230" s="31" t="inlineStr">
        <is>
          <t>One 97 Communications Ltd</t>
        </is>
      </c>
      <c r="C230" s="31" t="inlineStr">
        <is>
          <t>i.t</t>
        </is>
      </c>
      <c r="D230" s="31" t="inlineStr">
        <is>
          <t>miscellaneous</t>
        </is>
      </c>
      <c r="E230" s="31" t="inlineStr">
        <is>
          <t>largecap</t>
        </is>
      </c>
      <c r="F230" s="31" t="n">
        <v>86317.42999999999</v>
      </c>
      <c r="G230" s="31" t="n">
        <v>1348</v>
      </c>
      <c r="H230" s="31" t="n">
        <v>-0.96</v>
      </c>
      <c r="I230" s="31" t="n">
        <v>2071323</v>
      </c>
      <c r="J230" s="31" t="inlineStr">
        <is>
          <t>543396</t>
        </is>
      </c>
    </row>
    <row r="231">
      <c r="A231" s="31" t="inlineStr">
        <is>
          <t>CGCL</t>
        </is>
      </c>
      <c r="B231" s="31" t="inlineStr">
        <is>
          <t>Capri Global Capital Limited</t>
        </is>
      </c>
      <c r="C231" s="31" t="inlineStr">
        <is>
          <t>financials</t>
        </is>
      </c>
      <c r="D231" s="31" t="inlineStr">
        <is>
          <t>finance &amp; investments</t>
        </is>
      </c>
      <c r="E231" s="31" t="inlineStr">
        <is>
          <t>largecap</t>
        </is>
      </c>
      <c r="F231" s="31" t="n">
        <v>24667.7</v>
      </c>
      <c r="G231" s="31" t="n">
        <v>256.38</v>
      </c>
      <c r="H231" s="31" t="n">
        <v>-0.97</v>
      </c>
      <c r="I231" s="31" t="n">
        <v>1620882</v>
      </c>
      <c r="J231" s="31" t="inlineStr">
        <is>
          <t>531595</t>
        </is>
      </c>
    </row>
    <row r="232">
      <c r="A232" s="31" t="inlineStr">
        <is>
          <t>AJANTPHARM</t>
        </is>
      </c>
      <c r="B232" s="31" t="inlineStr">
        <is>
          <t>Ajanta Pharma Limited</t>
        </is>
      </c>
      <c r="C232" s="31" t="inlineStr">
        <is>
          <t>healthcare</t>
        </is>
      </c>
      <c r="D232" s="31" t="inlineStr">
        <is>
          <t>pharmaceuticals - indian - formulations</t>
        </is>
      </c>
      <c r="E232" s="31" t="inlineStr">
        <is>
          <t>largecap</t>
        </is>
      </c>
      <c r="F232" s="31" t="n">
        <v>42720.49</v>
      </c>
      <c r="G232" s="31" t="n">
        <v>3419.4</v>
      </c>
      <c r="H232" s="31" t="n">
        <v>-0.97</v>
      </c>
      <c r="I232" s="31" t="n">
        <v>93411</v>
      </c>
      <c r="J232" s="31" t="inlineStr">
        <is>
          <t>532331</t>
        </is>
      </c>
    </row>
    <row r="233">
      <c r="A233" s="31" t="inlineStr">
        <is>
          <t>PRIVISCL</t>
        </is>
      </c>
      <c r="B233" s="31" t="inlineStr">
        <is>
          <t>Privi Speciality Chemicals Ltd</t>
        </is>
      </c>
      <c r="C233" s="31" t="inlineStr">
        <is>
          <t>chemicals</t>
        </is>
      </c>
      <c r="D233" s="31" t="inlineStr">
        <is>
          <t>chemicals</t>
        </is>
      </c>
      <c r="E233" s="31" t="inlineStr">
        <is>
          <t>midcap</t>
        </is>
      </c>
      <c r="F233" s="31" t="n">
        <v>14361.4</v>
      </c>
      <c r="G233" s="31" t="n">
        <v>3676.5</v>
      </c>
      <c r="H233" s="31" t="n">
        <v>-0.97</v>
      </c>
      <c r="I233" s="31" t="n">
        <v>48352</v>
      </c>
      <c r="J233" s="31" t="inlineStr">
        <is>
          <t>530117</t>
        </is>
      </c>
    </row>
    <row r="234">
      <c r="A234" s="31" t="inlineStr">
        <is>
          <t>VADILALIND</t>
        </is>
      </c>
      <c r="B234" s="31" t="inlineStr">
        <is>
          <t>Vadilal Industries Limited</t>
        </is>
      </c>
      <c r="C234" s="31" t="inlineStr">
        <is>
          <t>fmcg</t>
        </is>
      </c>
      <c r="D234" s="31" t="inlineStr">
        <is>
          <t>food - processing - indian</t>
        </is>
      </c>
      <c r="E234" s="31" t="inlineStr">
        <is>
          <t>smallcap</t>
        </is>
      </c>
      <c r="F234" s="31" t="n">
        <v>4827.35</v>
      </c>
      <c r="G234" s="31" t="n">
        <v>6716</v>
      </c>
      <c r="H234" s="31" t="n">
        <v>-0.97</v>
      </c>
      <c r="I234" s="31" t="n">
        <v>11816</v>
      </c>
      <c r="J234" s="31" t="inlineStr">
        <is>
          <t>519156</t>
        </is>
      </c>
    </row>
    <row r="235">
      <c r="A235" s="31" t="inlineStr">
        <is>
          <t>INDOTECH</t>
        </is>
      </c>
      <c r="B235" s="31" t="inlineStr">
        <is>
          <t>Indo Tech Transformers Limited</t>
        </is>
      </c>
      <c r="C235" s="31" t="inlineStr">
        <is>
          <t>industrials</t>
        </is>
      </c>
      <c r="D235" s="31" t="inlineStr">
        <is>
          <t>electric equipment</t>
        </is>
      </c>
      <c r="E235" s="31" t="inlineStr">
        <is>
          <t>smallcap</t>
        </is>
      </c>
      <c r="F235" s="31" t="n">
        <v>3611.76</v>
      </c>
      <c r="G235" s="31" t="n">
        <v>3400.9</v>
      </c>
      <c r="H235" s="31" t="n">
        <v>-0.98</v>
      </c>
      <c r="I235" s="31" t="n">
        <v>19091</v>
      </c>
      <c r="J235" s="31" t="inlineStr">
        <is>
          <t>532717</t>
        </is>
      </c>
    </row>
    <row r="236">
      <c r="A236" s="31" t="inlineStr">
        <is>
          <t>TATATECH</t>
        </is>
      </c>
      <c r="B236" s="31" t="inlineStr">
        <is>
          <t>Tata Technologies Ltd</t>
        </is>
      </c>
      <c r="C236" s="31" t="inlineStr">
        <is>
          <t>i.t</t>
        </is>
      </c>
      <c r="D236" s="31" t="inlineStr">
        <is>
          <t>computers - software - medium / small</t>
        </is>
      </c>
      <c r="E236" s="31" t="inlineStr">
        <is>
          <t>largecap</t>
        </is>
      </c>
      <c r="F236" s="31" t="n">
        <v>30780.76</v>
      </c>
      <c r="G236" s="31" t="n">
        <v>758.05</v>
      </c>
      <c r="H236" s="31" t="n">
        <v>-0.98</v>
      </c>
      <c r="I236" s="31" t="n">
        <v>923532</v>
      </c>
      <c r="J236" s="31" t="inlineStr">
        <is>
          <t>544028</t>
        </is>
      </c>
    </row>
    <row r="237">
      <c r="A237" s="31" t="inlineStr">
        <is>
          <t>MAHLIFE</t>
        </is>
      </c>
      <c r="B237" s="31" t="inlineStr">
        <is>
          <t>Mahindra Lifespace Developers Limited</t>
        </is>
      </c>
      <c r="C237" s="31" t="inlineStr">
        <is>
          <t>realty</t>
        </is>
      </c>
      <c r="D237" s="31" t="inlineStr">
        <is>
          <t>construction</t>
        </is>
      </c>
      <c r="E237" s="31" t="inlineStr">
        <is>
          <t>midcap</t>
        </is>
      </c>
      <c r="F237" s="31" t="n">
        <v>7968.35</v>
      </c>
      <c r="G237" s="31" t="n">
        <v>373.5</v>
      </c>
      <c r="H237" s="31" t="n">
        <v>-0.99</v>
      </c>
      <c r="I237" s="31" t="n">
        <v>79248</v>
      </c>
      <c r="J237" s="31" t="inlineStr">
        <is>
          <t>532313</t>
        </is>
      </c>
    </row>
    <row r="238">
      <c r="A238" s="31" t="inlineStr">
        <is>
          <t>SANSERA</t>
        </is>
      </c>
      <c r="B238" s="31" t="inlineStr">
        <is>
          <t>Sansera Engineering Ltd</t>
        </is>
      </c>
      <c r="C238" s="31" t="inlineStr">
        <is>
          <t>auto</t>
        </is>
      </c>
      <c r="D238" s="31" t="inlineStr">
        <is>
          <t>auto ancillaries</t>
        </is>
      </c>
      <c r="E238" s="31" t="inlineStr">
        <is>
          <t>largecap</t>
        </is>
      </c>
      <c r="F238" s="31" t="n">
        <v>20086.46</v>
      </c>
      <c r="G238" s="31" t="n">
        <v>3218.8</v>
      </c>
      <c r="H238" s="31" t="n">
        <v>-1.03</v>
      </c>
      <c r="I238" s="31" t="n">
        <v>246308</v>
      </c>
      <c r="J238" s="31" t="inlineStr">
        <is>
          <t>543358</t>
        </is>
      </c>
    </row>
    <row r="239">
      <c r="A239" s="31" t="inlineStr">
        <is>
          <t>INDSWFTLAB</t>
        </is>
      </c>
      <c r="B239" s="31" t="inlineStr">
        <is>
          <t>Ind-swift Laboratories Limited</t>
        </is>
      </c>
      <c r="C239" s="31" t="inlineStr">
        <is>
          <t>healthcare</t>
        </is>
      </c>
      <c r="D239" s="31" t="inlineStr">
        <is>
          <t>pharmaceuticals - indian - bulk drugs &amp; formln</t>
        </is>
      </c>
      <c r="E239" s="31" t="inlineStr">
        <is>
          <t>smallcap</t>
        </is>
      </c>
      <c r="F239" s="31" t="n">
        <v>2010.01</v>
      </c>
      <c r="G239" s="31" t="n">
        <v>231.47</v>
      </c>
      <c r="H239" s="31" t="n">
        <v>-1.03</v>
      </c>
      <c r="I239" s="31" t="n">
        <v>288534</v>
      </c>
      <c r="J239" s="31" t="inlineStr">
        <is>
          <t>532305</t>
        </is>
      </c>
    </row>
    <row r="240">
      <c r="A240" s="31" t="inlineStr">
        <is>
          <t>KMEW</t>
        </is>
      </c>
      <c r="B240" s="31" t="inlineStr">
        <is>
          <t>Knowledge Marine &amp; Engineering Works Ltd</t>
        </is>
      </c>
      <c r="C240" s="31" t="inlineStr">
        <is>
          <t>transportation</t>
        </is>
      </c>
      <c r="D240" s="31" t="inlineStr">
        <is>
          <t>miscellaneous</t>
        </is>
      </c>
      <c r="E240" s="31" t="inlineStr">
        <is>
          <t>midcap</t>
        </is>
      </c>
      <c r="F240" s="31" t="n">
        <v>5878.56</v>
      </c>
      <c r="G240" s="31" t="n">
        <v>2404.9</v>
      </c>
      <c r="H240" s="31" t="n">
        <v>-1.09</v>
      </c>
      <c r="I240" s="31" t="n">
        <v>55466</v>
      </c>
      <c r="J240" s="31" t="inlineStr">
        <is>
          <t>543273</t>
        </is>
      </c>
    </row>
    <row r="241">
      <c r="A241" s="31" t="inlineStr">
        <is>
          <t>UNIMECH</t>
        </is>
      </c>
      <c r="B241" s="31" t="inlineStr">
        <is>
          <t>Unimech Aerospace and Manufacturing Ltd</t>
        </is>
      </c>
      <c r="C241" s="31" t="inlineStr">
        <is>
          <t>aerospace &amp; defence</t>
        </is>
      </c>
      <c r="D241" s="31" t="inlineStr">
        <is>
          <t>engineering</t>
        </is>
      </c>
      <c r="E241" s="31" t="inlineStr">
        <is>
          <t>midcap</t>
        </is>
      </c>
      <c r="F241" s="31" t="n">
        <v>6523.92</v>
      </c>
      <c r="G241" s="31" t="n">
        <v>1282.8</v>
      </c>
      <c r="H241" s="31" t="n">
        <v>-1.09</v>
      </c>
      <c r="I241" s="31" t="n">
        <v>151086</v>
      </c>
      <c r="J241" s="31" t="inlineStr">
        <is>
          <t>544322</t>
        </is>
      </c>
    </row>
    <row r="242">
      <c r="A242" s="31" t="inlineStr">
        <is>
          <t>ENDURANCE</t>
        </is>
      </c>
      <c r="B242" s="31" t="inlineStr">
        <is>
          <t>Endurance Technologies Limited</t>
        </is>
      </c>
      <c r="C242" s="31" t="inlineStr">
        <is>
          <t>auto</t>
        </is>
      </c>
      <c r="D242" s="31" t="inlineStr">
        <is>
          <t>auto ancillaries</t>
        </is>
      </c>
      <c r="E242" s="31" t="inlineStr">
        <is>
          <t>largecap</t>
        </is>
      </c>
      <c r="F242" s="31" t="n">
        <v>38443.16</v>
      </c>
      <c r="G242" s="31" t="n">
        <v>2733</v>
      </c>
      <c r="H242" s="31" t="n">
        <v>-1.1</v>
      </c>
      <c r="I242" s="31" t="n">
        <v>80688</v>
      </c>
      <c r="J242" s="31" t="inlineStr">
        <is>
          <t>540153</t>
        </is>
      </c>
    </row>
    <row r="243">
      <c r="A243" s="31" t="inlineStr">
        <is>
          <t>NAZARA</t>
        </is>
      </c>
      <c r="B243" s="31" t="inlineStr">
        <is>
          <t>Nazara Technologies Ltd</t>
        </is>
      </c>
      <c r="C243" s="31" t="inlineStr">
        <is>
          <t>i.t</t>
        </is>
      </c>
      <c r="D243" s="31" t="inlineStr">
        <is>
          <t>telecommunications - service provider</t>
        </is>
      </c>
      <c r="E243" s="31" t="inlineStr">
        <is>
          <t>midcap</t>
        </is>
      </c>
      <c r="F243" s="31" t="n">
        <v>11286.22</v>
      </c>
      <c r="G243" s="31" t="n">
        <v>304.65</v>
      </c>
      <c r="H243" s="31" t="n">
        <v>-1.1</v>
      </c>
      <c r="I243" s="31" t="n">
        <v>2329633</v>
      </c>
      <c r="J243" s="31" t="inlineStr">
        <is>
          <t>543280</t>
        </is>
      </c>
    </row>
    <row r="244">
      <c r="A244" s="31" t="inlineStr">
        <is>
          <t>GOODLUCK</t>
        </is>
      </c>
      <c r="B244" s="31" t="inlineStr">
        <is>
          <t>Goodluck India Limited</t>
        </is>
      </c>
      <c r="C244" s="31" t="inlineStr">
        <is>
          <t>metals &amp; mining</t>
        </is>
      </c>
      <c r="D244" s="31" t="inlineStr">
        <is>
          <t>steel - medium / small</t>
        </is>
      </c>
      <c r="E244" s="31" t="inlineStr">
        <is>
          <t>midcap</t>
        </is>
      </c>
      <c r="F244" s="31" t="n">
        <v>5140.67</v>
      </c>
      <c r="G244" s="31" t="n">
        <v>1546.6</v>
      </c>
      <c r="H244" s="31" t="n">
        <v>-1.11</v>
      </c>
      <c r="I244" s="31" t="n">
        <v>111255</v>
      </c>
      <c r="J244" s="31" t="inlineStr">
        <is>
          <t>530655</t>
        </is>
      </c>
    </row>
    <row r="245">
      <c r="A245" s="31" t="inlineStr">
        <is>
          <t>DIACABS</t>
        </is>
      </c>
      <c r="B245" s="31" t="inlineStr">
        <is>
          <t>Diamond Power Infrastructure Ltd</t>
        </is>
      </c>
      <c r="C245" s="31" t="inlineStr">
        <is>
          <t>industrials</t>
        </is>
      </c>
      <c r="D245" s="31" t="inlineStr">
        <is>
          <t>cables - power</t>
        </is>
      </c>
      <c r="E245" s="31" t="inlineStr">
        <is>
          <t>midcap</t>
        </is>
      </c>
      <c r="F245" s="31" t="n">
        <v>11718.78</v>
      </c>
      <c r="G245" s="31" t="n">
        <v>222.38</v>
      </c>
      <c r="H245" s="31" t="n">
        <v>-1.13</v>
      </c>
      <c r="I245" s="31" t="n">
        <v>5942979</v>
      </c>
      <c r="J245" s="31" t="inlineStr">
        <is>
          <t>522163</t>
        </is>
      </c>
    </row>
    <row r="246">
      <c r="A246" s="31" t="inlineStr">
        <is>
          <t>UJJIVANSFB</t>
        </is>
      </c>
      <c r="B246" s="31" t="inlineStr">
        <is>
          <t>Ujjivan Small Finance Bank Ltd</t>
        </is>
      </c>
      <c r="C246" s="31" t="inlineStr">
        <is>
          <t>bank</t>
        </is>
      </c>
      <c r="D246" s="31" t="inlineStr">
        <is>
          <t>banks - private sector</t>
        </is>
      </c>
      <c r="E246" s="31" t="inlineStr">
        <is>
          <t>midcap</t>
        </is>
      </c>
      <c r="F246" s="31" t="n">
        <v>12620.82</v>
      </c>
      <c r="G246" s="31" t="n">
        <v>64.88</v>
      </c>
      <c r="H246" s="31" t="n">
        <v>-1.13</v>
      </c>
      <c r="I246" s="31" t="n">
        <v>19761879</v>
      </c>
      <c r="J246" s="31" t="inlineStr">
        <is>
          <t>542904</t>
        </is>
      </c>
    </row>
    <row r="247">
      <c r="A247" s="31" t="inlineStr">
        <is>
          <t>SPECTRUM</t>
        </is>
      </c>
      <c r="B247" s="31" t="inlineStr">
        <is>
          <t>Spectrum Electrical Industries Ltd</t>
        </is>
      </c>
      <c r="C247" s="31" t="inlineStr">
        <is>
          <t>industrials</t>
        </is>
      </c>
      <c r="D247" s="31" t="inlineStr">
        <is>
          <t>electric equipment</t>
        </is>
      </c>
      <c r="E247" s="31" t="inlineStr">
        <is>
          <t>smallcap</t>
        </is>
      </c>
      <c r="F247" s="31" t="n">
        <v>3078.81</v>
      </c>
      <c r="G247" s="31" t="n">
        <v>1959.3</v>
      </c>
      <c r="H247" s="31" t="n">
        <v>-1.21</v>
      </c>
      <c r="I247" s="31" t="n">
        <v>18260</v>
      </c>
      <c r="J247" s="31" t="inlineStr">
        <is>
          <t>535112</t>
        </is>
      </c>
    </row>
    <row r="248">
      <c r="A248" s="31" t="inlineStr">
        <is>
          <t>GALAPREC</t>
        </is>
      </c>
      <c r="B248" s="31" t="inlineStr">
        <is>
          <t>Gala Precision Engineering Ltd</t>
        </is>
      </c>
      <c r="C248" s="31" t="inlineStr">
        <is>
          <t>industrials</t>
        </is>
      </c>
      <c r="D248" s="31" t="inlineStr">
        <is>
          <t>fasteners</t>
        </is>
      </c>
      <c r="E248" s="31" t="inlineStr">
        <is>
          <t>smallcap</t>
        </is>
      </c>
      <c r="F248" s="31" t="n">
        <v>1507.08</v>
      </c>
      <c r="G248" s="31" t="n">
        <v>1182</v>
      </c>
      <c r="H248" s="31" t="n">
        <v>-1.24</v>
      </c>
      <c r="I248" s="31" t="n">
        <v>49147</v>
      </c>
      <c r="J248" s="31" t="inlineStr">
        <is>
          <t>544244</t>
        </is>
      </c>
    </row>
    <row r="249">
      <c r="A249" s="31" t="inlineStr">
        <is>
          <t>AGARWALEYE</t>
        </is>
      </c>
      <c r="B249" s="31" t="inlineStr">
        <is>
          <t>Dr Agarwals Health Care Ltd</t>
        </is>
      </c>
      <c r="C249" s="31" t="inlineStr">
        <is>
          <t>healthcare</t>
        </is>
      </c>
      <c r="D249" s="31" t="inlineStr">
        <is>
          <t>healthcare</t>
        </is>
      </c>
      <c r="E249" s="31" t="inlineStr">
        <is>
          <t>midcap</t>
        </is>
      </c>
      <c r="F249" s="31" t="n">
        <v>15402.21</v>
      </c>
      <c r="G249" s="31" t="n">
        <v>485.9</v>
      </c>
      <c r="H249" s="31" t="n">
        <v>-1.27</v>
      </c>
      <c r="I249" s="31" t="n">
        <v>89927</v>
      </c>
      <c r="J249" s="31" t="inlineStr">
        <is>
          <t>544350</t>
        </is>
      </c>
    </row>
    <row r="250">
      <c r="A250" s="31" t="inlineStr">
        <is>
          <t>PREMIERENE</t>
        </is>
      </c>
      <c r="B250" s="31" t="inlineStr">
        <is>
          <t>Premier Energies Ltd</t>
        </is>
      </c>
      <c r="C250" s="31" t="inlineStr">
        <is>
          <t>services</t>
        </is>
      </c>
      <c r="D250" s="31" t="inlineStr">
        <is>
          <t>trading</t>
        </is>
      </c>
      <c r="E250" s="31" t="inlineStr">
        <is>
          <t>largecap</t>
        </is>
      </c>
      <c r="F250" s="31" t="n">
        <v>49204.25</v>
      </c>
      <c r="G250" s="31" t="n">
        <v>1086.2</v>
      </c>
      <c r="H250" s="31" t="n">
        <v>-1.31</v>
      </c>
      <c r="I250" s="31" t="n">
        <v>1096921</v>
      </c>
      <c r="J250" s="31" t="n"/>
    </row>
    <row r="251">
      <c r="A251" s="31" t="inlineStr">
        <is>
          <t>HTMEDIA</t>
        </is>
      </c>
      <c r="B251" s="31" t="inlineStr">
        <is>
          <t>Ht Media Limited</t>
        </is>
      </c>
      <c r="C251" s="31" t="inlineStr">
        <is>
          <t>media</t>
        </is>
      </c>
      <c r="D251" s="31" t="inlineStr">
        <is>
          <t>entertainment / electronic media software</t>
        </is>
      </c>
      <c r="E251" s="31" t="inlineStr">
        <is>
          <t>smallcap</t>
        </is>
      </c>
      <c r="F251" s="31" t="n">
        <v>608.7</v>
      </c>
      <c r="G251" s="31" t="n">
        <v>26.15</v>
      </c>
      <c r="H251" s="31" t="n">
        <v>-1.32</v>
      </c>
      <c r="I251" s="31" t="n">
        <v>126550</v>
      </c>
      <c r="J251" s="31" t="inlineStr">
        <is>
          <t>532662</t>
        </is>
      </c>
    </row>
    <row r="252">
      <c r="A252" s="31" t="inlineStr">
        <is>
          <t>BHARTIHEXA</t>
        </is>
      </c>
      <c r="B252" s="31" t="inlineStr">
        <is>
          <t>Bharti Hexacom Ltd</t>
        </is>
      </c>
      <c r="C252" s="31" t="inlineStr">
        <is>
          <t>telecom-service</t>
        </is>
      </c>
      <c r="D252" s="31" t="inlineStr">
        <is>
          <t>telecommunications - service provider</t>
        </is>
      </c>
      <c r="E252" s="31" t="inlineStr">
        <is>
          <t>largecap</t>
        </is>
      </c>
      <c r="F252" s="31" t="n">
        <v>80275</v>
      </c>
      <c r="G252" s="31" t="n">
        <v>1605.5</v>
      </c>
      <c r="H252" s="31" t="n">
        <v>-1.37</v>
      </c>
      <c r="I252" s="31" t="n">
        <v>62567</v>
      </c>
      <c r="J252" s="31" t="inlineStr">
        <is>
          <t>544162</t>
        </is>
      </c>
    </row>
    <row r="253">
      <c r="A253" s="31" t="inlineStr">
        <is>
          <t>GANESHHOU</t>
        </is>
      </c>
      <c r="B253" s="31" t="inlineStr">
        <is>
          <t>Ganesh Housing Ltd</t>
        </is>
      </c>
      <c r="C253" s="31" t="inlineStr">
        <is>
          <t>realty</t>
        </is>
      </c>
      <c r="D253" s="31" t="inlineStr">
        <is>
          <t>construction</t>
        </is>
      </c>
      <c r="E253" s="31" t="inlineStr">
        <is>
          <t>midcap</t>
        </is>
      </c>
      <c r="F253" s="31" t="n">
        <v>6860.26</v>
      </c>
      <c r="G253" s="31" t="n">
        <v>822.7</v>
      </c>
      <c r="H253" s="31" t="n">
        <v>-1.4</v>
      </c>
      <c r="I253" s="31" t="n">
        <v>41383</v>
      </c>
      <c r="J253" s="31" t="inlineStr">
        <is>
          <t>526367</t>
        </is>
      </c>
    </row>
    <row r="254">
      <c r="A254" s="31" t="inlineStr">
        <is>
          <t>CYIENTDLM</t>
        </is>
      </c>
      <c r="B254" s="31" t="inlineStr">
        <is>
          <t>Cyient DLM Ltd</t>
        </is>
      </c>
      <c r="C254" s="31" t="inlineStr">
        <is>
          <t>consumer discretionary</t>
        </is>
      </c>
      <c r="D254" s="31" t="inlineStr">
        <is>
          <t>electronics - components</t>
        </is>
      </c>
      <c r="E254" s="31" t="inlineStr">
        <is>
          <t>smallcap</t>
        </is>
      </c>
      <c r="F254" s="31" t="n">
        <v>4592.42</v>
      </c>
      <c r="G254" s="31" t="n">
        <v>578.65</v>
      </c>
      <c r="H254" s="31" t="n">
        <v>-1.41</v>
      </c>
      <c r="I254" s="31" t="n">
        <v>944732</v>
      </c>
      <c r="J254" s="31" t="inlineStr">
        <is>
          <t>543933</t>
        </is>
      </c>
    </row>
    <row r="255">
      <c r="A255" s="31" t="inlineStr">
        <is>
          <t>GANDHAR</t>
        </is>
      </c>
      <c r="B255" s="31" t="inlineStr">
        <is>
          <t>Gandhar Oil Refinery (India) Ltd</t>
        </is>
      </c>
      <c r="C255" s="31" t="inlineStr">
        <is>
          <t>energy</t>
        </is>
      </c>
      <c r="D255" s="31" t="inlineStr">
        <is>
          <t>refineries</t>
        </is>
      </c>
      <c r="E255" s="31" t="inlineStr">
        <is>
          <t>smallcap</t>
        </is>
      </c>
      <c r="F255" s="31" t="n">
        <v>2035.21</v>
      </c>
      <c r="G255" s="31" t="n">
        <v>207.93</v>
      </c>
      <c r="H255" s="31" t="n">
        <v>-1.43</v>
      </c>
      <c r="I255" s="31" t="n">
        <v>586858</v>
      </c>
      <c r="J255" s="31" t="inlineStr">
        <is>
          <t>544029</t>
        </is>
      </c>
    </row>
    <row r="256">
      <c r="A256" s="31" t="inlineStr">
        <is>
          <t>PICCADIL</t>
        </is>
      </c>
      <c r="B256" s="31" t="inlineStr">
        <is>
          <t>Piccadily Agro Industries Ltd</t>
        </is>
      </c>
      <c r="C256" s="31" t="inlineStr">
        <is>
          <t>fmcg</t>
        </is>
      </c>
      <c r="D256" s="31" t="inlineStr">
        <is>
          <t>breweries &amp; distilleries</t>
        </is>
      </c>
      <c r="E256" s="31" t="inlineStr">
        <is>
          <t>midcap</t>
        </is>
      </c>
      <c r="F256" s="31" t="n">
        <v>7191.33</v>
      </c>
      <c r="G256" s="31" t="n">
        <v>729.55</v>
      </c>
      <c r="H256" s="31" t="n">
        <v>-1.49</v>
      </c>
      <c r="I256" s="31" t="n">
        <v>478185</v>
      </c>
      <c r="J256" s="31" t="inlineStr">
        <is>
          <t>530305</t>
        </is>
      </c>
    </row>
    <row r="257">
      <c r="A257" s="31" t="inlineStr">
        <is>
          <t>SPANDANA</t>
        </is>
      </c>
      <c r="B257" s="31" t="inlineStr">
        <is>
          <t>Spandana Sphoorty Financial Ltd</t>
        </is>
      </c>
      <c r="C257" s="31" t="inlineStr">
        <is>
          <t>financials</t>
        </is>
      </c>
      <c r="D257" s="31" t="inlineStr">
        <is>
          <t>finance &amp; investments</t>
        </is>
      </c>
      <c r="E257" s="31" t="inlineStr">
        <is>
          <t>smallcap</t>
        </is>
      </c>
      <c r="F257" s="31" t="n">
        <v>2631.71</v>
      </c>
      <c r="G257" s="31" t="n">
        <v>296.9</v>
      </c>
      <c r="H257" s="31" t="n">
        <v>-1.49</v>
      </c>
      <c r="I257" s="31" t="n">
        <v>237293</v>
      </c>
      <c r="J257" s="31" t="inlineStr">
        <is>
          <t>542759</t>
        </is>
      </c>
    </row>
    <row r="258">
      <c r="A258" s="31" t="inlineStr">
        <is>
          <t>ITDC</t>
        </is>
      </c>
      <c r="B258" s="31" t="inlineStr">
        <is>
          <t>India Tourism Development Corporation Ltd</t>
        </is>
      </c>
      <c r="C258" s="31" t="inlineStr">
        <is>
          <t>services</t>
        </is>
      </c>
      <c r="D258" s="31" t="inlineStr">
        <is>
          <t>hotels</t>
        </is>
      </c>
      <c r="E258" s="31" t="inlineStr">
        <is>
          <t>midcap</t>
        </is>
      </c>
      <c r="F258" s="31" t="n">
        <v>6380.81</v>
      </c>
      <c r="G258" s="31" t="n">
        <v>743.95</v>
      </c>
      <c r="H258" s="31" t="n">
        <v>-1.5</v>
      </c>
      <c r="I258" s="31" t="n">
        <v>2471328</v>
      </c>
      <c r="J258" s="31" t="inlineStr">
        <is>
          <t>532189</t>
        </is>
      </c>
    </row>
    <row r="259">
      <c r="A259" s="31" t="inlineStr">
        <is>
          <t>GREENPLY</t>
        </is>
      </c>
      <c r="B259" s="31" t="inlineStr">
        <is>
          <t>Greenply Industries Limited</t>
        </is>
      </c>
      <c r="C259" s="31" t="inlineStr">
        <is>
          <t>building materials</t>
        </is>
      </c>
      <c r="D259" s="31" t="inlineStr">
        <is>
          <t>miscellaneous</t>
        </is>
      </c>
      <c r="E259" s="31" t="inlineStr">
        <is>
          <t>smallcap</t>
        </is>
      </c>
      <c r="F259" s="31" t="n">
        <v>3938.79</v>
      </c>
      <c r="G259" s="31" t="n">
        <v>315.35</v>
      </c>
      <c r="H259" s="31" t="n">
        <v>-1.51</v>
      </c>
      <c r="I259" s="31" t="n">
        <v>289590</v>
      </c>
      <c r="J259" s="31" t="inlineStr">
        <is>
          <t>526797</t>
        </is>
      </c>
    </row>
    <row r="260">
      <c r="A260" s="31" t="inlineStr">
        <is>
          <t>SIS</t>
        </is>
      </c>
      <c r="B260" s="31" t="inlineStr">
        <is>
          <t>Security &amp; Intelligence Services India</t>
        </is>
      </c>
      <c r="C260" s="31" t="inlineStr">
        <is>
          <t>miscellaneous</t>
        </is>
      </c>
      <c r="D260" s="31" t="inlineStr">
        <is>
          <t>miscellaneous</t>
        </is>
      </c>
      <c r="E260" s="31" t="inlineStr">
        <is>
          <t>midcap</t>
        </is>
      </c>
      <c r="F260" s="31" t="n">
        <v>6125.56</v>
      </c>
      <c r="G260" s="31" t="n">
        <v>433.6</v>
      </c>
      <c r="H260" s="31" t="n">
        <v>-1.51</v>
      </c>
      <c r="I260" s="31" t="n">
        <v>172589</v>
      </c>
      <c r="J260" s="31" t="inlineStr">
        <is>
          <t>540673</t>
        </is>
      </c>
    </row>
    <row r="261">
      <c r="A261" s="31" t="inlineStr">
        <is>
          <t>TCPLPACK</t>
        </is>
      </c>
      <c r="B261" s="31" t="inlineStr">
        <is>
          <t>TCPL Packaging Ltd</t>
        </is>
      </c>
      <c r="C261" s="31" t="inlineStr">
        <is>
          <t>industrials</t>
        </is>
      </c>
      <c r="D261" s="31" t="inlineStr">
        <is>
          <t>packaging</t>
        </is>
      </c>
      <c r="E261" s="31" t="inlineStr">
        <is>
          <t>smallcap</t>
        </is>
      </c>
      <c r="F261" s="31" t="n">
        <v>2926.38</v>
      </c>
      <c r="G261" s="31" t="n">
        <v>3215.8</v>
      </c>
      <c r="H261" s="31" t="n">
        <v>-1.52</v>
      </c>
      <c r="I261" s="31" t="n">
        <v>3141</v>
      </c>
      <c r="J261" s="31" t="inlineStr">
        <is>
          <t>523301</t>
        </is>
      </c>
    </row>
    <row r="262">
      <c r="A262" s="31" t="inlineStr">
        <is>
          <t>PRICOLLTD</t>
        </is>
      </c>
      <c r="B262" s="31" t="inlineStr">
        <is>
          <t>Pricol Ltd.</t>
        </is>
      </c>
      <c r="C262" s="31" t="inlineStr">
        <is>
          <t>auto</t>
        </is>
      </c>
      <c r="D262" s="31" t="inlineStr">
        <is>
          <t>auto ancillaries</t>
        </is>
      </c>
      <c r="E262" s="31" t="inlineStr">
        <is>
          <t>midcap</t>
        </is>
      </c>
      <c r="F262" s="31" t="n">
        <v>7499.37</v>
      </c>
      <c r="G262" s="31" t="n">
        <v>615.3</v>
      </c>
      <c r="H262" s="31" t="n">
        <v>-1.52</v>
      </c>
      <c r="I262" s="31" t="n">
        <v>387769</v>
      </c>
      <c r="J262" s="31" t="inlineStr">
        <is>
          <t>540293</t>
        </is>
      </c>
    </row>
    <row r="263">
      <c r="A263" s="31" t="inlineStr">
        <is>
          <t>AETHER</t>
        </is>
      </c>
      <c r="B263" s="31" t="inlineStr">
        <is>
          <t>Aether Industries Ltd</t>
        </is>
      </c>
      <c r="C263" s="31" t="inlineStr">
        <is>
          <t>chemicals</t>
        </is>
      </c>
      <c r="D263" s="31" t="inlineStr">
        <is>
          <t>chemicals</t>
        </is>
      </c>
      <c r="E263" s="31" t="inlineStr">
        <is>
          <t>midcap</t>
        </is>
      </c>
      <c r="F263" s="31" t="n">
        <v>19579.09</v>
      </c>
      <c r="G263" s="31" t="n">
        <v>1475.3</v>
      </c>
      <c r="H263" s="31" t="n">
        <v>-1.59</v>
      </c>
      <c r="I263" s="31" t="n">
        <v>190667</v>
      </c>
      <c r="J263" s="31" t="inlineStr">
        <is>
          <t>543534</t>
        </is>
      </c>
    </row>
    <row r="264">
      <c r="A264" s="31" t="inlineStr">
        <is>
          <t>ZIMLAB</t>
        </is>
      </c>
      <c r="B264" s="31" t="inlineStr">
        <is>
          <t>Zim Laboratories Ltd</t>
        </is>
      </c>
      <c r="C264" s="31" t="inlineStr">
        <is>
          <t>healthcare</t>
        </is>
      </c>
      <c r="D264" s="31" t="inlineStr">
        <is>
          <t>pharmaceuticals - indian - bulk drugs &amp; formln</t>
        </is>
      </c>
      <c r="E264" s="31" t="inlineStr">
        <is>
          <t>smallcap</t>
        </is>
      </c>
      <c r="F264" s="31" t="n">
        <v>647.9400000000001</v>
      </c>
      <c r="G264" s="31" t="n">
        <v>121</v>
      </c>
      <c r="H264" s="31" t="n">
        <v>-1.6</v>
      </c>
      <c r="I264" s="31" t="n">
        <v>44626</v>
      </c>
      <c r="J264" s="31" t="inlineStr">
        <is>
          <t>541400</t>
        </is>
      </c>
    </row>
    <row r="265">
      <c r="A265" s="31" t="inlineStr">
        <is>
          <t>3MINDIA</t>
        </is>
      </c>
      <c r="B265" s="31" t="inlineStr">
        <is>
          <t>3m India Limited</t>
        </is>
      </c>
      <c r="C265" s="31" t="inlineStr">
        <is>
          <t>miscellaneous</t>
        </is>
      </c>
      <c r="D265" s="31" t="inlineStr">
        <is>
          <t>diversified - large</t>
        </is>
      </c>
      <c r="E265" s="31" t="inlineStr">
        <is>
          <t>largecap</t>
        </is>
      </c>
      <c r="F265" s="31" t="n">
        <v>39281.3</v>
      </c>
      <c r="G265" s="31" t="n">
        <v>34870</v>
      </c>
      <c r="H265" s="31" t="n">
        <v>-1.62</v>
      </c>
      <c r="I265" s="31" t="n">
        <v>3002</v>
      </c>
      <c r="J265" s="31" t="inlineStr">
        <is>
          <t>523395</t>
        </is>
      </c>
    </row>
    <row r="266">
      <c r="A266" s="31" t="inlineStr">
        <is>
          <t>MUTHOOTMF</t>
        </is>
      </c>
      <c r="B266" s="31" t="inlineStr">
        <is>
          <t>Muthoot Microfin Ltd</t>
        </is>
      </c>
      <c r="C266" s="31" t="inlineStr">
        <is>
          <t>financials</t>
        </is>
      </c>
      <c r="D266" s="31" t="inlineStr">
        <is>
          <t>finance &amp; investments</t>
        </is>
      </c>
      <c r="E266" s="31" t="inlineStr">
        <is>
          <t>smallcap</t>
        </is>
      </c>
      <c r="F266" s="31" t="n">
        <v>4092.84</v>
      </c>
      <c r="G266" s="31" t="n">
        <v>240.06</v>
      </c>
      <c r="H266" s="31" t="n">
        <v>-1.62</v>
      </c>
      <c r="I266" s="31" t="n">
        <v>273190</v>
      </c>
      <c r="J266" s="31" t="inlineStr">
        <is>
          <t>544055</t>
        </is>
      </c>
    </row>
    <row r="267">
      <c r="A267" s="31" t="inlineStr">
        <is>
          <t>NOVARTIND</t>
        </is>
      </c>
      <c r="B267" s="31" t="inlineStr">
        <is>
          <t>Novartis India Ltd</t>
        </is>
      </c>
      <c r="C267" s="31" t="inlineStr">
        <is>
          <t>healthcare</t>
        </is>
      </c>
      <c r="D267" s="31" t="inlineStr">
        <is>
          <t>pharmaceuticals - multinational</t>
        </is>
      </c>
      <c r="E267" s="31" t="inlineStr">
        <is>
          <t>smallcap</t>
        </is>
      </c>
      <c r="F267" s="31" t="n">
        <v>3876.7</v>
      </c>
      <c r="G267" s="31" t="n">
        <v>1570.1</v>
      </c>
      <c r="H267" s="31" t="n">
        <v>-1.64</v>
      </c>
      <c r="I267" s="31" t="n">
        <v>25137</v>
      </c>
      <c r="J267" s="31" t="inlineStr">
        <is>
          <t>500672</t>
        </is>
      </c>
    </row>
    <row r="268">
      <c r="A268" s="31" t="inlineStr">
        <is>
          <t>INDIANHUME</t>
        </is>
      </c>
      <c r="B268" s="31" t="inlineStr">
        <is>
          <t>Indian Hume Pipe Company Limited</t>
        </is>
      </c>
      <c r="C268" s="31" t="inlineStr">
        <is>
          <t>realty</t>
        </is>
      </c>
      <c r="D268" s="31" t="inlineStr">
        <is>
          <t>construction</t>
        </is>
      </c>
      <c r="E268" s="31" t="inlineStr">
        <is>
          <t>smallcap</t>
        </is>
      </c>
      <c r="F268" s="31" t="n">
        <v>2097</v>
      </c>
      <c r="G268" s="31" t="n">
        <v>398.05</v>
      </c>
      <c r="H268" s="31" t="n">
        <v>-1.64</v>
      </c>
      <c r="I268" s="31" t="n">
        <v>107099</v>
      </c>
      <c r="J268" s="31" t="inlineStr">
        <is>
          <t>504741</t>
        </is>
      </c>
    </row>
    <row r="269">
      <c r="A269" s="31" t="inlineStr">
        <is>
          <t>LLOYDSENT</t>
        </is>
      </c>
      <c r="B269" s="31" t="inlineStr">
        <is>
          <t>Lloyds Enterprises Ltd</t>
        </is>
      </c>
      <c r="C269" s="31" t="inlineStr">
        <is>
          <t>services</t>
        </is>
      </c>
      <c r="D269" s="31" t="inlineStr">
        <is>
          <t>trading</t>
        </is>
      </c>
      <c r="E269" s="31" t="inlineStr">
        <is>
          <t>midcap</t>
        </is>
      </c>
      <c r="F269" s="31" t="n">
        <v>11891.84</v>
      </c>
      <c r="G269" s="31" t="n">
        <v>77.90000000000001</v>
      </c>
      <c r="H269" s="31" t="n">
        <v>-1.68</v>
      </c>
      <c r="I269" s="31" t="n">
        <v>6453126</v>
      </c>
      <c r="J269" s="31" t="inlineStr">
        <is>
          <t>512463</t>
        </is>
      </c>
    </row>
    <row r="270">
      <c r="A270" s="31" t="inlineStr">
        <is>
          <t>GEOJITFSL</t>
        </is>
      </c>
      <c r="B270" s="31" t="inlineStr">
        <is>
          <t>Geojit Financial Services Ltd</t>
        </is>
      </c>
      <c r="C270" s="31" t="inlineStr">
        <is>
          <t>financials</t>
        </is>
      </c>
      <c r="D270" s="31" t="inlineStr">
        <is>
          <t>finance &amp; investments</t>
        </is>
      </c>
      <c r="E270" s="31" t="inlineStr">
        <is>
          <t>smallcap</t>
        </is>
      </c>
      <c r="F270" s="31" t="n">
        <v>2263.12</v>
      </c>
      <c r="G270" s="31" t="n">
        <v>81.08</v>
      </c>
      <c r="H270" s="31" t="n">
        <v>-1.71</v>
      </c>
      <c r="I270" s="31" t="n">
        <v>323801</v>
      </c>
      <c r="J270" s="31" t="inlineStr">
        <is>
          <t>532285</t>
        </is>
      </c>
    </row>
    <row r="271">
      <c r="A271" s="31" t="inlineStr">
        <is>
          <t>SHYAMMETL</t>
        </is>
      </c>
      <c r="B271" s="31" t="inlineStr">
        <is>
          <t>Shyam Metalics &amp; Energy Ltd</t>
        </is>
      </c>
      <c r="C271" s="31" t="inlineStr">
        <is>
          <t>metals &amp; mining</t>
        </is>
      </c>
      <c r="D271" s="31" t="inlineStr">
        <is>
          <t>steel - large</t>
        </is>
      </c>
      <c r="E271" s="31" t="inlineStr">
        <is>
          <t>largecap</t>
        </is>
      </c>
      <c r="F271" s="31" t="n">
        <v>28541.23</v>
      </c>
      <c r="G271" s="31" t="n">
        <v>1022.5</v>
      </c>
      <c r="H271" s="31" t="n">
        <v>-1.73</v>
      </c>
      <c r="I271" s="31" t="n">
        <v>220511</v>
      </c>
      <c r="J271" s="31" t="inlineStr">
        <is>
          <t>543299</t>
        </is>
      </c>
    </row>
    <row r="272">
      <c r="A272" s="31" t="inlineStr">
        <is>
          <t>VARROC</t>
        </is>
      </c>
      <c r="B272" s="31" t="inlineStr">
        <is>
          <t>Varroc Engineering Ltd</t>
        </is>
      </c>
      <c r="C272" s="31" t="inlineStr">
        <is>
          <t>auto</t>
        </is>
      </c>
      <c r="D272" s="31" t="inlineStr">
        <is>
          <t>auto ancillaries</t>
        </is>
      </c>
      <c r="E272" s="31" t="inlineStr">
        <is>
          <t>midcap</t>
        </is>
      </c>
      <c r="F272" s="31" t="n">
        <v>9903.610000000001</v>
      </c>
      <c r="G272" s="31" t="n">
        <v>648.2</v>
      </c>
      <c r="H272" s="31" t="n">
        <v>-1.73</v>
      </c>
      <c r="I272" s="31" t="n">
        <v>95150</v>
      </c>
      <c r="J272" s="31" t="inlineStr">
        <is>
          <t>541578</t>
        </is>
      </c>
    </row>
    <row r="273">
      <c r="A273" s="31" t="inlineStr">
        <is>
          <t>SAILIFE</t>
        </is>
      </c>
      <c r="B273" s="31" t="inlineStr">
        <is>
          <t>Sai Life Sciences Ltd</t>
        </is>
      </c>
      <c r="C273" s="31" t="inlineStr">
        <is>
          <t>healthcare</t>
        </is>
      </c>
      <c r="D273" s="31" t="inlineStr">
        <is>
          <t>pharmaceuticals - indian - bulk drugs &amp; formln</t>
        </is>
      </c>
      <c r="E273" s="31" t="inlineStr">
        <is>
          <t>largecap</t>
        </is>
      </c>
      <c r="F273" s="31" t="n">
        <v>26938.32</v>
      </c>
      <c r="G273" s="31" t="n">
        <v>1272</v>
      </c>
      <c r="H273" s="31" t="n">
        <v>-1.77</v>
      </c>
      <c r="I273" s="31" t="n">
        <v>201171</v>
      </c>
      <c r="J273" s="31" t="inlineStr">
        <is>
          <t>544306</t>
        </is>
      </c>
    </row>
    <row r="274">
      <c r="A274" s="31" t="inlineStr">
        <is>
          <t>LAURUSLABS</t>
        </is>
      </c>
      <c r="B274" s="31" t="inlineStr">
        <is>
          <t>Laurus Labs Limited</t>
        </is>
      </c>
      <c r="C274" s="31" t="inlineStr">
        <is>
          <t>healthcare</t>
        </is>
      </c>
      <c r="D274" s="31" t="inlineStr">
        <is>
          <t>pharmaceuticals - indian - bulk drugs &amp; formln</t>
        </is>
      </c>
      <c r="E274" s="31" t="inlineStr">
        <is>
          <t>largecap</t>
        </is>
      </c>
      <c r="F274" s="31" t="n">
        <v>82587.25999999999</v>
      </c>
      <c r="G274" s="31" t="n">
        <v>1529.8</v>
      </c>
      <c r="H274" s="31" t="n">
        <v>-1.78</v>
      </c>
      <c r="I274" s="31" t="n">
        <v>1011017</v>
      </c>
      <c r="J274" s="31" t="inlineStr">
        <is>
          <t>540222</t>
        </is>
      </c>
    </row>
    <row r="275">
      <c r="A275" s="31" t="inlineStr">
        <is>
          <t>SHREECEM</t>
        </is>
      </c>
      <c r="B275" s="31" t="inlineStr">
        <is>
          <t>Shree Cements Limited</t>
        </is>
      </c>
      <c r="C275" s="31" t="inlineStr">
        <is>
          <t>building materials</t>
        </is>
      </c>
      <c r="D275" s="31" t="inlineStr">
        <is>
          <t>cement - north india</t>
        </is>
      </c>
      <c r="E275" s="31" t="inlineStr">
        <is>
          <t>largecap</t>
        </is>
      </c>
      <c r="F275" s="31" t="n">
        <v>95668.10000000001</v>
      </c>
      <c r="G275" s="31" t="n">
        <v>26515</v>
      </c>
      <c r="H275" s="31" t="n">
        <v>-1.8</v>
      </c>
      <c r="I275" s="31" t="n">
        <v>12749</v>
      </c>
      <c r="J275" s="31" t="inlineStr">
        <is>
          <t>500387</t>
        </is>
      </c>
    </row>
    <row r="276">
      <c r="A276" s="31" t="inlineStr">
        <is>
          <t>PLASTIBLEN</t>
        </is>
      </c>
      <c r="B276" s="31" t="inlineStr">
        <is>
          <t>Plastiblends India Limited</t>
        </is>
      </c>
      <c r="C276" s="31" t="inlineStr">
        <is>
          <t>chemicals</t>
        </is>
      </c>
      <c r="D276" s="31" t="inlineStr">
        <is>
          <t>chemicals</t>
        </is>
      </c>
      <c r="E276" s="31" t="inlineStr">
        <is>
          <t>smallcap</t>
        </is>
      </c>
      <c r="F276" s="31" t="n">
        <v>516.0700000000001</v>
      </c>
      <c r="G276" s="31" t="n">
        <v>198.57</v>
      </c>
      <c r="H276" s="31" t="n">
        <v>-1.86</v>
      </c>
      <c r="I276" s="31" t="n">
        <v>110376</v>
      </c>
      <c r="J276" s="31" t="inlineStr">
        <is>
          <t>523648</t>
        </is>
      </c>
    </row>
    <row r="277">
      <c r="A277" s="31" t="inlineStr">
        <is>
          <t>PDSL</t>
        </is>
      </c>
      <c r="B277" s="31" t="inlineStr">
        <is>
          <t>PDS Ltd</t>
        </is>
      </c>
      <c r="C277" s="31" t="inlineStr">
        <is>
          <t>textiles</t>
        </is>
      </c>
      <c r="D277" s="31" t="inlineStr">
        <is>
          <t>trading</t>
        </is>
      </c>
      <c r="E277" s="31" t="inlineStr">
        <is>
          <t>midcap</t>
        </is>
      </c>
      <c r="F277" s="31" t="n">
        <v>5118.08</v>
      </c>
      <c r="G277" s="31" t="n">
        <v>361.85</v>
      </c>
      <c r="H277" s="31" t="n">
        <v>-1.87</v>
      </c>
      <c r="I277" s="31" t="n">
        <v>179438</v>
      </c>
      <c r="J277" s="31" t="inlineStr">
        <is>
          <t>538730</t>
        </is>
      </c>
    </row>
    <row r="278">
      <c r="A278" s="31" t="inlineStr">
        <is>
          <t>NAHARSPING</t>
        </is>
      </c>
      <c r="B278" s="31" t="inlineStr">
        <is>
          <t>Nahar Spinning Mills Limited</t>
        </is>
      </c>
      <c r="C278" s="31" t="inlineStr">
        <is>
          <t>textiles</t>
        </is>
      </c>
      <c r="D278" s="31" t="inlineStr">
        <is>
          <t>textiles - cotton/blended</t>
        </is>
      </c>
      <c r="E278" s="31" t="inlineStr">
        <is>
          <t>smallcap</t>
        </is>
      </c>
      <c r="F278" s="31" t="n">
        <v>998.11</v>
      </c>
      <c r="G278" s="31" t="n">
        <v>276.75</v>
      </c>
      <c r="H278" s="31" t="n">
        <v>-1.91</v>
      </c>
      <c r="I278" s="31" t="n">
        <v>6573</v>
      </c>
      <c r="J278" s="31" t="inlineStr">
        <is>
          <t>500296</t>
        </is>
      </c>
    </row>
    <row r="279">
      <c r="A279" s="31" t="inlineStr">
        <is>
          <t>SIGMAADV</t>
        </is>
      </c>
      <c r="B279" s="31" t="inlineStr">
        <is>
          <t>Sigma Advanced System Ltd</t>
        </is>
      </c>
      <c r="C279" s="31" t="inlineStr">
        <is>
          <t>aerospace &amp; defence</t>
        </is>
      </c>
      <c r="D279" s="31" t="inlineStr">
        <is>
          <t>electronics - components</t>
        </is>
      </c>
      <c r="E279" s="31" t="inlineStr">
        <is>
          <t>midcap</t>
        </is>
      </c>
      <c r="F279" s="31" t="n">
        <v>9830.65</v>
      </c>
      <c r="G279" s="31" t="n">
        <v>557.8</v>
      </c>
      <c r="H279" s="31" t="n">
        <v>-1.93</v>
      </c>
      <c r="I279" s="31" t="n">
        <v>89665</v>
      </c>
      <c r="J279" s="31" t="inlineStr">
        <is>
          <t>532408</t>
        </is>
      </c>
    </row>
    <row r="280">
      <c r="A280" s="31" t="inlineStr">
        <is>
          <t>DEEPAKNTR</t>
        </is>
      </c>
      <c r="B280" s="31" t="inlineStr">
        <is>
          <t>Deepak Nitrite Limited</t>
        </is>
      </c>
      <c r="C280" s="31" t="inlineStr">
        <is>
          <t>chemicals</t>
        </is>
      </c>
      <c r="D280" s="31" t="inlineStr">
        <is>
          <t>chemicals</t>
        </is>
      </c>
      <c r="E280" s="31" t="inlineStr">
        <is>
          <t>largecap</t>
        </is>
      </c>
      <c r="F280" s="31" t="n">
        <v>23295.93</v>
      </c>
      <c r="G280" s="31" t="n">
        <v>1708</v>
      </c>
      <c r="H280" s="31" t="n">
        <v>-1.94</v>
      </c>
      <c r="I280" s="31" t="n">
        <v>153400</v>
      </c>
      <c r="J280" s="31" t="inlineStr">
        <is>
          <t>506401</t>
        </is>
      </c>
    </row>
    <row r="281">
      <c r="A281" s="31" t="inlineStr">
        <is>
          <t>GABRIEL</t>
        </is>
      </c>
      <c r="B281" s="31" t="inlineStr">
        <is>
          <t>Gabriel India Limited</t>
        </is>
      </c>
      <c r="C281" s="31" t="inlineStr">
        <is>
          <t>auto</t>
        </is>
      </c>
      <c r="D281" s="31" t="inlineStr">
        <is>
          <t>auto ancillaries</t>
        </is>
      </c>
      <c r="E281" s="31" t="inlineStr">
        <is>
          <t>largecap</t>
        </is>
      </c>
      <c r="F281" s="31" t="n">
        <v>23688.56</v>
      </c>
      <c r="G281" s="31" t="n">
        <v>1336.6</v>
      </c>
      <c r="H281" s="31" t="n">
        <v>-1.95</v>
      </c>
      <c r="I281" s="31" t="n">
        <v>298429</v>
      </c>
      <c r="J281" s="31" t="inlineStr">
        <is>
          <t>505714</t>
        </is>
      </c>
    </row>
    <row r="282">
      <c r="A282" s="31" t="inlineStr">
        <is>
          <t>KECL</t>
        </is>
      </c>
      <c r="B282" s="31" t="inlineStr">
        <is>
          <t>Kirloskar Electric Company Limited</t>
        </is>
      </c>
      <c r="C282" s="31" t="inlineStr">
        <is>
          <t>industrials</t>
        </is>
      </c>
      <c r="D282" s="31" t="inlineStr">
        <is>
          <t>electric equipment</t>
        </is>
      </c>
      <c r="E282" s="31" t="inlineStr">
        <is>
          <t>smallcap</t>
        </is>
      </c>
      <c r="F282" s="31" t="n">
        <v>791.0599999999999</v>
      </c>
      <c r="G282" s="31" t="n">
        <v>119.11</v>
      </c>
      <c r="H282" s="31" t="n">
        <v>-1.98</v>
      </c>
      <c r="I282" s="31" t="n">
        <v>101159</v>
      </c>
      <c r="J282" s="31" t="inlineStr">
        <is>
          <t>533193</t>
        </is>
      </c>
    </row>
    <row r="283">
      <c r="A283" s="31" t="inlineStr">
        <is>
          <t>RAMCOIND</t>
        </is>
      </c>
      <c r="B283" s="31" t="inlineStr">
        <is>
          <t>Ramco Industries Limited</t>
        </is>
      </c>
      <c r="C283" s="31" t="inlineStr">
        <is>
          <t>building materials</t>
        </is>
      </c>
      <c r="D283" s="31" t="inlineStr">
        <is>
          <t>cement products</t>
        </is>
      </c>
      <c r="E283" s="31" t="inlineStr">
        <is>
          <t>smallcap</t>
        </is>
      </c>
      <c r="F283" s="31" t="n">
        <v>3069.41</v>
      </c>
      <c r="G283" s="31" t="n">
        <v>353.45</v>
      </c>
      <c r="H283" s="31" t="n">
        <v>-2.01</v>
      </c>
      <c r="I283" s="31" t="n">
        <v>211771</v>
      </c>
      <c r="J283" s="31" t="inlineStr">
        <is>
          <t>532369</t>
        </is>
      </c>
    </row>
    <row r="284">
      <c r="A284" s="31" t="inlineStr">
        <is>
          <t>MANAKSTEEL</t>
        </is>
      </c>
      <c r="B284" s="31" t="inlineStr">
        <is>
          <t>Manaksia Steels Limited</t>
        </is>
      </c>
      <c r="C284" s="31" t="inlineStr">
        <is>
          <t>metals &amp; mining</t>
        </is>
      </c>
      <c r="D284" s="31" t="inlineStr">
        <is>
          <t>steel - medium / small</t>
        </is>
      </c>
      <c r="E284" s="31" t="inlineStr">
        <is>
          <t>smallcap</t>
        </is>
      </c>
      <c r="F284" s="31" t="n">
        <v>501.86</v>
      </c>
      <c r="G284" s="31" t="n">
        <v>76.58</v>
      </c>
      <c r="H284" s="31" t="n">
        <v>-2.02</v>
      </c>
      <c r="I284" s="31" t="n">
        <v>21339</v>
      </c>
      <c r="J284" s="31" t="inlineStr">
        <is>
          <t>539044</t>
        </is>
      </c>
    </row>
    <row r="285">
      <c r="A285" s="31" t="inlineStr">
        <is>
          <t>RAJRATAN</t>
        </is>
      </c>
      <c r="B285" s="31" t="inlineStr">
        <is>
          <t>Rajratan Global Wire Ltd</t>
        </is>
      </c>
      <c r="C285" s="31" t="inlineStr">
        <is>
          <t>metals &amp; mining</t>
        </is>
      </c>
      <c r="D285" s="31" t="inlineStr">
        <is>
          <t>steel - medium / small</t>
        </is>
      </c>
      <c r="E285" s="31" t="inlineStr">
        <is>
          <t>smallcap</t>
        </is>
      </c>
      <c r="F285" s="31" t="n">
        <v>2466.71</v>
      </c>
      <c r="G285" s="31" t="n">
        <v>485.85</v>
      </c>
      <c r="H285" s="31" t="n">
        <v>-2.03</v>
      </c>
      <c r="I285" s="31" t="n">
        <v>126970</v>
      </c>
      <c r="J285" s="31" t="inlineStr">
        <is>
          <t>517522</t>
        </is>
      </c>
    </row>
    <row r="286">
      <c r="A286" s="31" t="inlineStr">
        <is>
          <t>SOBHA</t>
        </is>
      </c>
      <c r="B286" s="31" t="inlineStr">
        <is>
          <t>Sobha Limited</t>
        </is>
      </c>
      <c r="C286" s="31" t="inlineStr">
        <is>
          <t>realty</t>
        </is>
      </c>
      <c r="D286" s="31" t="inlineStr">
        <is>
          <t>construction</t>
        </is>
      </c>
      <c r="E286" s="31" t="inlineStr">
        <is>
          <t>midcap</t>
        </is>
      </c>
      <c r="F286" s="31" t="n">
        <v>15636.65</v>
      </c>
      <c r="G286" s="31" t="n">
        <v>1462</v>
      </c>
      <c r="H286" s="31" t="n">
        <v>-2.08</v>
      </c>
      <c r="I286" s="31" t="n">
        <v>104334</v>
      </c>
      <c r="J286" s="31" t="inlineStr">
        <is>
          <t>532784</t>
        </is>
      </c>
    </row>
    <row r="287">
      <c r="A287" s="31" t="inlineStr">
        <is>
          <t>FILATEX</t>
        </is>
      </c>
      <c r="B287" s="31" t="inlineStr">
        <is>
          <t>Filatex India Limited</t>
        </is>
      </c>
      <c r="C287" s="31" t="inlineStr">
        <is>
          <t>textiles</t>
        </is>
      </c>
      <c r="D287" s="31" t="inlineStr">
        <is>
          <t>textiles - manmade</t>
        </is>
      </c>
      <c r="E287" s="31" t="inlineStr">
        <is>
          <t>smallcap</t>
        </is>
      </c>
      <c r="F287" s="31" t="n">
        <v>3178.13</v>
      </c>
      <c r="G287" s="31" t="n">
        <v>71.56999999999999</v>
      </c>
      <c r="H287" s="31" t="n">
        <v>-2.09</v>
      </c>
      <c r="I287" s="31" t="n">
        <v>6359909</v>
      </c>
      <c r="J287" s="31" t="inlineStr">
        <is>
          <t>526227</t>
        </is>
      </c>
    </row>
    <row r="288">
      <c r="A288" s="31" t="inlineStr">
        <is>
          <t>IIFL</t>
        </is>
      </c>
      <c r="B288" s="31" t="inlineStr">
        <is>
          <t>IIFL Finance Ltd</t>
        </is>
      </c>
      <c r="C288" s="31" t="inlineStr">
        <is>
          <t>financials</t>
        </is>
      </c>
      <c r="D288" s="31" t="inlineStr">
        <is>
          <t>finance &amp; investments</t>
        </is>
      </c>
      <c r="E288" s="31" t="inlineStr">
        <is>
          <t>largecap</t>
        </is>
      </c>
      <c r="F288" s="31" t="n">
        <v>23614.04</v>
      </c>
      <c r="G288" s="31" t="n">
        <v>555.2</v>
      </c>
      <c r="H288" s="31" t="n">
        <v>-2.1</v>
      </c>
      <c r="I288" s="31" t="n">
        <v>2053028</v>
      </c>
      <c r="J288" s="31" t="inlineStr">
        <is>
          <t>532636</t>
        </is>
      </c>
    </row>
    <row r="289">
      <c r="A289" s="31" t="inlineStr">
        <is>
          <t>ABB</t>
        </is>
      </c>
      <c r="B289" s="31" t="inlineStr">
        <is>
          <t>Abb India Limited</t>
        </is>
      </c>
      <c r="C289" s="31" t="inlineStr">
        <is>
          <t>industrials</t>
        </is>
      </c>
      <c r="D289" s="31" t="inlineStr">
        <is>
          <t>electric equipment</t>
        </is>
      </c>
      <c r="E289" s="31" t="inlineStr">
        <is>
          <t>largecap</t>
        </is>
      </c>
      <c r="F289" s="31" t="n">
        <v>159058.43</v>
      </c>
      <c r="G289" s="31" t="n">
        <v>7506</v>
      </c>
      <c r="H289" s="31" t="n">
        <v>-2.11</v>
      </c>
      <c r="I289" s="31" t="n">
        <v>366304</v>
      </c>
      <c r="J289" s="31" t="inlineStr">
        <is>
          <t>500002</t>
        </is>
      </c>
    </row>
    <row r="290">
      <c r="A290" s="31" t="inlineStr">
        <is>
          <t>RPGLIFE</t>
        </is>
      </c>
      <c r="B290" s="31" t="inlineStr">
        <is>
          <t>Rpg Life Sciences Limited</t>
        </is>
      </c>
      <c r="C290" s="31" t="inlineStr">
        <is>
          <t>healthcare</t>
        </is>
      </c>
      <c r="D290" s="31" t="inlineStr">
        <is>
          <t>pharmaceuticals - indian - bulk drugs &amp; formln</t>
        </is>
      </c>
      <c r="E290" s="31" t="inlineStr">
        <is>
          <t>smallcap</t>
        </is>
      </c>
      <c r="F290" s="31" t="n">
        <v>4729.83</v>
      </c>
      <c r="G290" s="31" t="n">
        <v>2859.8</v>
      </c>
      <c r="H290" s="31" t="n">
        <v>-2.13</v>
      </c>
      <c r="I290" s="31" t="n">
        <v>16931</v>
      </c>
      <c r="J290" s="31" t="inlineStr">
        <is>
          <t>532983</t>
        </is>
      </c>
    </row>
    <row r="291">
      <c r="A291" s="31" t="inlineStr">
        <is>
          <t>CAPLIPOINT</t>
        </is>
      </c>
      <c r="B291" s="31" t="inlineStr">
        <is>
          <t>Caplin Point Laboratories Limited</t>
        </is>
      </c>
      <c r="C291" s="31" t="inlineStr">
        <is>
          <t>healthcare</t>
        </is>
      </c>
      <c r="D291" s="31" t="inlineStr">
        <is>
          <t>pharmaceuticals - indian - formulations</t>
        </is>
      </c>
      <c r="E291" s="31" t="inlineStr">
        <is>
          <t>midcap</t>
        </is>
      </c>
      <c r="F291" s="31" t="n">
        <v>19870.98</v>
      </c>
      <c r="G291" s="31" t="n">
        <v>2614.2</v>
      </c>
      <c r="H291" s="31" t="n">
        <v>-2.14</v>
      </c>
      <c r="I291" s="31" t="n">
        <v>71088</v>
      </c>
      <c r="J291" s="31" t="inlineStr">
        <is>
          <t>524742</t>
        </is>
      </c>
    </row>
    <row r="292">
      <c r="A292" s="31" t="inlineStr">
        <is>
          <t>AARTIIND</t>
        </is>
      </c>
      <c r="B292" s="31" t="inlineStr">
        <is>
          <t>Aarti Industries Limited</t>
        </is>
      </c>
      <c r="C292" s="31" t="inlineStr">
        <is>
          <t>chemicals</t>
        </is>
      </c>
      <c r="D292" s="31" t="inlineStr">
        <is>
          <t>chemicals</t>
        </is>
      </c>
      <c r="E292" s="31" t="inlineStr">
        <is>
          <t>midcap</t>
        </is>
      </c>
      <c r="F292" s="31" t="n">
        <v>17910.35</v>
      </c>
      <c r="G292" s="31" t="n">
        <v>493.95</v>
      </c>
      <c r="H292" s="31" t="n">
        <v>-2.14</v>
      </c>
      <c r="I292" s="31" t="n">
        <v>999288</v>
      </c>
      <c r="J292" s="31" t="inlineStr">
        <is>
          <t>524208</t>
        </is>
      </c>
    </row>
    <row r="293">
      <c r="A293" s="31" t="inlineStr">
        <is>
          <t>SAKAR</t>
        </is>
      </c>
      <c r="B293" s="31" t="inlineStr">
        <is>
          <t>Sakar Healthcare Ltd</t>
        </is>
      </c>
      <c r="C293" s="31" t="inlineStr">
        <is>
          <t>healthcare</t>
        </is>
      </c>
      <c r="D293" s="31" t="inlineStr">
        <is>
          <t>pharmaceuticals - indian - bulk drugs &amp; formln</t>
        </is>
      </c>
      <c r="E293" s="31" t="inlineStr">
        <is>
          <t>smallcap</t>
        </is>
      </c>
      <c r="F293" s="31" t="n">
        <v>1952.87</v>
      </c>
      <c r="G293" s="31" t="n">
        <v>877.7</v>
      </c>
      <c r="H293" s="31" t="n">
        <v>-2.15</v>
      </c>
      <c r="I293" s="31" t="n">
        <v>128085</v>
      </c>
      <c r="J293" s="31" t="inlineStr">
        <is>
          <t>538377</t>
        </is>
      </c>
    </row>
    <row r="294">
      <c r="A294" s="31" t="inlineStr">
        <is>
          <t>RATEGAIN</t>
        </is>
      </c>
      <c r="B294" s="31" t="inlineStr">
        <is>
          <t>Rategain Travel Technologies Ltd</t>
        </is>
      </c>
      <c r="C294" s="31" t="inlineStr">
        <is>
          <t>i.t</t>
        </is>
      </c>
      <c r="D294" s="31" t="inlineStr">
        <is>
          <t>computers - software - medium / small</t>
        </is>
      </c>
      <c r="E294" s="31" t="inlineStr">
        <is>
          <t>midcap</t>
        </is>
      </c>
      <c r="F294" s="31" t="n">
        <v>11233.99</v>
      </c>
      <c r="G294" s="31" t="n">
        <v>950.7</v>
      </c>
      <c r="H294" s="31" t="n">
        <v>-2.17</v>
      </c>
      <c r="I294" s="31" t="n">
        <v>402406</v>
      </c>
      <c r="J294" s="31" t="inlineStr">
        <is>
          <t>543417</t>
        </is>
      </c>
    </row>
    <row r="295">
      <c r="A295" s="31" t="inlineStr">
        <is>
          <t>CCAVENUE</t>
        </is>
      </c>
      <c r="B295" s="31" t="inlineStr">
        <is>
          <t>AvenuesAI Ltd</t>
        </is>
      </c>
      <c r="C295" s="31" t="inlineStr">
        <is>
          <t>i.t</t>
        </is>
      </c>
      <c r="D295" s="31" t="inlineStr">
        <is>
          <t>miscellaneous</t>
        </is>
      </c>
      <c r="E295" s="31" t="inlineStr">
        <is>
          <t>midcap</t>
        </is>
      </c>
      <c r="F295" s="31" t="n">
        <v>5964.89</v>
      </c>
      <c r="G295" s="31" t="n">
        <v>17.06</v>
      </c>
      <c r="H295" s="31" t="n">
        <v>-2.18</v>
      </c>
      <c r="I295" s="31" t="n">
        <v>12191062</v>
      </c>
      <c r="J295" s="31" t="inlineStr">
        <is>
          <t>539807</t>
        </is>
      </c>
    </row>
    <row r="296">
      <c r="A296" s="31" t="inlineStr">
        <is>
          <t>ACMESOLAR</t>
        </is>
      </c>
      <c r="B296" s="31" t="inlineStr">
        <is>
          <t>ACME Solar Holdings Ltd</t>
        </is>
      </c>
      <c r="C296" s="31" t="inlineStr">
        <is>
          <t>realty</t>
        </is>
      </c>
      <c r="D296" s="31" t="inlineStr">
        <is>
          <t>engineering - turnkey services</t>
        </is>
      </c>
      <c r="E296" s="31" t="inlineStr">
        <is>
          <t>largecap</t>
        </is>
      </c>
      <c r="F296" s="31" t="n">
        <v>27204.46</v>
      </c>
      <c r="G296" s="31" t="n">
        <v>385.25</v>
      </c>
      <c r="H296" s="31" t="n">
        <v>-2.22</v>
      </c>
      <c r="I296" s="31" t="n">
        <v>3080054</v>
      </c>
      <c r="J296" s="31" t="inlineStr">
        <is>
          <t>544283</t>
        </is>
      </c>
    </row>
    <row r="297">
      <c r="A297" s="31" t="inlineStr">
        <is>
          <t>INGERRAND</t>
        </is>
      </c>
      <c r="B297" s="31" t="inlineStr">
        <is>
          <t>Ingersoll Rand (india) Limited</t>
        </is>
      </c>
      <c r="C297" s="31" t="inlineStr">
        <is>
          <t>industrials</t>
        </is>
      </c>
      <c r="D297" s="31" t="inlineStr">
        <is>
          <t>compressors / drilling equipment</t>
        </is>
      </c>
      <c r="E297" s="31" t="inlineStr">
        <is>
          <t>midcap</t>
        </is>
      </c>
      <c r="F297" s="31" t="n">
        <v>14430.36</v>
      </c>
      <c r="G297" s="31" t="n">
        <v>4571.2</v>
      </c>
      <c r="H297" s="31" t="n">
        <v>-2.26</v>
      </c>
      <c r="I297" s="31" t="n">
        <v>40789</v>
      </c>
      <c r="J297" s="31" t="inlineStr">
        <is>
          <t>500210</t>
        </is>
      </c>
    </row>
    <row r="298">
      <c r="A298" s="31" t="inlineStr">
        <is>
          <t>MUNJALAU</t>
        </is>
      </c>
      <c r="B298" s="31" t="inlineStr">
        <is>
          <t>Munjal Auto Industries Limited</t>
        </is>
      </c>
      <c r="C298" s="31" t="inlineStr">
        <is>
          <t>auto</t>
        </is>
      </c>
      <c r="D298" s="31" t="inlineStr">
        <is>
          <t>auto ancillaries</t>
        </is>
      </c>
      <c r="E298" s="31" t="inlineStr">
        <is>
          <t>smallcap</t>
        </is>
      </c>
      <c r="F298" s="31" t="n">
        <v>1037.9</v>
      </c>
      <c r="G298" s="31" t="n">
        <v>103.79</v>
      </c>
      <c r="H298" s="31" t="n">
        <v>-2.31</v>
      </c>
      <c r="I298" s="31" t="n">
        <v>265924</v>
      </c>
      <c r="J298" s="31" t="inlineStr">
        <is>
          <t>520059</t>
        </is>
      </c>
    </row>
    <row r="299">
      <c r="A299" s="31" t="inlineStr">
        <is>
          <t>PSPPROJECT</t>
        </is>
      </c>
      <c r="B299" s="31" t="inlineStr">
        <is>
          <t>PSP Projects Ltd</t>
        </is>
      </c>
      <c r="C299" s="31" t="inlineStr">
        <is>
          <t>realty</t>
        </is>
      </c>
      <c r="D299" s="31" t="inlineStr">
        <is>
          <t>construction</t>
        </is>
      </c>
      <c r="E299" s="31" t="inlineStr">
        <is>
          <t>smallcap</t>
        </is>
      </c>
      <c r="F299" s="31" t="n">
        <v>4147.72</v>
      </c>
      <c r="G299" s="31" t="n">
        <v>1046.3</v>
      </c>
      <c r="H299" s="31" t="n">
        <v>-2.31</v>
      </c>
      <c r="I299" s="31" t="n">
        <v>48999</v>
      </c>
      <c r="J299" s="31" t="inlineStr">
        <is>
          <t>540544</t>
        </is>
      </c>
    </row>
    <row r="300">
      <c r="A300" s="31" t="inlineStr">
        <is>
          <t>APCOTEXIND</t>
        </is>
      </c>
      <c r="B300" s="31" t="inlineStr">
        <is>
          <t>Apcotex Industries Limited</t>
        </is>
      </c>
      <c r="C300" s="31" t="inlineStr">
        <is>
          <t>chemicals</t>
        </is>
      </c>
      <c r="D300" s="31" t="inlineStr">
        <is>
          <t>miscellaneous</t>
        </is>
      </c>
      <c r="E300" s="31" t="inlineStr">
        <is>
          <t>smallcap</t>
        </is>
      </c>
      <c r="F300" s="31" t="n">
        <v>2743.12</v>
      </c>
      <c r="G300" s="31" t="n">
        <v>529.1</v>
      </c>
      <c r="H300" s="31" t="n">
        <v>-2.33</v>
      </c>
      <c r="I300" s="31" t="n">
        <v>60451</v>
      </c>
      <c r="J300" s="31" t="inlineStr">
        <is>
          <t>523694</t>
        </is>
      </c>
    </row>
    <row r="301">
      <c r="A301" s="31" t="inlineStr">
        <is>
          <t>ESAFSFB</t>
        </is>
      </c>
      <c r="B301" s="31" t="inlineStr">
        <is>
          <t>ESAF Small Finance Bank Ltd</t>
        </is>
      </c>
      <c r="C301" s="31" t="inlineStr">
        <is>
          <t>bank</t>
        </is>
      </c>
      <c r="D301" s="31" t="inlineStr">
        <is>
          <t>banks - private sector</t>
        </is>
      </c>
      <c r="E301" s="31" t="inlineStr">
        <is>
          <t>smallcap</t>
        </is>
      </c>
      <c r="F301" s="31" t="n">
        <v>1815.13</v>
      </c>
      <c r="G301" s="31" t="n">
        <v>35.2</v>
      </c>
      <c r="H301" s="31" t="n">
        <v>-2.38</v>
      </c>
      <c r="I301" s="31" t="n">
        <v>899746</v>
      </c>
      <c r="J301" s="31" t="inlineStr">
        <is>
          <t>544020</t>
        </is>
      </c>
    </row>
    <row r="302">
      <c r="A302" s="31" t="inlineStr">
        <is>
          <t>TPLPLASTEH</t>
        </is>
      </c>
      <c r="B302" s="31" t="inlineStr">
        <is>
          <t>Tpl Plastech Limited</t>
        </is>
      </c>
      <c r="C302" s="31" t="inlineStr">
        <is>
          <t>industrials</t>
        </is>
      </c>
      <c r="D302" s="31" t="inlineStr">
        <is>
          <t>packaging</t>
        </is>
      </c>
      <c r="E302" s="31" t="inlineStr">
        <is>
          <t>smallcap</t>
        </is>
      </c>
      <c r="F302" s="31" t="n">
        <v>621.14</v>
      </c>
      <c r="G302" s="31" t="n">
        <v>79.63</v>
      </c>
      <c r="H302" s="31" t="n">
        <v>-2.43</v>
      </c>
      <c r="I302" s="31" t="n">
        <v>147598</v>
      </c>
      <c r="J302" s="31" t="inlineStr">
        <is>
          <t>526582</t>
        </is>
      </c>
    </row>
    <row r="303">
      <c r="A303" s="31" t="inlineStr">
        <is>
          <t>HMVL</t>
        </is>
      </c>
      <c r="B303" s="31" t="inlineStr">
        <is>
          <t>Hindustan Media Ventures Limited</t>
        </is>
      </c>
      <c r="C303" s="31" t="inlineStr">
        <is>
          <t>media</t>
        </is>
      </c>
      <c r="D303" s="31" t="inlineStr">
        <is>
          <t>entertainment / electronic media software</t>
        </is>
      </c>
      <c r="E303" s="31" t="inlineStr">
        <is>
          <t>smallcap</t>
        </is>
      </c>
      <c r="F303" s="31" t="n">
        <v>656.49</v>
      </c>
      <c r="G303" s="31" t="n">
        <v>89.11</v>
      </c>
      <c r="H303" s="31" t="n">
        <v>-2.45</v>
      </c>
      <c r="I303" s="31" t="n">
        <v>19481</v>
      </c>
      <c r="J303" s="31" t="inlineStr">
        <is>
          <t>533217</t>
        </is>
      </c>
    </row>
    <row r="304">
      <c r="A304" s="31" t="inlineStr">
        <is>
          <t>SETL</t>
        </is>
      </c>
      <c r="B304" s="31" t="inlineStr">
        <is>
          <t>Standard Enginnering Technology Ltd</t>
        </is>
      </c>
      <c r="C304" s="31" t="inlineStr">
        <is>
          <t>industrials</t>
        </is>
      </c>
      <c r="D304" s="31" t="inlineStr">
        <is>
          <t>engineering</t>
        </is>
      </c>
      <c r="E304" s="31" t="inlineStr">
        <is>
          <t>midcap</t>
        </is>
      </c>
      <c r="F304" s="31" t="n">
        <v>5607.71</v>
      </c>
      <c r="G304" s="31" t="n">
        <v>281.1</v>
      </c>
      <c r="H304" s="31" t="n">
        <v>-2.48</v>
      </c>
      <c r="I304" s="31" t="n">
        <v>393717</v>
      </c>
      <c r="J304" s="31" t="inlineStr">
        <is>
          <t>544333</t>
        </is>
      </c>
    </row>
    <row r="305">
      <c r="A305" s="31" t="inlineStr">
        <is>
          <t>GRANULES</t>
        </is>
      </c>
      <c r="B305" s="31" t="inlineStr">
        <is>
          <t>Granules India Limited</t>
        </is>
      </c>
      <c r="C305" s="31" t="inlineStr">
        <is>
          <t>healthcare</t>
        </is>
      </c>
      <c r="D305" s="31" t="inlineStr">
        <is>
          <t>pharmaceuticals - indian - bulk drugs &amp; formln</t>
        </is>
      </c>
      <c r="E305" s="31" t="inlineStr">
        <is>
          <t>largecap</t>
        </is>
      </c>
      <c r="F305" s="31" t="n">
        <v>21825.95</v>
      </c>
      <c r="G305" s="31" t="n">
        <v>880.8</v>
      </c>
      <c r="H305" s="31" t="n">
        <v>-2.49</v>
      </c>
      <c r="I305" s="31" t="n">
        <v>1699258</v>
      </c>
      <c r="J305" s="31" t="inlineStr">
        <is>
          <t>532482</t>
        </is>
      </c>
    </row>
    <row r="306">
      <c r="A306" s="31" t="inlineStr">
        <is>
          <t>PIXTRANS</t>
        </is>
      </c>
      <c r="B306" s="31" t="inlineStr">
        <is>
          <t>Pix Transmission Ltd</t>
        </is>
      </c>
      <c r="C306" s="31" t="inlineStr">
        <is>
          <t>fmcg</t>
        </is>
      </c>
      <c r="D306" s="31" t="inlineStr">
        <is>
          <t>miscellaneous</t>
        </is>
      </c>
      <c r="E306" s="31" t="inlineStr">
        <is>
          <t>smallcap</t>
        </is>
      </c>
      <c r="F306" s="31" t="n">
        <v>2449.81</v>
      </c>
      <c r="G306" s="31" t="n">
        <v>1798</v>
      </c>
      <c r="H306" s="31" t="n">
        <v>-2.51</v>
      </c>
      <c r="I306" s="31" t="n">
        <v>18164</v>
      </c>
      <c r="J306" s="31" t="inlineStr">
        <is>
          <t>500333</t>
        </is>
      </c>
    </row>
    <row r="307">
      <c r="A307" s="31" t="inlineStr">
        <is>
          <t>JUBLINGREA</t>
        </is>
      </c>
      <c r="B307" s="31" t="inlineStr">
        <is>
          <t>Jubilant Ingrevia Ltd</t>
        </is>
      </c>
      <c r="C307" s="31" t="inlineStr">
        <is>
          <t>chemicals</t>
        </is>
      </c>
      <c r="D307" s="31" t="inlineStr">
        <is>
          <t>chemicals</t>
        </is>
      </c>
      <c r="E307" s="31" t="inlineStr">
        <is>
          <t>midcap</t>
        </is>
      </c>
      <c r="F307" s="31" t="n">
        <v>11771.67</v>
      </c>
      <c r="G307" s="31" t="n">
        <v>739.05</v>
      </c>
      <c r="H307" s="31" t="n">
        <v>-2.56</v>
      </c>
      <c r="I307" s="31" t="n">
        <v>178142</v>
      </c>
      <c r="J307" s="31" t="inlineStr">
        <is>
          <t>543271</t>
        </is>
      </c>
    </row>
    <row r="308">
      <c r="A308" s="31" t="inlineStr">
        <is>
          <t>ZYDUSWELL</t>
        </is>
      </c>
      <c r="B308" s="31" t="inlineStr">
        <is>
          <t>Zydus Wellness Limited</t>
        </is>
      </c>
      <c r="C308" s="31" t="inlineStr">
        <is>
          <t>fmcg</t>
        </is>
      </c>
      <c r="D308" s="31" t="inlineStr">
        <is>
          <t>food - processing - indian</t>
        </is>
      </c>
      <c r="E308" s="31" t="inlineStr">
        <is>
          <t>midcap</t>
        </is>
      </c>
      <c r="F308" s="31" t="n">
        <v>18658.54</v>
      </c>
      <c r="G308" s="31" t="n">
        <v>586.45</v>
      </c>
      <c r="H308" s="31" t="n">
        <v>-2.57</v>
      </c>
      <c r="I308" s="31" t="n">
        <v>264572</v>
      </c>
      <c r="J308" s="31" t="inlineStr">
        <is>
          <t>531335</t>
        </is>
      </c>
    </row>
    <row r="309">
      <c r="A309" s="31" t="inlineStr">
        <is>
          <t>UNICHEMLAB</t>
        </is>
      </c>
      <c r="B309" s="31" t="inlineStr">
        <is>
          <t>Unichem Laboratories Limited</t>
        </is>
      </c>
      <c r="C309" s="31" t="inlineStr">
        <is>
          <t>healthcare</t>
        </is>
      </c>
      <c r="D309" s="31" t="inlineStr">
        <is>
          <t>pharmaceuticals - indian - bulk drugs &amp; formln</t>
        </is>
      </c>
      <c r="E309" s="31" t="inlineStr">
        <is>
          <t>smallcap</t>
        </is>
      </c>
      <c r="F309" s="31" t="n">
        <v>4147.25</v>
      </c>
      <c r="G309" s="31" t="n">
        <v>589.05</v>
      </c>
      <c r="H309" s="31" t="n">
        <v>-2.61</v>
      </c>
      <c r="I309" s="31" t="n">
        <v>158364</v>
      </c>
      <c r="J309" s="31" t="inlineStr">
        <is>
          <t>506690</t>
        </is>
      </c>
    </row>
    <row r="310">
      <c r="A310" s="31" t="inlineStr">
        <is>
          <t>AKUMS</t>
        </is>
      </c>
      <c r="B310" s="31" t="inlineStr">
        <is>
          <t>Akums Drugs &amp; Pharmaceuticals Ltd</t>
        </is>
      </c>
      <c r="C310" s="31" t="inlineStr">
        <is>
          <t>healthcare</t>
        </is>
      </c>
      <c r="D310" s="31" t="inlineStr">
        <is>
          <t>pharmaceuticals - indian - bulk drugs &amp; formln</t>
        </is>
      </c>
      <c r="E310" s="31" t="inlineStr">
        <is>
          <t>midcap</t>
        </is>
      </c>
      <c r="F310" s="31" t="n">
        <v>10465.91</v>
      </c>
      <c r="G310" s="31" t="n">
        <v>664.95</v>
      </c>
      <c r="H310" s="31" t="n">
        <v>-2.64</v>
      </c>
      <c r="I310" s="31" t="n">
        <v>417269</v>
      </c>
      <c r="J310" s="31" t="inlineStr">
        <is>
          <t>544222</t>
        </is>
      </c>
    </row>
    <row r="311">
      <c r="A311" s="31" t="inlineStr">
        <is>
          <t>PANACEABIO</t>
        </is>
      </c>
      <c r="B311" s="31" t="inlineStr">
        <is>
          <t>Panacea Biotec Limited</t>
        </is>
      </c>
      <c r="C311" s="31" t="inlineStr">
        <is>
          <t>healthcare</t>
        </is>
      </c>
      <c r="D311" s="31" t="inlineStr">
        <is>
          <t>pharmaceuticals - indian - bulk drugs &amp; formln</t>
        </is>
      </c>
      <c r="E311" s="31" t="inlineStr">
        <is>
          <t>smallcap</t>
        </is>
      </c>
      <c r="F311" s="31" t="n">
        <v>3361.75</v>
      </c>
      <c r="G311" s="31" t="n">
        <v>548.85</v>
      </c>
      <c r="H311" s="31" t="n">
        <v>-2.68</v>
      </c>
      <c r="I311" s="31" t="n">
        <v>217459</v>
      </c>
      <c r="J311" s="31" t="inlineStr">
        <is>
          <t>531349</t>
        </is>
      </c>
    </row>
    <row r="312">
      <c r="A312" s="31" t="inlineStr">
        <is>
          <t>AJAXENGG</t>
        </is>
      </c>
      <c r="B312" s="31" t="inlineStr">
        <is>
          <t>Ajax Engineering Ltd</t>
        </is>
      </c>
      <c r="C312" s="31" t="inlineStr">
        <is>
          <t>industrials</t>
        </is>
      </c>
      <c r="D312" s="31" t="inlineStr">
        <is>
          <t>engineering</t>
        </is>
      </c>
      <c r="E312" s="31" t="inlineStr">
        <is>
          <t>midcap</t>
        </is>
      </c>
      <c r="F312" s="31" t="n">
        <v>6803.77</v>
      </c>
      <c r="G312" s="31" t="n">
        <v>594.7</v>
      </c>
      <c r="H312" s="31" t="n">
        <v>-2.68</v>
      </c>
      <c r="I312" s="31" t="n">
        <v>43538</v>
      </c>
      <c r="J312" s="31" t="inlineStr">
        <is>
          <t>544356</t>
        </is>
      </c>
    </row>
    <row r="313">
      <c r="A313" s="31" t="inlineStr">
        <is>
          <t>GREAVESCOT</t>
        </is>
      </c>
      <c r="B313" s="31" t="inlineStr">
        <is>
          <t>Greaves Cotton Limited</t>
        </is>
      </c>
      <c r="C313" s="31" t="inlineStr">
        <is>
          <t>industrials</t>
        </is>
      </c>
      <c r="D313" s="31" t="inlineStr">
        <is>
          <t>engines</t>
        </is>
      </c>
      <c r="E313" s="31" t="inlineStr">
        <is>
          <t>midcap</t>
        </is>
      </c>
      <c r="F313" s="31" t="n">
        <v>5811.21</v>
      </c>
      <c r="G313" s="31" t="n">
        <v>249.46</v>
      </c>
      <c r="H313" s="31" t="n">
        <v>-2.72</v>
      </c>
      <c r="I313" s="31" t="n">
        <v>1493811</v>
      </c>
      <c r="J313" s="31" t="inlineStr">
        <is>
          <t>501455</t>
        </is>
      </c>
    </row>
    <row r="314">
      <c r="A314" s="31" t="inlineStr">
        <is>
          <t>PAISALO</t>
        </is>
      </c>
      <c r="B314" s="31" t="inlineStr">
        <is>
          <t>Paisalo Digital Ltd</t>
        </is>
      </c>
      <c r="C314" s="31" t="inlineStr">
        <is>
          <t>financials</t>
        </is>
      </c>
      <c r="D314" s="31" t="inlineStr">
        <is>
          <t>finance &amp; investments</t>
        </is>
      </c>
      <c r="E314" s="31" t="inlineStr">
        <is>
          <t>midcap</t>
        </is>
      </c>
      <c r="F314" s="31" t="n">
        <v>6525.82</v>
      </c>
      <c r="G314" s="31" t="n">
        <v>71.75</v>
      </c>
      <c r="H314" s="31" t="n">
        <v>-2.75</v>
      </c>
      <c r="I314" s="31" t="n">
        <v>53207306</v>
      </c>
      <c r="J314" s="31" t="inlineStr">
        <is>
          <t>532900</t>
        </is>
      </c>
    </row>
    <row r="315">
      <c r="A315" s="31" t="inlineStr">
        <is>
          <t>SHILPAMED</t>
        </is>
      </c>
      <c r="B315" s="31" t="inlineStr">
        <is>
          <t>Shilpa Medicare Limited</t>
        </is>
      </c>
      <c r="C315" s="31" t="inlineStr">
        <is>
          <t>healthcare</t>
        </is>
      </c>
      <c r="D315" s="31" t="inlineStr">
        <is>
          <t>pharmaceuticals - indian - formulations</t>
        </is>
      </c>
      <c r="E315" s="31" t="inlineStr">
        <is>
          <t>midcap</t>
        </is>
      </c>
      <c r="F315" s="31" t="n">
        <v>12130.96</v>
      </c>
      <c r="G315" s="31" t="n">
        <v>620.25</v>
      </c>
      <c r="H315" s="31" t="n">
        <v>-2.76</v>
      </c>
      <c r="I315" s="31" t="n">
        <v>484523</v>
      </c>
      <c r="J315" s="31" t="inlineStr">
        <is>
          <t>530549</t>
        </is>
      </c>
    </row>
    <row r="316">
      <c r="A316" s="31" t="inlineStr">
        <is>
          <t>OMAXE</t>
        </is>
      </c>
      <c r="B316" s="31" t="inlineStr">
        <is>
          <t>Omaxe Limited</t>
        </is>
      </c>
      <c r="C316" s="31" t="inlineStr">
        <is>
          <t>realty</t>
        </is>
      </c>
      <c r="D316" s="31" t="inlineStr">
        <is>
          <t>construction</t>
        </is>
      </c>
      <c r="E316" s="31" t="inlineStr">
        <is>
          <t>smallcap</t>
        </is>
      </c>
      <c r="F316" s="31" t="n">
        <v>1710.12</v>
      </c>
      <c r="G316" s="31" t="n">
        <v>93.5</v>
      </c>
      <c r="H316" s="31" t="n">
        <v>-2.9</v>
      </c>
      <c r="I316" s="31" t="n">
        <v>378828</v>
      </c>
      <c r="J316" s="31" t="inlineStr">
        <is>
          <t>532880</t>
        </is>
      </c>
    </row>
    <row r="317">
      <c r="A317" s="31" t="inlineStr">
        <is>
          <t>MARKSANS</t>
        </is>
      </c>
      <c r="B317" s="31" t="inlineStr">
        <is>
          <t>Marksans Pharma Limited</t>
        </is>
      </c>
      <c r="C317" s="31" t="inlineStr">
        <is>
          <t>healthcare</t>
        </is>
      </c>
      <c r="D317" s="31" t="inlineStr">
        <is>
          <t>pharmaceuticals - indian - formulations</t>
        </is>
      </c>
      <c r="E317" s="31" t="inlineStr">
        <is>
          <t>midcap</t>
        </is>
      </c>
      <c r="F317" s="31" t="n">
        <v>12104</v>
      </c>
      <c r="G317" s="31" t="n">
        <v>267.1</v>
      </c>
      <c r="H317" s="31" t="n">
        <v>-3</v>
      </c>
      <c r="I317" s="31" t="n">
        <v>1411635</v>
      </c>
      <c r="J317" s="31" t="inlineStr">
        <is>
          <t>524404</t>
        </is>
      </c>
    </row>
    <row r="318">
      <c r="A318" s="31" t="inlineStr">
        <is>
          <t>MOSCHIP</t>
        </is>
      </c>
      <c r="B318" s="31" t="inlineStr">
        <is>
          <t>Moschip Technologies Ltd</t>
        </is>
      </c>
      <c r="C318" s="31" t="inlineStr">
        <is>
          <t>i.t</t>
        </is>
      </c>
      <c r="D318" s="31" t="inlineStr">
        <is>
          <t>computers - hardware</t>
        </is>
      </c>
      <c r="E318" s="31" t="inlineStr">
        <is>
          <t>smallcap</t>
        </is>
      </c>
      <c r="F318" s="31" t="n">
        <v>4669.22</v>
      </c>
      <c r="G318" s="31" t="n">
        <v>240.1</v>
      </c>
      <c r="H318" s="31" t="n">
        <v>-3.03</v>
      </c>
      <c r="I318" s="31" t="n">
        <v>3996598</v>
      </c>
      <c r="J318" s="31" t="inlineStr">
        <is>
          <t>532407</t>
        </is>
      </c>
    </row>
    <row r="319">
      <c r="A319" s="31" t="inlineStr">
        <is>
          <t>BHEL</t>
        </is>
      </c>
      <c r="B319" s="31" t="inlineStr">
        <is>
          <t>Bharat Heavy Electricals Limited</t>
        </is>
      </c>
      <c r="C319" s="31" t="inlineStr">
        <is>
          <t>industrials</t>
        </is>
      </c>
      <c r="D319" s="31" t="inlineStr">
        <is>
          <t>electric equipment</t>
        </is>
      </c>
      <c r="E319" s="31" t="inlineStr">
        <is>
          <t>largecap</t>
        </is>
      </c>
      <c r="F319" s="31" t="n">
        <v>146943.07</v>
      </c>
      <c r="G319" s="31" t="n">
        <v>422</v>
      </c>
      <c r="H319" s="31" t="n">
        <v>-3.08</v>
      </c>
      <c r="I319" s="31" t="n">
        <v>48217882</v>
      </c>
      <c r="J319" s="31" t="inlineStr">
        <is>
          <t>500103</t>
        </is>
      </c>
    </row>
    <row r="320">
      <c r="A320" s="31" t="inlineStr">
        <is>
          <t>MOREPENLAB</t>
        </is>
      </c>
      <c r="B320" s="31" t="inlineStr">
        <is>
          <t>Morepen Laboratories Limited</t>
        </is>
      </c>
      <c r="C320" s="31" t="inlineStr">
        <is>
          <t>healthcare</t>
        </is>
      </c>
      <c r="D320" s="31" t="inlineStr">
        <is>
          <t>pharmaceuticals - indian - bulk drugs &amp; formln</t>
        </is>
      </c>
      <c r="E320" s="31" t="inlineStr">
        <is>
          <t>smallcap</t>
        </is>
      </c>
      <c r="F320" s="31" t="n">
        <v>3227.45</v>
      </c>
      <c r="G320" s="31" t="n">
        <v>58.9</v>
      </c>
      <c r="H320" s="31" t="n">
        <v>-3.17</v>
      </c>
      <c r="I320" s="31" t="n">
        <v>7705689</v>
      </c>
      <c r="J320" s="31" t="inlineStr">
        <is>
          <t>500288</t>
        </is>
      </c>
    </row>
    <row r="321">
      <c r="A321" s="31" t="inlineStr">
        <is>
          <t>GLAND</t>
        </is>
      </c>
      <c r="B321" s="31" t="inlineStr">
        <is>
          <t>Gland Pharma Ltd</t>
        </is>
      </c>
      <c r="C321" s="31" t="inlineStr">
        <is>
          <t>healthcare</t>
        </is>
      </c>
      <c r="D321" s="31" t="inlineStr">
        <is>
          <t>pharmaceuticals - indian - formulations</t>
        </is>
      </c>
      <c r="E321" s="31" t="inlineStr">
        <is>
          <t>largecap</t>
        </is>
      </c>
      <c r="F321" s="31" t="n">
        <v>40348.85</v>
      </c>
      <c r="G321" s="31" t="n">
        <v>2449</v>
      </c>
      <c r="H321" s="31" t="n">
        <v>-3.18</v>
      </c>
      <c r="I321" s="31" t="n">
        <v>326961</v>
      </c>
      <c r="J321" s="31" t="inlineStr">
        <is>
          <t>543245</t>
        </is>
      </c>
    </row>
    <row r="322">
      <c r="A322" s="31" t="inlineStr">
        <is>
          <t>WANBURY</t>
        </is>
      </c>
      <c r="B322" s="31" t="inlineStr">
        <is>
          <t>Wanbury Limited</t>
        </is>
      </c>
      <c r="C322" s="31" t="inlineStr">
        <is>
          <t>healthcare</t>
        </is>
      </c>
      <c r="D322" s="31" t="inlineStr">
        <is>
          <t>pharmaceuticals - indian - bulk drugs &amp; formln</t>
        </is>
      </c>
      <c r="E322" s="31" t="inlineStr">
        <is>
          <t>smallcap</t>
        </is>
      </c>
      <c r="F322" s="31" t="n">
        <v>1160.69</v>
      </c>
      <c r="G322" s="31" t="n">
        <v>332.2</v>
      </c>
      <c r="H322" s="31" t="n">
        <v>-3.21</v>
      </c>
      <c r="I322" s="31" t="n">
        <v>475298</v>
      </c>
      <c r="J322" s="31" t="inlineStr">
        <is>
          <t>524212</t>
        </is>
      </c>
    </row>
    <row r="323">
      <c r="A323" s="31" t="inlineStr">
        <is>
          <t>RAIN</t>
        </is>
      </c>
      <c r="B323" s="31" t="inlineStr">
        <is>
          <t>Rain Industries Limited</t>
        </is>
      </c>
      <c r="C323" s="31" t="inlineStr">
        <is>
          <t>miscellaneous</t>
        </is>
      </c>
      <c r="D323" s="31" t="inlineStr">
        <is>
          <t>miscellaneous</t>
        </is>
      </c>
      <c r="E323" s="31" t="inlineStr">
        <is>
          <t>midcap</t>
        </is>
      </c>
      <c r="F323" s="31" t="n">
        <v>6954.62</v>
      </c>
      <c r="G323" s="31" t="n">
        <v>206.77</v>
      </c>
      <c r="H323" s="31" t="n">
        <v>-3.22</v>
      </c>
      <c r="I323" s="31" t="n">
        <v>5026621</v>
      </c>
      <c r="J323" s="31" t="inlineStr">
        <is>
          <t>500339</t>
        </is>
      </c>
    </row>
    <row r="324">
      <c r="A324" s="31" t="inlineStr">
        <is>
          <t>CHENNPETRO</t>
        </is>
      </c>
      <c r="B324" s="31" t="inlineStr">
        <is>
          <t>Chennai Petroleum Corporation Limited</t>
        </is>
      </c>
      <c r="C324" s="31" t="inlineStr">
        <is>
          <t>energy</t>
        </is>
      </c>
      <c r="D324" s="31" t="inlineStr">
        <is>
          <t>refineries</t>
        </is>
      </c>
      <c r="E324" s="31" t="inlineStr">
        <is>
          <t>midcap</t>
        </is>
      </c>
      <c r="F324" s="31" t="n">
        <v>17878.3</v>
      </c>
      <c r="G324" s="31" t="n">
        <v>1200.6</v>
      </c>
      <c r="H324" s="31" t="n">
        <v>-3.24</v>
      </c>
      <c r="I324" s="31" t="n">
        <v>1630780</v>
      </c>
      <c r="J324" s="31" t="inlineStr">
        <is>
          <t>500110</t>
        </is>
      </c>
    </row>
    <row r="325">
      <c r="A325" s="31" t="inlineStr">
        <is>
          <t>AZAD</t>
        </is>
      </c>
      <c r="B325" s="31" t="inlineStr">
        <is>
          <t>Azad Engineering Ltd</t>
        </is>
      </c>
      <c r="C325" s="31" t="inlineStr">
        <is>
          <t>aerospace &amp; defence</t>
        </is>
      </c>
      <c r="D325" s="31" t="inlineStr">
        <is>
          <t>engineering</t>
        </is>
      </c>
      <c r="E325" s="31" t="inlineStr">
        <is>
          <t>midcap</t>
        </is>
      </c>
      <c r="F325" s="31" t="n">
        <v>15045.61</v>
      </c>
      <c r="G325" s="31" t="n">
        <v>2329.7</v>
      </c>
      <c r="H325" s="31" t="n">
        <v>-3.26</v>
      </c>
      <c r="I325" s="31" t="n">
        <v>268445</v>
      </c>
      <c r="J325" s="31" t="inlineStr">
        <is>
          <t>544061</t>
        </is>
      </c>
    </row>
    <row r="326">
      <c r="A326" s="31" t="inlineStr">
        <is>
          <t>JUSTDIAL</t>
        </is>
      </c>
      <c r="B326" s="31" t="inlineStr">
        <is>
          <t>Just Dial Limited</t>
        </is>
      </c>
      <c r="C326" s="31" t="inlineStr">
        <is>
          <t>i.t</t>
        </is>
      </c>
      <c r="D326" s="31" t="inlineStr">
        <is>
          <t>miscellaneous</t>
        </is>
      </c>
      <c r="E326" s="31" t="inlineStr">
        <is>
          <t>midcap</t>
        </is>
      </c>
      <c r="F326" s="31" t="n">
        <v>6525.48</v>
      </c>
      <c r="G326" s="31" t="n">
        <v>767.3</v>
      </c>
      <c r="H326" s="31" t="n">
        <v>-3.28</v>
      </c>
      <c r="I326" s="31" t="n">
        <v>2479282</v>
      </c>
      <c r="J326" s="31" t="inlineStr">
        <is>
          <t>535648</t>
        </is>
      </c>
    </row>
    <row r="327">
      <c r="A327" s="31" t="inlineStr">
        <is>
          <t>SENORES</t>
        </is>
      </c>
      <c r="B327" s="31" t="inlineStr">
        <is>
          <t>Senores Pharmaceuticals Ltd</t>
        </is>
      </c>
      <c r="C327" s="31" t="inlineStr">
        <is>
          <t>healthcare</t>
        </is>
      </c>
      <c r="D327" s="31" t="inlineStr">
        <is>
          <t>pharmaceuticals - indian - formulations</t>
        </is>
      </c>
      <c r="E327" s="31" t="inlineStr">
        <is>
          <t>midcap</t>
        </is>
      </c>
      <c r="F327" s="31" t="n">
        <v>6470.99</v>
      </c>
      <c r="G327" s="31" t="n">
        <v>1405.1</v>
      </c>
      <c r="H327" s="31" t="n">
        <v>-3.29</v>
      </c>
      <c r="I327" s="31" t="n">
        <v>237423</v>
      </c>
      <c r="J327" s="31" t="inlineStr">
        <is>
          <t>544319</t>
        </is>
      </c>
    </row>
    <row r="328">
      <c r="A328" s="31" t="inlineStr">
        <is>
          <t>ARROWGREEN</t>
        </is>
      </c>
      <c r="B328" s="31" t="inlineStr">
        <is>
          <t>Arrow Greentech Limited</t>
        </is>
      </c>
      <c r="C328" s="31" t="inlineStr">
        <is>
          <t>plastic products</t>
        </is>
      </c>
      <c r="D328" s="31" t="inlineStr">
        <is>
          <t>plastics products</t>
        </is>
      </c>
      <c r="E328" s="31" t="inlineStr">
        <is>
          <t>smallcap</t>
        </is>
      </c>
      <c r="F328" s="31" t="n">
        <v>1010.89</v>
      </c>
      <c r="G328" s="31" t="n">
        <v>670</v>
      </c>
      <c r="H328" s="31" t="n">
        <v>-3.4</v>
      </c>
      <c r="I328" s="31" t="n">
        <v>17136</v>
      </c>
      <c r="J328" s="31" t="inlineStr">
        <is>
          <t>516064</t>
        </is>
      </c>
    </row>
    <row r="329">
      <c r="A329" s="31" t="inlineStr">
        <is>
          <t>HIRECT</t>
        </is>
      </c>
      <c r="B329" s="31" t="inlineStr">
        <is>
          <t>Hind Rectifiers Limited</t>
        </is>
      </c>
      <c r="C329" s="31" t="inlineStr">
        <is>
          <t>consumer discretionary</t>
        </is>
      </c>
      <c r="D329" s="31" t="inlineStr">
        <is>
          <t>electronics - components</t>
        </is>
      </c>
      <c r="E329" s="31" t="inlineStr">
        <is>
          <t>smallcap</t>
        </is>
      </c>
      <c r="F329" s="31" t="n">
        <v>4277.63</v>
      </c>
      <c r="G329" s="31" t="n">
        <v>1244.5</v>
      </c>
      <c r="H329" s="31" t="n">
        <v>-3.4</v>
      </c>
      <c r="I329" s="31" t="n">
        <v>225672</v>
      </c>
      <c r="J329" s="31" t="inlineStr">
        <is>
          <t>504036</t>
        </is>
      </c>
    </row>
    <row r="330">
      <c r="A330" s="31" t="inlineStr">
        <is>
          <t>HEG</t>
        </is>
      </c>
      <c r="B330" s="31" t="inlineStr">
        <is>
          <t>Heg Limited</t>
        </is>
      </c>
      <c r="C330" s="31" t="inlineStr">
        <is>
          <t>industrials</t>
        </is>
      </c>
      <c r="D330" s="31" t="inlineStr">
        <is>
          <t>electrodes - graphites</t>
        </is>
      </c>
      <c r="E330" s="31" t="inlineStr">
        <is>
          <t>midcap</t>
        </is>
      </c>
      <c r="F330" s="31" t="n">
        <v>11334.54</v>
      </c>
      <c r="G330" s="31" t="n">
        <v>587.35</v>
      </c>
      <c r="H330" s="31" t="n">
        <v>-3.47</v>
      </c>
      <c r="I330" s="31" t="n">
        <v>1521683</v>
      </c>
      <c r="J330" s="31" t="inlineStr">
        <is>
          <t>509631</t>
        </is>
      </c>
    </row>
    <row r="331">
      <c r="A331" s="31" t="inlineStr">
        <is>
          <t>ORCHPHARMA</t>
        </is>
      </c>
      <c r="B331" s="31" t="inlineStr">
        <is>
          <t>Orchid Pharma Ltd</t>
        </is>
      </c>
      <c r="C331" s="31" t="inlineStr">
        <is>
          <t>healthcare</t>
        </is>
      </c>
      <c r="D331" s="31" t="inlineStr">
        <is>
          <t>pharmaceuticals - indian - bulk drugs &amp; formln</t>
        </is>
      </c>
      <c r="E331" s="31" t="inlineStr">
        <is>
          <t>midcap</t>
        </is>
      </c>
      <c r="F331" s="31" t="n">
        <v>5281.63</v>
      </c>
      <c r="G331" s="31" t="n">
        <v>1041.35</v>
      </c>
      <c r="H331" s="31" t="n">
        <v>-3.48</v>
      </c>
      <c r="I331" s="31" t="n">
        <v>122223</v>
      </c>
      <c r="J331" s="31" t="inlineStr">
        <is>
          <t>524372</t>
        </is>
      </c>
    </row>
    <row r="332">
      <c r="A332" s="31" t="inlineStr">
        <is>
          <t>BALAMINES</t>
        </is>
      </c>
      <c r="B332" s="31" t="inlineStr">
        <is>
          <t>Balaji Amines Limited</t>
        </is>
      </c>
      <c r="C332" s="31" t="inlineStr">
        <is>
          <t>chemicals</t>
        </is>
      </c>
      <c r="D332" s="31" t="inlineStr">
        <is>
          <t>chemicals</t>
        </is>
      </c>
      <c r="E332" s="31" t="inlineStr">
        <is>
          <t>midcap</t>
        </is>
      </c>
      <c r="F332" s="31" t="n">
        <v>7416.91</v>
      </c>
      <c r="G332" s="31" t="n">
        <v>2289.1</v>
      </c>
      <c r="H332" s="31" t="n">
        <v>-3.49</v>
      </c>
      <c r="I332" s="31" t="n">
        <v>127828</v>
      </c>
      <c r="J332" s="31" t="inlineStr">
        <is>
          <t>530999</t>
        </is>
      </c>
    </row>
    <row r="333">
      <c r="A333" s="31" t="inlineStr">
        <is>
          <t>IBULLSLTD</t>
        </is>
      </c>
      <c r="B333" s="31" t="inlineStr">
        <is>
          <t>Indiabulls Limited</t>
        </is>
      </c>
      <c r="C333" s="31" t="inlineStr">
        <is>
          <t>miscellaneous</t>
        </is>
      </c>
      <c r="D333" s="31" t="inlineStr">
        <is>
          <t>diversified - medium / small</t>
        </is>
      </c>
      <c r="E333" s="31" t="inlineStr">
        <is>
          <t>midcap</t>
        </is>
      </c>
      <c r="F333" s="31" t="n">
        <v>6738.38</v>
      </c>
      <c r="G333" s="31" t="n">
        <v>28.99</v>
      </c>
      <c r="H333" s="31" t="n">
        <v>-3.66</v>
      </c>
      <c r="I333" s="31" t="n">
        <v>4213073</v>
      </c>
      <c r="J333" s="31" t="inlineStr">
        <is>
          <t>533520</t>
        </is>
      </c>
    </row>
    <row r="334">
      <c r="A334" s="31" t="inlineStr">
        <is>
          <t>SKMEGGPROD</t>
        </is>
      </c>
      <c r="B334" s="31" t="inlineStr">
        <is>
          <t>Skm Egg Products Export (india) Limited</t>
        </is>
      </c>
      <c r="C334" s="31" t="inlineStr">
        <is>
          <t>fmcg</t>
        </is>
      </c>
      <c r="D334" s="31" t="inlineStr">
        <is>
          <t>food - processing - indian</t>
        </is>
      </c>
      <c r="E334" s="31" t="inlineStr">
        <is>
          <t>smallcap</t>
        </is>
      </c>
      <c r="F334" s="31" t="n">
        <v>1679.59</v>
      </c>
      <c r="G334" s="31" t="n">
        <v>318.95</v>
      </c>
      <c r="H334" s="31" t="n">
        <v>-3.7</v>
      </c>
      <c r="I334" s="31" t="n">
        <v>419688</v>
      </c>
      <c r="J334" s="31" t="inlineStr">
        <is>
          <t>532143</t>
        </is>
      </c>
    </row>
    <row r="335">
      <c r="A335" s="31" t="inlineStr">
        <is>
          <t>CARTRADE</t>
        </is>
      </c>
      <c r="B335" s="31" t="inlineStr">
        <is>
          <t>Cartrade Tech Ltd</t>
        </is>
      </c>
      <c r="C335" s="31" t="inlineStr">
        <is>
          <t>consumer discretionary</t>
        </is>
      </c>
      <c r="D335" s="31" t="inlineStr">
        <is>
          <t>miscellaneous</t>
        </is>
      </c>
      <c r="E335" s="31" t="inlineStr">
        <is>
          <t>midcap</t>
        </is>
      </c>
      <c r="F335" s="31" t="n">
        <v>12924.2</v>
      </c>
      <c r="G335" s="31" t="n">
        <v>2699.4</v>
      </c>
      <c r="H335" s="31" t="n">
        <v>-4.02</v>
      </c>
      <c r="I335" s="31" t="n">
        <v>341812</v>
      </c>
      <c r="J335" s="31" t="inlineStr">
        <is>
          <t>543333</t>
        </is>
      </c>
    </row>
    <row r="336">
      <c r="A336" s="31" t="inlineStr">
        <is>
          <t>GNA</t>
        </is>
      </c>
      <c r="B336" s="31" t="inlineStr">
        <is>
          <t>Gna Axles Limited</t>
        </is>
      </c>
      <c r="C336" s="31" t="inlineStr">
        <is>
          <t>auto</t>
        </is>
      </c>
      <c r="D336" s="31" t="inlineStr">
        <is>
          <t>auto ancillaries</t>
        </is>
      </c>
      <c r="E336" s="31" t="inlineStr">
        <is>
          <t>smallcap</t>
        </is>
      </c>
      <c r="F336" s="31" t="n">
        <v>2434.39</v>
      </c>
      <c r="G336" s="31" t="n">
        <v>567.05</v>
      </c>
      <c r="H336" s="31" t="n">
        <v>-4.21</v>
      </c>
      <c r="I336" s="31" t="n">
        <v>2577839</v>
      </c>
      <c r="J336" s="31" t="inlineStr">
        <is>
          <t>540124</t>
        </is>
      </c>
    </row>
    <row r="337">
      <c r="A337" s="31" t="inlineStr">
        <is>
          <t>SUVEN</t>
        </is>
      </c>
      <c r="B337" s="31" t="inlineStr">
        <is>
          <t>Suven Life Sciences Limited</t>
        </is>
      </c>
      <c r="C337" s="31" t="inlineStr">
        <is>
          <t>healthcare</t>
        </is>
      </c>
      <c r="D337" s="31" t="inlineStr">
        <is>
          <t>miscellaneous</t>
        </is>
      </c>
      <c r="E337" s="31" t="inlineStr">
        <is>
          <t>midcap</t>
        </is>
      </c>
      <c r="F337" s="31" t="n">
        <v>8603.52</v>
      </c>
      <c r="G337" s="31" t="n">
        <v>325.9</v>
      </c>
      <c r="H337" s="31" t="n">
        <v>-4.47</v>
      </c>
      <c r="I337" s="31" t="n">
        <v>1106401</v>
      </c>
      <c r="J337" s="31" t="inlineStr">
        <is>
          <t>530239</t>
        </is>
      </c>
    </row>
    <row r="338">
      <c r="A338" s="31" t="inlineStr">
        <is>
          <t>RAMCOSYS</t>
        </is>
      </c>
      <c r="B338" s="31" t="inlineStr">
        <is>
          <t>Ramco Systems Limited</t>
        </is>
      </c>
      <c r="C338" s="31" t="inlineStr">
        <is>
          <t>i.t</t>
        </is>
      </c>
      <c r="D338" s="31" t="inlineStr">
        <is>
          <t>computers - software - medium / small</t>
        </is>
      </c>
      <c r="E338" s="31" t="inlineStr">
        <is>
          <t>smallcap</t>
        </is>
      </c>
      <c r="F338" s="31" t="n">
        <v>2951.99</v>
      </c>
      <c r="G338" s="31" t="n">
        <v>789.05</v>
      </c>
      <c r="H338" s="31" t="n">
        <v>-4.99</v>
      </c>
      <c r="I338" s="31" t="n">
        <v>988353</v>
      </c>
      <c r="J338" s="31" t="inlineStr">
        <is>
          <t>532370</t>
        </is>
      </c>
    </row>
    <row r="339">
      <c r="A339" s="31" t="inlineStr">
        <is>
          <t>UFBL</t>
        </is>
      </c>
      <c r="B339" s="31" t="inlineStr">
        <is>
          <t>United Foodbrands Ltd</t>
        </is>
      </c>
      <c r="C339" s="31" t="inlineStr">
        <is>
          <t>consumer discretionary</t>
        </is>
      </c>
      <c r="D339" s="31" t="inlineStr">
        <is>
          <t>hotels</t>
        </is>
      </c>
      <c r="E339" s="31" t="inlineStr">
        <is>
          <t>smallcap</t>
        </is>
      </c>
      <c r="F339" s="31" t="n">
        <v>2743.47</v>
      </c>
      <c r="G339" s="31" t="n">
        <v>701.9</v>
      </c>
      <c r="H339" s="31" t="n">
        <v>-4.99</v>
      </c>
      <c r="I339" s="31" t="n">
        <v>95239</v>
      </c>
      <c r="J339" s="31" t="inlineStr">
        <is>
          <t>543283</t>
        </is>
      </c>
    </row>
    <row r="340">
      <c r="A340" s="31" t="inlineStr">
        <is>
          <t>RML</t>
        </is>
      </c>
      <c r="B340" s="31" t="inlineStr">
        <is>
          <t>Rane (madras) Limited</t>
        </is>
      </c>
      <c r="C340" s="31" t="inlineStr">
        <is>
          <t>auto</t>
        </is>
      </c>
      <c r="D340" s="31" t="inlineStr">
        <is>
          <t>auto ancillaries</t>
        </is>
      </c>
      <c r="E340" s="31" t="inlineStr">
        <is>
          <t>smallcap</t>
        </is>
      </c>
      <c r="F340" s="31" t="n">
        <v>3258.97</v>
      </c>
      <c r="G340" s="31" t="n">
        <v>1179.2</v>
      </c>
      <c r="H340" s="31" t="n">
        <v>-5</v>
      </c>
      <c r="I340" s="31" t="n">
        <v>23745</v>
      </c>
      <c r="J340" s="31" t="inlineStr">
        <is>
          <t>532661</t>
        </is>
      </c>
    </row>
    <row r="341">
      <c r="A341" s="31" t="inlineStr">
        <is>
          <t>HFCL</t>
        </is>
      </c>
      <c r="B341" s="31" t="inlineStr">
        <is>
          <t>HFCL Ltd</t>
        </is>
      </c>
      <c r="C341" s="31" t="inlineStr">
        <is>
          <t>telecom</t>
        </is>
      </c>
      <c r="D341" s="31" t="inlineStr">
        <is>
          <t>cables - telephone</t>
        </is>
      </c>
      <c r="E341" s="31" t="inlineStr">
        <is>
          <t>largecap</t>
        </is>
      </c>
      <c r="F341" s="31" t="n">
        <v>32627.85</v>
      </c>
      <c r="G341" s="31" t="n">
        <v>213.17</v>
      </c>
      <c r="H341" s="31" t="n">
        <v>-5</v>
      </c>
      <c r="I341" s="31" t="n">
        <v>14642282</v>
      </c>
      <c r="J341" s="31" t="inlineStr">
        <is>
          <t>500183</t>
        </is>
      </c>
    </row>
    <row r="342">
      <c r="A342" s="31" t="inlineStr">
        <is>
          <t>PREMIERPOL</t>
        </is>
      </c>
      <c r="B342" s="31" t="inlineStr">
        <is>
          <t>Premier Polyfilm Limited</t>
        </is>
      </c>
      <c r="C342" s="31" t="inlineStr">
        <is>
          <t>plastic products</t>
        </is>
      </c>
      <c r="D342" s="31" t="inlineStr">
        <is>
          <t>plastics products</t>
        </is>
      </c>
      <c r="E342" s="31" t="inlineStr">
        <is>
          <t>smallcap</t>
        </is>
      </c>
      <c r="F342" s="31" t="n">
        <v>772.48</v>
      </c>
      <c r="G342" s="31" t="n">
        <v>73.75</v>
      </c>
      <c r="H342" s="31" t="n">
        <v>-5.59</v>
      </c>
      <c r="I342" s="31" t="n">
        <v>2859127</v>
      </c>
      <c r="J342" s="31" t="inlineStr">
        <is>
          <t>514354</t>
        </is>
      </c>
    </row>
    <row r="343">
      <c r="A343" s="31" t="inlineStr">
        <is>
          <t>WELCORP</t>
        </is>
      </c>
      <c r="B343" s="31" t="inlineStr">
        <is>
          <t>Welspun Corp Limited</t>
        </is>
      </c>
      <c r="C343" s="31" t="inlineStr">
        <is>
          <t>industrials</t>
        </is>
      </c>
      <c r="D343" s="31" t="inlineStr">
        <is>
          <t>steel - large</t>
        </is>
      </c>
      <c r="E343" s="31" t="inlineStr">
        <is>
          <t>largecap</t>
        </is>
      </c>
      <c r="F343" s="31" t="n">
        <v>41718.49</v>
      </c>
      <c r="G343" s="31" t="n">
        <v>1581.5</v>
      </c>
      <c r="H343" s="31" t="n">
        <v>-6.09</v>
      </c>
      <c r="I343" s="31" t="n">
        <v>1079535</v>
      </c>
      <c r="J343" s="31" t="inlineStr">
        <is>
          <t>532144</t>
        </is>
      </c>
    </row>
    <row r="344">
      <c r="A344" s="31" t="inlineStr">
        <is>
          <t>NEOGEN</t>
        </is>
      </c>
      <c r="B344" s="31" t="inlineStr">
        <is>
          <t>Neogen Chemicals Ltd</t>
        </is>
      </c>
      <c r="C344" s="31" t="inlineStr">
        <is>
          <t>chemicals</t>
        </is>
      </c>
      <c r="D344" s="31" t="inlineStr">
        <is>
          <t>chemicals</t>
        </is>
      </c>
      <c r="E344" s="31" t="inlineStr">
        <is>
          <t>midcap</t>
        </is>
      </c>
      <c r="F344" s="31" t="n">
        <v>5957.16</v>
      </c>
      <c r="G344" s="31" t="n">
        <v>2175.6</v>
      </c>
      <c r="H344" s="31" t="n">
        <v>-6.28</v>
      </c>
      <c r="I344" s="31" t="n">
        <v>184996</v>
      </c>
      <c r="J344" s="31" t="inlineStr">
        <is>
          <t>542665</t>
        </is>
      </c>
    </row>
  </sheetData>
  <autoFilter ref="A1:J3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6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INDIAGLYCO</t>
        </is>
      </c>
      <c r="E2" s="31" t="inlineStr">
        <is>
          <t>India Glycols Limited</t>
        </is>
      </c>
      <c r="F2" s="31" t="inlineStr">
        <is>
          <t>Alcoholic Beverages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18</v>
      </c>
      <c r="K2" s="31" t="n">
        <v>14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MENONBE</t>
        </is>
      </c>
      <c r="E3" s="31" t="inlineStr">
        <is>
          <t>Menon Bearings Limited</t>
        </is>
      </c>
      <c r="F3" s="31" t="inlineStr">
        <is>
          <t>Auto Ancillaries - Bearings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21</v>
      </c>
      <c r="K3" s="31" t="n">
        <v>24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HSCL</t>
        </is>
      </c>
      <c r="E4" s="31" t="inlineStr">
        <is>
          <t>Himadri Speciality Chemical Limited</t>
        </is>
      </c>
      <c r="F4" s="31" t="inlineStr">
        <is>
          <t>Carbon Black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16</v>
      </c>
      <c r="K4" s="31" t="n">
        <v>20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CEMPRO</t>
        </is>
      </c>
      <c r="E5" s="31" t="inlineStr">
        <is>
          <t>Cemindia Projects Ltd</t>
        </is>
      </c>
      <c r="F5" s="31" t="inlineStr">
        <is>
          <t>Infra - Construction &amp; Contracting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20</v>
      </c>
      <c r="K5" s="31" t="n">
        <v>30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SSWL</t>
        </is>
      </c>
      <c r="E6" s="31" t="inlineStr">
        <is>
          <t>Steel Strips Wheels Limited</t>
        </is>
      </c>
      <c r="F6" s="31" t="inlineStr">
        <is>
          <t>Auto Ancillaries - Wheels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23</v>
      </c>
      <c r="K6" s="31" t="n">
        <v>30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SANGAMIND</t>
        </is>
      </c>
      <c r="E7" s="31" t="inlineStr">
        <is>
          <t>Sangam (india) Limited</t>
        </is>
      </c>
      <c r="F7" s="31" t="inlineStr">
        <is>
          <t>Textiles - Spinning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16</v>
      </c>
      <c r="K7" s="31" t="n">
        <v>28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OFSS</t>
        </is>
      </c>
      <c r="E8" s="31" t="inlineStr">
        <is>
          <t>Oracle Financial Services Software Limited</t>
        </is>
      </c>
      <c r="F8" s="31" t="inlineStr">
        <is>
          <t>IT Product Companies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15</v>
      </c>
      <c r="K8" s="31" t="n">
        <v>21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BLSE</t>
        </is>
      </c>
      <c r="E9" s="31" t="inlineStr">
        <is>
          <t>BLS E-Services Ltd</t>
        </is>
      </c>
      <c r="F9" s="31" t="inlineStr">
        <is>
          <t>IT - Software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16</v>
      </c>
      <c r="K9" s="31" t="n">
        <v>30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KAPSTON</t>
        </is>
      </c>
      <c r="E10" s="31" t="inlineStr">
        <is>
          <t>Kapston Services Ltd</t>
        </is>
      </c>
      <c r="F10" s="31" t="inlineStr">
        <is>
          <t>Services - Others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18</v>
      </c>
      <c r="K10" s="31" t="n">
        <v>26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SAKAR</t>
        </is>
      </c>
      <c r="E11" s="31" t="inlineStr">
        <is>
          <t>Sakar Healthcare Ltd</t>
        </is>
      </c>
      <c r="F11" s="31" t="inlineStr">
        <is>
          <t>Hospitals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15</v>
      </c>
      <c r="K11" s="31" t="n">
        <v>25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INDOBORAX</t>
        </is>
      </c>
      <c r="E12" s="31" t="inlineStr">
        <is>
          <t>Indo Borax &amp; Chemicals Ltd</t>
        </is>
      </c>
      <c r="F12" s="31" t="inlineStr">
        <is>
          <t>Chemicals - Inorganic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17</v>
      </c>
      <c r="K12" s="31" t="n">
        <v>30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UJJIVANSFB</t>
        </is>
      </c>
      <c r="E13" s="31" t="inlineStr">
        <is>
          <t>Ujjivan Small Finance Bank Ltd</t>
        </is>
      </c>
      <c r="F13" s="31" t="inlineStr">
        <is>
          <t>Banks - Small Finance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17</v>
      </c>
      <c r="K13" s="31" t="n">
        <v>21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PAISALO</t>
        </is>
      </c>
      <c r="E14" s="31" t="inlineStr">
        <is>
          <t>Paisalo Digital Ltd</t>
        </is>
      </c>
      <c r="F14" s="31" t="inlineStr">
        <is>
          <t>Finance - Capital Markets - Brokers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19</v>
      </c>
      <c r="K14" s="31" t="n">
        <v>30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AEGISLOG</t>
        </is>
      </c>
      <c r="E15" s="31" t="inlineStr">
        <is>
          <t>Aegis Logistics Ltd</t>
        </is>
      </c>
      <c r="F15" s="31" t="inlineStr">
        <is>
          <t>Logistics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16</v>
      </c>
      <c r="K15" s="31" t="n">
        <v>30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ACUTAAS</t>
        </is>
      </c>
      <c r="E16" s="31" t="inlineStr">
        <is>
          <t>Acutaas Chemicals Ltd</t>
        </is>
      </c>
      <c r="F16" s="31" t="inlineStr">
        <is>
          <t>Pharma - API &amp; CRAMS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23</v>
      </c>
      <c r="K16" s="31" t="n">
        <v>28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RADICO</t>
        </is>
      </c>
      <c r="E17" s="31" t="inlineStr">
        <is>
          <t>Radico Khaitan Limited</t>
        </is>
      </c>
      <c r="F17" s="31" t="inlineStr">
        <is>
          <t>Alcoholic Beverages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17</v>
      </c>
      <c r="K17" s="31" t="n">
        <v>28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IBULLSLTD</t>
        </is>
      </c>
      <c r="E18" s="31" t="inlineStr">
        <is>
          <t>Indiabulls Limited</t>
        </is>
      </c>
      <c r="F18" s="31" t="inlineStr">
        <is>
          <t>Diversified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16</v>
      </c>
      <c r="K18" s="31" t="n">
        <v>30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BHEL</t>
        </is>
      </c>
      <c r="E19" s="31" t="inlineStr">
        <is>
          <t>Bharat Heavy Electricals Limited</t>
        </is>
      </c>
      <c r="F19" s="31" t="inlineStr">
        <is>
          <t>Capital Goods - Engineering Heavy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20</v>
      </c>
      <c r="K19" s="31" t="n">
        <v>14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PGHL</t>
        </is>
      </c>
      <c r="E20" s="31" t="inlineStr">
        <is>
          <t>Procter &amp; Gamble Health Ltd</t>
        </is>
      </c>
      <c r="F20" s="31" t="inlineStr">
        <is>
          <t>Pharma - MNC bulk Drugs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15</v>
      </c>
      <c r="K20" s="31" t="n">
        <v>30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CUPID</t>
        </is>
      </c>
      <c r="E21" s="31" t="inlineStr">
        <is>
          <t>Cupid Limited</t>
        </is>
      </c>
      <c r="F21" s="31" t="inlineStr">
        <is>
          <t>Contraceptives/Protectives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22</v>
      </c>
      <c r="K21" s="31" t="n">
        <v>30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SKMEGGPROD</t>
        </is>
      </c>
      <c r="E22" s="31" t="inlineStr">
        <is>
          <t>Skm Egg Products Export (india) Limited</t>
        </is>
      </c>
      <c r="F22" s="31" t="inlineStr">
        <is>
          <t>FMCG - Animal/Polutry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17</v>
      </c>
      <c r="K22" s="31" t="n">
        <v>30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RPEL</t>
        </is>
      </c>
      <c r="E23" s="31" t="inlineStr">
        <is>
          <t>Raghav Productivity Enhancers Ltd</t>
        </is>
      </c>
      <c r="F23" s="31" t="inlineStr">
        <is>
          <t>Steel Products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19</v>
      </c>
      <c r="K23" s="31" t="n">
        <v>30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THANGAMAYL</t>
        </is>
      </c>
      <c r="E24" s="31" t="inlineStr">
        <is>
          <t>Thangamayil Jewellery Limited</t>
        </is>
      </c>
      <c r="F24" s="31" t="inlineStr">
        <is>
          <t>Diamond, Gems &amp; Jewellery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18</v>
      </c>
      <c r="K24" s="31" t="n">
        <v>30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FEDERALBNK</t>
        </is>
      </c>
      <c r="E25" s="31" t="inlineStr">
        <is>
          <t>The Federal Bank  Limited</t>
        </is>
      </c>
      <c r="F25" s="31" t="inlineStr">
        <is>
          <t>Banks - Private</t>
        </is>
      </c>
      <c r="G25" s="31" t="n">
        <v>2</v>
      </c>
      <c r="H25" s="31" t="inlineStr">
        <is>
          <t>52W Breakout</t>
        </is>
      </c>
      <c r="I25" s="31" t="inlineStr">
        <is>
          <t>Yes</t>
        </is>
      </c>
      <c r="J25" s="31" t="n">
        <v>11</v>
      </c>
      <c r="K25" s="31" t="n">
        <v>30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RAMCOSYS</t>
        </is>
      </c>
      <c r="E26" s="31" t="inlineStr">
        <is>
          <t>Ramco Systems Limited</t>
        </is>
      </c>
      <c r="F26" s="31" t="inlineStr">
        <is>
          <t>IT Product Companies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15</v>
      </c>
      <c r="K26" s="31" t="n">
        <v>28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ATHERENERG</t>
        </is>
      </c>
      <c r="E27" s="31" t="inlineStr">
        <is>
          <t>Ather Energy Ltd</t>
        </is>
      </c>
      <c r="F27" s="31" t="inlineStr">
        <is>
          <t>Auto - 2 &amp; 3 Wheelers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16</v>
      </c>
      <c r="K27" s="31" t="n">
        <v>23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MUTHOOTMF</t>
        </is>
      </c>
      <c r="E28" s="31" t="inlineStr">
        <is>
          <t>Muthoot Microfin Ltd</t>
        </is>
      </c>
      <c r="F28" s="31" t="inlineStr">
        <is>
          <t>Finance &amp; Investments - Microfinance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15</v>
      </c>
      <c r="K28" s="31" t="n">
        <v>27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VADILALIND</t>
        </is>
      </c>
      <c r="E29" s="31" t="inlineStr">
        <is>
          <t>Vadilal Industries Limited</t>
        </is>
      </c>
      <c r="F29" s="31" t="inlineStr">
        <is>
          <t>FMCG - Dairy Products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18</v>
      </c>
      <c r="K29" s="31" t="n">
        <v>30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GRANULES</t>
        </is>
      </c>
      <c r="E30" s="31" t="inlineStr">
        <is>
          <t>Granules India Limited</t>
        </is>
      </c>
      <c r="F30" s="31" t="inlineStr">
        <is>
          <t>Pharma - API &amp; CRAMS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18</v>
      </c>
      <c r="K30" s="31" t="n">
        <v>23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GHCLTEXTIL</t>
        </is>
      </c>
      <c r="E31" s="31" t="inlineStr">
        <is>
          <t>GHCL Textiles Ltd</t>
        </is>
      </c>
      <c r="F31" s="31" t="inlineStr">
        <is>
          <t>Textiles - General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17</v>
      </c>
      <c r="K31" s="31" t="n">
        <v>17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CONSOFINVT</t>
        </is>
      </c>
      <c r="E32" s="31" t="inlineStr">
        <is>
          <t>Consolidated Finvest &amp; Holdings Limited</t>
        </is>
      </c>
      <c r="F32" s="31" t="inlineStr">
        <is>
          <t>Finance &amp; Investments - Others</t>
        </is>
      </c>
      <c r="G32" s="31" t="n">
        <v>2</v>
      </c>
      <c r="H32" s="31" t="inlineStr">
        <is>
          <t>52W Breakout</t>
        </is>
      </c>
      <c r="I32" s="31" t="inlineStr">
        <is>
          <t>Yes</t>
        </is>
      </c>
      <c r="J32" s="31" t="n">
        <v>1</v>
      </c>
      <c r="K32" s="31" t="n">
        <v>11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GNA</t>
        </is>
      </c>
      <c r="E33" s="31" t="inlineStr">
        <is>
          <t>Gna Axles Limited</t>
        </is>
      </c>
      <c r="F33" s="31" t="inlineStr">
        <is>
          <t>Auto &amp; Auto Ancl - CV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23</v>
      </c>
      <c r="K33" s="31" t="n">
        <v>24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BAFNAPH</t>
        </is>
      </c>
      <c r="E34" s="31" t="inlineStr">
        <is>
          <t>Bafna Pharmaceuticals Ltd</t>
        </is>
      </c>
      <c r="F34" s="31" t="inlineStr">
        <is>
          <t>Pharma - Formulators</t>
        </is>
      </c>
      <c r="G34" s="31" t="n">
        <v>2</v>
      </c>
      <c r="H34" s="31" t="inlineStr">
        <is>
          <t>52W Breakout</t>
        </is>
      </c>
      <c r="I34" s="31" t="inlineStr">
        <is>
          <t>Yes</t>
        </is>
      </c>
      <c r="J34" s="31" t="n">
        <v>1</v>
      </c>
      <c r="K34" s="31" t="n">
        <v>3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BHAGYANGR</t>
        </is>
      </c>
      <c r="E35" s="31" t="inlineStr">
        <is>
          <t>Bhagyanagar India</t>
        </is>
      </c>
      <c r="F35" s="31" t="inlineStr">
        <is>
          <t>Recycling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17</v>
      </c>
      <c r="K35" s="31" t="n">
        <v>23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GODREJIND</t>
        </is>
      </c>
      <c r="E36" s="31" t="inlineStr">
        <is>
          <t>Godrej Industries Limited</t>
        </is>
      </c>
      <c r="F36" s="31" t="inlineStr">
        <is>
          <t>Finance - Holding Company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15</v>
      </c>
      <c r="K36" s="31" t="n">
        <v>23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CGCL</t>
        </is>
      </c>
      <c r="E37" s="31" t="inlineStr">
        <is>
          <t>Capri Global Capital Limited</t>
        </is>
      </c>
      <c r="F37" s="31" t="inlineStr">
        <is>
          <t>Finance &amp; Investments - Gold Loan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23</v>
      </c>
      <c r="K37" s="31" t="n">
        <v>30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HESTERBIO</t>
        </is>
      </c>
      <c r="E38" s="31" t="inlineStr">
        <is>
          <t>Hester Biosciences Limited</t>
        </is>
      </c>
      <c r="F38" s="31" t="inlineStr">
        <is>
          <t>Pharma - Animal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17</v>
      </c>
      <c r="K38" s="31" t="n">
        <v>27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FILATEX</t>
        </is>
      </c>
      <c r="E39" s="31" t="inlineStr">
        <is>
          <t>Filatex India Limited</t>
        </is>
      </c>
      <c r="F39" s="31" t="inlineStr">
        <is>
          <t>Textiles - Manmade Fibre - PFY/PSF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20</v>
      </c>
      <c r="K39" s="31" t="n">
        <v>21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INDNIPPON</t>
        </is>
      </c>
      <c r="E40" s="31" t="inlineStr">
        <is>
          <t>India Nippon Electricals Limited</t>
        </is>
      </c>
      <c r="F40" s="31" t="inlineStr">
        <is>
          <t>Auto Ancillaries - Engine Parts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25</v>
      </c>
      <c r="K40" s="31" t="n">
        <v>28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SIGNPOST</t>
        </is>
      </c>
      <c r="E41" s="31" t="inlineStr">
        <is>
          <t>Signpost India Ltd</t>
        </is>
      </c>
      <c r="F41" s="31" t="inlineStr">
        <is>
          <t>Advertisement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16</v>
      </c>
      <c r="K41" s="31" t="n">
        <v>14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PSPPROJECT</t>
        </is>
      </c>
      <c r="E42" s="31" t="inlineStr">
        <is>
          <t>PSP Projects Ltd</t>
        </is>
      </c>
      <c r="F42" s="31" t="inlineStr">
        <is>
          <t>Construction &amp; Contracting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16</v>
      </c>
      <c r="K42" s="31" t="n">
        <v>30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KMEW</t>
        </is>
      </c>
      <c r="E43" s="31" t="inlineStr">
        <is>
          <t>Knowledge Marine &amp; Engineering Works Ltd</t>
        </is>
      </c>
      <c r="F43" s="31" t="inlineStr">
        <is>
          <t>Shipping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18</v>
      </c>
      <c r="K43" s="31" t="n">
        <v>24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ADOR</t>
        </is>
      </c>
      <c r="E44" s="31" t="inlineStr">
        <is>
          <t>Ador Welding Ltd</t>
        </is>
      </c>
      <c r="F44" s="31" t="inlineStr">
        <is>
          <t>Welding Equipments</t>
        </is>
      </c>
      <c r="G44" s="31" t="n">
        <v>2</v>
      </c>
      <c r="H44" s="31" t="inlineStr">
        <is>
          <t>52W Breakout</t>
        </is>
      </c>
      <c r="I44" s="31" t="inlineStr">
        <is>
          <t>Yes</t>
        </is>
      </c>
      <c r="J44" s="31" t="n">
        <v>10</v>
      </c>
      <c r="K44" s="31" t="n">
        <v>29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RUBYMILLS</t>
        </is>
      </c>
      <c r="E45" s="31" t="inlineStr">
        <is>
          <t>The Ruby Mills Limited</t>
        </is>
      </c>
      <c r="F45" s="31" t="inlineStr">
        <is>
          <t>Textiles - Composite Mills</t>
        </is>
      </c>
      <c r="G45" s="31" t="n">
        <v>2</v>
      </c>
      <c r="H45" s="31" t="inlineStr">
        <is>
          <t>52W Breakout</t>
        </is>
      </c>
      <c r="I45" s="31" t="inlineStr">
        <is>
          <t>Yes</t>
        </is>
      </c>
      <c r="J45" s="31" t="n">
        <v>9</v>
      </c>
      <c r="K45" s="31" t="n">
        <v>30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TFCILTD</t>
        </is>
      </c>
      <c r="E46" s="31" t="inlineStr">
        <is>
          <t>Tourism Finance Corporation Of India Limited</t>
        </is>
      </c>
      <c r="F46" s="31" t="inlineStr">
        <is>
          <t>Finance - PSU Lending</t>
        </is>
      </c>
      <c r="G46" s="31" t="n">
        <v>2</v>
      </c>
      <c r="H46" s="31" t="inlineStr">
        <is>
          <t>52W Breakout</t>
        </is>
      </c>
      <c r="I46" s="31" t="inlineStr">
        <is>
          <t>Yes</t>
        </is>
      </c>
      <c r="J46" s="31" t="n">
        <v>14</v>
      </c>
      <c r="K46" s="31" t="n">
        <v>17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HONASA</t>
        </is>
      </c>
      <c r="E47" s="31" t="inlineStr">
        <is>
          <t>Honasa Consumer Ltd</t>
        </is>
      </c>
      <c r="F47" s="31" t="inlineStr">
        <is>
          <t>New age - Platform - E-Retail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16</v>
      </c>
      <c r="K47" s="31" t="n">
        <v>30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INDOTECH</t>
        </is>
      </c>
      <c r="E48" s="31" t="inlineStr">
        <is>
          <t>Indo Tech Transformers Limited</t>
        </is>
      </c>
      <c r="F48" s="31" t="inlineStr">
        <is>
          <t>Capital Goods - Transformers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18</v>
      </c>
      <c r="K48" s="31" t="n">
        <v>24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WELCORP</t>
        </is>
      </c>
      <c r="E49" s="31" t="inlineStr">
        <is>
          <t>Welspun Corp Limited</t>
        </is>
      </c>
      <c r="F49" s="31" t="inlineStr">
        <is>
          <t>DI Pipes/Saw Pipes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18</v>
      </c>
      <c r="K49" s="31" t="n">
        <v>30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SIGMAADV</t>
        </is>
      </c>
      <c r="E50" s="31" t="inlineStr">
        <is>
          <t>Sigma Advanced System Ltd</t>
        </is>
      </c>
      <c r="F50" s="31" t="inlineStr">
        <is>
          <t>Aerospace &amp; Defence - Equipments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20</v>
      </c>
      <c r="K50" s="31" t="n">
        <v>30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IKIO</t>
        </is>
      </c>
      <c r="E51" s="31" t="inlineStr">
        <is>
          <t>IKIO Lighting Ltd</t>
        </is>
      </c>
      <c r="F51" s="31" t="inlineStr">
        <is>
          <t>Capital Goods - Electric General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19</v>
      </c>
      <c r="K51" s="31" t="n">
        <v>9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NOVARTIND</t>
        </is>
      </c>
      <c r="E52" s="31" t="inlineStr">
        <is>
          <t>Novartis India Ltd</t>
        </is>
      </c>
      <c r="F52" s="31" t="inlineStr">
        <is>
          <t>Pharma - MNC bulk Drugs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19</v>
      </c>
      <c r="K52" s="31" t="n">
        <v>26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TRIVENI</t>
        </is>
      </c>
      <c r="E53" s="31" t="inlineStr">
        <is>
          <t>Triveni Engineering &amp; Industries Limited</t>
        </is>
      </c>
      <c r="F53" s="31" t="inlineStr">
        <is>
          <t>Sugar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15</v>
      </c>
      <c r="K53" s="31" t="n">
        <v>26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IPCALAB</t>
        </is>
      </c>
      <c r="E54" s="31" t="inlineStr">
        <is>
          <t>Ipca Laboratories Limited</t>
        </is>
      </c>
      <c r="F54" s="31" t="inlineStr">
        <is>
          <t>Pharma - Formulators</t>
        </is>
      </c>
      <c r="G54" s="31" t="n">
        <v>2</v>
      </c>
      <c r="H54" s="31" t="inlineStr">
        <is>
          <t>52W Breakout</t>
        </is>
      </c>
      <c r="I54" s="31" t="inlineStr">
        <is>
          <t>Yes</t>
        </is>
      </c>
      <c r="J54" s="31" t="n">
        <v>10</v>
      </c>
      <c r="K54" s="31" t="n">
        <v>23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KABRAEXTRU</t>
        </is>
      </c>
      <c r="E55" s="31" t="inlineStr">
        <is>
          <t>Kabra Extrusion Technik Limited</t>
        </is>
      </c>
      <c r="F55" s="31" t="inlineStr">
        <is>
          <t>Capital Goods - Engineering Heavy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18</v>
      </c>
      <c r="K55" s="31" t="n">
        <v>15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SKYGOLD</t>
        </is>
      </c>
      <c r="E56" s="31" t="inlineStr">
        <is>
          <t>Sky Gold Ltd</t>
        </is>
      </c>
      <c r="F56" s="31" t="inlineStr">
        <is>
          <t>Diamond, Gems &amp; Jewellery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24</v>
      </c>
      <c r="K56" s="31" t="n">
        <v>20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AURUM</t>
        </is>
      </c>
      <c r="E57" s="31" t="inlineStr">
        <is>
          <t>Aurum Proptech Ltd</t>
        </is>
      </c>
      <c r="F57" s="31" t="inlineStr">
        <is>
          <t>IT Enabled Services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19</v>
      </c>
      <c r="K57" s="31" t="n">
        <v>27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HFCL</t>
        </is>
      </c>
      <c r="E58" s="31" t="inlineStr">
        <is>
          <t>HFCL Ltd</t>
        </is>
      </c>
      <c r="F58" s="31" t="inlineStr">
        <is>
          <t>Telecom Services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19</v>
      </c>
      <c r="K58" s="31" t="n">
        <v>29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SONACOMS</t>
        </is>
      </c>
      <c r="E59" s="31" t="inlineStr">
        <is>
          <t>Sona BLW Precision Forgings Ltd</t>
        </is>
      </c>
      <c r="F59" s="31" t="inlineStr">
        <is>
          <t>Castings, Forgings &amp; Fastners</t>
        </is>
      </c>
      <c r="G59" s="31" t="n">
        <v>2</v>
      </c>
      <c r="H59" s="31" t="inlineStr">
        <is>
          <t>52W Breakout</t>
        </is>
      </c>
      <c r="I59" s="31" t="inlineStr">
        <is>
          <t>Yes</t>
        </is>
      </c>
      <c r="J59" s="31" t="n">
        <v>10</v>
      </c>
      <c r="K59" s="31" t="n">
        <v>23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WELENT</t>
        </is>
      </c>
      <c r="E60" s="31" t="inlineStr">
        <is>
          <t>Welspun Enterprises Limited</t>
        </is>
      </c>
      <c r="F60" s="31" t="inlineStr">
        <is>
          <t>Water Treatment</t>
        </is>
      </c>
      <c r="G60" s="31" t="n">
        <v>2</v>
      </c>
      <c r="H60" s="31" t="inlineStr">
        <is>
          <t>52W Breakout</t>
        </is>
      </c>
      <c r="I60" s="31" t="inlineStr">
        <is>
          <t>Yes</t>
        </is>
      </c>
      <c r="J60" s="31" t="n">
        <v>12</v>
      </c>
      <c r="K60" s="31" t="n">
        <v>30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DIACABS</t>
        </is>
      </c>
      <c r="E61" s="31" t="inlineStr">
        <is>
          <t>Diamond Power Infrastructure Ltd</t>
        </is>
      </c>
      <c r="F61" s="31" t="inlineStr">
        <is>
          <t>Cables - Power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16</v>
      </c>
      <c r="K61" s="31" t="n">
        <v>27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OBEROIRLTY</t>
        </is>
      </c>
      <c r="E62" s="31" t="inlineStr">
        <is>
          <t>Oberoi Realty Limited</t>
        </is>
      </c>
      <c r="F62" s="31" t="inlineStr">
        <is>
          <t>Realty - Regional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18</v>
      </c>
      <c r="K62" s="31" t="n">
        <v>25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IKS</t>
        </is>
      </c>
      <c r="E63" s="31" t="inlineStr">
        <is>
          <t>Inventurus Knowledge Solutions Ltd</t>
        </is>
      </c>
      <c r="F63" s="31" t="inlineStr">
        <is>
          <t>IT Enabled Services/Business Process Outsourcing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16</v>
      </c>
      <c r="K63" s="31" t="n">
        <v>24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TATVA</t>
        </is>
      </c>
      <c r="E64" s="31" t="inlineStr">
        <is>
          <t>Tatva Chintan Pharma Chem Ltd</t>
        </is>
      </c>
      <c r="F64" s="31" t="inlineStr">
        <is>
          <t>Speciality Chemicals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16</v>
      </c>
      <c r="K64" s="31" t="n">
        <v>7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MANGLMCEM</t>
        </is>
      </c>
      <c r="E65" s="31" t="inlineStr">
        <is>
          <t>Mangalam Cement Limited</t>
        </is>
      </c>
      <c r="F65" s="31" t="inlineStr">
        <is>
          <t>Cement</t>
        </is>
      </c>
      <c r="G65" s="31" t="n">
        <v>2</v>
      </c>
      <c r="H65" s="31" t="inlineStr">
        <is>
          <t>52W Breakout</t>
        </is>
      </c>
      <c r="I65" s="31" t="inlineStr">
        <is>
          <t>Yes</t>
        </is>
      </c>
      <c r="J65" s="31" t="n">
        <v>12</v>
      </c>
      <c r="K65" s="31" t="n">
        <v>21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CHOLAFIN</t>
        </is>
      </c>
      <c r="E66" s="31" t="inlineStr">
        <is>
          <t>Cholamandalam Investment And Finance Company Limited</t>
        </is>
      </c>
      <c r="F66" s="31" t="inlineStr">
        <is>
          <t>Conglomerate Backed NBFC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16</v>
      </c>
      <c r="K66" s="31" t="n">
        <v>26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CHOICEIN</t>
        </is>
      </c>
      <c r="E67" s="31" t="inlineStr">
        <is>
          <t>Choice International Ltd</t>
        </is>
      </c>
      <c r="F67" s="31" t="inlineStr">
        <is>
          <t>Finance - Capital Markets - Brokers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15</v>
      </c>
      <c r="K67" s="31" t="n">
        <v>25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JLHL</t>
        </is>
      </c>
      <c r="E68" s="31" t="inlineStr">
        <is>
          <t>Jupiter Life Line Hospitals Ltd</t>
        </is>
      </c>
      <c r="F68" s="31" t="inlineStr">
        <is>
          <t>Hospitals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15</v>
      </c>
      <c r="K68" s="31" t="n">
        <v>21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POONAWALLA</t>
        </is>
      </c>
      <c r="E69" s="31" t="inlineStr">
        <is>
          <t>Poonawalla Fincorp Ltd</t>
        </is>
      </c>
      <c r="F69" s="31" t="inlineStr">
        <is>
          <t>Conglomerate Backed NBFC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17</v>
      </c>
      <c r="K69" s="31" t="n">
        <v>13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TBZ</t>
        </is>
      </c>
      <c r="E70" s="31" t="inlineStr">
        <is>
          <t>Tribhovandas Bhimji Zaveri Limited</t>
        </is>
      </c>
      <c r="F70" s="31" t="inlineStr">
        <is>
          <t>Diamond, Gems &amp; Jewellery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20</v>
      </c>
      <c r="K70" s="31" t="n">
        <v>27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LLOYDSENT</t>
        </is>
      </c>
      <c r="E71" s="31" t="inlineStr">
        <is>
          <t>Lloyds Enterprises Ltd</t>
        </is>
      </c>
      <c r="F71" s="31" t="inlineStr">
        <is>
          <t>Trading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20</v>
      </c>
      <c r="K71" s="31" t="n">
        <v>11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MBAPL</t>
        </is>
      </c>
      <c r="E72" s="31" t="inlineStr">
        <is>
          <t>Madhya Bharat Agro Products Ltd</t>
        </is>
      </c>
      <c r="F72" s="31" t="inlineStr">
        <is>
          <t>Fertilisers</t>
        </is>
      </c>
      <c r="G72" s="31" t="n">
        <v>2</v>
      </c>
      <c r="H72" s="31" t="inlineStr">
        <is>
          <t>52W Breakout</t>
        </is>
      </c>
      <c r="I72" s="31" t="inlineStr">
        <is>
          <t>Yes</t>
        </is>
      </c>
      <c r="J72" s="31" t="n">
        <v>14</v>
      </c>
      <c r="K72" s="31" t="n">
        <v>19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BEPL</t>
        </is>
      </c>
      <c r="E73" s="31" t="inlineStr">
        <is>
          <t>Bhansali Engineering Polymers Limited</t>
        </is>
      </c>
      <c r="F73" s="31" t="inlineStr">
        <is>
          <t>Petrochem - Polymers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16</v>
      </c>
      <c r="K73" s="31" t="n">
        <v>16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GANDHAR</t>
        </is>
      </c>
      <c r="E74" s="31" t="inlineStr">
        <is>
          <t>Gandhar Oil Refinery (India) Ltd</t>
        </is>
      </c>
      <c r="F74" s="31" t="inlineStr">
        <is>
          <t>Refineries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15</v>
      </c>
      <c r="K74" s="31" t="n">
        <v>25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ADANIENSOL</t>
        </is>
      </c>
      <c r="E75" s="31" t="inlineStr">
        <is>
          <t>Adani Energy Solutions Ltd</t>
        </is>
      </c>
      <c r="F75" s="31" t="inlineStr">
        <is>
          <t>Power - Transmission/Equipment</t>
        </is>
      </c>
      <c r="G75" s="31" t="n">
        <v>2</v>
      </c>
      <c r="H75" s="31" t="inlineStr">
        <is>
          <t>52W Breakout</t>
        </is>
      </c>
      <c r="I75" s="31" t="inlineStr">
        <is>
          <t>Yes</t>
        </is>
      </c>
      <c r="J75" s="31" t="n">
        <v>12</v>
      </c>
      <c r="K75" s="31" t="n">
        <v>25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SHYAMMETL</t>
        </is>
      </c>
      <c r="E76" s="31" t="inlineStr">
        <is>
          <t>Shyam Metalics &amp; Energy Ltd</t>
        </is>
      </c>
      <c r="F76" s="31" t="inlineStr">
        <is>
          <t>Steel Products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16</v>
      </c>
      <c r="K76" s="31" t="n">
        <v>15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GALAPREC</t>
        </is>
      </c>
      <c r="E77" s="31" t="inlineStr">
        <is>
          <t>Gala Precision Engineering Ltd</t>
        </is>
      </c>
      <c r="F77" s="31" t="inlineStr">
        <is>
          <t>Castings, Forgings &amp; Fastners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15</v>
      </c>
      <c r="K77" s="31" t="n">
        <v>30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RPGLIFE</t>
        </is>
      </c>
      <c r="E78" s="31" t="inlineStr">
        <is>
          <t>Rpg Life Sciences Limited</t>
        </is>
      </c>
      <c r="F78" s="31" t="inlineStr">
        <is>
          <t>Pharma - Formulators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15</v>
      </c>
      <c r="K78" s="31" t="n">
        <v>23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RELTD</t>
        </is>
      </c>
      <c r="E79" s="31" t="inlineStr">
        <is>
          <t>Ravindra Energy Ltd</t>
        </is>
      </c>
      <c r="F79" s="31" t="inlineStr">
        <is>
          <t>Capital Goods - Electric General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16</v>
      </c>
      <c r="K79" s="31" t="n">
        <v>22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AZAD</t>
        </is>
      </c>
      <c r="E80" s="31" t="inlineStr">
        <is>
          <t>Azad Engineering Ltd</t>
        </is>
      </c>
      <c r="F80" s="31" t="inlineStr">
        <is>
          <t>Aerospace &amp; Defence - Equipments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17</v>
      </c>
      <c r="K80" s="31" t="n">
        <v>15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TITAN</t>
        </is>
      </c>
      <c r="E81" s="31" t="inlineStr">
        <is>
          <t>Titan Company Limited</t>
        </is>
      </c>
      <c r="F81" s="31" t="inlineStr">
        <is>
          <t>Diamond, Gems &amp; Jewellery</t>
        </is>
      </c>
      <c r="G81" s="31" t="n">
        <v>2</v>
      </c>
      <c r="H81" s="31" t="inlineStr">
        <is>
          <t>52W Breakout</t>
        </is>
      </c>
      <c r="I81" s="31" t="inlineStr">
        <is>
          <t>Yes</t>
        </is>
      </c>
      <c r="J81" s="31" t="n">
        <v>9</v>
      </c>
      <c r="K81" s="31" t="n">
        <v>22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PRICOLLTD</t>
        </is>
      </c>
      <c r="E82" s="31" t="inlineStr">
        <is>
          <t>Pricol Ltd.</t>
        </is>
      </c>
      <c r="F82" s="31" t="inlineStr">
        <is>
          <t>Auto Ancillaries - 2 Wheelers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15</v>
      </c>
      <c r="K82" s="31" t="n">
        <v>20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KALYANKJIL</t>
        </is>
      </c>
      <c r="E83" s="31" t="inlineStr">
        <is>
          <t>Kalyan Jewellers India Ltd</t>
        </is>
      </c>
      <c r="F83" s="31" t="inlineStr">
        <is>
          <t>Diamond, Gems &amp; Jewellery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20</v>
      </c>
      <c r="K83" s="31" t="n">
        <v>6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PAYTM</t>
        </is>
      </c>
      <c r="E84" s="31" t="inlineStr">
        <is>
          <t>One 97 Communications Ltd</t>
        </is>
      </c>
      <c r="F84" s="31" t="inlineStr">
        <is>
          <t>E-Commerce - Platform - Utility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15</v>
      </c>
      <c r="K84" s="31" t="n">
        <v>18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SILVERTUC</t>
        </is>
      </c>
      <c r="E85" s="31" t="inlineStr">
        <is>
          <t>Silver Touch Technologies Ltd</t>
        </is>
      </c>
      <c r="F85" s="31" t="inlineStr">
        <is>
          <t>IT - Software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16</v>
      </c>
      <c r="K85" s="31" t="n">
        <v>20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LLOYDSME</t>
        </is>
      </c>
      <c r="E86" s="31" t="inlineStr">
        <is>
          <t>Lloyds Metals &amp; Energy Ltd</t>
        </is>
      </c>
      <c r="F86" s="31" t="inlineStr">
        <is>
          <t>Mining/Minerals - Iron Ore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18</v>
      </c>
      <c r="K86" s="31" t="n">
        <v>12</v>
      </c>
    </row>
  </sheetData>
  <autoFilter ref="A1:K86"/>
  <conditionalFormatting sqref="G2:G8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6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0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IF(B2=0,"",RANK(B2,$B$2:$B$300,0))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SAKAR</t>
        </is>
      </c>
      <c r="D2" s="31" t="inlineStr">
        <is>
          <t>Sakar Healthcare Ltd</t>
        </is>
      </c>
      <c r="E2" s="31" t="inlineStr">
        <is>
          <t>healthcare</t>
        </is>
      </c>
      <c r="F2" s="31" t="inlineStr">
        <is>
          <t>pharmaceuticals - indian - bulk drugs &amp; formln</t>
        </is>
      </c>
      <c r="G2" s="31" t="inlineStr">
        <is>
          <t>smallcap</t>
        </is>
      </c>
      <c r="H2" s="32" t="n">
        <v>1952.87</v>
      </c>
      <c r="I2" s="32" t="n">
        <v>877.7</v>
      </c>
      <c r="J2" s="32" t="n">
        <v>-2.15</v>
      </c>
      <c r="K2" s="32" t="n">
        <v>128085</v>
      </c>
      <c r="L2" s="31" t="n">
        <v>90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74.98999999999999</v>
      </c>
      <c r="P2" s="32" t="n">
        <v>56.3</v>
      </c>
      <c r="Q2" s="32" t="n">
        <v>617.86</v>
      </c>
      <c r="R2" s="31" t="inlineStr">
        <is>
          <t>Near 52W High Breakout</t>
        </is>
      </c>
      <c r="S2" s="31" t="inlineStr">
        <is>
          <t>Nifty Pharma</t>
        </is>
      </c>
      <c r="T2" s="32" t="n">
        <v>13.51</v>
      </c>
      <c r="U2" s="32" t="n">
        <v>148.36</v>
      </c>
      <c r="V2" s="32" t="n">
        <v>118.8</v>
      </c>
      <c r="W2" s="32" t="n">
        <v>31.38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IF(B3=0,"",RANK(B3,$B$2:$B$300,0))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INDOBORAX</t>
        </is>
      </c>
      <c r="D3" s="31" t="inlineStr">
        <is>
          <t>Indo Borax &amp; Chemicals Ltd</t>
        </is>
      </c>
      <c r="E3" s="31" t="inlineStr">
        <is>
          <t>chemicals</t>
        </is>
      </c>
      <c r="F3" s="31" t="inlineStr">
        <is>
          <t>chemicals</t>
        </is>
      </c>
      <c r="G3" s="31" t="inlineStr">
        <is>
          <t>smallcap</t>
        </is>
      </c>
      <c r="H3" s="32" t="n">
        <v>1494.43</v>
      </c>
      <c r="I3" s="32" t="n">
        <v>465.7</v>
      </c>
      <c r="J3" s="32" t="n">
        <v>4.07</v>
      </c>
      <c r="K3" s="32" t="n">
        <v>486648</v>
      </c>
      <c r="L3" s="31" t="n">
        <v>92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87.45</v>
      </c>
      <c r="P3" s="32" t="n">
        <v>67.29000000000001</v>
      </c>
      <c r="Q3" s="32" t="n">
        <v>360.79</v>
      </c>
      <c r="R3" s="31" t="inlineStr">
        <is>
          <t>Volume Spike &amp; Near 52W High Breakout</t>
        </is>
      </c>
      <c r="S3" s="31" t="inlineStr">
        <is>
          <t>Nifty 50</t>
        </is>
      </c>
      <c r="T3" s="32" t="n">
        <v>-2.54</v>
      </c>
      <c r="U3" s="32" t="n">
        <v>89.66</v>
      </c>
      <c r="V3" s="32" t="n">
        <v>94.59999999999999</v>
      </c>
      <c r="W3" s="32" t="n">
        <v>34.04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IF(B4=0,"",RANK(B4,$B$2:$B$300,0))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INDIAGLYCO</t>
        </is>
      </c>
      <c r="D4" s="31" t="inlineStr">
        <is>
          <t>India Glycols Limited</t>
        </is>
      </c>
      <c r="E4" s="31" t="inlineStr">
        <is>
          <t>fmcg</t>
        </is>
      </c>
      <c r="F4" s="31" t="inlineStr">
        <is>
          <t>breweries &amp; distilleries</t>
        </is>
      </c>
      <c r="G4" s="31" t="inlineStr">
        <is>
          <t>midcap</t>
        </is>
      </c>
      <c r="H4" s="32" t="n">
        <v>7770.41</v>
      </c>
      <c r="I4" s="32" t="n">
        <v>1159.3</v>
      </c>
      <c r="J4" s="32" t="n">
        <v>0.24</v>
      </c>
      <c r="K4" s="32" t="n">
        <v>449815</v>
      </c>
      <c r="L4" s="31" t="n">
        <v>42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65.27</v>
      </c>
      <c r="P4" s="32" t="n">
        <v>21.25</v>
      </c>
      <c r="Q4" s="32" t="n">
        <v>905.08</v>
      </c>
      <c r="R4" s="31" t="inlineStr">
        <is>
          <t>Volume Spike &amp; Near 52W High Breakout</t>
        </is>
      </c>
      <c r="S4" s="31" t="inlineStr">
        <is>
          <t>Nifty FMCG</t>
        </is>
      </c>
      <c r="T4" s="32" t="n">
        <v>-13.73</v>
      </c>
      <c r="U4" s="32" t="n">
        <v>22.44</v>
      </c>
      <c r="V4" s="32" t="n">
        <v>41.93</v>
      </c>
      <c r="W4" s="32" t="n">
        <v>8.220000000000001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20 to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IF(B5=0,"",RANK(B5,$B$2:$B$300,0))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MENONBE</t>
        </is>
      </c>
      <c r="D5" s="31" t="inlineStr">
        <is>
          <t>Menon Bearings Limited</t>
        </is>
      </c>
      <c r="E5" s="31" t="inlineStr">
        <is>
          <t>auto</t>
        </is>
      </c>
      <c r="F5" s="31" t="inlineStr">
        <is>
          <t>auto ancillaries</t>
        </is>
      </c>
      <c r="G5" s="31" t="inlineStr">
        <is>
          <t>smallcap</t>
        </is>
      </c>
      <c r="H5" s="32" t="n">
        <v>1118.95</v>
      </c>
      <c r="I5" s="32" t="n">
        <v>199.67</v>
      </c>
      <c r="J5" s="32" t="n">
        <v>5</v>
      </c>
      <c r="K5" s="32" t="n">
        <v>231637</v>
      </c>
      <c r="L5" s="31" t="n">
        <v>85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73.83</v>
      </c>
      <c r="P5" s="32" t="n">
        <v>42.59</v>
      </c>
      <c r="Q5" s="32" t="n">
        <v>148.69</v>
      </c>
      <c r="R5" s="31" t="inlineStr">
        <is>
          <t>Near 52W High Breakout</t>
        </is>
      </c>
      <c r="S5" s="31" t="inlineStr">
        <is>
          <t>Nifty Auto</t>
        </is>
      </c>
      <c r="T5" s="32" t="n">
        <v>13.41</v>
      </c>
      <c r="U5" s="32" t="n">
        <v>59.56</v>
      </c>
      <c r="V5" s="32" t="n">
        <v>40.68</v>
      </c>
      <c r="W5" s="32" t="n">
        <v>23.69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Less than 50%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IF(B6=0,"",RANK(B6,$B$2:$B$300,0))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AEGISLOG</t>
        </is>
      </c>
      <c r="D6" s="31" t="inlineStr">
        <is>
          <t>Aegis Logistics Ltd</t>
        </is>
      </c>
      <c r="E6" s="31" t="inlineStr">
        <is>
          <t>services</t>
        </is>
      </c>
      <c r="F6" s="31" t="inlineStr">
        <is>
          <t>trading</t>
        </is>
      </c>
      <c r="G6" s="31" t="inlineStr">
        <is>
          <t>largecap</t>
        </is>
      </c>
      <c r="H6" s="32" t="n">
        <v>47353.41</v>
      </c>
      <c r="I6" s="32" t="n">
        <v>1349.1</v>
      </c>
      <c r="J6" s="32" t="n">
        <v>3.98</v>
      </c>
      <c r="K6" s="32" t="n">
        <v>2812560</v>
      </c>
      <c r="L6" s="31" t="n">
        <v>94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80.13</v>
      </c>
      <c r="P6" s="32" t="n">
        <v>40.57</v>
      </c>
      <c r="Q6" s="32" t="n">
        <v>1023.93</v>
      </c>
      <c r="R6" s="31" t="inlineStr">
        <is>
          <t>Near 52W High Breakout</t>
        </is>
      </c>
      <c r="S6" s="31" t="inlineStr">
        <is>
          <t>Nifty 50</t>
        </is>
      </c>
      <c r="T6" s="32" t="n">
        <v>-2.54</v>
      </c>
      <c r="U6" s="32" t="n">
        <v>83</v>
      </c>
      <c r="V6" s="32" t="n">
        <v>87.77</v>
      </c>
      <c r="W6" s="32" t="n">
        <v>35.84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IF(B7=0,"",RANK(B7,$B$2:$B$300,0))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PGIL</t>
        </is>
      </c>
      <c r="D7" s="31" t="inlineStr">
        <is>
          <t>Pearl Global Industries Limited</t>
        </is>
      </c>
      <c r="E7" s="31" t="inlineStr">
        <is>
          <t>consumer discretionary</t>
        </is>
      </c>
      <c r="F7" s="31" t="inlineStr">
        <is>
          <t>textiles - products</t>
        </is>
      </c>
      <c r="G7" s="31" t="inlineStr">
        <is>
          <t>midcap</t>
        </is>
      </c>
      <c r="H7" s="32" t="n">
        <v>9427.559999999999</v>
      </c>
      <c r="I7" s="32" t="n">
        <v>2041.3</v>
      </c>
      <c r="J7" s="32" t="n">
        <v>-0.35</v>
      </c>
      <c r="K7" s="32" t="n">
        <v>74672</v>
      </c>
      <c r="L7" s="31" t="n">
        <v>56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67.38</v>
      </c>
      <c r="P7" s="32" t="n">
        <v>43.59</v>
      </c>
      <c r="Q7" s="32" t="n">
        <v>1584.07</v>
      </c>
      <c r="R7" s="31" t="inlineStr">
        <is>
          <t>Near 52W High Breakout</t>
        </is>
      </c>
      <c r="S7" s="31" t="inlineStr">
        <is>
          <t>Nifty 50</t>
        </is>
      </c>
      <c r="T7" s="32" t="n">
        <v>-2.54</v>
      </c>
      <c r="U7" s="32" t="n">
        <v>31.6</v>
      </c>
      <c r="V7" s="32" t="n">
        <v>35.03</v>
      </c>
      <c r="W7" s="32" t="n">
        <v>11.43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Between 1.5 to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IF(B8=0,"",RANK(B8,$B$2:$B$300,0))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PRECOT</t>
        </is>
      </c>
      <c r="D8" s="31" t="inlineStr">
        <is>
          <t>Precot Meridian Limited</t>
        </is>
      </c>
      <c r="E8" s="31" t="inlineStr">
        <is>
          <t>textiles</t>
        </is>
      </c>
      <c r="F8" s="31" t="inlineStr">
        <is>
          <t>textiles - cotton/blended</t>
        </is>
      </c>
      <c r="G8" s="31" t="inlineStr">
        <is>
          <t>smallcap</t>
        </is>
      </c>
      <c r="H8" s="32" t="n">
        <v>990.36</v>
      </c>
      <c r="I8" s="32" t="n">
        <v>825.3</v>
      </c>
      <c r="J8" s="32" t="n">
        <v>-0.6899999999999999</v>
      </c>
      <c r="K8" s="32" t="n">
        <v>11523</v>
      </c>
      <c r="L8" s="31" t="n">
        <v>83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70.28</v>
      </c>
      <c r="P8" s="32" t="n">
        <v>43.89</v>
      </c>
      <c r="Q8" s="32" t="n">
        <v>590.6</v>
      </c>
      <c r="R8" s="31" t="inlineStr">
        <is>
          <t>Near 52W High Breakout</t>
        </is>
      </c>
      <c r="S8" s="31" t="inlineStr">
        <is>
          <t>Nifty 50</t>
        </is>
      </c>
      <c r="T8" s="32" t="n">
        <v>-2.54</v>
      </c>
      <c r="U8" s="32" t="n">
        <v>34.14</v>
      </c>
      <c r="V8" s="32" t="n">
        <v>37.64</v>
      </c>
      <c r="W8" s="32" t="n">
        <v>21.74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Between 0.7 to 1.2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IF(B9=0,"",RANK(B9,$B$2:$B$300,0))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ACUTAAS</t>
        </is>
      </c>
      <c r="D9" s="31" t="inlineStr">
        <is>
          <t>Acutaas Chemicals Ltd</t>
        </is>
      </c>
      <c r="E9" s="31" t="inlineStr">
        <is>
          <t>healthcare</t>
        </is>
      </c>
      <c r="F9" s="31" t="inlineStr">
        <is>
          <t>pharmaceuticals - indian - bulk drugs</t>
        </is>
      </c>
      <c r="G9" s="31" t="inlineStr">
        <is>
          <t>largecap</t>
        </is>
      </c>
      <c r="H9" s="32" t="n">
        <v>29632.43</v>
      </c>
      <c r="I9" s="32" t="n">
        <v>3619.4</v>
      </c>
      <c r="J9" s="32" t="n">
        <v>0.99</v>
      </c>
      <c r="K9" s="32" t="n">
        <v>187911</v>
      </c>
      <c r="L9" s="31" t="n">
        <v>95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71.53</v>
      </c>
      <c r="P9" s="32" t="n">
        <v>68.48999999999999</v>
      </c>
      <c r="Q9" s="32" t="n">
        <v>2875.67</v>
      </c>
      <c r="R9" s="31" t="inlineStr">
        <is>
          <t>Near 52W High Breakout</t>
        </is>
      </c>
      <c r="S9" s="31" t="inlineStr">
        <is>
          <t>Nifty Pharma</t>
        </is>
      </c>
      <c r="T9" s="32" t="n">
        <v>13.51</v>
      </c>
      <c r="U9" s="32" t="n">
        <v>201.12</v>
      </c>
      <c r="V9" s="32" t="n">
        <v>165.28</v>
      </c>
      <c r="W9" s="32" t="n">
        <v>37.14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IF(B10=0,"",RANK(B10,$B$2:$B$300,0))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TINNARUBR</t>
        </is>
      </c>
      <c r="D10" s="31" t="inlineStr">
        <is>
          <t>Tinna Rubber &amp; Infrastructure Ltd</t>
        </is>
      </c>
      <c r="E10" s="31" t="inlineStr">
        <is>
          <t>fmcg</t>
        </is>
      </c>
      <c r="F10" s="31" t="inlineStr">
        <is>
          <t>miscellaneous</t>
        </is>
      </c>
      <c r="G10" s="31" t="inlineStr">
        <is>
          <t>smallcap</t>
        </is>
      </c>
      <c r="H10" s="32" t="n">
        <v>1786.44</v>
      </c>
      <c r="I10" s="32" t="n">
        <v>991.6</v>
      </c>
      <c r="J10" s="32" t="n">
        <v>0.63</v>
      </c>
      <c r="K10" s="32" t="n">
        <v>52362</v>
      </c>
      <c r="L10" s="31" t="n">
        <v>48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66.08</v>
      </c>
      <c r="P10" s="32" t="n">
        <v>26.88</v>
      </c>
      <c r="Q10" s="32" t="n">
        <v>736.23</v>
      </c>
      <c r="R10" s="31" t="inlineStr">
        <is>
          <t>Near 52W High Breakout</t>
        </is>
      </c>
      <c r="S10" s="31" t="inlineStr">
        <is>
          <t>Nifty FMCG</t>
        </is>
      </c>
      <c r="T10" s="32" t="n">
        <v>-13.73</v>
      </c>
      <c r="U10" s="32" t="n">
        <v>0.8</v>
      </c>
      <c r="V10" s="32" t="n">
        <v>16.84</v>
      </c>
      <c r="W10" s="32" t="n">
        <v>9.539999999999999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20 to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Between 50% to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IF(B11=0,"",RANK(B11,$B$2:$B$300,0))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RADICO</t>
        </is>
      </c>
      <c r="D11" s="31" t="inlineStr">
        <is>
          <t>Radico Khaitan Limited</t>
        </is>
      </c>
      <c r="E11" s="31" t="inlineStr">
        <is>
          <t>fmcg</t>
        </is>
      </c>
      <c r="F11" s="31" t="inlineStr">
        <is>
          <t>breweries &amp; distilleries</t>
        </is>
      </c>
      <c r="G11" s="31" t="inlineStr">
        <is>
          <t>largecap</t>
        </is>
      </c>
      <c r="H11" s="32" t="n">
        <v>54870.03</v>
      </c>
      <c r="I11" s="32" t="n">
        <v>4097.9</v>
      </c>
      <c r="J11" s="32" t="n">
        <v>-0.2</v>
      </c>
      <c r="K11" s="32" t="n">
        <v>261239</v>
      </c>
      <c r="L11" s="31" t="n">
        <v>68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79.94</v>
      </c>
      <c r="P11" s="32" t="n">
        <v>52.26</v>
      </c>
      <c r="Q11" s="32" t="n">
        <v>3461.45</v>
      </c>
      <c r="R11" s="31" t="inlineStr">
        <is>
          <t>Near 52W High Breakout</t>
        </is>
      </c>
      <c r="S11" s="31" t="inlineStr">
        <is>
          <t>Nifty FMCG</t>
        </is>
      </c>
      <c r="T11" s="32" t="n">
        <v>-13.73</v>
      </c>
      <c r="U11" s="32" t="n">
        <v>50.97</v>
      </c>
      <c r="V11" s="32" t="n">
        <v>75</v>
      </c>
      <c r="W11" s="32" t="n">
        <v>14.99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IF(B12=0,"",RANK(B12,$B$2:$B$300,0))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GLAND</t>
        </is>
      </c>
      <c r="D12" s="31" t="inlineStr">
        <is>
          <t>Gland Pharma Ltd</t>
        </is>
      </c>
      <c r="E12" s="31" t="inlineStr">
        <is>
          <t>healthcare</t>
        </is>
      </c>
      <c r="F12" s="31" t="inlineStr">
        <is>
          <t>pharmaceuticals - indian - formulations</t>
        </is>
      </c>
      <c r="G12" s="31" t="inlineStr">
        <is>
          <t>largecap</t>
        </is>
      </c>
      <c r="H12" s="32" t="n">
        <v>40348.85</v>
      </c>
      <c r="I12" s="32" t="n">
        <v>2449</v>
      </c>
      <c r="J12" s="32" t="n">
        <v>-3.18</v>
      </c>
      <c r="K12" s="32" t="n">
        <v>326961</v>
      </c>
      <c r="L12" s="31" t="n">
        <v>62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70.42</v>
      </c>
      <c r="P12" s="32" t="n">
        <v>48.61</v>
      </c>
      <c r="Q12" s="32" t="n">
        <v>2002.88</v>
      </c>
      <c r="R12" s="31" t="inlineStr">
        <is>
          <t>Near 52W High Breakout</t>
        </is>
      </c>
      <c r="S12" s="31" t="inlineStr">
        <is>
          <t>Nifty Pharma</t>
        </is>
      </c>
      <c r="T12" s="32" t="n">
        <v>13.51</v>
      </c>
      <c r="U12" s="32" t="n">
        <v>23.57</v>
      </c>
      <c r="V12" s="32" t="n">
        <v>8.859999999999999</v>
      </c>
      <c r="W12" s="32" t="n">
        <v>12.74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Between 50% to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IF(B13=0,"",RANK(B13,$B$2:$B$300,0))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RISHABH</t>
        </is>
      </c>
      <c r="D13" s="31" t="inlineStr">
        <is>
          <t>Rishabh Instruments Ltd</t>
        </is>
      </c>
      <c r="E13" s="31" t="inlineStr">
        <is>
          <t>industrials</t>
        </is>
      </c>
      <c r="F13" s="31" t="inlineStr">
        <is>
          <t>electric equipment</t>
        </is>
      </c>
      <c r="G13" s="31" t="inlineStr">
        <is>
          <t>smallcap</t>
        </is>
      </c>
      <c r="H13" s="32" t="n">
        <v>2529</v>
      </c>
      <c r="I13" s="32" t="n">
        <v>656.1</v>
      </c>
      <c r="J13" s="32" t="n">
        <v>-0.52</v>
      </c>
      <c r="K13" s="32" t="n">
        <v>288715</v>
      </c>
      <c r="L13" s="31" t="n">
        <v>87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71.88</v>
      </c>
      <c r="P13" s="32" t="n">
        <v>41.41</v>
      </c>
      <c r="Q13" s="32" t="n">
        <v>486.13</v>
      </c>
      <c r="R13" s="31" t="inlineStr">
        <is>
          <t>Near 52W High Breakout</t>
        </is>
      </c>
      <c r="S13" s="31" t="inlineStr">
        <is>
          <t>Nifty Infra</t>
        </is>
      </c>
      <c r="T13" s="32" t="n">
        <v>1.74</v>
      </c>
      <c r="U13" s="32" t="n">
        <v>118.81</v>
      </c>
      <c r="V13" s="32" t="n">
        <v>115.07</v>
      </c>
      <c r="W13" s="32" t="n">
        <v>26.68</v>
      </c>
      <c r="X13" s="31" t="inlineStr">
        <is>
          <t>Cyclical in an Upturn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IF(B14=0,"",RANK(B14,$B$2:$B$300,0))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BHEL</t>
        </is>
      </c>
      <c r="D14" s="31" t="inlineStr">
        <is>
          <t>Bharat Heavy Electricals Limited</t>
        </is>
      </c>
      <c r="E14" s="31" t="inlineStr">
        <is>
          <t>industrials</t>
        </is>
      </c>
      <c r="F14" s="31" t="inlineStr">
        <is>
          <t>electric equipment</t>
        </is>
      </c>
      <c r="G14" s="31" t="inlineStr">
        <is>
          <t>largecap</t>
        </is>
      </c>
      <c r="H14" s="32" t="n">
        <v>146943.07</v>
      </c>
      <c r="I14" s="32" t="n">
        <v>422</v>
      </c>
      <c r="J14" s="32" t="n">
        <v>-3.08</v>
      </c>
      <c r="K14" s="32" t="n">
        <v>48217882</v>
      </c>
      <c r="L14" s="31" t="n">
        <v>77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67.81999999999999</v>
      </c>
      <c r="P14" s="32" t="n">
        <v>46.73</v>
      </c>
      <c r="Q14" s="32" t="n">
        <v>333.32</v>
      </c>
      <c r="R14" s="31" t="inlineStr">
        <is>
          <t>Volume Spike &amp; Near 52W High Breakout</t>
        </is>
      </c>
      <c r="S14" s="31" t="inlineStr">
        <is>
          <t>Nifty 50</t>
        </is>
      </c>
      <c r="T14" s="32" t="n">
        <v>-2.54</v>
      </c>
      <c r="U14" s="32" t="n">
        <v>69.36</v>
      </c>
      <c r="V14" s="32" t="n">
        <v>73.77</v>
      </c>
      <c r="W14" s="32" t="n">
        <v>18.76</v>
      </c>
      <c r="X14" s="31" t="inlineStr">
        <is>
          <t>Cyclical in an Upturn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IF(B15=0,"",RANK(B15,$B$2:$B$300,0))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IBULLSLTD</t>
        </is>
      </c>
      <c r="D15" s="31" t="inlineStr">
        <is>
          <t>Indiabulls Limited</t>
        </is>
      </c>
      <c r="E15" s="31" t="inlineStr">
        <is>
          <t>miscellaneous</t>
        </is>
      </c>
      <c r="F15" s="31" t="inlineStr">
        <is>
          <t>diversified - medium / small</t>
        </is>
      </c>
      <c r="G15" s="31" t="inlineStr">
        <is>
          <t>midcap</t>
        </is>
      </c>
      <c r="H15" s="32" t="n">
        <v>6738.38</v>
      </c>
      <c r="I15" s="32" t="n">
        <v>28.99</v>
      </c>
      <c r="J15" s="32" t="n">
        <v>-3.66</v>
      </c>
      <c r="K15" s="32" t="n">
        <v>4213073</v>
      </c>
      <c r="L15" s="31" t="n">
        <v>89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75.67</v>
      </c>
      <c r="P15" s="32" t="n">
        <v>44.18</v>
      </c>
      <c r="Q15" s="32" t="n">
        <v>21.45</v>
      </c>
      <c r="R15" s="31" t="inlineStr">
        <is>
          <t>Near 52W High Breakout</t>
        </is>
      </c>
      <c r="S15" s="31" t="inlineStr">
        <is>
          <t>Nifty 50</t>
        </is>
      </c>
      <c r="T15" s="32" t="n">
        <v>-2.54</v>
      </c>
      <c r="U15" s="32" t="n">
        <v>85.95</v>
      </c>
      <c r="V15" s="32" t="n">
        <v>90.8</v>
      </c>
      <c r="W15" s="32" t="n">
        <v>30.45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Between 50% to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IF(B16=0,"",RANK(B16,$B$2:$B$300,0))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PREMIERPOL</t>
        </is>
      </c>
      <c r="D16" s="31" t="inlineStr">
        <is>
          <t>Premier Polyfilm Limited</t>
        </is>
      </c>
      <c r="E16" s="31" t="inlineStr">
        <is>
          <t>plastic products</t>
        </is>
      </c>
      <c r="F16" s="31" t="inlineStr">
        <is>
          <t>plastics products</t>
        </is>
      </c>
      <c r="G16" s="31" t="inlineStr">
        <is>
          <t>smallcap</t>
        </is>
      </c>
      <c r="H16" s="32" t="n">
        <v>772.48</v>
      </c>
      <c r="I16" s="32" t="n">
        <v>73.75</v>
      </c>
      <c r="J16" s="32" t="n">
        <v>-5.59</v>
      </c>
      <c r="K16" s="32" t="n">
        <v>2859127</v>
      </c>
      <c r="L16" s="31" t="n">
        <v>69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67.59999999999999</v>
      </c>
      <c r="P16" s="32" t="n">
        <v>44.58</v>
      </c>
      <c r="Q16" s="32" t="n">
        <v>49.5</v>
      </c>
      <c r="R16" s="31" t="inlineStr">
        <is>
          <t>Volume Spike &amp; Near 52W High Breakout</t>
        </is>
      </c>
      <c r="S16" s="31" t="inlineStr">
        <is>
          <t>Nifty 50</t>
        </is>
      </c>
      <c r="T16" s="32" t="n">
        <v>-2.54</v>
      </c>
      <c r="U16" s="32" t="n">
        <v>35.4</v>
      </c>
      <c r="V16" s="32" t="n">
        <v>38.93</v>
      </c>
      <c r="W16" s="32" t="n">
        <v>15.37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Between 50% to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IF(B17=0,"",RANK(B17,$B$2:$B$300,0))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ASTERDM</t>
        </is>
      </c>
      <c r="D17" s="31" t="inlineStr">
        <is>
          <t>Aster DM Healthcare Ltd</t>
        </is>
      </c>
      <c r="E17" s="31" t="inlineStr">
        <is>
          <t>healthcare</t>
        </is>
      </c>
      <c r="F17" s="31" t="inlineStr">
        <is>
          <t>healthcare</t>
        </is>
      </c>
      <c r="G17" s="31" t="inlineStr">
        <is>
          <t>largecap</t>
        </is>
      </c>
      <c r="H17" s="32" t="n">
        <v>42480.74</v>
      </c>
      <c r="I17" s="32" t="n">
        <v>819.9</v>
      </c>
      <c r="J17" s="32" t="n">
        <v>0.96</v>
      </c>
      <c r="K17" s="32" t="n">
        <v>534608</v>
      </c>
      <c r="L17" s="31" t="n">
        <v>56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67.73999999999999</v>
      </c>
      <c r="P17" s="32" t="n">
        <v>47.8</v>
      </c>
      <c r="Q17" s="32" t="n">
        <v>669.7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13.51</v>
      </c>
      <c r="U17" s="32" t="n">
        <v>38.71</v>
      </c>
      <c r="V17" s="32" t="n">
        <v>22.2</v>
      </c>
      <c r="W17" s="32" t="n">
        <v>11.45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Between 1.5 to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IF(B18=0,"",RANK(B18,$B$2:$B$300,0))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CUPID</t>
        </is>
      </c>
      <c r="D18" s="31" t="inlineStr">
        <is>
          <t>Cupid Limited</t>
        </is>
      </c>
      <c r="E18" s="31" t="inlineStr">
        <is>
          <t>fmcg</t>
        </is>
      </c>
      <c r="F18" s="31" t="inlineStr">
        <is>
          <t>personal care - indian</t>
        </is>
      </c>
      <c r="G18" s="31" t="inlineStr">
        <is>
          <t>largecap</t>
        </is>
      </c>
      <c r="H18" s="32" t="n">
        <v>28880.62</v>
      </c>
      <c r="I18" s="32" t="n">
        <v>214.78</v>
      </c>
      <c r="J18" s="32" t="n">
        <v>0.85</v>
      </c>
      <c r="K18" s="32" t="n">
        <v>38003173</v>
      </c>
      <c r="L18" s="31" t="n">
        <v>99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88.89</v>
      </c>
      <c r="P18" s="32" t="n">
        <v>63.35</v>
      </c>
      <c r="Q18" s="32" t="n">
        <v>167.53</v>
      </c>
      <c r="R18" s="31" t="inlineStr">
        <is>
          <t>Volume Spike &amp; Near 52W High Breakout</t>
        </is>
      </c>
      <c r="S18" s="31" t="inlineStr">
        <is>
          <t>Nifty FMCG</t>
        </is>
      </c>
      <c r="T18" s="32" t="n">
        <v>-13.73</v>
      </c>
      <c r="U18" s="32" t="n">
        <v>631.6900000000001</v>
      </c>
      <c r="V18" s="32" t="n">
        <v>748.13</v>
      </c>
      <c r="W18" s="32" t="n">
        <v>76.51000000000001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B2C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Less than 50%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IF(B19=0,"",RANK(B19,$B$2:$B$300,0))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PGHL</t>
        </is>
      </c>
      <c r="D19" s="31" t="inlineStr">
        <is>
          <t>Procter &amp; Gamble Health Ltd</t>
        </is>
      </c>
      <c r="E19" s="31" t="inlineStr">
        <is>
          <t>healthcare</t>
        </is>
      </c>
      <c r="F19" s="31" t="inlineStr">
        <is>
          <t>pharmaceuticals - multinational</t>
        </is>
      </c>
      <c r="G19" s="31" t="inlineStr">
        <is>
          <t>midcap</t>
        </is>
      </c>
      <c r="H19" s="32" t="n">
        <v>11286.75</v>
      </c>
      <c r="I19" s="32" t="n">
        <v>6799.5</v>
      </c>
      <c r="J19" s="32" t="n">
        <v>-0.8</v>
      </c>
      <c r="K19" s="32" t="n">
        <v>6998</v>
      </c>
      <c r="L19" s="31" t="n">
        <v>58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80.2</v>
      </c>
      <c r="P19" s="32" t="n">
        <v>61.03</v>
      </c>
      <c r="Q19" s="32" t="n">
        <v>5846.33</v>
      </c>
      <c r="R19" s="31" t="inlineStr">
        <is>
          <t>Near 52W High Breakout</t>
        </is>
      </c>
      <c r="S19" s="31" t="inlineStr">
        <is>
          <t>Nifty Pharma</t>
        </is>
      </c>
      <c r="T19" s="32" t="n">
        <v>13.51</v>
      </c>
      <c r="U19" s="32" t="n">
        <v>20.32</v>
      </c>
      <c r="V19" s="32" t="n">
        <v>6</v>
      </c>
      <c r="W19" s="32" t="n">
        <v>12.05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IF(B20=0,"",RANK(B20,$B$2:$B$300,0))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PANACEABIO</t>
        </is>
      </c>
      <c r="D20" s="31" t="inlineStr">
        <is>
          <t>Panacea Biotec Limited</t>
        </is>
      </c>
      <c r="E20" s="31" t="inlineStr">
        <is>
          <t>healthcare</t>
        </is>
      </c>
      <c r="F20" s="31" t="inlineStr">
        <is>
          <t>pharmaceuticals - indian - bulk drugs &amp; formln</t>
        </is>
      </c>
      <c r="G20" s="31" t="inlineStr">
        <is>
          <t>smallcap</t>
        </is>
      </c>
      <c r="H20" s="32" t="n">
        <v>3361.75</v>
      </c>
      <c r="I20" s="32" t="n">
        <v>548.85</v>
      </c>
      <c r="J20" s="32" t="n">
        <v>-2.68</v>
      </c>
      <c r="K20" s="32" t="n">
        <v>217459</v>
      </c>
      <c r="L20" s="31" t="n">
        <v>75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74.31999999999999</v>
      </c>
      <c r="P20" s="32" t="n">
        <v>43.95</v>
      </c>
      <c r="Q20" s="32" t="n">
        <v>388.84</v>
      </c>
      <c r="R20" s="31" t="inlineStr">
        <is>
          <t>Near 52W High Breakout</t>
        </is>
      </c>
      <c r="S20" s="31" t="inlineStr">
        <is>
          <t>Nifty Pharma</t>
        </is>
      </c>
      <c r="T20" s="32" t="n">
        <v>13.51</v>
      </c>
      <c r="U20" s="32" t="n">
        <v>27.91</v>
      </c>
      <c r="V20" s="32" t="n">
        <v>12.68</v>
      </c>
      <c r="W20" s="32" t="n">
        <v>17.86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Less than 12%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IF(B21=0,"",RANK(B21,$B$2:$B$300,0))</f>
        <v/>
      </c>
      <c r="B21" s="32">
        <f>SUM(N21,Y21,AA21,AC21,AE21,AG21,AI21,AK21,AM21,AO21,AQ21,AS21,AU21,AW21,AY21,BA21,BC21,BE21,BG21,BI21,BK21,BM21,BO21,BQ21,BS21,BU21,BW21,BY21,CA21,CC21,CE21)</f>
        <v/>
      </c>
      <c r="C21" s="33" t="inlineStr">
        <is>
          <t>MARKSANS</t>
        </is>
      </c>
      <c r="D21" s="33" t="inlineStr">
        <is>
          <t>Marksans Pharma Limited</t>
        </is>
      </c>
      <c r="E21" s="31" t="inlineStr">
        <is>
          <t>healthcare</t>
        </is>
      </c>
      <c r="F21" s="31" t="inlineStr">
        <is>
          <t>pharmaceuticals - indian - formulations</t>
        </is>
      </c>
      <c r="G21" s="31" t="inlineStr">
        <is>
          <t>midcap</t>
        </is>
      </c>
      <c r="H21" s="32" t="n">
        <v>12104</v>
      </c>
      <c r="I21" s="32" t="n">
        <v>267.1</v>
      </c>
      <c r="J21" s="32" t="n">
        <v>-3</v>
      </c>
      <c r="K21" s="32" t="n">
        <v>1411635</v>
      </c>
      <c r="L21" s="31" t="n">
        <v>65</v>
      </c>
      <c r="M21" s="31" t="inlineStr">
        <is>
          <t>Underperforming</t>
        </is>
      </c>
      <c r="N21" s="32">
        <f>IF(M21="Underperforming",-5,IF(L21&gt;=95,15,IF(L21&gt;=90,10,IF(L21&gt;=80,5,0))))</f>
        <v/>
      </c>
      <c r="O21" s="32" t="n">
        <v>71.69</v>
      </c>
      <c r="P21" s="32" t="n">
        <v>47.29</v>
      </c>
      <c r="Q21" s="32" t="n">
        <v>211.9</v>
      </c>
      <c r="R21" s="31" t="inlineStr">
        <is>
          <t>Near 52W High Breakout</t>
        </is>
      </c>
      <c r="S21" s="31" t="inlineStr">
        <is>
          <t>Nifty Pharma</t>
        </is>
      </c>
      <c r="T21" s="32" t="n">
        <v>13.51</v>
      </c>
      <c r="U21" s="32" t="n">
        <v>4.81</v>
      </c>
      <c r="V21" s="32" t="n">
        <v>-7.67</v>
      </c>
      <c r="W21" s="32" t="n">
        <v>13.77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IF(B22=0,"",RANK(B22,$B$2:$B$300,0))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SKMEGGPROD</t>
        </is>
      </c>
      <c r="D22" s="31" t="inlineStr">
        <is>
          <t>Skm Egg Products Export (india) Limited</t>
        </is>
      </c>
      <c r="E22" s="31" t="inlineStr">
        <is>
          <t>fmcg</t>
        </is>
      </c>
      <c r="F22" s="31" t="inlineStr">
        <is>
          <t>food - processing - indian</t>
        </is>
      </c>
      <c r="G22" s="31" t="inlineStr">
        <is>
          <t>smallcap</t>
        </is>
      </c>
      <c r="H22" s="32" t="n">
        <v>1679.59</v>
      </c>
      <c r="I22" s="32" t="n">
        <v>318.95</v>
      </c>
      <c r="J22" s="32" t="n">
        <v>-3.7</v>
      </c>
      <c r="K22" s="32" t="n">
        <v>419688</v>
      </c>
      <c r="L22" s="31" t="n">
        <v>93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79.12</v>
      </c>
      <c r="P22" s="32" t="n">
        <v>40.24</v>
      </c>
      <c r="Q22" s="32" t="n">
        <v>228.92</v>
      </c>
      <c r="R22" s="31" t="inlineStr">
        <is>
          <t>Near 52W High Breakout</t>
        </is>
      </c>
      <c r="S22" s="31" t="inlineStr">
        <is>
          <t>Nifty FMCG</t>
        </is>
      </c>
      <c r="T22" s="32" t="n">
        <v>-13.73</v>
      </c>
      <c r="U22" s="32" t="n">
        <v>118.17</v>
      </c>
      <c r="V22" s="32" t="n">
        <v>152.89</v>
      </c>
      <c r="W22" s="32" t="n">
        <v>35.71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B2C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Less than 50%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IF(B23=0,"",RANK(B23,$B$2:$B$300,0))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RAMCOSYS</t>
        </is>
      </c>
      <c r="D23" s="31" t="inlineStr">
        <is>
          <t>Ramco Systems Limited</t>
        </is>
      </c>
      <c r="E23" s="31" t="inlineStr">
        <is>
          <t>i.t</t>
        </is>
      </c>
      <c r="F23" s="31" t="inlineStr">
        <is>
          <t>computers - software - medium / small</t>
        </is>
      </c>
      <c r="G23" s="31" t="inlineStr">
        <is>
          <t>smallcap</t>
        </is>
      </c>
      <c r="H23" s="32" t="n">
        <v>2951.99</v>
      </c>
      <c r="I23" s="32" t="n">
        <v>789.05</v>
      </c>
      <c r="J23" s="32" t="n">
        <v>-4.99</v>
      </c>
      <c r="K23" s="32" t="n">
        <v>988353</v>
      </c>
      <c r="L23" s="31" t="n">
        <v>94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73.7</v>
      </c>
      <c r="P23" s="32" t="n">
        <v>26.77</v>
      </c>
      <c r="Q23" s="32" t="n">
        <v>546.6900000000001</v>
      </c>
      <c r="R23" s="31" t="inlineStr">
        <is>
          <t>Near 52W High Breakout</t>
        </is>
      </c>
      <c r="S23" s="31" t="inlineStr">
        <is>
          <t>Nifty IT</t>
        </is>
      </c>
      <c r="T23" s="32" t="n">
        <v>-21.31</v>
      </c>
      <c r="U23" s="32" t="n">
        <v>99.33</v>
      </c>
      <c r="V23" s="32" t="n">
        <v>153.31</v>
      </c>
      <c r="W23" s="32" t="n">
        <v>36.14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IF(B24=0,"",RANK(B24,$B$2:$B$300,0))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ATHERENERG</t>
        </is>
      </c>
      <c r="D24" s="31" t="inlineStr">
        <is>
          <t>Ather Energy Ltd</t>
        </is>
      </c>
      <c r="E24" s="31" t="inlineStr">
        <is>
          <t>auto</t>
        </is>
      </c>
      <c r="F24" s="31" t="inlineStr">
        <is>
          <t>automobiles - scooters and 3 - wheelers</t>
        </is>
      </c>
      <c r="G24" s="31" t="inlineStr">
        <is>
          <t>largecap</t>
        </is>
      </c>
      <c r="H24" s="32" t="n">
        <v>49123.77</v>
      </c>
      <c r="I24" s="32" t="n">
        <v>1282.2</v>
      </c>
      <c r="J24" s="32" t="n">
        <v>1.19</v>
      </c>
      <c r="K24" s="32" t="n">
        <v>4135957</v>
      </c>
      <c r="L24" s="31" t="n">
        <v>97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79.54000000000001</v>
      </c>
      <c r="P24" s="32" t="n">
        <v>54.71</v>
      </c>
      <c r="Q24" s="32" t="n">
        <v>984.45</v>
      </c>
      <c r="R24" s="31" t="inlineStr">
        <is>
          <t>Volume Spike &amp; Near 52W High Breakout</t>
        </is>
      </c>
      <c r="S24" s="31" t="inlineStr">
        <is>
          <t>Nifty Auto</t>
        </is>
      </c>
      <c r="T24" s="32" t="n">
        <v>13.41</v>
      </c>
      <c r="U24" s="32" t="n">
        <v>275.68</v>
      </c>
      <c r="V24" s="32" t="n">
        <v>231.25</v>
      </c>
      <c r="W24" s="32" t="n">
        <v>46.25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Negative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IF(B25=0,"",RANK(B25,$B$2:$B$300,0))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THANGAMAYL</t>
        </is>
      </c>
      <c r="D25" s="31" t="inlineStr">
        <is>
          <t>Thangamayil Jewellery Limited</t>
        </is>
      </c>
      <c r="E25" s="31" t="inlineStr">
        <is>
          <t>consumer discretionary</t>
        </is>
      </c>
      <c r="F25" s="31" t="inlineStr">
        <is>
          <t>diamond cutting / jewellery</t>
        </is>
      </c>
      <c r="G25" s="31" t="inlineStr">
        <is>
          <t>largecap</t>
        </is>
      </c>
      <c r="H25" s="32" t="n">
        <v>20004.39</v>
      </c>
      <c r="I25" s="32" t="n">
        <v>6436</v>
      </c>
      <c r="J25" s="32" t="n">
        <v>0.93</v>
      </c>
      <c r="K25" s="32" t="n">
        <v>189280</v>
      </c>
      <c r="L25" s="31" t="n">
        <v>96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75.84999999999999</v>
      </c>
      <c r="P25" s="32" t="n">
        <v>47.66</v>
      </c>
      <c r="Q25" s="32" t="n">
        <v>4863.41</v>
      </c>
      <c r="R25" s="31" t="inlineStr">
        <is>
          <t>Near 52W High Breakout</t>
        </is>
      </c>
      <c r="S25" s="31" t="inlineStr">
        <is>
          <t>Nifty 50</t>
        </is>
      </c>
      <c r="T25" s="32" t="n">
        <v>-2.54</v>
      </c>
      <c r="U25" s="32" t="n">
        <v>242.67</v>
      </c>
      <c r="V25" s="32" t="n">
        <v>251.6</v>
      </c>
      <c r="W25" s="32" t="n">
        <v>42.77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Between 50% to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IF(B26=0,"",RANK(B26,$B$2:$B$300,0))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RPEL</t>
        </is>
      </c>
      <c r="D26" s="31" t="inlineStr">
        <is>
          <t>Raghav Productivity Enhancers Ltd</t>
        </is>
      </c>
      <c r="E26" s="31" t="inlineStr">
        <is>
          <t>building materials</t>
        </is>
      </c>
      <c r="F26" s="31" t="inlineStr">
        <is>
          <t>refractories / intermediates</t>
        </is>
      </c>
      <c r="G26" s="31" t="inlineStr">
        <is>
          <t>midcap</t>
        </is>
      </c>
      <c r="H26" s="32" t="n">
        <v>6033.23</v>
      </c>
      <c r="I26" s="32" t="n">
        <v>1313.8</v>
      </c>
      <c r="J26" s="32" t="n">
        <v>0.8</v>
      </c>
      <c r="K26" s="32" t="n">
        <v>74982</v>
      </c>
      <c r="L26" s="31" t="n">
        <v>93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79.27</v>
      </c>
      <c r="P26" s="32" t="n">
        <v>39.88</v>
      </c>
      <c r="Q26" s="32" t="n">
        <v>1022.87</v>
      </c>
      <c r="R26" s="31" t="inlineStr">
        <is>
          <t>Near 52W High Breakout</t>
        </is>
      </c>
      <c r="S26" s="31" t="inlineStr">
        <is>
          <t>Nifty Infra</t>
        </is>
      </c>
      <c r="T26" s="32" t="n">
        <v>1.74</v>
      </c>
      <c r="U26" s="32" t="n">
        <v>89.84999999999999</v>
      </c>
      <c r="V26" s="32" t="n">
        <v>86.59999999999999</v>
      </c>
      <c r="W26" s="32" t="n">
        <v>35.04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IF(B27=0,"",RANK(B27,$B$2:$B$300,0))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BUTTERFLY</t>
        </is>
      </c>
      <c r="D27" s="31" t="inlineStr">
        <is>
          <t>Butterfly Gandhimathi Appliances Limited</t>
        </is>
      </c>
      <c r="E27" s="31" t="inlineStr">
        <is>
          <t>consumer discretionary</t>
        </is>
      </c>
      <c r="F27" s="31" t="inlineStr">
        <is>
          <t>domestic appliances</t>
        </is>
      </c>
      <c r="G27" s="31" t="inlineStr">
        <is>
          <t>smallcap</t>
        </is>
      </c>
      <c r="H27" s="32" t="n">
        <v>1387.36</v>
      </c>
      <c r="I27" s="32" t="n">
        <v>775.95</v>
      </c>
      <c r="J27" s="32" t="n">
        <v>0.58</v>
      </c>
      <c r="K27" s="32" t="n">
        <v>39581</v>
      </c>
      <c r="L27" s="31" t="n">
        <v>33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67.95</v>
      </c>
      <c r="P27" s="32" t="n">
        <v>38.01</v>
      </c>
      <c r="Q27" s="32" t="n">
        <v>602.9400000000001</v>
      </c>
      <c r="R27" s="31" t="inlineStr">
        <is>
          <t>Near 52W High Breakout</t>
        </is>
      </c>
      <c r="S27" s="31" t="inlineStr">
        <is>
          <t>Nifty 50</t>
        </is>
      </c>
      <c r="T27" s="32" t="n">
        <v>-2.54</v>
      </c>
      <c r="U27" s="32" t="n">
        <v>4.08</v>
      </c>
      <c r="V27" s="32" t="n">
        <v>6.79</v>
      </c>
      <c r="W27" s="32" t="n">
        <v>6.43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IF(B28=0,"",RANK(B28,$B$2:$B$300,0))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GRWRHITECH</t>
        </is>
      </c>
      <c r="D28" s="31" t="inlineStr">
        <is>
          <t>Garware Hi Tech Films Ltd</t>
        </is>
      </c>
      <c r="E28" s="31" t="inlineStr">
        <is>
          <t>industrials</t>
        </is>
      </c>
      <c r="F28" s="31" t="inlineStr">
        <is>
          <t>packaging</t>
        </is>
      </c>
      <c r="G28" s="31" t="inlineStr">
        <is>
          <t>midcap</t>
        </is>
      </c>
      <c r="H28" s="32" t="n">
        <v>16194.14</v>
      </c>
      <c r="I28" s="32" t="n">
        <v>6970.5</v>
      </c>
      <c r="J28" s="32" t="n">
        <v>0.5600000000000001</v>
      </c>
      <c r="K28" s="32" t="n">
        <v>44738</v>
      </c>
      <c r="L28" s="31" t="n">
        <v>91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77.8</v>
      </c>
      <c r="P28" s="32" t="n">
        <v>48.41</v>
      </c>
      <c r="Q28" s="32" t="n">
        <v>5340.15</v>
      </c>
      <c r="R28" s="31" t="inlineStr">
        <is>
          <t>Near 52W High Breakout</t>
        </is>
      </c>
      <c r="S28" s="31" t="inlineStr">
        <is>
          <t>Nifty 50</t>
        </is>
      </c>
      <c r="T28" s="32" t="n">
        <v>-2.54</v>
      </c>
      <c r="U28" s="32" t="n">
        <v>88.7</v>
      </c>
      <c r="V28" s="32" t="n">
        <v>93.62</v>
      </c>
      <c r="W28" s="32" t="n">
        <v>32.97</v>
      </c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Between 50% to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IF(B29=0,"",RANK(B29,$B$2:$B$300,0))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HITECHCORP</t>
        </is>
      </c>
      <c r="D29" s="31" t="inlineStr">
        <is>
          <t>Hitech Corporation</t>
        </is>
      </c>
      <c r="E29" s="31" t="inlineStr">
        <is>
          <t>industrials</t>
        </is>
      </c>
      <c r="F29" s="31" t="inlineStr">
        <is>
          <t>packaging</t>
        </is>
      </c>
      <c r="G29" s="31" t="inlineStr">
        <is>
          <t>smallcap</t>
        </is>
      </c>
      <c r="H29" s="32" t="n">
        <v>553.4</v>
      </c>
      <c r="I29" s="32" t="n">
        <v>322.2</v>
      </c>
      <c r="J29" s="32" t="n">
        <v>0.31</v>
      </c>
      <c r="K29" s="32" t="n">
        <v>9086</v>
      </c>
      <c r="L29" s="31" t="n">
        <v>96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81.06999999999999</v>
      </c>
      <c r="P29" s="32" t="n">
        <v>45.36</v>
      </c>
      <c r="Q29" s="32" t="n">
        <v>249.61</v>
      </c>
      <c r="R29" s="31" t="inlineStr">
        <is>
          <t>Near 52W High Breakout</t>
        </is>
      </c>
      <c r="S29" s="31" t="inlineStr">
        <is>
          <t>Nifty 50</t>
        </is>
      </c>
      <c r="T29" s="32" t="n">
        <v>-2.54</v>
      </c>
      <c r="U29" s="32" t="n">
        <v>52.93</v>
      </c>
      <c r="V29" s="32" t="n">
        <v>56.91</v>
      </c>
      <c r="W29" s="32" t="n">
        <v>42.21</v>
      </c>
      <c r="X29" s="31" t="inlineStr">
        <is>
          <t>Cyclical in an Upturn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Between 50% to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IF(B30=0,"",RANK(B30,$B$2:$B$300,0))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CENTENKA</t>
        </is>
      </c>
      <c r="D30" s="31" t="inlineStr">
        <is>
          <t>Century Enka Limited</t>
        </is>
      </c>
      <c r="E30" s="31" t="inlineStr">
        <is>
          <t>textiles</t>
        </is>
      </c>
      <c r="F30" s="31" t="inlineStr">
        <is>
          <t>textiles - manmade</t>
        </is>
      </c>
      <c r="G30" s="31" t="inlineStr">
        <is>
          <t>smallcap</t>
        </is>
      </c>
      <c r="H30" s="32" t="n">
        <v>1182.99</v>
      </c>
      <c r="I30" s="32" t="n">
        <v>541.4</v>
      </c>
      <c r="J30" s="32" t="n">
        <v>-0.43</v>
      </c>
      <c r="K30" s="32" t="n">
        <v>38212</v>
      </c>
      <c r="L30" s="31" t="n">
        <v>34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62.67</v>
      </c>
      <c r="P30" s="32" t="n">
        <v>48.37</v>
      </c>
      <c r="Q30" s="32" t="n">
        <v>409.28</v>
      </c>
      <c r="R30" s="31" t="inlineStr">
        <is>
          <t>Volume Spike &amp; Near 52W High Breakout</t>
        </is>
      </c>
      <c r="S30" s="31" t="inlineStr">
        <is>
          <t>Nifty 50</t>
        </is>
      </c>
      <c r="T30" s="32" t="n">
        <v>-2.54</v>
      </c>
      <c r="U30" s="32" t="n">
        <v>7.21</v>
      </c>
      <c r="V30" s="32" t="n">
        <v>10</v>
      </c>
      <c r="W30" s="32" t="n">
        <v>6.77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IF(B31=0,"",RANK(B31,$B$2:$B$300,0))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QUESS</t>
        </is>
      </c>
      <c r="D31" s="31" t="inlineStr">
        <is>
          <t>Quess Corp Limited</t>
        </is>
      </c>
      <c r="E31" s="31" t="inlineStr">
        <is>
          <t>miscellaneous</t>
        </is>
      </c>
      <c r="F31" s="31" t="inlineStr">
        <is>
          <t>diversified - large</t>
        </is>
      </c>
      <c r="G31" s="31" t="inlineStr">
        <is>
          <t>smallcap</t>
        </is>
      </c>
      <c r="H31" s="32" t="n">
        <v>4345.62</v>
      </c>
      <c r="I31" s="32" t="n">
        <v>290.95</v>
      </c>
      <c r="J31" s="32" t="n">
        <v>-0.87</v>
      </c>
      <c r="K31" s="32" t="n">
        <v>258245</v>
      </c>
      <c r="L31" s="31" t="n">
        <v>60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72.51000000000001</v>
      </c>
      <c r="P31" s="32" t="n">
        <v>34.88</v>
      </c>
      <c r="Q31" s="32" t="n">
        <v>228.51</v>
      </c>
      <c r="R31" s="31" t="inlineStr">
        <is>
          <t>Near 52W High Breakout</t>
        </is>
      </c>
      <c r="S31" s="31" t="inlineStr">
        <is>
          <t>Nifty 50</t>
        </is>
      </c>
      <c r="T31" s="32" t="n">
        <v>-2.54</v>
      </c>
      <c r="U31" s="32" t="n">
        <v>-1.43</v>
      </c>
      <c r="V31" s="32" t="n">
        <v>1.14</v>
      </c>
      <c r="W31" s="32" t="n">
        <v>12.26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IF(B32=0,"",RANK(B32,$B$2:$B$300,0))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SANSERA</t>
        </is>
      </c>
      <c r="D32" s="31" t="inlineStr">
        <is>
          <t>Sansera Engineering Ltd</t>
        </is>
      </c>
      <c r="E32" s="31" t="inlineStr">
        <is>
          <t>auto</t>
        </is>
      </c>
      <c r="F32" s="31" t="inlineStr">
        <is>
          <t>auto ancillaries</t>
        </is>
      </c>
      <c r="G32" s="31" t="inlineStr">
        <is>
          <t>largecap</t>
        </is>
      </c>
      <c r="H32" s="32" t="n">
        <v>20086.46</v>
      </c>
      <c r="I32" s="32" t="n">
        <v>3218.8</v>
      </c>
      <c r="J32" s="32" t="n">
        <v>-1.03</v>
      </c>
      <c r="K32" s="32" t="n">
        <v>246308</v>
      </c>
      <c r="L32" s="31" t="n">
        <v>87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74.87</v>
      </c>
      <c r="P32" s="32" t="n">
        <v>49.84</v>
      </c>
      <c r="Q32" s="32" t="n">
        <v>2635.28</v>
      </c>
      <c r="R32" s="31" t="inlineStr">
        <is>
          <t>Near 52W High Breakout</t>
        </is>
      </c>
      <c r="S32" s="31" t="inlineStr">
        <is>
          <t>Nifty Auto</t>
        </is>
      </c>
      <c r="T32" s="32" t="n">
        <v>13.41</v>
      </c>
      <c r="U32" s="32" t="n">
        <v>137.65</v>
      </c>
      <c r="V32" s="32" t="n">
        <v>109.54</v>
      </c>
      <c r="W32" s="32" t="n">
        <v>26.81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Between 50% to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IF(B33=0,"",RANK(B33,$B$2:$B$300,0))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SIS</t>
        </is>
      </c>
      <c r="D33" s="31" t="inlineStr">
        <is>
          <t>Security &amp; Intelligence Services India</t>
        </is>
      </c>
      <c r="E33" s="31" t="inlineStr">
        <is>
          <t>miscellaneous</t>
        </is>
      </c>
      <c r="F33" s="31" t="inlineStr">
        <is>
          <t>miscellaneous</t>
        </is>
      </c>
      <c r="G33" s="31" t="inlineStr">
        <is>
          <t>midcap</t>
        </is>
      </c>
      <c r="H33" s="32" t="n">
        <v>6125.56</v>
      </c>
      <c r="I33" s="32" t="n">
        <v>433.6</v>
      </c>
      <c r="J33" s="32" t="n">
        <v>-1.51</v>
      </c>
      <c r="K33" s="32" t="n">
        <v>172589</v>
      </c>
      <c r="L33" s="31" t="n">
        <v>54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73.23999999999999</v>
      </c>
      <c r="P33" s="32" t="n">
        <v>52.61</v>
      </c>
      <c r="Q33" s="32" t="n">
        <v>346.16</v>
      </c>
      <c r="R33" s="31" t="inlineStr">
        <is>
          <t>Near 52W High Breakout</t>
        </is>
      </c>
      <c r="S33" s="31" t="inlineStr">
        <is>
          <t>Nifty 50</t>
        </is>
      </c>
      <c r="T33" s="32" t="n">
        <v>-2.54</v>
      </c>
      <c r="U33" s="32" t="n">
        <v>16.05</v>
      </c>
      <c r="V33" s="32" t="n">
        <v>19.07</v>
      </c>
      <c r="W33" s="32" t="n">
        <v>10.9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Between 0.7 to 1.2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IF(B34=0,"",RANK(B34,$B$2:$B$300,0))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PLASTIBLEN</t>
        </is>
      </c>
      <c r="D34" s="31" t="inlineStr">
        <is>
          <t>Plastiblends India Limited</t>
        </is>
      </c>
      <c r="E34" s="31" t="inlineStr">
        <is>
          <t>chemicals</t>
        </is>
      </c>
      <c r="F34" s="31" t="inlineStr">
        <is>
          <t>chemicals</t>
        </is>
      </c>
      <c r="G34" s="31" t="inlineStr">
        <is>
          <t>smallcap</t>
        </is>
      </c>
      <c r="H34" s="32" t="n">
        <v>516.0700000000001</v>
      </c>
      <c r="I34" s="32" t="n">
        <v>198.57</v>
      </c>
      <c r="J34" s="32" t="n">
        <v>-1.86</v>
      </c>
      <c r="K34" s="32" t="n">
        <v>110376</v>
      </c>
      <c r="L34" s="31" t="n">
        <v>34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70.77</v>
      </c>
      <c r="P34" s="32" t="n">
        <v>20.9</v>
      </c>
      <c r="Q34" s="32" t="n">
        <v>155.81</v>
      </c>
      <c r="R34" s="31" t="inlineStr">
        <is>
          <t>Volume Spike &amp; Near 52W High Breakout</t>
        </is>
      </c>
      <c r="S34" s="31" t="inlineStr">
        <is>
          <t>Nifty 50</t>
        </is>
      </c>
      <c r="T34" s="32" t="n">
        <v>-2.54</v>
      </c>
      <c r="U34" s="32" t="n">
        <v>-0.91</v>
      </c>
      <c r="V34" s="32" t="n">
        <v>1.67</v>
      </c>
      <c r="W34" s="32" t="n">
        <v>6.74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IF(B35=0,"",RANK(B35,$B$2:$B$300,0))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BAFNAPH</t>
        </is>
      </c>
      <c r="D35" s="31" t="inlineStr">
        <is>
          <t>Bafna Pharmaceuticals Ltd</t>
        </is>
      </c>
      <c r="E35" s="31" t="inlineStr">
        <is>
          <t>healthcare</t>
        </is>
      </c>
      <c r="F35" s="31" t="inlineStr">
        <is>
          <t>pharmaceuticals - indian - formulations</t>
        </is>
      </c>
      <c r="G35" s="31" t="inlineStr">
        <is>
          <t>smallcap</t>
        </is>
      </c>
      <c r="H35" s="32" t="n">
        <v>534.35</v>
      </c>
      <c r="I35" s="32" t="n">
        <v>225.88</v>
      </c>
      <c r="J35" s="32" t="n">
        <v>2</v>
      </c>
      <c r="K35" s="32" t="n">
        <v>5824</v>
      </c>
      <c r="L35" s="31" t="n">
        <v>94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70.8</v>
      </c>
      <c r="P35" s="32" t="n">
        <v>38.53</v>
      </c>
      <c r="Q35" s="32" t="n">
        <v>160.37</v>
      </c>
      <c r="R35" s="31" t="inlineStr">
        <is>
          <t>Near 52W High Breakout</t>
        </is>
      </c>
      <c r="S35" s="31" t="inlineStr">
        <is>
          <t>Nifty Pharma</t>
        </is>
      </c>
      <c r="T35" s="32" t="n">
        <v>13.51</v>
      </c>
      <c r="U35" s="32" t="n">
        <v>154.17</v>
      </c>
      <c r="V35" s="32" t="n">
        <v>123.92</v>
      </c>
      <c r="W35" s="32" t="n">
        <v>36.79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IF(B36=0,"",RANK(B36,$B$2:$B$300,0))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IZMO</t>
        </is>
      </c>
      <c r="D36" s="31" t="inlineStr">
        <is>
          <t>Izmo Limited</t>
        </is>
      </c>
      <c r="E36" s="31" t="inlineStr">
        <is>
          <t>i.t</t>
        </is>
      </c>
      <c r="F36" s="31" t="inlineStr">
        <is>
          <t>computers - software - medium / small</t>
        </is>
      </c>
      <c r="G36" s="31" t="inlineStr">
        <is>
          <t>smallcap</t>
        </is>
      </c>
      <c r="H36" s="32" t="n">
        <v>1681.79</v>
      </c>
      <c r="I36" s="32" t="n">
        <v>1124</v>
      </c>
      <c r="J36" s="32" t="n">
        <v>0.4</v>
      </c>
      <c r="K36" s="32" t="n">
        <v>233254</v>
      </c>
      <c r="L36" s="31" t="n">
        <v>96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68.17</v>
      </c>
      <c r="P36" s="32" t="n">
        <v>29.63</v>
      </c>
      <c r="Q36" s="32" t="n">
        <v>787.49</v>
      </c>
      <c r="R36" s="31" t="inlineStr">
        <is>
          <t>Volume Spike / Accumulation</t>
        </is>
      </c>
      <c r="S36" s="31" t="inlineStr">
        <is>
          <t>Nifty IT</t>
        </is>
      </c>
      <c r="T36" s="32" t="n">
        <v>-21.31</v>
      </c>
      <c r="U36" s="32" t="n">
        <v>166.41</v>
      </c>
      <c r="V36" s="32" t="n">
        <v>238.57</v>
      </c>
      <c r="W36" s="32" t="n">
        <v>39.66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Less than 50%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IF(B37=0,"",RANK(B37,$B$2:$B$300,0))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NINSYS</t>
        </is>
      </c>
      <c r="D37" s="31" t="inlineStr">
        <is>
          <t>NINtec Systems Ltd</t>
        </is>
      </c>
      <c r="E37" s="31" t="inlineStr">
        <is>
          <t>i.t</t>
        </is>
      </c>
      <c r="F37" s="31" t="inlineStr">
        <is>
          <t>computers - software - medium / small</t>
        </is>
      </c>
      <c r="G37" s="31" t="inlineStr">
        <is>
          <t>smallcap</t>
        </is>
      </c>
      <c r="H37" s="32" t="n">
        <v>1659.95</v>
      </c>
      <c r="I37" s="32" t="n">
        <v>893.6</v>
      </c>
      <c r="J37" s="32" t="n">
        <v>0.01</v>
      </c>
      <c r="K37" s="32" t="n">
        <v>3162</v>
      </c>
      <c r="L37" s="31" t="n">
        <v>95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86.86</v>
      </c>
      <c r="P37" s="32" t="n">
        <v>66.42</v>
      </c>
      <c r="Q37" s="32" t="n">
        <v>689.16</v>
      </c>
      <c r="R37" s="31" t="inlineStr">
        <is>
          <t>Near 52W High Breakout</t>
        </is>
      </c>
      <c r="S37" s="31" t="inlineStr">
        <is>
          <t>Nifty IT</t>
        </is>
      </c>
      <c r="T37" s="32" t="n">
        <v>-21.31</v>
      </c>
      <c r="U37" s="32" t="n">
        <v>95.73</v>
      </c>
      <c r="V37" s="32" t="n">
        <v>148.74</v>
      </c>
      <c r="W37" s="32" t="n">
        <v>38.5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Between 12 to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Between 50% to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IF(B38=0,"",RANK(B38,$B$2:$B$300,0))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KOPRAN</t>
        </is>
      </c>
      <c r="D38" s="31" t="inlineStr">
        <is>
          <t>Kopran Limited</t>
        </is>
      </c>
      <c r="E38" s="31" t="inlineStr">
        <is>
          <t>healthcare</t>
        </is>
      </c>
      <c r="F38" s="31" t="inlineStr">
        <is>
          <t>pharmaceuticals - indian - bulk drugs &amp; formln</t>
        </is>
      </c>
      <c r="G38" s="31" t="inlineStr">
        <is>
          <t>smallcap</t>
        </is>
      </c>
      <c r="H38" s="32" t="n">
        <v>983.24</v>
      </c>
      <c r="I38" s="32" t="n">
        <v>203.63</v>
      </c>
      <c r="J38" s="32" t="n">
        <v>0</v>
      </c>
      <c r="K38" s="32" t="n">
        <v>101492</v>
      </c>
      <c r="L38" s="31" t="n">
        <v>48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65.17</v>
      </c>
      <c r="P38" s="32" t="n">
        <v>35.38</v>
      </c>
      <c r="Q38" s="32" t="n">
        <v>147.59</v>
      </c>
      <c r="R38" s="31" t="inlineStr">
        <is>
          <t>Near 52W High Breakout</t>
        </is>
      </c>
      <c r="S38" s="31" t="inlineStr">
        <is>
          <t>Nifty Pharma</t>
        </is>
      </c>
      <c r="T38" s="32" t="n">
        <v>13.51</v>
      </c>
      <c r="U38" s="32" t="n">
        <v>16.41</v>
      </c>
      <c r="V38" s="32" t="n">
        <v>2.55</v>
      </c>
      <c r="W38" s="32" t="n">
        <v>9.550000000000001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IF(B39=0,"",RANK(B39,$B$2:$B$300,0))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VADILALIND</t>
        </is>
      </c>
      <c r="D39" s="31" t="inlineStr">
        <is>
          <t>Vadilal Industries Limited</t>
        </is>
      </c>
      <c r="E39" s="31" t="inlineStr">
        <is>
          <t>fmcg</t>
        </is>
      </c>
      <c r="F39" s="31" t="inlineStr">
        <is>
          <t>food - processing - indian</t>
        </is>
      </c>
      <c r="G39" s="31" t="inlineStr">
        <is>
          <t>smallcap</t>
        </is>
      </c>
      <c r="H39" s="32" t="n">
        <v>4827.35</v>
      </c>
      <c r="I39" s="32" t="n">
        <v>6716</v>
      </c>
      <c r="J39" s="32" t="n">
        <v>-0.97</v>
      </c>
      <c r="K39" s="32" t="n">
        <v>11816</v>
      </c>
      <c r="L39" s="31" t="n">
        <v>72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72.66</v>
      </c>
      <c r="P39" s="32" t="n">
        <v>25.82</v>
      </c>
      <c r="Q39" s="32" t="n">
        <v>5314.41</v>
      </c>
      <c r="R39" s="31" t="inlineStr">
        <is>
          <t>Near 52W High Breakout</t>
        </is>
      </c>
      <c r="S39" s="31" t="inlineStr">
        <is>
          <t>Nifty FMCG</t>
        </is>
      </c>
      <c r="T39" s="32" t="n">
        <v>-13.73</v>
      </c>
      <c r="U39" s="32" t="n">
        <v>26.81</v>
      </c>
      <c r="V39" s="32" t="n">
        <v>46.99</v>
      </c>
      <c r="W39" s="32" t="n">
        <v>15.98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B2C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Between 50% to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IF(B40=0,"",RANK(B40,$B$2:$B$300,0))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GRANULES</t>
        </is>
      </c>
      <c r="D40" s="31" t="inlineStr">
        <is>
          <t>Granules India Limited</t>
        </is>
      </c>
      <c r="E40" s="31" t="inlineStr">
        <is>
          <t>healthcare</t>
        </is>
      </c>
      <c r="F40" s="31" t="inlineStr">
        <is>
          <t>pharmaceuticals - indian - bulk drugs &amp; formln</t>
        </is>
      </c>
      <c r="G40" s="31" t="inlineStr">
        <is>
          <t>largecap</t>
        </is>
      </c>
      <c r="H40" s="32" t="n">
        <v>21825.95</v>
      </c>
      <c r="I40" s="32" t="n">
        <v>880.8</v>
      </c>
      <c r="J40" s="32" t="n">
        <v>-2.49</v>
      </c>
      <c r="K40" s="32" t="n">
        <v>1699258</v>
      </c>
      <c r="L40" s="31" t="n">
        <v>79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76.31</v>
      </c>
      <c r="P40" s="32" t="n">
        <v>47.75</v>
      </c>
      <c r="Q40" s="32" t="n">
        <v>747.03</v>
      </c>
      <c r="R40" s="31" t="inlineStr">
        <is>
          <t>Near 52W High Breakout</t>
        </is>
      </c>
      <c r="S40" s="31" t="inlineStr">
        <is>
          <t>Nifty Pharma</t>
        </is>
      </c>
      <c r="T40" s="32" t="n">
        <v>13.51</v>
      </c>
      <c r="U40" s="32" t="n">
        <v>78.06999999999999</v>
      </c>
      <c r="V40" s="32" t="n">
        <v>56.88</v>
      </c>
      <c r="W40" s="32" t="n">
        <v>19.73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Between 50% to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IF(B41=0,"",RANK(B41,$B$2:$B$300,0))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KANORICHEM</t>
        </is>
      </c>
      <c r="D41" s="31" t="inlineStr">
        <is>
          <t>Kanoria Chemicals &amp; Industries Limited</t>
        </is>
      </c>
      <c r="E41" s="31" t="inlineStr">
        <is>
          <t>chemicals</t>
        </is>
      </c>
      <c r="F41" s="31" t="inlineStr">
        <is>
          <t>chemicals</t>
        </is>
      </c>
      <c r="G41" s="31" t="inlineStr">
        <is>
          <t>smallcap</t>
        </is>
      </c>
      <c r="H41" s="32" t="n">
        <v>618.87</v>
      </c>
      <c r="I41" s="32" t="n">
        <v>141.64</v>
      </c>
      <c r="J41" s="32" t="n">
        <v>4.9</v>
      </c>
      <c r="K41" s="32" t="n">
        <v>83961</v>
      </c>
      <c r="L41" s="31" t="n">
        <v>89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78.15000000000001</v>
      </c>
      <c r="P41" s="32" t="n">
        <v>41.26</v>
      </c>
      <c r="Q41" s="32" t="n">
        <v>105.27</v>
      </c>
      <c r="R41" s="31" t="inlineStr">
        <is>
          <t>Near 52W High Breakout</t>
        </is>
      </c>
      <c r="S41" s="31" t="inlineStr">
        <is>
          <t>Nifty 50</t>
        </is>
      </c>
      <c r="T41" s="32" t="n">
        <v>-2.54</v>
      </c>
      <c r="U41" s="32" t="n">
        <v>56.04</v>
      </c>
      <c r="V41" s="32" t="n">
        <v>60.11</v>
      </c>
      <c r="W41" s="32" t="n">
        <v>30.26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IF(B42=0,"",RANK(B42,$B$2:$B$300,0))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BHAGYANGR</t>
        </is>
      </c>
      <c r="D42" s="31" t="inlineStr">
        <is>
          <t>Bhagyanagar India</t>
        </is>
      </c>
      <c r="E42" s="31" t="inlineStr">
        <is>
          <t>power &amp; utilities</t>
        </is>
      </c>
      <c r="F42" s="31" t="inlineStr">
        <is>
          <t>power generation and supply</t>
        </is>
      </c>
      <c r="G42" s="31" t="inlineStr">
        <is>
          <t>smallcap</t>
        </is>
      </c>
      <c r="H42" s="32" t="n">
        <v>1283.16</v>
      </c>
      <c r="I42" s="32" t="n">
        <v>401.05</v>
      </c>
      <c r="J42" s="32" t="n">
        <v>2.85</v>
      </c>
      <c r="K42" s="32" t="n">
        <v>125914</v>
      </c>
      <c r="L42" s="31" t="n">
        <v>98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78.72</v>
      </c>
      <c r="P42" s="32" t="n">
        <v>70.3</v>
      </c>
      <c r="Q42" s="32" t="n">
        <v>278.64</v>
      </c>
      <c r="R42" s="31" t="inlineStr">
        <is>
          <t>Near 52W High Breakout</t>
        </is>
      </c>
      <c r="S42" s="31" t="inlineStr">
        <is>
          <t>Nifty IT</t>
        </is>
      </c>
      <c r="T42" s="32" t="n">
        <v>-21.31</v>
      </c>
      <c r="U42" s="32" t="n">
        <v>276.89</v>
      </c>
      <c r="V42" s="32" t="n">
        <v>378.96</v>
      </c>
      <c r="W42" s="32" t="n">
        <v>53.46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Between 50% to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Between 0.7 to 1.2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IF(B43=0,"",RANK(B43,$B$2:$B$300,0))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HSCL</t>
        </is>
      </c>
      <c r="D43" s="31" t="inlineStr">
        <is>
          <t>Himadri Speciality Chemical Limited</t>
        </is>
      </c>
      <c r="E43" s="31" t="inlineStr">
        <is>
          <t>chemicals</t>
        </is>
      </c>
      <c r="F43" s="31" t="inlineStr">
        <is>
          <t>chemicals</t>
        </is>
      </c>
      <c r="G43" s="31" t="inlineStr">
        <is>
          <t>largecap</t>
        </is>
      </c>
      <c r="H43" s="32" t="n">
        <v>37414.28</v>
      </c>
      <c r="I43" s="32" t="n">
        <v>741.55</v>
      </c>
      <c r="J43" s="32" t="n">
        <v>2.66</v>
      </c>
      <c r="K43" s="32" t="n">
        <v>18316544</v>
      </c>
      <c r="L43" s="31" t="n">
        <v>79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74.55</v>
      </c>
      <c r="P43" s="32" t="n">
        <v>39.25</v>
      </c>
      <c r="Q43" s="32" t="n">
        <v>569.38</v>
      </c>
      <c r="R43" s="31" t="inlineStr">
        <is>
          <t>Near 52W High Breakout</t>
        </is>
      </c>
      <c r="S43" s="31" t="inlineStr">
        <is>
          <t>Nifty 50</t>
        </is>
      </c>
      <c r="T43" s="32" t="n">
        <v>-2.54</v>
      </c>
      <c r="U43" s="32" t="n">
        <v>44.48</v>
      </c>
      <c r="V43" s="32" t="n">
        <v>48.25</v>
      </c>
      <c r="W43" s="32" t="n">
        <v>19.54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Between 1.5 to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IF(B44=0,"",RANK(B44,$B$2:$B$300,0))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TALBROAUTO</t>
        </is>
      </c>
      <c r="D44" s="31" t="inlineStr">
        <is>
          <t>Talbros Automotive Components Limited</t>
        </is>
      </c>
      <c r="E44" s="31" t="inlineStr">
        <is>
          <t>auto</t>
        </is>
      </c>
      <c r="F44" s="31" t="inlineStr">
        <is>
          <t>auto ancillaries</t>
        </is>
      </c>
      <c r="G44" s="31" t="inlineStr">
        <is>
          <t>smallcap</t>
        </is>
      </c>
      <c r="H44" s="32" t="n">
        <v>2500.61</v>
      </c>
      <c r="I44" s="32" t="n">
        <v>405.1</v>
      </c>
      <c r="J44" s="32" t="n">
        <v>1.49</v>
      </c>
      <c r="K44" s="32" t="n">
        <v>141816</v>
      </c>
      <c r="L44" s="31" t="n">
        <v>76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73.73999999999999</v>
      </c>
      <c r="P44" s="32" t="n">
        <v>37.68</v>
      </c>
      <c r="Q44" s="32" t="n">
        <v>313.37</v>
      </c>
      <c r="R44" s="31" t="inlineStr">
        <is>
          <t>Near 52W High Breakout</t>
        </is>
      </c>
      <c r="S44" s="31" t="inlineStr">
        <is>
          <t>Nifty Auto</t>
        </is>
      </c>
      <c r="T44" s="32" t="n">
        <v>13.41</v>
      </c>
      <c r="U44" s="32" t="n">
        <v>41.36</v>
      </c>
      <c r="V44" s="32" t="n">
        <v>24.64</v>
      </c>
      <c r="W44" s="32" t="n">
        <v>18.13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Between 12 to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Between 50% to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IF(B45=0,"",RANK(B45,$B$2:$B$300,0))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CEMPRO</t>
        </is>
      </c>
      <c r="D45" s="31" t="inlineStr">
        <is>
          <t>Cemindia Projects Ltd</t>
        </is>
      </c>
      <c r="E45" s="31" t="inlineStr">
        <is>
          <t>realty</t>
        </is>
      </c>
      <c r="F45" s="31" t="inlineStr">
        <is>
          <t>construction</t>
        </is>
      </c>
      <c r="G45" s="31" t="inlineStr">
        <is>
          <t>largecap</t>
        </is>
      </c>
      <c r="H45" s="32" t="n">
        <v>27743.69</v>
      </c>
      <c r="I45" s="32" t="n">
        <v>1615</v>
      </c>
      <c r="J45" s="32" t="n">
        <v>0.74</v>
      </c>
      <c r="K45" s="32" t="n">
        <v>687137</v>
      </c>
      <c r="L45" s="31" t="n">
        <v>98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84.44</v>
      </c>
      <c r="P45" s="32" t="n">
        <v>51.36</v>
      </c>
      <c r="Q45" s="32" t="n">
        <v>1275.46</v>
      </c>
      <c r="R45" s="31" t="inlineStr">
        <is>
          <t>Near 52W High Breakout</t>
        </is>
      </c>
      <c r="S45" s="31" t="inlineStr">
        <is>
          <t>Nifty Realty</t>
        </is>
      </c>
      <c r="T45" s="32" t="n">
        <v>-8.119999999999999</v>
      </c>
      <c r="U45" s="32" t="n">
        <v>100.87</v>
      </c>
      <c r="V45" s="32" t="n">
        <v>118.63</v>
      </c>
      <c r="W45" s="32" t="n">
        <v>55.75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Less than 50%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IF(B46=0,"",RANK(B46,$B$2:$B$300,0))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STOVEKRAFT</t>
        </is>
      </c>
      <c r="D46" s="31" t="inlineStr">
        <is>
          <t>Stove Kraft Ltd</t>
        </is>
      </c>
      <c r="E46" s="31" t="inlineStr">
        <is>
          <t>consumer discretionary</t>
        </is>
      </c>
      <c r="F46" s="31" t="inlineStr">
        <is>
          <t>domestic appliances</t>
        </is>
      </c>
      <c r="G46" s="31" t="inlineStr">
        <is>
          <t>smallcap</t>
        </is>
      </c>
      <c r="H46" s="32" t="n">
        <v>2560.02</v>
      </c>
      <c r="I46" s="32" t="n">
        <v>773.25</v>
      </c>
      <c r="J46" s="32" t="n">
        <v>-0.55</v>
      </c>
      <c r="K46" s="32" t="n">
        <v>90497</v>
      </c>
      <c r="L46" s="31" t="n">
        <v>67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71.79000000000001</v>
      </c>
      <c r="P46" s="32" t="n">
        <v>40.65</v>
      </c>
      <c r="Q46" s="32" t="n">
        <v>627.11</v>
      </c>
      <c r="R46" s="31" t="inlineStr">
        <is>
          <t>Near 52W High Breakout</t>
        </is>
      </c>
      <c r="S46" s="31" t="inlineStr">
        <is>
          <t>Nifty 50</t>
        </is>
      </c>
      <c r="T46" s="32" t="n">
        <v>-2.54</v>
      </c>
      <c r="U46" s="32" t="n">
        <v>26.14</v>
      </c>
      <c r="V46" s="32" t="n">
        <v>29.43</v>
      </c>
      <c r="W46" s="32" t="n">
        <v>14.71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IF(B47=0,"",RANK(B47,$B$2:$B$300,0))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HAPPYFORGE</t>
        </is>
      </c>
      <c r="D47" s="31" t="inlineStr">
        <is>
          <t>Happy Forgings Ltd</t>
        </is>
      </c>
      <c r="E47" s="31" t="inlineStr">
        <is>
          <t>industrials</t>
        </is>
      </c>
      <c r="F47" s="31" t="inlineStr">
        <is>
          <t>castings &amp; forgings</t>
        </is>
      </c>
      <c r="G47" s="31" t="inlineStr">
        <is>
          <t>midcap</t>
        </is>
      </c>
      <c r="H47" s="32" t="n">
        <v>15056.24</v>
      </c>
      <c r="I47" s="32" t="n">
        <v>1595.3</v>
      </c>
      <c r="J47" s="32" t="n">
        <v>-0.85</v>
      </c>
      <c r="K47" s="32" t="n">
        <v>73219</v>
      </c>
      <c r="L47" s="31" t="n">
        <v>70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71.66</v>
      </c>
      <c r="P47" s="32" t="n">
        <v>43.75</v>
      </c>
      <c r="Q47" s="32" t="n">
        <v>1280.39</v>
      </c>
      <c r="R47" s="31" t="inlineStr">
        <is>
          <t>Near 52W High Breakout</t>
        </is>
      </c>
      <c r="S47" s="31" t="inlineStr">
        <is>
          <t>Nifty 50</t>
        </is>
      </c>
      <c r="T47" s="32" t="n">
        <v>-2.54</v>
      </c>
      <c r="U47" s="32" t="n">
        <v>70.2</v>
      </c>
      <c r="V47" s="32" t="n">
        <v>74.63</v>
      </c>
      <c r="W47" s="32" t="n">
        <v>15.45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IF(B48=0,"",RANK(B48,$B$2:$B$300,0))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GHCLTEXTIL</t>
        </is>
      </c>
      <c r="D48" s="31" t="inlineStr">
        <is>
          <t>GHCL Textiles Ltd</t>
        </is>
      </c>
      <c r="E48" s="31" t="inlineStr">
        <is>
          <t>textiles</t>
        </is>
      </c>
      <c r="F48" s="31" t="inlineStr">
        <is>
          <t>textiles - spinning - synthetic / blended</t>
        </is>
      </c>
      <c r="G48" s="31" t="inlineStr">
        <is>
          <t>smallcap</t>
        </is>
      </c>
      <c r="H48" s="32" t="n">
        <v>1086.81</v>
      </c>
      <c r="I48" s="32" t="n">
        <v>113.7</v>
      </c>
      <c r="J48" s="32" t="n">
        <v>-0.95</v>
      </c>
      <c r="K48" s="32" t="n">
        <v>464717</v>
      </c>
      <c r="L48" s="31" t="n">
        <v>55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70.91</v>
      </c>
      <c r="P48" s="32" t="n">
        <v>23.61</v>
      </c>
      <c r="Q48" s="32" t="n">
        <v>87.45999999999999</v>
      </c>
      <c r="R48" s="31" t="inlineStr">
        <is>
          <t>Near 52W High Breakout</t>
        </is>
      </c>
      <c r="S48" s="31" t="inlineStr">
        <is>
          <t>Nifty 50</t>
        </is>
      </c>
      <c r="T48" s="32" t="n">
        <v>-2.54</v>
      </c>
      <c r="U48" s="32" t="n">
        <v>22.51</v>
      </c>
      <c r="V48" s="32" t="n">
        <v>25.7</v>
      </c>
      <c r="W48" s="32" t="n">
        <v>11.2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Less than 50%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IF(B49=0,"",RANK(B49,$B$2:$B$300,0))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GNA</t>
        </is>
      </c>
      <c r="D49" s="31" t="inlineStr">
        <is>
          <t>Gna Axles Limited</t>
        </is>
      </c>
      <c r="E49" s="31" t="inlineStr">
        <is>
          <t>auto</t>
        </is>
      </c>
      <c r="F49" s="31" t="inlineStr">
        <is>
          <t>auto ancillaries</t>
        </is>
      </c>
      <c r="G49" s="31" t="inlineStr">
        <is>
          <t>smallcap</t>
        </is>
      </c>
      <c r="H49" s="32" t="n">
        <v>2434.39</v>
      </c>
      <c r="I49" s="32" t="n">
        <v>567.05</v>
      </c>
      <c r="J49" s="32" t="n">
        <v>-4.21</v>
      </c>
      <c r="K49" s="32" t="n">
        <v>2577839</v>
      </c>
      <c r="L49" s="31" t="n">
        <v>76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76.94</v>
      </c>
      <c r="P49" s="32" t="n">
        <v>23.52</v>
      </c>
      <c r="Q49" s="32" t="n">
        <v>426.22</v>
      </c>
      <c r="R49" s="31" t="inlineStr">
        <is>
          <t>Volume Spike &amp; Near 52W High Breakout</t>
        </is>
      </c>
      <c r="S49" s="31" t="inlineStr">
        <is>
          <t>Nifty Auto</t>
        </is>
      </c>
      <c r="T49" s="32" t="n">
        <v>13.41</v>
      </c>
      <c r="U49" s="32" t="n">
        <v>68.69</v>
      </c>
      <c r="V49" s="32" t="n">
        <v>48.74</v>
      </c>
      <c r="W49" s="32" t="n">
        <v>18.24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IF(B50=0,"",RANK(B50,$B$2:$B$300,0))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HESTERBIO</t>
        </is>
      </c>
      <c r="D50" s="31" t="inlineStr">
        <is>
          <t>Hester Biosciences Limited</t>
        </is>
      </c>
      <c r="E50" s="31" t="inlineStr">
        <is>
          <t>healthcare</t>
        </is>
      </c>
      <c r="F50" s="31" t="inlineStr">
        <is>
          <t>pharmaceuticals - indian - formulations</t>
        </is>
      </c>
      <c r="G50" s="31" t="inlineStr">
        <is>
          <t>smallcap</t>
        </is>
      </c>
      <c r="H50" s="32" t="n">
        <v>2082.31</v>
      </c>
      <c r="I50" s="32" t="n">
        <v>2447.8</v>
      </c>
      <c r="J50" s="32" t="n">
        <v>0.42</v>
      </c>
      <c r="K50" s="32" t="n">
        <v>16908</v>
      </c>
      <c r="L50" s="31" t="n">
        <v>81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76.26000000000001</v>
      </c>
      <c r="P50" s="32" t="n">
        <v>45.92</v>
      </c>
      <c r="Q50" s="32" t="n">
        <v>1870.97</v>
      </c>
      <c r="R50" s="31" t="inlineStr">
        <is>
          <t>Volume Spike &amp; Near 52W High Breakout</t>
        </is>
      </c>
      <c r="S50" s="31" t="inlineStr">
        <is>
          <t>Nifty Pharma</t>
        </is>
      </c>
      <c r="T50" s="32" t="n">
        <v>13.51</v>
      </c>
      <c r="U50" s="32" t="n">
        <v>27.96</v>
      </c>
      <c r="V50" s="32" t="n">
        <v>12.73</v>
      </c>
      <c r="W50" s="32" t="n">
        <v>21.16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IF(B51=0,"",RANK(B51,$B$2:$B$300,0))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SUBEXLTD</t>
        </is>
      </c>
      <c r="D51" s="31" t="inlineStr">
        <is>
          <t>Subex Ltd</t>
        </is>
      </c>
      <c r="E51" s="31" t="inlineStr">
        <is>
          <t>i.t</t>
        </is>
      </c>
      <c r="F51" s="31" t="inlineStr">
        <is>
          <t>computers - software - medium / small</t>
        </is>
      </c>
      <c r="G51" s="31" t="inlineStr">
        <is>
          <t>smallcap</t>
        </is>
      </c>
      <c r="H51" s="32" t="n">
        <v>745.78</v>
      </c>
      <c r="I51" s="32" t="n">
        <v>13.27</v>
      </c>
      <c r="J51" s="32" t="n">
        <v>-0.45</v>
      </c>
      <c r="K51" s="32" t="n">
        <v>649643</v>
      </c>
      <c r="L51" s="31" t="n">
        <v>40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63.85</v>
      </c>
      <c r="P51" s="32" t="n">
        <v>20.19</v>
      </c>
      <c r="Q51" s="32" t="n">
        <v>9.33</v>
      </c>
      <c r="R51" s="31" t="inlineStr">
        <is>
          <t>Near 52W High Breakout</t>
        </is>
      </c>
      <c r="S51" s="31" t="inlineStr">
        <is>
          <t>Nifty IT</t>
        </is>
      </c>
      <c r="T51" s="32" t="n">
        <v>-21.31</v>
      </c>
      <c r="U51" s="32" t="n">
        <v>-5.69</v>
      </c>
      <c r="V51" s="32" t="n">
        <v>19.86</v>
      </c>
      <c r="W51" s="32" t="n">
        <v>7.77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IF(B52=0,"",RANK(B52,$B$2:$B$300,0))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SHILPAMED</t>
        </is>
      </c>
      <c r="D52" s="31" t="inlineStr">
        <is>
          <t>Shilpa Medicare Limited</t>
        </is>
      </c>
      <c r="E52" s="31" t="inlineStr">
        <is>
          <t>healthcare</t>
        </is>
      </c>
      <c r="F52" s="31" t="inlineStr">
        <is>
          <t>pharmaceuticals - indian - formulations</t>
        </is>
      </c>
      <c r="G52" s="31" t="inlineStr">
        <is>
          <t>midcap</t>
        </is>
      </c>
      <c r="H52" s="32" t="n">
        <v>12130.96</v>
      </c>
      <c r="I52" s="32" t="n">
        <v>620.25</v>
      </c>
      <c r="J52" s="32" t="n">
        <v>-2.76</v>
      </c>
      <c r="K52" s="32" t="n">
        <v>484523</v>
      </c>
      <c r="L52" s="31" t="n">
        <v>81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83.03</v>
      </c>
      <c r="P52" s="32" t="n">
        <v>65.23</v>
      </c>
      <c r="Q52" s="32" t="n">
        <v>495.49</v>
      </c>
      <c r="R52" s="31" t="inlineStr">
        <is>
          <t>Near 52W High Breakout</t>
        </is>
      </c>
      <c r="S52" s="31" t="inlineStr">
        <is>
          <t>Nifty Pharma</t>
        </is>
      </c>
      <c r="T52" s="32" t="n">
        <v>13.51</v>
      </c>
      <c r="U52" s="32" t="n">
        <v>35.63</v>
      </c>
      <c r="V52" s="32" t="n">
        <v>19.49</v>
      </c>
      <c r="W52" s="32" t="n">
        <v>20.53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IF(B53=0,"",RANK(B53,$B$2:$B$300,0))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RUBYMILLS</t>
        </is>
      </c>
      <c r="D53" s="31" t="inlineStr">
        <is>
          <t>The Ruby Mills Limited</t>
        </is>
      </c>
      <c r="E53" s="31" t="inlineStr">
        <is>
          <t>textiles</t>
        </is>
      </c>
      <c r="F53" s="31" t="inlineStr">
        <is>
          <t>textiles - composite</t>
        </is>
      </c>
      <c r="G53" s="31" t="inlineStr">
        <is>
          <t>smallcap</t>
        </is>
      </c>
      <c r="H53" s="32" t="n">
        <v>1383.08</v>
      </c>
      <c r="I53" s="32" t="n">
        <v>413.6</v>
      </c>
      <c r="J53" s="32" t="n">
        <v>3.16</v>
      </c>
      <c r="K53" s="32" t="n">
        <v>66281</v>
      </c>
      <c r="L53" s="31" t="n">
        <v>89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81.67</v>
      </c>
      <c r="P53" s="32" t="n">
        <v>50.43</v>
      </c>
      <c r="Q53" s="32" t="n">
        <v>316.32</v>
      </c>
      <c r="R53" s="31" t="inlineStr">
        <is>
          <t>Near 52W High Breakout</t>
        </is>
      </c>
      <c r="S53" s="31" t="inlineStr">
        <is>
          <t>Nifty 50</t>
        </is>
      </c>
      <c r="T53" s="32" t="n">
        <v>-2.54</v>
      </c>
      <c r="U53" s="32" t="n">
        <v>67.65000000000001</v>
      </c>
      <c r="V53" s="32" t="n">
        <v>72.02</v>
      </c>
      <c r="W53" s="32" t="n">
        <v>28.89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Less than 12%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IF(B54=0,"",RANK(B54,$B$2:$B$300,0))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ADOR</t>
        </is>
      </c>
      <c r="D54" s="31" t="inlineStr">
        <is>
          <t>Ador Welding Ltd</t>
        </is>
      </c>
      <c r="E54" s="31" t="inlineStr">
        <is>
          <t>industrials</t>
        </is>
      </c>
      <c r="F54" s="31" t="inlineStr">
        <is>
          <t>electrodes - welding equipment</t>
        </is>
      </c>
      <c r="G54" s="31" t="inlineStr">
        <is>
          <t>smallcap</t>
        </is>
      </c>
      <c r="H54" s="32" t="n">
        <v>2408.72</v>
      </c>
      <c r="I54" s="32" t="n">
        <v>1384.1</v>
      </c>
      <c r="J54" s="32" t="n">
        <v>2.31</v>
      </c>
      <c r="K54" s="32" t="n">
        <v>70837</v>
      </c>
      <c r="L54" s="31" t="n">
        <v>66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77.84999999999999</v>
      </c>
      <c r="P54" s="32" t="n">
        <v>33.72</v>
      </c>
      <c r="Q54" s="32" t="n">
        <v>1122.52</v>
      </c>
      <c r="R54" s="31" t="inlineStr">
        <is>
          <t>Volume Spike &amp; Near 52W High Breakout</t>
        </is>
      </c>
      <c r="S54" s="31" t="inlineStr">
        <is>
          <t>Nifty Infra</t>
        </is>
      </c>
      <c r="T54" s="32" t="n">
        <v>1.74</v>
      </c>
      <c r="U54" s="32" t="n">
        <v>26.64</v>
      </c>
      <c r="V54" s="32" t="n">
        <v>24.47</v>
      </c>
      <c r="W54" s="32" t="n">
        <v>14.24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IF(B55=0,"",RANK(B55,$B$2:$B$300,0))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INDNIPPON</t>
        </is>
      </c>
      <c r="D55" s="31" t="inlineStr">
        <is>
          <t>India Nippon Electricals Limited</t>
        </is>
      </c>
      <c r="E55" s="31" t="inlineStr">
        <is>
          <t>auto</t>
        </is>
      </c>
      <c r="F55" s="31" t="inlineStr">
        <is>
          <t>auto ancillaries</t>
        </is>
      </c>
      <c r="G55" s="31" t="inlineStr">
        <is>
          <t>smallcap</t>
        </is>
      </c>
      <c r="H55" s="32" t="n">
        <v>2744.88</v>
      </c>
      <c r="I55" s="32" t="n">
        <v>1213.4</v>
      </c>
      <c r="J55" s="32" t="n">
        <v>0.61</v>
      </c>
      <c r="K55" s="32" t="n">
        <v>98894</v>
      </c>
      <c r="L55" s="31" t="n">
        <v>85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77.8</v>
      </c>
      <c r="P55" s="32" t="n">
        <v>27.86</v>
      </c>
      <c r="Q55" s="32" t="n">
        <v>980.6799999999999</v>
      </c>
      <c r="R55" s="31" t="inlineStr">
        <is>
          <t>Near 52W High Breakout</t>
        </is>
      </c>
      <c r="S55" s="31" t="inlineStr">
        <is>
          <t>Nifty Auto</t>
        </is>
      </c>
      <c r="T55" s="32" t="n">
        <v>13.41</v>
      </c>
      <c r="U55" s="32" t="n">
        <v>58.64</v>
      </c>
      <c r="V55" s="32" t="n">
        <v>39.88</v>
      </c>
      <c r="W55" s="32" t="n">
        <v>23.7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Less than 50%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IF(B56=0,"",RANK(B56,$B$2:$B$300,0))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SIGNPOST</t>
        </is>
      </c>
      <c r="D56" s="31" t="inlineStr">
        <is>
          <t>Signpost India Ltd</t>
        </is>
      </c>
      <c r="E56" s="31" t="inlineStr">
        <is>
          <t>miscellaneous</t>
        </is>
      </c>
      <c r="F56" s="31" t="inlineStr">
        <is>
          <t>miscellaneous</t>
        </is>
      </c>
      <c r="G56" s="31" t="inlineStr">
        <is>
          <t>smallcap</t>
        </is>
      </c>
      <c r="H56" s="32" t="n">
        <v>1747.28</v>
      </c>
      <c r="I56" s="32" t="n">
        <v>326.9</v>
      </c>
      <c r="J56" s="32" t="n">
        <v>0.45</v>
      </c>
      <c r="K56" s="32" t="n">
        <v>210762</v>
      </c>
      <c r="L56" s="31" t="n">
        <v>65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67.51000000000001</v>
      </c>
      <c r="P56" s="32" t="n">
        <v>31.84</v>
      </c>
      <c r="Q56" s="32" t="n">
        <v>229.91</v>
      </c>
      <c r="R56" s="31" t="inlineStr">
        <is>
          <t>Near 52W High Breakout</t>
        </is>
      </c>
      <c r="S56" s="31" t="inlineStr">
        <is>
          <t>Nifty 50</t>
        </is>
      </c>
      <c r="T56" s="32" t="n">
        <v>-2.54</v>
      </c>
      <c r="U56" s="32" t="n">
        <v>37.87</v>
      </c>
      <c r="V56" s="32" t="n">
        <v>41.47</v>
      </c>
      <c r="W56" s="32" t="n">
        <v>13.94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Less than 50%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IF(B57=0,"",RANK(B57,$B$2:$B$300,0))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SOLARINDS</t>
        </is>
      </c>
      <c r="D57" s="31" t="inlineStr">
        <is>
          <t>Solar Industries India Limited</t>
        </is>
      </c>
      <c r="E57" s="31" t="inlineStr">
        <is>
          <t>aerospace &amp; defence</t>
        </is>
      </c>
      <c r="F57" s="31" t="inlineStr">
        <is>
          <t>chemicals</t>
        </is>
      </c>
      <c r="G57" s="31" t="inlineStr">
        <is>
          <t>largecap</t>
        </is>
      </c>
      <c r="H57" s="32" t="n">
        <v>167107.98</v>
      </c>
      <c r="I57" s="32" t="n">
        <v>18467</v>
      </c>
      <c r="J57" s="32" t="n">
        <v>0.36</v>
      </c>
      <c r="K57" s="32" t="n">
        <v>96644</v>
      </c>
      <c r="L57" s="31" t="n">
        <v>49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65.14</v>
      </c>
      <c r="P57" s="32" t="n">
        <v>38.57</v>
      </c>
      <c r="Q57" s="32" t="n">
        <v>14885.52</v>
      </c>
      <c r="R57" s="31" t="inlineStr">
        <is>
          <t>Near 52W High Breakout</t>
        </is>
      </c>
      <c r="S57" s="31" t="inlineStr">
        <is>
          <t>Nifty 50</t>
        </is>
      </c>
      <c r="T57" s="32" t="n">
        <v>-2.54</v>
      </c>
      <c r="U57" s="32" t="n">
        <v>23.89</v>
      </c>
      <c r="V57" s="32" t="n">
        <v>27.12</v>
      </c>
      <c r="W57" s="32" t="n">
        <v>9.59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Less than 50%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IF(B58=0,"",RANK(B58,$B$2:$B$300,0))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ASTRAMICRO</t>
        </is>
      </c>
      <c r="D58" s="31" t="inlineStr">
        <is>
          <t>Astra Microwave Products Limited</t>
        </is>
      </c>
      <c r="E58" s="31" t="inlineStr">
        <is>
          <t>aerospace &amp; defence</t>
        </is>
      </c>
      <c r="F58" s="31" t="inlineStr">
        <is>
          <t>telecommunications - equipment</t>
        </is>
      </c>
      <c r="G58" s="31" t="inlineStr">
        <is>
          <t>midcap</t>
        </is>
      </c>
      <c r="H58" s="32" t="n">
        <v>16338.14</v>
      </c>
      <c r="I58" s="32" t="n">
        <v>1720.8</v>
      </c>
      <c r="J58" s="32" t="n">
        <v>-0.05</v>
      </c>
      <c r="K58" s="32" t="n">
        <v>272683</v>
      </c>
      <c r="L58" s="31" t="n">
        <v>86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74.17</v>
      </c>
      <c r="P58" s="32" t="n">
        <v>50.99</v>
      </c>
      <c r="Q58" s="32" t="n">
        <v>1482.27</v>
      </c>
      <c r="R58" s="31" t="inlineStr">
        <is>
          <t>Earnings / Momentum Support</t>
        </is>
      </c>
      <c r="S58" s="31" t="inlineStr">
        <is>
          <t>Nifty 50</t>
        </is>
      </c>
      <c r="T58" s="32" t="n">
        <v>-2.54</v>
      </c>
      <c r="U58" s="32" t="n">
        <v>77.95999999999999</v>
      </c>
      <c r="V58" s="32" t="n">
        <v>82.59</v>
      </c>
      <c r="W58" s="32" t="n">
        <v>25.98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Oligopoly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Between 1.5 to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IF(B59=0,"",RANK(B59,$B$2:$B$300,0))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NRL</t>
        </is>
      </c>
      <c r="D59" s="31" t="inlineStr">
        <is>
          <t>Nupur Recyclers Ltd</t>
        </is>
      </c>
      <c r="E59" s="31" t="inlineStr">
        <is>
          <t>services</t>
        </is>
      </c>
      <c r="F59" s="31" t="inlineStr">
        <is>
          <t>trading</t>
        </is>
      </c>
      <c r="G59" s="31" t="inlineStr">
        <is>
          <t>smallcap</t>
        </is>
      </c>
      <c r="H59" s="32" t="n">
        <v>744.84</v>
      </c>
      <c r="I59" s="32" t="n">
        <v>107.84</v>
      </c>
      <c r="J59" s="32" t="n">
        <v>-0.06</v>
      </c>
      <c r="K59" s="32" t="n">
        <v>104598</v>
      </c>
      <c r="L59" s="31" t="n">
        <v>91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85.47</v>
      </c>
      <c r="P59" s="32" t="n">
        <v>36.11</v>
      </c>
      <c r="Q59" s="32" t="n">
        <v>85.95999999999999</v>
      </c>
      <c r="R59" s="31" t="inlineStr">
        <is>
          <t>Near 52W High Breakout</t>
        </is>
      </c>
      <c r="S59" s="31" t="inlineStr">
        <is>
          <t>Nifty 50</t>
        </is>
      </c>
      <c r="T59" s="32" t="n">
        <v>-2.54</v>
      </c>
      <c r="U59" s="32" t="n">
        <v>39.09</v>
      </c>
      <c r="V59" s="32" t="n">
        <v>42.72</v>
      </c>
      <c r="W59" s="32" t="n">
        <v>31.61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Between 1.5 to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IF(B60=0,"",RANK(B60,$B$2:$B$300,0))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SPORTKING</t>
        </is>
      </c>
      <c r="D60" s="31" t="inlineStr">
        <is>
          <t>Sportking India Ltd</t>
        </is>
      </c>
      <c r="E60" s="31" t="inlineStr">
        <is>
          <t>textiles</t>
        </is>
      </c>
      <c r="F60" s="31" t="inlineStr">
        <is>
          <t>textiles - spinning - synthetic / blended</t>
        </is>
      </c>
      <c r="G60" s="31" t="inlineStr">
        <is>
          <t>smallcap</t>
        </is>
      </c>
      <c r="H60" s="32" t="n">
        <v>2505.99</v>
      </c>
      <c r="I60" s="32" t="n">
        <v>197.21</v>
      </c>
      <c r="J60" s="32" t="n">
        <v>-0.65</v>
      </c>
      <c r="K60" s="32" t="n">
        <v>311698</v>
      </c>
      <c r="L60" s="31" t="n">
        <v>83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81.43000000000001</v>
      </c>
      <c r="P60" s="32" t="n">
        <v>66.34999999999999</v>
      </c>
      <c r="Q60" s="32" t="n">
        <v>146.28</v>
      </c>
      <c r="R60" s="31" t="inlineStr">
        <is>
          <t>Volume Spike &amp; Near 52W High Breakout</t>
        </is>
      </c>
      <c r="S60" s="31" t="inlineStr">
        <is>
          <t>Nifty 50</t>
        </is>
      </c>
      <c r="T60" s="32" t="n">
        <v>-2.54</v>
      </c>
      <c r="U60" s="32" t="n">
        <v>49.61</v>
      </c>
      <c r="V60" s="32" t="n">
        <v>53.51</v>
      </c>
      <c r="W60" s="32" t="n">
        <v>21.66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Less than 12%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IF(B61=0,"",RANK(B61,$B$2:$B$300,0))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PRIVISCL</t>
        </is>
      </c>
      <c r="D61" s="31" t="inlineStr">
        <is>
          <t>Privi Speciality Chemicals Ltd</t>
        </is>
      </c>
      <c r="E61" s="31" t="inlineStr">
        <is>
          <t>chemicals</t>
        </is>
      </c>
      <c r="F61" s="31" t="inlineStr">
        <is>
          <t>chemicals</t>
        </is>
      </c>
      <c r="G61" s="31" t="inlineStr">
        <is>
          <t>midcap</t>
        </is>
      </c>
      <c r="H61" s="32" t="n">
        <v>14361.4</v>
      </c>
      <c r="I61" s="32" t="n">
        <v>3676.5</v>
      </c>
      <c r="J61" s="32" t="n">
        <v>-0.97</v>
      </c>
      <c r="K61" s="32" t="n">
        <v>48352</v>
      </c>
      <c r="L61" s="31" t="n">
        <v>60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66.42</v>
      </c>
      <c r="P61" s="32" t="n">
        <v>26.67</v>
      </c>
      <c r="Q61" s="32" t="n">
        <v>3038.12</v>
      </c>
      <c r="R61" s="31" t="inlineStr">
        <is>
          <t>Near 52W High Breakout</t>
        </is>
      </c>
      <c r="S61" s="31" t="inlineStr">
        <is>
          <t>Nifty 50</t>
        </is>
      </c>
      <c r="T61" s="32" t="n">
        <v>-2.54</v>
      </c>
      <c r="U61" s="32" t="n">
        <v>50.36</v>
      </c>
      <c r="V61" s="32" t="n">
        <v>54.28</v>
      </c>
      <c r="W61" s="32" t="n">
        <v>12.28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Between 0.7 to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IF(B62=0,"",RANK(B62,$B$2:$B$300,0))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KMEW</t>
        </is>
      </c>
      <c r="D62" s="31" t="inlineStr">
        <is>
          <t>Knowledge Marine &amp; Engineering Works Ltd</t>
        </is>
      </c>
      <c r="E62" s="31" t="inlineStr">
        <is>
          <t>transportation</t>
        </is>
      </c>
      <c r="F62" s="31" t="inlineStr">
        <is>
          <t>miscellaneous</t>
        </is>
      </c>
      <c r="G62" s="31" t="inlineStr">
        <is>
          <t>midcap</t>
        </is>
      </c>
      <c r="H62" s="32" t="n">
        <v>5878.56</v>
      </c>
      <c r="I62" s="32" t="n">
        <v>2404.9</v>
      </c>
      <c r="J62" s="32" t="n">
        <v>-1.09</v>
      </c>
      <c r="K62" s="32" t="n">
        <v>55466</v>
      </c>
      <c r="L62" s="31" t="n">
        <v>90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70.31999999999999</v>
      </c>
      <c r="P62" s="32" t="n">
        <v>44.1</v>
      </c>
      <c r="Q62" s="32" t="n">
        <v>1711.35</v>
      </c>
      <c r="R62" s="31" t="inlineStr">
        <is>
          <t>Near 52W High Breakout</t>
        </is>
      </c>
      <c r="S62" s="31" t="inlineStr">
        <is>
          <t>Nifty 50</t>
        </is>
      </c>
      <c r="T62" s="32" t="n">
        <v>-2.54</v>
      </c>
      <c r="U62" s="32" t="n">
        <v>163.45</v>
      </c>
      <c r="V62" s="32" t="n">
        <v>170.31</v>
      </c>
      <c r="W62" s="32" t="n">
        <v>31.41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Negative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IF(B63=0,"",RANK(B63,$B$2:$B$300,0))</f>
        <v/>
      </c>
      <c r="B63" s="32">
        <f>SUM(N63,Y63,AA63,AC63,AE63,AG63,AI63,AK63,AM63,AO63,AQ63,AS63,AU63,AW63,AY63,BA63,BC63,BE63,BG63,BI63,BK63,BM63,BO63,BQ63,BS63,BU63,BW63,BY63,CA63,CC63,CE63)</f>
        <v/>
      </c>
      <c r="C63" s="33" t="inlineStr">
        <is>
          <t>GREENPLY</t>
        </is>
      </c>
      <c r="D63" s="33" t="inlineStr">
        <is>
          <t>Greenply Industries Limited</t>
        </is>
      </c>
      <c r="E63" s="31" t="inlineStr">
        <is>
          <t>building materials</t>
        </is>
      </c>
      <c r="F63" s="31" t="inlineStr">
        <is>
          <t>miscellaneous</t>
        </is>
      </c>
      <c r="G63" s="31" t="inlineStr">
        <is>
          <t>smallcap</t>
        </is>
      </c>
      <c r="H63" s="32" t="n">
        <v>3938.79</v>
      </c>
      <c r="I63" s="32" t="n">
        <v>315.35</v>
      </c>
      <c r="J63" s="32" t="n">
        <v>-1.51</v>
      </c>
      <c r="K63" s="32" t="n">
        <v>289590</v>
      </c>
      <c r="L63" s="31" t="n">
        <v>39</v>
      </c>
      <c r="M63" s="31" t="inlineStr">
        <is>
          <t>Underperforming</t>
        </is>
      </c>
      <c r="N63" s="32">
        <f>IF(M63="Underperforming",-5,IF(L63&gt;=95,15,IF(L63&gt;=90,10,IF(L63&gt;=80,5,0))))</f>
        <v/>
      </c>
      <c r="O63" s="32" t="n">
        <v>67.38</v>
      </c>
      <c r="P63" s="32" t="n">
        <v>28.22</v>
      </c>
      <c r="Q63" s="32" t="n">
        <v>246.32</v>
      </c>
      <c r="R63" s="31" t="inlineStr">
        <is>
          <t>Near 52W High Breakout</t>
        </is>
      </c>
      <c r="S63" s="31" t="inlineStr">
        <is>
          <t>Nifty Infra</t>
        </is>
      </c>
      <c r="T63" s="32" t="n">
        <v>1.74</v>
      </c>
      <c r="U63" s="32" t="n">
        <v>-4.23</v>
      </c>
      <c r="V63" s="32" t="n">
        <v>-5.87</v>
      </c>
      <c r="W63" s="32" t="n">
        <v>7.57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IF(B64=0,"",RANK(B64,$B$2:$B$300,0))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FILATEX</t>
        </is>
      </c>
      <c r="D64" s="31" t="inlineStr">
        <is>
          <t>Filatex India Limited</t>
        </is>
      </c>
      <c r="E64" s="31" t="inlineStr">
        <is>
          <t>textiles</t>
        </is>
      </c>
      <c r="F64" s="31" t="inlineStr">
        <is>
          <t>textiles - manmade</t>
        </is>
      </c>
      <c r="G64" s="31" t="inlineStr">
        <is>
          <t>smallcap</t>
        </is>
      </c>
      <c r="H64" s="32" t="n">
        <v>3178.13</v>
      </c>
      <c r="I64" s="32" t="n">
        <v>71.56999999999999</v>
      </c>
      <c r="J64" s="32" t="n">
        <v>-2.09</v>
      </c>
      <c r="K64" s="32" t="n">
        <v>6359909</v>
      </c>
      <c r="L64" s="31" t="n">
        <v>78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75.68000000000001</v>
      </c>
      <c r="P64" s="32" t="n">
        <v>21.01</v>
      </c>
      <c r="Q64" s="32" t="n">
        <v>54.67</v>
      </c>
      <c r="R64" s="31" t="inlineStr">
        <is>
          <t>Volume Spike &amp; Near 52W High Breakout</t>
        </is>
      </c>
      <c r="S64" s="31" t="inlineStr">
        <is>
          <t>Nifty 50</t>
        </is>
      </c>
      <c r="T64" s="32" t="n">
        <v>-2.54</v>
      </c>
      <c r="U64" s="32" t="n">
        <v>22.17</v>
      </c>
      <c r="V64" s="32" t="n">
        <v>25.35</v>
      </c>
      <c r="W64" s="32" t="n">
        <v>18.8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Between 12 to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IF(B65=0,"",RANK(B65,$B$2:$B$300,0))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PSPPROJECT</t>
        </is>
      </c>
      <c r="D65" s="31" t="inlineStr">
        <is>
          <t>PSP Projects Ltd</t>
        </is>
      </c>
      <c r="E65" s="31" t="inlineStr">
        <is>
          <t>realty</t>
        </is>
      </c>
      <c r="F65" s="31" t="inlineStr">
        <is>
          <t>construction</t>
        </is>
      </c>
      <c r="G65" s="31" t="inlineStr">
        <is>
          <t>smallcap</t>
        </is>
      </c>
      <c r="H65" s="32" t="n">
        <v>4147.72</v>
      </c>
      <c r="I65" s="32" t="n">
        <v>1046.3</v>
      </c>
      <c r="J65" s="32" t="n">
        <v>-2.31</v>
      </c>
      <c r="K65" s="32" t="n">
        <v>48999</v>
      </c>
      <c r="L65" s="31" t="n">
        <v>70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69.55</v>
      </c>
      <c r="P65" s="32" t="n">
        <v>28.06</v>
      </c>
      <c r="Q65" s="32" t="n">
        <v>818.72</v>
      </c>
      <c r="R65" s="31" t="inlineStr">
        <is>
          <t>Near 52W High Breakout</t>
        </is>
      </c>
      <c r="S65" s="31" t="inlineStr">
        <is>
          <t>Nifty Realty</t>
        </is>
      </c>
      <c r="T65" s="32" t="n">
        <v>-8.119999999999999</v>
      </c>
      <c r="U65" s="32" t="n">
        <v>27.97</v>
      </c>
      <c r="V65" s="32" t="n">
        <v>39.28</v>
      </c>
      <c r="W65" s="32" t="n">
        <v>15.49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IF(B66=0,"",RANK(B66,$B$2:$B$300,0))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RAIN</t>
        </is>
      </c>
      <c r="D66" s="31" t="inlineStr">
        <is>
          <t>Rain Industries Limited</t>
        </is>
      </c>
      <c r="E66" s="31" t="inlineStr">
        <is>
          <t>miscellaneous</t>
        </is>
      </c>
      <c r="F66" s="31" t="inlineStr">
        <is>
          <t>miscellaneous</t>
        </is>
      </c>
      <c r="G66" s="31" t="inlineStr">
        <is>
          <t>midcap</t>
        </is>
      </c>
      <c r="H66" s="32" t="n">
        <v>6954.62</v>
      </c>
      <c r="I66" s="32" t="n">
        <v>206.77</v>
      </c>
      <c r="J66" s="32" t="n">
        <v>-3.22</v>
      </c>
      <c r="K66" s="32" t="n">
        <v>5026621</v>
      </c>
      <c r="L66" s="31" t="n">
        <v>80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71.44</v>
      </c>
      <c r="P66" s="32" t="n">
        <v>36.87</v>
      </c>
      <c r="Q66" s="32" t="n">
        <v>154.84</v>
      </c>
      <c r="R66" s="31" t="inlineStr">
        <is>
          <t>Near 52W High Breakout</t>
        </is>
      </c>
      <c r="S66" s="31" t="inlineStr">
        <is>
          <t>Nifty 50</t>
        </is>
      </c>
      <c r="T66" s="32" t="n">
        <v>-2.54</v>
      </c>
      <c r="U66" s="32" t="n">
        <v>38.69</v>
      </c>
      <c r="V66" s="32" t="n">
        <v>42.31</v>
      </c>
      <c r="W66" s="32" t="n">
        <v>20.51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More than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IF(B67=0,"",RANK(B67,$B$2:$B$300,0))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CARTRADE</t>
        </is>
      </c>
      <c r="D67" s="31" t="inlineStr">
        <is>
          <t>Cartrade Tech Ltd</t>
        </is>
      </c>
      <c r="E67" s="31" t="inlineStr">
        <is>
          <t>consumer discretionary</t>
        </is>
      </c>
      <c r="F67" s="31" t="inlineStr">
        <is>
          <t>miscellaneous</t>
        </is>
      </c>
      <c r="G67" s="31" t="inlineStr">
        <is>
          <t>midcap</t>
        </is>
      </c>
      <c r="H67" s="32" t="n">
        <v>12924.2</v>
      </c>
      <c r="I67" s="32" t="n">
        <v>2699.4</v>
      </c>
      <c r="J67" s="32" t="n">
        <v>-4.02</v>
      </c>
      <c r="K67" s="32" t="n">
        <v>341812</v>
      </c>
      <c r="L67" s="31" t="n">
        <v>80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63.09</v>
      </c>
      <c r="P67" s="32" t="n">
        <v>26.55</v>
      </c>
      <c r="Q67" s="32" t="n">
        <v>2002.08</v>
      </c>
      <c r="R67" s="31" t="inlineStr">
        <is>
          <t>Earnings / Momentum Support</t>
        </is>
      </c>
      <c r="S67" s="31" t="inlineStr">
        <is>
          <t>Nifty 50</t>
        </is>
      </c>
      <c r="T67" s="32" t="n">
        <v>-2.54</v>
      </c>
      <c r="U67" s="32" t="n">
        <v>42.24</v>
      </c>
      <c r="V67" s="32" t="n">
        <v>45.94</v>
      </c>
      <c r="W67" s="32" t="n">
        <v>19.79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IF(B68=0,"",RANK(B68,$B$2:$B$300,0))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NGLFINE</t>
        </is>
      </c>
      <c r="D68" s="31" t="inlineStr">
        <is>
          <t>NGL Fine Chem Ltd</t>
        </is>
      </c>
      <c r="E68" s="31" t="inlineStr">
        <is>
          <t>healthcare</t>
        </is>
      </c>
      <c r="F68" s="31" t="inlineStr">
        <is>
          <t>pharmaceuticals - indian - bulk drugs</t>
        </is>
      </c>
      <c r="G68" s="31" t="inlineStr">
        <is>
          <t>smallcap</t>
        </is>
      </c>
      <c r="H68" s="32" t="n">
        <v>1934.9</v>
      </c>
      <c r="I68" s="32" t="n">
        <v>3131.9</v>
      </c>
      <c r="J68" s="32" t="n">
        <v>1.44</v>
      </c>
      <c r="K68" s="32" t="n">
        <v>5127</v>
      </c>
      <c r="L68" s="31" t="n">
        <v>88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75.18000000000001</v>
      </c>
      <c r="P68" s="32" t="n">
        <v>68.28</v>
      </c>
      <c r="Q68" s="32" t="n">
        <v>2232.54</v>
      </c>
      <c r="R68" s="31" t="inlineStr">
        <is>
          <t>Near 52W High Breakout</t>
        </is>
      </c>
      <c r="S68" s="31" t="inlineStr">
        <is>
          <t>Nifty Pharma</t>
        </is>
      </c>
      <c r="T68" s="32" t="n">
        <v>13.51</v>
      </c>
      <c r="U68" s="32" t="n">
        <v>128</v>
      </c>
      <c r="V68" s="32" t="n">
        <v>100.87</v>
      </c>
      <c r="W68" s="32" t="n">
        <v>27.89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Between 50% to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IF(B69=0,"",RANK(B69,$B$2:$B$300,0))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DIAMONDYD</t>
        </is>
      </c>
      <c r="D69" s="31" t="inlineStr">
        <is>
          <t>Prataap Snacks Ltd</t>
        </is>
      </c>
      <c r="E69" s="31" t="inlineStr">
        <is>
          <t>fmcg</t>
        </is>
      </c>
      <c r="F69" s="31" t="inlineStr">
        <is>
          <t>food - processing - indian</t>
        </is>
      </c>
      <c r="G69" s="31" t="inlineStr">
        <is>
          <t>smallcap</t>
        </is>
      </c>
      <c r="H69" s="32" t="n">
        <v>2814.03</v>
      </c>
      <c r="I69" s="32" t="n">
        <v>1176.9</v>
      </c>
      <c r="J69" s="32" t="n">
        <v>-0.66</v>
      </c>
      <c r="K69" s="32" t="n">
        <v>25563</v>
      </c>
      <c r="L69" s="31" t="n">
        <v>36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61.76</v>
      </c>
      <c r="P69" s="32" t="n">
        <v>23.49</v>
      </c>
      <c r="Q69" s="32" t="n">
        <v>973.4</v>
      </c>
      <c r="R69" s="31" t="inlineStr">
        <is>
          <t>Near 52W High Breakout</t>
        </is>
      </c>
      <c r="S69" s="31" t="inlineStr">
        <is>
          <t>Nifty FMCG</t>
        </is>
      </c>
      <c r="T69" s="32" t="n">
        <v>-13.73</v>
      </c>
      <c r="U69" s="32" t="n">
        <v>10.81</v>
      </c>
      <c r="V69" s="32" t="n">
        <v>28.45</v>
      </c>
      <c r="W69" s="32" t="n">
        <v>6.95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B2C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Between 50% to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IF(B70=0,"",RANK(B70,$B$2:$B$300,0))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LAURUSLABS</t>
        </is>
      </c>
      <c r="D70" s="31" t="inlineStr">
        <is>
          <t>Laurus Labs Limited</t>
        </is>
      </c>
      <c r="E70" s="31" t="inlineStr">
        <is>
          <t>healthcare</t>
        </is>
      </c>
      <c r="F70" s="31" t="inlineStr">
        <is>
          <t>pharmaceuticals - indian - bulk drugs &amp; formln</t>
        </is>
      </c>
      <c r="G70" s="31" t="inlineStr">
        <is>
          <t>largecap</t>
        </is>
      </c>
      <c r="H70" s="32" t="n">
        <v>82587.25999999999</v>
      </c>
      <c r="I70" s="32" t="n">
        <v>1529.8</v>
      </c>
      <c r="J70" s="32" t="n">
        <v>-1.78</v>
      </c>
      <c r="K70" s="32" t="n">
        <v>1011017</v>
      </c>
      <c r="L70" s="31" t="n">
        <v>81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77.38</v>
      </c>
      <c r="P70" s="32" t="n">
        <v>51.85</v>
      </c>
      <c r="Q70" s="32" t="n">
        <v>1307.85</v>
      </c>
      <c r="R70" s="31" t="inlineStr">
        <is>
          <t>Near 52W High Breakout</t>
        </is>
      </c>
      <c r="S70" s="31" t="inlineStr">
        <is>
          <t>Nifty Pharma</t>
        </is>
      </c>
      <c r="T70" s="32" t="n">
        <v>13.51</v>
      </c>
      <c r="U70" s="32" t="n">
        <v>85.31999999999999</v>
      </c>
      <c r="V70" s="32" t="n">
        <v>63.26</v>
      </c>
      <c r="W70" s="32" t="n">
        <v>20.74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Between 12 to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IF(B71=0,"",RANK(B71,$B$2:$B$300,0))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RATEGAIN</t>
        </is>
      </c>
      <c r="D71" s="31" t="inlineStr">
        <is>
          <t>Rategain Travel Technologies Ltd</t>
        </is>
      </c>
      <c r="E71" s="31" t="inlineStr">
        <is>
          <t>i.t</t>
        </is>
      </c>
      <c r="F71" s="31" t="inlineStr">
        <is>
          <t>computers - software - medium / small</t>
        </is>
      </c>
      <c r="G71" s="31" t="inlineStr">
        <is>
          <t>midcap</t>
        </is>
      </c>
      <c r="H71" s="32" t="n">
        <v>11233.99</v>
      </c>
      <c r="I71" s="32" t="n">
        <v>950.7</v>
      </c>
      <c r="J71" s="32" t="n">
        <v>-2.17</v>
      </c>
      <c r="K71" s="32" t="n">
        <v>402406</v>
      </c>
      <c r="L71" s="31" t="n">
        <v>90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78.79000000000001</v>
      </c>
      <c r="P71" s="32" t="n">
        <v>33.96</v>
      </c>
      <c r="Q71" s="32" t="n">
        <v>743.9299999999999</v>
      </c>
      <c r="R71" s="31" t="inlineStr">
        <is>
          <t>Near 52W High Breakout</t>
        </is>
      </c>
      <c r="S71" s="31" t="inlineStr">
        <is>
          <t>Nifty IT</t>
        </is>
      </c>
      <c r="T71" s="32" t="n">
        <v>-21.31</v>
      </c>
      <c r="U71" s="32" t="n">
        <v>104.1</v>
      </c>
      <c r="V71" s="32" t="n">
        <v>159.38</v>
      </c>
      <c r="W71" s="32" t="n">
        <v>31.09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Between 50% to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IF(B72=0,"",RANK(B72,$B$2:$B$300,0))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PIXTRANS</t>
        </is>
      </c>
      <c r="D72" s="31" t="inlineStr">
        <is>
          <t>Pix Transmission Ltd</t>
        </is>
      </c>
      <c r="E72" s="31" t="inlineStr">
        <is>
          <t>fmcg</t>
        </is>
      </c>
      <c r="F72" s="31" t="inlineStr">
        <is>
          <t>miscellaneous</t>
        </is>
      </c>
      <c r="G72" s="31" t="inlineStr">
        <is>
          <t>smallcap</t>
        </is>
      </c>
      <c r="H72" s="32" t="n">
        <v>2449.81</v>
      </c>
      <c r="I72" s="32" t="n">
        <v>1798</v>
      </c>
      <c r="J72" s="32" t="n">
        <v>-2.51</v>
      </c>
      <c r="K72" s="32" t="n">
        <v>18164</v>
      </c>
      <c r="L72" s="31" t="n">
        <v>39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70.43000000000001</v>
      </c>
      <c r="P72" s="32" t="n">
        <v>39.03</v>
      </c>
      <c r="Q72" s="32" t="n">
        <v>1456.24</v>
      </c>
      <c r="R72" s="31" t="inlineStr">
        <is>
          <t>Near 52W High Breakout</t>
        </is>
      </c>
      <c r="S72" s="31" t="inlineStr">
        <is>
          <t>Nifty FMCG</t>
        </is>
      </c>
      <c r="T72" s="32" t="n">
        <v>-13.73</v>
      </c>
      <c r="U72" s="32" t="n">
        <v>17.79</v>
      </c>
      <c r="V72" s="32" t="n">
        <v>36.54</v>
      </c>
      <c r="W72" s="32" t="n">
        <v>7.69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B2C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Less than 12%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IF(B73=0,"",RANK(B73,$B$2:$B$300,0))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ZYDUSWELL</t>
        </is>
      </c>
      <c r="D73" s="31" t="inlineStr">
        <is>
          <t>Zydus Wellness Limited</t>
        </is>
      </c>
      <c r="E73" s="31" t="inlineStr">
        <is>
          <t>fmcg</t>
        </is>
      </c>
      <c r="F73" s="31" t="inlineStr">
        <is>
          <t>food - processing - indian</t>
        </is>
      </c>
      <c r="G73" s="31" t="inlineStr">
        <is>
          <t>midcap</t>
        </is>
      </c>
      <c r="H73" s="32" t="n">
        <v>18658.54</v>
      </c>
      <c r="I73" s="32" t="n">
        <v>586.45</v>
      </c>
      <c r="J73" s="32" t="n">
        <v>-2.57</v>
      </c>
      <c r="K73" s="32" t="n">
        <v>264572</v>
      </c>
      <c r="L73" s="31" t="n">
        <v>54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71.68000000000001</v>
      </c>
      <c r="P73" s="32" t="n">
        <v>50.61</v>
      </c>
      <c r="Q73" s="32" t="n">
        <v>470.91</v>
      </c>
      <c r="R73" s="31" t="inlineStr">
        <is>
          <t>Near 52W High Breakout</t>
        </is>
      </c>
      <c r="S73" s="31" t="inlineStr">
        <is>
          <t>Nifty FMCG</t>
        </is>
      </c>
      <c r="T73" s="32" t="n">
        <v>-13.73</v>
      </c>
      <c r="U73" s="32" t="n">
        <v>40.31</v>
      </c>
      <c r="V73" s="32" t="n">
        <v>62.64</v>
      </c>
      <c r="W73" s="32" t="n">
        <v>10.88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B2C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Less than 12%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Less than 50%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IF(B74=0,"",RANK(B74,$B$2:$B$300,0))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SENORES</t>
        </is>
      </c>
      <c r="D74" s="31" t="inlineStr">
        <is>
          <t>Senores Pharmaceuticals Ltd</t>
        </is>
      </c>
      <c r="E74" s="31" t="inlineStr">
        <is>
          <t>healthcare</t>
        </is>
      </c>
      <c r="F74" s="31" t="inlineStr">
        <is>
          <t>pharmaceuticals - indian - formulations</t>
        </is>
      </c>
      <c r="G74" s="31" t="inlineStr">
        <is>
          <t>midcap</t>
        </is>
      </c>
      <c r="H74" s="32" t="n">
        <v>6470.99</v>
      </c>
      <c r="I74" s="32" t="n">
        <v>1405.1</v>
      </c>
      <c r="J74" s="32" t="n">
        <v>-3.29</v>
      </c>
      <c r="K74" s="32" t="n">
        <v>237423</v>
      </c>
      <c r="L74" s="31" t="n">
        <v>90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76.81999999999999</v>
      </c>
      <c r="P74" s="32" t="n">
        <v>61</v>
      </c>
      <c r="Q74" s="32" t="n">
        <v>1090.59</v>
      </c>
      <c r="R74" s="31" t="inlineStr">
        <is>
          <t>Near 52W High Breakout</t>
        </is>
      </c>
      <c r="S74" s="31" t="inlineStr">
        <is>
          <t>Nifty Pharma</t>
        </is>
      </c>
      <c r="T74" s="32" t="n">
        <v>13.51</v>
      </c>
      <c r="U74" s="32" t="n">
        <v>125.05</v>
      </c>
      <c r="V74" s="32" t="n">
        <v>98.26000000000001</v>
      </c>
      <c r="W74" s="32" t="n">
        <v>30.51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Less than 50%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IF(B75=0,"",RANK(B75,$B$2:$B$300,0))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IKIO</t>
        </is>
      </c>
      <c r="D75" s="31" t="inlineStr">
        <is>
          <t>IKIO Lighting Ltd</t>
        </is>
      </c>
      <c r="E75" s="31" t="inlineStr">
        <is>
          <t>consumer discretionary</t>
        </is>
      </c>
      <c r="F75" s="31" t="inlineStr">
        <is>
          <t>electric equipment</t>
        </is>
      </c>
      <c r="G75" s="31" t="inlineStr">
        <is>
          <t>smallcap</t>
        </is>
      </c>
      <c r="H75" s="32" t="n">
        <v>1695.31</v>
      </c>
      <c r="I75" s="32" t="n">
        <v>219.37</v>
      </c>
      <c r="J75" s="32" t="n">
        <v>3.09</v>
      </c>
      <c r="K75" s="32" t="n">
        <v>11211570</v>
      </c>
      <c r="L75" s="31" t="n">
        <v>65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69.38</v>
      </c>
      <c r="P75" s="32" t="n">
        <v>21.36</v>
      </c>
      <c r="Q75" s="32" t="n">
        <v>155.86</v>
      </c>
      <c r="R75" s="31" t="inlineStr">
        <is>
          <t>Volume Spike &amp; Near 52W High Breakout</t>
        </is>
      </c>
      <c r="S75" s="31" t="inlineStr">
        <is>
          <t>Nifty 50</t>
        </is>
      </c>
      <c r="T75" s="32" t="n">
        <v>-2.54</v>
      </c>
      <c r="U75" s="32" t="n">
        <v>4.67</v>
      </c>
      <c r="V75" s="32" t="n">
        <v>7.4</v>
      </c>
      <c r="W75" s="32" t="n">
        <v>13.91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Less than 50%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IF(B76=0,"",RANK(B76,$B$2:$B$300,0))</f>
        <v/>
      </c>
      <c r="B76" s="32">
        <f>SUM(N76,Y76,AA76,AC76,AE76,AG76,AI76,AK76,AM76,AO76,AQ76,AS76,AU76,AW76,AY76,BA76,BC76,BE76,BG76,BI76,BK76,BM76,BO76,BQ76,BS76,BU76,BW76,BY76,CA76,CC76,CE76)</f>
        <v/>
      </c>
      <c r="C76" s="33" t="inlineStr">
        <is>
          <t>ROLEXRINGS</t>
        </is>
      </c>
      <c r="D76" s="33" t="inlineStr">
        <is>
          <t>Rolex Rings Ltd</t>
        </is>
      </c>
      <c r="E76" s="31" t="inlineStr">
        <is>
          <t>auto</t>
        </is>
      </c>
      <c r="F76" s="31" t="inlineStr">
        <is>
          <t>auto ancillaries</t>
        </is>
      </c>
      <c r="G76" s="31" t="inlineStr">
        <is>
          <t>smallcap</t>
        </is>
      </c>
      <c r="H76" s="32" t="n">
        <v>4299.87</v>
      </c>
      <c r="I76" s="32" t="n">
        <v>157.89</v>
      </c>
      <c r="J76" s="32" t="n">
        <v>1.53</v>
      </c>
      <c r="K76" s="32" t="n">
        <v>1508407</v>
      </c>
      <c r="L76" s="31" t="n">
        <v>25</v>
      </c>
      <c r="M76" s="31" t="inlineStr">
        <is>
          <t>Underperforming</t>
        </is>
      </c>
      <c r="N76" s="32">
        <f>IF(M76="Underperforming",-5,IF(L76&gt;=95,15,IF(L76&gt;=90,10,IF(L76&gt;=80,5,0))))</f>
        <v/>
      </c>
      <c r="O76" s="32" t="n">
        <v>62.31</v>
      </c>
      <c r="P76" s="32" t="n">
        <v>34.25</v>
      </c>
      <c r="Q76" s="32" t="n">
        <v>122.58</v>
      </c>
      <c r="R76" s="31" t="inlineStr">
        <is>
          <t>Volume Spike &amp; Near 52W High Breakout</t>
        </is>
      </c>
      <c r="S76" s="31" t="inlineStr">
        <is>
          <t>Nifty Auto</t>
        </is>
      </c>
      <c r="T76" s="32" t="n">
        <v>13.41</v>
      </c>
      <c r="U76" s="32" t="n">
        <v>5.86</v>
      </c>
      <c r="V76" s="32" t="n">
        <v>-6.66</v>
      </c>
      <c r="W76" s="32" t="n">
        <v>5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IF(B77=0,"",RANK(B77,$B$2:$B$300,0))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SANGAMIND</t>
        </is>
      </c>
      <c r="D77" s="31" t="inlineStr">
        <is>
          <t>Sangam (india) Limited</t>
        </is>
      </c>
      <c r="E77" s="31" t="inlineStr">
        <is>
          <t>textiles</t>
        </is>
      </c>
      <c r="F77" s="31" t="inlineStr">
        <is>
          <t>textiles - spinning - synthetic / blended</t>
        </is>
      </c>
      <c r="G77" s="31" t="inlineStr">
        <is>
          <t>smallcap</t>
        </is>
      </c>
      <c r="H77" s="32" t="n">
        <v>3200.45</v>
      </c>
      <c r="I77" s="32" t="n">
        <v>636.95</v>
      </c>
      <c r="J77" s="32" t="n">
        <v>1.37</v>
      </c>
      <c r="K77" s="32" t="n">
        <v>126648</v>
      </c>
      <c r="L77" s="31" t="n">
        <v>70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79.31</v>
      </c>
      <c r="P77" s="32" t="n">
        <v>43.49</v>
      </c>
      <c r="Q77" s="32" t="n">
        <v>503.7</v>
      </c>
      <c r="R77" s="31" t="inlineStr">
        <is>
          <t>Volume Spike &amp; Near 52W High Breakout</t>
        </is>
      </c>
      <c r="S77" s="31" t="inlineStr">
        <is>
          <t>Nifty 50</t>
        </is>
      </c>
      <c r="T77" s="32" t="n">
        <v>-2.54</v>
      </c>
      <c r="U77" s="32" t="n">
        <v>37.7</v>
      </c>
      <c r="V77" s="32" t="n">
        <v>41.29</v>
      </c>
      <c r="W77" s="32" t="n">
        <v>15.61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IF(B78=0,"",RANK(B78,$B$2:$B$300,0))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CENTURYPLY</t>
        </is>
      </c>
      <c r="D78" s="31" t="inlineStr">
        <is>
          <t>Century Plyboards (india) Limited</t>
        </is>
      </c>
      <c r="E78" s="31" t="inlineStr">
        <is>
          <t>building materials</t>
        </is>
      </c>
      <c r="F78" s="31" t="inlineStr">
        <is>
          <t>miscellaneous</t>
        </is>
      </c>
      <c r="G78" s="31" t="inlineStr">
        <is>
          <t>midcap</t>
        </is>
      </c>
      <c r="H78" s="32" t="n">
        <v>17686.08</v>
      </c>
      <c r="I78" s="32" t="n">
        <v>796.05</v>
      </c>
      <c r="J78" s="32" t="n">
        <v>0.9</v>
      </c>
      <c r="K78" s="32" t="n">
        <v>31172</v>
      </c>
      <c r="L78" s="31" t="n">
        <v>15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56.83</v>
      </c>
      <c r="P78" s="32" t="n">
        <v>20.25</v>
      </c>
      <c r="Q78" s="32" t="n">
        <v>645.35</v>
      </c>
      <c r="R78" s="31" t="inlineStr">
        <is>
          <t>Earnings / Momentum Support</t>
        </is>
      </c>
      <c r="S78" s="31" t="inlineStr">
        <is>
          <t>Nifty Infra</t>
        </is>
      </c>
      <c r="T78" s="32" t="n">
        <v>1.74</v>
      </c>
      <c r="U78" s="32" t="n">
        <v>10.65</v>
      </c>
      <c r="V78" s="32" t="n">
        <v>8.76</v>
      </c>
      <c r="W78" s="32" t="n">
        <v>2.96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IF(B79=0,"",RANK(B79,$B$2:$B$300,0))</f>
        <v/>
      </c>
      <c r="B79" s="32">
        <f>SUM(N79,Y79,AA79,AC79,AE79,AG79,AI79,AK79,AM79,AO79,AQ79,AS79,AU79,AW79,AY79,BA79,BC79,BE79,BG79,BI79,BK79,BM79,BO79,BQ79,BS79,BU79,BW79,BY79,CA79,CC79,CE79)</f>
        <v/>
      </c>
      <c r="C79" s="33" t="inlineStr">
        <is>
          <t>SSWL</t>
        </is>
      </c>
      <c r="D79" s="33" t="inlineStr">
        <is>
          <t>Steel Strips Wheels Limited</t>
        </is>
      </c>
      <c r="E79" s="31" t="inlineStr">
        <is>
          <t>auto</t>
        </is>
      </c>
      <c r="F79" s="31" t="inlineStr">
        <is>
          <t>auto ancillaries</t>
        </is>
      </c>
      <c r="G79" s="31" t="inlineStr">
        <is>
          <t>smallcap</t>
        </is>
      </c>
      <c r="H79" s="32" t="n">
        <v>4184.3</v>
      </c>
      <c r="I79" s="32" t="n">
        <v>266.21</v>
      </c>
      <c r="J79" s="32" t="n">
        <v>0.29</v>
      </c>
      <c r="K79" s="32" t="n">
        <v>1526108</v>
      </c>
      <c r="L79" s="31" t="n">
        <v>30</v>
      </c>
      <c r="M79" s="31" t="inlineStr">
        <is>
          <t>Underperforming</t>
        </is>
      </c>
      <c r="N79" s="32">
        <f>IF(M79="Underperforming",-5,IF(L79&gt;=95,15,IF(L79&gt;=90,10,IF(L79&gt;=80,5,0))))</f>
        <v/>
      </c>
      <c r="O79" s="32" t="n">
        <v>67.93000000000001</v>
      </c>
      <c r="P79" s="32" t="n">
        <v>13.81</v>
      </c>
      <c r="Q79" s="32" t="n">
        <v>204.04</v>
      </c>
      <c r="R79" s="31" t="inlineStr">
        <is>
          <t>Volume Spike &amp; Near 52W High Breakout</t>
        </is>
      </c>
      <c r="S79" s="31" t="inlineStr">
        <is>
          <t>Nifty Auto</t>
        </is>
      </c>
      <c r="T79" s="32" t="n">
        <v>13.41</v>
      </c>
      <c r="U79" s="32" t="n">
        <v>4.51</v>
      </c>
      <c r="V79" s="32" t="n">
        <v>-7.85</v>
      </c>
      <c r="W79" s="32" t="n">
        <v>5.81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0 to 20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IF(B80=0,"",RANK(B80,$B$2:$B$300,0))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PANSARI</t>
        </is>
      </c>
      <c r="D80" s="31" t="inlineStr">
        <is>
          <t>Pansari Developers Ltd</t>
        </is>
      </c>
      <c r="E80" s="31" t="inlineStr">
        <is>
          <t>realty</t>
        </is>
      </c>
      <c r="F80" s="31" t="inlineStr">
        <is>
          <t>construction</t>
        </is>
      </c>
      <c r="G80" s="31" t="inlineStr">
        <is>
          <t>smallcap</t>
        </is>
      </c>
      <c r="H80" s="32" t="n">
        <v>629.22</v>
      </c>
      <c r="I80" s="32" t="n">
        <v>360.65</v>
      </c>
      <c r="J80" s="32" t="n">
        <v>0</v>
      </c>
      <c r="K80" s="32" t="n">
        <v>4649</v>
      </c>
      <c r="L80" s="31" t="n">
        <v>64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63.14</v>
      </c>
      <c r="P80" s="32" t="n">
        <v>29.41</v>
      </c>
      <c r="Q80" s="32" t="n">
        <v>246.92</v>
      </c>
      <c r="R80" s="31" t="inlineStr">
        <is>
          <t>Near 52W High Breakout</t>
        </is>
      </c>
      <c r="S80" s="31" t="inlineStr">
        <is>
          <t>Nifty Realty</t>
        </is>
      </c>
      <c r="T80" s="32" t="n">
        <v>-8.119999999999999</v>
      </c>
      <c r="U80" s="32" t="n">
        <v>41.99</v>
      </c>
      <c r="V80" s="32" t="n">
        <v>54.54</v>
      </c>
      <c r="W80" s="32" t="n">
        <v>13.56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Negative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IF(B81=0,"",RANK(B81,$B$2:$B$300,0))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SFL</t>
        </is>
      </c>
      <c r="D81" s="31" t="inlineStr">
        <is>
          <t>Sheela Foam Limited</t>
        </is>
      </c>
      <c r="E81" s="31" t="inlineStr">
        <is>
          <t>consumer discretionary</t>
        </is>
      </c>
      <c r="F81" s="31" t="inlineStr">
        <is>
          <t>miscellaneous</t>
        </is>
      </c>
      <c r="G81" s="31" t="inlineStr">
        <is>
          <t>midcap</t>
        </is>
      </c>
      <c r="H81" s="32" t="n">
        <v>8273.98</v>
      </c>
      <c r="I81" s="32" t="n">
        <v>761.1</v>
      </c>
      <c r="J81" s="32" t="n">
        <v>-0.06</v>
      </c>
      <c r="K81" s="32" t="n">
        <v>219810</v>
      </c>
      <c r="L81" s="31" t="n">
        <v>58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70.5</v>
      </c>
      <c r="P81" s="32" t="n">
        <v>28.8</v>
      </c>
      <c r="Q81" s="32" t="n">
        <v>597.62</v>
      </c>
      <c r="R81" s="31" t="inlineStr">
        <is>
          <t>Near 52W High Breakout</t>
        </is>
      </c>
      <c r="S81" s="31" t="inlineStr">
        <is>
          <t>Nifty 50</t>
        </is>
      </c>
      <c r="T81" s="32" t="n">
        <v>-2.54</v>
      </c>
      <c r="U81" s="32" t="n">
        <v>13.01</v>
      </c>
      <c r="V81" s="32" t="n">
        <v>15.95</v>
      </c>
      <c r="W81" s="32" t="n">
        <v>11.83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IF(B82=0,"",RANK(B82,$B$2:$B$300,0))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KAJARIACER</t>
        </is>
      </c>
      <c r="D82" s="31" t="inlineStr">
        <is>
          <t>Kajaria Ceramics Limited</t>
        </is>
      </c>
      <c r="E82" s="31" t="inlineStr">
        <is>
          <t>building materials</t>
        </is>
      </c>
      <c r="F82" s="31" t="inlineStr">
        <is>
          <t>ceramics - tiles / sanitaryware</t>
        </is>
      </c>
      <c r="G82" s="31" t="inlineStr">
        <is>
          <t>midcap</t>
        </is>
      </c>
      <c r="H82" s="32" t="n">
        <v>19741.8</v>
      </c>
      <c r="I82" s="32" t="n">
        <v>1239.5</v>
      </c>
      <c r="J82" s="32" t="n">
        <v>-0.19</v>
      </c>
      <c r="K82" s="32" t="n">
        <v>133918</v>
      </c>
      <c r="L82" s="31" t="n">
        <v>12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66.53</v>
      </c>
      <c r="P82" s="32" t="n">
        <v>23.49</v>
      </c>
      <c r="Q82" s="32" t="n">
        <v>1025.97</v>
      </c>
      <c r="R82" s="31" t="inlineStr">
        <is>
          <t>Volume Spike &amp; Near 52W High Breakout</t>
        </is>
      </c>
      <c r="S82" s="31" t="inlineStr">
        <is>
          <t>Nifty Infra</t>
        </is>
      </c>
      <c r="T82" s="32" t="n">
        <v>1.74</v>
      </c>
      <c r="U82" s="32" t="n">
        <v>2.08</v>
      </c>
      <c r="V82" s="32" t="n">
        <v>0.33</v>
      </c>
      <c r="W82" s="32" t="n">
        <v>2.19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IF(B83=0,"",RANK(B83,$B$2:$B$300,0))</f>
        <v/>
      </c>
      <c r="B83" s="32">
        <f>SUM(N83,Y83,AA83,AC83,AE83,AG83,AI83,AK83,AM83,AO83,AQ83,AS83,AU83,AW83,AY83,BA83,BC83,BE83,BG83,BI83,BK83,BM83,BO83,BQ83,BS83,BU83,BW83,BY83,CA83,CC83,CE83)</f>
        <v/>
      </c>
      <c r="C83" s="33" t="inlineStr">
        <is>
          <t>OCCLLTD</t>
        </is>
      </c>
      <c r="D83" s="33" t="inlineStr">
        <is>
          <t>OCCL Ltd</t>
        </is>
      </c>
      <c r="E83" s="31" t="inlineStr">
        <is>
          <t>chemicals</t>
        </is>
      </c>
      <c r="F83" s="31" t="inlineStr">
        <is>
          <t>chemicals</t>
        </is>
      </c>
      <c r="G83" s="31" t="inlineStr">
        <is>
          <t>smallcap</t>
        </is>
      </c>
      <c r="H83" s="32" t="n">
        <v>675.6799999999999</v>
      </c>
      <c r="I83" s="32" t="n">
        <v>135.27</v>
      </c>
      <c r="J83" s="32" t="n">
        <v>-0.29</v>
      </c>
      <c r="K83" s="32" t="n">
        <v>59920</v>
      </c>
      <c r="L83" s="31" t="n">
        <v>47</v>
      </c>
      <c r="M83" s="31" t="inlineStr">
        <is>
          <t>Underperforming</t>
        </is>
      </c>
      <c r="N83" s="32">
        <f>IF(M83="Underperforming",-5,IF(L83&gt;=95,15,IF(L83&gt;=90,10,IF(L83&gt;=80,5,0))))</f>
        <v/>
      </c>
      <c r="O83" s="32" t="n">
        <v>69.64</v>
      </c>
      <c r="P83" s="32" t="n">
        <v>25.03</v>
      </c>
      <c r="Q83" s="32" t="n">
        <v>96.69</v>
      </c>
      <c r="R83" s="31" t="inlineStr">
        <is>
          <t>Earnings / Momentum Support</t>
        </is>
      </c>
      <c r="S83" s="31" t="inlineStr">
        <is>
          <t>Nifty 50</t>
        </is>
      </c>
      <c r="T83" s="32" t="n">
        <v>-2.54</v>
      </c>
      <c r="U83" s="32" t="n">
        <v>-3.03</v>
      </c>
      <c r="V83" s="32" t="n">
        <v>-0.5</v>
      </c>
      <c r="W83" s="32" t="n">
        <v>9.470000000000001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IF(B84=0,"",RANK(B84,$B$2:$B$300,0))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PHOENIXLTD</t>
        </is>
      </c>
      <c r="D84" s="31" t="inlineStr">
        <is>
          <t>The Phoenix Mills Limited</t>
        </is>
      </c>
      <c r="E84" s="31" t="inlineStr">
        <is>
          <t>realty</t>
        </is>
      </c>
      <c r="F84" s="31" t="inlineStr">
        <is>
          <t>construction</t>
        </is>
      </c>
      <c r="G84" s="31" t="inlineStr">
        <is>
          <t>largecap</t>
        </is>
      </c>
      <c r="H84" s="32" t="n">
        <v>74239.00999999999</v>
      </c>
      <c r="I84" s="32" t="n">
        <v>2075.8</v>
      </c>
      <c r="J84" s="32" t="n">
        <v>-0.5</v>
      </c>
      <c r="K84" s="32" t="n">
        <v>590982</v>
      </c>
      <c r="L84" s="31" t="n">
        <v>52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67.06</v>
      </c>
      <c r="P84" s="32" t="n">
        <v>14.27</v>
      </c>
      <c r="Q84" s="32" t="n">
        <v>1792.75</v>
      </c>
      <c r="R84" s="31" t="inlineStr">
        <is>
          <t>Near 52W High Breakout</t>
        </is>
      </c>
      <c r="S84" s="31" t="inlineStr">
        <is>
          <t>Nifty Realty</t>
        </is>
      </c>
      <c r="T84" s="32" t="n">
        <v>-8.119999999999999</v>
      </c>
      <c r="U84" s="32" t="n">
        <v>39.88</v>
      </c>
      <c r="V84" s="32" t="n">
        <v>52.24</v>
      </c>
      <c r="W84" s="32" t="n">
        <v>10.39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0 to 20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IF(B85=0,"",RANK(B85,$B$2:$B$300,0))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SHRIPISTON</t>
        </is>
      </c>
      <c r="D85" s="31" t="inlineStr">
        <is>
          <t>Shriram Pistons &amp; Rings Limited</t>
        </is>
      </c>
      <c r="E85" s="31" t="inlineStr">
        <is>
          <t>auto</t>
        </is>
      </c>
      <c r="F85" s="31" t="inlineStr">
        <is>
          <t>auto ancillaries</t>
        </is>
      </c>
      <c r="G85" s="31" t="inlineStr">
        <is>
          <t>midcap</t>
        </is>
      </c>
      <c r="H85" s="32" t="n">
        <v>18368.34</v>
      </c>
      <c r="I85" s="32" t="n">
        <v>4169.9</v>
      </c>
      <c r="J85" s="32" t="n">
        <v>-0.63</v>
      </c>
      <c r="K85" s="32" t="n">
        <v>42047</v>
      </c>
      <c r="L85" s="31" t="n">
        <v>66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69.36</v>
      </c>
      <c r="P85" s="32" t="n">
        <v>36.78</v>
      </c>
      <c r="Q85" s="32" t="n">
        <v>3342.03</v>
      </c>
      <c r="R85" s="31" t="inlineStr">
        <is>
          <t>Near 52W High Breakout</t>
        </is>
      </c>
      <c r="S85" s="31" t="inlineStr">
        <is>
          <t>Nifty Auto</t>
        </is>
      </c>
      <c r="T85" s="32" t="n">
        <v>13.41</v>
      </c>
      <c r="U85" s="32" t="n">
        <v>71.08</v>
      </c>
      <c r="V85" s="32" t="n">
        <v>50.84</v>
      </c>
      <c r="W85" s="32" t="n">
        <v>14.07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Less than 12%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IF(B86=0,"",RANK(B86,$B$2:$B$300,0))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TTKPRESTIG</t>
        </is>
      </c>
      <c r="D86" s="31" t="inlineStr">
        <is>
          <t>Ttk Prestige Limited</t>
        </is>
      </c>
      <c r="E86" s="31" t="inlineStr">
        <is>
          <t>consumer discretionary</t>
        </is>
      </c>
      <c r="F86" s="31" t="inlineStr">
        <is>
          <t>domestic appliances</t>
        </is>
      </c>
      <c r="G86" s="31" t="inlineStr">
        <is>
          <t>midcap</t>
        </is>
      </c>
      <c r="H86" s="32" t="n">
        <v>9209.950000000001</v>
      </c>
      <c r="I86" s="32" t="n">
        <v>672.5</v>
      </c>
      <c r="J86" s="32" t="n">
        <v>-0.77</v>
      </c>
      <c r="K86" s="32" t="n">
        <v>62126</v>
      </c>
      <c r="L86" s="31" t="n">
        <v>50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70.76000000000001</v>
      </c>
      <c r="P86" s="32" t="n">
        <v>34.45</v>
      </c>
      <c r="Q86" s="32" t="n">
        <v>531.73</v>
      </c>
      <c r="R86" s="31" t="inlineStr">
        <is>
          <t>Near 52W High Breakout</t>
        </is>
      </c>
      <c r="S86" s="31" t="inlineStr">
        <is>
          <t>Nifty 50</t>
        </is>
      </c>
      <c r="T86" s="32" t="n">
        <v>-2.54</v>
      </c>
      <c r="U86" s="32" t="n">
        <v>6.61</v>
      </c>
      <c r="V86" s="32" t="n">
        <v>9.390000000000001</v>
      </c>
      <c r="W86" s="32" t="n">
        <v>9.869999999999999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IF(B87=0,"",RANK(B87,$B$2:$B$300,0))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INDOTECH</t>
        </is>
      </c>
      <c r="D87" s="31" t="inlineStr">
        <is>
          <t>Indo Tech Transformers Limited</t>
        </is>
      </c>
      <c r="E87" s="31" t="inlineStr">
        <is>
          <t>industrials</t>
        </is>
      </c>
      <c r="F87" s="31" t="inlineStr">
        <is>
          <t>electric equipment</t>
        </is>
      </c>
      <c r="G87" s="31" t="inlineStr">
        <is>
          <t>smallcap</t>
        </is>
      </c>
      <c r="H87" s="32" t="n">
        <v>3611.76</v>
      </c>
      <c r="I87" s="32" t="n">
        <v>3400.9</v>
      </c>
      <c r="J87" s="32" t="n">
        <v>-0.98</v>
      </c>
      <c r="K87" s="32" t="n">
        <v>19091</v>
      </c>
      <c r="L87" s="31" t="n">
        <v>92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75.29000000000001</v>
      </c>
      <c r="P87" s="32" t="n">
        <v>46.68</v>
      </c>
      <c r="Q87" s="32" t="n">
        <v>2481.96</v>
      </c>
      <c r="R87" s="31" t="inlineStr">
        <is>
          <t>Near 52W High Breakout</t>
        </is>
      </c>
      <c r="S87" s="31" t="inlineStr">
        <is>
          <t>Nifty 50</t>
        </is>
      </c>
      <c r="T87" s="32" t="n">
        <v>-2.54</v>
      </c>
      <c r="U87" s="32" t="n">
        <v>80.76000000000001</v>
      </c>
      <c r="V87" s="32" t="n">
        <v>85.47</v>
      </c>
      <c r="W87" s="32" t="n">
        <v>34.4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Between 12 to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Less than 50%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IF(B88=0,"",RANK(B88,$B$2:$B$300,0))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SPECTRUM</t>
        </is>
      </c>
      <c r="D88" s="31" t="inlineStr">
        <is>
          <t>Spectrum Electrical Industries Ltd</t>
        </is>
      </c>
      <c r="E88" s="31" t="inlineStr">
        <is>
          <t>industrials</t>
        </is>
      </c>
      <c r="F88" s="31" t="inlineStr">
        <is>
          <t>electric equipment</t>
        </is>
      </c>
      <c r="G88" s="31" t="inlineStr">
        <is>
          <t>smallcap</t>
        </is>
      </c>
      <c r="H88" s="32" t="n">
        <v>3078.81</v>
      </c>
      <c r="I88" s="32" t="n">
        <v>1959.3</v>
      </c>
      <c r="J88" s="32" t="n">
        <v>-1.21</v>
      </c>
      <c r="K88" s="32" t="n">
        <v>18260</v>
      </c>
      <c r="L88" s="31" t="n">
        <v>81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67.90000000000001</v>
      </c>
      <c r="P88" s="32" t="n">
        <v>37.93</v>
      </c>
      <c r="Q88" s="32" t="n">
        <v>1343.04</v>
      </c>
      <c r="R88" s="31" t="inlineStr">
        <is>
          <t>Near 52W High Breakout</t>
        </is>
      </c>
      <c r="S88" s="31" t="inlineStr">
        <is>
          <t>Nifty Infra</t>
        </is>
      </c>
      <c r="T88" s="32" t="n">
        <v>1.74</v>
      </c>
      <c r="U88" s="32" t="n">
        <v>26.67</v>
      </c>
      <c r="V88" s="32" t="n">
        <v>24.5</v>
      </c>
      <c r="W88" s="32" t="n">
        <v>20.59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Between 0.7 to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IF(B89=0,"",RANK(B89,$B$2:$B$300,0))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PREMIERENE</t>
        </is>
      </c>
      <c r="D89" s="31" t="inlineStr">
        <is>
          <t>Premier Energies Ltd</t>
        </is>
      </c>
      <c r="E89" s="31" t="inlineStr">
        <is>
          <t>services</t>
        </is>
      </c>
      <c r="F89" s="31" t="inlineStr">
        <is>
          <t>trading</t>
        </is>
      </c>
      <c r="G89" s="31" t="inlineStr">
        <is>
          <t>largecap</t>
        </is>
      </c>
      <c r="H89" s="32" t="n">
        <v>49204.25</v>
      </c>
      <c r="I89" s="32" t="n">
        <v>1086.2</v>
      </c>
      <c r="J89" s="32" t="n">
        <v>-1.31</v>
      </c>
      <c r="K89" s="32" t="n">
        <v>1096921</v>
      </c>
      <c r="L89" s="31" t="n">
        <v>20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60.64</v>
      </c>
      <c r="P89" s="32" t="n">
        <v>21.59</v>
      </c>
      <c r="Q89" s="32" t="n">
        <v>896.67</v>
      </c>
      <c r="R89" s="31" t="inlineStr">
        <is>
          <t>Near 52W High Breakout</t>
        </is>
      </c>
      <c r="S89" s="31" t="inlineStr">
        <is>
          <t>Nifty 50</t>
        </is>
      </c>
      <c r="T89" s="32" t="n">
        <v>-2.54</v>
      </c>
      <c r="U89" s="32" t="n">
        <v>2.78</v>
      </c>
      <c r="V89" s="32" t="n">
        <v>5.46</v>
      </c>
      <c r="W89" s="32" t="n">
        <v>4.03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Between 50% to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Between 0.7 to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IF(B90=0,"",RANK(B90,$B$2:$B$300,0))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VARROC</t>
        </is>
      </c>
      <c r="D90" s="31" t="inlineStr">
        <is>
          <t>Varroc Engineering Ltd</t>
        </is>
      </c>
      <c r="E90" s="31" t="inlineStr">
        <is>
          <t>auto</t>
        </is>
      </c>
      <c r="F90" s="31" t="inlineStr">
        <is>
          <t>auto ancillaries</t>
        </is>
      </c>
      <c r="G90" s="31" t="inlineStr">
        <is>
          <t>midcap</t>
        </is>
      </c>
      <c r="H90" s="32" t="n">
        <v>9903.610000000001</v>
      </c>
      <c r="I90" s="32" t="n">
        <v>648.2</v>
      </c>
      <c r="J90" s="32" t="n">
        <v>-1.73</v>
      </c>
      <c r="K90" s="32" t="n">
        <v>95150</v>
      </c>
      <c r="L90" s="31" t="n">
        <v>39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64.08</v>
      </c>
      <c r="P90" s="32" t="n">
        <v>25.36</v>
      </c>
      <c r="Q90" s="32" t="n">
        <v>538.9400000000001</v>
      </c>
      <c r="R90" s="31" t="inlineStr">
        <is>
          <t>Near 52W High Breakout</t>
        </is>
      </c>
      <c r="S90" s="31" t="inlineStr">
        <is>
          <t>Nifty Auto</t>
        </is>
      </c>
      <c r="T90" s="32" t="n">
        <v>13.41</v>
      </c>
      <c r="U90" s="32" t="n">
        <v>16.11</v>
      </c>
      <c r="V90" s="32" t="n">
        <v>2.38</v>
      </c>
      <c r="W90" s="32" t="n">
        <v>7.58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Between 50% to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IF(B91=0,"",RANK(B91,$B$2:$B$300,0))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NAHARSPING</t>
        </is>
      </c>
      <c r="D91" s="31" t="inlineStr">
        <is>
          <t>Nahar Spinning Mills Limited</t>
        </is>
      </c>
      <c r="E91" s="31" t="inlineStr">
        <is>
          <t>textiles</t>
        </is>
      </c>
      <c r="F91" s="31" t="inlineStr">
        <is>
          <t>textiles - cotton/blended</t>
        </is>
      </c>
      <c r="G91" s="31" t="inlineStr">
        <is>
          <t>smallcap</t>
        </is>
      </c>
      <c r="H91" s="32" t="n">
        <v>998.11</v>
      </c>
      <c r="I91" s="32" t="n">
        <v>276.75</v>
      </c>
      <c r="J91" s="32" t="n">
        <v>-1.91</v>
      </c>
      <c r="K91" s="32" t="n">
        <v>6573</v>
      </c>
      <c r="L91" s="31" t="n">
        <v>27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62.6</v>
      </c>
      <c r="P91" s="32" t="n">
        <v>22</v>
      </c>
      <c r="Q91" s="32" t="n">
        <v>216.62</v>
      </c>
      <c r="R91" s="31" t="inlineStr">
        <is>
          <t>Near 52W High Breakout</t>
        </is>
      </c>
      <c r="S91" s="31" t="inlineStr">
        <is>
          <t>Nifty 50</t>
        </is>
      </c>
      <c r="T91" s="32" t="n">
        <v>-2.54</v>
      </c>
      <c r="U91" s="32" t="n">
        <v>4.65</v>
      </c>
      <c r="V91" s="32" t="n">
        <v>7.38</v>
      </c>
      <c r="W91" s="32" t="n">
        <v>5.23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Between 12 to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IF(B92=0,"",RANK(B92,$B$2:$B$300,0))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SIGMAADV</t>
        </is>
      </c>
      <c r="D92" s="31" t="inlineStr">
        <is>
          <t>Sigma Advanced System Ltd</t>
        </is>
      </c>
      <c r="E92" s="31" t="inlineStr">
        <is>
          <t>aerospace &amp; defence</t>
        </is>
      </c>
      <c r="F92" s="31" t="inlineStr">
        <is>
          <t>electronics - components</t>
        </is>
      </c>
      <c r="G92" s="31" t="inlineStr">
        <is>
          <t>midcap</t>
        </is>
      </c>
      <c r="H92" s="32" t="n">
        <v>9830.65</v>
      </c>
      <c r="I92" s="32" t="n">
        <v>557.8</v>
      </c>
      <c r="J92" s="32" t="n">
        <v>-1.93</v>
      </c>
      <c r="K92" s="32" t="n">
        <v>89665</v>
      </c>
      <c r="L92" s="31" t="n">
        <v>99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74.54000000000001</v>
      </c>
      <c r="P92" s="32" t="n">
        <v>64.05</v>
      </c>
      <c r="Q92" s="32" t="n">
        <v>458.41</v>
      </c>
      <c r="R92" s="31" t="inlineStr">
        <is>
          <t>Earnings / Momentum Support</t>
        </is>
      </c>
      <c r="S92" s="31" t="inlineStr">
        <is>
          <t>Nifty 50</t>
        </is>
      </c>
      <c r="T92" s="32" t="n">
        <v>-2.54</v>
      </c>
      <c r="U92" s="32" t="n">
        <v>418.5</v>
      </c>
      <c r="V92" s="32" t="n">
        <v>432.01</v>
      </c>
      <c r="W92" s="32" t="n">
        <v>87.59999999999999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Negative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Between 0.7 to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IF(B93=0,"",RANK(B93,$B$2:$B$300,0))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WELCORP</t>
        </is>
      </c>
      <c r="D93" s="31" t="inlineStr">
        <is>
          <t>Welspun Corp Limited</t>
        </is>
      </c>
      <c r="E93" s="31" t="inlineStr">
        <is>
          <t>industrials</t>
        </is>
      </c>
      <c r="F93" s="31" t="inlineStr">
        <is>
          <t>steel - large</t>
        </is>
      </c>
      <c r="G93" s="31" t="inlineStr">
        <is>
          <t>largecap</t>
        </is>
      </c>
      <c r="H93" s="32" t="n">
        <v>41718.49</v>
      </c>
      <c r="I93" s="32" t="n">
        <v>1581.5</v>
      </c>
      <c r="J93" s="32" t="n">
        <v>-6.09</v>
      </c>
      <c r="K93" s="32" t="n">
        <v>1079535</v>
      </c>
      <c r="L93" s="31" t="n">
        <v>86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82.56</v>
      </c>
      <c r="P93" s="32" t="n">
        <v>66.95999999999999</v>
      </c>
      <c r="Q93" s="32" t="n">
        <v>1319.78</v>
      </c>
      <c r="R93" s="31" t="inlineStr">
        <is>
          <t>Volume Spike &amp; Near 52W High Breakout</t>
        </is>
      </c>
      <c r="S93" s="31" t="inlineStr">
        <is>
          <t>Nifty Metal</t>
        </is>
      </c>
      <c r="T93" s="32" t="n">
        <v>31.49</v>
      </c>
      <c r="U93" s="32" t="n">
        <v>71.81999999999999</v>
      </c>
      <c r="V93" s="32" t="n">
        <v>30.67</v>
      </c>
      <c r="W93" s="32" t="n">
        <v>23.89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Above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IF(B94=0,"",RANK(B94,$B$2:$B$300,0))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SAREGAMA</t>
        </is>
      </c>
      <c r="D94" s="31" t="inlineStr">
        <is>
          <t>Saregama India Limited</t>
        </is>
      </c>
      <c r="E94" s="31" t="inlineStr">
        <is>
          <t>media</t>
        </is>
      </c>
      <c r="F94" s="31" t="inlineStr">
        <is>
          <t>entertainment / electronic media software</t>
        </is>
      </c>
      <c r="G94" s="31" t="inlineStr">
        <is>
          <t>midcap</t>
        </is>
      </c>
      <c r="H94" s="32" t="n">
        <v>9541.18</v>
      </c>
      <c r="I94" s="32" t="n">
        <v>494.85</v>
      </c>
      <c r="J94" s="32" t="n">
        <v>1.08</v>
      </c>
      <c r="K94" s="32" t="n">
        <v>341267</v>
      </c>
      <c r="L94" s="31" t="n">
        <v>53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69.88</v>
      </c>
      <c r="P94" s="32" t="n">
        <v>37.63</v>
      </c>
      <c r="Q94" s="32" t="n">
        <v>386.61</v>
      </c>
      <c r="R94" s="31" t="inlineStr">
        <is>
          <t>Near 52W High Breakout</t>
        </is>
      </c>
      <c r="S94" s="31" t="inlineStr">
        <is>
          <t>Nifty IT</t>
        </is>
      </c>
      <c r="T94" s="32" t="n">
        <v>-21.31</v>
      </c>
      <c r="U94" s="32" t="n">
        <v>-1.82</v>
      </c>
      <c r="V94" s="32" t="n">
        <v>24.77</v>
      </c>
      <c r="W94" s="32" t="n">
        <v>10.62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Between 1.5 to 2</t>
        </is>
      </c>
      <c r="BU94" s="31">
        <f>IF(BT94="Above 2",0,IF(BT94="Between 1.5 to 2",5,IF(BT94="Less than 1.5",10,0)))</f>
        <v/>
      </c>
      <c r="BV94" s="31" t="inlineStr">
        <is>
          <t>Less than 50%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IF(B95=0,"",RANK(B95,$B$2:$B$300,0))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IPCALAB</t>
        </is>
      </c>
      <c r="D95" s="31" t="inlineStr">
        <is>
          <t>Ipca Laboratories Limited</t>
        </is>
      </c>
      <c r="E95" s="31" t="inlineStr">
        <is>
          <t>healthcare</t>
        </is>
      </c>
      <c r="F95" s="31" t="inlineStr">
        <is>
          <t>pharmaceuticals - indian - bulk drugs &amp; formln</t>
        </is>
      </c>
      <c r="G95" s="31" t="inlineStr">
        <is>
          <t>largecap</t>
        </is>
      </c>
      <c r="H95" s="32" t="n">
        <v>48219.02</v>
      </c>
      <c r="I95" s="32" t="n">
        <v>1900.6</v>
      </c>
      <c r="J95" s="32" t="n">
        <v>0.55</v>
      </c>
      <c r="K95" s="32" t="n">
        <v>157265</v>
      </c>
      <c r="L95" s="31" t="n">
        <v>59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71.45</v>
      </c>
      <c r="P95" s="32" t="n">
        <v>33.83</v>
      </c>
      <c r="Q95" s="32" t="n">
        <v>1559.81</v>
      </c>
      <c r="R95" s="31" t="inlineStr">
        <is>
          <t>Near 52W High Breakout</t>
        </is>
      </c>
      <c r="S95" s="31" t="inlineStr">
        <is>
          <t>Nifty Pharma</t>
        </is>
      </c>
      <c r="T95" s="32" t="n">
        <v>13.51</v>
      </c>
      <c r="U95" s="32" t="n">
        <v>29.38</v>
      </c>
      <c r="V95" s="32" t="n">
        <v>13.98</v>
      </c>
      <c r="W95" s="32" t="n">
        <v>12.22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Between 50% to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IF(B96=0,"",RANK(B96,$B$2:$B$300,0))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TRIVENI</t>
        </is>
      </c>
      <c r="D96" s="31" t="inlineStr">
        <is>
          <t>Triveni Engineering &amp; Industries Limited</t>
        </is>
      </c>
      <c r="E96" s="31" t="inlineStr">
        <is>
          <t>fmcg</t>
        </is>
      </c>
      <c r="F96" s="31" t="inlineStr">
        <is>
          <t>sugar</t>
        </is>
      </c>
      <c r="G96" s="31" t="inlineStr">
        <is>
          <t>midcap</t>
        </is>
      </c>
      <c r="H96" s="32" t="n">
        <v>10335.27</v>
      </c>
      <c r="I96" s="32" t="n">
        <v>472.15</v>
      </c>
      <c r="J96" s="32" t="n">
        <v>0.16</v>
      </c>
      <c r="K96" s="32" t="n">
        <v>453963</v>
      </c>
      <c r="L96" s="31" t="n">
        <v>51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70.3</v>
      </c>
      <c r="P96" s="32" t="n">
        <v>23</v>
      </c>
      <c r="Q96" s="32" t="n">
        <v>378.18</v>
      </c>
      <c r="R96" s="31" t="inlineStr">
        <is>
          <t>Volume Spike &amp; Near 52W High Breakout</t>
        </is>
      </c>
      <c r="S96" s="31" t="inlineStr">
        <is>
          <t>Nifty FMCG</t>
        </is>
      </c>
      <c r="T96" s="32" t="n">
        <v>-13.73</v>
      </c>
      <c r="U96" s="32" t="n">
        <v>31.56</v>
      </c>
      <c r="V96" s="32" t="n">
        <v>52.5</v>
      </c>
      <c r="W96" s="32" t="n">
        <v>10.21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B2C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Less than 12%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Less than 50%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IF(B97=0,"",RANK(B97,$B$2:$B$300,0))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AURUM</t>
        </is>
      </c>
      <c r="D97" s="31" t="inlineStr">
        <is>
          <t>Aurum Proptech Ltd</t>
        </is>
      </c>
      <c r="E97" s="31" t="inlineStr">
        <is>
          <t>i.t</t>
        </is>
      </c>
      <c r="F97" s="31" t="inlineStr">
        <is>
          <t>computers - software - medium / small</t>
        </is>
      </c>
      <c r="G97" s="31" t="inlineStr">
        <is>
          <t>smallcap</t>
        </is>
      </c>
      <c r="H97" s="32" t="n">
        <v>1834.29</v>
      </c>
      <c r="I97" s="32" t="n">
        <v>239.28</v>
      </c>
      <c r="J97" s="32" t="n">
        <v>-0.79</v>
      </c>
      <c r="K97" s="32" t="n">
        <v>332421</v>
      </c>
      <c r="L97" s="31" t="n">
        <v>57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73.23</v>
      </c>
      <c r="P97" s="32" t="n">
        <v>36.35</v>
      </c>
      <c r="Q97" s="32" t="n">
        <v>186.39</v>
      </c>
      <c r="R97" s="31" t="inlineStr">
        <is>
          <t>Volume Spike &amp; Near 52W High Breakout</t>
        </is>
      </c>
      <c r="S97" s="31" t="inlineStr">
        <is>
          <t>Nifty IT</t>
        </is>
      </c>
      <c r="T97" s="32" t="n">
        <v>-21.31</v>
      </c>
      <c r="U97" s="32" t="n">
        <v>20.51</v>
      </c>
      <c r="V97" s="32" t="n">
        <v>53.15</v>
      </c>
      <c r="W97" s="32" t="n">
        <v>11.82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Between 50% to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IF(B98=0,"",RANK(B98,$B$2:$B$300,0))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PICCADIL</t>
        </is>
      </c>
      <c r="D98" s="31" t="inlineStr">
        <is>
          <t>Piccadily Agro Industries Ltd</t>
        </is>
      </c>
      <c r="E98" s="31" t="inlineStr">
        <is>
          <t>fmcg</t>
        </is>
      </c>
      <c r="F98" s="31" t="inlineStr">
        <is>
          <t>breweries &amp; distilleries</t>
        </is>
      </c>
      <c r="G98" s="31" t="inlineStr">
        <is>
          <t>midcap</t>
        </is>
      </c>
      <c r="H98" s="32" t="n">
        <v>7191.33</v>
      </c>
      <c r="I98" s="32" t="n">
        <v>729.55</v>
      </c>
      <c r="J98" s="32" t="n">
        <v>-1.49</v>
      </c>
      <c r="K98" s="32" t="n">
        <v>478185</v>
      </c>
      <c r="L98" s="31" t="n">
        <v>47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69.79000000000001</v>
      </c>
      <c r="P98" s="32" t="n">
        <v>38.22</v>
      </c>
      <c r="Q98" s="32" t="n">
        <v>574.11</v>
      </c>
      <c r="R98" s="31" t="inlineStr">
        <is>
          <t>Volume Spike &amp; Near 52W High Breakout</t>
        </is>
      </c>
      <c r="S98" s="31" t="inlineStr">
        <is>
          <t>Nifty FMCG</t>
        </is>
      </c>
      <c r="T98" s="32" t="n">
        <v>-13.73</v>
      </c>
      <c r="U98" s="32" t="n">
        <v>21.09</v>
      </c>
      <c r="V98" s="32" t="n">
        <v>40.36</v>
      </c>
      <c r="W98" s="32" t="n">
        <v>9.48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B2C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Less than 12%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Between 50% to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IF(B99=0,"",RANK(B99,$B$2:$B$300,0))</f>
        <v/>
      </c>
      <c r="B99" s="32">
        <f>SUM(N99,Y99,AA99,AC99,AE99,AG99,AI99,AK99,AM99,AO99,AQ99,AS99,AU99,AW99,AY99,BA99,BC99,BE99,BG99,BI99,BK99,BM99,BO99,BQ99,BS99,BU99,BW99,BY99,CA99,CC99,CE99)</f>
        <v/>
      </c>
      <c r="C99" s="33" t="inlineStr">
        <is>
          <t>ZIMLAB</t>
        </is>
      </c>
      <c r="D99" s="33" t="inlineStr">
        <is>
          <t>Zim Laboratories Ltd</t>
        </is>
      </c>
      <c r="E99" s="31" t="inlineStr">
        <is>
          <t>healthcare</t>
        </is>
      </c>
      <c r="F99" s="31" t="inlineStr">
        <is>
          <t>pharmaceuticals - indian - bulk drugs &amp; formln</t>
        </is>
      </c>
      <c r="G99" s="31" t="inlineStr">
        <is>
          <t>smallcap</t>
        </is>
      </c>
      <c r="H99" s="32" t="n">
        <v>647.9400000000001</v>
      </c>
      <c r="I99" s="32" t="n">
        <v>121</v>
      </c>
      <c r="J99" s="32" t="n">
        <v>-1.6</v>
      </c>
      <c r="K99" s="32" t="n">
        <v>44626</v>
      </c>
      <c r="L99" s="31" t="n">
        <v>71</v>
      </c>
      <c r="M99" s="31" t="inlineStr">
        <is>
          <t>Underperforming</t>
        </is>
      </c>
      <c r="N99" s="32">
        <f>IF(M99="Underperforming",-5,IF(L99&gt;=95,15,IF(L99&gt;=90,10,IF(L99&gt;=80,5,0))))</f>
        <v/>
      </c>
      <c r="O99" s="32" t="n">
        <v>70.04000000000001</v>
      </c>
      <c r="P99" s="32" t="n">
        <v>63.36</v>
      </c>
      <c r="Q99" s="32" t="n">
        <v>91.69</v>
      </c>
      <c r="R99" s="31" t="inlineStr">
        <is>
          <t>Near 52W High Breakout</t>
        </is>
      </c>
      <c r="S99" s="31" t="inlineStr">
        <is>
          <t>Nifty Pharma</t>
        </is>
      </c>
      <c r="T99" s="32" t="n">
        <v>13.51</v>
      </c>
      <c r="U99" s="32" t="n">
        <v>1.79</v>
      </c>
      <c r="V99" s="32" t="n">
        <v>-10.32</v>
      </c>
      <c r="W99" s="32" t="n">
        <v>15.71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Yes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Annuity, Lower One Time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Less than 12%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IF(B100=0,"",RANK(B100,$B$2:$B$300,0))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NOVARTIND</t>
        </is>
      </c>
      <c r="D100" s="31" t="inlineStr">
        <is>
          <t>Novartis India Ltd</t>
        </is>
      </c>
      <c r="E100" s="31" t="inlineStr">
        <is>
          <t>healthcare</t>
        </is>
      </c>
      <c r="F100" s="31" t="inlineStr">
        <is>
          <t>pharmaceuticals - multinational</t>
        </is>
      </c>
      <c r="G100" s="31" t="inlineStr">
        <is>
          <t>smallcap</t>
        </is>
      </c>
      <c r="H100" s="32" t="n">
        <v>3876.7</v>
      </c>
      <c r="I100" s="32" t="n">
        <v>1570.1</v>
      </c>
      <c r="J100" s="32" t="n">
        <v>-1.64</v>
      </c>
      <c r="K100" s="32" t="n">
        <v>25137</v>
      </c>
      <c r="L100" s="31" t="n">
        <v>84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72.59</v>
      </c>
      <c r="P100" s="32" t="n">
        <v>68.53</v>
      </c>
      <c r="Q100" s="32" t="n">
        <v>1192.69</v>
      </c>
      <c r="R100" s="31" t="inlineStr">
        <is>
          <t>Volume Spike &amp; Near 52W High Breakout</t>
        </is>
      </c>
      <c r="S100" s="31" t="inlineStr">
        <is>
          <t>Nifty Pharma</t>
        </is>
      </c>
      <c r="T100" s="32" t="n">
        <v>13.51</v>
      </c>
      <c r="U100" s="32" t="n">
        <v>50.81</v>
      </c>
      <c r="V100" s="32" t="n">
        <v>32.86</v>
      </c>
      <c r="W100" s="32" t="n">
        <v>23.1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Yes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Annuity, Lower One Time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Less than 12%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Less than 50%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IF(B101=0,"",RANK(B101,$B$2:$B$300,0))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3" t="inlineStr">
        <is>
          <t>SUVEN</t>
        </is>
      </c>
      <c r="D101" s="33" t="inlineStr">
        <is>
          <t>Suven Life Sciences Limited</t>
        </is>
      </c>
      <c r="E101" s="31" t="inlineStr">
        <is>
          <t>healthcare</t>
        </is>
      </c>
      <c r="F101" s="31" t="inlineStr">
        <is>
          <t>miscellaneous</t>
        </is>
      </c>
      <c r="G101" s="31" t="inlineStr">
        <is>
          <t>midcap</t>
        </is>
      </c>
      <c r="H101" s="32" t="n">
        <v>8603.52</v>
      </c>
      <c r="I101" s="32" t="n">
        <v>325.9</v>
      </c>
      <c r="J101" s="32" t="n">
        <v>-4.47</v>
      </c>
      <c r="K101" s="32" t="n">
        <v>1106401</v>
      </c>
      <c r="L101" s="31" t="n">
        <v>82</v>
      </c>
      <c r="M101" s="31" t="inlineStr">
        <is>
          <t>Underperforming</t>
        </is>
      </c>
      <c r="N101" s="32">
        <f>IF(M101="Underperforming",-5,IF(L101&gt;=95,15,IF(L101&gt;=90,10,IF(L101&gt;=80,5,0))))</f>
        <v/>
      </c>
      <c r="O101" s="32" t="n">
        <v>68.25</v>
      </c>
      <c r="P101" s="32" t="n">
        <v>45.32</v>
      </c>
      <c r="Q101" s="32" t="n">
        <v>253.35</v>
      </c>
      <c r="R101" s="31" t="inlineStr">
        <is>
          <t>Earnings / Momentum Support</t>
        </is>
      </c>
      <c r="S101" s="31" t="inlineStr">
        <is>
          <t>Nifty Pharma</t>
        </is>
      </c>
      <c r="T101" s="32" t="n">
        <v>13.51</v>
      </c>
      <c r="U101" s="32" t="n">
        <v>11.99</v>
      </c>
      <c r="V101" s="32" t="n">
        <v>-1.34</v>
      </c>
      <c r="W101" s="32" t="n">
        <v>21.43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Yes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Annuity, Lower One Time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IF(B102=0,"",RANK(B102,$B$2:$B$300,0))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3" t="inlineStr">
        <is>
          <t>RELAXO</t>
        </is>
      </c>
      <c r="D102" s="33" t="inlineStr">
        <is>
          <t>Relaxo Footwears Limited</t>
        </is>
      </c>
      <c r="E102" s="31" t="inlineStr">
        <is>
          <t>consumer discretionary</t>
        </is>
      </c>
      <c r="F102" s="31" t="inlineStr">
        <is>
          <t>leather / leather products</t>
        </is>
      </c>
      <c r="G102" s="31" t="inlineStr">
        <is>
          <t>midcap</t>
        </is>
      </c>
      <c r="H102" s="32" t="n">
        <v>10952.05</v>
      </c>
      <c r="I102" s="32" t="n">
        <v>439.95</v>
      </c>
      <c r="J102" s="32" t="n">
        <v>19.99</v>
      </c>
      <c r="K102" s="32" t="n">
        <v>35746124</v>
      </c>
      <c r="L102" s="31" t="n">
        <v>41</v>
      </c>
      <c r="M102" s="31" t="inlineStr">
        <is>
          <t>Underperforming</t>
        </is>
      </c>
      <c r="N102" s="32">
        <f>IF(M102="Underperforming",-5,IF(L102&gt;=95,15,IF(L102&gt;=90,10,IF(L102&gt;=80,5,0))))</f>
        <v/>
      </c>
      <c r="O102" s="32" t="n">
        <v>66.12</v>
      </c>
      <c r="P102" s="32" t="n">
        <v>25.06</v>
      </c>
      <c r="Q102" s="32" t="n">
        <v>333.08</v>
      </c>
      <c r="R102" s="31" t="inlineStr">
        <is>
          <t>Volume Spike / Accumulation</t>
        </is>
      </c>
      <c r="S102" s="31" t="inlineStr">
        <is>
          <t>Nifty 50</t>
        </is>
      </c>
      <c r="T102" s="32" t="n">
        <v>-2.54</v>
      </c>
      <c r="U102" s="32" t="n">
        <v>-12.87</v>
      </c>
      <c r="V102" s="32" t="n">
        <v>-10.6</v>
      </c>
      <c r="W102" s="32" t="n">
        <v>7.94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IF(B103=0,"",RANK(B103,$B$2:$B$300,0))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EXIDEIND</t>
        </is>
      </c>
      <c r="D103" s="31" t="inlineStr">
        <is>
          <t>Exide Industries Limited</t>
        </is>
      </c>
      <c r="E103" s="31" t="inlineStr">
        <is>
          <t>auto</t>
        </is>
      </c>
      <c r="F103" s="31" t="inlineStr">
        <is>
          <t>auto ancillaries</t>
        </is>
      </c>
      <c r="G103" s="31" t="inlineStr">
        <is>
          <t>largecap</t>
        </is>
      </c>
      <c r="H103" s="32" t="n">
        <v>36992</v>
      </c>
      <c r="I103" s="32" t="n">
        <v>435.2</v>
      </c>
      <c r="J103" s="32" t="n">
        <v>3.3</v>
      </c>
      <c r="K103" s="32" t="n">
        <v>12389278</v>
      </c>
      <c r="L103" s="31" t="n">
        <v>51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70.42</v>
      </c>
      <c r="P103" s="32" t="n">
        <v>31.21</v>
      </c>
      <c r="Q103" s="32" t="n">
        <v>360.09</v>
      </c>
      <c r="R103" s="31" t="inlineStr">
        <is>
          <t>Volume Spike &amp; Near 52W High Breakout</t>
        </is>
      </c>
      <c r="S103" s="31" t="inlineStr">
        <is>
          <t>Nifty Auto</t>
        </is>
      </c>
      <c r="T103" s="32" t="n">
        <v>13.41</v>
      </c>
      <c r="U103" s="32" t="n">
        <v>13.86</v>
      </c>
      <c r="V103" s="32" t="n">
        <v>0.39</v>
      </c>
      <c r="W103" s="32" t="n">
        <v>10.23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Between 12 to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IF(B104=0,"",RANK(B104,$B$2:$B$300,0))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SONACOMS</t>
        </is>
      </c>
      <c r="D104" s="31" t="inlineStr">
        <is>
          <t>Sona BLW Precision Forgings Ltd</t>
        </is>
      </c>
      <c r="E104" s="31" t="inlineStr">
        <is>
          <t>auto</t>
        </is>
      </c>
      <c r="F104" s="31" t="inlineStr">
        <is>
          <t>auto ancillaries</t>
        </is>
      </c>
      <c r="G104" s="31" t="inlineStr">
        <is>
          <t>largecap</t>
        </is>
      </c>
      <c r="H104" s="32" t="n">
        <v>43830.88</v>
      </c>
      <c r="I104" s="32" t="n">
        <v>704.85</v>
      </c>
      <c r="J104" s="32" t="n">
        <v>3.14</v>
      </c>
      <c r="K104" s="32" t="n">
        <v>4862624</v>
      </c>
      <c r="L104" s="31" t="n">
        <v>62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74.73999999999999</v>
      </c>
      <c r="P104" s="32" t="n">
        <v>39.12</v>
      </c>
      <c r="Q104" s="32" t="n">
        <v>592.85</v>
      </c>
      <c r="R104" s="31" t="inlineStr">
        <is>
          <t>Volume Spike &amp; Near 52W High Breakout</t>
        </is>
      </c>
      <c r="S104" s="31" t="inlineStr">
        <is>
          <t>Nifty Auto</t>
        </is>
      </c>
      <c r="T104" s="32" t="n">
        <v>13.41</v>
      </c>
      <c r="U104" s="32" t="n">
        <v>47.83</v>
      </c>
      <c r="V104" s="32" t="n">
        <v>30.34</v>
      </c>
      <c r="W104" s="32" t="n">
        <v>12.69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Between 12 to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Between 50% to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IF(B105=0,"",RANK(B105,$B$2:$B$300,0))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RBZJEWEL</t>
        </is>
      </c>
      <c r="D105" s="31" t="inlineStr">
        <is>
          <t>RBZ Jewellers Ltd</t>
        </is>
      </c>
      <c r="E105" s="31" t="inlineStr">
        <is>
          <t>consumer discretionary</t>
        </is>
      </c>
      <c r="F105" s="31" t="inlineStr">
        <is>
          <t>diamond cutting / jewellery</t>
        </is>
      </c>
      <c r="G105" s="31" t="inlineStr">
        <is>
          <t>smallcap</t>
        </is>
      </c>
      <c r="H105" s="32" t="n">
        <v>602.96</v>
      </c>
      <c r="I105" s="32" t="n">
        <v>150.74</v>
      </c>
      <c r="J105" s="32" t="n">
        <v>1.28</v>
      </c>
      <c r="K105" s="32" t="n">
        <v>122447</v>
      </c>
      <c r="L105" s="31" t="n">
        <v>9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57.19</v>
      </c>
      <c r="P105" s="32" t="n">
        <v>25.96</v>
      </c>
      <c r="Q105" s="32" t="n">
        <v>107.54</v>
      </c>
      <c r="R105" s="31" t="inlineStr">
        <is>
          <t>Volume Spike &amp; Near 52W High Breakout</t>
        </is>
      </c>
      <c r="S105" s="31" t="inlineStr">
        <is>
          <t>Nifty 50</t>
        </is>
      </c>
      <c r="T105" s="32" t="n">
        <v>-2.54</v>
      </c>
      <c r="U105" s="32" t="n">
        <v>3.91</v>
      </c>
      <c r="V105" s="32" t="n">
        <v>6.62</v>
      </c>
      <c r="W105" s="32" t="n">
        <v>0.87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Negative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IF(B106=0,"",RANK(B106,$B$2:$B$300,0))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JSWINFRA</t>
        </is>
      </c>
      <c r="D106" s="31" t="inlineStr">
        <is>
          <t>JSW Infrastructure Ltd</t>
        </is>
      </c>
      <c r="E106" s="31" t="inlineStr">
        <is>
          <t>transportation</t>
        </is>
      </c>
      <c r="F106" s="31" t="inlineStr">
        <is>
          <t>miscellaneous</t>
        </is>
      </c>
      <c r="G106" s="31" t="inlineStr">
        <is>
          <t>largecap</t>
        </is>
      </c>
      <c r="H106" s="32" t="n">
        <v>79721</v>
      </c>
      <c r="I106" s="32" t="n">
        <v>342.15</v>
      </c>
      <c r="J106" s="32" t="n">
        <v>0.84</v>
      </c>
      <c r="K106" s="32" t="n">
        <v>2783722</v>
      </c>
      <c r="L106" s="31" t="n">
        <v>42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72.63</v>
      </c>
      <c r="P106" s="32" t="n">
        <v>32.74</v>
      </c>
      <c r="Q106" s="32" t="n">
        <v>278.57</v>
      </c>
      <c r="R106" s="31" t="inlineStr">
        <is>
          <t>Near 52W High Breakout</t>
        </is>
      </c>
      <c r="S106" s="31" t="inlineStr">
        <is>
          <t>Nifty 500</t>
        </is>
      </c>
      <c r="T106" s="32" t="n">
        <v>0.26</v>
      </c>
      <c r="U106" s="32" t="n">
        <v>11.44</v>
      </c>
      <c r="V106" s="32" t="n">
        <v>11.15</v>
      </c>
      <c r="W106" s="32" t="n">
        <v>7.98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Less than 12%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IF(B107=0,"",RANK(B107,$B$2:$B$300,0))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YASHO</t>
        </is>
      </c>
      <c r="D107" s="31" t="inlineStr">
        <is>
          <t>Yasho Industries Ltd</t>
        </is>
      </c>
      <c r="E107" s="31" t="inlineStr">
        <is>
          <t>chemicals</t>
        </is>
      </c>
      <c r="F107" s="31" t="inlineStr">
        <is>
          <t>chemicals</t>
        </is>
      </c>
      <c r="G107" s="31" t="inlineStr">
        <is>
          <t>smallcap</t>
        </is>
      </c>
      <c r="H107" s="32" t="n">
        <v>3628.55</v>
      </c>
      <c r="I107" s="32" t="n">
        <v>3010.7</v>
      </c>
      <c r="J107" s="32" t="n">
        <v>0.34</v>
      </c>
      <c r="K107" s="32" t="n">
        <v>10886</v>
      </c>
      <c r="L107" s="31" t="n">
        <v>93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83.33</v>
      </c>
      <c r="P107" s="32" t="n">
        <v>45.23</v>
      </c>
      <c r="Q107" s="32" t="n">
        <v>2269.84</v>
      </c>
      <c r="R107" s="31" t="inlineStr">
        <is>
          <t>Near 52W High Breakout</t>
        </is>
      </c>
      <c r="S107" s="31" t="inlineStr">
        <is>
          <t>Nifty 50</t>
        </is>
      </c>
      <c r="T107" s="32" t="n">
        <v>-2.54</v>
      </c>
      <c r="U107" s="32" t="n">
        <v>51.3</v>
      </c>
      <c r="V107" s="32" t="n">
        <v>55.25</v>
      </c>
      <c r="W107" s="32" t="n">
        <v>34.53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Above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More than 1.2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IF(B108=0,"",RANK(B108,$B$2:$B$300,0))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CIEINDIA</t>
        </is>
      </c>
      <c r="D108" s="31" t="inlineStr">
        <is>
          <t>CIE Automotive India Ltd</t>
        </is>
      </c>
      <c r="E108" s="31" t="inlineStr">
        <is>
          <t>industrials</t>
        </is>
      </c>
      <c r="F108" s="31" t="inlineStr">
        <is>
          <t>castings &amp; forgings</t>
        </is>
      </c>
      <c r="G108" s="31" t="inlineStr">
        <is>
          <t>midcap</t>
        </is>
      </c>
      <c r="H108" s="32" t="n">
        <v>17970.4</v>
      </c>
      <c r="I108" s="32" t="n">
        <v>473.7</v>
      </c>
      <c r="J108" s="32" t="n">
        <v>0.23</v>
      </c>
      <c r="K108" s="32" t="n">
        <v>244325</v>
      </c>
      <c r="L108" s="31" t="n">
        <v>13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58.12</v>
      </c>
      <c r="P108" s="32" t="n">
        <v>18.1</v>
      </c>
      <c r="Q108" s="32" t="n">
        <v>397.23</v>
      </c>
      <c r="R108" s="31" t="inlineStr">
        <is>
          <t>Near 52W High Breakout</t>
        </is>
      </c>
      <c r="S108" s="31" t="inlineStr">
        <is>
          <t>Nifty 50</t>
        </is>
      </c>
      <c r="T108" s="32" t="n">
        <v>-2.54</v>
      </c>
      <c r="U108" s="32" t="n">
        <v>11.98</v>
      </c>
      <c r="V108" s="32" t="n">
        <v>14.9</v>
      </c>
      <c r="W108" s="32" t="n">
        <v>2.37</v>
      </c>
      <c r="X108" s="31" t="inlineStr">
        <is>
          <t>Cyclical in an Upturn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0 to 20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IF(B109=0,"",RANK(B109,$B$2:$B$300,0))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WELENT</t>
        </is>
      </c>
      <c r="D109" s="31" t="inlineStr">
        <is>
          <t>Welspun Enterprises Limited</t>
        </is>
      </c>
      <c r="E109" s="31" t="inlineStr">
        <is>
          <t>realty</t>
        </is>
      </c>
      <c r="F109" s="31" t="inlineStr">
        <is>
          <t>construction</t>
        </is>
      </c>
      <c r="G109" s="31" t="inlineStr">
        <is>
          <t>midcap</t>
        </is>
      </c>
      <c r="H109" s="32" t="n">
        <v>8668.860000000001</v>
      </c>
      <c r="I109" s="32" t="n">
        <v>626.3</v>
      </c>
      <c r="J109" s="32" t="n">
        <v>0.17</v>
      </c>
      <c r="K109" s="32" t="n">
        <v>705721</v>
      </c>
      <c r="L109" s="31" t="n">
        <v>55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74.23</v>
      </c>
      <c r="P109" s="32" t="n">
        <v>17.97</v>
      </c>
      <c r="Q109" s="32" t="n">
        <v>506.94</v>
      </c>
      <c r="R109" s="31" t="inlineStr">
        <is>
          <t>Volume Spike &amp; Near 52W High Breakout</t>
        </is>
      </c>
      <c r="S109" s="31" t="inlineStr">
        <is>
          <t>Nifty Realty</t>
        </is>
      </c>
      <c r="T109" s="32" t="n">
        <v>-8.119999999999999</v>
      </c>
      <c r="U109" s="32" t="n">
        <v>20.9</v>
      </c>
      <c r="V109" s="32" t="n">
        <v>31.58</v>
      </c>
      <c r="W109" s="32" t="n">
        <v>10.97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0 to 20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Less than 50%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IF(B110=0,"",RANK(B110,$B$2:$B$300,0))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KABRAEXTRU</t>
        </is>
      </c>
      <c r="D110" s="31" t="inlineStr">
        <is>
          <t>Kabra Extrusion Technik Limited</t>
        </is>
      </c>
      <c r="E110" s="31" t="inlineStr">
        <is>
          <t>industrials</t>
        </is>
      </c>
      <c r="F110" s="31" t="inlineStr">
        <is>
          <t>engineering</t>
        </is>
      </c>
      <c r="G110" s="31" t="inlineStr">
        <is>
          <t>smallcap</t>
        </is>
      </c>
      <c r="H110" s="32" t="n">
        <v>1156.55</v>
      </c>
      <c r="I110" s="32" t="n">
        <v>330.7</v>
      </c>
      <c r="J110" s="32" t="n">
        <v>0.14</v>
      </c>
      <c r="K110" s="32" t="n">
        <v>194546</v>
      </c>
      <c r="L110" s="31" t="n">
        <v>55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71.86</v>
      </c>
      <c r="P110" s="32" t="n">
        <v>16.72</v>
      </c>
      <c r="Q110" s="32" t="n">
        <v>244.95</v>
      </c>
      <c r="R110" s="31" t="inlineStr">
        <is>
          <t>Volume Spike &amp; Near 52W High Breakout</t>
        </is>
      </c>
      <c r="S110" s="31" t="inlineStr">
        <is>
          <t>Nifty Infra</t>
        </is>
      </c>
      <c r="T110" s="32" t="n">
        <v>1.74</v>
      </c>
      <c r="U110" s="32" t="n">
        <v>6.76</v>
      </c>
      <c r="V110" s="32" t="n">
        <v>4.94</v>
      </c>
      <c r="W110" s="32" t="n">
        <v>11.12</v>
      </c>
      <c r="X110" s="31" t="inlineStr">
        <is>
          <t>Cyclical in an Upturn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0 to 20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IF(B111=0,"",RANK(B111,$B$2:$B$300,0))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STYLAMIND</t>
        </is>
      </c>
      <c r="D111" s="31" t="inlineStr">
        <is>
          <t>Stylam Industries Ltd</t>
        </is>
      </c>
      <c r="E111" s="31" t="inlineStr">
        <is>
          <t>building materials</t>
        </is>
      </c>
      <c r="F111" s="31" t="inlineStr">
        <is>
          <t>miscellaneous</t>
        </is>
      </c>
      <c r="G111" s="31" t="inlineStr">
        <is>
          <t>midcap</t>
        </is>
      </c>
      <c r="H111" s="32" t="n">
        <v>5508.8</v>
      </c>
      <c r="I111" s="32" t="n">
        <v>3250.4</v>
      </c>
      <c r="J111" s="32" t="n">
        <v>0.02</v>
      </c>
      <c r="K111" s="32" t="n">
        <v>22393</v>
      </c>
      <c r="L111" s="31" t="n">
        <v>84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81.12</v>
      </c>
      <c r="P111" s="32" t="n">
        <v>66.95999999999999</v>
      </c>
      <c r="Q111" s="32" t="n">
        <v>2778.96</v>
      </c>
      <c r="R111" s="31" t="inlineStr">
        <is>
          <t>Near 52W High Breakout</t>
        </is>
      </c>
      <c r="S111" s="31" t="inlineStr">
        <is>
          <t>Nifty Infra</t>
        </is>
      </c>
      <c r="T111" s="32" t="n">
        <v>1.74</v>
      </c>
      <c r="U111" s="32" t="n">
        <v>86.75</v>
      </c>
      <c r="V111" s="32" t="n">
        <v>83.56</v>
      </c>
      <c r="W111" s="32" t="n">
        <v>23.3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Above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Negative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IF(B112=0,"",RANK(B112,$B$2:$B$300,0))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SKYGOLD</t>
        </is>
      </c>
      <c r="D112" s="31" t="inlineStr">
        <is>
          <t>Sky Gold Ltd</t>
        </is>
      </c>
      <c r="E112" s="31" t="inlineStr">
        <is>
          <t>consumer discretionary</t>
        </is>
      </c>
      <c r="F112" s="31" t="inlineStr">
        <is>
          <t>diamond cutting / jewellery</t>
        </is>
      </c>
      <c r="G112" s="31" t="inlineStr">
        <is>
          <t>midcap</t>
        </is>
      </c>
      <c r="H112" s="32" t="n">
        <v>9622.309999999999</v>
      </c>
      <c r="I112" s="32" t="n">
        <v>621.3</v>
      </c>
      <c r="J112" s="32" t="n">
        <v>-0.18</v>
      </c>
      <c r="K112" s="32" t="n">
        <v>804246</v>
      </c>
      <c r="L112" s="31" t="n">
        <v>86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72.31</v>
      </c>
      <c r="P112" s="32" t="n">
        <v>53.35</v>
      </c>
      <c r="Q112" s="32" t="n">
        <v>457.34</v>
      </c>
      <c r="R112" s="31" t="inlineStr">
        <is>
          <t>Near 52W High Breakout</t>
        </is>
      </c>
      <c r="S112" s="31" t="inlineStr">
        <is>
          <t>Nifty 50</t>
        </is>
      </c>
      <c r="T112" s="32" t="n">
        <v>-2.54</v>
      </c>
      <c r="U112" s="32" t="n">
        <v>90.06</v>
      </c>
      <c r="V112" s="32" t="n">
        <v>95.01000000000001</v>
      </c>
      <c r="W112" s="32" t="n">
        <v>24.64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Negative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Between 0.7 to 1.2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IF(B113=0,"",RANK(B113,$B$2:$B$300,0))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CENTUM</t>
        </is>
      </c>
      <c r="D113" s="31" t="inlineStr">
        <is>
          <t>Centum Electronics Limited</t>
        </is>
      </c>
      <c r="E113" s="31" t="inlineStr">
        <is>
          <t>consumer discretionary</t>
        </is>
      </c>
      <c r="F113" s="31" t="inlineStr">
        <is>
          <t>electronics - components</t>
        </is>
      </c>
      <c r="G113" s="31" t="inlineStr">
        <is>
          <t>midcap</t>
        </is>
      </c>
      <c r="H113" s="32" t="n">
        <v>5477.66</v>
      </c>
      <c r="I113" s="32" t="n">
        <v>3711.4</v>
      </c>
      <c r="J113" s="32" t="n">
        <v>-0.34</v>
      </c>
      <c r="K113" s="32" t="n">
        <v>35768</v>
      </c>
      <c r="L113" s="31" t="n">
        <v>68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70.09999999999999</v>
      </c>
      <c r="P113" s="32" t="n">
        <v>61.25</v>
      </c>
      <c r="Q113" s="32" t="n">
        <v>2755.59</v>
      </c>
      <c r="R113" s="31" t="inlineStr">
        <is>
          <t>Near 52W High Breakout</t>
        </is>
      </c>
      <c r="S113" s="31" t="inlineStr">
        <is>
          <t>Nifty Infra</t>
        </is>
      </c>
      <c r="T113" s="32" t="n">
        <v>1.74</v>
      </c>
      <c r="U113" s="32" t="n">
        <v>60</v>
      </c>
      <c r="V113" s="32" t="n">
        <v>57.26</v>
      </c>
      <c r="W113" s="32" t="n">
        <v>14.94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Above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Less than 12%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Less than 50%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IF(B114=0,"",RANK(B114,$B$2:$B$300,0))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NYKAA</t>
        </is>
      </c>
      <c r="D114" s="31" t="inlineStr">
        <is>
          <t>FSN E-Commerce Ventures Ltd</t>
        </is>
      </c>
      <c r="E114" s="31" t="inlineStr">
        <is>
          <t>i.t</t>
        </is>
      </c>
      <c r="F114" s="31" t="inlineStr">
        <is>
          <t>trading</t>
        </is>
      </c>
      <c r="G114" s="31" t="inlineStr">
        <is>
          <t>largecap</t>
        </is>
      </c>
      <c r="H114" s="32" t="n">
        <v>92496.56</v>
      </c>
      <c r="I114" s="32" t="n">
        <v>323.05</v>
      </c>
      <c r="J114" s="32" t="n">
        <v>-0.55</v>
      </c>
      <c r="K114" s="32" t="n">
        <v>4054644</v>
      </c>
      <c r="L114" s="31" t="n">
        <v>63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69.95</v>
      </c>
      <c r="P114" s="32" t="n">
        <v>33.43</v>
      </c>
      <c r="Q114" s="32" t="n">
        <v>279.38</v>
      </c>
      <c r="R114" s="31" t="inlineStr">
        <is>
          <t>Near 52W High Breakout</t>
        </is>
      </c>
      <c r="S114" s="31" t="inlineStr">
        <is>
          <t>Nifty IT</t>
        </is>
      </c>
      <c r="T114" s="32" t="n">
        <v>-21.31</v>
      </c>
      <c r="U114" s="32" t="n">
        <v>51.77</v>
      </c>
      <c r="V114" s="32" t="n">
        <v>92.87</v>
      </c>
      <c r="W114" s="32" t="n">
        <v>13.15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Between 0.7 to 1.2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IF(B115=0,"",RANK(B115,$B$2:$B$300,0))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JAYAGROGN</t>
        </is>
      </c>
      <c r="D115" s="31" t="inlineStr">
        <is>
          <t>Jayant Agro Organics Limited</t>
        </is>
      </c>
      <c r="E115" s="31" t="inlineStr">
        <is>
          <t>chemicals</t>
        </is>
      </c>
      <c r="F115" s="31" t="inlineStr">
        <is>
          <t>chemicals</t>
        </is>
      </c>
      <c r="G115" s="31" t="inlineStr">
        <is>
          <t>smallcap</t>
        </is>
      </c>
      <c r="H115" s="32" t="n">
        <v>660.78</v>
      </c>
      <c r="I115" s="32" t="n">
        <v>220.26</v>
      </c>
      <c r="J115" s="32" t="n">
        <v>-0.59</v>
      </c>
      <c r="K115" s="32" t="n">
        <v>5703</v>
      </c>
      <c r="L115" s="31" t="n">
        <v>3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56.12</v>
      </c>
      <c r="P115" s="32" t="n">
        <v>34.73</v>
      </c>
      <c r="Q115" s="32" t="n">
        <v>175.24</v>
      </c>
      <c r="R115" s="31" t="inlineStr">
        <is>
          <t>Earnings / Momentum Support</t>
        </is>
      </c>
      <c r="S115" s="31" t="inlineStr">
        <is>
          <t>Nifty IT</t>
        </is>
      </c>
      <c r="T115" s="32" t="n">
        <v>-21.31</v>
      </c>
      <c r="U115" s="32" t="n">
        <v>-15.79</v>
      </c>
      <c r="V115" s="32" t="n">
        <v>7.02</v>
      </c>
      <c r="W115" s="32" t="n">
        <v>-1.13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Less than 1.5</t>
        </is>
      </c>
      <c r="BU115" s="31">
        <f>IF(BT115="Above 2",0,IF(BT115="Between 1.5 to 2",5,IF(BT115="Less than 1.5",10,0)))</f>
        <v/>
      </c>
      <c r="BV115" s="31" t="inlineStr">
        <is>
          <t>Less than 50%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IF(B116=0,"",RANK(B116,$B$2:$B$300,0))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HONASA</t>
        </is>
      </c>
      <c r="D116" s="31" t="inlineStr">
        <is>
          <t>Honasa Consumer Ltd</t>
        </is>
      </c>
      <c r="E116" s="31" t="inlineStr">
        <is>
          <t>services</t>
        </is>
      </c>
      <c r="F116" s="31" t="inlineStr">
        <is>
          <t>trading</t>
        </is>
      </c>
      <c r="G116" s="31" t="inlineStr">
        <is>
          <t>midcap</t>
        </is>
      </c>
      <c r="H116" s="32" t="n">
        <v>15223.7</v>
      </c>
      <c r="I116" s="32" t="n">
        <v>466.95</v>
      </c>
      <c r="J116" s="32" t="n">
        <v>-0.67</v>
      </c>
      <c r="K116" s="32" t="n">
        <v>522989</v>
      </c>
      <c r="L116" s="31" t="n">
        <v>76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80.31999999999999</v>
      </c>
      <c r="P116" s="32" t="n">
        <v>50.23</v>
      </c>
      <c r="Q116" s="32" t="n">
        <v>384.68</v>
      </c>
      <c r="R116" s="31" t="inlineStr">
        <is>
          <t>Near 52W High Breakout</t>
        </is>
      </c>
      <c r="S116" s="31" t="inlineStr">
        <is>
          <t>Nifty 50</t>
        </is>
      </c>
      <c r="T116" s="32" t="n">
        <v>-2.54</v>
      </c>
      <c r="U116" s="32" t="n">
        <v>63.01</v>
      </c>
      <c r="V116" s="32" t="n">
        <v>67.26000000000001</v>
      </c>
      <c r="W116" s="32" t="n">
        <v>18.22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Above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Between 50% to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IF(B117=0,"",RANK(B117,$B$2:$B$300,0))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RSWM</t>
        </is>
      </c>
      <c r="D117" s="31" t="inlineStr">
        <is>
          <t>Rswm Limited</t>
        </is>
      </c>
      <c r="E117" s="31" t="inlineStr">
        <is>
          <t>textiles</t>
        </is>
      </c>
      <c r="F117" s="31" t="inlineStr">
        <is>
          <t>textiles - cotton/blended</t>
        </is>
      </c>
      <c r="G117" s="31" t="inlineStr">
        <is>
          <t>smallcap</t>
        </is>
      </c>
      <c r="H117" s="32" t="n">
        <v>1001.76</v>
      </c>
      <c r="I117" s="32" t="n">
        <v>212.68</v>
      </c>
      <c r="J117" s="32" t="n">
        <v>-0.92</v>
      </c>
      <c r="K117" s="32" t="n">
        <v>47138</v>
      </c>
      <c r="L117" s="31" t="n">
        <v>62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68.13</v>
      </c>
      <c r="P117" s="32" t="n">
        <v>32.21</v>
      </c>
      <c r="Q117" s="32" t="n">
        <v>157.31</v>
      </c>
      <c r="R117" s="31" t="inlineStr">
        <is>
          <t>Near 52W High Breakout</t>
        </is>
      </c>
      <c r="S117" s="31" t="inlineStr">
        <is>
          <t>Nifty 50</t>
        </is>
      </c>
      <c r="T117" s="32" t="n">
        <v>-2.54</v>
      </c>
      <c r="U117" s="32" t="n">
        <v>27.07</v>
      </c>
      <c r="V117" s="32" t="n">
        <v>30.38</v>
      </c>
      <c r="W117" s="32" t="n">
        <v>12.8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Less than 1.5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More than 1.2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IF(B118=0,"",RANK(B118,$B$2:$B$300,0))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AETHER</t>
        </is>
      </c>
      <c r="D118" s="31" t="inlineStr">
        <is>
          <t>Aether Industries Ltd</t>
        </is>
      </c>
      <c r="E118" s="31" t="inlineStr">
        <is>
          <t>chemicals</t>
        </is>
      </c>
      <c r="F118" s="31" t="inlineStr">
        <is>
          <t>chemicals</t>
        </is>
      </c>
      <c r="G118" s="31" t="inlineStr">
        <is>
          <t>midcap</t>
        </is>
      </c>
      <c r="H118" s="32" t="n">
        <v>19579.09</v>
      </c>
      <c r="I118" s="32" t="n">
        <v>1475.3</v>
      </c>
      <c r="J118" s="32" t="n">
        <v>-1.59</v>
      </c>
      <c r="K118" s="32" t="n">
        <v>190667</v>
      </c>
      <c r="L118" s="31" t="n">
        <v>77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73.42</v>
      </c>
      <c r="P118" s="32" t="n">
        <v>45.95</v>
      </c>
      <c r="Q118" s="32" t="n">
        <v>1180.38</v>
      </c>
      <c r="R118" s="31" t="inlineStr">
        <is>
          <t>Near 52W High Breakout</t>
        </is>
      </c>
      <c r="S118" s="31" t="inlineStr">
        <is>
          <t>Nifty 50</t>
        </is>
      </c>
      <c r="T118" s="32" t="n">
        <v>-2.54</v>
      </c>
      <c r="U118" s="32" t="n">
        <v>79.34999999999999</v>
      </c>
      <c r="V118" s="32" t="n">
        <v>84.02</v>
      </c>
      <c r="W118" s="32" t="n">
        <v>18.52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Less than 12%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Less than 50%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IF(B119=0,"",RANK(B119,$B$2:$B$300,0))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GABRIEL</t>
        </is>
      </c>
      <c r="D119" s="31" t="inlineStr">
        <is>
          <t>Gabriel India Limited</t>
        </is>
      </c>
      <c r="E119" s="31" t="inlineStr">
        <is>
          <t>auto</t>
        </is>
      </c>
      <c r="F119" s="31" t="inlineStr">
        <is>
          <t>auto ancillaries</t>
        </is>
      </c>
      <c r="G119" s="31" t="inlineStr">
        <is>
          <t>largecap</t>
        </is>
      </c>
      <c r="H119" s="32" t="n">
        <v>23688.56</v>
      </c>
      <c r="I119" s="32" t="n">
        <v>1336.6</v>
      </c>
      <c r="J119" s="32" t="n">
        <v>-1.95</v>
      </c>
      <c r="K119" s="32" t="n">
        <v>298429</v>
      </c>
      <c r="L119" s="31" t="n">
        <v>66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68.44</v>
      </c>
      <c r="P119" s="32" t="n">
        <v>25.57</v>
      </c>
      <c r="Q119" s="32" t="n">
        <v>1043.1</v>
      </c>
      <c r="R119" s="31" t="inlineStr">
        <is>
          <t>Volume Spike &amp; Near 52W High Breakout</t>
        </is>
      </c>
      <c r="S119" s="31" t="inlineStr">
        <is>
          <t>Nifty Auto</t>
        </is>
      </c>
      <c r="T119" s="32" t="n">
        <v>13.41</v>
      </c>
      <c r="U119" s="32" t="n">
        <v>32.19</v>
      </c>
      <c r="V119" s="32" t="n">
        <v>16.56</v>
      </c>
      <c r="W119" s="32" t="n">
        <v>14.07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Less than 12%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IF(B120=0,"",RANK(B120,$B$2:$B$300,0))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RAMCOIND</t>
        </is>
      </c>
      <c r="D120" s="31" t="inlineStr">
        <is>
          <t>Ramco Industries Limited</t>
        </is>
      </c>
      <c r="E120" s="31" t="inlineStr">
        <is>
          <t>building materials</t>
        </is>
      </c>
      <c r="F120" s="31" t="inlineStr">
        <is>
          <t>cement products</t>
        </is>
      </c>
      <c r="G120" s="31" t="inlineStr">
        <is>
          <t>smallcap</t>
        </is>
      </c>
      <c r="H120" s="32" t="n">
        <v>3069.41</v>
      </c>
      <c r="I120" s="32" t="n">
        <v>353.45</v>
      </c>
      <c r="J120" s="32" t="n">
        <v>-2.01</v>
      </c>
      <c r="K120" s="32" t="n">
        <v>211771</v>
      </c>
      <c r="L120" s="31" t="n">
        <v>51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62.95</v>
      </c>
      <c r="P120" s="32" t="n">
        <v>25.61</v>
      </c>
      <c r="Q120" s="32" t="n">
        <v>278.92</v>
      </c>
      <c r="R120" s="31" t="inlineStr">
        <is>
          <t>Earnings / Momentum Support</t>
        </is>
      </c>
      <c r="S120" s="31" t="inlineStr">
        <is>
          <t>Nifty Infra</t>
        </is>
      </c>
      <c r="T120" s="32" t="n">
        <v>1.74</v>
      </c>
      <c r="U120" s="32" t="n">
        <v>22.34</v>
      </c>
      <c r="V120" s="32" t="n">
        <v>20.24</v>
      </c>
      <c r="W120" s="32" t="n">
        <v>10.25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IF(B121=0,"",RANK(B121,$B$2:$B$300,0))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ABB</t>
        </is>
      </c>
      <c r="D121" s="31" t="inlineStr">
        <is>
          <t>Abb India Limited</t>
        </is>
      </c>
      <c r="E121" s="31" t="inlineStr">
        <is>
          <t>industrials</t>
        </is>
      </c>
      <c r="F121" s="31" t="inlineStr">
        <is>
          <t>electric equipment</t>
        </is>
      </c>
      <c r="G121" s="31" t="inlineStr">
        <is>
          <t>largecap</t>
        </is>
      </c>
      <c r="H121" s="32" t="n">
        <v>159058.43</v>
      </c>
      <c r="I121" s="32" t="n">
        <v>7506</v>
      </c>
      <c r="J121" s="32" t="n">
        <v>-2.11</v>
      </c>
      <c r="K121" s="32" t="n">
        <v>366304</v>
      </c>
      <c r="L121" s="31" t="n">
        <v>46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63.32</v>
      </c>
      <c r="P121" s="32" t="n">
        <v>36.86</v>
      </c>
      <c r="Q121" s="32" t="n">
        <v>5987.65</v>
      </c>
      <c r="R121" s="31" t="inlineStr">
        <is>
          <t>Volume Spike &amp; Near 52W High Breakout</t>
        </is>
      </c>
      <c r="S121" s="31" t="inlineStr">
        <is>
          <t>Nifty 50</t>
        </is>
      </c>
      <c r="T121" s="32" t="n">
        <v>-2.54</v>
      </c>
      <c r="U121" s="32" t="n">
        <v>33.73</v>
      </c>
      <c r="V121" s="32" t="n">
        <v>37.22</v>
      </c>
      <c r="W121" s="32" t="n">
        <v>8.93</v>
      </c>
      <c r="X121" s="31" t="inlineStr">
        <is>
          <t>Cyclical in an Upturn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IF(B122=0,"",RANK(B122,$B$2:$B$300,0))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AARTIIND</t>
        </is>
      </c>
      <c r="D122" s="31" t="inlineStr">
        <is>
          <t>Aarti Industries Limited</t>
        </is>
      </c>
      <c r="E122" s="31" t="inlineStr">
        <is>
          <t>chemicals</t>
        </is>
      </c>
      <c r="F122" s="31" t="inlineStr">
        <is>
          <t>chemicals</t>
        </is>
      </c>
      <c r="G122" s="31" t="inlineStr">
        <is>
          <t>midcap</t>
        </is>
      </c>
      <c r="H122" s="32" t="n">
        <v>17910.35</v>
      </c>
      <c r="I122" s="32" t="n">
        <v>493.95</v>
      </c>
      <c r="J122" s="32" t="n">
        <v>-2.14</v>
      </c>
      <c r="K122" s="32" t="n">
        <v>999288</v>
      </c>
      <c r="L122" s="31" t="n">
        <v>27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60.41</v>
      </c>
      <c r="P122" s="32" t="n">
        <v>24.82</v>
      </c>
      <c r="Q122" s="32" t="n">
        <v>400.33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-2.54</v>
      </c>
      <c r="U122" s="32" t="n">
        <v>10.88</v>
      </c>
      <c r="V122" s="32" t="n">
        <v>13.77</v>
      </c>
      <c r="W122" s="32" t="n">
        <v>5.43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Between 50% to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Between 0.7 to 1.2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IF(B123=0,"",RANK(B123,$B$2:$B$300,0))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MUNJALAU</t>
        </is>
      </c>
      <c r="D123" s="31" t="inlineStr">
        <is>
          <t>Munjal Auto Industries Limited</t>
        </is>
      </c>
      <c r="E123" s="31" t="inlineStr">
        <is>
          <t>auto</t>
        </is>
      </c>
      <c r="F123" s="31" t="inlineStr">
        <is>
          <t>auto ancillaries</t>
        </is>
      </c>
      <c r="G123" s="31" t="inlineStr">
        <is>
          <t>smallcap</t>
        </is>
      </c>
      <c r="H123" s="32" t="n">
        <v>1037.9</v>
      </c>
      <c r="I123" s="32" t="n">
        <v>103.79</v>
      </c>
      <c r="J123" s="32" t="n">
        <v>-2.31</v>
      </c>
      <c r="K123" s="32" t="n">
        <v>265924</v>
      </c>
      <c r="L123" s="31" t="n">
        <v>61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69.06</v>
      </c>
      <c r="P123" s="32" t="n">
        <v>35.93</v>
      </c>
      <c r="Q123" s="32" t="n">
        <v>75.75</v>
      </c>
      <c r="R123" s="31" t="inlineStr">
        <is>
          <t>Near 52W High Breakout</t>
        </is>
      </c>
      <c r="S123" s="31" t="inlineStr">
        <is>
          <t>Nifty Auto</t>
        </is>
      </c>
      <c r="T123" s="32" t="n">
        <v>13.41</v>
      </c>
      <c r="U123" s="32" t="n">
        <v>32.99</v>
      </c>
      <c r="V123" s="32" t="n">
        <v>17.26</v>
      </c>
      <c r="W123" s="32" t="n">
        <v>12.5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Less than 1.5</t>
        </is>
      </c>
      <c r="BU123" s="31">
        <f>IF(BT123="Above 2",0,IF(BT123="Between 1.5 to 2",5,IF(BT123="Less than 1.5",10,0)))</f>
        <v/>
      </c>
      <c r="BV123" s="31" t="inlineStr">
        <is>
          <t>Less than 50%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Between 0.7 to 1.2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IF(B124=0,"",RANK(B124,$B$2:$B$300,0))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SETL</t>
        </is>
      </c>
      <c r="D124" s="31" t="inlineStr">
        <is>
          <t>Standard Enginnering Technology Ltd</t>
        </is>
      </c>
      <c r="E124" s="31" t="inlineStr">
        <is>
          <t>industrials</t>
        </is>
      </c>
      <c r="F124" s="31" t="inlineStr">
        <is>
          <t>engineering</t>
        </is>
      </c>
      <c r="G124" s="31" t="inlineStr">
        <is>
          <t>midcap</t>
        </is>
      </c>
      <c r="H124" s="32" t="n">
        <v>5607.71</v>
      </c>
      <c r="I124" s="32" t="n">
        <v>281.1</v>
      </c>
      <c r="J124" s="32" t="n">
        <v>-2.48</v>
      </c>
      <c r="K124" s="32" t="n">
        <v>393717</v>
      </c>
      <c r="L124" s="31" t="n">
        <v>95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81.95999999999999</v>
      </c>
      <c r="P124" s="32" t="n">
        <v>29.49</v>
      </c>
      <c r="Q124" s="32" t="n">
        <v>217.02</v>
      </c>
      <c r="R124" s="31" t="inlineStr">
        <is>
          <t>Near 52W High Breakout</t>
        </is>
      </c>
      <c r="S124" s="31" t="inlineStr">
        <is>
          <t>Nifty 50</t>
        </is>
      </c>
      <c r="T124" s="32" t="n">
        <v>-2.54</v>
      </c>
      <c r="U124" s="32" t="n">
        <v>52.76</v>
      </c>
      <c r="V124" s="32" t="n">
        <v>56.74</v>
      </c>
      <c r="W124" s="32" t="n">
        <v>37.4</v>
      </c>
      <c r="X124" s="31" t="inlineStr">
        <is>
          <t>Cyclical in an Upturn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Above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Less than 50%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IF(B125=0,"",RANK(B125,$B$2:$B$300,0))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HFCL</t>
        </is>
      </c>
      <c r="D125" s="31" t="inlineStr">
        <is>
          <t>HFCL Ltd</t>
        </is>
      </c>
      <c r="E125" s="31" t="inlineStr">
        <is>
          <t>telecom</t>
        </is>
      </c>
      <c r="F125" s="31" t="inlineStr">
        <is>
          <t>cables - telephone</t>
        </is>
      </c>
      <c r="G125" s="31" t="inlineStr">
        <is>
          <t>largecap</t>
        </is>
      </c>
      <c r="H125" s="32" t="n">
        <v>32627.85</v>
      </c>
      <c r="I125" s="32" t="n">
        <v>213.17</v>
      </c>
      <c r="J125" s="32" t="n">
        <v>-5</v>
      </c>
      <c r="K125" s="32" t="n">
        <v>14642282</v>
      </c>
      <c r="L125" s="31" t="n">
        <v>98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82.43000000000001</v>
      </c>
      <c r="P125" s="32" t="n">
        <v>69.3</v>
      </c>
      <c r="Q125" s="32" t="n">
        <v>162.41</v>
      </c>
      <c r="R125" s="31" t="inlineStr">
        <is>
          <t>Near 52W High Breakout</t>
        </is>
      </c>
      <c r="S125" s="31" t="inlineStr">
        <is>
          <t>Nifty Infra</t>
        </is>
      </c>
      <c r="T125" s="32" t="n">
        <v>1.74</v>
      </c>
      <c r="U125" s="32" t="n">
        <v>161.74</v>
      </c>
      <c r="V125" s="32" t="n">
        <v>157.26</v>
      </c>
      <c r="W125" s="32" t="n">
        <v>53.93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Oligopoly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Yes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Above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Negative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IF(B126=0,"",RANK(B126,$B$2:$B$300,0))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TECHM</t>
        </is>
      </c>
      <c r="D126" s="31" t="inlineStr">
        <is>
          <t>Tech Mahindra Limited</t>
        </is>
      </c>
      <c r="E126" s="31" t="inlineStr">
        <is>
          <t>i.t</t>
        </is>
      </c>
      <c r="F126" s="31" t="inlineStr">
        <is>
          <t>computers - software - large</t>
        </is>
      </c>
      <c r="G126" s="31" t="inlineStr">
        <is>
          <t>largecap</t>
        </is>
      </c>
      <c r="H126" s="32" t="n">
        <v>154119.23</v>
      </c>
      <c r="I126" s="32" t="n">
        <v>1572.9</v>
      </c>
      <c r="J126" s="32" t="n">
        <v>4.14</v>
      </c>
      <c r="K126" s="32" t="n">
        <v>10632264</v>
      </c>
      <c r="L126" s="31" t="n">
        <v>15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60.96</v>
      </c>
      <c r="P126" s="32" t="n">
        <v>11.02</v>
      </c>
      <c r="Q126" s="32" t="n">
        <v>1271.55</v>
      </c>
      <c r="R126" s="31" t="inlineStr">
        <is>
          <t>Volume Spike / Accumulation</t>
        </is>
      </c>
      <c r="S126" s="31" t="inlineStr">
        <is>
          <t>Nifty IT</t>
        </is>
      </c>
      <c r="T126" s="32" t="n">
        <v>-21.31</v>
      </c>
      <c r="U126" s="32" t="n">
        <v>5.28</v>
      </c>
      <c r="V126" s="32" t="n">
        <v>33.79</v>
      </c>
      <c r="W126" s="32" t="n">
        <v>2.82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Headwind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Annuity, Lower One Time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0 to 20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IF(B127=0,"",RANK(B127,$B$2:$B$300,0))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IKS</t>
        </is>
      </c>
      <c r="D127" s="31" t="inlineStr">
        <is>
          <t>Inventurus Knowledge Solutions Ltd</t>
        </is>
      </c>
      <c r="E127" s="31" t="inlineStr">
        <is>
          <t>i.t</t>
        </is>
      </c>
      <c r="F127" s="31" t="inlineStr">
        <is>
          <t>computers - software - medium / small</t>
        </is>
      </c>
      <c r="G127" s="31" t="inlineStr">
        <is>
          <t>largecap</t>
        </is>
      </c>
      <c r="H127" s="32" t="n">
        <v>32549.14</v>
      </c>
      <c r="I127" s="32" t="n">
        <v>1897.1</v>
      </c>
      <c r="J127" s="32" t="n">
        <v>1.82</v>
      </c>
      <c r="K127" s="32" t="n">
        <v>144172</v>
      </c>
      <c r="L127" s="31" t="n">
        <v>50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66.15000000000001</v>
      </c>
      <c r="P127" s="32" t="n">
        <v>11.43</v>
      </c>
      <c r="Q127" s="32" t="n">
        <v>1550.27</v>
      </c>
      <c r="R127" s="31" t="inlineStr">
        <is>
          <t>Near 52W High Breakout</t>
        </is>
      </c>
      <c r="S127" s="31" t="inlineStr">
        <is>
          <t>Nifty IT</t>
        </is>
      </c>
      <c r="T127" s="32" t="n">
        <v>-21.31</v>
      </c>
      <c r="U127" s="32" t="n">
        <v>19.44</v>
      </c>
      <c r="V127" s="32" t="n">
        <v>51.79</v>
      </c>
      <c r="W127" s="32" t="n">
        <v>9.800000000000001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0 to 20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Between 50% to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IF(B128=0,"",RANK(B128,$B$2:$B$300,0))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BALRAMCHIN</t>
        </is>
      </c>
      <c r="D128" s="31" t="inlineStr">
        <is>
          <t>Balrampur Chini Mills Limited</t>
        </is>
      </c>
      <c r="E128" s="31" t="inlineStr">
        <is>
          <t>fmcg</t>
        </is>
      </c>
      <c r="F128" s="31" t="inlineStr">
        <is>
          <t>sugar</t>
        </is>
      </c>
      <c r="G128" s="31" t="inlineStr">
        <is>
          <t>midcap</t>
        </is>
      </c>
      <c r="H128" s="32" t="n">
        <v>12770.05</v>
      </c>
      <c r="I128" s="32" t="n">
        <v>604.45</v>
      </c>
      <c r="J128" s="32" t="n">
        <v>1.08</v>
      </c>
      <c r="K128" s="32" t="n">
        <v>1140005</v>
      </c>
      <c r="L128" s="31" t="n">
        <v>32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74.34</v>
      </c>
      <c r="P128" s="32" t="n">
        <v>31.65</v>
      </c>
      <c r="Q128" s="32" t="n">
        <v>497</v>
      </c>
      <c r="R128" s="31" t="inlineStr">
        <is>
          <t>Volume Spike &amp; Near 52W High Breakout</t>
        </is>
      </c>
      <c r="S128" s="31" t="inlineStr">
        <is>
          <t>Nifty FMCG</t>
        </is>
      </c>
      <c r="T128" s="32" t="n">
        <v>-13.73</v>
      </c>
      <c r="U128" s="32" t="n">
        <v>-1.41</v>
      </c>
      <c r="V128" s="32" t="n">
        <v>14.28</v>
      </c>
      <c r="W128" s="32" t="n">
        <v>6.14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B2C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Less than 12%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Between 0.7 to 1.2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IF(B129=0,"",RANK(B129,$B$2:$B$300,0))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3" t="inlineStr">
        <is>
          <t>RAINBOW</t>
        </is>
      </c>
      <c r="D129" s="33" t="inlineStr">
        <is>
          <t>Rainbow Childrens Medicare Ltd</t>
        </is>
      </c>
      <c r="E129" s="31" t="inlineStr">
        <is>
          <t>healthcare</t>
        </is>
      </c>
      <c r="F129" s="31" t="inlineStr">
        <is>
          <t>healthcare</t>
        </is>
      </c>
      <c r="G129" s="31" t="inlineStr">
        <is>
          <t>midcap</t>
        </is>
      </c>
      <c r="H129" s="32" t="n">
        <v>15166.84</v>
      </c>
      <c r="I129" s="32" t="n">
        <v>1493.4</v>
      </c>
      <c r="J129" s="32" t="n">
        <v>0.17</v>
      </c>
      <c r="K129" s="32" t="n">
        <v>55868</v>
      </c>
      <c r="L129" s="31" t="n">
        <v>20</v>
      </c>
      <c r="M129" s="31" t="inlineStr">
        <is>
          <t>Underperforming</t>
        </is>
      </c>
      <c r="N129" s="32">
        <f>IF(M129="Underperforming",-5,IF(L129&gt;=95,15,IF(L129&gt;=90,10,IF(L129&gt;=80,5,0))))</f>
        <v/>
      </c>
      <c r="O129" s="32" t="n">
        <v>67.94</v>
      </c>
      <c r="P129" s="32" t="n">
        <v>31.12</v>
      </c>
      <c r="Q129" s="32" t="n">
        <v>1257.87</v>
      </c>
      <c r="R129" s="31" t="inlineStr">
        <is>
          <t>Earnings / Momentum Support</t>
        </is>
      </c>
      <c r="S129" s="31" t="inlineStr">
        <is>
          <t>Nifty Pharma</t>
        </is>
      </c>
      <c r="T129" s="32" t="n">
        <v>13.51</v>
      </c>
      <c r="U129" s="32" t="n">
        <v>-2.17</v>
      </c>
      <c r="V129" s="32" t="n">
        <v>-13.81</v>
      </c>
      <c r="W129" s="32" t="n">
        <v>4.02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Yes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IF(B130=0,"",RANK(B130,$B$2:$B$300,0))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SUNPHARMA</t>
        </is>
      </c>
      <c r="D130" s="31" t="inlineStr">
        <is>
          <t>Sun Pharmaceuticals Industries Limited</t>
        </is>
      </c>
      <c r="E130" s="31" t="inlineStr">
        <is>
          <t>healthcare</t>
        </is>
      </c>
      <c r="F130" s="31" t="inlineStr">
        <is>
          <t>pharmaceuticals - indian - bulk drugs &amp; formln</t>
        </is>
      </c>
      <c r="G130" s="31" t="inlineStr">
        <is>
          <t>largecap</t>
        </is>
      </c>
      <c r="H130" s="32" t="n">
        <v>463695.48</v>
      </c>
      <c r="I130" s="32" t="n">
        <v>1932.6</v>
      </c>
      <c r="J130" s="32" t="n">
        <v>-0.9</v>
      </c>
      <c r="K130" s="32" t="n">
        <v>2475664</v>
      </c>
      <c r="L130" s="31" t="n">
        <v>32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64.93000000000001</v>
      </c>
      <c r="P130" s="32" t="n">
        <v>18.64</v>
      </c>
      <c r="Q130" s="32" t="n">
        <v>1707.77</v>
      </c>
      <c r="R130" s="31" t="inlineStr">
        <is>
          <t>Near 52W High Breakout</t>
        </is>
      </c>
      <c r="S130" s="31" t="inlineStr">
        <is>
          <t>Nifty Pharma</t>
        </is>
      </c>
      <c r="T130" s="32" t="n">
        <v>13.51</v>
      </c>
      <c r="U130" s="32" t="n">
        <v>15.15</v>
      </c>
      <c r="V130" s="32" t="n">
        <v>1.45</v>
      </c>
      <c r="W130" s="32" t="n">
        <v>6.18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Yes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0 to 20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Between 1.5 to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IF(B131=0,"",RANK(B131,$B$2:$B$300,0))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TATATECH</t>
        </is>
      </c>
      <c r="D131" s="31" t="inlineStr">
        <is>
          <t>Tata Technologies Ltd</t>
        </is>
      </c>
      <c r="E131" s="31" t="inlineStr">
        <is>
          <t>i.t</t>
        </is>
      </c>
      <c r="F131" s="31" t="inlineStr">
        <is>
          <t>computers - software - medium / small</t>
        </is>
      </c>
      <c r="G131" s="31" t="inlineStr">
        <is>
          <t>largecap</t>
        </is>
      </c>
      <c r="H131" s="32" t="n">
        <v>30780.76</v>
      </c>
      <c r="I131" s="32" t="n">
        <v>758.05</v>
      </c>
      <c r="J131" s="32" t="n">
        <v>-0.98</v>
      </c>
      <c r="K131" s="32" t="n">
        <v>923532</v>
      </c>
      <c r="L131" s="31" t="n">
        <v>44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67.06</v>
      </c>
      <c r="P131" s="32" t="n">
        <v>29.24</v>
      </c>
      <c r="Q131" s="32" t="n">
        <v>611.13</v>
      </c>
      <c r="R131" s="31" t="inlineStr">
        <is>
          <t>Near 52W High Breakout</t>
        </is>
      </c>
      <c r="S131" s="31" t="inlineStr">
        <is>
          <t>Nifty IT</t>
        </is>
      </c>
      <c r="T131" s="32" t="n">
        <v>-21.31</v>
      </c>
      <c r="U131" s="32" t="n">
        <v>8.029999999999999</v>
      </c>
      <c r="V131" s="32" t="n">
        <v>37.28</v>
      </c>
      <c r="W131" s="32" t="n">
        <v>8.58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Annuity, Lower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Less than 12%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IF(B132=0,"",RANK(B132,$B$2:$B$300,0))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CAPLIPOINT</t>
        </is>
      </c>
      <c r="D132" s="31" t="inlineStr">
        <is>
          <t>Caplin Point Laboratories Limited</t>
        </is>
      </c>
      <c r="E132" s="31" t="inlineStr">
        <is>
          <t>healthcare</t>
        </is>
      </c>
      <c r="F132" s="31" t="inlineStr">
        <is>
          <t>pharmaceuticals - indian - formulations</t>
        </is>
      </c>
      <c r="G132" s="31" t="inlineStr">
        <is>
          <t>midcap</t>
        </is>
      </c>
      <c r="H132" s="32" t="n">
        <v>19870.98</v>
      </c>
      <c r="I132" s="32" t="n">
        <v>2614.2</v>
      </c>
      <c r="J132" s="32" t="n">
        <v>-2.14</v>
      </c>
      <c r="K132" s="32" t="n">
        <v>71088</v>
      </c>
      <c r="L132" s="31" t="n">
        <v>72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81.14</v>
      </c>
      <c r="P132" s="32" t="n">
        <v>33.13</v>
      </c>
      <c r="Q132" s="32" t="n">
        <v>2155.48</v>
      </c>
      <c r="R132" s="31" t="inlineStr">
        <is>
          <t>Near 52W High Breakout</t>
        </is>
      </c>
      <c r="S132" s="31" t="inlineStr">
        <is>
          <t>Nifty Pharma</t>
        </is>
      </c>
      <c r="T132" s="32" t="n">
        <v>13.51</v>
      </c>
      <c r="U132" s="32" t="n">
        <v>24.7</v>
      </c>
      <c r="V132" s="32" t="n">
        <v>9.859999999999999</v>
      </c>
      <c r="W132" s="32" t="n">
        <v>15.86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Yes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Annuity, Lower One Time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Above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Between 12 to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Between 1.5 to 2</t>
        </is>
      </c>
      <c r="BU132" s="31">
        <f>IF(BT132="Above 2",0,IF(BT132="Between 1.5 to 2",5,IF(BT132="Less than 1.5",10,0)))</f>
        <v/>
      </c>
      <c r="BV132" s="31" t="inlineStr">
        <is>
          <t>Between 50% to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IF(B133=0,"",RANK(B133,$B$2:$B$300,0))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HMVL</t>
        </is>
      </c>
      <c r="D133" s="31" t="inlineStr">
        <is>
          <t>Hindustan Media Ventures Limited</t>
        </is>
      </c>
      <c r="E133" s="31" t="inlineStr">
        <is>
          <t>media</t>
        </is>
      </c>
      <c r="F133" s="31" t="inlineStr">
        <is>
          <t>entertainment / electronic media software</t>
        </is>
      </c>
      <c r="G133" s="31" t="inlineStr">
        <is>
          <t>smallcap</t>
        </is>
      </c>
      <c r="H133" s="32" t="n">
        <v>656.49</v>
      </c>
      <c r="I133" s="32" t="n">
        <v>89.11</v>
      </c>
      <c r="J133" s="32" t="n">
        <v>-2.45</v>
      </c>
      <c r="K133" s="32" t="n">
        <v>19481</v>
      </c>
      <c r="L133" s="31" t="n">
        <v>36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67.70999999999999</v>
      </c>
      <c r="P133" s="32" t="n">
        <v>28.21</v>
      </c>
      <c r="Q133" s="32" t="n">
        <v>70.02</v>
      </c>
      <c r="R133" s="31" t="inlineStr">
        <is>
          <t>Near 52W High Breakout</t>
        </is>
      </c>
      <c r="S133" s="31" t="inlineStr">
        <is>
          <t>Nifty IT</t>
        </is>
      </c>
      <c r="T133" s="32" t="n">
        <v>-21.31</v>
      </c>
      <c r="U133" s="32" t="n">
        <v>-0.64</v>
      </c>
      <c r="V133" s="32" t="n">
        <v>26.27</v>
      </c>
      <c r="W133" s="32" t="n">
        <v>7.01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Annuity, Lower One Time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Less than 12%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Between 50% to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IF(B134=0,"",RANK(B134,$B$2:$B$300,0))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AKUMS</t>
        </is>
      </c>
      <c r="D134" s="31" t="inlineStr">
        <is>
          <t>Akums Drugs &amp; Pharmaceuticals Ltd</t>
        </is>
      </c>
      <c r="E134" s="31" t="inlineStr">
        <is>
          <t>healthcare</t>
        </is>
      </c>
      <c r="F134" s="31" t="inlineStr">
        <is>
          <t>pharmaceuticals - indian - bulk drugs &amp; formln</t>
        </is>
      </c>
      <c r="G134" s="31" t="inlineStr">
        <is>
          <t>midcap</t>
        </is>
      </c>
      <c r="H134" s="32" t="n">
        <v>10465.91</v>
      </c>
      <c r="I134" s="32" t="n">
        <v>664.95</v>
      </c>
      <c r="J134" s="32" t="n">
        <v>-2.64</v>
      </c>
      <c r="K134" s="32" t="n">
        <v>417269</v>
      </c>
      <c r="L134" s="31" t="n">
        <v>47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68.67</v>
      </c>
      <c r="P134" s="32" t="n">
        <v>47.34</v>
      </c>
      <c r="Q134" s="32" t="n">
        <v>563.73</v>
      </c>
      <c r="R134" s="31" t="inlineStr">
        <is>
          <t>Earnings / Momentum Support</t>
        </is>
      </c>
      <c r="S134" s="31" t="inlineStr">
        <is>
          <t>Nifty Pharma</t>
        </is>
      </c>
      <c r="T134" s="32" t="n">
        <v>13.51</v>
      </c>
      <c r="U134" s="32" t="n">
        <v>20.85</v>
      </c>
      <c r="V134" s="32" t="n">
        <v>6.46</v>
      </c>
      <c r="W134" s="32" t="n">
        <v>9.48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Yes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Annuity, Lower One Time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Above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Less than 12%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IF(B135=0,"",RANK(B135,$B$2:$B$300,0))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WANBURY</t>
        </is>
      </c>
      <c r="D135" s="31" t="inlineStr">
        <is>
          <t>Wanbury Limited</t>
        </is>
      </c>
      <c r="E135" s="31" t="inlineStr">
        <is>
          <t>healthcare</t>
        </is>
      </c>
      <c r="F135" s="31" t="inlineStr">
        <is>
          <t>pharmaceuticals - indian - bulk drugs &amp; formln</t>
        </is>
      </c>
      <c r="G135" s="31" t="inlineStr">
        <is>
          <t>smallcap</t>
        </is>
      </c>
      <c r="H135" s="32" t="n">
        <v>1160.69</v>
      </c>
      <c r="I135" s="32" t="n">
        <v>332.2</v>
      </c>
      <c r="J135" s="32" t="n">
        <v>-3.21</v>
      </c>
      <c r="K135" s="32" t="n">
        <v>475298</v>
      </c>
      <c r="L135" s="31" t="n">
        <v>53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66.51000000000001</v>
      </c>
      <c r="P135" s="32" t="n">
        <v>16.8</v>
      </c>
      <c r="Q135" s="32" t="n">
        <v>232.94</v>
      </c>
      <c r="R135" s="31" t="inlineStr">
        <is>
          <t>Volume Spike &amp; Near 52W High Breakout</t>
        </is>
      </c>
      <c r="S135" s="31" t="inlineStr">
        <is>
          <t>Nifty Pharma</t>
        </is>
      </c>
      <c r="T135" s="32" t="n">
        <v>13.51</v>
      </c>
      <c r="U135" s="32" t="n">
        <v>21.17</v>
      </c>
      <c r="V135" s="32" t="n">
        <v>6.75</v>
      </c>
      <c r="W135" s="32" t="n">
        <v>10.76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Yes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Annuity, Lower One Time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0 to 20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IF(B136=0,"",RANK(B136,$B$2:$B$300,0))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ORCHPHARMA</t>
        </is>
      </c>
      <c r="D136" s="31" t="inlineStr">
        <is>
          <t>Orchid Pharma Ltd</t>
        </is>
      </c>
      <c r="E136" s="31" t="inlineStr">
        <is>
          <t>healthcare</t>
        </is>
      </c>
      <c r="F136" s="31" t="inlineStr">
        <is>
          <t>pharmaceuticals - indian - bulk drugs &amp; formln</t>
        </is>
      </c>
      <c r="G136" s="31" t="inlineStr">
        <is>
          <t>midcap</t>
        </is>
      </c>
      <c r="H136" s="32" t="n">
        <v>5281.63</v>
      </c>
      <c r="I136" s="32" t="n">
        <v>1041.35</v>
      </c>
      <c r="J136" s="32" t="n">
        <v>-3.48</v>
      </c>
      <c r="K136" s="32" t="n">
        <v>122223</v>
      </c>
      <c r="L136" s="31" t="n">
        <v>88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75.98999999999999</v>
      </c>
      <c r="P136" s="32" t="n">
        <v>39.09</v>
      </c>
      <c r="Q136" s="32" t="n">
        <v>770.3</v>
      </c>
      <c r="R136" s="31" t="inlineStr">
        <is>
          <t>Near 52W High Breakout</t>
        </is>
      </c>
      <c r="S136" s="31" t="inlineStr">
        <is>
          <t>Nifty Pharma</t>
        </is>
      </c>
      <c r="T136" s="32" t="n">
        <v>13.51</v>
      </c>
      <c r="U136" s="32" t="n">
        <v>42.15</v>
      </c>
      <c r="V136" s="32" t="n">
        <v>25.24</v>
      </c>
      <c r="W136" s="32" t="n">
        <v>28.65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Yes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Annuity, Lower One Time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Above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IF(B137=0,"",RANK(B137,$B$2:$B$300,0))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MIRZAINT</t>
        </is>
      </c>
      <c r="D137" s="31" t="inlineStr">
        <is>
          <t>Mirza International Limited</t>
        </is>
      </c>
      <c r="E137" s="31" t="inlineStr">
        <is>
          <t>consumer discretionary</t>
        </is>
      </c>
      <c r="F137" s="31" t="inlineStr">
        <is>
          <t>leather / leather products</t>
        </is>
      </c>
      <c r="G137" s="31" t="inlineStr">
        <is>
          <t>smallcap</t>
        </is>
      </c>
      <c r="H137" s="32" t="n">
        <v>535.39</v>
      </c>
      <c r="I137" s="32" t="n">
        <v>38.74</v>
      </c>
      <c r="J137" s="32" t="n">
        <v>4.2</v>
      </c>
      <c r="K137" s="32" t="n">
        <v>3450128</v>
      </c>
      <c r="L137" s="31" t="n">
        <v>38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59.51</v>
      </c>
      <c r="P137" s="32" t="n">
        <v>13.83</v>
      </c>
      <c r="Q137" s="32" t="n">
        <v>28.8</v>
      </c>
      <c r="R137" s="31" t="inlineStr">
        <is>
          <t>Volume Spike / Accumulation</t>
        </is>
      </c>
      <c r="S137" s="31" t="inlineStr">
        <is>
          <t>Nifty 50</t>
        </is>
      </c>
      <c r="T137" s="32" t="n">
        <v>-2.54</v>
      </c>
      <c r="U137" s="32" t="n">
        <v>19.72</v>
      </c>
      <c r="V137" s="32" t="n">
        <v>22.84</v>
      </c>
      <c r="W137" s="32" t="n">
        <v>7.27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0 to 20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IF(B138=0,"",RANK(B138,$B$2:$B$300,0))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VAIBHAVGBL</t>
        </is>
      </c>
      <c r="D138" s="31" t="inlineStr">
        <is>
          <t>Vaibhav Global Limited</t>
        </is>
      </c>
      <c r="E138" s="31" t="inlineStr">
        <is>
          <t>consumer discretionary</t>
        </is>
      </c>
      <c r="F138" s="31" t="inlineStr">
        <is>
          <t>diamond cutting / jewellery</t>
        </is>
      </c>
      <c r="G138" s="31" t="inlineStr">
        <is>
          <t>smallcap</t>
        </is>
      </c>
      <c r="H138" s="32" t="n">
        <v>4378.34</v>
      </c>
      <c r="I138" s="32" t="n">
        <v>262.07</v>
      </c>
      <c r="J138" s="32" t="n">
        <v>4.15</v>
      </c>
      <c r="K138" s="32" t="n">
        <v>866511</v>
      </c>
      <c r="L138" s="31" t="n">
        <v>29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63.1</v>
      </c>
      <c r="P138" s="32" t="n">
        <v>17.99</v>
      </c>
      <c r="Q138" s="32" t="n">
        <v>197.33</v>
      </c>
      <c r="R138" s="31" t="inlineStr">
        <is>
          <t>Near 52W High Breakout</t>
        </is>
      </c>
      <c r="S138" s="31" t="inlineStr">
        <is>
          <t>Nifty 50</t>
        </is>
      </c>
      <c r="T138" s="32" t="n">
        <v>-2.54</v>
      </c>
      <c r="U138" s="32" t="n">
        <v>9.1</v>
      </c>
      <c r="V138" s="32" t="n">
        <v>11.94</v>
      </c>
      <c r="W138" s="32" t="n">
        <v>5.73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0 to 20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IF(B139=0,"",RANK(B139,$B$2:$B$300,0))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AYMSYNTEX</t>
        </is>
      </c>
      <c r="D139" s="31" t="inlineStr">
        <is>
          <t>Aym Syntex Limited</t>
        </is>
      </c>
      <c r="E139" s="31" t="inlineStr">
        <is>
          <t>textiles</t>
        </is>
      </c>
      <c r="F139" s="31" t="inlineStr">
        <is>
          <t>textiles - processing</t>
        </is>
      </c>
      <c r="G139" s="31" t="inlineStr">
        <is>
          <t>smallcap</t>
        </is>
      </c>
      <c r="H139" s="32" t="n">
        <v>1435.52</v>
      </c>
      <c r="I139" s="32" t="n">
        <v>244.91</v>
      </c>
      <c r="J139" s="32" t="n">
        <v>3.81</v>
      </c>
      <c r="K139" s="32" t="n">
        <v>34732</v>
      </c>
      <c r="L139" s="31" t="n">
        <v>44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59.59</v>
      </c>
      <c r="P139" s="32" t="n">
        <v>27.67</v>
      </c>
      <c r="Q139" s="32" t="n">
        <v>180.01</v>
      </c>
      <c r="R139" s="31" t="inlineStr">
        <is>
          <t>Earnings / Momentum Support</t>
        </is>
      </c>
      <c r="S139" s="31" t="inlineStr">
        <is>
          <t>Nifty 50</t>
        </is>
      </c>
      <c r="T139" s="32" t="n">
        <v>-2.54</v>
      </c>
      <c r="U139" s="32" t="n">
        <v>6.14</v>
      </c>
      <c r="V139" s="32" t="n">
        <v>8.91</v>
      </c>
      <c r="W139" s="32" t="n">
        <v>8.640000000000001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IF(B140=0,"",RANK(B140,$B$2:$B$300,0))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OBEROIRLTY</t>
        </is>
      </c>
      <c r="D140" s="31" t="inlineStr">
        <is>
          <t>Oberoi Realty Limited</t>
        </is>
      </c>
      <c r="E140" s="31" t="inlineStr">
        <is>
          <t>realty</t>
        </is>
      </c>
      <c r="F140" s="31" t="inlineStr">
        <is>
          <t>construction</t>
        </is>
      </c>
      <c r="G140" s="31" t="inlineStr">
        <is>
          <t>largecap</t>
        </is>
      </c>
      <c r="H140" s="32" t="n">
        <v>68895.35000000001</v>
      </c>
      <c r="I140" s="32" t="n">
        <v>1894.8</v>
      </c>
      <c r="J140" s="32" t="n">
        <v>1.81</v>
      </c>
      <c r="K140" s="32" t="n">
        <v>763441</v>
      </c>
      <c r="L140" s="31" t="n">
        <v>16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65.22</v>
      </c>
      <c r="P140" s="32" t="n">
        <v>16.31</v>
      </c>
      <c r="Q140" s="32" t="n">
        <v>1610.33</v>
      </c>
      <c r="R140" s="31" t="inlineStr">
        <is>
          <t>Near 52W High Breakout</t>
        </is>
      </c>
      <c r="S140" s="31" t="inlineStr">
        <is>
          <t>Nifty Realty</t>
        </is>
      </c>
      <c r="T140" s="32" t="n">
        <v>-8.119999999999999</v>
      </c>
      <c r="U140" s="32" t="n">
        <v>3.77</v>
      </c>
      <c r="V140" s="32" t="n">
        <v>12.94</v>
      </c>
      <c r="W140" s="32" t="n">
        <v>3.1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0 to 20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Less than 50%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IF(B141=0,"",RANK(B141,$B$2:$B$300,0))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3" t="inlineStr">
        <is>
          <t>POLYPLEX</t>
        </is>
      </c>
      <c r="D141" s="33" t="inlineStr">
        <is>
          <t>Polyplex Corporation Limited</t>
        </is>
      </c>
      <c r="E141" s="31" t="inlineStr">
        <is>
          <t>industrials</t>
        </is>
      </c>
      <c r="F141" s="31" t="inlineStr">
        <is>
          <t>packaging</t>
        </is>
      </c>
      <c r="G141" s="31" t="inlineStr">
        <is>
          <t>smallcap</t>
        </is>
      </c>
      <c r="H141" s="32" t="n">
        <v>3382.69</v>
      </c>
      <c r="I141" s="32" t="n">
        <v>1077.55</v>
      </c>
      <c r="J141" s="32" t="n">
        <v>1.29</v>
      </c>
      <c r="K141" s="32" t="n">
        <v>46297</v>
      </c>
      <c r="L141" s="31" t="n">
        <v>21</v>
      </c>
      <c r="M141" s="31" t="inlineStr">
        <is>
          <t>Underperforming</t>
        </is>
      </c>
      <c r="N141" s="32">
        <f>IF(M141="Underperforming",-5,IF(L141&gt;=95,15,IF(L141&gt;=90,10,IF(L141&gt;=80,5,0))))</f>
        <v/>
      </c>
      <c r="O141" s="32" t="n">
        <v>67.33</v>
      </c>
      <c r="P141" s="32" t="n">
        <v>39.6</v>
      </c>
      <c r="Q141" s="32" t="n">
        <v>864.4299999999999</v>
      </c>
      <c r="R141" s="31" t="inlineStr">
        <is>
          <t>Near 52W High Breakout</t>
        </is>
      </c>
      <c r="S141" s="31" t="inlineStr">
        <is>
          <t>Nifty 50</t>
        </is>
      </c>
      <c r="T141" s="32" t="n">
        <v>-2.54</v>
      </c>
      <c r="U141" s="32" t="n">
        <v>-4.42</v>
      </c>
      <c r="V141" s="32" t="n">
        <v>-1.93</v>
      </c>
      <c r="W141" s="32" t="n">
        <v>4.23</v>
      </c>
      <c r="X141" s="31" t="inlineStr">
        <is>
          <t>Cyclical in an Upturn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IF(B142=0,"",RANK(B142,$B$2:$B$300,0))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TATVA</t>
        </is>
      </c>
      <c r="D142" s="31" t="inlineStr">
        <is>
          <t>Tatva Chintan Pharma Chem Ltd</t>
        </is>
      </c>
      <c r="E142" s="31" t="inlineStr">
        <is>
          <t>chemicals</t>
        </is>
      </c>
      <c r="F142" s="31" t="inlineStr">
        <is>
          <t>chemicals</t>
        </is>
      </c>
      <c r="G142" s="31" t="inlineStr">
        <is>
          <t>smallcap</t>
        </is>
      </c>
      <c r="H142" s="32" t="n">
        <v>3340.62</v>
      </c>
      <c r="I142" s="32" t="n">
        <v>1428.1</v>
      </c>
      <c r="J142" s="32" t="n">
        <v>0.7</v>
      </c>
      <c r="K142" s="32" t="n">
        <v>126914</v>
      </c>
      <c r="L142" s="31" t="n">
        <v>52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63.29</v>
      </c>
      <c r="P142" s="32" t="n">
        <v>18.29</v>
      </c>
      <c r="Q142" s="32" t="n">
        <v>1057.64</v>
      </c>
      <c r="R142" s="31" t="inlineStr">
        <is>
          <t>Volume Spike &amp; Near 52W High Breakout</t>
        </is>
      </c>
      <c r="S142" s="31" t="inlineStr">
        <is>
          <t>Nifty 50</t>
        </is>
      </c>
      <c r="T142" s="32" t="n">
        <v>-2.54</v>
      </c>
      <c r="U142" s="32" t="n">
        <v>42.9</v>
      </c>
      <c r="V142" s="32" t="n">
        <v>46.63</v>
      </c>
      <c r="W142" s="32" t="n">
        <v>10.58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0 to 20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IF(B143=0,"",RANK(B143,$B$2:$B$300,0))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3" t="inlineStr">
        <is>
          <t>SUPRAJIT</t>
        </is>
      </c>
      <c r="D143" s="33" t="inlineStr">
        <is>
          <t>Suprajit Engineering Limited</t>
        </is>
      </c>
      <c r="E143" s="31" t="inlineStr">
        <is>
          <t>auto</t>
        </is>
      </c>
      <c r="F143" s="31" t="inlineStr">
        <is>
          <t>auto ancillaries</t>
        </is>
      </c>
      <c r="G143" s="31" t="inlineStr">
        <is>
          <t>midcap</t>
        </is>
      </c>
      <c r="H143" s="32" t="n">
        <v>6722.07</v>
      </c>
      <c r="I143" s="32" t="n">
        <v>490.05</v>
      </c>
      <c r="J143" s="32" t="n">
        <v>0.5</v>
      </c>
      <c r="K143" s="32" t="n">
        <v>75670</v>
      </c>
      <c r="L143" s="31" t="n">
        <v>22</v>
      </c>
      <c r="M143" s="31" t="inlineStr">
        <is>
          <t>Underperforming</t>
        </is>
      </c>
      <c r="N143" s="32">
        <f>IF(M143="Underperforming",-5,IF(L143&gt;=95,15,IF(L143&gt;=90,10,IF(L143&gt;=80,5,0))))</f>
        <v/>
      </c>
      <c r="O143" s="32" t="n">
        <v>58.88</v>
      </c>
      <c r="P143" s="32" t="n">
        <v>33.2</v>
      </c>
      <c r="Q143" s="32" t="n">
        <v>408.61</v>
      </c>
      <c r="R143" s="31" t="inlineStr">
        <is>
          <t>Near 52W High Breakout</t>
        </is>
      </c>
      <c r="S143" s="31" t="inlineStr">
        <is>
          <t>Nifty Auto</t>
        </is>
      </c>
      <c r="T143" s="32" t="n">
        <v>13.41</v>
      </c>
      <c r="U143" s="32" t="n">
        <v>6.04</v>
      </c>
      <c r="V143" s="32" t="n">
        <v>-6.5</v>
      </c>
      <c r="W143" s="32" t="n">
        <v>4.55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Less than 50%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IF(B144=0,"",RANK(B144,$B$2:$B$300,0))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SWANDEF</t>
        </is>
      </c>
      <c r="D144" s="31" t="inlineStr">
        <is>
          <t>Swan Defence and Heavy Industries Ltd</t>
        </is>
      </c>
      <c r="E144" s="31" t="inlineStr">
        <is>
          <t>transportation</t>
        </is>
      </c>
      <c r="F144" s="31" t="inlineStr">
        <is>
          <t>miscellaneous</t>
        </is>
      </c>
      <c r="G144" s="31" t="inlineStr">
        <is>
          <t>midcap</t>
        </is>
      </c>
      <c r="H144" s="32" t="n">
        <v>11746.01</v>
      </c>
      <c r="I144" s="32" t="n">
        <v>2229.6</v>
      </c>
      <c r="J144" s="32" t="n">
        <v>0.32</v>
      </c>
      <c r="K144" s="32" t="n">
        <v>6050</v>
      </c>
      <c r="L144" s="31" t="n">
        <v>98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64.62</v>
      </c>
      <c r="P144" s="32" t="n">
        <v>46.09</v>
      </c>
      <c r="Q144" s="32" t="n">
        <v>1795.63</v>
      </c>
      <c r="R144" s="31" t="inlineStr">
        <is>
          <t>Earnings / Momentum Support</t>
        </is>
      </c>
      <c r="S144" s="31" t="inlineStr">
        <is>
          <t>Nifty 50</t>
        </is>
      </c>
      <c r="T144" s="32" t="n">
        <v>-2.54</v>
      </c>
      <c r="U144" s="32" t="n">
        <v>664.4299999999999</v>
      </c>
      <c r="V144" s="32" t="n">
        <v>684.34</v>
      </c>
      <c r="W144" s="32" t="n">
        <v>68.5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Negative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More than 1.2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IF(B145=0,"",RANK(B145,$B$2:$B$300,0))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MANGLMCEM</t>
        </is>
      </c>
      <c r="D145" s="31" t="inlineStr">
        <is>
          <t>Mangalam Cement Limited</t>
        </is>
      </c>
      <c r="E145" s="31" t="inlineStr">
        <is>
          <t>building materials</t>
        </is>
      </c>
      <c r="F145" s="31" t="inlineStr">
        <is>
          <t>cement - north india</t>
        </is>
      </c>
      <c r="G145" s="31" t="inlineStr">
        <is>
          <t>smallcap</t>
        </is>
      </c>
      <c r="H145" s="32" t="n">
        <v>2712.88</v>
      </c>
      <c r="I145" s="32" t="n">
        <v>986.6</v>
      </c>
      <c r="J145" s="32" t="n">
        <v>0.03</v>
      </c>
      <c r="K145" s="32" t="n">
        <v>112798</v>
      </c>
      <c r="L145" s="31" t="n">
        <v>41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67.06</v>
      </c>
      <c r="P145" s="32" t="n">
        <v>20.89</v>
      </c>
      <c r="Q145" s="32" t="n">
        <v>803.9299999999999</v>
      </c>
      <c r="R145" s="31" t="inlineStr">
        <is>
          <t>Near 52W High Breakout</t>
        </is>
      </c>
      <c r="S145" s="31" t="inlineStr">
        <is>
          <t>Nifty Infra</t>
        </is>
      </c>
      <c r="T145" s="32" t="n">
        <v>1.74</v>
      </c>
      <c r="U145" s="32" t="n">
        <v>34.75</v>
      </c>
      <c r="V145" s="32" t="n">
        <v>32.45</v>
      </c>
      <c r="W145" s="32" t="n">
        <v>7.96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Less than 50%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Between 0.7 to 1.2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IF(B146=0,"",RANK(B146,$B$2:$B$300,0))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PANACHE</t>
        </is>
      </c>
      <c r="D146" s="31" t="inlineStr">
        <is>
          <t>Panache Digilife Ltd</t>
        </is>
      </c>
      <c r="E146" s="31" t="inlineStr">
        <is>
          <t>i.t</t>
        </is>
      </c>
      <c r="F146" s="31" t="inlineStr">
        <is>
          <t>computers - hardware</t>
        </is>
      </c>
      <c r="G146" s="31" t="inlineStr">
        <is>
          <t>smallcap</t>
        </is>
      </c>
      <c r="H146" s="32" t="n">
        <v>690.2</v>
      </c>
      <c r="I146" s="32" t="n">
        <v>431</v>
      </c>
      <c r="J146" s="32" t="n">
        <v>-0.02</v>
      </c>
      <c r="K146" s="32" t="n">
        <v>5708</v>
      </c>
      <c r="L146" s="31" t="n">
        <v>83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62.66</v>
      </c>
      <c r="P146" s="32" t="n">
        <v>20.3</v>
      </c>
      <c r="Q146" s="32" t="n">
        <v>312.13</v>
      </c>
      <c r="R146" s="31" t="inlineStr">
        <is>
          <t>Near 52W High Breakout</t>
        </is>
      </c>
      <c r="S146" s="31" t="inlineStr">
        <is>
          <t>Nifty IT</t>
        </is>
      </c>
      <c r="T146" s="32" t="n">
        <v>-21.31</v>
      </c>
      <c r="U146" s="32" t="n">
        <v>68.3</v>
      </c>
      <c r="V146" s="32" t="n">
        <v>113.88</v>
      </c>
      <c r="W146" s="32" t="n">
        <v>22.59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Negative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IF(B147=0,"",RANK(B147,$B$2:$B$300,0))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AVL</t>
        </is>
      </c>
      <c r="D147" s="31" t="inlineStr">
        <is>
          <t>Aditya Vision Ltd</t>
        </is>
      </c>
      <c r="E147" s="31" t="inlineStr">
        <is>
          <t>consumer discretionary</t>
        </is>
      </c>
      <c r="F147" s="31" t="inlineStr">
        <is>
          <t>trading</t>
        </is>
      </c>
      <c r="G147" s="31" t="inlineStr">
        <is>
          <t>midcap</t>
        </is>
      </c>
      <c r="H147" s="32" t="n">
        <v>8191.23</v>
      </c>
      <c r="I147" s="32" t="n">
        <v>634.3</v>
      </c>
      <c r="J147" s="32" t="n">
        <v>-0.04</v>
      </c>
      <c r="K147" s="32" t="n">
        <v>242523</v>
      </c>
      <c r="L147" s="31" t="n">
        <v>73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65.87</v>
      </c>
      <c r="P147" s="32" t="n">
        <v>37.46</v>
      </c>
      <c r="Q147" s="32" t="n">
        <v>523.51</v>
      </c>
      <c r="R147" s="31" t="inlineStr">
        <is>
          <t>Near 52W High Breakout</t>
        </is>
      </c>
      <c r="S147" s="31" t="inlineStr">
        <is>
          <t>Nifty 50</t>
        </is>
      </c>
      <c r="T147" s="32" t="n">
        <v>-2.54</v>
      </c>
      <c r="U147" s="32" t="n">
        <v>64.77</v>
      </c>
      <c r="V147" s="32" t="n">
        <v>69.06999999999999</v>
      </c>
      <c r="W147" s="32" t="n">
        <v>16.23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Between 1.5 to 2</t>
        </is>
      </c>
      <c r="BU147" s="31">
        <f>IF(BT147="Above 2",0,IF(BT147="Between 1.5 to 2",5,IF(BT147="Less than 1.5",10,0)))</f>
        <v/>
      </c>
      <c r="BV147" s="31" t="inlineStr">
        <is>
          <t>Less than 50%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Between 0.7 to 1.2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IF(B148=0,"",RANK(B148,$B$2:$B$300,0))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3" t="inlineStr">
        <is>
          <t>ASKAUTOLTD</t>
        </is>
      </c>
      <c r="D148" s="33" t="inlineStr">
        <is>
          <t>ASK Automotive Ltd</t>
        </is>
      </c>
      <c r="E148" s="31" t="inlineStr">
        <is>
          <t>auto</t>
        </is>
      </c>
      <c r="F148" s="31" t="inlineStr">
        <is>
          <t>auto ancillaries</t>
        </is>
      </c>
      <c r="G148" s="31" t="inlineStr">
        <is>
          <t>midcap</t>
        </is>
      </c>
      <c r="H148" s="32" t="n">
        <v>9504.24</v>
      </c>
      <c r="I148" s="32" t="n">
        <v>482.1</v>
      </c>
      <c r="J148" s="32" t="n">
        <v>-0.6</v>
      </c>
      <c r="K148" s="32" t="n">
        <v>118821</v>
      </c>
      <c r="L148" s="31" t="n">
        <v>7</v>
      </c>
      <c r="M148" s="31" t="inlineStr">
        <is>
          <t>Underperforming</t>
        </is>
      </c>
      <c r="N148" s="32">
        <f>IF(M148="Underperforming",-5,IF(L148&gt;=95,15,IF(L148&gt;=90,10,IF(L148&gt;=80,5,0))))</f>
        <v/>
      </c>
      <c r="O148" s="32" t="n">
        <v>58.44</v>
      </c>
      <c r="P148" s="32" t="n">
        <v>8.24</v>
      </c>
      <c r="Q148" s="32" t="n">
        <v>386.67</v>
      </c>
      <c r="R148" s="31" t="inlineStr">
        <is>
          <t>Volume Spike / Accumulation</t>
        </is>
      </c>
      <c r="S148" s="31" t="inlineStr">
        <is>
          <t>Nifty Auto</t>
        </is>
      </c>
      <c r="T148" s="32" t="n">
        <v>13.41</v>
      </c>
      <c r="U148" s="32" t="n">
        <v>-8.220000000000001</v>
      </c>
      <c r="V148" s="32" t="n">
        <v>-19.08</v>
      </c>
      <c r="W148" s="32" t="n">
        <v>0.58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0 to 20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Less than 1.5</t>
        </is>
      </c>
      <c r="BU148" s="31">
        <f>IF(BT148="Above 2",0,IF(BT148="Between 1.5 to 2",5,IF(BT148="Less than 1.5",10,0)))</f>
        <v/>
      </c>
      <c r="BV148" s="31" t="inlineStr">
        <is>
          <t>Between 50% to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IF(B149=0,"",RANK(B149,$B$2:$B$300,0))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UNIMECH</t>
        </is>
      </c>
      <c r="D149" s="31" t="inlineStr">
        <is>
          <t>Unimech Aerospace and Manufacturing Ltd</t>
        </is>
      </c>
      <c r="E149" s="31" t="inlineStr">
        <is>
          <t>aerospace &amp; defence</t>
        </is>
      </c>
      <c r="F149" s="31" t="inlineStr">
        <is>
          <t>engineering</t>
        </is>
      </c>
      <c r="G149" s="31" t="inlineStr">
        <is>
          <t>midcap</t>
        </is>
      </c>
      <c r="H149" s="32" t="n">
        <v>6523.92</v>
      </c>
      <c r="I149" s="32" t="n">
        <v>1282.8</v>
      </c>
      <c r="J149" s="32" t="n">
        <v>-1.09</v>
      </c>
      <c r="K149" s="32" t="n">
        <v>151086</v>
      </c>
      <c r="L149" s="31" t="n">
        <v>46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68.64</v>
      </c>
      <c r="P149" s="32" t="n">
        <v>25.57</v>
      </c>
      <c r="Q149" s="32" t="n">
        <v>945.4299999999999</v>
      </c>
      <c r="R149" s="31" t="inlineStr">
        <is>
          <t>Volume Spike &amp; Near 52W High Breakout</t>
        </is>
      </c>
      <c r="S149" s="31" t="inlineStr">
        <is>
          <t>Nifty 50</t>
        </is>
      </c>
      <c r="T149" s="32" t="n">
        <v>-2.54</v>
      </c>
      <c r="U149" s="32" t="n">
        <v>6.57</v>
      </c>
      <c r="V149" s="32" t="n">
        <v>9.35</v>
      </c>
      <c r="W149" s="32" t="n">
        <v>9.23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IF(B150=0,"",RANK(B150,$B$2:$B$300,0))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DIACABS</t>
        </is>
      </c>
      <c r="D150" s="31" t="inlineStr">
        <is>
          <t>Diamond Power Infrastructure Ltd</t>
        </is>
      </c>
      <c r="E150" s="31" t="inlineStr">
        <is>
          <t>industrials</t>
        </is>
      </c>
      <c r="F150" s="31" t="inlineStr">
        <is>
          <t>cables - power</t>
        </is>
      </c>
      <c r="G150" s="31" t="inlineStr">
        <is>
          <t>midcap</t>
        </is>
      </c>
      <c r="H150" s="32" t="n">
        <v>11718.78</v>
      </c>
      <c r="I150" s="32" t="n">
        <v>222.38</v>
      </c>
      <c r="J150" s="32" t="n">
        <v>-1.13</v>
      </c>
      <c r="K150" s="32" t="n">
        <v>5942979</v>
      </c>
      <c r="L150" s="31" t="n">
        <v>75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72.27</v>
      </c>
      <c r="P150" s="32" t="n">
        <v>49.92</v>
      </c>
      <c r="Q150" s="32" t="n">
        <v>170.32</v>
      </c>
      <c r="R150" s="31" t="inlineStr">
        <is>
          <t>Near 52W High Breakout</t>
        </is>
      </c>
      <c r="S150" s="31" t="inlineStr">
        <is>
          <t>Nifty Energy</t>
        </is>
      </c>
      <c r="T150" s="32" t="n">
        <v>8.41</v>
      </c>
      <c r="U150" s="32" t="n">
        <v>31.69</v>
      </c>
      <c r="V150" s="32" t="n">
        <v>21.48</v>
      </c>
      <c r="W150" s="32" t="n">
        <v>17.59</v>
      </c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Negative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IF(B151=0,"",RANK(B151,$B$2:$B$300,0))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ITDC</t>
        </is>
      </c>
      <c r="D151" s="31" t="inlineStr">
        <is>
          <t>India Tourism Development Corporation Ltd</t>
        </is>
      </c>
      <c r="E151" s="31" t="inlineStr">
        <is>
          <t>services</t>
        </is>
      </c>
      <c r="F151" s="31" t="inlineStr">
        <is>
          <t>hotels</t>
        </is>
      </c>
      <c r="G151" s="31" t="inlineStr">
        <is>
          <t>midcap</t>
        </is>
      </c>
      <c r="H151" s="32" t="n">
        <v>6380.81</v>
      </c>
      <c r="I151" s="32" t="n">
        <v>743.95</v>
      </c>
      <c r="J151" s="32" t="n">
        <v>-1.5</v>
      </c>
      <c r="K151" s="32" t="n">
        <v>2471328</v>
      </c>
      <c r="L151" s="31" t="n">
        <v>45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65.01000000000001</v>
      </c>
      <c r="P151" s="32" t="n">
        <v>34.03</v>
      </c>
      <c r="Q151" s="32" t="n">
        <v>510.11</v>
      </c>
      <c r="R151" s="31" t="inlineStr">
        <is>
          <t>Volume Spike &amp; Near 52W High Breakout</t>
        </is>
      </c>
      <c r="S151" s="31" t="inlineStr">
        <is>
          <t>Nifty 50</t>
        </is>
      </c>
      <c r="T151" s="32" t="n">
        <v>-2.54</v>
      </c>
      <c r="U151" s="32" t="n">
        <v>23.53</v>
      </c>
      <c r="V151" s="32" t="n">
        <v>26.75</v>
      </c>
      <c r="W151" s="32" t="n">
        <v>8.9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IF(B152=0,"",RANK(B152,$B$2:$B$300,0))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3" t="inlineStr">
        <is>
          <t>MANAKSTEEL</t>
        </is>
      </c>
      <c r="D152" s="33" t="inlineStr">
        <is>
          <t>Manaksia Steels Limited</t>
        </is>
      </c>
      <c r="E152" s="31" t="inlineStr">
        <is>
          <t>metals &amp; mining</t>
        </is>
      </c>
      <c r="F152" s="31" t="inlineStr">
        <is>
          <t>steel - medium / small</t>
        </is>
      </c>
      <c r="G152" s="31" t="inlineStr">
        <is>
          <t>smallcap</t>
        </is>
      </c>
      <c r="H152" s="32" t="n">
        <v>501.86</v>
      </c>
      <c r="I152" s="32" t="n">
        <v>76.58</v>
      </c>
      <c r="J152" s="32" t="n">
        <v>-2.02</v>
      </c>
      <c r="K152" s="32" t="n">
        <v>21339</v>
      </c>
      <c r="L152" s="31" t="n">
        <v>31</v>
      </c>
      <c r="M152" s="31" t="inlineStr">
        <is>
          <t>Underperforming</t>
        </is>
      </c>
      <c r="N152" s="32">
        <f>IF(M152="Underperforming",-5,IF(L152&gt;=95,15,IF(L152&gt;=90,10,IF(L152&gt;=80,5,0))))</f>
        <v/>
      </c>
      <c r="O152" s="32" t="n">
        <v>63.03</v>
      </c>
      <c r="P152" s="32" t="n">
        <v>40.31</v>
      </c>
      <c r="Q152" s="32" t="n">
        <v>54.39</v>
      </c>
      <c r="R152" s="31" t="inlineStr">
        <is>
          <t>Near 52W High Breakout</t>
        </is>
      </c>
      <c r="S152" s="31" t="inlineStr">
        <is>
          <t>Nifty Metal</t>
        </is>
      </c>
      <c r="T152" s="32" t="n">
        <v>31.49</v>
      </c>
      <c r="U152" s="32" t="n">
        <v>22.49</v>
      </c>
      <c r="V152" s="32" t="n">
        <v>-6.85</v>
      </c>
      <c r="W152" s="32" t="n">
        <v>6.01</v>
      </c>
      <c r="X152" s="31" t="inlineStr">
        <is>
          <t>Cyclical in an Upturn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Cyclical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Volatile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Above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IF(B153=0,"",RANK(B153,$B$2:$B$300,0))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CCAVENUE</t>
        </is>
      </c>
      <c r="D153" s="31" t="inlineStr">
        <is>
          <t>AvenuesAI Ltd</t>
        </is>
      </c>
      <c r="E153" s="31" t="inlineStr">
        <is>
          <t>i.t</t>
        </is>
      </c>
      <c r="F153" s="31" t="inlineStr">
        <is>
          <t>miscellaneous</t>
        </is>
      </c>
      <c r="G153" s="31" t="inlineStr">
        <is>
          <t>midcap</t>
        </is>
      </c>
      <c r="H153" s="32" t="n">
        <v>5964.89</v>
      </c>
      <c r="I153" s="32" t="n">
        <v>17.06</v>
      </c>
      <c r="J153" s="32" t="n">
        <v>-2.18</v>
      </c>
      <c r="K153" s="32" t="n">
        <v>12191062</v>
      </c>
      <c r="L153" s="31" t="n">
        <v>22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57.09</v>
      </c>
      <c r="P153" s="32" t="n">
        <v>16.58</v>
      </c>
      <c r="Q153" s="32" t="n">
        <v>13.67</v>
      </c>
      <c r="R153" s="31" t="inlineStr">
        <is>
          <t>Earnings / Momentum Support</t>
        </is>
      </c>
      <c r="S153" s="31" t="inlineStr">
        <is>
          <t>Nifty IT</t>
        </is>
      </c>
      <c r="T153" s="32" t="n">
        <v>-21.31</v>
      </c>
      <c r="U153" s="32" t="n">
        <v>7.23</v>
      </c>
      <c r="V153" s="32" t="n">
        <v>36.27</v>
      </c>
      <c r="W153" s="32" t="n">
        <v>4.65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0 to 20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IF(B154=0,"",RANK(B154,$B$2:$B$300,0))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HIRECT</t>
        </is>
      </c>
      <c r="D154" s="31" t="inlineStr">
        <is>
          <t>Hind Rectifiers Limited</t>
        </is>
      </c>
      <c r="E154" s="31" t="inlineStr">
        <is>
          <t>consumer discretionary</t>
        </is>
      </c>
      <c r="F154" s="31" t="inlineStr">
        <is>
          <t>electronics - components</t>
        </is>
      </c>
      <c r="G154" s="31" t="inlineStr">
        <is>
          <t>smallcap</t>
        </is>
      </c>
      <c r="H154" s="32" t="n">
        <v>4277.63</v>
      </c>
      <c r="I154" s="32" t="n">
        <v>1244.5</v>
      </c>
      <c r="J154" s="32" t="n">
        <v>-3.4</v>
      </c>
      <c r="K154" s="32" t="n">
        <v>225672</v>
      </c>
      <c r="L154" s="31" t="n">
        <v>84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74.17</v>
      </c>
      <c r="P154" s="32" t="n">
        <v>31.16</v>
      </c>
      <c r="Q154" s="32" t="n">
        <v>860.22</v>
      </c>
      <c r="R154" s="31" t="inlineStr">
        <is>
          <t>Volume Spike &amp; Near 52W High Breakout</t>
        </is>
      </c>
      <c r="S154" s="31" t="inlineStr">
        <is>
          <t>Nifty Infra</t>
        </is>
      </c>
      <c r="T154" s="32" t="n">
        <v>1.74</v>
      </c>
      <c r="U154" s="32" t="n">
        <v>87.20999999999999</v>
      </c>
      <c r="V154" s="32" t="n">
        <v>84.01000000000001</v>
      </c>
      <c r="W154" s="32" t="n">
        <v>22.67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Less than 12%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Between 0.7 to 1.2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IF(B155=0,"",RANK(B155,$B$2:$B$300,0))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UFBL</t>
        </is>
      </c>
      <c r="D155" s="31" t="inlineStr">
        <is>
          <t>United Foodbrands Ltd</t>
        </is>
      </c>
      <c r="E155" s="31" t="inlineStr">
        <is>
          <t>consumer discretionary</t>
        </is>
      </c>
      <c r="F155" s="31" t="inlineStr">
        <is>
          <t>hotels</t>
        </is>
      </c>
      <c r="G155" s="31" t="inlineStr">
        <is>
          <t>smallcap</t>
        </is>
      </c>
      <c r="H155" s="32" t="n">
        <v>2743.47</v>
      </c>
      <c r="I155" s="32" t="n">
        <v>701.9</v>
      </c>
      <c r="J155" s="32" t="n">
        <v>-4.99</v>
      </c>
      <c r="K155" s="32" t="n">
        <v>95239</v>
      </c>
      <c r="L155" s="31" t="n">
        <v>97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77.73999999999999</v>
      </c>
      <c r="P155" s="32" t="n">
        <v>54.43</v>
      </c>
      <c r="Q155" s="32" t="n">
        <v>569.6900000000001</v>
      </c>
      <c r="R155" s="31" t="inlineStr">
        <is>
          <t>Earnings / Momentum Support</t>
        </is>
      </c>
      <c r="S155" s="31" t="inlineStr">
        <is>
          <t>Nifty 50</t>
        </is>
      </c>
      <c r="T155" s="32" t="n">
        <v>-2.54</v>
      </c>
      <c r="U155" s="32" t="n">
        <v>117.85</v>
      </c>
      <c r="V155" s="32" t="n">
        <v>123.52</v>
      </c>
      <c r="W155" s="32" t="n">
        <v>51.33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No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Above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More than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IF(B156=0,"",RANK(B156,$B$2:$B$300,0))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BLSE</t>
        </is>
      </c>
      <c r="D156" s="31" t="inlineStr">
        <is>
          <t>BLS E-Services Ltd</t>
        </is>
      </c>
      <c r="E156" s="31" t="inlineStr">
        <is>
          <t>i.t</t>
        </is>
      </c>
      <c r="F156" s="31" t="inlineStr">
        <is>
          <t>computers - software - medium / small</t>
        </is>
      </c>
      <c r="G156" s="31" t="inlineStr">
        <is>
          <t>smallcap</t>
        </is>
      </c>
      <c r="H156" s="32" t="n">
        <v>2492.83</v>
      </c>
      <c r="I156" s="32" t="n">
        <v>274.37</v>
      </c>
      <c r="J156" s="32" t="n">
        <v>2.09</v>
      </c>
      <c r="K156" s="32" t="n">
        <v>1085011</v>
      </c>
      <c r="L156" s="31" t="n">
        <v>83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77.25</v>
      </c>
      <c r="P156" s="32" t="n">
        <v>29.93</v>
      </c>
      <c r="Q156" s="32" t="n">
        <v>214.22</v>
      </c>
      <c r="R156" s="31" t="inlineStr">
        <is>
          <t>Volume Spike &amp; Near 52W High Breakout</t>
        </is>
      </c>
      <c r="S156" s="31" t="inlineStr">
        <is>
          <t>Nifty IT</t>
        </is>
      </c>
      <c r="T156" s="32" t="n">
        <v>-21.31</v>
      </c>
      <c r="U156" s="32" t="n">
        <v>49.07</v>
      </c>
      <c r="V156" s="32" t="n">
        <v>89.45</v>
      </c>
      <c r="W156" s="32" t="n">
        <v>21.65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Annuity, Lower One Time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Above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Between 50% to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IF(B157=0,"",RANK(B157,$B$2:$B$300,0))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DALMIASUG</t>
        </is>
      </c>
      <c r="D157" s="31" t="inlineStr">
        <is>
          <t>Dalmia Bharat Sugar And Industries Limited</t>
        </is>
      </c>
      <c r="E157" s="31" t="inlineStr">
        <is>
          <t>fmcg</t>
        </is>
      </c>
      <c r="F157" s="31" t="inlineStr">
        <is>
          <t>sugar</t>
        </is>
      </c>
      <c r="G157" s="31" t="inlineStr">
        <is>
          <t>smallcap</t>
        </is>
      </c>
      <c r="H157" s="32" t="n">
        <v>2973.71</v>
      </c>
      <c r="I157" s="32" t="n">
        <v>367.4</v>
      </c>
      <c r="J157" s="32" t="n">
        <v>1</v>
      </c>
      <c r="K157" s="32" t="n">
        <v>360531</v>
      </c>
      <c r="L157" s="31" t="n">
        <v>4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58.22</v>
      </c>
      <c r="P157" s="32" t="n">
        <v>24.57</v>
      </c>
      <c r="Q157" s="32" t="n">
        <v>302.89</v>
      </c>
      <c r="R157" s="31" t="inlineStr">
        <is>
          <t>Earnings / Momentum Support</t>
        </is>
      </c>
      <c r="S157" s="31" t="inlineStr">
        <is>
          <t>Nifty FMCG</t>
        </is>
      </c>
      <c r="T157" s="32" t="n">
        <v>-13.73</v>
      </c>
      <c r="U157" s="32" t="n">
        <v>-5.55</v>
      </c>
      <c r="V157" s="32" t="n">
        <v>9.48</v>
      </c>
      <c r="W157" s="32" t="n">
        <v>-0.23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B2C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Less than 12%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Between 50% to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IF(B158=0,"",RANK(B158,$B$2:$B$300,0))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3" t="inlineStr">
        <is>
          <t>JLHL</t>
        </is>
      </c>
      <c r="D158" s="33" t="inlineStr">
        <is>
          <t>Jupiter Life Line Hospitals Ltd</t>
        </is>
      </c>
      <c r="E158" s="31" t="inlineStr">
        <is>
          <t>healthcare</t>
        </is>
      </c>
      <c r="F158" s="31" t="inlineStr">
        <is>
          <t>healthcare</t>
        </is>
      </c>
      <c r="G158" s="31" t="inlineStr">
        <is>
          <t>midcap</t>
        </is>
      </c>
      <c r="H158" s="32" t="n">
        <v>10182.4</v>
      </c>
      <c r="I158" s="32" t="n">
        <v>1553</v>
      </c>
      <c r="J158" s="32" t="n">
        <v>-0.06</v>
      </c>
      <c r="K158" s="32" t="n">
        <v>34568</v>
      </c>
      <c r="L158" s="31" t="n">
        <v>29</v>
      </c>
      <c r="M158" s="31" t="inlineStr">
        <is>
          <t>Underperforming</t>
        </is>
      </c>
      <c r="N158" s="32">
        <f>IF(M158="Underperforming",-5,IF(L158&gt;=95,15,IF(L158&gt;=90,10,IF(L158&gt;=80,5,0))))</f>
        <v/>
      </c>
      <c r="O158" s="32" t="n">
        <v>71.5</v>
      </c>
      <c r="P158" s="32" t="n">
        <v>21.85</v>
      </c>
      <c r="Q158" s="32" t="n">
        <v>1307.12</v>
      </c>
      <c r="R158" s="31" t="inlineStr">
        <is>
          <t>Near 52W High Breakout</t>
        </is>
      </c>
      <c r="S158" s="31" t="inlineStr">
        <is>
          <t>Nifty Pharma</t>
        </is>
      </c>
      <c r="T158" s="32" t="n">
        <v>13.51</v>
      </c>
      <c r="U158" s="32" t="n">
        <v>4.3</v>
      </c>
      <c r="V158" s="32" t="n">
        <v>-8.109999999999999</v>
      </c>
      <c r="W158" s="32" t="n">
        <v>5.7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Yes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Annuity, Lower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Between 12 to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IF(B159=0,"",RANK(B159,$B$2:$B$300,0))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AJANTPHARM</t>
        </is>
      </c>
      <c r="D159" s="31" t="inlineStr">
        <is>
          <t>Ajanta Pharma Limited</t>
        </is>
      </c>
      <c r="E159" s="31" t="inlineStr">
        <is>
          <t>healthcare</t>
        </is>
      </c>
      <c r="F159" s="31" t="inlineStr">
        <is>
          <t>pharmaceuticals - indian - formulations</t>
        </is>
      </c>
      <c r="G159" s="31" t="inlineStr">
        <is>
          <t>largecap</t>
        </is>
      </c>
      <c r="H159" s="32" t="n">
        <v>42720.49</v>
      </c>
      <c r="I159" s="32" t="n">
        <v>3419.4</v>
      </c>
      <c r="J159" s="32" t="n">
        <v>-0.97</v>
      </c>
      <c r="K159" s="32" t="n">
        <v>93411</v>
      </c>
      <c r="L159" s="31" t="n">
        <v>49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69.36</v>
      </c>
      <c r="P159" s="32" t="n">
        <v>39.6</v>
      </c>
      <c r="Q159" s="32" t="n">
        <v>2840.84</v>
      </c>
      <c r="R159" s="31" t="inlineStr">
        <is>
          <t>Near 52W High Breakout</t>
        </is>
      </c>
      <c r="S159" s="31" t="inlineStr">
        <is>
          <t>Nifty Pharma</t>
        </is>
      </c>
      <c r="T159" s="32" t="n">
        <v>13.51</v>
      </c>
      <c r="U159" s="32" t="n">
        <v>24.7</v>
      </c>
      <c r="V159" s="32" t="n">
        <v>9.859999999999999</v>
      </c>
      <c r="W159" s="32" t="n">
        <v>9.66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Yes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Annuity, Lower One Time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Between 12 to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Less than 50%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IF(B160=0,"",RANK(B160,$B$2:$B$300,0))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HTMEDIA</t>
        </is>
      </c>
      <c r="D160" s="31" t="inlineStr">
        <is>
          <t>Ht Media Limited</t>
        </is>
      </c>
      <c r="E160" s="31" t="inlineStr">
        <is>
          <t>media</t>
        </is>
      </c>
      <c r="F160" s="31" t="inlineStr">
        <is>
          <t>entertainment / electronic media software</t>
        </is>
      </c>
      <c r="G160" s="31" t="inlineStr">
        <is>
          <t>smallcap</t>
        </is>
      </c>
      <c r="H160" s="32" t="n">
        <v>608.7</v>
      </c>
      <c r="I160" s="32" t="n">
        <v>26.15</v>
      </c>
      <c r="J160" s="32" t="n">
        <v>-1.32</v>
      </c>
      <c r="K160" s="32" t="n">
        <v>126550</v>
      </c>
      <c r="L160" s="31" t="n">
        <v>23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65.09</v>
      </c>
      <c r="P160" s="32" t="n">
        <v>15.8</v>
      </c>
      <c r="Q160" s="32" t="n">
        <v>19.19</v>
      </c>
      <c r="R160" s="31" t="inlineStr">
        <is>
          <t>Volume Spike / Accumulation</t>
        </is>
      </c>
      <c r="S160" s="31" t="inlineStr">
        <is>
          <t>Nifty IT</t>
        </is>
      </c>
      <c r="T160" s="32" t="n">
        <v>-21.31</v>
      </c>
      <c r="U160" s="32" t="n">
        <v>11.8</v>
      </c>
      <c r="V160" s="32" t="n">
        <v>42.08</v>
      </c>
      <c r="W160" s="32" t="n">
        <v>4.87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Annuity, Lower One Time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0 to 20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IF(B161=0,"",RANK(B161,$B$2:$B$300,0))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SAILIFE</t>
        </is>
      </c>
      <c r="D161" s="31" t="inlineStr">
        <is>
          <t>Sai Life Sciences Ltd</t>
        </is>
      </c>
      <c r="E161" s="31" t="inlineStr">
        <is>
          <t>healthcare</t>
        </is>
      </c>
      <c r="F161" s="31" t="inlineStr">
        <is>
          <t>pharmaceuticals - indian - bulk drugs &amp; formln</t>
        </is>
      </c>
      <c r="G161" s="31" t="inlineStr">
        <is>
          <t>largecap</t>
        </is>
      </c>
      <c r="H161" s="32" t="n">
        <v>26938.32</v>
      </c>
      <c r="I161" s="32" t="n">
        <v>1272</v>
      </c>
      <c r="J161" s="32" t="n">
        <v>-1.77</v>
      </c>
      <c r="K161" s="32" t="n">
        <v>201171</v>
      </c>
      <c r="L161" s="31" t="n">
        <v>72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75.27</v>
      </c>
      <c r="P161" s="32" t="n">
        <v>30.2</v>
      </c>
      <c r="Q161" s="32" t="n">
        <v>1042.84</v>
      </c>
      <c r="R161" s="31" t="inlineStr">
        <is>
          <t>Near 52W High Breakout</t>
        </is>
      </c>
      <c r="S161" s="31" t="inlineStr">
        <is>
          <t>Nifty Pharma</t>
        </is>
      </c>
      <c r="T161" s="32" t="n">
        <v>13.51</v>
      </c>
      <c r="U161" s="32" t="n">
        <v>56.04</v>
      </c>
      <c r="V161" s="32" t="n">
        <v>37.46</v>
      </c>
      <c r="W161" s="32" t="n">
        <v>16.06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Yes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Annuity, Lower One Time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Above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Between 12 to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IF(B162=0,"",RANK(B162,$B$2:$B$300,0))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BHARATFORG</t>
        </is>
      </c>
      <c r="D162" s="31" t="inlineStr">
        <is>
          <t>Bharat Forge Limited</t>
        </is>
      </c>
      <c r="E162" s="31" t="inlineStr">
        <is>
          <t>industrials</t>
        </is>
      </c>
      <c r="F162" s="31" t="inlineStr">
        <is>
          <t>castings &amp; forgings</t>
        </is>
      </c>
      <c r="G162" s="31" t="inlineStr">
        <is>
          <t>largecap</t>
        </is>
      </c>
      <c r="H162" s="32" t="n">
        <v>104725.31</v>
      </c>
      <c r="I162" s="32" t="n">
        <v>2190.5</v>
      </c>
      <c r="J162" s="32" t="n">
        <v>4.08</v>
      </c>
      <c r="K162" s="32" t="n">
        <v>1942065</v>
      </c>
      <c r="L162" s="31" t="n">
        <v>73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73.04000000000001</v>
      </c>
      <c r="P162" s="32" t="n">
        <v>42.82</v>
      </c>
      <c r="Q162" s="32" t="n">
        <v>1829.7</v>
      </c>
      <c r="R162" s="31" t="inlineStr">
        <is>
          <t>Near 52W High Breakout</t>
        </is>
      </c>
      <c r="S162" s="31" t="inlineStr">
        <is>
          <t>Nifty 500</t>
        </is>
      </c>
      <c r="T162" s="32" t="n">
        <v>0.26</v>
      </c>
      <c r="U162" s="32" t="n">
        <v>80.8</v>
      </c>
      <c r="V162" s="32" t="n">
        <v>80.33</v>
      </c>
      <c r="W162" s="32" t="n">
        <v>16.69</v>
      </c>
      <c r="X162" s="31" t="inlineStr">
        <is>
          <t>Cyclical in an Upturn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Above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Less than 12%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Between 50% to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Between 0.7 to 1.2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IF(B163=0,"",RANK(B163,$B$2:$B$300,0))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MBAPL</t>
        </is>
      </c>
      <c r="D163" s="31" t="inlineStr">
        <is>
          <t>Madhya Bharat Agro Products Ltd</t>
        </is>
      </c>
      <c r="E163" s="31" t="inlineStr">
        <is>
          <t>chemicals</t>
        </is>
      </c>
      <c r="F163" s="31" t="inlineStr">
        <is>
          <t>fertilizers</t>
        </is>
      </c>
      <c r="G163" s="31" t="inlineStr">
        <is>
          <t>smallcap</t>
        </is>
      </c>
      <c r="H163" s="32" t="n">
        <v>1193.48</v>
      </c>
      <c r="I163" s="32" t="n">
        <v>136.2</v>
      </c>
      <c r="J163" s="32" t="n">
        <v>3.5</v>
      </c>
      <c r="K163" s="32" t="n">
        <v>1264418</v>
      </c>
      <c r="L163" s="31" t="n">
        <v>76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80.39</v>
      </c>
      <c r="P163" s="32" t="n">
        <v>55.25</v>
      </c>
      <c r="Q163" s="32" t="n">
        <v>106.08</v>
      </c>
      <c r="R163" s="31" t="inlineStr">
        <is>
          <t>Volume Spike &amp; Near 52W High Breakout</t>
        </is>
      </c>
      <c r="S163" s="31" t="inlineStr">
        <is>
          <t>Nifty 50</t>
        </is>
      </c>
      <c r="T163" s="32" t="n">
        <v>-2.54</v>
      </c>
      <c r="U163" s="32" t="n">
        <v>61.02</v>
      </c>
      <c r="V163" s="32" t="n">
        <v>65.20999999999999</v>
      </c>
      <c r="W163" s="32" t="n">
        <v>18.11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Above 40</t>
        </is>
      </c>
      <c r="AY163" s="31">
        <f>IF(AX163="Above 40",20,IF(AX163="20 to 40",10,IF(AX163="0 to 20",-5,0)))</f>
        <v/>
      </c>
      <c r="AZ163" s="31" t="inlineStr">
        <is>
          <t>Above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Between 12 to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More than 1.2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IF(B164=0,"",RANK(B164,$B$2:$B$300,0))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TIRUPATIFL</t>
        </is>
      </c>
      <c r="D164" s="31" t="inlineStr">
        <is>
          <t>Tirupati Forge Ltd</t>
        </is>
      </c>
      <c r="E164" s="31" t="inlineStr">
        <is>
          <t>industrials</t>
        </is>
      </c>
      <c r="F164" s="31" t="inlineStr">
        <is>
          <t>castings &amp; forgings</t>
        </is>
      </c>
      <c r="G164" s="31" t="inlineStr">
        <is>
          <t>smallcap</t>
        </is>
      </c>
      <c r="H164" s="32" t="n">
        <v>880.6900000000001</v>
      </c>
      <c r="I164" s="32" t="n">
        <v>68.17</v>
      </c>
      <c r="J164" s="32" t="n">
        <v>1.85</v>
      </c>
      <c r="K164" s="32" t="n">
        <v>473957</v>
      </c>
      <c r="L164" s="31" t="n">
        <v>82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78.11</v>
      </c>
      <c r="P164" s="32" t="n">
        <v>35.59</v>
      </c>
      <c r="Q164" s="32" t="n">
        <v>48.21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-2.54</v>
      </c>
      <c r="U164" s="32" t="n">
        <v>59.69</v>
      </c>
      <c r="V164" s="32" t="n">
        <v>63.85</v>
      </c>
      <c r="W164" s="32" t="n">
        <v>21.24</v>
      </c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Above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IF(B165=0,"",RANK(B165,$B$2:$B$300,0))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TBZ</t>
        </is>
      </c>
      <c r="D165" s="31" t="inlineStr">
        <is>
          <t>Tribhovandas Bhimji Zaveri Limited</t>
        </is>
      </c>
      <c r="E165" s="31" t="inlineStr">
        <is>
          <t>consumer discretionary</t>
        </is>
      </c>
      <c r="F165" s="31" t="inlineStr">
        <is>
          <t>diamond cutting / jewellery</t>
        </is>
      </c>
      <c r="G165" s="31" t="inlineStr">
        <is>
          <t>smallcap</t>
        </is>
      </c>
      <c r="H165" s="32" t="n">
        <v>1722.52</v>
      </c>
      <c r="I165" s="32" t="n">
        <v>258.13</v>
      </c>
      <c r="J165" s="32" t="n">
        <v>0.82</v>
      </c>
      <c r="K165" s="32" t="n">
        <v>1841342</v>
      </c>
      <c r="L165" s="31" t="n">
        <v>85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78.14</v>
      </c>
      <c r="P165" s="32" t="n">
        <v>24.04</v>
      </c>
      <c r="Q165" s="32" t="n">
        <v>192.69</v>
      </c>
      <c r="R165" s="31" t="inlineStr">
        <is>
          <t>Volume Spike &amp; Near 52W High Breakout</t>
        </is>
      </c>
      <c r="S165" s="31" t="inlineStr">
        <is>
          <t>Nifty 50</t>
        </is>
      </c>
      <c r="T165" s="32" t="n">
        <v>-2.54</v>
      </c>
      <c r="U165" s="32" t="n">
        <v>29.92</v>
      </c>
      <c r="V165" s="32" t="n">
        <v>33.3</v>
      </c>
      <c r="W165" s="32" t="n">
        <v>23.52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Above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Less than 50% and Borrowings are increasing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Between 0.7 to 1.2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IF(B166=0,"",RANK(B166,$B$2:$B$300,0))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3" t="inlineStr">
        <is>
          <t>JINDALSAW</t>
        </is>
      </c>
      <c r="D166" s="33" t="inlineStr">
        <is>
          <t>Jindal Saw Limited</t>
        </is>
      </c>
      <c r="E166" s="31" t="inlineStr">
        <is>
          <t>industrials</t>
        </is>
      </c>
      <c r="F166" s="31" t="inlineStr">
        <is>
          <t>steel - large</t>
        </is>
      </c>
      <c r="G166" s="31" t="inlineStr">
        <is>
          <t>midcap</t>
        </is>
      </c>
      <c r="H166" s="32" t="n">
        <v>17231.55</v>
      </c>
      <c r="I166" s="32" t="n">
        <v>269.45</v>
      </c>
      <c r="J166" s="32" t="n">
        <v>0.52</v>
      </c>
      <c r="K166" s="32" t="n">
        <v>1705330</v>
      </c>
      <c r="L166" s="31" t="n">
        <v>48</v>
      </c>
      <c r="M166" s="31" t="inlineStr">
        <is>
          <t>Underperforming</t>
        </is>
      </c>
      <c r="N166" s="32">
        <f>IF(M166="Underperforming",-5,IF(L166&gt;=95,15,IF(L166&gt;=90,10,IF(L166&gt;=80,5,0))))</f>
        <v/>
      </c>
      <c r="O166" s="32" t="n">
        <v>65.25</v>
      </c>
      <c r="P166" s="32" t="n">
        <v>38.73</v>
      </c>
      <c r="Q166" s="32" t="n">
        <v>209.67</v>
      </c>
      <c r="R166" s="31" t="inlineStr">
        <is>
          <t>Volume Spike &amp; Near 52W High Breakout</t>
        </is>
      </c>
      <c r="S166" s="31" t="inlineStr">
        <is>
          <t>Nifty Metal</t>
        </is>
      </c>
      <c r="T166" s="32" t="n">
        <v>31.49</v>
      </c>
      <c r="U166" s="32" t="n">
        <v>19.01</v>
      </c>
      <c r="V166" s="32" t="n">
        <v>-9.49</v>
      </c>
      <c r="W166" s="32" t="n">
        <v>9.5</v>
      </c>
      <c r="X166" s="31" t="inlineStr">
        <is>
          <t>Cyclical in an Upturn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Less than 12%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IF(B167=0,"",RANK(B167,$B$2:$B$300,0))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NH</t>
        </is>
      </c>
      <c r="D167" s="33" t="inlineStr">
        <is>
          <t>Narayana Hrudayalaya Ltd.</t>
        </is>
      </c>
      <c r="E167" s="31" t="inlineStr">
        <is>
          <t>healthcare</t>
        </is>
      </c>
      <c r="F167" s="31" t="inlineStr">
        <is>
          <t>healthcare</t>
        </is>
      </c>
      <c r="G167" s="31" t="inlineStr">
        <is>
          <t>largecap</t>
        </is>
      </c>
      <c r="H167" s="32" t="n">
        <v>41475.03</v>
      </c>
      <c r="I167" s="32" t="n">
        <v>2029.5</v>
      </c>
      <c r="J167" s="32" t="n">
        <v>-0.26</v>
      </c>
      <c r="K167" s="32" t="n">
        <v>167206</v>
      </c>
      <c r="L167" s="31" t="n">
        <v>17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63.87</v>
      </c>
      <c r="P167" s="32" t="n">
        <v>25.07</v>
      </c>
      <c r="Q167" s="32" t="n">
        <v>1700.79</v>
      </c>
      <c r="R167" s="31" t="inlineStr">
        <is>
          <t>Near 52W High Breakout</t>
        </is>
      </c>
      <c r="S167" s="31" t="inlineStr">
        <is>
          <t>Nifty Pharma</t>
        </is>
      </c>
      <c r="T167" s="32" t="n">
        <v>13.51</v>
      </c>
      <c r="U167" s="32" t="n">
        <v>4.46</v>
      </c>
      <c r="V167" s="32" t="n">
        <v>-7.98</v>
      </c>
      <c r="W167" s="32" t="n">
        <v>3.48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Yes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Shallow Cyclical (2 to 3 Years Growth)</t>
        </is>
      </c>
      <c r="AG167" s="31">
        <f>IF(AF167="Structural (10 Years Consistency)",10,IF(AF167="Shallow Cyclical (2 to 3 years growth)",5,0))</f>
        <v/>
      </c>
      <c r="AH167" s="31" t="inlineStr">
        <is>
          <t>Yes due to Product Mix change or Operating Leverage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B2C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Between 12 to 20%</t>
        </is>
      </c>
      <c r="BO167" s="31">
        <f>IF(BN167="More than 20%",10,IF(BN167="Between 12 to 20%",5,IF(BN167="Less than 12%",0,0)))</f>
        <v/>
      </c>
      <c r="BP167" s="31" t="inlineStr">
        <is>
          <t>Yes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IF(B168=0,"",RANK(B168,$B$2:$B$300,0))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DEEPAKFERT</t>
        </is>
      </c>
      <c r="D168" s="31" t="inlineStr">
        <is>
          <t>Deepak Fertilizers And Petrochemicals Corporation Limited</t>
        </is>
      </c>
      <c r="E168" s="31" t="inlineStr">
        <is>
          <t>chemicals</t>
        </is>
      </c>
      <c r="F168" s="31" t="inlineStr">
        <is>
          <t>chemicals</t>
        </is>
      </c>
      <c r="G168" s="31" t="inlineStr">
        <is>
          <t>largecap</t>
        </is>
      </c>
      <c r="H168" s="32" t="n">
        <v>20122.31</v>
      </c>
      <c r="I168" s="32" t="n">
        <v>1594</v>
      </c>
      <c r="J168" s="32" t="n">
        <v>-0.44</v>
      </c>
      <c r="K168" s="32" t="n">
        <v>203936</v>
      </c>
      <c r="L168" s="31" t="n">
        <v>38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65.29000000000001</v>
      </c>
      <c r="P168" s="32" t="n">
        <v>41.29</v>
      </c>
      <c r="Q168" s="32" t="n">
        <v>1275.68</v>
      </c>
      <c r="R168" s="31" t="inlineStr">
        <is>
          <t>Near 52W High Breakout</t>
        </is>
      </c>
      <c r="S168" s="31" t="inlineStr">
        <is>
          <t>Nifty 50</t>
        </is>
      </c>
      <c r="T168" s="32" t="n">
        <v>-2.54</v>
      </c>
      <c r="U168" s="32" t="n">
        <v>1.52</v>
      </c>
      <c r="V168" s="32" t="n">
        <v>4.16</v>
      </c>
      <c r="W168" s="32" t="n">
        <v>7.35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Above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Less than 50%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Between 0.7 to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IF(B169=0,"",RANK(B169,$B$2:$B$300,0))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3" t="inlineStr">
        <is>
          <t>SRF</t>
        </is>
      </c>
      <c r="D169" s="33" t="inlineStr">
        <is>
          <t>Srf Limited</t>
        </is>
      </c>
      <c r="E169" s="31" t="inlineStr">
        <is>
          <t>chemicals</t>
        </is>
      </c>
      <c r="F169" s="31" t="inlineStr">
        <is>
          <t>chemicals</t>
        </is>
      </c>
      <c r="G169" s="31" t="inlineStr">
        <is>
          <t>largecap</t>
        </is>
      </c>
      <c r="H169" s="32" t="n">
        <v>85213.24000000001</v>
      </c>
      <c r="I169" s="32" t="n">
        <v>2874.7</v>
      </c>
      <c r="J169" s="32" t="n">
        <v>-0.51</v>
      </c>
      <c r="K169" s="32" t="n">
        <v>232559</v>
      </c>
      <c r="L169" s="31" t="n">
        <v>10</v>
      </c>
      <c r="M169" s="31" t="inlineStr">
        <is>
          <t>Underperforming</t>
        </is>
      </c>
      <c r="N169" s="32">
        <f>IF(M169="Underperforming",-5,IF(L169&gt;=95,15,IF(L169&gt;=90,10,IF(L169&gt;=80,5,0))))</f>
        <v/>
      </c>
      <c r="O169" s="32" t="n">
        <v>58.79</v>
      </c>
      <c r="P169" s="32" t="n">
        <v>12.79</v>
      </c>
      <c r="Q169" s="32" t="n">
        <v>2385.64</v>
      </c>
      <c r="R169" s="31" t="inlineStr">
        <is>
          <t>Earnings / Momentum Support</t>
        </is>
      </c>
      <c r="S169" s="31" t="inlineStr">
        <is>
          <t>Nifty 50</t>
        </is>
      </c>
      <c r="T169" s="32" t="n">
        <v>-2.54</v>
      </c>
      <c r="U169" s="32" t="n">
        <v>-9.52</v>
      </c>
      <c r="V169" s="32" t="n">
        <v>-7.16</v>
      </c>
      <c r="W169" s="32" t="n">
        <v>1.63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Oligopoly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Shallow Cyclical (2 to 3 Years Growth)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3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Sideways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Less than 1.5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IF(B170=0,"",RANK(B170,$B$2:$B$300,0))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3" t="inlineStr">
        <is>
          <t>SUNDRMFAST</t>
        </is>
      </c>
      <c r="D170" s="33" t="inlineStr">
        <is>
          <t>Sundram Fasteners Limited</t>
        </is>
      </c>
      <c r="E170" s="31" t="inlineStr">
        <is>
          <t>auto</t>
        </is>
      </c>
      <c r="F170" s="31" t="inlineStr">
        <is>
          <t>auto ancillaries</t>
        </is>
      </c>
      <c r="G170" s="31" t="inlineStr">
        <is>
          <t>largecap</t>
        </is>
      </c>
      <c r="H170" s="32" t="n">
        <v>20284.74</v>
      </c>
      <c r="I170" s="32" t="n">
        <v>965.35</v>
      </c>
      <c r="J170" s="32" t="n">
        <v>-0.52</v>
      </c>
      <c r="K170" s="32" t="n">
        <v>59356</v>
      </c>
      <c r="L170" s="31" t="n">
        <v>16</v>
      </c>
      <c r="M170" s="31" t="inlineStr">
        <is>
          <t>Underperforming</t>
        </is>
      </c>
      <c r="N170" s="32">
        <f>IF(M170="Underperforming",-5,IF(L170&gt;=95,15,IF(L170&gt;=90,10,IF(L170&gt;=80,5,0))))</f>
        <v/>
      </c>
      <c r="O170" s="32" t="n">
        <v>65.77</v>
      </c>
      <c r="P170" s="32" t="n">
        <v>12.61</v>
      </c>
      <c r="Q170" s="32" t="n">
        <v>811.89</v>
      </c>
      <c r="R170" s="31" t="inlineStr">
        <is>
          <t>Earnings / Momentum Support</t>
        </is>
      </c>
      <c r="S170" s="31" t="inlineStr">
        <is>
          <t>Nifty Auto</t>
        </is>
      </c>
      <c r="T170" s="32" t="n">
        <v>13.41</v>
      </c>
      <c r="U170" s="32" t="n">
        <v>-4.24</v>
      </c>
      <c r="V170" s="32" t="n">
        <v>-15.56</v>
      </c>
      <c r="W170" s="32" t="n">
        <v>2.97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0 to 20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Less than 1.5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IF(B171=0,"",RANK(B171,$B$2:$B$300,0))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INOXINDIA</t>
        </is>
      </c>
      <c r="D171" s="31" t="inlineStr">
        <is>
          <t>Inox India Ltd</t>
        </is>
      </c>
      <c r="E171" s="31" t="inlineStr">
        <is>
          <t>industrials</t>
        </is>
      </c>
      <c r="F171" s="31" t="inlineStr">
        <is>
          <t>packaging</t>
        </is>
      </c>
      <c r="G171" s="31" t="inlineStr">
        <is>
          <t>midcap</t>
        </is>
      </c>
      <c r="H171" s="32" t="n">
        <v>17972.99</v>
      </c>
      <c r="I171" s="32" t="n">
        <v>1980.2</v>
      </c>
      <c r="J171" s="32" t="n">
        <v>-0.71</v>
      </c>
      <c r="K171" s="32" t="n">
        <v>171843</v>
      </c>
      <c r="L171" s="31" t="n">
        <v>75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81.98999999999999</v>
      </c>
      <c r="P171" s="32" t="n">
        <v>66.23999999999999</v>
      </c>
      <c r="Q171" s="32" t="n">
        <v>1507.83</v>
      </c>
      <c r="R171" s="31" t="inlineStr">
        <is>
          <t>Near 52W High Breakout</t>
        </is>
      </c>
      <c r="S171" s="31" t="inlineStr">
        <is>
          <t>Nifty 50</t>
        </is>
      </c>
      <c r="T171" s="32" t="n">
        <v>-2.54</v>
      </c>
      <c r="U171" s="32" t="n">
        <v>60.51</v>
      </c>
      <c r="V171" s="32" t="n">
        <v>64.69</v>
      </c>
      <c r="W171" s="32" t="n">
        <v>17.89</v>
      </c>
      <c r="X171" s="31" t="inlineStr">
        <is>
          <t>Cyclical in an Upturn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Above 40</t>
        </is>
      </c>
      <c r="AY171" s="31">
        <f>IF(AX171="Above 40",20,IF(AX171="20 to 40",10,IF(AX171="0 to 20",-5,0)))</f>
        <v/>
      </c>
      <c r="AZ171" s="31" t="inlineStr">
        <is>
          <t>Above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Between 12 to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Less than 50%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IF(B172=0,"",RANK(B172,$B$2:$B$300,0))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CYIENTDLM</t>
        </is>
      </c>
      <c r="D172" s="31" t="inlineStr">
        <is>
          <t>Cyient DLM Ltd</t>
        </is>
      </c>
      <c r="E172" s="31" t="inlineStr">
        <is>
          <t>consumer discretionary</t>
        </is>
      </c>
      <c r="F172" s="31" t="inlineStr">
        <is>
          <t>electronics - components</t>
        </is>
      </c>
      <c r="G172" s="31" t="inlineStr">
        <is>
          <t>smallcap</t>
        </is>
      </c>
      <c r="H172" s="32" t="n">
        <v>4592.42</v>
      </c>
      <c r="I172" s="32" t="n">
        <v>578.65</v>
      </c>
      <c r="J172" s="32" t="n">
        <v>-1.41</v>
      </c>
      <c r="K172" s="32" t="n">
        <v>944732</v>
      </c>
      <c r="L172" s="31" t="n">
        <v>82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77.26000000000001</v>
      </c>
      <c r="P172" s="32" t="n">
        <v>43.22</v>
      </c>
      <c r="Q172" s="32" t="n">
        <v>441.86</v>
      </c>
      <c r="R172" s="31" t="inlineStr">
        <is>
          <t>Volume Spike &amp; Near 52W High Breakout</t>
        </is>
      </c>
      <c r="S172" s="31" t="inlineStr">
        <is>
          <t>Nifty 50</t>
        </is>
      </c>
      <c r="T172" s="32" t="n">
        <v>-2.54</v>
      </c>
      <c r="U172" s="32" t="n">
        <v>20.92</v>
      </c>
      <c r="V172" s="32" t="n">
        <v>24.07</v>
      </c>
      <c r="W172" s="32" t="n">
        <v>21.45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Above 40</t>
        </is>
      </c>
      <c r="AY172" s="31">
        <f>IF(AX172="Above 40",20,IF(AX172="20 to 40",10,IF(AX172="0 to 20",-5,0)))</f>
        <v/>
      </c>
      <c r="AZ172" s="31" t="inlineStr">
        <is>
          <t>Above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Less than 50%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IF(B173=0,"",RANK(B173,$B$2:$B$300,0))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3" t="inlineStr">
        <is>
          <t>LLOYDSENT</t>
        </is>
      </c>
      <c r="D173" s="33" t="inlineStr">
        <is>
          <t>Lloyds Enterprises Ltd</t>
        </is>
      </c>
      <c r="E173" s="31" t="inlineStr">
        <is>
          <t>services</t>
        </is>
      </c>
      <c r="F173" s="31" t="inlineStr">
        <is>
          <t>trading</t>
        </is>
      </c>
      <c r="G173" s="31" t="inlineStr">
        <is>
          <t>midcap</t>
        </is>
      </c>
      <c r="H173" s="32" t="n">
        <v>11891.84</v>
      </c>
      <c r="I173" s="32" t="n">
        <v>77.90000000000001</v>
      </c>
      <c r="J173" s="32" t="n">
        <v>-1.68</v>
      </c>
      <c r="K173" s="32" t="n">
        <v>6453126</v>
      </c>
      <c r="L173" s="31" t="n">
        <v>24</v>
      </c>
      <c r="M173" s="31" t="inlineStr">
        <is>
          <t>Underperforming</t>
        </is>
      </c>
      <c r="N173" s="32">
        <f>IF(M173="Underperforming",-5,IF(L173&gt;=95,15,IF(L173&gt;=90,10,IF(L173&gt;=80,5,0))))</f>
        <v/>
      </c>
      <c r="O173" s="32" t="n">
        <v>62.36</v>
      </c>
      <c r="P173" s="32" t="n">
        <v>31.75</v>
      </c>
      <c r="Q173" s="32" t="n">
        <v>57.44</v>
      </c>
      <c r="R173" s="31" t="inlineStr">
        <is>
          <t>Volume Spike &amp; Near 52W High Breakout</t>
        </is>
      </c>
      <c r="S173" s="31" t="inlineStr">
        <is>
          <t>Nifty 50</t>
        </is>
      </c>
      <c r="T173" s="32" t="n">
        <v>-2.54</v>
      </c>
      <c r="U173" s="32" t="n">
        <v>-3.14</v>
      </c>
      <c r="V173" s="32" t="n">
        <v>-0.61</v>
      </c>
      <c r="W173" s="32" t="n">
        <v>4.95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Less than 1.5</t>
        </is>
      </c>
      <c r="BU173" s="31">
        <f>IF(BT173="Above 2",0,IF(BT173="Between 1.5 to 2",5,IF(BT173="Less than 1.5",10,0)))</f>
        <v/>
      </c>
      <c r="BV173" s="31" t="inlineStr">
        <is>
          <t>Negative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IF(B174=0,"",RANK(B174,$B$2:$B$300,0))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GREAVESCOT</t>
        </is>
      </c>
      <c r="D174" s="31" t="inlineStr">
        <is>
          <t>Greaves Cotton Limited</t>
        </is>
      </c>
      <c r="E174" s="31" t="inlineStr">
        <is>
          <t>industrials</t>
        </is>
      </c>
      <c r="F174" s="31" t="inlineStr">
        <is>
          <t>engines</t>
        </is>
      </c>
      <c r="G174" s="31" t="inlineStr">
        <is>
          <t>midcap</t>
        </is>
      </c>
      <c r="H174" s="32" t="n">
        <v>5811.21</v>
      </c>
      <c r="I174" s="32" t="n">
        <v>249.46</v>
      </c>
      <c r="J174" s="32" t="n">
        <v>-2.72</v>
      </c>
      <c r="K174" s="32" t="n">
        <v>1493811</v>
      </c>
      <c r="L174" s="31" t="n">
        <v>74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70</v>
      </c>
      <c r="P174" s="32" t="n">
        <v>24.48</v>
      </c>
      <c r="Q174" s="32" t="n">
        <v>203.47</v>
      </c>
      <c r="R174" s="31" t="inlineStr">
        <is>
          <t>Earnings / Momentum Support</t>
        </is>
      </c>
      <c r="S174" s="31" t="inlineStr">
        <is>
          <t>Nifty 50</t>
        </is>
      </c>
      <c r="T174" s="32" t="n">
        <v>-2.54</v>
      </c>
      <c r="U174" s="32" t="n">
        <v>21.7</v>
      </c>
      <c r="V174" s="32" t="n">
        <v>24.87</v>
      </c>
      <c r="W174" s="32" t="n">
        <v>17.37</v>
      </c>
      <c r="X174" s="31" t="inlineStr">
        <is>
          <t>Cyclical in an Upturn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IF(B175=0,"",RANK(B175,$B$2:$B$300,0))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CHENNPETRO</t>
        </is>
      </c>
      <c r="D175" s="31" t="inlineStr">
        <is>
          <t>Chennai Petroleum Corporation Limited</t>
        </is>
      </c>
      <c r="E175" s="31" t="inlineStr">
        <is>
          <t>energy</t>
        </is>
      </c>
      <c r="F175" s="31" t="inlineStr">
        <is>
          <t>refineries</t>
        </is>
      </c>
      <c r="G175" s="31" t="inlineStr">
        <is>
          <t>midcap</t>
        </is>
      </c>
      <c r="H175" s="32" t="n">
        <v>17878.3</v>
      </c>
      <c r="I175" s="32" t="n">
        <v>1200.6</v>
      </c>
      <c r="J175" s="32" t="n">
        <v>-3.24</v>
      </c>
      <c r="K175" s="32" t="n">
        <v>1630780</v>
      </c>
      <c r="L175" s="31" t="n">
        <v>63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63.33</v>
      </c>
      <c r="P175" s="32" t="n">
        <v>47.57</v>
      </c>
      <c r="Q175" s="32" t="n">
        <v>883.5</v>
      </c>
      <c r="R175" s="31" t="inlineStr">
        <is>
          <t>Volume Spike &amp; Near 52W High Breakout</t>
        </is>
      </c>
      <c r="S175" s="31" t="inlineStr">
        <is>
          <t>Nifty Energy</t>
        </is>
      </c>
      <c r="T175" s="32" t="n">
        <v>8.41</v>
      </c>
      <c r="U175" s="32" t="n">
        <v>56.41</v>
      </c>
      <c r="V175" s="32" t="n">
        <v>44.28</v>
      </c>
      <c r="W175" s="32" t="n">
        <v>12.99</v>
      </c>
      <c r="X175" s="31" t="inlineStr">
        <is>
          <t>Cyclical in an Upturn</t>
        </is>
      </c>
      <c r="Y175" s="31">
        <f>IF(X175="Growing Industry",10,IF(X175="Cyclical in an Upturn",5,0))</f>
        <v/>
      </c>
      <c r="Z175" s="31" t="inlineStr">
        <is>
          <t>Oligopoly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Yes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Cyclical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Volatile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Above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Blue sky scenario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Between 50% to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IF(B176=0,"",RANK(B176,$B$2:$B$300,0))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APOLLOHOSP</t>
        </is>
      </c>
      <c r="D176" s="31" t="inlineStr">
        <is>
          <t>Apollo Hospitals Enterprise Limited</t>
        </is>
      </c>
      <c r="E176" s="31" t="inlineStr">
        <is>
          <t>healthcare</t>
        </is>
      </c>
      <c r="F176" s="31" t="inlineStr">
        <is>
          <t>healthcare</t>
        </is>
      </c>
      <c r="G176" s="31" t="inlineStr">
        <is>
          <t>largecap</t>
        </is>
      </c>
      <c r="H176" s="32" t="n">
        <v>126904.34</v>
      </c>
      <c r="I176" s="32" t="n">
        <v>8826</v>
      </c>
      <c r="J176" s="32" t="n">
        <v>-0.7</v>
      </c>
      <c r="K176" s="32" t="n">
        <v>144563</v>
      </c>
      <c r="L176" s="31" t="n">
        <v>37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69.83</v>
      </c>
      <c r="P176" s="32" t="n">
        <v>22.98</v>
      </c>
      <c r="Q176" s="32" t="n">
        <v>7886.61</v>
      </c>
      <c r="R176" s="31" t="inlineStr">
        <is>
          <t>Near 52W High Breakout</t>
        </is>
      </c>
      <c r="S176" s="31" t="inlineStr">
        <is>
          <t>Nifty Pharma</t>
        </is>
      </c>
      <c r="T176" s="32" t="n">
        <v>13.51</v>
      </c>
      <c r="U176" s="32" t="n">
        <v>21.16</v>
      </c>
      <c r="V176" s="32" t="n">
        <v>6.74</v>
      </c>
      <c r="W176" s="32" t="n">
        <v>7.14</v>
      </c>
      <c r="X176" s="31" t="inlineStr">
        <is>
          <t>Cyclical in an Upturn</t>
        </is>
      </c>
      <c r="Y176" s="31">
        <f>IF(X176="Growing Industry",10,IF(X176="Cyclical in an Upturn",5,0))</f>
        <v/>
      </c>
      <c r="Z176" s="31" t="inlineStr">
        <is>
          <t>Oligopoly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Cyclical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B2C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Fully One Time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Above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Yes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Between 1.5 to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IF(B177=0,"",RANK(B177,$B$2:$B$300,0))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3" t="inlineStr">
        <is>
          <t>BIOCON</t>
        </is>
      </c>
      <c r="D177" s="33" t="inlineStr">
        <is>
          <t>Biocon Limited</t>
        </is>
      </c>
      <c r="E177" s="31" t="inlineStr">
        <is>
          <t>healthcare</t>
        </is>
      </c>
      <c r="F177" s="31" t="inlineStr">
        <is>
          <t>pharmaceuticals - indian - bulk drugs &amp; formln</t>
        </is>
      </c>
      <c r="G177" s="31" t="inlineStr">
        <is>
          <t>largecap</t>
        </is>
      </c>
      <c r="H177" s="32" t="n">
        <v>71250.23</v>
      </c>
      <c r="I177" s="32" t="n">
        <v>437.2</v>
      </c>
      <c r="J177" s="32" t="n">
        <v>-0.79</v>
      </c>
      <c r="K177" s="32" t="n">
        <v>8811391</v>
      </c>
      <c r="L177" s="31" t="n">
        <v>36</v>
      </c>
      <c r="M177" s="31" t="inlineStr">
        <is>
          <t>Underperforming</t>
        </is>
      </c>
      <c r="N177" s="32">
        <f>IF(M177="Underperforming",-5,IF(L177&gt;=95,15,IF(L177&gt;=90,10,IF(L177&gt;=80,5,0))))</f>
        <v/>
      </c>
      <c r="O177" s="32" t="n">
        <v>64.87</v>
      </c>
      <c r="P177" s="32" t="n">
        <v>22.63</v>
      </c>
      <c r="Q177" s="32" t="n">
        <v>362.32</v>
      </c>
      <c r="R177" s="31" t="inlineStr">
        <is>
          <t>Volume Spike &amp; Near 52W High Breakout</t>
        </is>
      </c>
      <c r="S177" s="31" t="inlineStr">
        <is>
          <t>Nifty Pharma</t>
        </is>
      </c>
      <c r="T177" s="32" t="n">
        <v>13.51</v>
      </c>
      <c r="U177" s="32" t="n">
        <v>9.77</v>
      </c>
      <c r="V177" s="32" t="n">
        <v>-3.29</v>
      </c>
      <c r="W177" s="32" t="n">
        <v>6.93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Yes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Annuity, Lower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Blue sky scenario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Between 50% to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IF(B178=0,"",RANK(B178,$B$2:$B$300,0))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ZYDUSLIFE</t>
        </is>
      </c>
      <c r="D178" s="31" t="inlineStr">
        <is>
          <t>Zydus Lifesciences Ltd</t>
        </is>
      </c>
      <c r="E178" s="31" t="inlineStr">
        <is>
          <t>healthcare</t>
        </is>
      </c>
      <c r="F178" s="31" t="inlineStr">
        <is>
          <t>pharmaceuticals - indian - bulk drugs &amp; formln</t>
        </is>
      </c>
      <c r="G178" s="31" t="inlineStr">
        <is>
          <t>largecap</t>
        </is>
      </c>
      <c r="H178" s="32" t="n">
        <v>114084.51</v>
      </c>
      <c r="I178" s="32" t="n">
        <v>1143.7</v>
      </c>
      <c r="J178" s="32" t="n">
        <v>-0.88</v>
      </c>
      <c r="K178" s="32" t="n">
        <v>1240517</v>
      </c>
      <c r="L178" s="31" t="n">
        <v>43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70.79000000000001</v>
      </c>
      <c r="P178" s="32" t="n">
        <v>33.45</v>
      </c>
      <c r="Q178" s="32" t="n">
        <v>989</v>
      </c>
      <c r="R178" s="31" t="inlineStr">
        <is>
          <t>Near 52W High Breakout</t>
        </is>
      </c>
      <c r="S178" s="31" t="inlineStr">
        <is>
          <t>Nifty Pharma</t>
        </is>
      </c>
      <c r="T178" s="32" t="n">
        <v>13.51</v>
      </c>
      <c r="U178" s="32" t="n">
        <v>18.65</v>
      </c>
      <c r="V178" s="32" t="n">
        <v>4.53</v>
      </c>
      <c r="W178" s="32" t="n">
        <v>8.279999999999999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Yes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Annuity, Lower One Time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Less than 50%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IF(B179=0,"",RANK(B179,$B$2:$B$300,0))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3" t="inlineStr">
        <is>
          <t>RESPONIND</t>
        </is>
      </c>
      <c r="D179" s="33" t="inlineStr">
        <is>
          <t>Responsive Industries Limited</t>
        </is>
      </c>
      <c r="E179" s="31" t="inlineStr">
        <is>
          <t>plastic products</t>
        </is>
      </c>
      <c r="F179" s="31" t="inlineStr">
        <is>
          <t>plastics products</t>
        </is>
      </c>
      <c r="G179" s="31" t="inlineStr">
        <is>
          <t>midcap</t>
        </is>
      </c>
      <c r="H179" s="32" t="n">
        <v>5881.38</v>
      </c>
      <c r="I179" s="32" t="n">
        <v>220.6</v>
      </c>
      <c r="J179" s="32" t="n">
        <v>15.75</v>
      </c>
      <c r="K179" s="32" t="n">
        <v>27832498</v>
      </c>
      <c r="L179" s="31" t="n">
        <v>50</v>
      </c>
      <c r="M179" s="31" t="inlineStr">
        <is>
          <t>Underperforming</t>
        </is>
      </c>
      <c r="N179" s="32">
        <f>IF(M179="Underperforming",-5,IF(L179&gt;=95,15,IF(L179&gt;=90,10,IF(L179&gt;=80,5,0))))</f>
        <v/>
      </c>
      <c r="O179" s="32" t="n">
        <v>61.24</v>
      </c>
      <c r="P179" s="32" t="n">
        <v>20.56</v>
      </c>
      <c r="Q179" s="32" t="n">
        <v>145.11</v>
      </c>
      <c r="R179" s="31" t="inlineStr">
        <is>
          <t>Volume Spike &amp; Near 52W High Breakout</t>
        </is>
      </c>
      <c r="S179" s="31" t="inlineStr">
        <is>
          <t>Nifty 50</t>
        </is>
      </c>
      <c r="T179" s="32" t="n">
        <v>-2.54</v>
      </c>
      <c r="U179" s="32" t="n">
        <v>-7.91</v>
      </c>
      <c r="V179" s="32" t="n">
        <v>-5.51</v>
      </c>
      <c r="W179" s="32" t="n">
        <v>9.67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Less than 12%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Less than 50%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IF(B180=0,"",RANK(B180,$B$2:$B$300,0))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3" t="inlineStr">
        <is>
          <t>BEPL</t>
        </is>
      </c>
      <c r="D180" s="33" t="inlineStr">
        <is>
          <t>Bhansali Engineering Polymers Limited</t>
        </is>
      </c>
      <c r="E180" s="31" t="inlineStr">
        <is>
          <t>energy</t>
        </is>
      </c>
      <c r="F180" s="31" t="inlineStr">
        <is>
          <t>petrochemicals</t>
        </is>
      </c>
      <c r="G180" s="31" t="inlineStr">
        <is>
          <t>smallcap</t>
        </is>
      </c>
      <c r="H180" s="32" t="n">
        <v>2814.59</v>
      </c>
      <c r="I180" s="32" t="n">
        <v>113.1</v>
      </c>
      <c r="J180" s="32" t="n">
        <v>3.12</v>
      </c>
      <c r="K180" s="32" t="n">
        <v>3105406</v>
      </c>
      <c r="L180" s="31" t="n">
        <v>24</v>
      </c>
      <c r="M180" s="31" t="inlineStr">
        <is>
          <t>Underperforming</t>
        </is>
      </c>
      <c r="N180" s="32">
        <f>IF(M180="Underperforming",-5,IF(L180&gt;=95,15,IF(L180&gt;=90,10,IF(L180&gt;=80,5,0))))</f>
        <v/>
      </c>
      <c r="O180" s="32" t="n">
        <v>69.48</v>
      </c>
      <c r="P180" s="32" t="n">
        <v>37.44</v>
      </c>
      <c r="Q180" s="32" t="n">
        <v>90.68000000000001</v>
      </c>
      <c r="R180" s="31" t="inlineStr">
        <is>
          <t>Volume Spike &amp; Near 52W High Breakout</t>
        </is>
      </c>
      <c r="S180" s="31" t="inlineStr">
        <is>
          <t>Nifty Energy</t>
        </is>
      </c>
      <c r="T180" s="32" t="n">
        <v>8.41</v>
      </c>
      <c r="U180" s="32" t="n">
        <v>2.5</v>
      </c>
      <c r="V180" s="32" t="n">
        <v>-5.44</v>
      </c>
      <c r="W180" s="32" t="n">
        <v>4.89</v>
      </c>
      <c r="X180" s="31" t="inlineStr">
        <is>
          <t>Cyclical in an Upturn</t>
        </is>
      </c>
      <c r="Y180" s="31">
        <f>IF(X180="Growing Industry",10,IF(X180="Cyclical in an Upturn",5,0))</f>
        <v/>
      </c>
      <c r="Z180" s="31" t="inlineStr">
        <is>
          <t>Oligopoly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Yes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Cyclical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Volatile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IF(B181=0,"",RANK(B181,$B$2:$B$300,0))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3" t="inlineStr">
        <is>
          <t>MGEL</t>
        </is>
      </c>
      <c r="D181" s="33" t="inlineStr">
        <is>
          <t>Mangalam Global Enterprise Ltd</t>
        </is>
      </c>
      <c r="E181" s="31" t="inlineStr">
        <is>
          <t>services</t>
        </is>
      </c>
      <c r="F181" s="31" t="inlineStr">
        <is>
          <t>trading</t>
        </is>
      </c>
      <c r="G181" s="31" t="inlineStr">
        <is>
          <t>smallcap</t>
        </is>
      </c>
      <c r="H181" s="32" t="n">
        <v>543.77</v>
      </c>
      <c r="I181" s="32" t="n">
        <v>16.5</v>
      </c>
      <c r="J181" s="32" t="n">
        <v>2.74</v>
      </c>
      <c r="K181" s="32" t="n">
        <v>117797</v>
      </c>
      <c r="L181" s="31" t="n">
        <v>31</v>
      </c>
      <c r="M181" s="31" t="inlineStr">
        <is>
          <t>Underperforming</t>
        </is>
      </c>
      <c r="N181" s="32">
        <f>IF(M181="Underperforming",-5,IF(L181&gt;=95,15,IF(L181&gt;=90,10,IF(L181&gt;=80,5,0))))</f>
        <v/>
      </c>
      <c r="O181" s="32" t="n">
        <v>63.5</v>
      </c>
      <c r="P181" s="32" t="n">
        <v>38.99</v>
      </c>
      <c r="Q181" s="32" t="n">
        <v>12.18</v>
      </c>
      <c r="R181" s="31" t="inlineStr">
        <is>
          <t>Earnings / Momentum Support</t>
        </is>
      </c>
      <c r="S181" s="31" t="inlineStr">
        <is>
          <t>Nifty 50</t>
        </is>
      </c>
      <c r="T181" s="32" t="n">
        <v>-2.54</v>
      </c>
      <c r="U181" s="32" t="n">
        <v>-4.18</v>
      </c>
      <c r="V181" s="32" t="n">
        <v>-1.68</v>
      </c>
      <c r="W181" s="32" t="n">
        <v>6.07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Between 0.7 to 1.2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IF(B182=0,"",RANK(B182,$B$2:$B$300,0))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ADANIENSOL</t>
        </is>
      </c>
      <c r="D182" s="31" t="inlineStr">
        <is>
          <t>Adani Energy Solutions Ltd</t>
        </is>
      </c>
      <c r="E182" s="31" t="inlineStr">
        <is>
          <t>power &amp; utilities</t>
        </is>
      </c>
      <c r="F182" s="31" t="inlineStr">
        <is>
          <t>power generation and supply</t>
        </is>
      </c>
      <c r="G182" s="31" t="inlineStr">
        <is>
          <t>largecap</t>
        </is>
      </c>
      <c r="H182" s="32" t="n">
        <v>206932.95</v>
      </c>
      <c r="I182" s="32" t="n">
        <v>1722.6</v>
      </c>
      <c r="J182" s="32" t="n">
        <v>1.96</v>
      </c>
      <c r="K182" s="32" t="n">
        <v>2898703</v>
      </c>
      <c r="L182" s="31" t="n">
        <v>85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75.93000000000001</v>
      </c>
      <c r="P182" s="32" t="n">
        <v>51.95</v>
      </c>
      <c r="Q182" s="32" t="n">
        <v>1375.71</v>
      </c>
      <c r="R182" s="31" t="inlineStr">
        <is>
          <t>Near 52W High Breakout</t>
        </is>
      </c>
      <c r="S182" s="31" t="inlineStr">
        <is>
          <t>Nifty IT</t>
        </is>
      </c>
      <c r="T182" s="32" t="n">
        <v>-21.31</v>
      </c>
      <c r="U182" s="32" t="n">
        <v>98.15000000000001</v>
      </c>
      <c r="V182" s="32" t="n">
        <v>151.81</v>
      </c>
      <c r="W182" s="32" t="n">
        <v>23.36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Above 40</t>
        </is>
      </c>
      <c r="AY182" s="31">
        <f>IF(AX182="Above 40",20,IF(AX182="20 to 40",10,IF(AX182="0 to 20",-5,0)))</f>
        <v/>
      </c>
      <c r="AZ182" s="31" t="inlineStr">
        <is>
          <t>Above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Blue sky scenario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Less than 12%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More than 1.2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IF(B183=0,"",RANK(B183,$B$2:$B$300,0))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BAJAJ-AUTO</t>
        </is>
      </c>
      <c r="D183" s="31" t="inlineStr">
        <is>
          <t>Bajaj Auto Limited</t>
        </is>
      </c>
      <c r="E183" s="31" t="inlineStr">
        <is>
          <t>auto</t>
        </is>
      </c>
      <c r="F183" s="31" t="inlineStr">
        <is>
          <t>automobiles - scooters and 3 - wheelers</t>
        </is>
      </c>
      <c r="G183" s="31" t="inlineStr">
        <is>
          <t>largecap</t>
        </is>
      </c>
      <c r="H183" s="32" t="n">
        <v>291879.59</v>
      </c>
      <c r="I183" s="32" t="n">
        <v>10443</v>
      </c>
      <c r="J183" s="32" t="n">
        <v>1.08</v>
      </c>
      <c r="K183" s="32" t="n">
        <v>426656</v>
      </c>
      <c r="L183" s="31" t="n">
        <v>34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61.53</v>
      </c>
      <c r="P183" s="32" t="n">
        <v>17.42</v>
      </c>
      <c r="Q183" s="32" t="n">
        <v>9084.42</v>
      </c>
      <c r="R183" s="31" t="inlineStr">
        <is>
          <t>Volume Spike &amp; Near 52W High Breakout</t>
        </is>
      </c>
      <c r="S183" s="31" t="inlineStr">
        <is>
          <t>Nifty Auto</t>
        </is>
      </c>
      <c r="T183" s="32" t="n">
        <v>13.41</v>
      </c>
      <c r="U183" s="32" t="n">
        <v>26.86</v>
      </c>
      <c r="V183" s="32" t="n">
        <v>11.86</v>
      </c>
      <c r="W183" s="32" t="n">
        <v>6.6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0 to 20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Less than 50%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IF(B184=0,"",RANK(B184,$B$2:$B$300,0))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COMSYN</t>
        </is>
      </c>
      <c r="D184" s="31" t="inlineStr">
        <is>
          <t>Commercial Syn Bags Ltd</t>
        </is>
      </c>
      <c r="E184" s="31" t="inlineStr">
        <is>
          <t>industrials</t>
        </is>
      </c>
      <c r="F184" s="31" t="inlineStr">
        <is>
          <t>packaging</t>
        </is>
      </c>
      <c r="G184" s="31" t="inlineStr">
        <is>
          <t>smallcap</t>
        </is>
      </c>
      <c r="H184" s="32" t="n">
        <v>763.5</v>
      </c>
      <c r="I184" s="32" t="n">
        <v>189.27</v>
      </c>
      <c r="J184" s="32" t="n">
        <v>0.76</v>
      </c>
      <c r="K184" s="32" t="n">
        <v>78146</v>
      </c>
      <c r="L184" s="31" t="n">
        <v>56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64.66</v>
      </c>
      <c r="P184" s="32" t="n">
        <v>45.55</v>
      </c>
      <c r="Q184" s="32" t="n">
        <v>154.47</v>
      </c>
      <c r="R184" s="31" t="inlineStr">
        <is>
          <t>Earnings / Momentum Support</t>
        </is>
      </c>
      <c r="S184" s="31" t="inlineStr">
        <is>
          <t>Nifty 50</t>
        </is>
      </c>
      <c r="T184" s="32" t="n">
        <v>-2.54</v>
      </c>
      <c r="U184" s="32" t="n">
        <v>45.89</v>
      </c>
      <c r="V184" s="32" t="n">
        <v>49.69</v>
      </c>
      <c r="W184" s="32" t="n">
        <v>11.33</v>
      </c>
      <c r="X184" s="31" t="inlineStr">
        <is>
          <t>Cyclical in an Upturn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Above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Less than 12%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Between 0.7 to 1.2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IF(B185=0,"",RANK(B185,$B$2:$B$300,0))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3" t="inlineStr">
        <is>
          <t>AEGISVOPAK</t>
        </is>
      </c>
      <c r="D185" s="33" t="inlineStr">
        <is>
          <t>Aegis Vopak Terminals Ltd</t>
        </is>
      </c>
      <c r="E185" s="31" t="inlineStr">
        <is>
          <t>transportation</t>
        </is>
      </c>
      <c r="F185" s="31" t="inlineStr">
        <is>
          <t>miscellaneous</t>
        </is>
      </c>
      <c r="G185" s="31" t="inlineStr">
        <is>
          <t>largecap</t>
        </is>
      </c>
      <c r="H185" s="32" t="n">
        <v>30053.16</v>
      </c>
      <c r="I185" s="32" t="n">
        <v>271.24</v>
      </c>
      <c r="J185" s="32" t="n">
        <v>0.74</v>
      </c>
      <c r="K185" s="32" t="n">
        <v>1932179</v>
      </c>
      <c r="L185" s="31" t="n">
        <v>38</v>
      </c>
      <c r="M185" s="31" t="inlineStr">
        <is>
          <t>Underperforming</t>
        </is>
      </c>
      <c r="N185" s="32">
        <f>IF(M185="Underperforming",-5,IF(L185&gt;=95,15,IF(L185&gt;=90,10,IF(L185&gt;=80,5,0))))</f>
        <v/>
      </c>
      <c r="O185" s="32" t="n">
        <v>61.31</v>
      </c>
      <c r="P185" s="32" t="n">
        <v>21.84</v>
      </c>
      <c r="Q185" s="32" t="n">
        <v>201.66</v>
      </c>
      <c r="R185" s="31" t="inlineStr">
        <is>
          <t>Volume Spike &amp; Near 52W High Breakout</t>
        </is>
      </c>
      <c r="S185" s="31" t="inlineStr">
        <is>
          <t>Nifty 50</t>
        </is>
      </c>
      <c r="T185" s="32" t="n">
        <v>-2.54</v>
      </c>
      <c r="U185" s="32" t="n">
        <v>-6.74</v>
      </c>
      <c r="V185" s="32" t="n">
        <v>-4.31</v>
      </c>
      <c r="W185" s="32" t="n">
        <v>7.31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Between 12 to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Between 0.7 to 1.2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IF(B186=0,"",RANK(B186,$B$2:$B$300,0))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OAL</t>
        </is>
      </c>
      <c r="D186" s="31" t="inlineStr">
        <is>
          <t>Oriental Aromatics Ltd</t>
        </is>
      </c>
      <c r="E186" s="31" t="inlineStr">
        <is>
          <t>chemicals</t>
        </is>
      </c>
      <c r="F186" s="31" t="inlineStr">
        <is>
          <t>chemicals</t>
        </is>
      </c>
      <c r="G186" s="31" t="inlineStr">
        <is>
          <t>smallcap</t>
        </is>
      </c>
      <c r="H186" s="32" t="n">
        <v>1207.32</v>
      </c>
      <c r="I186" s="32" t="n">
        <v>358.75</v>
      </c>
      <c r="J186" s="32" t="n">
        <v>0.39</v>
      </c>
      <c r="K186" s="32" t="n">
        <v>13626</v>
      </c>
      <c r="L186" s="31" t="n">
        <v>10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62.56</v>
      </c>
      <c r="P186" s="32" t="n">
        <v>23.79</v>
      </c>
      <c r="Q186" s="32" t="n">
        <v>262.5</v>
      </c>
      <c r="R186" s="31" t="inlineStr">
        <is>
          <t>Earnings / Momentum Support</t>
        </is>
      </c>
      <c r="S186" s="31" t="inlineStr">
        <is>
          <t>Nifty IT</t>
        </is>
      </c>
      <c r="T186" s="32" t="n">
        <v>-21.31</v>
      </c>
      <c r="U186" s="32" t="n">
        <v>-11.89</v>
      </c>
      <c r="V186" s="32" t="n">
        <v>11.97</v>
      </c>
      <c r="W186" s="32" t="n">
        <v>1.64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Less than 50%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IF(B187=0,"",RANK(B187,$B$2:$B$300,0))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ADANIENT</t>
        </is>
      </c>
      <c r="D187" s="31" t="inlineStr">
        <is>
          <t>Adani Enterprises Limited</t>
        </is>
      </c>
      <c r="E187" s="31" t="inlineStr">
        <is>
          <t>services</t>
        </is>
      </c>
      <c r="F187" s="31" t="inlineStr">
        <is>
          <t>trading</t>
        </is>
      </c>
      <c r="G187" s="31" t="inlineStr">
        <is>
          <t>largecap</t>
        </is>
      </c>
      <c r="H187" s="32" t="n">
        <v>427871.1</v>
      </c>
      <c r="I187" s="32" t="n">
        <v>3160.7</v>
      </c>
      <c r="J187" s="32" t="n">
        <v>0.3</v>
      </c>
      <c r="K187" s="32" t="n">
        <v>1021302</v>
      </c>
      <c r="L187" s="31" t="n">
        <v>66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71.8</v>
      </c>
      <c r="P187" s="32" t="n">
        <v>36.82</v>
      </c>
      <c r="Q187" s="32" t="n">
        <v>2673.14</v>
      </c>
      <c r="R187" s="31" t="inlineStr">
        <is>
          <t>Near 52W High Breakout</t>
        </is>
      </c>
      <c r="S187" s="31" t="inlineStr">
        <is>
          <t>Nifty 50</t>
        </is>
      </c>
      <c r="T187" s="32" t="n">
        <v>-2.54</v>
      </c>
      <c r="U187" s="32" t="n">
        <v>21.8</v>
      </c>
      <c r="V187" s="32" t="n">
        <v>24.98</v>
      </c>
      <c r="W187" s="32" t="n">
        <v>14.15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Blue sky scenario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Less than 50% and Borrowings are increasing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Between 0.7 to 1.2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IF(B188=0,"",RANK(B188,$B$2:$B$300,0))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3" t="inlineStr">
        <is>
          <t>BOROSCI</t>
        </is>
      </c>
      <c r="D188" s="33" t="inlineStr">
        <is>
          <t>Borosil Scientific Ltd</t>
        </is>
      </c>
      <c r="E188" s="31" t="inlineStr">
        <is>
          <t>building materials</t>
        </is>
      </c>
      <c r="F188" s="31" t="inlineStr">
        <is>
          <t>glass &amp; glass products</t>
        </is>
      </c>
      <c r="G188" s="31" t="inlineStr">
        <is>
          <t>smallcap</t>
        </is>
      </c>
      <c r="H188" s="32" t="n">
        <v>1429.82</v>
      </c>
      <c r="I188" s="32" t="n">
        <v>160.75</v>
      </c>
      <c r="J188" s="32" t="n">
        <v>-0.01</v>
      </c>
      <c r="K188" s="32" t="n">
        <v>66319</v>
      </c>
      <c r="L188" s="31" t="n">
        <v>36</v>
      </c>
      <c r="M188" s="31" t="inlineStr">
        <is>
          <t>Underperforming</t>
        </is>
      </c>
      <c r="N188" s="32">
        <f>IF(M188="Underperforming",-5,IF(L188&gt;=95,15,IF(L188&gt;=90,10,IF(L188&gt;=80,5,0))))</f>
        <v/>
      </c>
      <c r="O188" s="32" t="n">
        <v>68.2</v>
      </c>
      <c r="P188" s="32" t="n">
        <v>38.39</v>
      </c>
      <c r="Q188" s="32" t="n">
        <v>126.54</v>
      </c>
      <c r="R188" s="31" t="inlineStr">
        <is>
          <t>Earnings / Momentum Support</t>
        </is>
      </c>
      <c r="S188" s="31" t="inlineStr">
        <is>
          <t>Nifty Infra</t>
        </is>
      </c>
      <c r="T188" s="32" t="n">
        <v>1.74</v>
      </c>
      <c r="U188" s="32" t="n">
        <v>-10.49</v>
      </c>
      <c r="V188" s="32" t="n">
        <v>-12.02</v>
      </c>
      <c r="W188" s="32" t="n">
        <v>6.86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Between 50% to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IF(B189=0,"",RANK(B189,$B$2:$B$300,0))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LLOYDSENGG</t>
        </is>
      </c>
      <c r="D189" s="31" t="inlineStr">
        <is>
          <t>Lloyds Engineering Works Ltd</t>
        </is>
      </c>
      <c r="E189" s="31" t="inlineStr">
        <is>
          <t>industrials</t>
        </is>
      </c>
      <c r="F189" s="31" t="inlineStr">
        <is>
          <t>engineering</t>
        </is>
      </c>
      <c r="G189" s="31" t="inlineStr">
        <is>
          <t>midcap</t>
        </is>
      </c>
      <c r="H189" s="32" t="n">
        <v>13109.51</v>
      </c>
      <c r="I189" s="32" t="n">
        <v>88.56</v>
      </c>
      <c r="J189" s="32" t="n">
        <v>-0.03</v>
      </c>
      <c r="K189" s="32" t="n">
        <v>7570636</v>
      </c>
      <c r="L189" s="31" t="n">
        <v>77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72.15000000000001</v>
      </c>
      <c r="P189" s="32" t="n">
        <v>37.47</v>
      </c>
      <c r="Q189" s="32" t="n">
        <v>67.44</v>
      </c>
      <c r="R189" s="31" t="inlineStr">
        <is>
          <t>Near 52W High Breakout</t>
        </is>
      </c>
      <c r="S189" s="31" t="inlineStr">
        <is>
          <t>Nifty 50</t>
        </is>
      </c>
      <c r="T189" s="32" t="n">
        <v>-2.54</v>
      </c>
      <c r="U189" s="32" t="n">
        <v>17.62</v>
      </c>
      <c r="V189" s="32" t="n">
        <v>20.68</v>
      </c>
      <c r="W189" s="32" t="n">
        <v>18.43</v>
      </c>
      <c r="X189" s="31" t="inlineStr">
        <is>
          <t>Cyclical in an Upturn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Negative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IF(B190=0,"",RANK(B190,$B$2:$B$300,0))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XPROINDIA</t>
        </is>
      </c>
      <c r="D190" s="31" t="inlineStr">
        <is>
          <t>Xpro India Limited</t>
        </is>
      </c>
      <c r="E190" s="31" t="inlineStr">
        <is>
          <t>industrials</t>
        </is>
      </c>
      <c r="F190" s="31" t="inlineStr">
        <is>
          <t>packaging</t>
        </is>
      </c>
      <c r="G190" s="31" t="inlineStr">
        <is>
          <t>smallcap</t>
        </is>
      </c>
      <c r="H190" s="32" t="n">
        <v>3279.52</v>
      </c>
      <c r="I190" s="32" t="n">
        <v>1397.3</v>
      </c>
      <c r="J190" s="32" t="n">
        <v>-0.17</v>
      </c>
      <c r="K190" s="32" t="n">
        <v>22102</v>
      </c>
      <c r="L190" s="31" t="n">
        <v>46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64.28</v>
      </c>
      <c r="P190" s="32" t="n">
        <v>38.04</v>
      </c>
      <c r="Q190" s="32" t="n">
        <v>1109.34</v>
      </c>
      <c r="R190" s="31" t="inlineStr">
        <is>
          <t>Earnings / Momentum Support</t>
        </is>
      </c>
      <c r="S190" s="31" t="inlineStr">
        <is>
          <t>Nifty 50</t>
        </is>
      </c>
      <c r="T190" s="32" t="n">
        <v>-2.54</v>
      </c>
      <c r="U190" s="32" t="n">
        <v>12.44</v>
      </c>
      <c r="V190" s="32" t="n">
        <v>15.37</v>
      </c>
      <c r="W190" s="32" t="n">
        <v>9.460000000000001</v>
      </c>
      <c r="X190" s="31" t="inlineStr">
        <is>
          <t>Cyclical in an Upturn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Between 1.5 to 2</t>
        </is>
      </c>
      <c r="BU190" s="31">
        <f>IF(BT190="Above 2",0,IF(BT190="Between 1.5 to 2",5,IF(BT190="Less than 1.5",10,0)))</f>
        <v/>
      </c>
      <c r="BV190" s="31" t="inlineStr">
        <is>
          <t>Less than 50%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IF(B191=0,"",RANK(B191,$B$2:$B$300,0))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IRISDOREME</t>
        </is>
      </c>
      <c r="D191" s="31" t="inlineStr">
        <is>
          <t>Iris Clothings Ltd</t>
        </is>
      </c>
      <c r="E191" s="31" t="inlineStr">
        <is>
          <t>consumer discretionary</t>
        </is>
      </c>
      <c r="F191" s="31" t="inlineStr">
        <is>
          <t>textiles - products</t>
        </is>
      </c>
      <c r="G191" s="31" t="inlineStr">
        <is>
          <t>smallcap</t>
        </is>
      </c>
      <c r="H191" s="32" t="n">
        <v>885.8</v>
      </c>
      <c r="I191" s="32" t="n">
        <v>46.54</v>
      </c>
      <c r="J191" s="32" t="n">
        <v>-0.6</v>
      </c>
      <c r="K191" s="32" t="n">
        <v>473379</v>
      </c>
      <c r="L191" s="31" t="n">
        <v>69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74.29000000000001</v>
      </c>
      <c r="P191" s="32" t="n">
        <v>25.31</v>
      </c>
      <c r="Q191" s="32" t="n">
        <v>34.08</v>
      </c>
      <c r="R191" s="31" t="inlineStr">
        <is>
          <t>Volume Spike &amp; Near 52W High Breakout</t>
        </is>
      </c>
      <c r="S191" s="31" t="inlineStr">
        <is>
          <t>Nifty 50</t>
        </is>
      </c>
      <c r="T191" s="32" t="n">
        <v>-2.54</v>
      </c>
      <c r="U191" s="32" t="n">
        <v>49.5</v>
      </c>
      <c r="V191" s="32" t="n">
        <v>53.4</v>
      </c>
      <c r="W191" s="32" t="n">
        <v>15.11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Negative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IF(B192=0,"",RANK(B192,$B$2:$B$300,0))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NAZARA</t>
        </is>
      </c>
      <c r="D192" s="31" t="inlineStr">
        <is>
          <t>Nazara Technologies Ltd</t>
        </is>
      </c>
      <c r="E192" s="31" t="inlineStr">
        <is>
          <t>i.t</t>
        </is>
      </c>
      <c r="F192" s="31" t="inlineStr">
        <is>
          <t>telecommunications - service provider</t>
        </is>
      </c>
      <c r="G192" s="31" t="inlineStr">
        <is>
          <t>midcap</t>
        </is>
      </c>
      <c r="H192" s="32" t="n">
        <v>11286.22</v>
      </c>
      <c r="I192" s="32" t="n">
        <v>304.65</v>
      </c>
      <c r="J192" s="32" t="n">
        <v>-1.1</v>
      </c>
      <c r="K192" s="32" t="n">
        <v>2329633</v>
      </c>
      <c r="L192" s="31" t="n">
        <v>6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60.64</v>
      </c>
      <c r="P192" s="32" t="n">
        <v>13.28</v>
      </c>
      <c r="Q192" s="32" t="n">
        <v>241.16</v>
      </c>
      <c r="R192" s="31" t="inlineStr">
        <is>
          <t>Earnings / Momentum Support</t>
        </is>
      </c>
      <c r="S192" s="31" t="inlineStr">
        <is>
          <t>Nifty IT</t>
        </is>
      </c>
      <c r="T192" s="32" t="n">
        <v>-21.31</v>
      </c>
      <c r="U192" s="32" t="n">
        <v>-14.81</v>
      </c>
      <c r="V192" s="32" t="n">
        <v>8.27</v>
      </c>
      <c r="W192" s="32" t="n">
        <v>0.03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Oligopoly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Yes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0 to 20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Less than 1.5</t>
        </is>
      </c>
      <c r="BU192" s="31">
        <f>IF(BT192="Above 2",0,IF(BT192="Between 1.5 to 2",5,IF(BT192="Less than 1.5",10,0)))</f>
        <v/>
      </c>
      <c r="BV192" s="31" t="inlineStr">
        <is>
          <t>Between 50% to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IF(B193=0,"",RANK(B193,$B$2:$B$300,0))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GANDHAR</t>
        </is>
      </c>
      <c r="D193" s="31" t="inlineStr">
        <is>
          <t>Gandhar Oil Refinery (India) Ltd</t>
        </is>
      </c>
      <c r="E193" s="31" t="inlineStr">
        <is>
          <t>energy</t>
        </is>
      </c>
      <c r="F193" s="31" t="inlineStr">
        <is>
          <t>refineries</t>
        </is>
      </c>
      <c r="G193" s="31" t="inlineStr">
        <is>
          <t>smallcap</t>
        </is>
      </c>
      <c r="H193" s="32" t="n">
        <v>2035.21</v>
      </c>
      <c r="I193" s="32" t="n">
        <v>207.93</v>
      </c>
      <c r="J193" s="32" t="n">
        <v>-1.43</v>
      </c>
      <c r="K193" s="32" t="n">
        <v>586858</v>
      </c>
      <c r="L193" s="31" t="n">
        <v>67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72.79000000000001</v>
      </c>
      <c r="P193" s="32" t="n">
        <v>43.17</v>
      </c>
      <c r="Q193" s="32" t="n">
        <v>159.6</v>
      </c>
      <c r="R193" s="31" t="inlineStr">
        <is>
          <t>Near 52W High Breakout</t>
        </is>
      </c>
      <c r="S193" s="31" t="inlineStr">
        <is>
          <t>Nifty Energy</t>
        </is>
      </c>
      <c r="T193" s="32" t="n">
        <v>8.41</v>
      </c>
      <c r="U193" s="32" t="n">
        <v>24.11</v>
      </c>
      <c r="V193" s="32" t="n">
        <v>14.48</v>
      </c>
      <c r="W193" s="32" t="n">
        <v>14.4</v>
      </c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Oligopoly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Yes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Cyclical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Volatile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Above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Between 50% to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IF(B194=0,"",RANK(B194,$B$2:$B$300,0))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3" t="inlineStr">
        <is>
          <t>PDSL</t>
        </is>
      </c>
      <c r="D194" s="33" t="inlineStr">
        <is>
          <t>PDS Ltd</t>
        </is>
      </c>
      <c r="E194" s="31" t="inlineStr">
        <is>
          <t>textiles</t>
        </is>
      </c>
      <c r="F194" s="31" t="inlineStr">
        <is>
          <t>trading</t>
        </is>
      </c>
      <c r="G194" s="31" t="inlineStr">
        <is>
          <t>midcap</t>
        </is>
      </c>
      <c r="H194" s="32" t="n">
        <v>5118.08</v>
      </c>
      <c r="I194" s="32" t="n">
        <v>361.85</v>
      </c>
      <c r="J194" s="32" t="n">
        <v>-1.87</v>
      </c>
      <c r="K194" s="32" t="n">
        <v>179438</v>
      </c>
      <c r="L194" s="31" t="n">
        <v>19</v>
      </c>
      <c r="M194" s="31" t="inlineStr">
        <is>
          <t>Underperforming</t>
        </is>
      </c>
      <c r="N194" s="32">
        <f>IF(M194="Underperforming",-5,IF(L194&gt;=95,15,IF(L194&gt;=90,10,IF(L194&gt;=80,5,0))))</f>
        <v/>
      </c>
      <c r="O194" s="32" t="n">
        <v>59.9</v>
      </c>
      <c r="P194" s="32" t="n">
        <v>19.54</v>
      </c>
      <c r="Q194" s="32" t="n">
        <v>260.67</v>
      </c>
      <c r="R194" s="31" t="inlineStr">
        <is>
          <t>Volume Spike / Accumulation</t>
        </is>
      </c>
      <c r="S194" s="31" t="inlineStr">
        <is>
          <t>Nifty 50</t>
        </is>
      </c>
      <c r="T194" s="32" t="n">
        <v>-2.54</v>
      </c>
      <c r="U194" s="32" t="n">
        <v>-6.3</v>
      </c>
      <c r="V194" s="32" t="n">
        <v>-3.85</v>
      </c>
      <c r="W194" s="32" t="n">
        <v>3.86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0 to 20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IF(B195=0,"",RANK(B195,$B$2:$B$300,0))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ARROWGREEN</t>
        </is>
      </c>
      <c r="D195" s="31" t="inlineStr">
        <is>
          <t>Arrow Greentech Limited</t>
        </is>
      </c>
      <c r="E195" s="31" t="inlineStr">
        <is>
          <t>plastic products</t>
        </is>
      </c>
      <c r="F195" s="31" t="inlineStr">
        <is>
          <t>plastics products</t>
        </is>
      </c>
      <c r="G195" s="31" t="inlineStr">
        <is>
          <t>smallcap</t>
        </is>
      </c>
      <c r="H195" s="32" t="n">
        <v>1010.89</v>
      </c>
      <c r="I195" s="32" t="n">
        <v>670</v>
      </c>
      <c r="J195" s="32" t="n">
        <v>-3.4</v>
      </c>
      <c r="K195" s="32" t="n">
        <v>17136</v>
      </c>
      <c r="L195" s="31" t="n">
        <v>30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64.34</v>
      </c>
      <c r="P195" s="32" t="n">
        <v>24.87</v>
      </c>
      <c r="Q195" s="32" t="n">
        <v>491.51</v>
      </c>
      <c r="R195" s="31" t="inlineStr">
        <is>
          <t>Earnings / Momentum Support</t>
        </is>
      </c>
      <c r="S195" s="31" t="inlineStr">
        <is>
          <t>Nifty 50</t>
        </is>
      </c>
      <c r="T195" s="32" t="n">
        <v>-2.54</v>
      </c>
      <c r="U195" s="32" t="n">
        <v>2.57</v>
      </c>
      <c r="V195" s="32" t="n">
        <v>5.25</v>
      </c>
      <c r="W195" s="32" t="n">
        <v>5.97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Less than 12%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Between 50% to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IF(B196=0,"",RANK(B196,$B$2:$B$300,0))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AVADHSUGAR</t>
        </is>
      </c>
      <c r="D196" s="31" t="inlineStr">
        <is>
          <t>Avadh Sugar &amp; Energy</t>
        </is>
      </c>
      <c r="E196" s="31" t="inlineStr">
        <is>
          <t>fmcg</t>
        </is>
      </c>
      <c r="F196" s="31" t="inlineStr">
        <is>
          <t>sugar</t>
        </is>
      </c>
      <c r="G196" s="31" t="inlineStr">
        <is>
          <t>smallcap</t>
        </is>
      </c>
      <c r="H196" s="32" t="n">
        <v>1068.78</v>
      </c>
      <c r="I196" s="32" t="n">
        <v>533.9</v>
      </c>
      <c r="J196" s="32" t="n">
        <v>0.23</v>
      </c>
      <c r="K196" s="32" t="n">
        <v>24345</v>
      </c>
      <c r="L196" s="31" t="n">
        <v>38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70.08</v>
      </c>
      <c r="P196" s="32" t="n">
        <v>34.51</v>
      </c>
      <c r="Q196" s="32" t="n">
        <v>410.19</v>
      </c>
      <c r="R196" s="31" t="inlineStr">
        <is>
          <t>Near 52W High Breakout</t>
        </is>
      </c>
      <c r="S196" s="31" t="inlineStr">
        <is>
          <t>Nifty FMCG</t>
        </is>
      </c>
      <c r="T196" s="32" t="n">
        <v>-13.73</v>
      </c>
      <c r="U196" s="32" t="n">
        <v>10.91</v>
      </c>
      <c r="V196" s="32" t="n">
        <v>28.56</v>
      </c>
      <c r="W196" s="32" t="n">
        <v>7.47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B2C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Annuity, Lower One Time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Less than 12%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Between 50% to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More than 1.2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IF(B197=0,"",RANK(B197,$B$2:$B$300,0))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3" t="inlineStr">
        <is>
          <t>DIVISLAB</t>
        </is>
      </c>
      <c r="D197" s="33" t="inlineStr">
        <is>
          <t>Divi's Laboratories Limited</t>
        </is>
      </c>
      <c r="E197" s="31" t="inlineStr">
        <is>
          <t>healthcare</t>
        </is>
      </c>
      <c r="F197" s="31" t="inlineStr">
        <is>
          <t>pharmaceuticals - indian - bulk drugs</t>
        </is>
      </c>
      <c r="G197" s="31" t="inlineStr">
        <is>
          <t>largecap</t>
        </is>
      </c>
      <c r="H197" s="32" t="n">
        <v>192398.35</v>
      </c>
      <c r="I197" s="32" t="n">
        <v>7247.5</v>
      </c>
      <c r="J197" s="32" t="n">
        <v>-0.9399999999999999</v>
      </c>
      <c r="K197" s="32" t="n">
        <v>455060</v>
      </c>
      <c r="L197" s="31" t="n">
        <v>26</v>
      </c>
      <c r="M197" s="31" t="inlineStr">
        <is>
          <t>Underperforming</t>
        </is>
      </c>
      <c r="N197" s="32">
        <f>IF(M197="Underperforming",-5,IF(L197&gt;=95,15,IF(L197&gt;=90,10,IF(L197&gt;=80,5,0))))</f>
        <v/>
      </c>
      <c r="O197" s="32" t="n">
        <v>70.19</v>
      </c>
      <c r="P197" s="32" t="n">
        <v>18.14</v>
      </c>
      <c r="Q197" s="32" t="n">
        <v>6281.6</v>
      </c>
      <c r="R197" s="31" t="inlineStr">
        <is>
          <t>Volume Spike &amp; Near 52W High Breakout</t>
        </is>
      </c>
      <c r="S197" s="31" t="inlineStr">
        <is>
          <t>Nifty Pharma</t>
        </is>
      </c>
      <c r="T197" s="32" t="n">
        <v>13.51</v>
      </c>
      <c r="U197" s="32" t="n">
        <v>8.16</v>
      </c>
      <c r="V197" s="32" t="n">
        <v>-4.72</v>
      </c>
      <c r="W197" s="32" t="n">
        <v>5.12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Yes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Annuity, Lower One Time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0 to 20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Blue sky scenario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Between 12 to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IF(B198=0,"",RANK(B198,$B$2:$B$300,0))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3" t="inlineStr">
        <is>
          <t>MOREPENLAB</t>
        </is>
      </c>
      <c r="D198" s="33" t="inlineStr">
        <is>
          <t>Morepen Laboratories Limited</t>
        </is>
      </c>
      <c r="E198" s="31" t="inlineStr">
        <is>
          <t>healthcare</t>
        </is>
      </c>
      <c r="F198" s="31" t="inlineStr">
        <is>
          <t>pharmaceuticals - indian - bulk drugs &amp; formln</t>
        </is>
      </c>
      <c r="G198" s="31" t="inlineStr">
        <is>
          <t>smallcap</t>
        </is>
      </c>
      <c r="H198" s="32" t="n">
        <v>3227.45</v>
      </c>
      <c r="I198" s="32" t="n">
        <v>58.9</v>
      </c>
      <c r="J198" s="32" t="n">
        <v>-3.17</v>
      </c>
      <c r="K198" s="32" t="n">
        <v>7705689</v>
      </c>
      <c r="L198" s="31" t="n">
        <v>48</v>
      </c>
      <c r="M198" s="31" t="inlineStr">
        <is>
          <t>Underperforming</t>
        </is>
      </c>
      <c r="N198" s="32">
        <f>IF(M198="Underperforming",-5,IF(L198&gt;=95,15,IF(L198&gt;=90,10,IF(L198&gt;=80,5,0))))</f>
        <v/>
      </c>
      <c r="O198" s="32" t="n">
        <v>69.45999999999999</v>
      </c>
      <c r="P198" s="32" t="n">
        <v>23.28</v>
      </c>
      <c r="Q198" s="32" t="n">
        <v>45.42</v>
      </c>
      <c r="R198" s="31" t="inlineStr">
        <is>
          <t>Near 52W High Breakout</t>
        </is>
      </c>
      <c r="S198" s="31" t="inlineStr">
        <is>
          <t>Nifty Pharma</t>
        </is>
      </c>
      <c r="T198" s="32" t="n">
        <v>13.51</v>
      </c>
      <c r="U198" s="32" t="n">
        <v>-5.4</v>
      </c>
      <c r="V198" s="32" t="n">
        <v>-16.66</v>
      </c>
      <c r="W198" s="32" t="n">
        <v>9.58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Yes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Annuity, Lower One Time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Less than 12%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Less than 50%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IF(B199=0,"",RANK(B199,$B$2:$B$300,0))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PRESTIGE</t>
        </is>
      </c>
      <c r="D199" s="31" t="inlineStr">
        <is>
          <t>Prestige Estates Projects Limited</t>
        </is>
      </c>
      <c r="E199" s="31" t="inlineStr">
        <is>
          <t>realty</t>
        </is>
      </c>
      <c r="F199" s="31" t="inlineStr">
        <is>
          <t>construction</t>
        </is>
      </c>
      <c r="G199" s="31" t="inlineStr">
        <is>
          <t>largecap</t>
        </is>
      </c>
      <c r="H199" s="32" t="n">
        <v>72922.63</v>
      </c>
      <c r="I199" s="32" t="n">
        <v>1693</v>
      </c>
      <c r="J199" s="32" t="n">
        <v>3.12</v>
      </c>
      <c r="K199" s="32" t="n">
        <v>1057341</v>
      </c>
      <c r="L199" s="31" t="n">
        <v>23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63.16</v>
      </c>
      <c r="P199" s="32" t="n">
        <v>13.26</v>
      </c>
      <c r="Q199" s="32" t="n">
        <v>1390.31</v>
      </c>
      <c r="R199" s="31" t="inlineStr">
        <is>
          <t>Near 52W High Breakout</t>
        </is>
      </c>
      <c r="S199" s="31" t="inlineStr">
        <is>
          <t>Nifty Realty</t>
        </is>
      </c>
      <c r="T199" s="32" t="n">
        <v>-8.119999999999999</v>
      </c>
      <c r="U199" s="32" t="n">
        <v>-4.9</v>
      </c>
      <c r="V199" s="32" t="n">
        <v>3.51</v>
      </c>
      <c r="W199" s="32" t="n">
        <v>4.75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0 to 20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Between 0.7 to 1.2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IF(B200=0,"",RANK(B200,$B$2:$B$300,0))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EPL</t>
        </is>
      </c>
      <c r="D200" s="31" t="inlineStr">
        <is>
          <t>EPL Ltd</t>
        </is>
      </c>
      <c r="E200" s="31" t="inlineStr">
        <is>
          <t>industrials</t>
        </is>
      </c>
      <c r="F200" s="31" t="inlineStr">
        <is>
          <t>packaging</t>
        </is>
      </c>
      <c r="G200" s="31" t="inlineStr">
        <is>
          <t>midcap</t>
        </is>
      </c>
      <c r="H200" s="32" t="n">
        <v>7670.58</v>
      </c>
      <c r="I200" s="32" t="n">
        <v>239.52</v>
      </c>
      <c r="J200" s="32" t="n">
        <v>2.08</v>
      </c>
      <c r="K200" s="32" t="n">
        <v>345872</v>
      </c>
      <c r="L200" s="31" t="n">
        <v>10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60.89</v>
      </c>
      <c r="P200" s="32" t="n">
        <v>9.220000000000001</v>
      </c>
      <c r="Q200" s="32" t="n">
        <v>191.91</v>
      </c>
      <c r="R200" s="31" t="inlineStr">
        <is>
          <t>Near 52W High Breakout</t>
        </is>
      </c>
      <c r="S200" s="31" t="inlineStr">
        <is>
          <t>Nifty 50</t>
        </is>
      </c>
      <c r="T200" s="32" t="n">
        <v>-2.54</v>
      </c>
      <c r="U200" s="32" t="n">
        <v>4.54</v>
      </c>
      <c r="V200" s="32" t="n">
        <v>7.26</v>
      </c>
      <c r="W200" s="32" t="n">
        <v>1.68</v>
      </c>
      <c r="X200" s="31" t="inlineStr">
        <is>
          <t>Cyclical in an Upturn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0 to 20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IF(B201=0,"",RANK(B201,$B$2:$B$300,0))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HUHTAMAKI</t>
        </is>
      </c>
      <c r="D201" s="31" t="inlineStr">
        <is>
          <t>Huhtamaki India Ltd</t>
        </is>
      </c>
      <c r="E201" s="31" t="inlineStr">
        <is>
          <t>industrials</t>
        </is>
      </c>
      <c r="F201" s="31" t="inlineStr">
        <is>
          <t>packaging</t>
        </is>
      </c>
      <c r="G201" s="31" t="inlineStr">
        <is>
          <t>smallcap</t>
        </is>
      </c>
      <c r="H201" s="32" t="n">
        <v>1793.19</v>
      </c>
      <c r="I201" s="32" t="n">
        <v>237.44</v>
      </c>
      <c r="J201" s="32" t="n">
        <v>2.04</v>
      </c>
      <c r="K201" s="32" t="n">
        <v>412200</v>
      </c>
      <c r="L201" s="31" t="n">
        <v>42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69.2</v>
      </c>
      <c r="P201" s="32" t="n">
        <v>15.29</v>
      </c>
      <c r="Q201" s="32" t="n">
        <v>186.17</v>
      </c>
      <c r="R201" s="31" t="inlineStr">
        <is>
          <t>Volume Spike / Accumulation</t>
        </is>
      </c>
      <c r="S201" s="31" t="inlineStr">
        <is>
          <t>Nifty Infra</t>
        </is>
      </c>
      <c r="T201" s="32" t="n">
        <v>1.74</v>
      </c>
      <c r="U201" s="32" t="n">
        <v>5.47</v>
      </c>
      <c r="V201" s="32" t="n">
        <v>3.66</v>
      </c>
      <c r="W201" s="32" t="n">
        <v>8.24</v>
      </c>
      <c r="X201" s="31" t="inlineStr">
        <is>
          <t>Cyclical in an Upturn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0 to 20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IF(B202=0,"",RANK(B202,$B$2:$B$300,0))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LOKESHMACH</t>
        </is>
      </c>
      <c r="D202" s="31" t="inlineStr">
        <is>
          <t>Lokesh Machines Limited</t>
        </is>
      </c>
      <c r="E202" s="31" t="inlineStr">
        <is>
          <t>industrials</t>
        </is>
      </c>
      <c r="F202" s="31" t="inlineStr">
        <is>
          <t>engineering</t>
        </is>
      </c>
      <c r="G202" s="31" t="inlineStr">
        <is>
          <t>smallcap</t>
        </is>
      </c>
      <c r="H202" s="32" t="n">
        <v>702.47</v>
      </c>
      <c r="I202" s="32" t="n">
        <v>329.85</v>
      </c>
      <c r="J202" s="32" t="n">
        <v>1.99</v>
      </c>
      <c r="K202" s="32" t="n">
        <v>8762</v>
      </c>
      <c r="L202" s="31" t="n">
        <v>68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74.17</v>
      </c>
      <c r="P202" s="32" t="n">
        <v>45.96</v>
      </c>
      <c r="Q202" s="32" t="n">
        <v>246.42</v>
      </c>
      <c r="R202" s="31" t="inlineStr">
        <is>
          <t>Near 52W High Breakout</t>
        </is>
      </c>
      <c r="S202" s="31" t="inlineStr">
        <is>
          <t>Nifty 50</t>
        </is>
      </c>
      <c r="T202" s="32" t="n">
        <v>-2.54</v>
      </c>
      <c r="U202" s="32" t="n">
        <v>54.45</v>
      </c>
      <c r="V202" s="32" t="n">
        <v>58.47</v>
      </c>
      <c r="W202" s="32" t="n">
        <v>14.76</v>
      </c>
      <c r="X202" s="31" t="inlineStr">
        <is>
          <t>Cyclical in an Upturn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Above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Negative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Between 0.7 to 1.2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IF(B203=0,"",RANK(B203,$B$2:$B$300,0))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MMFL</t>
        </is>
      </c>
      <c r="D203" s="31" t="inlineStr">
        <is>
          <t>Mm Forgings Limited</t>
        </is>
      </c>
      <c r="E203" s="31" t="inlineStr">
        <is>
          <t>industrials</t>
        </is>
      </c>
      <c r="F203" s="31" t="inlineStr">
        <is>
          <t>castings &amp; forgings</t>
        </is>
      </c>
      <c r="G203" s="31" t="inlineStr">
        <is>
          <t>smallcap</t>
        </is>
      </c>
      <c r="H203" s="32" t="n">
        <v>2547.34</v>
      </c>
      <c r="I203" s="32" t="n">
        <v>527.6</v>
      </c>
      <c r="J203" s="32" t="n">
        <v>0.67</v>
      </c>
      <c r="K203" s="32" t="n">
        <v>127940</v>
      </c>
      <c r="L203" s="31" t="n">
        <v>59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68.5</v>
      </c>
      <c r="P203" s="32" t="n">
        <v>17.08</v>
      </c>
      <c r="Q203" s="32" t="n">
        <v>404.4</v>
      </c>
      <c r="R203" s="31" t="inlineStr">
        <is>
          <t>Near 52W High Breakout</t>
        </is>
      </c>
      <c r="S203" s="31" t="inlineStr">
        <is>
          <t>Nifty 50</t>
        </is>
      </c>
      <c r="T203" s="32" t="n">
        <v>-2.54</v>
      </c>
      <c r="U203" s="32" t="n">
        <v>43.27</v>
      </c>
      <c r="V203" s="32" t="n">
        <v>47.01</v>
      </c>
      <c r="W203" s="32" t="n">
        <v>12.24</v>
      </c>
      <c r="X203" s="31" t="inlineStr">
        <is>
          <t>Cyclical in an Upturn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0 to 20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Less than 1.5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More than 1.2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IF(B204=0,"",RANK(B204,$B$2:$B$300,0))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3" t="inlineStr">
        <is>
          <t>GODREJPROP</t>
        </is>
      </c>
      <c r="D204" s="33" t="inlineStr">
        <is>
          <t>Godrej Properties Limited</t>
        </is>
      </c>
      <c r="E204" s="31" t="inlineStr">
        <is>
          <t>realty</t>
        </is>
      </c>
      <c r="F204" s="31" t="inlineStr">
        <is>
          <t>construction</t>
        </is>
      </c>
      <c r="G204" s="31" t="inlineStr">
        <is>
          <t>largecap</t>
        </is>
      </c>
      <c r="H204" s="32" t="n">
        <v>63316.59</v>
      </c>
      <c r="I204" s="32" t="n">
        <v>2102.1</v>
      </c>
      <c r="J204" s="32" t="n">
        <v>0.5600000000000001</v>
      </c>
      <c r="K204" s="32" t="n">
        <v>900280</v>
      </c>
      <c r="L204" s="31" t="n">
        <v>12</v>
      </c>
      <c r="M204" s="31" t="inlineStr">
        <is>
          <t>Underperforming</t>
        </is>
      </c>
      <c r="N204" s="32">
        <f>IF(M204="Underperforming",-5,IF(L204&gt;=95,15,IF(L204&gt;=90,10,IF(L204&gt;=80,5,0))))</f>
        <v/>
      </c>
      <c r="O204" s="32" t="n">
        <v>62.72</v>
      </c>
      <c r="P204" s="32" t="n">
        <v>9.07</v>
      </c>
      <c r="Q204" s="32" t="n">
        <v>1724.87</v>
      </c>
      <c r="R204" s="31" t="inlineStr">
        <is>
          <t>Earnings / Momentum Support</t>
        </is>
      </c>
      <c r="S204" s="31" t="inlineStr">
        <is>
          <t>Nifty Realty</t>
        </is>
      </c>
      <c r="T204" s="32" t="n">
        <v>-8.119999999999999</v>
      </c>
      <c r="U204" s="32" t="n">
        <v>-11.13</v>
      </c>
      <c r="V204" s="32" t="n">
        <v>-3.28</v>
      </c>
      <c r="W204" s="32" t="n">
        <v>2.23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0 to 20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Less than 1.5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Between 0.7 to 1.2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IF(B205=0,"",RANK(B205,$B$2:$B$300,0))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3" t="inlineStr">
        <is>
          <t>MUNJALSHOW</t>
        </is>
      </c>
      <c r="D205" s="33" t="inlineStr">
        <is>
          <t>Munjal Showa Limited</t>
        </is>
      </c>
      <c r="E205" s="31" t="inlineStr">
        <is>
          <t>auto</t>
        </is>
      </c>
      <c r="F205" s="31" t="inlineStr">
        <is>
          <t>auto ancillaries</t>
        </is>
      </c>
      <c r="G205" s="31" t="inlineStr">
        <is>
          <t>smallcap</t>
        </is>
      </c>
      <c r="H205" s="32" t="n">
        <v>542.49</v>
      </c>
      <c r="I205" s="32" t="n">
        <v>135.64</v>
      </c>
      <c r="J205" s="32" t="n">
        <v>0.09</v>
      </c>
      <c r="K205" s="32" t="n">
        <v>28554</v>
      </c>
      <c r="L205" s="31" t="n">
        <v>5</v>
      </c>
      <c r="M205" s="31" t="inlineStr">
        <is>
          <t>Underperforming</t>
        </is>
      </c>
      <c r="N205" s="32">
        <f>IF(M205="Underperforming",-5,IF(L205&gt;=95,15,IF(L205&gt;=90,10,IF(L205&gt;=80,5,0))))</f>
        <v/>
      </c>
      <c r="O205" s="32" t="n">
        <v>56.9</v>
      </c>
      <c r="P205" s="32" t="n">
        <v>25.41</v>
      </c>
      <c r="Q205" s="32" t="n">
        <v>115.51</v>
      </c>
      <c r="R205" s="31" t="inlineStr">
        <is>
          <t>Earnings / Momentum Support</t>
        </is>
      </c>
      <c r="S205" s="31" t="inlineStr">
        <is>
          <t>Nifty Auto</t>
        </is>
      </c>
      <c r="T205" s="32" t="n">
        <v>13.41</v>
      </c>
      <c r="U205" s="32" t="n">
        <v>-7.39</v>
      </c>
      <c r="V205" s="32" t="n">
        <v>-18.34</v>
      </c>
      <c r="W205" s="32" t="n">
        <v>0.01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Between 1.5 to 2</t>
        </is>
      </c>
      <c r="BU205" s="31">
        <f>IF(BT205="Above 2",0,IF(BT205="Between 1.5 to 2",5,IF(BT205="Less than 1.5",10,0)))</f>
        <v/>
      </c>
      <c r="BV205" s="31" t="inlineStr">
        <is>
          <t>Negative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IF(B206=0,"",RANK(B206,$B$2:$B$300,0))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3" t="inlineStr">
        <is>
          <t>HONAUT</t>
        </is>
      </c>
      <c r="D206" s="33" t="inlineStr">
        <is>
          <t>Honeywell Automation India Limited</t>
        </is>
      </c>
      <c r="E206" s="31" t="inlineStr">
        <is>
          <t>consumer discretionary</t>
        </is>
      </c>
      <c r="F206" s="31" t="inlineStr">
        <is>
          <t>electronics - components</t>
        </is>
      </c>
      <c r="G206" s="31" t="inlineStr">
        <is>
          <t>largecap</t>
        </is>
      </c>
      <c r="H206" s="32" t="n">
        <v>34442.15</v>
      </c>
      <c r="I206" s="32" t="n">
        <v>38955</v>
      </c>
      <c r="J206" s="32" t="n">
        <v>-0.15</v>
      </c>
      <c r="K206" s="32" t="n">
        <v>4822</v>
      </c>
      <c r="L206" s="31" t="n">
        <v>18</v>
      </c>
      <c r="M206" s="31" t="inlineStr">
        <is>
          <t>Underperforming</t>
        </is>
      </c>
      <c r="N206" s="32">
        <f>IF(M206="Underperforming",-5,IF(L206&gt;=95,15,IF(L206&gt;=90,10,IF(L206&gt;=80,5,0))))</f>
        <v/>
      </c>
      <c r="O206" s="32" t="n">
        <v>63.82</v>
      </c>
      <c r="P206" s="32" t="n">
        <v>19.17</v>
      </c>
      <c r="Q206" s="32" t="n">
        <v>32574.18</v>
      </c>
      <c r="R206" s="31" t="inlineStr">
        <is>
          <t>Near 52W High Breakout</t>
        </is>
      </c>
      <c r="S206" s="31" t="inlineStr">
        <is>
          <t>Nifty 50</t>
        </is>
      </c>
      <c r="T206" s="32" t="n">
        <v>-2.54</v>
      </c>
      <c r="U206" s="32" t="n">
        <v>-3.47</v>
      </c>
      <c r="V206" s="32" t="n">
        <v>-0.96</v>
      </c>
      <c r="W206" s="32" t="n">
        <v>3.62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0 to 20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Between 12 to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IF(B207=0,"",RANK(B207,$B$2:$B$300,0))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SENCO</t>
        </is>
      </c>
      <c r="D207" s="31" t="inlineStr">
        <is>
          <t>Senco Gold Ltd</t>
        </is>
      </c>
      <c r="E207" s="31" t="inlineStr">
        <is>
          <t>consumer discretionary</t>
        </is>
      </c>
      <c r="F207" s="31" t="inlineStr">
        <is>
          <t>diamond cutting / jewellery</t>
        </is>
      </c>
      <c r="G207" s="31" t="inlineStr">
        <is>
          <t>midcap</t>
        </is>
      </c>
      <c r="H207" s="32" t="n">
        <v>5971.57</v>
      </c>
      <c r="I207" s="32" t="n">
        <v>364.55</v>
      </c>
      <c r="J207" s="32" t="n">
        <v>-0.26</v>
      </c>
      <c r="K207" s="32" t="n">
        <v>883913</v>
      </c>
      <c r="L207" s="31" t="n">
        <v>13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58.51</v>
      </c>
      <c r="P207" s="32" t="n">
        <v>25.06</v>
      </c>
      <c r="Q207" s="32" t="n">
        <v>273.89</v>
      </c>
      <c r="R207" s="31" t="inlineStr">
        <is>
          <t>Volume Spike / Accumulation</t>
        </is>
      </c>
      <c r="S207" s="31" t="inlineStr">
        <is>
          <t>Nifty 50</t>
        </is>
      </c>
      <c r="T207" s="32" t="n">
        <v>-2.54</v>
      </c>
      <c r="U207" s="32" t="n">
        <v>-0.92</v>
      </c>
      <c r="V207" s="32" t="n">
        <v>1.66</v>
      </c>
      <c r="W207" s="32" t="n">
        <v>2.53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Negative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Between 0.7 to 1.2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IF(B208=0,"",RANK(B208,$B$2:$B$300,0))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MAHLOG</t>
        </is>
      </c>
      <c r="D208" s="31" t="inlineStr">
        <is>
          <t>Mahindra Logistics Ltd</t>
        </is>
      </c>
      <c r="E208" s="31" t="inlineStr">
        <is>
          <t>transportation</t>
        </is>
      </c>
      <c r="F208" s="31" t="inlineStr">
        <is>
          <t>miscellaneous</t>
        </is>
      </c>
      <c r="G208" s="31" t="inlineStr">
        <is>
          <t>smallcap</t>
        </is>
      </c>
      <c r="H208" s="32" t="n">
        <v>3843.38</v>
      </c>
      <c r="I208" s="32" t="n">
        <v>387.35</v>
      </c>
      <c r="J208" s="32" t="n">
        <v>-0.33</v>
      </c>
      <c r="K208" s="32" t="n">
        <v>164352</v>
      </c>
      <c r="L208" s="31" t="n">
        <v>8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56.02</v>
      </c>
      <c r="P208" s="32" t="n">
        <v>19.15</v>
      </c>
      <c r="Q208" s="32" t="n">
        <v>335.84</v>
      </c>
      <c r="R208" s="31" t="inlineStr">
        <is>
          <t>Earnings / Momentum Support</t>
        </is>
      </c>
      <c r="S208" s="31" t="inlineStr">
        <is>
          <t>Nifty 50</t>
        </is>
      </c>
      <c r="T208" s="32" t="n">
        <v>-2.54</v>
      </c>
      <c r="U208" s="32" t="n">
        <v>3.65</v>
      </c>
      <c r="V208" s="32" t="n">
        <v>6.35</v>
      </c>
      <c r="W208" s="32" t="n">
        <v>0.66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0 to 20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IF(B209=0,"",RANK(B209,$B$2:$B$300,0))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MACPOWER</t>
        </is>
      </c>
      <c r="D209" s="31" t="inlineStr">
        <is>
          <t>Macpower CNC Machines Ltd</t>
        </is>
      </c>
      <c r="E209" s="31" t="inlineStr">
        <is>
          <t>industrials</t>
        </is>
      </c>
      <c r="F209" s="31" t="inlineStr">
        <is>
          <t>engineering</t>
        </is>
      </c>
      <c r="G209" s="31" t="inlineStr">
        <is>
          <t>smallcap</t>
        </is>
      </c>
      <c r="H209" s="32" t="n">
        <v>1327.25</v>
      </c>
      <c r="I209" s="32" t="n">
        <v>1326.7</v>
      </c>
      <c r="J209" s="32" t="n">
        <v>-0.59</v>
      </c>
      <c r="K209" s="32" t="n">
        <v>12606</v>
      </c>
      <c r="L209" s="31" t="n">
        <v>54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62.52</v>
      </c>
      <c r="P209" s="32" t="n">
        <v>28.18</v>
      </c>
      <c r="Q209" s="32" t="n">
        <v>999.9299999999999</v>
      </c>
      <c r="R209" s="31" t="inlineStr">
        <is>
          <t>Earnings / Momentum Support</t>
        </is>
      </c>
      <c r="S209" s="31" t="inlineStr">
        <is>
          <t>Nifty 50</t>
        </is>
      </c>
      <c r="T209" s="32" t="n">
        <v>-2.54</v>
      </c>
      <c r="U209" s="32" t="n">
        <v>23.98</v>
      </c>
      <c r="V209" s="32" t="n">
        <v>27.21</v>
      </c>
      <c r="W209" s="32" t="n">
        <v>10.8</v>
      </c>
      <c r="X209" s="31" t="inlineStr">
        <is>
          <t>Cyclical in an Upturn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Between 12 to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Less than 50%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IF(B210=0,"",RANK(B210,$B$2:$B$300,0))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GOODLUCK</t>
        </is>
      </c>
      <c r="D210" s="31" t="inlineStr">
        <is>
          <t>Goodluck India Limited</t>
        </is>
      </c>
      <c r="E210" s="31" t="inlineStr">
        <is>
          <t>metals &amp; mining</t>
        </is>
      </c>
      <c r="F210" s="31" t="inlineStr">
        <is>
          <t>steel - medium / small</t>
        </is>
      </c>
      <c r="G210" s="31" t="inlineStr">
        <is>
          <t>midcap</t>
        </is>
      </c>
      <c r="H210" s="32" t="n">
        <v>5140.67</v>
      </c>
      <c r="I210" s="32" t="n">
        <v>1546.6</v>
      </c>
      <c r="J210" s="32" t="n">
        <v>-1.11</v>
      </c>
      <c r="K210" s="32" t="n">
        <v>111255</v>
      </c>
      <c r="L210" s="31" t="n">
        <v>60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64.87</v>
      </c>
      <c r="P210" s="32" t="n">
        <v>35.2</v>
      </c>
      <c r="Q210" s="32" t="n">
        <v>1180.11</v>
      </c>
      <c r="R210" s="31" t="inlineStr">
        <is>
          <t>Near 52W High Breakout</t>
        </is>
      </c>
      <c r="S210" s="31" t="inlineStr">
        <is>
          <t>Nifty Metal</t>
        </is>
      </c>
      <c r="T210" s="32" t="n">
        <v>31.49</v>
      </c>
      <c r="U210" s="32" t="n">
        <v>36.57</v>
      </c>
      <c r="V210" s="32" t="n">
        <v>3.86</v>
      </c>
      <c r="W210" s="32" t="n">
        <v>12.28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Cyclical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Volatile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Blue sky scenario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Less than 1.5</t>
        </is>
      </c>
      <c r="BU210" s="31">
        <f>IF(BT210="Above 2",0,IF(BT210="Between 1.5 to 2",5,IF(BT210="Less than 1.5",10,0)))</f>
        <v/>
      </c>
      <c r="BV210" s="31" t="inlineStr">
        <is>
          <t>Less than 50%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Between 0.7 to 1.2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IF(B211=0,"",RANK(B211,$B$2:$B$300,0))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GALAPREC</t>
        </is>
      </c>
      <c r="D211" s="31" t="inlineStr">
        <is>
          <t>Gala Precision Engineering Ltd</t>
        </is>
      </c>
      <c r="E211" s="31" t="inlineStr">
        <is>
          <t>industrials</t>
        </is>
      </c>
      <c r="F211" s="31" t="inlineStr">
        <is>
          <t>fasteners</t>
        </is>
      </c>
      <c r="G211" s="31" t="inlineStr">
        <is>
          <t>smallcap</t>
        </is>
      </c>
      <c r="H211" s="32" t="n">
        <v>1507.08</v>
      </c>
      <c r="I211" s="32" t="n">
        <v>1182</v>
      </c>
      <c r="J211" s="32" t="n">
        <v>-1.24</v>
      </c>
      <c r="K211" s="32" t="n">
        <v>49147</v>
      </c>
      <c r="L211" s="31" t="n">
        <v>77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79.09999999999999</v>
      </c>
      <c r="P211" s="32" t="n">
        <v>41.08</v>
      </c>
      <c r="Q211" s="32" t="n">
        <v>904.28</v>
      </c>
      <c r="R211" s="31" t="inlineStr">
        <is>
          <t>Near 52W High Breakout</t>
        </is>
      </c>
      <c r="S211" s="31" t="inlineStr">
        <is>
          <t>Nifty Infra</t>
        </is>
      </c>
      <c r="T211" s="32" t="n">
        <v>1.74</v>
      </c>
      <c r="U211" s="32" t="n">
        <v>35.65</v>
      </c>
      <c r="V211" s="32" t="n">
        <v>33.33</v>
      </c>
      <c r="W211" s="32" t="n">
        <v>18.27</v>
      </c>
      <c r="X211" s="31" t="inlineStr">
        <is>
          <t>Cyclical in an Upturn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Above 40</t>
        </is>
      </c>
      <c r="AY211" s="31">
        <f>IF(AX211="Above 40",20,IF(AX211="20 to 40",10,IF(AX211="0 to 20",-5,0)))</f>
        <v/>
      </c>
      <c r="AZ211" s="31" t="inlineStr">
        <is>
          <t>Above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Less than 50%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IF(B212=0,"",RANK(B212,$B$2:$B$300,0))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3" t="inlineStr">
        <is>
          <t>INDIANHUME</t>
        </is>
      </c>
      <c r="D212" s="33" t="inlineStr">
        <is>
          <t>Indian Hume Pipe Company Limited</t>
        </is>
      </c>
      <c r="E212" s="31" t="inlineStr">
        <is>
          <t>realty</t>
        </is>
      </c>
      <c r="F212" s="31" t="inlineStr">
        <is>
          <t>construction</t>
        </is>
      </c>
      <c r="G212" s="31" t="inlineStr">
        <is>
          <t>smallcap</t>
        </is>
      </c>
      <c r="H212" s="32" t="n">
        <v>2097</v>
      </c>
      <c r="I212" s="32" t="n">
        <v>398.05</v>
      </c>
      <c r="J212" s="32" t="n">
        <v>-1.64</v>
      </c>
      <c r="K212" s="32" t="n">
        <v>107099</v>
      </c>
      <c r="L212" s="31" t="n">
        <v>18</v>
      </c>
      <c r="M212" s="31" t="inlineStr">
        <is>
          <t>Underperforming</t>
        </is>
      </c>
      <c r="N212" s="32">
        <f>IF(M212="Underperforming",-5,IF(L212&gt;=95,15,IF(L212&gt;=90,10,IF(L212&gt;=80,5,0))))</f>
        <v/>
      </c>
      <c r="O212" s="32" t="n">
        <v>65.95999999999999</v>
      </c>
      <c r="P212" s="32" t="n">
        <v>11.76</v>
      </c>
      <c r="Q212" s="32" t="n">
        <v>298.47</v>
      </c>
      <c r="R212" s="31" t="inlineStr">
        <is>
          <t>Volume Spike / Accumulation</t>
        </is>
      </c>
      <c r="S212" s="31" t="inlineStr">
        <is>
          <t>Nifty Realty</t>
        </is>
      </c>
      <c r="T212" s="32" t="n">
        <v>-8.119999999999999</v>
      </c>
      <c r="U212" s="32" t="n">
        <v>-9.41</v>
      </c>
      <c r="V212" s="32" t="n">
        <v>-1.4</v>
      </c>
      <c r="W212" s="32" t="n">
        <v>3.61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0 to 20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Less than 12%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IF(B213=0,"",RANK(B213,$B$2:$B$300,0))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3" t="inlineStr">
        <is>
          <t>SHYAMMETL</t>
        </is>
      </c>
      <c r="D213" s="33" t="inlineStr">
        <is>
          <t>Shyam Metalics &amp; Energy Ltd</t>
        </is>
      </c>
      <c r="E213" s="31" t="inlineStr">
        <is>
          <t>metals &amp; mining</t>
        </is>
      </c>
      <c r="F213" s="31" t="inlineStr">
        <is>
          <t>steel - large</t>
        </is>
      </c>
      <c r="G213" s="31" t="inlineStr">
        <is>
          <t>largecap</t>
        </is>
      </c>
      <c r="H213" s="32" t="n">
        <v>28541.23</v>
      </c>
      <c r="I213" s="32" t="n">
        <v>1022.5</v>
      </c>
      <c r="J213" s="32" t="n">
        <v>-1.73</v>
      </c>
      <c r="K213" s="32" t="n">
        <v>220511</v>
      </c>
      <c r="L213" s="31" t="n">
        <v>33</v>
      </c>
      <c r="M213" s="31" t="inlineStr">
        <is>
          <t>Underperforming</t>
        </is>
      </c>
      <c r="N213" s="32">
        <f>IF(M213="Underperforming",-5,IF(L213&gt;=95,15,IF(L213&gt;=90,10,IF(L213&gt;=80,5,0))))</f>
        <v/>
      </c>
      <c r="O213" s="32" t="n">
        <v>65.26000000000001</v>
      </c>
      <c r="P213" s="32" t="n">
        <v>16.1</v>
      </c>
      <c r="Q213" s="32" t="n">
        <v>834.9</v>
      </c>
      <c r="R213" s="31" t="inlineStr">
        <is>
          <t>Near 52W High Breakout</t>
        </is>
      </c>
      <c r="S213" s="31" t="inlineStr">
        <is>
          <t>Nifty Metal</t>
        </is>
      </c>
      <c r="T213" s="32" t="n">
        <v>31.49</v>
      </c>
      <c r="U213" s="32" t="n">
        <v>12.72</v>
      </c>
      <c r="V213" s="32" t="n">
        <v>-14.28</v>
      </c>
      <c r="W213" s="32" t="n">
        <v>6.54</v>
      </c>
      <c r="X213" s="31" t="inlineStr">
        <is>
          <t>Cyclical in an Upturn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Cyclical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Volatile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0 to 20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Blue sky scenario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IF(B214=0,"",RANK(B214,$B$2:$B$300,0))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3" t="inlineStr">
        <is>
          <t>KECL</t>
        </is>
      </c>
      <c r="D214" s="33" t="inlineStr">
        <is>
          <t>Kirloskar Electric Company Limited</t>
        </is>
      </c>
      <c r="E214" s="31" t="inlineStr">
        <is>
          <t>industrials</t>
        </is>
      </c>
      <c r="F214" s="31" t="inlineStr">
        <is>
          <t>electric equipment</t>
        </is>
      </c>
      <c r="G214" s="31" t="inlineStr">
        <is>
          <t>smallcap</t>
        </is>
      </c>
      <c r="H214" s="32" t="n">
        <v>791.0599999999999</v>
      </c>
      <c r="I214" s="32" t="n">
        <v>119.11</v>
      </c>
      <c r="J214" s="32" t="n">
        <v>-1.98</v>
      </c>
      <c r="K214" s="32" t="n">
        <v>101159</v>
      </c>
      <c r="L214" s="31" t="n">
        <v>1</v>
      </c>
      <c r="M214" s="31" t="inlineStr">
        <is>
          <t>Underperforming</t>
        </is>
      </c>
      <c r="N214" s="32">
        <f>IF(M214="Underperforming",-5,IF(L214&gt;=95,15,IF(L214&gt;=90,10,IF(L214&gt;=80,5,0))))</f>
        <v/>
      </c>
      <c r="O214" s="32" t="n">
        <v>55.37</v>
      </c>
      <c r="P214" s="32" t="n">
        <v>30.37</v>
      </c>
      <c r="Q214" s="32" t="n">
        <v>101.96</v>
      </c>
      <c r="R214" s="31" t="inlineStr">
        <is>
          <t>Volume Spike / Accumulation</t>
        </is>
      </c>
      <c r="S214" s="31" t="inlineStr">
        <is>
          <t>Nifty 50</t>
        </is>
      </c>
      <c r="T214" s="32" t="n">
        <v>-2.54</v>
      </c>
      <c r="U214" s="32" t="n">
        <v>-13.35</v>
      </c>
      <c r="V214" s="32" t="n">
        <v>-11.09</v>
      </c>
      <c r="W214" s="32" t="n">
        <v>-2.6</v>
      </c>
      <c r="X214" s="31" t="inlineStr">
        <is>
          <t>Cyclical in an Upturn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Between 50% to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Between 0.7 to 1.2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IF(B215=0,"",RANK(B215,$B$2:$B$300,0))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3" t="inlineStr">
        <is>
          <t>TPLPLASTEH</t>
        </is>
      </c>
      <c r="D215" s="33" t="inlineStr">
        <is>
          <t>Tpl Plastech Limited</t>
        </is>
      </c>
      <c r="E215" s="31" t="inlineStr">
        <is>
          <t>industrials</t>
        </is>
      </c>
      <c r="F215" s="31" t="inlineStr">
        <is>
          <t>packaging</t>
        </is>
      </c>
      <c r="G215" s="31" t="inlineStr">
        <is>
          <t>smallcap</t>
        </is>
      </c>
      <c r="H215" s="32" t="n">
        <v>621.14</v>
      </c>
      <c r="I215" s="32" t="n">
        <v>79.63</v>
      </c>
      <c r="J215" s="32" t="n">
        <v>-2.43</v>
      </c>
      <c r="K215" s="32" t="n">
        <v>147598</v>
      </c>
      <c r="L215" s="31" t="n">
        <v>14</v>
      </c>
      <c r="M215" s="31" t="inlineStr">
        <is>
          <t>Underperforming</t>
        </is>
      </c>
      <c r="N215" s="32">
        <f>IF(M215="Underperforming",-5,IF(L215&gt;=95,15,IF(L215&gt;=90,10,IF(L215&gt;=80,5,0))))</f>
        <v/>
      </c>
      <c r="O215" s="32" t="n">
        <v>58.75</v>
      </c>
      <c r="P215" s="32" t="n">
        <v>18.5</v>
      </c>
      <c r="Q215" s="32" t="n">
        <v>64.16</v>
      </c>
      <c r="R215" s="31" t="inlineStr">
        <is>
          <t>Earnings / Momentum Support</t>
        </is>
      </c>
      <c r="S215" s="31" t="inlineStr">
        <is>
          <t>Nifty Infra</t>
        </is>
      </c>
      <c r="T215" s="32" t="n">
        <v>1.74</v>
      </c>
      <c r="U215" s="32" t="n">
        <v>0.47</v>
      </c>
      <c r="V215" s="32" t="n">
        <v>-1.25</v>
      </c>
      <c r="W215" s="32" t="n">
        <v>2.74</v>
      </c>
      <c r="X215" s="31" t="inlineStr">
        <is>
          <t>Cyclical in an Upturn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0 to 20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Between 12 to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Less than 1.5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IF(B216=0,"",RANK(B216,$B$2:$B$300,0))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3" t="inlineStr">
        <is>
          <t>JUBLINGREA</t>
        </is>
      </c>
      <c r="D216" s="33" t="inlineStr">
        <is>
          <t>Jubilant Ingrevia Ltd</t>
        </is>
      </c>
      <c r="E216" s="31" t="inlineStr">
        <is>
          <t>chemicals</t>
        </is>
      </c>
      <c r="F216" s="31" t="inlineStr">
        <is>
          <t>chemicals</t>
        </is>
      </c>
      <c r="G216" s="31" t="inlineStr">
        <is>
          <t>midcap</t>
        </is>
      </c>
      <c r="H216" s="32" t="n">
        <v>11771.67</v>
      </c>
      <c r="I216" s="32" t="n">
        <v>739.05</v>
      </c>
      <c r="J216" s="32" t="n">
        <v>-2.56</v>
      </c>
      <c r="K216" s="32" t="n">
        <v>178142</v>
      </c>
      <c r="L216" s="31" t="n">
        <v>7</v>
      </c>
      <c r="M216" s="31" t="inlineStr">
        <is>
          <t>Underperforming</t>
        </is>
      </c>
      <c r="N216" s="32">
        <f>IF(M216="Underperforming",-5,IF(L216&gt;=95,15,IF(L216&gt;=90,10,IF(L216&gt;=80,5,0))))</f>
        <v/>
      </c>
      <c r="O216" s="32" t="n">
        <v>59.71</v>
      </c>
      <c r="P216" s="32" t="n">
        <v>16.2</v>
      </c>
      <c r="Q216" s="32" t="n">
        <v>571.51</v>
      </c>
      <c r="R216" s="31" t="inlineStr">
        <is>
          <t>Near 52W High Breakout</t>
        </is>
      </c>
      <c r="S216" s="31" t="inlineStr">
        <is>
          <t>Nifty 50</t>
        </is>
      </c>
      <c r="T216" s="32" t="n">
        <v>-2.54</v>
      </c>
      <c r="U216" s="32" t="n">
        <v>-10.48</v>
      </c>
      <c r="V216" s="32" t="n">
        <v>-8.140000000000001</v>
      </c>
      <c r="W216" s="32" t="n">
        <v>0.42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Between 12 to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IF(B217=0,"",RANK(B217,$B$2:$B$300,0))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MOSCHIP</t>
        </is>
      </c>
      <c r="D217" s="31" t="inlineStr">
        <is>
          <t>Moschip Technologies Ltd</t>
        </is>
      </c>
      <c r="E217" s="31" t="inlineStr">
        <is>
          <t>i.t</t>
        </is>
      </c>
      <c r="F217" s="31" t="inlineStr">
        <is>
          <t>computers - hardware</t>
        </is>
      </c>
      <c r="G217" s="31" t="inlineStr">
        <is>
          <t>smallcap</t>
        </is>
      </c>
      <c r="H217" s="32" t="n">
        <v>4669.22</v>
      </c>
      <c r="I217" s="32" t="n">
        <v>240.1</v>
      </c>
      <c r="J217" s="32" t="n">
        <v>-3.03</v>
      </c>
      <c r="K217" s="32" t="n">
        <v>3996598</v>
      </c>
      <c r="L217" s="31" t="n">
        <v>67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61.71</v>
      </c>
      <c r="P217" s="32" t="n">
        <v>18.56</v>
      </c>
      <c r="Q217" s="32" t="n">
        <v>173.35</v>
      </c>
      <c r="R217" s="31" t="inlineStr">
        <is>
          <t>Volume Spike / Accumulation</t>
        </is>
      </c>
      <c r="S217" s="31" t="inlineStr">
        <is>
          <t>Nifty IT</t>
        </is>
      </c>
      <c r="T217" s="32" t="n">
        <v>-21.31</v>
      </c>
      <c r="U217" s="32" t="n">
        <v>40.03</v>
      </c>
      <c r="V217" s="32" t="n">
        <v>77.95999999999999</v>
      </c>
      <c r="W217" s="32" t="n">
        <v>14.73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0 to 20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Less than 12%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IF(B218=0,"",RANK(B218,$B$2:$B$300,0))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3" t="inlineStr">
        <is>
          <t>PPLPHARMA</t>
        </is>
      </c>
      <c r="D218" s="33" t="inlineStr">
        <is>
          <t>Piramal Pharma Ltd</t>
        </is>
      </c>
      <c r="E218" s="31" t="inlineStr">
        <is>
          <t>healthcare</t>
        </is>
      </c>
      <c r="F218" s="31" t="inlineStr">
        <is>
          <t>pharmaceuticals - indian - bulk drugs &amp; formln</t>
        </is>
      </c>
      <c r="G218" s="31" t="inlineStr">
        <is>
          <t>largecap</t>
        </is>
      </c>
      <c r="H218" s="32" t="n">
        <v>23887.05</v>
      </c>
      <c r="I218" s="32" t="n">
        <v>179.42</v>
      </c>
      <c r="J218" s="32" t="n">
        <v>2.65</v>
      </c>
      <c r="K218" s="32" t="n">
        <v>6700414</v>
      </c>
      <c r="L218" s="31" t="n">
        <v>10</v>
      </c>
      <c r="M218" s="31" t="inlineStr">
        <is>
          <t>Underperforming</t>
        </is>
      </c>
      <c r="N218" s="32">
        <f>IF(M218="Underperforming",-5,IF(L218&gt;=95,15,IF(L218&gt;=90,10,IF(L218&gt;=80,5,0))))</f>
        <v/>
      </c>
      <c r="O218" s="32" t="n">
        <v>57.71</v>
      </c>
      <c r="P218" s="32" t="n">
        <v>18.29</v>
      </c>
      <c r="Q218" s="32" t="n">
        <v>138.67</v>
      </c>
      <c r="R218" s="31" t="inlineStr">
        <is>
          <t>Earnings / Momentum Support</t>
        </is>
      </c>
      <c r="S218" s="31" t="inlineStr">
        <is>
          <t>Nifty Pharma</t>
        </is>
      </c>
      <c r="T218" s="32" t="n">
        <v>13.51</v>
      </c>
      <c r="U218" s="32" t="n">
        <v>-15.04</v>
      </c>
      <c r="V218" s="32" t="n">
        <v>-25.15</v>
      </c>
      <c r="W218" s="32" t="n">
        <v>1.63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Yes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Annuity, Lower One Time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0 to 20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IF(B219=0,"",RANK(B219,$B$2:$B$300,0))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3" t="inlineStr">
        <is>
          <t>KOVAI</t>
        </is>
      </c>
      <c r="D219" s="33" t="inlineStr">
        <is>
          <t>Kovai Medical Center &amp; Hospital Ltd</t>
        </is>
      </c>
      <c r="E219" s="31" t="inlineStr">
        <is>
          <t>healthcare</t>
        </is>
      </c>
      <c r="F219" s="31" t="inlineStr">
        <is>
          <t>healthcare</t>
        </is>
      </c>
      <c r="G219" s="31" t="inlineStr">
        <is>
          <t>midcap</t>
        </is>
      </c>
      <c r="H219" s="32" t="n">
        <v>6550.04</v>
      </c>
      <c r="I219" s="32" t="n">
        <v>5986</v>
      </c>
      <c r="J219" s="32" t="n">
        <v>0.62</v>
      </c>
      <c r="K219" s="32" t="n">
        <v>3781</v>
      </c>
      <c r="L219" s="31" t="n">
        <v>12</v>
      </c>
      <c r="M219" s="31" t="inlineStr">
        <is>
          <t>Underperforming</t>
        </is>
      </c>
      <c r="N219" s="32">
        <f>IF(M219="Underperforming",-5,IF(L219&gt;=95,15,IF(L219&gt;=90,10,IF(L219&gt;=80,5,0))))</f>
        <v/>
      </c>
      <c r="O219" s="32" t="n">
        <v>62.23</v>
      </c>
      <c r="P219" s="32" t="n">
        <v>19.88</v>
      </c>
      <c r="Q219" s="32" t="n">
        <v>5085.71</v>
      </c>
      <c r="R219" s="31" t="inlineStr">
        <is>
          <t>Earnings / Momentum Support</t>
        </is>
      </c>
      <c r="S219" s="31" t="inlineStr">
        <is>
          <t>Nifty Pharma</t>
        </is>
      </c>
      <c r="T219" s="32" t="n">
        <v>13.51</v>
      </c>
      <c r="U219" s="32" t="n">
        <v>-2.23</v>
      </c>
      <c r="V219" s="32" t="n">
        <v>-13.86</v>
      </c>
      <c r="W219" s="32" t="n">
        <v>2.11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Yes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Annuity, Lower One Time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Between 12 to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Between 1.5 to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IF(B220=0,"",RANK(B220,$B$2:$B$300,0))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RPGLIFE</t>
        </is>
      </c>
      <c r="D220" s="31" t="inlineStr">
        <is>
          <t>Rpg Life Sciences Limited</t>
        </is>
      </c>
      <c r="E220" s="31" t="inlineStr">
        <is>
          <t>healthcare</t>
        </is>
      </c>
      <c r="F220" s="31" t="inlineStr">
        <is>
          <t>pharmaceuticals - indian - bulk drugs &amp; formln</t>
        </is>
      </c>
      <c r="G220" s="31" t="inlineStr">
        <is>
          <t>smallcap</t>
        </is>
      </c>
      <c r="H220" s="32" t="n">
        <v>4729.83</v>
      </c>
      <c r="I220" s="32" t="n">
        <v>2859.8</v>
      </c>
      <c r="J220" s="32" t="n">
        <v>-2.13</v>
      </c>
      <c r="K220" s="32" t="n">
        <v>16931</v>
      </c>
      <c r="L220" s="31" t="n">
        <v>63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75.09</v>
      </c>
      <c r="P220" s="32" t="n">
        <v>24.01</v>
      </c>
      <c r="Q220" s="32" t="n">
        <v>2268.48</v>
      </c>
      <c r="R220" s="31" t="inlineStr">
        <is>
          <t>Volume Spike &amp; Near 52W High Breakout</t>
        </is>
      </c>
      <c r="S220" s="31" t="inlineStr">
        <is>
          <t>Nifty Pharma</t>
        </is>
      </c>
      <c r="T220" s="32" t="n">
        <v>13.51</v>
      </c>
      <c r="U220" s="32" t="n">
        <v>15.18</v>
      </c>
      <c r="V220" s="32" t="n">
        <v>1.47</v>
      </c>
      <c r="W220" s="32" t="n">
        <v>13.04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Yes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Annuity, Lower One Time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Above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Less than 50%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IF(B221=0,"",RANK(B221,$B$2:$B$300,0))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APCOTEXIND</t>
        </is>
      </c>
      <c r="D221" s="31" t="inlineStr">
        <is>
          <t>Apcotex Industries Limited</t>
        </is>
      </c>
      <c r="E221" s="31" t="inlineStr">
        <is>
          <t>chemicals</t>
        </is>
      </c>
      <c r="F221" s="31" t="inlineStr">
        <is>
          <t>miscellaneous</t>
        </is>
      </c>
      <c r="G221" s="31" t="inlineStr">
        <is>
          <t>smallcap</t>
        </is>
      </c>
      <c r="H221" s="32" t="n">
        <v>2743.12</v>
      </c>
      <c r="I221" s="32" t="n">
        <v>529.1</v>
      </c>
      <c r="J221" s="32" t="n">
        <v>-2.33</v>
      </c>
      <c r="K221" s="32" t="n">
        <v>60451</v>
      </c>
      <c r="L221" s="31" t="n">
        <v>70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64.95999999999999</v>
      </c>
      <c r="P221" s="32" t="n">
        <v>49.81</v>
      </c>
      <c r="Q221" s="32" t="n">
        <v>413.15</v>
      </c>
      <c r="R221" s="31" t="inlineStr">
        <is>
          <t>Near 52W High Breakout</t>
        </is>
      </c>
      <c r="S221" s="31" t="inlineStr">
        <is>
          <t>Nifty 50</t>
        </is>
      </c>
      <c r="T221" s="32" t="n">
        <v>-2.54</v>
      </c>
      <c r="U221" s="32" t="n">
        <v>36.84</v>
      </c>
      <c r="V221" s="32" t="n">
        <v>40.41</v>
      </c>
      <c r="W221" s="32" t="n">
        <v>15.44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Oligopoly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Cyclical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Fully One Time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Above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1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Sideways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Overhead supply in last 2 years in last 2 years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Less than 1.5</t>
        </is>
      </c>
      <c r="BU221" s="31">
        <f>IF(BT221="Above 2",0,IF(BT221="Between 1.5 to 2",5,IF(BT221="Less than 1.5",10,0)))</f>
        <v/>
      </c>
      <c r="BV221" s="31" t="inlineStr">
        <is>
          <t>Between 50% to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IF(B222=0,"",RANK(B222,$B$2:$B$300,0))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3" t="inlineStr">
        <is>
          <t>SVLL</t>
        </is>
      </c>
      <c r="D222" s="33" t="inlineStr">
        <is>
          <t>Shree Vasu Logistics Ltd</t>
        </is>
      </c>
      <c r="E222" s="31" t="inlineStr">
        <is>
          <t>transportation</t>
        </is>
      </c>
      <c r="F222" s="31" t="inlineStr">
        <is>
          <t>miscellaneous</t>
        </is>
      </c>
      <c r="G222" s="31" t="inlineStr">
        <is>
          <t>smallcap</t>
        </is>
      </c>
      <c r="H222" s="32" t="n">
        <v>856.63</v>
      </c>
      <c r="I222" s="32" t="n">
        <v>745.3</v>
      </c>
      <c r="J222" s="32" t="n">
        <v>4.99</v>
      </c>
      <c r="K222" s="32" t="n">
        <v>18844</v>
      </c>
      <c r="L222" s="31" t="n">
        <v>26</v>
      </c>
      <c r="M222" s="31" t="inlineStr">
        <is>
          <t>Underperforming</t>
        </is>
      </c>
      <c r="N222" s="32">
        <f>IF(M222="Underperforming",-5,IF(L222&gt;=95,15,IF(L222&gt;=90,10,IF(L222&gt;=80,5,0))))</f>
        <v/>
      </c>
      <c r="O222" s="32" t="n">
        <v>60.87</v>
      </c>
      <c r="P222" s="32" t="n">
        <v>27.71</v>
      </c>
      <c r="Q222" s="32" t="n">
        <v>489.1</v>
      </c>
      <c r="R222" s="31" t="inlineStr">
        <is>
          <t>Volume Spike / Accumulation</t>
        </is>
      </c>
      <c r="S222" s="31" t="inlineStr">
        <is>
          <t>Nifty 50</t>
        </is>
      </c>
      <c r="T222" s="32" t="n">
        <v>-2.54</v>
      </c>
      <c r="U222" s="32" t="n">
        <v>-3.02</v>
      </c>
      <c r="V222" s="32" t="n">
        <v>-0.49</v>
      </c>
      <c r="W222" s="32" t="n">
        <v>5.18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Between 50% to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More than 1.2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IF(B223=0,"",RANK(B223,$B$2:$B$300,0))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3" t="inlineStr">
        <is>
          <t>TIMETECHNO</t>
        </is>
      </c>
      <c r="D223" s="33" t="inlineStr">
        <is>
          <t>Time Technoplast Limited</t>
        </is>
      </c>
      <c r="E223" s="31" t="inlineStr">
        <is>
          <t>plastic products</t>
        </is>
      </c>
      <c r="F223" s="31" t="inlineStr">
        <is>
          <t>plastics products</t>
        </is>
      </c>
      <c r="G223" s="31" t="inlineStr">
        <is>
          <t>midcap</t>
        </is>
      </c>
      <c r="H223" s="32" t="n">
        <v>10071.64</v>
      </c>
      <c r="I223" s="32" t="n">
        <v>204.03</v>
      </c>
      <c r="J223" s="32" t="n">
        <v>2.32</v>
      </c>
      <c r="K223" s="32" t="n">
        <v>7234384</v>
      </c>
      <c r="L223" s="31" t="n">
        <v>3</v>
      </c>
      <c r="M223" s="31" t="inlineStr">
        <is>
          <t>Underperforming</t>
        </is>
      </c>
      <c r="N223" s="32">
        <f>IF(M223="Underperforming",-5,IF(L223&gt;=95,15,IF(L223&gt;=90,10,IF(L223&gt;=80,5,0))))</f>
        <v/>
      </c>
      <c r="O223" s="32" t="n">
        <v>60.66</v>
      </c>
      <c r="P223" s="32" t="n">
        <v>6.6</v>
      </c>
      <c r="Q223" s="32" t="n">
        <v>160.46</v>
      </c>
      <c r="R223" s="31" t="inlineStr">
        <is>
          <t>Volume Spike / Accumulation</t>
        </is>
      </c>
      <c r="S223" s="31" t="inlineStr">
        <is>
          <t>Nifty 50</t>
        </is>
      </c>
      <c r="T223" s="32" t="n">
        <v>-2.54</v>
      </c>
      <c r="U223" s="32" t="n">
        <v>-12.12</v>
      </c>
      <c r="V223" s="32" t="n">
        <v>-9.83</v>
      </c>
      <c r="W223" s="32" t="n">
        <v>-1.13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0 to 20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Between 1.5 to 2</t>
        </is>
      </c>
      <c r="BU223" s="31">
        <f>IF(BT223="Above 2",0,IF(BT223="Between 1.5 to 2",5,IF(BT223="Less than 1.5",10,0)))</f>
        <v/>
      </c>
      <c r="BV223" s="31" t="inlineStr">
        <is>
          <t>Less than 50%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IF(B224=0,"",RANK(B224,$B$2:$B$300,0))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RELTD</t>
        </is>
      </c>
      <c r="D224" s="31" t="inlineStr">
        <is>
          <t>Ravindra Energy Ltd</t>
        </is>
      </c>
      <c r="E224" s="31" t="inlineStr">
        <is>
          <t>industrials</t>
        </is>
      </c>
      <c r="F224" s="31" t="inlineStr">
        <is>
          <t>electric equipment</t>
        </is>
      </c>
      <c r="G224" s="31" t="inlineStr">
        <is>
          <t>smallcap</t>
        </is>
      </c>
      <c r="H224" s="32" t="n">
        <v>3525.44</v>
      </c>
      <c r="I224" s="32" t="n">
        <v>177.56</v>
      </c>
      <c r="J224" s="32" t="n">
        <v>1.39</v>
      </c>
      <c r="K224" s="32" t="n">
        <v>367203</v>
      </c>
      <c r="L224" s="31" t="n">
        <v>57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65.01000000000001</v>
      </c>
      <c r="P224" s="32" t="n">
        <v>18.2</v>
      </c>
      <c r="Q224" s="32" t="n">
        <v>124.09</v>
      </c>
      <c r="R224" s="31" t="inlineStr">
        <is>
          <t>Near 52W High Breakout</t>
        </is>
      </c>
      <c r="S224" s="31" t="inlineStr">
        <is>
          <t>Nifty 50</t>
        </is>
      </c>
      <c r="T224" s="32" t="n">
        <v>-2.54</v>
      </c>
      <c r="U224" s="32" t="n">
        <v>30.58</v>
      </c>
      <c r="V224" s="32" t="n">
        <v>33.98</v>
      </c>
      <c r="W224" s="32" t="n">
        <v>11.67</v>
      </c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0 to 20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Blue sky scenario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More than 1.2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IF(B225=0,"",RANK(B225,$B$2:$B$300,0))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RGL</t>
        </is>
      </c>
      <c r="D225" s="31" t="inlineStr">
        <is>
          <t>Renaissance Global Ltd</t>
        </is>
      </c>
      <c r="E225" s="31" t="inlineStr">
        <is>
          <t>consumer discretionary</t>
        </is>
      </c>
      <c r="F225" s="31" t="inlineStr">
        <is>
          <t>diamond cutting / jewellery</t>
        </is>
      </c>
      <c r="G225" s="31" t="inlineStr">
        <is>
          <t>smallcap</t>
        </is>
      </c>
      <c r="H225" s="32" t="n">
        <v>1293.27</v>
      </c>
      <c r="I225" s="32" t="n">
        <v>120.5</v>
      </c>
      <c r="J225" s="32" t="n">
        <v>0.49</v>
      </c>
      <c r="K225" s="32" t="n">
        <v>529775</v>
      </c>
      <c r="L225" s="31" t="n">
        <v>17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56.78</v>
      </c>
      <c r="P225" s="32" t="n">
        <v>10.31</v>
      </c>
      <c r="Q225" s="32" t="n">
        <v>89.27</v>
      </c>
      <c r="R225" s="31" t="inlineStr">
        <is>
          <t>Earnings / Momentum Support</t>
        </is>
      </c>
      <c r="S225" s="31" t="inlineStr">
        <is>
          <t>Nifty 50</t>
        </is>
      </c>
      <c r="T225" s="32" t="n">
        <v>-2.54</v>
      </c>
      <c r="U225" s="32" t="n">
        <v>0.74</v>
      </c>
      <c r="V225" s="32" t="n">
        <v>3.36</v>
      </c>
      <c r="W225" s="32" t="n">
        <v>3.2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0 to 20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Between 1.5 to 2</t>
        </is>
      </c>
      <c r="BU225" s="31">
        <f>IF(BT225="Above 2",0,IF(BT225="Between 1.5 to 2",5,IF(BT225="Less than 1.5",10,0)))</f>
        <v/>
      </c>
      <c r="BV225" s="31" t="inlineStr">
        <is>
          <t>Less than 50%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IF(B226=0,"",RANK(B226,$B$2:$B$300,0))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3" t="inlineStr">
        <is>
          <t>VSSL</t>
        </is>
      </c>
      <c r="D226" s="33" t="inlineStr">
        <is>
          <t>Vardhman Special Steels Limited</t>
        </is>
      </c>
      <c r="E226" s="31" t="inlineStr">
        <is>
          <t>metals &amp; mining</t>
        </is>
      </c>
      <c r="F226" s="31" t="inlineStr">
        <is>
          <t>steel - medium / small</t>
        </is>
      </c>
      <c r="G226" s="31" t="inlineStr">
        <is>
          <t>smallcap</t>
        </is>
      </c>
      <c r="H226" s="32" t="n">
        <v>2884.62</v>
      </c>
      <c r="I226" s="32" t="n">
        <v>298.35</v>
      </c>
      <c r="J226" s="32" t="n">
        <v>0.32</v>
      </c>
      <c r="K226" s="32" t="n">
        <v>68902</v>
      </c>
      <c r="L226" s="31" t="n">
        <v>35</v>
      </c>
      <c r="M226" s="31" t="inlineStr">
        <is>
          <t>Underperforming</t>
        </is>
      </c>
      <c r="N226" s="32">
        <f>IF(M226="Underperforming",-5,IF(L226&gt;=95,15,IF(L226&gt;=90,10,IF(L226&gt;=80,5,0))))</f>
        <v/>
      </c>
      <c r="O226" s="32" t="n">
        <v>63.64</v>
      </c>
      <c r="P226" s="32" t="n">
        <v>16.63</v>
      </c>
      <c r="Q226" s="32" t="n">
        <v>238.97</v>
      </c>
      <c r="R226" s="31" t="inlineStr">
        <is>
          <t>Volume Spike &amp; Near 52W High Breakout</t>
        </is>
      </c>
      <c r="S226" s="31" t="inlineStr">
        <is>
          <t>Nifty Metal</t>
        </is>
      </c>
      <c r="T226" s="32" t="n">
        <v>31.49</v>
      </c>
      <c r="U226" s="32" t="n">
        <v>17.35</v>
      </c>
      <c r="V226" s="32" t="n">
        <v>-10.76</v>
      </c>
      <c r="W226" s="32" t="n">
        <v>6.81</v>
      </c>
      <c r="X226" s="31" t="inlineStr">
        <is>
          <t>Cyclical in an Upturn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Cyclical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Volatile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0 to 20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Blue sky scenario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Less than 1.5</t>
        </is>
      </c>
      <c r="BU226" s="31">
        <f>IF(BT226="Above 2",0,IF(BT226="Between 1.5 to 2",5,IF(BT226="Less than 1.5",10,0)))</f>
        <v/>
      </c>
      <c r="BV226" s="31" t="inlineStr">
        <is>
          <t>Between 50% to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IF(B227=0,"",RANK(B227,$B$2:$B$300,0))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TITAN</t>
        </is>
      </c>
      <c r="D227" s="31" t="inlineStr">
        <is>
          <t>Titan Company Limited</t>
        </is>
      </c>
      <c r="E227" s="31" t="inlineStr">
        <is>
          <t>consumer discretionary</t>
        </is>
      </c>
      <c r="F227" s="31" t="inlineStr">
        <is>
          <t>diamond cutting / jewellery</t>
        </is>
      </c>
      <c r="G227" s="31" t="inlineStr">
        <is>
          <t>largecap</t>
        </is>
      </c>
      <c r="H227" s="32" t="n">
        <v>411764.1</v>
      </c>
      <c r="I227" s="32" t="n">
        <v>4638.1</v>
      </c>
      <c r="J227" s="32" t="n">
        <v>0.27</v>
      </c>
      <c r="K227" s="32" t="n">
        <v>667212</v>
      </c>
      <c r="L227" s="31" t="n">
        <v>37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63.1</v>
      </c>
      <c r="P227" s="32" t="n">
        <v>16.5</v>
      </c>
      <c r="Q227" s="32" t="n">
        <v>3969.66</v>
      </c>
      <c r="R227" s="31" t="inlineStr">
        <is>
          <t>Near 52W High Breakout</t>
        </is>
      </c>
      <c r="S227" s="31" t="inlineStr">
        <is>
          <t>Nifty 50</t>
        </is>
      </c>
      <c r="T227" s="32" t="n">
        <v>-2.54</v>
      </c>
      <c r="U227" s="32" t="n">
        <v>36.75</v>
      </c>
      <c r="V227" s="32" t="n">
        <v>40.31</v>
      </c>
      <c r="W227" s="32" t="n">
        <v>7.13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Blue sky scenario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More than 1.2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IF(B228=0,"",RANK(B228,$B$2:$B$300,0))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THELEELA</t>
        </is>
      </c>
      <c r="D228" s="31" t="inlineStr">
        <is>
          <t>Leela Palaces Hotels &amp; Resorts Ltd</t>
        </is>
      </c>
      <c r="E228" s="31" t="inlineStr">
        <is>
          <t>services</t>
        </is>
      </c>
      <c r="F228" s="31" t="inlineStr">
        <is>
          <t>hotels</t>
        </is>
      </c>
      <c r="G228" s="31" t="inlineStr">
        <is>
          <t>midcap</t>
        </is>
      </c>
      <c r="H228" s="32" t="n">
        <v>16218.66</v>
      </c>
      <c r="I228" s="32" t="n">
        <v>485.65</v>
      </c>
      <c r="J228" s="32" t="n">
        <v>0.08</v>
      </c>
      <c r="K228" s="32" t="n">
        <v>151693</v>
      </c>
      <c r="L228" s="31" t="n">
        <v>19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60.07</v>
      </c>
      <c r="P228" s="32" t="n">
        <v>18.1</v>
      </c>
      <c r="Q228" s="32" t="n">
        <v>407.2</v>
      </c>
      <c r="R228" s="31" t="inlineStr">
        <is>
          <t>Near 52W High Breakout</t>
        </is>
      </c>
      <c r="S228" s="31" t="inlineStr">
        <is>
          <t>Nifty 50</t>
        </is>
      </c>
      <c r="T228" s="32" t="n">
        <v>-2.54</v>
      </c>
      <c r="U228" s="32" t="n">
        <v>5.35</v>
      </c>
      <c r="V228" s="32" t="n">
        <v>8.09</v>
      </c>
      <c r="W228" s="32" t="n">
        <v>4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Negative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Blue sky scenario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Between 1.5 to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IF(B229=0,"",RANK(B229,$B$2:$B$300,0))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3" t="inlineStr">
        <is>
          <t>SUMICHEM</t>
        </is>
      </c>
      <c r="D229" s="33" t="inlineStr">
        <is>
          <t>Sumitomo Chemical India Ltd</t>
        </is>
      </c>
      <c r="E229" s="31" t="inlineStr">
        <is>
          <t>chemicals</t>
        </is>
      </c>
      <c r="F229" s="31" t="inlineStr">
        <is>
          <t>pesticides / agrochemicals - indian</t>
        </is>
      </c>
      <c r="G229" s="31" t="inlineStr">
        <is>
          <t>largecap</t>
        </is>
      </c>
      <c r="H229" s="32" t="n">
        <v>26881.49</v>
      </c>
      <c r="I229" s="32" t="n">
        <v>538.55</v>
      </c>
      <c r="J229" s="32" t="n">
        <v>-0.37</v>
      </c>
      <c r="K229" s="32" t="n">
        <v>762912</v>
      </c>
      <c r="L229" s="31" t="n">
        <v>16</v>
      </c>
      <c r="M229" s="31" t="inlineStr">
        <is>
          <t>Underperforming</t>
        </is>
      </c>
      <c r="N229" s="32">
        <f>IF(M229="Underperforming",-5,IF(L229&gt;=95,15,IF(L229&gt;=90,10,IF(L229&gt;=80,5,0))))</f>
        <v/>
      </c>
      <c r="O229" s="32" t="n">
        <v>63.91</v>
      </c>
      <c r="P229" s="32" t="n">
        <v>25.71</v>
      </c>
      <c r="Q229" s="32" t="n">
        <v>418.17</v>
      </c>
      <c r="R229" s="31" t="inlineStr">
        <is>
          <t>Earnings / Momentum Support</t>
        </is>
      </c>
      <c r="S229" s="31" t="inlineStr">
        <is>
          <t>Nifty 50</t>
        </is>
      </c>
      <c r="T229" s="32" t="n">
        <v>-2.54</v>
      </c>
      <c r="U229" s="32" t="n">
        <v>-10.76</v>
      </c>
      <c r="V229" s="32" t="n">
        <v>-8.43</v>
      </c>
      <c r="W229" s="32" t="n">
        <v>3.12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Less than 12%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Between 50% to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IF(B230=0,"",RANK(B230,$B$2:$B$300,0))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TEXINFRA</t>
        </is>
      </c>
      <c r="D230" s="31" t="inlineStr">
        <is>
          <t>Texmaco Infrastructure &amp; Holdings Limited</t>
        </is>
      </c>
      <c r="E230" s="31" t="inlineStr">
        <is>
          <t>realty</t>
        </is>
      </c>
      <c r="F230" s="31" t="inlineStr">
        <is>
          <t>construction</t>
        </is>
      </c>
      <c r="G230" s="31" t="inlineStr">
        <is>
          <t>smallcap</t>
        </is>
      </c>
      <c r="H230" s="32" t="n">
        <v>1447.06</v>
      </c>
      <c r="I230" s="32" t="n">
        <v>113.56</v>
      </c>
      <c r="J230" s="32" t="n">
        <v>-0.37</v>
      </c>
      <c r="K230" s="32" t="n">
        <v>103259</v>
      </c>
      <c r="L230" s="31" t="n">
        <v>22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66.66</v>
      </c>
      <c r="P230" s="32" t="n">
        <v>28.26</v>
      </c>
      <c r="Q230" s="32" t="n">
        <v>93.56999999999999</v>
      </c>
      <c r="R230" s="31" t="inlineStr">
        <is>
          <t>Near 52W High Breakout</t>
        </is>
      </c>
      <c r="S230" s="31" t="inlineStr">
        <is>
          <t>Nifty Realty</t>
        </is>
      </c>
      <c r="T230" s="32" t="n">
        <v>-8.119999999999999</v>
      </c>
      <c r="U230" s="32" t="n">
        <v>10.81</v>
      </c>
      <c r="V230" s="32" t="n">
        <v>20.6</v>
      </c>
      <c r="W230" s="32" t="n">
        <v>4.74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Less than 12%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Negative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IF(B231=0,"",RANK(B231,$B$2:$B$300,0))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3" t="inlineStr">
        <is>
          <t>JASH</t>
        </is>
      </c>
      <c r="D231" s="33" t="inlineStr">
        <is>
          <t>Jash Engineering Ltd</t>
        </is>
      </c>
      <c r="E231" s="31" t="inlineStr">
        <is>
          <t>industrials</t>
        </is>
      </c>
      <c r="F231" s="31" t="inlineStr">
        <is>
          <t>engineering</t>
        </is>
      </c>
      <c r="G231" s="31" t="inlineStr">
        <is>
          <t>smallcap</t>
        </is>
      </c>
      <c r="H231" s="32" t="n">
        <v>3288.92</v>
      </c>
      <c r="I231" s="32" t="n">
        <v>520.45</v>
      </c>
      <c r="J231" s="32" t="n">
        <v>-0.91</v>
      </c>
      <c r="K231" s="32" t="n">
        <v>99349</v>
      </c>
      <c r="L231" s="31" t="n">
        <v>25</v>
      </c>
      <c r="M231" s="31" t="inlineStr">
        <is>
          <t>Underperforming</t>
        </is>
      </c>
      <c r="N231" s="32">
        <f>IF(M231="Underperforming",-5,IF(L231&gt;=95,15,IF(L231&gt;=90,10,IF(L231&gt;=80,5,0))))</f>
        <v/>
      </c>
      <c r="O231" s="32" t="n">
        <v>61.24</v>
      </c>
      <c r="P231" s="32" t="n">
        <v>17.56</v>
      </c>
      <c r="Q231" s="32" t="n">
        <v>416.09</v>
      </c>
      <c r="R231" s="31" t="inlineStr">
        <is>
          <t>Earnings / Momentum Support</t>
        </is>
      </c>
      <c r="S231" s="31" t="inlineStr">
        <is>
          <t>Nifty 50</t>
        </is>
      </c>
      <c r="T231" s="32" t="n">
        <v>-2.54</v>
      </c>
      <c r="U231" s="32" t="n">
        <v>-14.52</v>
      </c>
      <c r="V231" s="32" t="n">
        <v>-12.29</v>
      </c>
      <c r="W231" s="32" t="n">
        <v>5</v>
      </c>
      <c r="X231" s="31" t="inlineStr">
        <is>
          <t>Cyclical in an Upturn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0 to 20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Less than 1.5</t>
        </is>
      </c>
      <c r="BU231" s="31">
        <f>IF(BT231="Above 2",0,IF(BT231="Between 1.5 to 2",5,IF(BT231="Less than 1.5",10,0)))</f>
        <v/>
      </c>
      <c r="BV231" s="31" t="inlineStr">
        <is>
          <t>Between 50% to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IF(B232=0,"",RANK(B232,$B$2:$B$300,0))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PAYTM</t>
        </is>
      </c>
      <c r="D232" s="31" t="inlineStr">
        <is>
          <t>One 97 Communications Ltd</t>
        </is>
      </c>
      <c r="E232" s="31" t="inlineStr">
        <is>
          <t>i.t</t>
        </is>
      </c>
      <c r="F232" s="31" t="inlineStr">
        <is>
          <t>miscellaneous</t>
        </is>
      </c>
      <c r="G232" s="31" t="inlineStr">
        <is>
          <t>largecap</t>
        </is>
      </c>
      <c r="H232" s="32" t="n">
        <v>86317.42999999999</v>
      </c>
      <c r="I232" s="32" t="n">
        <v>1348</v>
      </c>
      <c r="J232" s="32" t="n">
        <v>-0.96</v>
      </c>
      <c r="K232" s="32" t="n">
        <v>2071323</v>
      </c>
      <c r="L232" s="31" t="n">
        <v>52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65.01000000000001</v>
      </c>
      <c r="P232" s="32" t="n">
        <v>16.4</v>
      </c>
      <c r="Q232" s="32" t="n">
        <v>1058.82</v>
      </c>
      <c r="R232" s="31" t="inlineStr">
        <is>
          <t>Volume Spike &amp; Near 52W High Breakout</t>
        </is>
      </c>
      <c r="S232" s="31" t="inlineStr">
        <is>
          <t>Nifty IT</t>
        </is>
      </c>
      <c r="T232" s="32" t="n">
        <v>-21.31</v>
      </c>
      <c r="U232" s="32" t="n">
        <v>34.58</v>
      </c>
      <c r="V232" s="32" t="n">
        <v>71.03</v>
      </c>
      <c r="W232" s="32" t="n">
        <v>10.28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0 to 20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Blue sky scenario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Negative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IF(B233=0,"",RANK(B233,$B$2:$B$300,0))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MAHLIFE</t>
        </is>
      </c>
      <c r="D233" s="31" t="inlineStr">
        <is>
          <t>Mahindra Lifespace Developers Limited</t>
        </is>
      </c>
      <c r="E233" s="31" t="inlineStr">
        <is>
          <t>realty</t>
        </is>
      </c>
      <c r="F233" s="31" t="inlineStr">
        <is>
          <t>construction</t>
        </is>
      </c>
      <c r="G233" s="31" t="inlineStr">
        <is>
          <t>midcap</t>
        </is>
      </c>
      <c r="H233" s="32" t="n">
        <v>7968.35</v>
      </c>
      <c r="I233" s="32" t="n">
        <v>373.5</v>
      </c>
      <c r="J233" s="32" t="n">
        <v>-0.99</v>
      </c>
      <c r="K233" s="32" t="n">
        <v>79248</v>
      </c>
      <c r="L233" s="31" t="n">
        <v>17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57.84</v>
      </c>
      <c r="P233" s="32" t="n">
        <v>11.06</v>
      </c>
      <c r="Q233" s="32" t="n">
        <v>309.16</v>
      </c>
      <c r="R233" s="31" t="inlineStr">
        <is>
          <t>Earnings / Momentum Support</t>
        </is>
      </c>
      <c r="S233" s="31" t="inlineStr">
        <is>
          <t>Nifty Realty</t>
        </is>
      </c>
      <c r="T233" s="32" t="n">
        <v>-8.119999999999999</v>
      </c>
      <c r="U233" s="32" t="n">
        <v>-1.54</v>
      </c>
      <c r="V233" s="32" t="n">
        <v>7.16</v>
      </c>
      <c r="W233" s="32" t="n">
        <v>3.28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0 to 20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Less than 12%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IF(B234=0,"",RANK(B234,$B$2:$B$300,0))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3MINDIA</t>
        </is>
      </c>
      <c r="D234" s="31" t="inlineStr">
        <is>
          <t>3m India Limited</t>
        </is>
      </c>
      <c r="E234" s="31" t="inlineStr">
        <is>
          <t>miscellaneous</t>
        </is>
      </c>
      <c r="F234" s="31" t="inlineStr">
        <is>
          <t>diversified - large</t>
        </is>
      </c>
      <c r="G234" s="31" t="inlineStr">
        <is>
          <t>largecap</t>
        </is>
      </c>
      <c r="H234" s="32" t="n">
        <v>39281.3</v>
      </c>
      <c r="I234" s="32" t="n">
        <v>34870</v>
      </c>
      <c r="J234" s="32" t="n">
        <v>-1.62</v>
      </c>
      <c r="K234" s="32" t="n">
        <v>3002</v>
      </c>
      <c r="L234" s="31" t="n">
        <v>35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58.81</v>
      </c>
      <c r="P234" s="32" t="n">
        <v>10.78</v>
      </c>
      <c r="Q234" s="32" t="n">
        <v>28840.41</v>
      </c>
      <c r="R234" s="31" t="inlineStr">
        <is>
          <t>Earnings / Momentum Support</t>
        </is>
      </c>
      <c r="S234" s="31" t="inlineStr">
        <is>
          <t>Nifty 50</t>
        </is>
      </c>
      <c r="T234" s="32" t="n">
        <v>-2.54</v>
      </c>
      <c r="U234" s="32" t="n">
        <v>20.34</v>
      </c>
      <c r="V234" s="32" t="n">
        <v>23.48</v>
      </c>
      <c r="W234" s="32" t="n">
        <v>6.83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Between 50% to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IF(B235=0,"",RANK(B235,$B$2:$B$300,0))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3" t="inlineStr">
        <is>
          <t>SOBHA</t>
        </is>
      </c>
      <c r="D235" s="33" t="inlineStr">
        <is>
          <t>Sobha Limited</t>
        </is>
      </c>
      <c r="E235" s="31" t="inlineStr">
        <is>
          <t>realty</t>
        </is>
      </c>
      <c r="F235" s="31" t="inlineStr">
        <is>
          <t>construction</t>
        </is>
      </c>
      <c r="G235" s="31" t="inlineStr">
        <is>
          <t>midcap</t>
        </is>
      </c>
      <c r="H235" s="32" t="n">
        <v>15636.65</v>
      </c>
      <c r="I235" s="32" t="n">
        <v>1462</v>
      </c>
      <c r="J235" s="32" t="n">
        <v>-2.08</v>
      </c>
      <c r="K235" s="32" t="n">
        <v>104334</v>
      </c>
      <c r="L235" s="31" t="n">
        <v>4</v>
      </c>
      <c r="M235" s="31" t="inlineStr">
        <is>
          <t>Underperforming</t>
        </is>
      </c>
      <c r="N235" s="32">
        <f>IF(M235="Underperforming",-5,IF(L235&gt;=95,15,IF(L235&gt;=90,10,IF(L235&gt;=80,5,0))))</f>
        <v/>
      </c>
      <c r="O235" s="32" t="n">
        <v>54.17</v>
      </c>
      <c r="P235" s="32" t="n">
        <v>8.33</v>
      </c>
      <c r="Q235" s="32" t="n">
        <v>1215.03</v>
      </c>
      <c r="R235" s="31" t="inlineStr">
        <is>
          <t>Earnings / Momentum Support</t>
        </is>
      </c>
      <c r="S235" s="31" t="inlineStr">
        <is>
          <t>Nifty Realty</t>
        </is>
      </c>
      <c r="T235" s="32" t="n">
        <v>-8.119999999999999</v>
      </c>
      <c r="U235" s="32" t="n">
        <v>-13.4</v>
      </c>
      <c r="V235" s="32" t="n">
        <v>-5.75</v>
      </c>
      <c r="W235" s="32" t="n">
        <v>-0.46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IF(B236=0,"",RANK(B236,$B$2:$B$300,0))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ACMESOLAR</t>
        </is>
      </c>
      <c r="D236" s="31" t="inlineStr">
        <is>
          <t>ACME Solar Holdings Ltd</t>
        </is>
      </c>
      <c r="E236" s="31" t="inlineStr">
        <is>
          <t>realty</t>
        </is>
      </c>
      <c r="F236" s="31" t="inlineStr">
        <is>
          <t>engineering - turnkey services</t>
        </is>
      </c>
      <c r="G236" s="31" t="inlineStr">
        <is>
          <t>largecap</t>
        </is>
      </c>
      <c r="H236" s="32" t="n">
        <v>27204.46</v>
      </c>
      <c r="I236" s="32" t="n">
        <v>385.25</v>
      </c>
      <c r="J236" s="32" t="n">
        <v>-2.22</v>
      </c>
      <c r="K236" s="32" t="n">
        <v>3080054</v>
      </c>
      <c r="L236" s="31" t="n">
        <v>67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71.40000000000001</v>
      </c>
      <c r="P236" s="32" t="n">
        <v>33.48</v>
      </c>
      <c r="Q236" s="32" t="n">
        <v>299.27</v>
      </c>
      <c r="R236" s="31" t="inlineStr">
        <is>
          <t>Near 52W High Breakout</t>
        </is>
      </c>
      <c r="S236" s="31" t="inlineStr">
        <is>
          <t>Nifty Realty</t>
        </is>
      </c>
      <c r="T236" s="32" t="n">
        <v>-8.119999999999999</v>
      </c>
      <c r="U236" s="32" t="n">
        <v>39.94</v>
      </c>
      <c r="V236" s="32" t="n">
        <v>52.31</v>
      </c>
      <c r="W236" s="32" t="n">
        <v>14.48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Less than 12%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Between 50% to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More than 1.2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IF(B237=0,"",RANK(B237,$B$2:$B$300,0))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AZAD</t>
        </is>
      </c>
      <c r="D237" s="31" t="inlineStr">
        <is>
          <t>Azad Engineering Ltd</t>
        </is>
      </c>
      <c r="E237" s="31" t="inlineStr">
        <is>
          <t>aerospace &amp; defence</t>
        </is>
      </c>
      <c r="F237" s="31" t="inlineStr">
        <is>
          <t>engineering</t>
        </is>
      </c>
      <c r="G237" s="31" t="inlineStr">
        <is>
          <t>midcap</t>
        </is>
      </c>
      <c r="H237" s="32" t="n">
        <v>15045.61</v>
      </c>
      <c r="I237" s="32" t="n">
        <v>2329.7</v>
      </c>
      <c r="J237" s="32" t="n">
        <v>-3.26</v>
      </c>
      <c r="K237" s="32" t="n">
        <v>268445</v>
      </c>
      <c r="L237" s="31" t="n">
        <v>61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62.56</v>
      </c>
      <c r="P237" s="32" t="n">
        <v>29.42</v>
      </c>
      <c r="Q237" s="32" t="n">
        <v>1879.3</v>
      </c>
      <c r="R237" s="31" t="inlineStr">
        <is>
          <t>Earnings / Momentum Support</t>
        </is>
      </c>
      <c r="S237" s="31" t="inlineStr">
        <is>
          <t>Nifty 50</t>
        </is>
      </c>
      <c r="T237" s="32" t="n">
        <v>-2.54</v>
      </c>
      <c r="U237" s="32" t="n">
        <v>42.52</v>
      </c>
      <c r="V237" s="32" t="n">
        <v>46.23</v>
      </c>
      <c r="W237" s="32" t="n">
        <v>12.52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Negative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IF(B238=0,"",RANK(B238,$B$2:$B$300,0))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HEG</t>
        </is>
      </c>
      <c r="D238" s="31" t="inlineStr">
        <is>
          <t>Heg Limited</t>
        </is>
      </c>
      <c r="E238" s="31" t="inlineStr">
        <is>
          <t>industrials</t>
        </is>
      </c>
      <c r="F238" s="31" t="inlineStr">
        <is>
          <t>electrodes - graphites</t>
        </is>
      </c>
      <c r="G238" s="31" t="inlineStr">
        <is>
          <t>midcap</t>
        </is>
      </c>
      <c r="H238" s="32" t="n">
        <v>11334.54</v>
      </c>
      <c r="I238" s="32" t="n">
        <v>587.35</v>
      </c>
      <c r="J238" s="32" t="n">
        <v>-3.47</v>
      </c>
      <c r="K238" s="32" t="n">
        <v>1521683</v>
      </c>
      <c r="L238" s="31" t="n">
        <v>8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55.16</v>
      </c>
      <c r="P238" s="32" t="n">
        <v>26.7</v>
      </c>
      <c r="Q238" s="32" t="n">
        <v>499.97</v>
      </c>
      <c r="R238" s="31" t="inlineStr">
        <is>
          <t>Volume Spike / Accumulation</t>
        </is>
      </c>
      <c r="S238" s="31" t="inlineStr">
        <is>
          <t>Nifty 50</t>
        </is>
      </c>
      <c r="T238" s="32" t="n">
        <v>-2.54</v>
      </c>
      <c r="U238" s="32" t="n">
        <v>9.300000000000001</v>
      </c>
      <c r="V238" s="32" t="n">
        <v>12.15</v>
      </c>
      <c r="W238" s="32" t="n">
        <v>0.65</v>
      </c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1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Less than 50%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IF(B239=0,"",RANK(B239,$B$2:$B$300,0))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RML</t>
        </is>
      </c>
      <c r="D239" s="31" t="inlineStr">
        <is>
          <t>Rane (madras) Limited</t>
        </is>
      </c>
      <c r="E239" s="31" t="inlineStr">
        <is>
          <t>auto</t>
        </is>
      </c>
      <c r="F239" s="31" t="inlineStr">
        <is>
          <t>auto ancillaries</t>
        </is>
      </c>
      <c r="G239" s="31" t="inlineStr">
        <is>
          <t>smallcap</t>
        </is>
      </c>
      <c r="H239" s="32" t="n">
        <v>3258.97</v>
      </c>
      <c r="I239" s="32" t="n">
        <v>1179.2</v>
      </c>
      <c r="J239" s="32" t="n">
        <v>-5</v>
      </c>
      <c r="K239" s="32" t="n">
        <v>23745</v>
      </c>
      <c r="L239" s="31" t="n">
        <v>78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65.06</v>
      </c>
      <c r="P239" s="32" t="n">
        <v>35.74</v>
      </c>
      <c r="Q239" s="32" t="n">
        <v>1004.36</v>
      </c>
      <c r="R239" s="31" t="inlineStr">
        <is>
          <t>Earnings / Momentum Support</t>
        </is>
      </c>
      <c r="S239" s="31" t="inlineStr">
        <is>
          <t>Nifty Auto</t>
        </is>
      </c>
      <c r="T239" s="32" t="n">
        <v>13.41</v>
      </c>
      <c r="U239" s="32" t="n">
        <v>34.14</v>
      </c>
      <c r="V239" s="32" t="n">
        <v>18.27</v>
      </c>
      <c r="W239" s="32" t="n">
        <v>18.8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Less than 12%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Between 50% to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Between 0.7 to 1.2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IF(B240=0,"",RANK(B240,$B$2:$B$300,0))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NEOGEN</t>
        </is>
      </c>
      <c r="D240" s="31" t="inlineStr">
        <is>
          <t>Neogen Chemicals Ltd</t>
        </is>
      </c>
      <c r="E240" s="31" t="inlineStr">
        <is>
          <t>chemicals</t>
        </is>
      </c>
      <c r="F240" s="31" t="inlineStr">
        <is>
          <t>chemicals</t>
        </is>
      </c>
      <c r="G240" s="31" t="inlineStr">
        <is>
          <t>midcap</t>
        </is>
      </c>
      <c r="H240" s="32" t="n">
        <v>5957.16</v>
      </c>
      <c r="I240" s="32" t="n">
        <v>2175.6</v>
      </c>
      <c r="J240" s="32" t="n">
        <v>-6.28</v>
      </c>
      <c r="K240" s="32" t="n">
        <v>184996</v>
      </c>
      <c r="L240" s="31" t="n">
        <v>74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70.95999999999999</v>
      </c>
      <c r="P240" s="32" t="n">
        <v>47.03</v>
      </c>
      <c r="Q240" s="32" t="n">
        <v>1623.61</v>
      </c>
      <c r="R240" s="31" t="inlineStr">
        <is>
          <t>Volume Spike &amp; Near 52W High Breakout</t>
        </is>
      </c>
      <c r="S240" s="31" t="inlineStr">
        <is>
          <t>Nifty 50</t>
        </is>
      </c>
      <c r="T240" s="32" t="n">
        <v>-2.54</v>
      </c>
      <c r="U240" s="32" t="n">
        <v>38.96</v>
      </c>
      <c r="V240" s="32" t="n">
        <v>42.58</v>
      </c>
      <c r="W240" s="32" t="n">
        <v>17.21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Above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Negative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More than 1.2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IF(B241=0,"",RANK(B241,$B$2:$B$300,0))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EIFFL</t>
        </is>
      </c>
      <c r="D241" s="31" t="inlineStr">
        <is>
          <t>Euro India Fresh Foods Ltd</t>
        </is>
      </c>
      <c r="E241" s="31" t="inlineStr">
        <is>
          <t>fmcg</t>
        </is>
      </c>
      <c r="F241" s="31" t="inlineStr">
        <is>
          <t>food - processing - indian</t>
        </is>
      </c>
      <c r="G241" s="31" t="inlineStr">
        <is>
          <t>smallcap</t>
        </is>
      </c>
      <c r="H241" s="32" t="n">
        <v>818.15</v>
      </c>
      <c r="I241" s="32" t="n">
        <v>329.9</v>
      </c>
      <c r="J241" s="32" t="n">
        <v>-0.93</v>
      </c>
      <c r="K241" s="32" t="n">
        <v>4404</v>
      </c>
      <c r="L241" s="31" t="n">
        <v>71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69.45999999999999</v>
      </c>
      <c r="P241" s="32" t="n">
        <v>24.64</v>
      </c>
      <c r="Q241" s="32" t="n">
        <v>252.42</v>
      </c>
      <c r="R241" s="31" t="inlineStr">
        <is>
          <t>Near 52W High Breakout</t>
        </is>
      </c>
      <c r="S241" s="31" t="inlineStr">
        <is>
          <t>Nifty FMCG</t>
        </is>
      </c>
      <c r="T241" s="32" t="n">
        <v>-13.73</v>
      </c>
      <c r="U241" s="32" t="n">
        <v>39.79</v>
      </c>
      <c r="V241" s="32" t="n">
        <v>62.03</v>
      </c>
      <c r="W241" s="32" t="n">
        <v>15.7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B2C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Annuity, Lower One Time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Negative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Blue sky scenario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Between 50% to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Between 0.7 to 1.2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IF(B242=0,"",RANK(B242,$B$2:$B$300,0))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INDSWFTLAB</t>
        </is>
      </c>
      <c r="D242" s="31" t="inlineStr">
        <is>
          <t>Ind-swift Laboratories Limited</t>
        </is>
      </c>
      <c r="E242" s="31" t="inlineStr">
        <is>
          <t>healthcare</t>
        </is>
      </c>
      <c r="F242" s="31" t="inlineStr">
        <is>
          <t>pharmaceuticals - indian - bulk drugs &amp; formln</t>
        </is>
      </c>
      <c r="G242" s="31" t="inlineStr">
        <is>
          <t>smallcap</t>
        </is>
      </c>
      <c r="H242" s="32" t="n">
        <v>2010.01</v>
      </c>
      <c r="I242" s="32" t="n">
        <v>231.47</v>
      </c>
      <c r="J242" s="32" t="n">
        <v>-1.03</v>
      </c>
      <c r="K242" s="32" t="n">
        <v>288534</v>
      </c>
      <c r="L242" s="31" t="n">
        <v>93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78.97</v>
      </c>
      <c r="P242" s="32" t="n">
        <v>46.82</v>
      </c>
      <c r="Q242" s="32" t="n">
        <v>189.82</v>
      </c>
      <c r="R242" s="31" t="inlineStr">
        <is>
          <t>Earnings / Momentum Support</t>
        </is>
      </c>
      <c r="S242" s="31" t="inlineStr">
        <is>
          <t>Nifty Pharma</t>
        </is>
      </c>
      <c r="T242" s="32" t="n">
        <v>13.51</v>
      </c>
      <c r="U242" s="32" t="n">
        <v>116.53</v>
      </c>
      <c r="V242" s="32" t="n">
        <v>90.76000000000001</v>
      </c>
      <c r="W242" s="32" t="n">
        <v>34.84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Yes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Annuity, Lower One Time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Above 40</t>
        </is>
      </c>
      <c r="AY242" s="31">
        <f>IF(AX242="Above 40",20,IF(AX242="20 to 40",10,IF(AX242="0 to 20",-5,0)))</f>
        <v/>
      </c>
      <c r="AZ242" s="31" t="inlineStr">
        <is>
          <t>Above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Less than 12%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Negative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IF(B243=0,"",RANK(B243,$B$2:$B$300,0))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3" t="inlineStr">
        <is>
          <t>AGARWALEYE</t>
        </is>
      </c>
      <c r="D243" s="33" t="inlineStr">
        <is>
          <t>Dr Agarwals Health Care Ltd</t>
        </is>
      </c>
      <c r="E243" s="31" t="inlineStr">
        <is>
          <t>healthcare</t>
        </is>
      </c>
      <c r="F243" s="31" t="inlineStr">
        <is>
          <t>healthcare</t>
        </is>
      </c>
      <c r="G243" s="31" t="inlineStr">
        <is>
          <t>midcap</t>
        </is>
      </c>
      <c r="H243" s="32" t="n">
        <v>15402.21</v>
      </c>
      <c r="I243" s="32" t="n">
        <v>485.9</v>
      </c>
      <c r="J243" s="32" t="n">
        <v>-1.27</v>
      </c>
      <c r="K243" s="32" t="n">
        <v>89927</v>
      </c>
      <c r="L243" s="31" t="n">
        <v>23</v>
      </c>
      <c r="M243" s="31" t="inlineStr">
        <is>
          <t>Underperforming</t>
        </is>
      </c>
      <c r="N243" s="32">
        <f>IF(M243="Underperforming",-5,IF(L243&gt;=95,15,IF(L243&gt;=90,10,IF(L243&gt;=80,5,0))))</f>
        <v/>
      </c>
      <c r="O243" s="32" t="n">
        <v>57.49</v>
      </c>
      <c r="P243" s="32" t="n">
        <v>14.5</v>
      </c>
      <c r="Q243" s="32" t="n">
        <v>392.18</v>
      </c>
      <c r="R243" s="31" t="inlineStr">
        <is>
          <t>Earnings / Momentum Support</t>
        </is>
      </c>
      <c r="S243" s="31" t="inlineStr">
        <is>
          <t>Nifty Pharma</t>
        </is>
      </c>
      <c r="T243" s="32" t="n">
        <v>13.51</v>
      </c>
      <c r="U243" s="32" t="n">
        <v>10.94</v>
      </c>
      <c r="V243" s="32" t="n">
        <v>-2.27</v>
      </c>
      <c r="W243" s="32" t="n">
        <v>4.77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Yes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Annuity, Lower One Time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IF(B244=0,"",RANK(B244,$B$2:$B$300,0))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PRICOLLTD</t>
        </is>
      </c>
      <c r="D244" s="31" t="inlineStr">
        <is>
          <t>Pricol Ltd.</t>
        </is>
      </c>
      <c r="E244" s="31" t="inlineStr">
        <is>
          <t>auto</t>
        </is>
      </c>
      <c r="F244" s="31" t="inlineStr">
        <is>
          <t>auto ancillaries</t>
        </is>
      </c>
      <c r="G244" s="31" t="inlineStr">
        <is>
          <t>midcap</t>
        </is>
      </c>
      <c r="H244" s="32" t="n">
        <v>7499.37</v>
      </c>
      <c r="I244" s="32" t="n">
        <v>615.3</v>
      </c>
      <c r="J244" s="32" t="n">
        <v>-1.52</v>
      </c>
      <c r="K244" s="32" t="n">
        <v>387769</v>
      </c>
      <c r="L244" s="31" t="n">
        <v>39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56.53</v>
      </c>
      <c r="P244" s="32" t="n">
        <v>19.27</v>
      </c>
      <c r="Q244" s="32" t="n">
        <v>495.49</v>
      </c>
      <c r="R244" s="31" t="inlineStr">
        <is>
          <t>Earnings / Momentum Support</t>
        </is>
      </c>
      <c r="S244" s="31" t="inlineStr">
        <is>
          <t>Nifty Auto</t>
        </is>
      </c>
      <c r="T244" s="32" t="n">
        <v>13.41</v>
      </c>
      <c r="U244" s="32" t="n">
        <v>36.08</v>
      </c>
      <c r="V244" s="32" t="n">
        <v>19.98</v>
      </c>
      <c r="W244" s="32" t="n">
        <v>7.62</v>
      </c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Oligopoly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Shallow Cyclical (2 to 3 Years Growth)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Fully One Time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Allocated capital in Non-core Areas</t>
        </is>
      </c>
      <c r="AU244" s="31">
        <f>IF(AT244="Good",10,0)</f>
        <v/>
      </c>
      <c r="AV244" s="31" t="inlineStr">
        <is>
          <t>Yes only for next 1 to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Blue sky scenario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Between 12 to 20%</t>
        </is>
      </c>
      <c r="BO244" s="31">
        <f>IF(BN244="More than 20%",10,IF(BN244="Between 12 to 20%",5,IF(BN244="Less than 12%",0,0)))</f>
        <v/>
      </c>
      <c r="BP244" s="31" t="inlineStr">
        <is>
          <t>Yes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Between 1.5 to 2</t>
        </is>
      </c>
      <c r="BU244" s="31">
        <f>IF(BT244="Above 2",0,IF(BT244="Between 1.5 to 2",5,IF(BT244="Less than 1.5",10,0)))</f>
        <v/>
      </c>
      <c r="BV244" s="31" t="inlineStr">
        <is>
          <t>Between 50% to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IF(B245=0,"",RANK(B245,$B$2:$B$300,0))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3" t="inlineStr">
        <is>
          <t>UNICHEMLAB</t>
        </is>
      </c>
      <c r="D245" s="33" t="inlineStr">
        <is>
          <t>Unichem Laboratories Limited</t>
        </is>
      </c>
      <c r="E245" s="31" t="inlineStr">
        <is>
          <t>healthcare</t>
        </is>
      </c>
      <c r="F245" s="31" t="inlineStr">
        <is>
          <t>pharmaceuticals - indian - bulk drugs &amp; formln</t>
        </is>
      </c>
      <c r="G245" s="31" t="inlineStr">
        <is>
          <t>smallcap</t>
        </is>
      </c>
      <c r="H245" s="32" t="n">
        <v>4147.25</v>
      </c>
      <c r="I245" s="32" t="n">
        <v>589.05</v>
      </c>
      <c r="J245" s="32" t="n">
        <v>-2.61</v>
      </c>
      <c r="K245" s="32" t="n">
        <v>158364</v>
      </c>
      <c r="L245" s="31" t="n">
        <v>73</v>
      </c>
      <c r="M245" s="31" t="inlineStr">
        <is>
          <t>Underperforming</t>
        </is>
      </c>
      <c r="N245" s="32">
        <f>IF(M245="Underperforming",-5,IF(L245&gt;=95,15,IF(L245&gt;=90,10,IF(L245&gt;=80,5,0))))</f>
        <v/>
      </c>
      <c r="O245" s="32" t="n">
        <v>69.2</v>
      </c>
      <c r="P245" s="32" t="n">
        <v>25.34</v>
      </c>
      <c r="Q245" s="32" t="n">
        <v>459.98</v>
      </c>
      <c r="R245" s="31" t="inlineStr">
        <is>
          <t>Earnings / Momentum Support</t>
        </is>
      </c>
      <c r="S245" s="31" t="inlineStr">
        <is>
          <t>Nifty Pharma</t>
        </is>
      </c>
      <c r="T245" s="32" t="n">
        <v>13.51</v>
      </c>
      <c r="U245" s="32" t="n">
        <v>-6.16</v>
      </c>
      <c r="V245" s="32" t="n">
        <v>-17.33</v>
      </c>
      <c r="W245" s="32" t="n">
        <v>16.67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Yes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Annuity, Lower One Time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Less than 12%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Less than 50%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IF(B246=0,"",RANK(B246,$B$2:$B$300,0))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3" t="inlineStr">
        <is>
          <t>KALYANKJIL</t>
        </is>
      </c>
      <c r="D246" s="33" t="inlineStr">
        <is>
          <t>Kalyan Jewellers India Ltd</t>
        </is>
      </c>
      <c r="E246" s="31" t="inlineStr">
        <is>
          <t>consumer discretionary</t>
        </is>
      </c>
      <c r="F246" s="31" t="inlineStr">
        <is>
          <t>diamond cutting / jewellery</t>
        </is>
      </c>
      <c r="G246" s="31" t="inlineStr">
        <is>
          <t>largecap</t>
        </is>
      </c>
      <c r="H246" s="32" t="n">
        <v>59320.6</v>
      </c>
      <c r="I246" s="32" t="n">
        <v>574.4</v>
      </c>
      <c r="J246" s="32" t="n">
        <v>5.09</v>
      </c>
      <c r="K246" s="32" t="n">
        <v>53915916</v>
      </c>
      <c r="L246" s="31" t="n">
        <v>41</v>
      </c>
      <c r="M246" s="31" t="inlineStr">
        <is>
          <t>Underperforming</t>
        </is>
      </c>
      <c r="N246" s="32">
        <f>IF(M246="Underperforming",-5,IF(L246&gt;=95,15,IF(L246&gt;=90,10,IF(L246&gt;=80,5,0))))</f>
        <v/>
      </c>
      <c r="O246" s="32" t="n">
        <v>70.09999999999999</v>
      </c>
      <c r="P246" s="32" t="n">
        <v>19.66</v>
      </c>
      <c r="Q246" s="32" t="n">
        <v>435.89</v>
      </c>
      <c r="R246" s="31" t="inlineStr">
        <is>
          <t>Volume Spike &amp; Near 52W High Breakout</t>
        </is>
      </c>
      <c r="S246" s="31" t="inlineStr">
        <is>
          <t>Nifty 500</t>
        </is>
      </c>
      <c r="T246" s="32" t="n">
        <v>0.26</v>
      </c>
      <c r="U246" s="32" t="n">
        <v>-2.38</v>
      </c>
      <c r="V246" s="32" t="n">
        <v>-2.64</v>
      </c>
      <c r="W246" s="32" t="n">
        <v>7.82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Between 50% to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Between 0.7 to 1.2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IF(B247=0,"",RANK(B247,$B$2:$B$300,0))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3" t="inlineStr">
        <is>
          <t>HAL</t>
        </is>
      </c>
      <c r="D247" s="33" t="inlineStr">
        <is>
          <t>Hindustan Aeronautics Ltd</t>
        </is>
      </c>
      <c r="E247" s="31" t="inlineStr">
        <is>
          <t>aerospace &amp; defence</t>
        </is>
      </c>
      <c r="F247" s="31" t="inlineStr">
        <is>
          <t>engineering</t>
        </is>
      </c>
      <c r="G247" s="31" t="inlineStr">
        <is>
          <t>largecap</t>
        </is>
      </c>
      <c r="H247" s="32" t="n">
        <v>300995.56</v>
      </c>
      <c r="I247" s="32" t="n">
        <v>4500.7</v>
      </c>
      <c r="J247" s="32" t="n">
        <v>1.51</v>
      </c>
      <c r="K247" s="32" t="n">
        <v>658032</v>
      </c>
      <c r="L247" s="31" t="n">
        <v>7</v>
      </c>
      <c r="M247" s="31" t="inlineStr">
        <is>
          <t>Underperforming</t>
        </is>
      </c>
      <c r="N247" s="32">
        <f>IF(M247="Underperforming",-5,IF(L247&gt;=95,15,IF(L247&gt;=90,10,IF(L247&gt;=80,5,0))))</f>
        <v/>
      </c>
      <c r="O247" s="32" t="n">
        <v>55.58</v>
      </c>
      <c r="P247" s="32" t="n">
        <v>17.22</v>
      </c>
      <c r="Q247" s="32" t="n">
        <v>4040.23</v>
      </c>
      <c r="R247" s="31" t="inlineStr">
        <is>
          <t>Earnings / Momentum Support</t>
        </is>
      </c>
      <c r="S247" s="31" t="inlineStr">
        <is>
          <t>Nifty 500</t>
        </is>
      </c>
      <c r="T247" s="32" t="n">
        <v>0.26</v>
      </c>
      <c r="U247" s="32" t="n">
        <v>-2.11</v>
      </c>
      <c r="V247" s="32" t="n">
        <v>-2.37</v>
      </c>
      <c r="W247" s="32" t="n">
        <v>0.21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0 to 20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Less than 12%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IF(B248=0,"",RANK(B248,$B$2:$B$300,0))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KSL</t>
        </is>
      </c>
      <c r="D248" s="33" t="inlineStr">
        <is>
          <t>Kalyani Steels Limited</t>
        </is>
      </c>
      <c r="E248" s="31" t="inlineStr">
        <is>
          <t>metals &amp; mining</t>
        </is>
      </c>
      <c r="F248" s="31" t="inlineStr">
        <is>
          <t>steel - medium / small</t>
        </is>
      </c>
      <c r="G248" s="31" t="inlineStr">
        <is>
          <t>smallcap</t>
        </is>
      </c>
      <c r="H248" s="32" t="n">
        <v>4042.49</v>
      </c>
      <c r="I248" s="32" t="n">
        <v>926.05</v>
      </c>
      <c r="J248" s="32" t="n">
        <v>0.85</v>
      </c>
      <c r="K248" s="32" t="n">
        <v>60116</v>
      </c>
      <c r="L248" s="31" t="n">
        <v>33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64.56999999999999</v>
      </c>
      <c r="P248" s="32" t="n">
        <v>20.48</v>
      </c>
      <c r="Q248" s="32" t="n">
        <v>763.87</v>
      </c>
      <c r="R248" s="31" t="inlineStr">
        <is>
          <t>Near 52W High Breakout</t>
        </is>
      </c>
      <c r="S248" s="31" t="inlineStr">
        <is>
          <t>Nifty Metal</t>
        </is>
      </c>
      <c r="T248" s="32" t="n">
        <v>31.49</v>
      </c>
      <c r="U248" s="32" t="n">
        <v>3.86</v>
      </c>
      <c r="V248" s="32" t="n">
        <v>-21.02</v>
      </c>
      <c r="W248" s="32" t="n">
        <v>6.46</v>
      </c>
      <c r="X248" s="31" t="inlineStr">
        <is>
          <t>Cyclical in an Upturn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Cyclical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Volatile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Less than 12%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IF(B249=0,"",RANK(B249,$B$2:$B$300,0))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3" t="inlineStr">
        <is>
          <t>ARE&amp;M</t>
        </is>
      </c>
      <c r="D249" s="33" t="inlineStr">
        <is>
          <t>Amara Raja Energy &amp; Mobility Ltd</t>
        </is>
      </c>
      <c r="E249" s="31" t="inlineStr">
        <is>
          <t>auto</t>
        </is>
      </c>
      <c r="F249" s="31" t="inlineStr">
        <is>
          <t>auto ancillaries</t>
        </is>
      </c>
      <c r="G249" s="31" t="inlineStr">
        <is>
          <t>midcap</t>
        </is>
      </c>
      <c r="H249" s="32" t="n">
        <v>16607.72</v>
      </c>
      <c r="I249" s="32" t="n">
        <v>907.4</v>
      </c>
      <c r="J249" s="32" t="n">
        <v>0.66</v>
      </c>
      <c r="K249" s="32" t="n">
        <v>1009649</v>
      </c>
      <c r="L249" s="31" t="n">
        <v>14</v>
      </c>
      <c r="M249" s="31" t="inlineStr">
        <is>
          <t>Underperforming</t>
        </is>
      </c>
      <c r="N249" s="32">
        <f>IF(M249="Underperforming",-5,IF(L249&gt;=95,15,IF(L249&gt;=90,10,IF(L249&gt;=80,5,0))))</f>
        <v/>
      </c>
      <c r="O249" s="32" t="n">
        <v>57.06</v>
      </c>
      <c r="P249" s="32" t="n">
        <v>12.91</v>
      </c>
      <c r="Q249" s="32" t="n">
        <v>739.2</v>
      </c>
      <c r="R249" s="31" t="inlineStr">
        <is>
          <t>Earnings / Momentum Support</t>
        </is>
      </c>
      <c r="S249" s="31" t="inlineStr">
        <is>
          <t>Nifty Auto</t>
        </is>
      </c>
      <c r="T249" s="32" t="n">
        <v>13.41</v>
      </c>
      <c r="U249" s="32" t="n">
        <v>-6.04</v>
      </c>
      <c r="V249" s="32" t="n">
        <v>-17.15</v>
      </c>
      <c r="W249" s="32" t="n">
        <v>2.59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0 to 20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1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Less than 1.5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IF(B250=0,"",RANK(B250,$B$2:$B$300,0))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KAPSTON</t>
        </is>
      </c>
      <c r="D250" s="31" t="inlineStr">
        <is>
          <t>Kapston Services Ltd</t>
        </is>
      </c>
      <c r="E250" s="31" t="inlineStr">
        <is>
          <t>miscellaneous</t>
        </is>
      </c>
      <c r="F250" s="31" t="inlineStr">
        <is>
          <t>miscellaneous</t>
        </is>
      </c>
      <c r="G250" s="31" t="inlineStr">
        <is>
          <t>smallcap</t>
        </is>
      </c>
      <c r="H250" s="32" t="n">
        <v>1286.52</v>
      </c>
      <c r="I250" s="32" t="n">
        <v>422.75</v>
      </c>
      <c r="J250" s="32" t="n">
        <v>0.61</v>
      </c>
      <c r="K250" s="32" t="n">
        <v>12089</v>
      </c>
      <c r="L250" s="31" t="n">
        <v>80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69.63</v>
      </c>
      <c r="P250" s="32" t="n">
        <v>18.96</v>
      </c>
      <c r="Q250" s="32" t="n">
        <v>311.85</v>
      </c>
      <c r="R250" s="31" t="inlineStr">
        <is>
          <t>Near 52W High Breakout</t>
        </is>
      </c>
      <c r="S250" s="31" t="inlineStr">
        <is>
          <t>Nifty 50</t>
        </is>
      </c>
      <c r="T250" s="32" t="n">
        <v>-2.54</v>
      </c>
      <c r="U250" s="32" t="n">
        <v>70.7</v>
      </c>
      <c r="V250" s="32" t="n">
        <v>75.15000000000001</v>
      </c>
      <c r="W250" s="32" t="n">
        <v>19.85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0 to 20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Blue sky scenario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Between 1.5 to 2</t>
        </is>
      </c>
      <c r="BU250" s="31">
        <f>IF(BT250="Above 2",0,IF(BT250="Between 1.5 to 2",5,IF(BT250="Less than 1.5",10,0)))</f>
        <v/>
      </c>
      <c r="BV250" s="31" t="inlineStr">
        <is>
          <t>Less than 50% and Borrowings are increasing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More than 1.2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IF(B251=0,"",RANK(B251,$B$2:$B$300,0))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3" t="inlineStr">
        <is>
          <t>JKPAPER</t>
        </is>
      </c>
      <c r="D251" s="33" t="inlineStr">
        <is>
          <t>Jk Paper Limited</t>
        </is>
      </c>
      <c r="E251" s="31" t="inlineStr">
        <is>
          <t>building materials</t>
        </is>
      </c>
      <c r="F251" s="31" t="inlineStr">
        <is>
          <t>paper</t>
        </is>
      </c>
      <c r="G251" s="31" t="inlineStr">
        <is>
          <t>midcap</t>
        </is>
      </c>
      <c r="H251" s="32" t="n">
        <v>6700.64</v>
      </c>
      <c r="I251" s="32" t="n">
        <v>369.55</v>
      </c>
      <c r="J251" s="32" t="n">
        <v>-0.04</v>
      </c>
      <c r="K251" s="32" t="n">
        <v>317945</v>
      </c>
      <c r="L251" s="31" t="n">
        <v>3</v>
      </c>
      <c r="M251" s="31" t="inlineStr">
        <is>
          <t>Underperforming</t>
        </is>
      </c>
      <c r="N251" s="32">
        <f>IF(M251="Underperforming",-5,IF(L251&gt;=95,15,IF(L251&gt;=90,10,IF(L251&gt;=80,5,0))))</f>
        <v/>
      </c>
      <c r="O251" s="32" t="n">
        <v>54.53</v>
      </c>
      <c r="P251" s="32" t="n">
        <v>19.55</v>
      </c>
      <c r="Q251" s="32" t="n">
        <v>309.18</v>
      </c>
      <c r="R251" s="31" t="inlineStr">
        <is>
          <t>Earnings / Momentum Support</t>
        </is>
      </c>
      <c r="S251" s="31" t="inlineStr">
        <is>
          <t>Nifty Infra</t>
        </is>
      </c>
      <c r="T251" s="32" t="n">
        <v>1.74</v>
      </c>
      <c r="U251" s="32" t="n">
        <v>-4.04</v>
      </c>
      <c r="V251" s="32" t="n">
        <v>-5.68</v>
      </c>
      <c r="W251" s="32" t="n">
        <v>-0.71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0 to 20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1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Less than 1.5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IF(B252=0,"",RANK(B252,$B$2:$B$300,0))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3" t="inlineStr">
        <is>
          <t>MUKANDLTD</t>
        </is>
      </c>
      <c r="D252" s="33" t="inlineStr">
        <is>
          <t>Mukand Limited</t>
        </is>
      </c>
      <c r="E252" s="31" t="inlineStr">
        <is>
          <t>metals &amp; mining</t>
        </is>
      </c>
      <c r="F252" s="31" t="inlineStr">
        <is>
          <t>steel - medium / small</t>
        </is>
      </c>
      <c r="G252" s="31" t="inlineStr">
        <is>
          <t>smallcap</t>
        </is>
      </c>
      <c r="H252" s="32" t="n">
        <v>2105.16</v>
      </c>
      <c r="I252" s="32" t="n">
        <v>145.69</v>
      </c>
      <c r="J252" s="32" t="n">
        <v>-0.35</v>
      </c>
      <c r="K252" s="32" t="n">
        <v>451938</v>
      </c>
      <c r="L252" s="31" t="n">
        <v>14</v>
      </c>
      <c r="M252" s="31" t="inlineStr">
        <is>
          <t>Underperforming</t>
        </is>
      </c>
      <c r="N252" s="32">
        <f>IF(M252="Underperforming",-5,IF(L252&gt;=95,15,IF(L252&gt;=90,10,IF(L252&gt;=80,5,0))))</f>
        <v/>
      </c>
      <c r="O252" s="32" t="n">
        <v>61.6</v>
      </c>
      <c r="P252" s="32" t="n">
        <v>41.17</v>
      </c>
      <c r="Q252" s="32" t="n">
        <v>114.13</v>
      </c>
      <c r="R252" s="31" t="inlineStr">
        <is>
          <t>Volume Spike &amp; Near 52W High Breakout</t>
        </is>
      </c>
      <c r="S252" s="31" t="inlineStr">
        <is>
          <t>Nifty Metal</t>
        </is>
      </c>
      <c r="T252" s="32" t="n">
        <v>31.49</v>
      </c>
      <c r="U252" s="32" t="n">
        <v>6.58</v>
      </c>
      <c r="V252" s="32" t="n">
        <v>-18.95</v>
      </c>
      <c r="W252" s="32" t="n">
        <v>2.78</v>
      </c>
      <c r="X252" s="31" t="inlineStr">
        <is>
          <t>Cyclical in an Upturn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Cyclical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Volatile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Above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Less than 1.5</t>
        </is>
      </c>
      <c r="BU252" s="31">
        <f>IF(BT252="Above 2",0,IF(BT252="Between 1.5 to 2",5,IF(BT252="Less than 1.5",10,0)))</f>
        <v/>
      </c>
      <c r="BV252" s="31" t="inlineStr">
        <is>
          <t>Negative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Between 0.7 to 1.2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IF(B253=0,"",RANK(B253,$B$2:$B$300,0))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3" t="inlineStr">
        <is>
          <t>SPECIALITY</t>
        </is>
      </c>
      <c r="D253" s="33" t="inlineStr">
        <is>
          <t>Speciality Restaurants Limited</t>
        </is>
      </c>
      <c r="E253" s="31" t="inlineStr">
        <is>
          <t>services</t>
        </is>
      </c>
      <c r="F253" s="31" t="inlineStr">
        <is>
          <t>hotels</t>
        </is>
      </c>
      <c r="G253" s="31" t="inlineStr">
        <is>
          <t>smallcap</t>
        </is>
      </c>
      <c r="H253" s="32" t="n">
        <v>622.53</v>
      </c>
      <c r="I253" s="32" t="n">
        <v>129.06</v>
      </c>
      <c r="J253" s="32" t="n">
        <v>-0.86</v>
      </c>
      <c r="K253" s="32" t="n">
        <v>12145</v>
      </c>
      <c r="L253" s="31" t="n">
        <v>26</v>
      </c>
      <c r="M253" s="31" t="inlineStr">
        <is>
          <t>Underperforming</t>
        </is>
      </c>
      <c r="N253" s="32">
        <f>IF(M253="Underperforming",-5,IF(L253&gt;=95,15,IF(L253&gt;=90,10,IF(L253&gt;=80,5,0))))</f>
        <v/>
      </c>
      <c r="O253" s="32" t="n">
        <v>61.84</v>
      </c>
      <c r="P253" s="32" t="n">
        <v>18.37</v>
      </c>
      <c r="Q253" s="32" t="n">
        <v>93.75</v>
      </c>
      <c r="R253" s="31" t="inlineStr">
        <is>
          <t>Earnings / Momentum Support</t>
        </is>
      </c>
      <c r="S253" s="31" t="inlineStr">
        <is>
          <t>Nifty 50</t>
        </is>
      </c>
      <c r="T253" s="32" t="n">
        <v>-2.54</v>
      </c>
      <c r="U253" s="32" t="n">
        <v>-5.33</v>
      </c>
      <c r="V253" s="32" t="n">
        <v>-2.87</v>
      </c>
      <c r="W253" s="32" t="n">
        <v>5.18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Less than 12%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IF(B254=0,"",RANK(B254,$B$2:$B$300,0))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3" t="inlineStr">
        <is>
          <t>ENDURANCE</t>
        </is>
      </c>
      <c r="D254" s="33" t="inlineStr">
        <is>
          <t>Endurance Technologies Limited</t>
        </is>
      </c>
      <c r="E254" s="31" t="inlineStr">
        <is>
          <t>auto</t>
        </is>
      </c>
      <c r="F254" s="31" t="inlineStr">
        <is>
          <t>auto ancillaries</t>
        </is>
      </c>
      <c r="G254" s="31" t="inlineStr">
        <is>
          <t>largecap</t>
        </is>
      </c>
      <c r="H254" s="32" t="n">
        <v>38443.16</v>
      </c>
      <c r="I254" s="32" t="n">
        <v>2733</v>
      </c>
      <c r="J254" s="32" t="n">
        <v>-1.1</v>
      </c>
      <c r="K254" s="32" t="n">
        <v>80688</v>
      </c>
      <c r="L254" s="31" t="n">
        <v>20</v>
      </c>
      <c r="M254" s="31" t="inlineStr">
        <is>
          <t>Underperforming</t>
        </is>
      </c>
      <c r="N254" s="32">
        <f>IF(M254="Underperforming",-5,IF(L254&gt;=95,15,IF(L254&gt;=90,10,IF(L254&gt;=80,5,0))))</f>
        <v/>
      </c>
      <c r="O254" s="32" t="n">
        <v>58.24</v>
      </c>
      <c r="P254" s="32" t="n">
        <v>13.87</v>
      </c>
      <c r="Q254" s="32" t="n">
        <v>2197.28</v>
      </c>
      <c r="R254" s="31" t="inlineStr">
        <is>
          <t>Earnings / Momentum Support</t>
        </is>
      </c>
      <c r="S254" s="31" t="inlineStr">
        <is>
          <t>Nifty Auto</t>
        </is>
      </c>
      <c r="T254" s="32" t="n">
        <v>13.41</v>
      </c>
      <c r="U254" s="32" t="n">
        <v>3.04</v>
      </c>
      <c r="V254" s="32" t="n">
        <v>-9.140000000000001</v>
      </c>
      <c r="W254" s="32" t="n">
        <v>4.03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0 to 20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Between 12 to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Yes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IF(B255=0,"",RANK(B255,$B$2:$B$300,0))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3" t="inlineStr">
        <is>
          <t>OMAXE</t>
        </is>
      </c>
      <c r="D255" s="33" t="inlineStr">
        <is>
          <t>Omaxe Limited</t>
        </is>
      </c>
      <c r="E255" s="31" t="inlineStr">
        <is>
          <t>realty</t>
        </is>
      </c>
      <c r="F255" s="31" t="inlineStr">
        <is>
          <t>construction</t>
        </is>
      </c>
      <c r="G255" s="31" t="inlineStr">
        <is>
          <t>smallcap</t>
        </is>
      </c>
      <c r="H255" s="32" t="n">
        <v>1710.12</v>
      </c>
      <c r="I255" s="32" t="n">
        <v>93.5</v>
      </c>
      <c r="J255" s="32" t="n">
        <v>-2.9</v>
      </c>
      <c r="K255" s="32" t="n">
        <v>378828</v>
      </c>
      <c r="L255" s="31" t="n">
        <v>13</v>
      </c>
      <c r="M255" s="31" t="inlineStr">
        <is>
          <t>Underperforming</t>
        </is>
      </c>
      <c r="N255" s="32">
        <f>IF(M255="Underperforming",-5,IF(L255&gt;=95,15,IF(L255&gt;=90,10,IF(L255&gt;=80,5,0))))</f>
        <v/>
      </c>
      <c r="O255" s="32" t="n">
        <v>65.31999999999999</v>
      </c>
      <c r="P255" s="32" t="n">
        <v>19.74</v>
      </c>
      <c r="Q255" s="32" t="n">
        <v>65.61</v>
      </c>
      <c r="R255" s="31" t="inlineStr">
        <is>
          <t>Near 52W High Breakout</t>
        </is>
      </c>
      <c r="S255" s="31" t="inlineStr">
        <is>
          <t>Nifty Realty</t>
        </is>
      </c>
      <c r="T255" s="32" t="n">
        <v>-8.119999999999999</v>
      </c>
      <c r="U255" s="32" t="n">
        <v>-11.01</v>
      </c>
      <c r="V255" s="32" t="n">
        <v>-3.15</v>
      </c>
      <c r="W255" s="32" t="n">
        <v>2.25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0 to 20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No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Negative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IF(B256=0,"",RANK(B256,$B$2:$B$300,0))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3" t="inlineStr">
        <is>
          <t>KAMDHENU</t>
        </is>
      </c>
      <c r="D256" s="33" t="inlineStr">
        <is>
          <t>Kamdhenu Limited</t>
        </is>
      </c>
      <c r="E256" s="31" t="inlineStr">
        <is>
          <t>metals &amp; mining</t>
        </is>
      </c>
      <c r="F256" s="31" t="inlineStr">
        <is>
          <t>steel - medium / small</t>
        </is>
      </c>
      <c r="G256" s="31" t="inlineStr">
        <is>
          <t>smallcap</t>
        </is>
      </c>
      <c r="H256" s="32" t="n">
        <v>945.4400000000001</v>
      </c>
      <c r="I256" s="32" t="n">
        <v>33.54</v>
      </c>
      <c r="J256" s="32" t="n">
        <v>2.69</v>
      </c>
      <c r="K256" s="32" t="n">
        <v>1061472</v>
      </c>
      <c r="L256" s="31" t="n">
        <v>64</v>
      </c>
      <c r="M256" s="31" t="inlineStr">
        <is>
          <t>Underperforming</t>
        </is>
      </c>
      <c r="N256" s="32">
        <f>IF(M256="Underperforming",-5,IF(L256&gt;=95,15,IF(L256&gt;=90,10,IF(L256&gt;=80,5,0))))</f>
        <v/>
      </c>
      <c r="O256" s="32" t="n">
        <v>69.91</v>
      </c>
      <c r="P256" s="32" t="n">
        <v>27.34</v>
      </c>
      <c r="Q256" s="32" t="n">
        <v>24.56</v>
      </c>
      <c r="R256" s="31" t="inlineStr">
        <is>
          <t>Near 52W High Breakout</t>
        </is>
      </c>
      <c r="S256" s="31" t="inlineStr">
        <is>
          <t>Nifty Metal</t>
        </is>
      </c>
      <c r="T256" s="32" t="n">
        <v>31.49</v>
      </c>
      <c r="U256" s="32" t="n">
        <v>12.5</v>
      </c>
      <c r="V256" s="32" t="n">
        <v>-14.45</v>
      </c>
      <c r="W256" s="32" t="n">
        <v>13.64</v>
      </c>
      <c r="X256" s="31" t="inlineStr">
        <is>
          <t>Cyclical in an Upturn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Cyclical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Volatile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Less than 12%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Between 50% to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IF(B257=0,"",RANK(B257,$B$2:$B$300,0))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3" t="inlineStr">
        <is>
          <t>INDIGO</t>
        </is>
      </c>
      <c r="D257" s="33" t="inlineStr">
        <is>
          <t>Interglobe Aviation Limited</t>
        </is>
      </c>
      <c r="E257" s="31" t="inlineStr">
        <is>
          <t>transportation</t>
        </is>
      </c>
      <c r="F257" s="31" t="inlineStr">
        <is>
          <t>transport - airlines</t>
        </is>
      </c>
      <c r="G257" s="31" t="inlineStr">
        <is>
          <t>largecap</t>
        </is>
      </c>
      <c r="H257" s="32" t="n">
        <v>202913.83</v>
      </c>
      <c r="I257" s="32" t="n">
        <v>5248.5</v>
      </c>
      <c r="J257" s="32" t="n">
        <v>-0.32</v>
      </c>
      <c r="K257" s="32" t="n">
        <v>609593</v>
      </c>
      <c r="L257" s="31" t="n">
        <v>9</v>
      </c>
      <c r="M257" s="31" t="inlineStr">
        <is>
          <t>Underperforming</t>
        </is>
      </c>
      <c r="N257" s="32">
        <f>IF(M257="Underperforming",-5,IF(L257&gt;=95,15,IF(L257&gt;=90,10,IF(L257&gt;=80,5,0))))</f>
        <v/>
      </c>
      <c r="O257" s="32" t="n">
        <v>59.2</v>
      </c>
      <c r="P257" s="32" t="n">
        <v>24.34</v>
      </c>
      <c r="Q257" s="32" t="n">
        <v>4462.66</v>
      </c>
      <c r="R257" s="31" t="inlineStr">
        <is>
          <t>Earnings / Momentum Support</t>
        </is>
      </c>
      <c r="S257" s="31" t="inlineStr">
        <is>
          <t>Nifty 50</t>
        </is>
      </c>
      <c r="T257" s="32" t="n">
        <v>-2.54</v>
      </c>
      <c r="U257" s="32" t="n">
        <v>-10.3</v>
      </c>
      <c r="V257" s="32" t="n">
        <v>-7.96</v>
      </c>
      <c r="W257" s="32" t="n">
        <v>1.03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20 to 40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More than 1.2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IF(B258=0,"",RANK(B258,$B$2:$B$300,0))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3" t="inlineStr">
        <is>
          <t>GANESHHOU</t>
        </is>
      </c>
      <c r="D258" s="33" t="inlineStr">
        <is>
          <t>Ganesh Housing Ltd</t>
        </is>
      </c>
      <c r="E258" s="31" t="inlineStr">
        <is>
          <t>realty</t>
        </is>
      </c>
      <c r="F258" s="31" t="inlineStr">
        <is>
          <t>construction</t>
        </is>
      </c>
      <c r="G258" s="31" t="inlineStr">
        <is>
          <t>midcap</t>
        </is>
      </c>
      <c r="H258" s="32" t="n">
        <v>6860.26</v>
      </c>
      <c r="I258" s="32" t="n">
        <v>822.7</v>
      </c>
      <c r="J258" s="32" t="n">
        <v>-1.4</v>
      </c>
      <c r="K258" s="32" t="n">
        <v>41383</v>
      </c>
      <c r="L258" s="31" t="n">
        <v>18</v>
      </c>
      <c r="M258" s="31" t="inlineStr">
        <is>
          <t>Underperforming</t>
        </is>
      </c>
      <c r="N258" s="32">
        <f>IF(M258="Underperforming",-5,IF(L258&gt;=95,15,IF(L258&gt;=90,10,IF(L258&gt;=80,5,0))))</f>
        <v/>
      </c>
      <c r="O258" s="32" t="n">
        <v>59.99</v>
      </c>
      <c r="P258" s="32" t="n">
        <v>16.65</v>
      </c>
      <c r="Q258" s="32" t="n">
        <v>674.8</v>
      </c>
      <c r="R258" s="31" t="inlineStr">
        <is>
          <t>Earnings / Momentum Support</t>
        </is>
      </c>
      <c r="S258" s="31" t="inlineStr">
        <is>
          <t>Nifty Realty</t>
        </is>
      </c>
      <c r="T258" s="32" t="n">
        <v>-8.119999999999999</v>
      </c>
      <c r="U258" s="32" t="n">
        <v>-15.61</v>
      </c>
      <c r="V258" s="32" t="n">
        <v>-8.15</v>
      </c>
      <c r="W258" s="32" t="n">
        <v>3.54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0 to 20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Between 50% to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IF(B259=0,"",RANK(B259,$B$2:$B$300,0))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3" t="inlineStr">
        <is>
          <t>TCPLPACK</t>
        </is>
      </c>
      <c r="D259" s="33" t="inlineStr">
        <is>
          <t>TCPL Packaging Ltd</t>
        </is>
      </c>
      <c r="E259" s="31" t="inlineStr">
        <is>
          <t>industrials</t>
        </is>
      </c>
      <c r="F259" s="31" t="inlineStr">
        <is>
          <t>packaging</t>
        </is>
      </c>
      <c r="G259" s="31" t="inlineStr">
        <is>
          <t>smallcap</t>
        </is>
      </c>
      <c r="H259" s="32" t="n">
        <v>2926.38</v>
      </c>
      <c r="I259" s="32" t="n">
        <v>3215.8</v>
      </c>
      <c r="J259" s="32" t="n">
        <v>-1.52</v>
      </c>
      <c r="K259" s="32" t="n">
        <v>3141</v>
      </c>
      <c r="L259" s="31" t="n">
        <v>12</v>
      </c>
      <c r="M259" s="31" t="inlineStr">
        <is>
          <t>Underperforming</t>
        </is>
      </c>
      <c r="N259" s="32">
        <f>IF(M259="Underperforming",-5,IF(L259&gt;=95,15,IF(L259&gt;=90,10,IF(L259&gt;=80,5,0))))</f>
        <v/>
      </c>
      <c r="O259" s="32" t="n">
        <v>62.67</v>
      </c>
      <c r="P259" s="32" t="n">
        <v>14.51</v>
      </c>
      <c r="Q259" s="32" t="n">
        <v>2459.62</v>
      </c>
      <c r="R259" s="31" t="inlineStr">
        <is>
          <t>Volume Spike / Accumulation</t>
        </is>
      </c>
      <c r="S259" s="31" t="inlineStr">
        <is>
          <t>Nifty 50</t>
        </is>
      </c>
      <c r="T259" s="32" t="n">
        <v>-2.54</v>
      </c>
      <c r="U259" s="32" t="n">
        <v>-14.32</v>
      </c>
      <c r="V259" s="32" t="n">
        <v>-12.09</v>
      </c>
      <c r="W259" s="32" t="n">
        <v>2.11</v>
      </c>
      <c r="X259" s="31" t="inlineStr">
        <is>
          <t>Cyclical in an Upturn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0 to 20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Less than 12%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Between 0.7 to 1.2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IF(B260=0,"",RANK(B260,$B$2:$B$300,0))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INGERRAND</t>
        </is>
      </c>
      <c r="D260" s="31" t="inlineStr">
        <is>
          <t>Ingersoll Rand (india) Limited</t>
        </is>
      </c>
      <c r="E260" s="31" t="inlineStr">
        <is>
          <t>industrials</t>
        </is>
      </c>
      <c r="F260" s="31" t="inlineStr">
        <is>
          <t>compressors / drilling equipment</t>
        </is>
      </c>
      <c r="G260" s="31" t="inlineStr">
        <is>
          <t>midcap</t>
        </is>
      </c>
      <c r="H260" s="32" t="n">
        <v>14430.36</v>
      </c>
      <c r="I260" s="32" t="n">
        <v>4571.2</v>
      </c>
      <c r="J260" s="32" t="n">
        <v>-2.26</v>
      </c>
      <c r="K260" s="32" t="n">
        <v>40789</v>
      </c>
      <c r="L260" s="31" t="n">
        <v>28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60.58</v>
      </c>
      <c r="P260" s="32" t="n">
        <v>28.51</v>
      </c>
      <c r="Q260" s="32" t="n">
        <v>3678.94</v>
      </c>
      <c r="R260" s="31" t="inlineStr">
        <is>
          <t>Near 52W High Breakout</t>
        </is>
      </c>
      <c r="S260" s="31" t="inlineStr">
        <is>
          <t>Nifty 50</t>
        </is>
      </c>
      <c r="T260" s="32" t="n">
        <v>-2.54</v>
      </c>
      <c r="U260" s="32" t="n">
        <v>12.13</v>
      </c>
      <c r="V260" s="32" t="n">
        <v>15.05</v>
      </c>
      <c r="W260" s="32" t="n">
        <v>5.69</v>
      </c>
      <c r="X260" s="31" t="inlineStr">
        <is>
          <t>Cyclical in an Upturn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Negative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Blue sky scenario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Less than 12%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IF(B261=0,"",RANK(B261,$B$2:$B$300,0))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JUSTDIAL</t>
        </is>
      </c>
      <c r="D261" s="31" t="inlineStr">
        <is>
          <t>Just Dial Limited</t>
        </is>
      </c>
      <c r="E261" s="31" t="inlineStr">
        <is>
          <t>i.t</t>
        </is>
      </c>
      <c r="F261" s="31" t="inlineStr">
        <is>
          <t>miscellaneous</t>
        </is>
      </c>
      <c r="G261" s="31" t="inlineStr">
        <is>
          <t>midcap</t>
        </is>
      </c>
      <c r="H261" s="32" t="n">
        <v>6525.48</v>
      </c>
      <c r="I261" s="32" t="n">
        <v>767.3</v>
      </c>
      <c r="J261" s="32" t="n">
        <v>-3.28</v>
      </c>
      <c r="K261" s="32" t="n">
        <v>2479282</v>
      </c>
      <c r="L261" s="31" t="n">
        <v>37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72.73</v>
      </c>
      <c r="P261" s="32" t="n">
        <v>15.44</v>
      </c>
      <c r="Q261" s="32" t="n">
        <v>609.9400000000001</v>
      </c>
      <c r="R261" s="31" t="inlineStr">
        <is>
          <t>Volume Spike / Accumulation</t>
        </is>
      </c>
      <c r="S261" s="31" t="inlineStr">
        <is>
          <t>Nifty IT</t>
        </is>
      </c>
      <c r="T261" s="32" t="n">
        <v>-21.31</v>
      </c>
      <c r="U261" s="32" t="n">
        <v>-13.34</v>
      </c>
      <c r="V261" s="32" t="n">
        <v>10.13</v>
      </c>
      <c r="W261" s="32" t="n">
        <v>7.16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1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Less than 12%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IF(B262=0,"",RANK(B262,$B$2:$B$300,0))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3" t="inlineStr">
        <is>
          <t>SILVERTUC</t>
        </is>
      </c>
      <c r="D262" s="33" t="inlineStr">
        <is>
          <t>Silver Touch Technologies Ltd</t>
        </is>
      </c>
      <c r="E262" s="31" t="inlineStr">
        <is>
          <t>i.t</t>
        </is>
      </c>
      <c r="F262" s="31" t="inlineStr">
        <is>
          <t>computers - software - medium / small</t>
        </is>
      </c>
      <c r="G262" s="31" t="inlineStr">
        <is>
          <t>smallcap</t>
        </is>
      </c>
      <c r="H262" s="32" t="n">
        <v>2507.29</v>
      </c>
      <c r="I262" s="32" t="n">
        <v>197.72</v>
      </c>
      <c r="J262" s="32" t="n">
        <v>0.9</v>
      </c>
      <c r="K262" s="32" t="n">
        <v>583223</v>
      </c>
      <c r="L262" s="31" t="n">
        <v>15</v>
      </c>
      <c r="M262" s="31" t="inlineStr">
        <is>
          <t>Underperforming</t>
        </is>
      </c>
      <c r="N262" s="32">
        <f>IF(M262="Underperforming",-5,IF(L262&gt;=95,15,IF(L262&gt;=90,10,IF(L262&gt;=80,5,0))))</f>
        <v/>
      </c>
      <c r="O262" s="32" t="n">
        <v>43.2</v>
      </c>
      <c r="P262" s="32" t="n">
        <v>28.24</v>
      </c>
      <c r="Q262" s="32" t="n">
        <v>94.09</v>
      </c>
      <c r="R262" s="31" t="inlineStr">
        <is>
          <t>Volume Spike / Accumulation</t>
        </is>
      </c>
      <c r="S262" s="31" t="inlineStr">
        <is>
          <t>Nifty IT</t>
        </is>
      </c>
      <c r="T262" s="32" t="n">
        <v>-21.31</v>
      </c>
      <c r="U262" s="32" t="n">
        <v>-72.22</v>
      </c>
      <c r="V262" s="32" t="n">
        <v>-64.7</v>
      </c>
      <c r="W262" s="32" t="n">
        <v>2.86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Annuity, Lower One Time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Below 45</t>
        </is>
      </c>
      <c r="BA262" s="31">
        <f>IF(AZ262="Between 50 to 75",10,IF(AZ262="Above 75",0,0))</f>
        <v/>
      </c>
      <c r="BB262" s="31" t="inlineStr">
        <is>
          <t>Stage 4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Between 1.5 to 2</t>
        </is>
      </c>
      <c r="BU262" s="31">
        <f>IF(BT262="Above 2",0,IF(BT262="Between 1.5 to 2",5,IF(BT262="Less than 1.5",10,0)))</f>
        <v/>
      </c>
      <c r="BV262" s="31" t="inlineStr">
        <is>
          <t>Less than 50%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IF(B263=0,"",RANK(B263,$B$2:$B$300,0))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3" t="inlineStr">
        <is>
          <t>LLOYDSME</t>
        </is>
      </c>
      <c r="D263" s="33" t="inlineStr">
        <is>
          <t>Lloyds Metals &amp; Energy Ltd</t>
        </is>
      </c>
      <c r="E263" s="31" t="inlineStr">
        <is>
          <t>metals &amp; mining</t>
        </is>
      </c>
      <c r="F263" s="31" t="inlineStr">
        <is>
          <t>mining / minerals / metals</t>
        </is>
      </c>
      <c r="G263" s="31" t="inlineStr">
        <is>
          <t>largecap</t>
        </is>
      </c>
      <c r="H263" s="32" t="n">
        <v>105004.66</v>
      </c>
      <c r="I263" s="32" t="n">
        <v>1865.4</v>
      </c>
      <c r="J263" s="32" t="n">
        <v>1.19</v>
      </c>
      <c r="K263" s="32" t="n">
        <v>662493</v>
      </c>
      <c r="L263" s="31" t="n">
        <v>46</v>
      </c>
      <c r="M263" s="31" t="inlineStr">
        <is>
          <t>Underperforming</t>
        </is>
      </c>
      <c r="N263" s="32">
        <f>IF(M263="Underperforming",-5,IF(L263&gt;=95,15,IF(L263&gt;=90,10,IF(L263&gt;=80,5,0))))</f>
        <v/>
      </c>
      <c r="O263" s="32" t="n">
        <v>71.61</v>
      </c>
      <c r="P263" s="32" t="n">
        <v>44.81</v>
      </c>
      <c r="Q263" s="32" t="n">
        <v>1522.78</v>
      </c>
      <c r="R263" s="31" t="inlineStr">
        <is>
          <t>Near 52W High Breakout</t>
        </is>
      </c>
      <c r="S263" s="31" t="inlineStr">
        <is>
          <t>Nifty Metal</t>
        </is>
      </c>
      <c r="T263" s="32" t="n">
        <v>31.49</v>
      </c>
      <c r="U263" s="32" t="n">
        <v>26.75</v>
      </c>
      <c r="V263" s="32" t="n">
        <v>-3.61</v>
      </c>
      <c r="W263" s="32" t="n">
        <v>8.960000000000001</v>
      </c>
      <c r="X263" s="31" t="inlineStr">
        <is>
          <t>Cyclical in an Upturn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Cyclical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Volatile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Above 40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Blue sky scenario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Less than 50% and Borrowings are increasing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More than 1.2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IF(B264=0,"",RANK(B264,$B$2:$B$300,0))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3" t="inlineStr">
        <is>
          <t>LODHA</t>
        </is>
      </c>
      <c r="D264" s="33" t="inlineStr">
        <is>
          <t>Lodha Developers Ltd</t>
        </is>
      </c>
      <c r="E264" s="31" t="inlineStr">
        <is>
          <t>realty</t>
        </is>
      </c>
      <c r="F264" s="31" t="inlineStr">
        <is>
          <t>construction</t>
        </is>
      </c>
      <c r="G264" s="31" t="inlineStr">
        <is>
          <t>largecap</t>
        </is>
      </c>
      <c r="H264" s="32" t="n">
        <v>118746.03</v>
      </c>
      <c r="I264" s="32" t="n">
        <v>1188.75</v>
      </c>
      <c r="J264" s="32" t="n">
        <v>0.9</v>
      </c>
      <c r="K264" s="32" t="n">
        <v>1143368</v>
      </c>
      <c r="L264" s="31" t="n">
        <v>27</v>
      </c>
      <c r="M264" s="31" t="inlineStr">
        <is>
          <t>Underperforming</t>
        </is>
      </c>
      <c r="N264" s="32">
        <f>IF(M264="Underperforming",-5,IF(L264&gt;=95,15,IF(L264&gt;=90,10,IF(L264&gt;=80,5,0))))</f>
        <v/>
      </c>
      <c r="O264" s="32" t="n">
        <v>63.37</v>
      </c>
      <c r="P264" s="32" t="n">
        <v>13.66</v>
      </c>
      <c r="Q264" s="32" t="n">
        <v>954.5</v>
      </c>
      <c r="R264" s="31" t="inlineStr">
        <is>
          <t>Earnings / Momentum Support</t>
        </is>
      </c>
      <c r="S264" s="31" t="inlineStr">
        <is>
          <t>Nifty Realty</t>
        </is>
      </c>
      <c r="T264" s="32" t="n">
        <v>-8.119999999999999</v>
      </c>
      <c r="U264" s="32" t="n">
        <v>-17.46</v>
      </c>
      <c r="V264" s="32" t="n">
        <v>-10.16</v>
      </c>
      <c r="W264" s="32" t="n">
        <v>5.32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Less than 12%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Less than 50%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IF(B265=0,"",RANK(B265,$B$2:$B$300,0))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SOTL</t>
        </is>
      </c>
      <c r="D265" s="31" t="inlineStr">
        <is>
          <t>Savita Oil Technologies Limited</t>
        </is>
      </c>
      <c r="E265" s="31" t="inlineStr">
        <is>
          <t>energy</t>
        </is>
      </c>
      <c r="F265" s="31" t="inlineStr">
        <is>
          <t>petrochemicals</t>
        </is>
      </c>
      <c r="G265" s="31" t="inlineStr">
        <is>
          <t>smallcap</t>
        </is>
      </c>
      <c r="H265" s="32" t="n">
        <v>3978.22</v>
      </c>
      <c r="I265" s="32" t="n">
        <v>580.25</v>
      </c>
      <c r="J265" s="32" t="n">
        <v>0</v>
      </c>
      <c r="K265" s="32" t="n">
        <v>128386</v>
      </c>
      <c r="L265" s="31" t="n">
        <v>82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65.51000000000001</v>
      </c>
      <c r="P265" s="32" t="n">
        <v>36.19</v>
      </c>
      <c r="Q265" s="32" t="n">
        <v>447.26</v>
      </c>
      <c r="R265" s="31" t="inlineStr">
        <is>
          <t>Near 52W High Breakout</t>
        </is>
      </c>
      <c r="S265" s="31" t="inlineStr">
        <is>
          <t>Nifty Energy</t>
        </is>
      </c>
      <c r="T265" s="32" t="n">
        <v>8.41</v>
      </c>
      <c r="U265" s="32" t="n">
        <v>39.93</v>
      </c>
      <c r="V265" s="32" t="n">
        <v>29.08</v>
      </c>
      <c r="W265" s="32" t="n">
        <v>21.2</v>
      </c>
      <c r="X265" s="31" t="inlineStr">
        <is>
          <t>Cyclical in an Upturn</t>
        </is>
      </c>
      <c r="Y265" s="31">
        <f>IF(X265="Growing Industry",10,IF(X265="Cyclical in an Upturn",5,0))</f>
        <v/>
      </c>
      <c r="Z265" s="31" t="inlineStr">
        <is>
          <t>Oligopoly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Yes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Cyclical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Volatile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20 to 40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Negative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Less than 1.5</t>
        </is>
      </c>
      <c r="BU265" s="31">
        <f>IF(BT265="Above 2",0,IF(BT265="Between 1.5 to 2",5,IF(BT265="Less than 1.5",10,0)))</f>
        <v/>
      </c>
      <c r="BV265" s="31" t="inlineStr">
        <is>
          <t>Between 50% to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IF(B266=0,"",RANK(B266,$B$2:$B$300,0))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GODREJIND</t>
        </is>
      </c>
      <c r="D266" s="31" t="inlineStr">
        <is>
          <t>Godrej Industries Limited</t>
        </is>
      </c>
      <c r="E266" s="31" t="inlineStr">
        <is>
          <t>chemicals</t>
        </is>
      </c>
      <c r="F266" s="31" t="inlineStr">
        <is>
          <t>chemicals</t>
        </is>
      </c>
      <c r="G266" s="31" t="inlineStr">
        <is>
          <t>largecap</t>
        </is>
      </c>
      <c r="H266" s="32" t="n">
        <v>44953.34</v>
      </c>
      <c r="I266" s="32" t="n">
        <v>1334.7</v>
      </c>
      <c r="J266" s="32" t="n">
        <v>-0.34</v>
      </c>
      <c r="K266" s="32" t="n">
        <v>132872</v>
      </c>
      <c r="L266" s="31" t="n">
        <v>64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64.65000000000001</v>
      </c>
      <c r="P266" s="32" t="n">
        <v>32.77</v>
      </c>
      <c r="Q266" s="32" t="n">
        <v>1092.9</v>
      </c>
      <c r="R266" s="31" t="inlineStr">
        <is>
          <t>Earnings / Momentum Support</t>
        </is>
      </c>
      <c r="S266" s="31" t="inlineStr">
        <is>
          <t>Nifty 50</t>
        </is>
      </c>
      <c r="T266" s="32" t="n">
        <v>-2.54</v>
      </c>
      <c r="U266" s="32" t="n">
        <v>15.59</v>
      </c>
      <c r="V266" s="32" t="n">
        <v>18.6</v>
      </c>
      <c r="W266" s="32" t="n">
        <v>13.34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Negative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More than 1.2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IF(B267=0,"",RANK(B267,$B$2:$B$300,0))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3" t="inlineStr">
        <is>
          <t>REDINGTON</t>
        </is>
      </c>
      <c r="D267" s="33" t="inlineStr">
        <is>
          <t>Redington (india) Limited</t>
        </is>
      </c>
      <c r="E267" s="31" t="inlineStr">
        <is>
          <t>services</t>
        </is>
      </c>
      <c r="F267" s="31" t="inlineStr">
        <is>
          <t>trading</t>
        </is>
      </c>
      <c r="G267" s="31" t="inlineStr">
        <is>
          <t>largecap</t>
        </is>
      </c>
      <c r="H267" s="32" t="n">
        <v>21502.71</v>
      </c>
      <c r="I267" s="32" t="n">
        <v>275.05</v>
      </c>
      <c r="J267" s="32" t="n">
        <v>-0.38</v>
      </c>
      <c r="K267" s="32" t="n">
        <v>1289125</v>
      </c>
      <c r="L267" s="31" t="n">
        <v>14</v>
      </c>
      <c r="M267" s="31" t="inlineStr">
        <is>
          <t>Underperforming</t>
        </is>
      </c>
      <c r="N267" s="32">
        <f>IF(M267="Underperforming",-5,IF(L267&gt;=95,15,IF(L267&gt;=90,10,IF(L267&gt;=80,5,0))))</f>
        <v/>
      </c>
      <c r="O267" s="32" t="n">
        <v>60.27</v>
      </c>
      <c r="P267" s="32" t="n">
        <v>19.52</v>
      </c>
      <c r="Q267" s="32" t="n">
        <v>215.11</v>
      </c>
      <c r="R267" s="31" t="inlineStr">
        <is>
          <t>Earnings / Momentum Support</t>
        </is>
      </c>
      <c r="S267" s="31" t="inlineStr">
        <is>
          <t>Nifty 50</t>
        </is>
      </c>
      <c r="T267" s="32" t="n">
        <v>-2.54</v>
      </c>
      <c r="U267" s="32" t="n">
        <v>-9.539999999999999</v>
      </c>
      <c r="V267" s="32" t="n">
        <v>-7.19</v>
      </c>
      <c r="W267" s="32" t="n">
        <v>2.63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0 to 20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Less than 12%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Less than 50%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IF(B268=0,"",RANK(B268,$B$2:$B$300,0))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3" t="inlineStr">
        <is>
          <t>UNOMINDA</t>
        </is>
      </c>
      <c r="D268" s="33" t="inlineStr">
        <is>
          <t>Uno Minda Ltd</t>
        </is>
      </c>
      <c r="E268" s="31" t="inlineStr">
        <is>
          <t>auto</t>
        </is>
      </c>
      <c r="F268" s="31" t="inlineStr">
        <is>
          <t>auto ancillaries</t>
        </is>
      </c>
      <c r="G268" s="31" t="inlineStr">
        <is>
          <t>largecap</t>
        </is>
      </c>
      <c r="H268" s="32" t="n">
        <v>66680.67</v>
      </c>
      <c r="I268" s="32" t="n">
        <v>1154.8</v>
      </c>
      <c r="J268" s="32" t="n">
        <v>0.37</v>
      </c>
      <c r="K268" s="32" t="n">
        <v>501204</v>
      </c>
      <c r="L268" s="31" t="n">
        <v>13</v>
      </c>
      <c r="M268" s="31" t="inlineStr">
        <is>
          <t>Underperforming</t>
        </is>
      </c>
      <c r="N268" s="32">
        <f>IF(M268="Underperforming",-5,IF(L268&gt;=95,15,IF(L268&gt;=90,10,IF(L268&gt;=80,5,0))))</f>
        <v/>
      </c>
      <c r="O268" s="32" t="n">
        <v>52.85</v>
      </c>
      <c r="P268" s="32" t="n">
        <v>15.31</v>
      </c>
      <c r="Q268" s="32" t="n">
        <v>941.05</v>
      </c>
      <c r="R268" s="31" t="inlineStr">
        <is>
          <t>Earnings / Momentum Support</t>
        </is>
      </c>
      <c r="S268" s="31" t="inlineStr">
        <is>
          <t>Nifty Auto</t>
        </is>
      </c>
      <c r="T268" s="32" t="n">
        <v>13.41</v>
      </c>
      <c r="U268" s="32" t="n">
        <v>6.28</v>
      </c>
      <c r="V268" s="32" t="n">
        <v>-6.29</v>
      </c>
      <c r="W268" s="32" t="n">
        <v>2.51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1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Yes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IF(B269=0,"",RANK(B269,$B$2:$B$300,0))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3" t="inlineStr">
        <is>
          <t>ULTRACEMCO</t>
        </is>
      </c>
      <c r="D269" s="33" t="inlineStr">
        <is>
          <t>Ultratech Cement Limited</t>
        </is>
      </c>
      <c r="E269" s="31" t="inlineStr">
        <is>
          <t>building materials</t>
        </is>
      </c>
      <c r="F269" s="31" t="inlineStr">
        <is>
          <t>cement - north india</t>
        </is>
      </c>
      <c r="G269" s="31" t="inlineStr">
        <is>
          <t>largecap</t>
        </is>
      </c>
      <c r="H269" s="32" t="n">
        <v>345570.26</v>
      </c>
      <c r="I269" s="32" t="n">
        <v>11727</v>
      </c>
      <c r="J269" s="32" t="n">
        <v>-0.37</v>
      </c>
      <c r="K269" s="32" t="n">
        <v>247044</v>
      </c>
      <c r="L269" s="31" t="n">
        <v>2</v>
      </c>
      <c r="M269" s="31" t="inlineStr">
        <is>
          <t>Underperforming</t>
        </is>
      </c>
      <c r="N269" s="32">
        <f>IF(M269="Underperforming",-5,IF(L269&gt;=95,15,IF(L269&gt;=90,10,IF(L269&gt;=80,5,0))))</f>
        <v/>
      </c>
      <c r="O269" s="32" t="n">
        <v>51.31</v>
      </c>
      <c r="P269" s="32" t="n">
        <v>13.31</v>
      </c>
      <c r="Q269" s="32" t="n">
        <v>10296.19</v>
      </c>
      <c r="R269" s="31" t="inlineStr">
        <is>
          <t>Earnings / Momentum Support</t>
        </is>
      </c>
      <c r="S269" s="31" t="inlineStr">
        <is>
          <t>Nifty Infra</t>
        </is>
      </c>
      <c r="T269" s="32" t="n">
        <v>1.74</v>
      </c>
      <c r="U269" s="32" t="n">
        <v>-5.57</v>
      </c>
      <c r="V269" s="32" t="n">
        <v>-7.19</v>
      </c>
      <c r="W269" s="32" t="n">
        <v>-1.4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Headwind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1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Less than 1.5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IF(B270=0,"",RANK(B270,$B$2:$B$300,0))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3" t="inlineStr">
        <is>
          <t>AUTOAXLES</t>
        </is>
      </c>
      <c r="D270" s="33" t="inlineStr">
        <is>
          <t>Automotive Axles Limited</t>
        </is>
      </c>
      <c r="E270" s="31" t="inlineStr">
        <is>
          <t>auto</t>
        </is>
      </c>
      <c r="F270" s="31" t="inlineStr">
        <is>
          <t>auto ancillaries</t>
        </is>
      </c>
      <c r="G270" s="31" t="inlineStr">
        <is>
          <t>smallcap</t>
        </is>
      </c>
      <c r="H270" s="32" t="n">
        <v>2752.04</v>
      </c>
      <c r="I270" s="32" t="n">
        <v>1821.1</v>
      </c>
      <c r="J270" s="32" t="n">
        <v>-0.91</v>
      </c>
      <c r="K270" s="32" t="n">
        <v>6509</v>
      </c>
      <c r="L270" s="31" t="n">
        <v>6</v>
      </c>
      <c r="M270" s="31" t="inlineStr">
        <is>
          <t>Underperforming</t>
        </is>
      </c>
      <c r="N270" s="32">
        <f>IF(M270="Underperforming",-5,IF(L270&gt;=95,15,IF(L270&gt;=90,10,IF(L270&gt;=80,5,0))))</f>
        <v/>
      </c>
      <c r="O270" s="32" t="n">
        <v>52.22</v>
      </c>
      <c r="P270" s="32" t="n">
        <v>7.39</v>
      </c>
      <c r="Q270" s="32" t="n">
        <v>1515.51</v>
      </c>
      <c r="R270" s="31" t="inlineStr">
        <is>
          <t>Earnings / Momentum Support</t>
        </is>
      </c>
      <c r="S270" s="31" t="inlineStr">
        <is>
          <t>Nifty Auto</t>
        </is>
      </c>
      <c r="T270" s="32" t="n">
        <v>13.41</v>
      </c>
      <c r="U270" s="32" t="n">
        <v>2.95</v>
      </c>
      <c r="V270" s="32" t="n">
        <v>-9.23</v>
      </c>
      <c r="W270" s="32" t="n">
        <v>0.18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Headwind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1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Between 12 to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Less than 1.5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IF(B271=0,"",RANK(B271,$B$2:$B$300,0))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3" t="inlineStr">
        <is>
          <t>SHREECEM</t>
        </is>
      </c>
      <c r="D271" s="33" t="inlineStr">
        <is>
          <t>Shree Cements Limited</t>
        </is>
      </c>
      <c r="E271" s="31" t="inlineStr">
        <is>
          <t>building materials</t>
        </is>
      </c>
      <c r="F271" s="31" t="inlineStr">
        <is>
          <t>cement - north india</t>
        </is>
      </c>
      <c r="G271" s="31" t="inlineStr">
        <is>
          <t>largecap</t>
        </is>
      </c>
      <c r="H271" s="32" t="n">
        <v>95668.10000000001</v>
      </c>
      <c r="I271" s="32" t="n">
        <v>26515</v>
      </c>
      <c r="J271" s="32" t="n">
        <v>-1.8</v>
      </c>
      <c r="K271" s="32" t="n">
        <v>12749</v>
      </c>
      <c r="L271" s="31" t="n">
        <v>2</v>
      </c>
      <c r="M271" s="31" t="inlineStr">
        <is>
          <t>Underperforming</t>
        </is>
      </c>
      <c r="N271" s="32">
        <f>IF(M271="Underperforming",-5,IF(L271&gt;=95,15,IF(L271&gt;=90,10,IF(L271&gt;=80,5,0))))</f>
        <v/>
      </c>
      <c r="O271" s="32" t="n">
        <v>55.66</v>
      </c>
      <c r="P271" s="32" t="n">
        <v>14.58</v>
      </c>
      <c r="Q271" s="32" t="n">
        <v>22797.68</v>
      </c>
      <c r="R271" s="31" t="inlineStr">
        <is>
          <t>Earnings / Momentum Support</t>
        </is>
      </c>
      <c r="S271" s="31" t="inlineStr">
        <is>
          <t>Nifty Infra</t>
        </is>
      </c>
      <c r="T271" s="32" t="n">
        <v>1.74</v>
      </c>
      <c r="U271" s="32" t="n">
        <v>-13.25</v>
      </c>
      <c r="V271" s="32" t="n">
        <v>-14.73</v>
      </c>
      <c r="W271" s="32" t="n">
        <v>-1.66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Headwind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Less than 12%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IF(B272=0,"",RANK(B272,$B$2:$B$300,0))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3" t="inlineStr">
        <is>
          <t>AJAXENGG</t>
        </is>
      </c>
      <c r="D272" s="33" t="inlineStr">
        <is>
          <t>Ajax Engineering Ltd</t>
        </is>
      </c>
      <c r="E272" s="31" t="inlineStr">
        <is>
          <t>industrials</t>
        </is>
      </c>
      <c r="F272" s="31" t="inlineStr">
        <is>
          <t>engineering</t>
        </is>
      </c>
      <c r="G272" s="31" t="inlineStr">
        <is>
          <t>midcap</t>
        </is>
      </c>
      <c r="H272" s="32" t="n">
        <v>6803.77</v>
      </c>
      <c r="I272" s="32" t="n">
        <v>594.7</v>
      </c>
      <c r="J272" s="32" t="n">
        <v>-2.68</v>
      </c>
      <c r="K272" s="32" t="n">
        <v>43538</v>
      </c>
      <c r="L272" s="31" t="n">
        <v>11</v>
      </c>
      <c r="M272" s="31" t="inlineStr">
        <is>
          <t>Underperforming</t>
        </is>
      </c>
      <c r="N272" s="32">
        <f>IF(M272="Underperforming",-5,IF(L272&gt;=95,15,IF(L272&gt;=90,10,IF(L272&gt;=80,5,0))))</f>
        <v/>
      </c>
      <c r="O272" s="32" t="n">
        <v>58.23</v>
      </c>
      <c r="P272" s="32" t="n">
        <v>9.85</v>
      </c>
      <c r="Q272" s="32" t="n">
        <v>458.08</v>
      </c>
      <c r="R272" s="31" t="inlineStr">
        <is>
          <t>Volume Spike / Accumulation</t>
        </is>
      </c>
      <c r="S272" s="31" t="inlineStr">
        <is>
          <t>Nifty Infra</t>
        </is>
      </c>
      <c r="T272" s="32" t="n">
        <v>1.74</v>
      </c>
      <c r="U272" s="32" t="n">
        <v>-15.07</v>
      </c>
      <c r="V272" s="32" t="n">
        <v>-16.52</v>
      </c>
      <c r="W272" s="32" t="n">
        <v>1.86</v>
      </c>
      <c r="X272" s="31" t="inlineStr">
        <is>
          <t>Cyclical in an Upturn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0 to 20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1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Less than 12%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IF(B273=0,"",RANK(B273,$B$2:$B$300,0))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3" t="inlineStr">
        <is>
          <t>JUBLPHARMA</t>
        </is>
      </c>
      <c r="D273" s="33" t="inlineStr">
        <is>
          <t>Jubilant Pharmova Ltd</t>
        </is>
      </c>
      <c r="E273" s="31" t="inlineStr">
        <is>
          <t>healthcare</t>
        </is>
      </c>
      <c r="F273" s="31" t="inlineStr">
        <is>
          <t>pharmaceuticals - indian - bulk drugs</t>
        </is>
      </c>
      <c r="G273" s="31" t="inlineStr">
        <is>
          <t>midcap</t>
        </is>
      </c>
      <c r="H273" s="32" t="n">
        <v>16288.09</v>
      </c>
      <c r="I273" s="32" t="n">
        <v>1022.6</v>
      </c>
      <c r="J273" s="32" t="n">
        <v>0.19</v>
      </c>
      <c r="K273" s="32" t="n">
        <v>106316</v>
      </c>
      <c r="L273" s="31" t="n">
        <v>4</v>
      </c>
      <c r="M273" s="31" t="inlineStr">
        <is>
          <t>Underperforming</t>
        </is>
      </c>
      <c r="N273" s="32">
        <f>IF(M273="Underperforming",-5,IF(L273&gt;=95,15,IF(L273&gt;=90,10,IF(L273&gt;=80,5,0))))</f>
        <v/>
      </c>
      <c r="O273" s="32" t="n">
        <v>58.68</v>
      </c>
      <c r="P273" s="32" t="n">
        <v>8.17</v>
      </c>
      <c r="Q273" s="32" t="n">
        <v>843.9400000000001</v>
      </c>
      <c r="R273" s="31" t="inlineStr">
        <is>
          <t>Volume Spike / Accumulation</t>
        </is>
      </c>
      <c r="S273" s="31" t="inlineStr">
        <is>
          <t>Nifty Pharma</t>
        </is>
      </c>
      <c r="T273" s="32" t="n">
        <v>13.51</v>
      </c>
      <c r="U273" s="32" t="n">
        <v>-16.64</v>
      </c>
      <c r="V273" s="32" t="n">
        <v>-26.56</v>
      </c>
      <c r="W273" s="32" t="n">
        <v>-0.7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Yes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Higher Annuity, Lower One Time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1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Less than 12%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IF(B274=0,"",RANK(B274,$B$2:$B$300,0))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3" t="inlineStr">
        <is>
          <t>RATNAVEER</t>
        </is>
      </c>
      <c r="D274" s="33" t="inlineStr">
        <is>
          <t>Ratnaveer Precision Engineering Ltd</t>
        </is>
      </c>
      <c r="E274" s="31" t="inlineStr">
        <is>
          <t>metals &amp; mining</t>
        </is>
      </c>
      <c r="F274" s="31" t="inlineStr">
        <is>
          <t>steel - medium / small</t>
        </is>
      </c>
      <c r="G274" s="31" t="inlineStr">
        <is>
          <t>smallcap</t>
        </is>
      </c>
      <c r="H274" s="32" t="n">
        <v>1290.39</v>
      </c>
      <c r="I274" s="32" t="n">
        <v>180.66</v>
      </c>
      <c r="J274" s="32" t="n">
        <v>2.92</v>
      </c>
      <c r="K274" s="32" t="n">
        <v>925451</v>
      </c>
      <c r="L274" s="31" t="n">
        <v>37</v>
      </c>
      <c r="M274" s="31" t="inlineStr">
        <is>
          <t>Underperforming</t>
        </is>
      </c>
      <c r="N274" s="32">
        <f>IF(M274="Underperforming",-5,IF(L274&gt;=95,15,IF(L274&gt;=90,10,IF(L274&gt;=80,5,0))))</f>
        <v/>
      </c>
      <c r="O274" s="32" t="n">
        <v>57.81</v>
      </c>
      <c r="P274" s="32" t="n">
        <v>49.53</v>
      </c>
      <c r="Q274" s="32" t="n">
        <v>134.61</v>
      </c>
      <c r="R274" s="31" t="inlineStr">
        <is>
          <t>Near 52W High Breakout</t>
        </is>
      </c>
      <c r="S274" s="31" t="inlineStr">
        <is>
          <t>Nifty Metal</t>
        </is>
      </c>
      <c r="T274" s="32" t="n">
        <v>31.49</v>
      </c>
      <c r="U274" s="32" t="n">
        <v>20.72</v>
      </c>
      <c r="V274" s="32" t="n">
        <v>-8.19</v>
      </c>
      <c r="W274" s="32" t="n">
        <v>7.17</v>
      </c>
      <c r="X274" s="31" t="inlineStr">
        <is>
          <t>Cyclical in an Upturn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Cyclical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Volatile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Yes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Above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Negative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Less than 1.5</t>
        </is>
      </c>
      <c r="BU274" s="31">
        <f>IF(BT274="Above 2",0,IF(BT274="Between 1.5 to 2",5,IF(BT274="Less than 1.5",10,0)))</f>
        <v/>
      </c>
      <c r="BV274" s="31" t="inlineStr">
        <is>
          <t>Negative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IF(B275=0,"",RANK(B275,$B$2:$B$300,0))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KROSS</t>
        </is>
      </c>
      <c r="D275" s="33" t="inlineStr">
        <is>
          <t>Kross Ltd</t>
        </is>
      </c>
      <c r="E275" s="31" t="inlineStr">
        <is>
          <t>auto</t>
        </is>
      </c>
      <c r="F275" s="31" t="inlineStr">
        <is>
          <t>auto ancillaries</t>
        </is>
      </c>
      <c r="G275" s="31" t="inlineStr">
        <is>
          <t>smallcap</t>
        </is>
      </c>
      <c r="H275" s="32" t="n">
        <v>1240.19</v>
      </c>
      <c r="I275" s="32" t="n">
        <v>192.25</v>
      </c>
      <c r="J275" s="32" t="n">
        <v>2.66</v>
      </c>
      <c r="K275" s="32" t="n">
        <v>711623</v>
      </c>
      <c r="L275" s="31" t="n">
        <v>5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51.75</v>
      </c>
      <c r="P275" s="32" t="n">
        <v>18.13</v>
      </c>
      <c r="Q275" s="32" t="n">
        <v>172.39</v>
      </c>
      <c r="R275" s="31" t="inlineStr">
        <is>
          <t>Earnings / Momentum Support</t>
        </is>
      </c>
      <c r="S275" s="31" t="inlineStr">
        <is>
          <t>Nifty Auto</t>
        </is>
      </c>
      <c r="T275" s="32" t="n">
        <v>13.41</v>
      </c>
      <c r="U275" s="32" t="n">
        <v>-0.02</v>
      </c>
      <c r="V275" s="32" t="n">
        <v>-11.84</v>
      </c>
      <c r="W275" s="32" t="n">
        <v>-0.08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Headwind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1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Less than 1.5</t>
        </is>
      </c>
      <c r="BU275" s="31">
        <f>IF(BT275="Above 2",0,IF(BT275="Between 1.5 to 2",5,IF(BT275="Less than 1.5",10,0)))</f>
        <v/>
      </c>
      <c r="BV275" s="31" t="inlineStr">
        <is>
          <t>Less than 50%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IF(B276=0,"",RANK(B276,$B$2:$B$300,0))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SUMEETINDS</t>
        </is>
      </c>
      <c r="D276" s="31" t="inlineStr">
        <is>
          <t>Sumeet Industries Limited</t>
        </is>
      </c>
      <c r="E276" s="31" t="inlineStr">
        <is>
          <t>textiles</t>
        </is>
      </c>
      <c r="F276" s="31" t="inlineStr">
        <is>
          <t>textiles - manmade</t>
        </is>
      </c>
      <c r="G276" s="31" t="inlineStr">
        <is>
          <t>smallcap</t>
        </is>
      </c>
      <c r="H276" s="32" t="n">
        <v>1788.45</v>
      </c>
      <c r="I276" s="32" t="n">
        <v>33.98</v>
      </c>
      <c r="J276" s="32" t="n">
        <v>2.16</v>
      </c>
      <c r="K276" s="32" t="n">
        <v>10375981</v>
      </c>
      <c r="L276" s="31" t="n">
        <v>51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62.17</v>
      </c>
      <c r="P276" s="32" t="n">
        <v>13.08</v>
      </c>
      <c r="Q276" s="32" t="n">
        <v>24.8</v>
      </c>
      <c r="R276" s="31" t="inlineStr">
        <is>
          <t>Volume Spike / Accumulation</t>
        </is>
      </c>
      <c r="S276" s="31" t="inlineStr">
        <is>
          <t>Nifty 50</t>
        </is>
      </c>
      <c r="T276" s="32" t="n">
        <v>-2.54</v>
      </c>
      <c r="U276" s="32" t="n">
        <v>31.04</v>
      </c>
      <c r="V276" s="32" t="n">
        <v>34.45</v>
      </c>
      <c r="W276" s="32" t="n">
        <v>9.93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Yes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Less than 12%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Negative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Between 0.7 to 1.2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IF(B277=0,"",RANK(B277,$B$2:$B$300,0))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3" t="inlineStr">
        <is>
          <t>DDEVPLSTIK</t>
        </is>
      </c>
      <c r="D277" s="33" t="inlineStr">
        <is>
          <t>DDev Plastiks Industries Ltd</t>
        </is>
      </c>
      <c r="E277" s="31" t="inlineStr">
        <is>
          <t>chemicals</t>
        </is>
      </c>
      <c r="F277" s="31" t="inlineStr">
        <is>
          <t>chemicals</t>
        </is>
      </c>
      <c r="G277" s="31" t="inlineStr">
        <is>
          <t>smallcap</t>
        </is>
      </c>
      <c r="H277" s="32" t="n">
        <v>2985.82</v>
      </c>
      <c r="I277" s="32" t="n">
        <v>288.55</v>
      </c>
      <c r="J277" s="32" t="n">
        <v>0.54</v>
      </c>
      <c r="K277" s="32" t="n">
        <v>73153</v>
      </c>
      <c r="L277" s="31" t="n">
        <v>12</v>
      </c>
      <c r="M277" s="31" t="inlineStr">
        <is>
          <t>Underperforming</t>
        </is>
      </c>
      <c r="N277" s="32">
        <f>IF(M277="Underperforming",-5,IF(L277&gt;=95,15,IF(L277&gt;=90,10,IF(L277&gt;=80,5,0))))</f>
        <v/>
      </c>
      <c r="O277" s="32" t="n">
        <v>59.67</v>
      </c>
      <c r="P277" s="32" t="n">
        <v>14.69</v>
      </c>
      <c r="Q277" s="32" t="n">
        <v>221.24</v>
      </c>
      <c r="R277" s="31" t="inlineStr">
        <is>
          <t>Earnings / Momentum Support</t>
        </is>
      </c>
      <c r="S277" s="31" t="inlineStr">
        <is>
          <t>Nifty 50</t>
        </is>
      </c>
      <c r="T277" s="32" t="n">
        <v>-2.54</v>
      </c>
      <c r="U277" s="32" t="n">
        <v>-10</v>
      </c>
      <c r="V277" s="32" t="n">
        <v>-7.65</v>
      </c>
      <c r="W277" s="32" t="n">
        <v>2.13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Headwind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Less than 12%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Less than 50%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IF(B278=0,"",RANK(B278,$B$2:$B$300,0))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SBC</t>
        </is>
      </c>
      <c r="D278" s="31" t="inlineStr">
        <is>
          <t>SBC Exports Ltd</t>
        </is>
      </c>
      <c r="E278" s="31" t="inlineStr">
        <is>
          <t>textiles</t>
        </is>
      </c>
      <c r="F278" s="31" t="inlineStr">
        <is>
          <t>textiles - products</t>
        </is>
      </c>
      <c r="G278" s="31" t="inlineStr">
        <is>
          <t>smallcap</t>
        </is>
      </c>
      <c r="H278" s="32" t="n">
        <v>2012.86</v>
      </c>
      <c r="I278" s="32" t="n">
        <v>42.27</v>
      </c>
      <c r="J278" s="32" t="n">
        <v>0.09</v>
      </c>
      <c r="K278" s="32" t="n">
        <v>8531196</v>
      </c>
      <c r="L278" s="31" t="n">
        <v>87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73.17</v>
      </c>
      <c r="P278" s="32" t="n">
        <v>38.71</v>
      </c>
      <c r="Q278" s="32" t="n">
        <v>36.42</v>
      </c>
      <c r="R278" s="31" t="inlineStr">
        <is>
          <t>Near 52W High Breakout</t>
        </is>
      </c>
      <c r="S278" s="31" t="inlineStr">
        <is>
          <t>Nifty 50</t>
        </is>
      </c>
      <c r="T278" s="32" t="n">
        <v>-2.54</v>
      </c>
      <c r="U278" s="32" t="n">
        <v>156.34</v>
      </c>
      <c r="V278" s="32" t="n">
        <v>163.02</v>
      </c>
      <c r="W278" s="32" t="n">
        <v>27.09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20 to 40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Negative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Blue sky scenario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Between 1.5 to 2</t>
        </is>
      </c>
      <c r="BU278" s="31">
        <f>IF(BT278="Above 2",0,IF(BT278="Between 1.5 to 2",5,IF(BT278="Less than 1.5",10,0)))</f>
        <v/>
      </c>
      <c r="BV278" s="31" t="inlineStr">
        <is>
          <t>Negative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More than 1.2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IF(B279=0,"",RANK(B279,$B$2:$B$300,0))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3" t="inlineStr">
        <is>
          <t>DEEPAKNTR</t>
        </is>
      </c>
      <c r="D279" s="33" t="inlineStr">
        <is>
          <t>Deepak Nitrite Limited</t>
        </is>
      </c>
      <c r="E279" s="31" t="inlineStr">
        <is>
          <t>chemicals</t>
        </is>
      </c>
      <c r="F279" s="31" t="inlineStr">
        <is>
          <t>chemicals</t>
        </is>
      </c>
      <c r="G279" s="31" t="inlineStr">
        <is>
          <t>largecap</t>
        </is>
      </c>
      <c r="H279" s="32" t="n">
        <v>23295.93</v>
      </c>
      <c r="I279" s="32" t="n">
        <v>1708</v>
      </c>
      <c r="J279" s="32" t="n">
        <v>-1.94</v>
      </c>
      <c r="K279" s="32" t="n">
        <v>153400</v>
      </c>
      <c r="L279" s="31" t="n">
        <v>6</v>
      </c>
      <c r="M279" s="31" t="inlineStr">
        <is>
          <t>Underperforming</t>
        </is>
      </c>
      <c r="N279" s="32">
        <f>IF(M279="Underperforming",-5,IF(L279&gt;=95,15,IF(L279&gt;=90,10,IF(L279&gt;=80,5,0))))</f>
        <v/>
      </c>
      <c r="O279" s="32" t="n">
        <v>54.07</v>
      </c>
      <c r="P279" s="32" t="n">
        <v>12.87</v>
      </c>
      <c r="Q279" s="32" t="n">
        <v>1539.54</v>
      </c>
      <c r="R279" s="31" t="inlineStr">
        <is>
          <t>Volume Spike / Accumulation</t>
        </is>
      </c>
      <c r="S279" s="31" t="inlineStr">
        <is>
          <t>Nifty 50</t>
        </is>
      </c>
      <c r="T279" s="32" t="n">
        <v>-2.54</v>
      </c>
      <c r="U279" s="32" t="n">
        <v>-12</v>
      </c>
      <c r="V279" s="32" t="n">
        <v>-9.699999999999999</v>
      </c>
      <c r="W279" s="32" t="n">
        <v>0.02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1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Between 50% to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IF(B280=0,"",RANK(B280,$B$2:$B$300,0))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3" t="inlineStr">
        <is>
          <t>RAJRATAN</t>
        </is>
      </c>
      <c r="D280" s="33" t="inlineStr">
        <is>
          <t>Rajratan Global Wire Ltd</t>
        </is>
      </c>
      <c r="E280" s="31" t="inlineStr">
        <is>
          <t>metals &amp; mining</t>
        </is>
      </c>
      <c r="F280" s="31" t="inlineStr">
        <is>
          <t>steel - medium / small</t>
        </is>
      </c>
      <c r="G280" s="31" t="inlineStr">
        <is>
          <t>smallcap</t>
        </is>
      </c>
      <c r="H280" s="32" t="n">
        <v>2466.71</v>
      </c>
      <c r="I280" s="32" t="n">
        <v>485.85</v>
      </c>
      <c r="J280" s="32" t="n">
        <v>-2.03</v>
      </c>
      <c r="K280" s="32" t="n">
        <v>126970</v>
      </c>
      <c r="L280" s="31" t="n">
        <v>49</v>
      </c>
      <c r="M280" s="31" t="inlineStr">
        <is>
          <t>Underperforming</t>
        </is>
      </c>
      <c r="N280" s="32">
        <f>IF(M280="Underperforming",-5,IF(L280&gt;=95,15,IF(L280&gt;=90,10,IF(L280&gt;=80,5,0))))</f>
        <v/>
      </c>
      <c r="O280" s="32" t="n">
        <v>61.24</v>
      </c>
      <c r="P280" s="32" t="n">
        <v>9.9</v>
      </c>
      <c r="Q280" s="32" t="n">
        <v>359.87</v>
      </c>
      <c r="R280" s="31" t="inlineStr">
        <is>
          <t>Volume Spike / Accumulation</t>
        </is>
      </c>
      <c r="S280" s="31" t="inlineStr">
        <is>
          <t>Nifty Metal</t>
        </is>
      </c>
      <c r="T280" s="32" t="n">
        <v>31.49</v>
      </c>
      <c r="U280" s="32" t="n">
        <v>16.62</v>
      </c>
      <c r="V280" s="32" t="n">
        <v>-11.31</v>
      </c>
      <c r="W280" s="32" t="n">
        <v>9.619999999999999</v>
      </c>
      <c r="X280" s="31" t="inlineStr">
        <is>
          <t>Cyclical in an Upturn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Cyclical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Volatile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Yes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Less than 12%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Between 50% to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IF(B281=0,"",RANK(B281,$B$2:$B$300,0))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INDIACEM</t>
        </is>
      </c>
      <c r="D281" s="31" t="inlineStr">
        <is>
          <t>The India Cements Limited</t>
        </is>
      </c>
      <c r="E281" s="31" t="inlineStr">
        <is>
          <t>building materials</t>
        </is>
      </c>
      <c r="F281" s="31" t="inlineStr">
        <is>
          <t>cement - south india</t>
        </is>
      </c>
      <c r="G281" s="31" t="inlineStr">
        <is>
          <t>midcap</t>
        </is>
      </c>
      <c r="H281" s="32" t="n">
        <v>12715.08</v>
      </c>
      <c r="I281" s="32" t="n">
        <v>410.3</v>
      </c>
      <c r="J281" s="32" t="n">
        <v>3.13</v>
      </c>
      <c r="K281" s="32" t="n">
        <v>1173676</v>
      </c>
      <c r="L281" s="31" t="n">
        <v>19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55.08</v>
      </c>
      <c r="P281" s="32" t="n">
        <v>18.62</v>
      </c>
      <c r="Q281" s="32" t="n">
        <v>328.12</v>
      </c>
      <c r="R281" s="31" t="inlineStr">
        <is>
          <t>Volume Spike / Accumulation</t>
        </is>
      </c>
      <c r="S281" s="31" t="inlineStr">
        <is>
          <t>Nifty Infra</t>
        </is>
      </c>
      <c r="T281" s="32" t="n">
        <v>1.74</v>
      </c>
      <c r="U281" s="32" t="n">
        <v>18.21</v>
      </c>
      <c r="V281" s="32" t="n">
        <v>16.19</v>
      </c>
      <c r="W281" s="32" t="n">
        <v>3.86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Headwind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Yes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1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No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Negative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IF(B282=0,"",RANK(B282,$B$2:$B$300,0))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EICHERMOT</t>
        </is>
      </c>
      <c r="D282" s="31" t="inlineStr">
        <is>
          <t>Eicher Motors Limited</t>
        </is>
      </c>
      <c r="E282" s="31" t="inlineStr">
        <is>
          <t>auto</t>
        </is>
      </c>
      <c r="F282" s="31" t="inlineStr">
        <is>
          <t>automobiles - motorcycles / mopeds</t>
        </is>
      </c>
      <c r="G282" s="31" t="inlineStr">
        <is>
          <t>largecap</t>
        </is>
      </c>
      <c r="H282" s="32" t="n">
        <v>207477.55</v>
      </c>
      <c r="I282" s="32" t="n">
        <v>7563.5</v>
      </c>
      <c r="J282" s="32" t="n">
        <v>1.95</v>
      </c>
      <c r="K282" s="32" t="n">
        <v>489811</v>
      </c>
      <c r="L282" s="31" t="n">
        <v>41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56.86</v>
      </c>
      <c r="P282" s="32" t="n">
        <v>7.31</v>
      </c>
      <c r="Q282" s="32" t="n">
        <v>6379.64</v>
      </c>
      <c r="R282" s="31" t="inlineStr">
        <is>
          <t>Earnings / Momentum Support</t>
        </is>
      </c>
      <c r="S282" s="31" t="inlineStr">
        <is>
          <t>Nifty Auto</t>
        </is>
      </c>
      <c r="T282" s="32" t="n">
        <v>13.41</v>
      </c>
      <c r="U282" s="32" t="n">
        <v>36.15</v>
      </c>
      <c r="V282" s="32" t="n">
        <v>20.04</v>
      </c>
      <c r="W282" s="32" t="n">
        <v>7.86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Negative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Less than 12%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IF(B283=0,"",RANK(B283,$B$2:$B$300,0))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SGIL</t>
        </is>
      </c>
      <c r="D283" s="31" t="inlineStr">
        <is>
          <t>Synergy Green Industries Ltd</t>
        </is>
      </c>
      <c r="E283" s="31" t="inlineStr">
        <is>
          <t>industrials</t>
        </is>
      </c>
      <c r="F283" s="31" t="inlineStr">
        <is>
          <t>castings &amp; forgings</t>
        </is>
      </c>
      <c r="G283" s="31" t="inlineStr">
        <is>
          <t>smallcap</t>
        </is>
      </c>
      <c r="H283" s="32" t="n">
        <v>925.4299999999999</v>
      </c>
      <c r="I283" s="32" t="n">
        <v>595.4</v>
      </c>
      <c r="J283" s="32" t="n">
        <v>-0.38</v>
      </c>
      <c r="K283" s="32" t="n">
        <v>4354</v>
      </c>
      <c r="L283" s="31" t="n">
        <v>28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58.96</v>
      </c>
      <c r="P283" s="32" t="n">
        <v>17.66</v>
      </c>
      <c r="Q283" s="32" t="n">
        <v>450.53</v>
      </c>
      <c r="R283" s="31" t="inlineStr">
        <is>
          <t>Near 52W High Breakout</t>
        </is>
      </c>
      <c r="S283" s="31" t="inlineStr">
        <is>
          <t>Nifty Infra</t>
        </is>
      </c>
      <c r="T283" s="32" t="n">
        <v>1.74</v>
      </c>
      <c r="U283" s="32" t="n">
        <v>11.73</v>
      </c>
      <c r="V283" s="32" t="n">
        <v>9.81</v>
      </c>
      <c r="W283" s="32" t="n">
        <v>5.57</v>
      </c>
      <c r="X283" s="31" t="inlineStr">
        <is>
          <t>Cyclical in an Upturn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Blue sky scenario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Less than 12%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Less than 50% and Borrowings are increasing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More than 1.2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IF(B284=0,"",RANK(B284,$B$2:$B$300,0))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3" t="inlineStr">
        <is>
          <t>GRAVITA</t>
        </is>
      </c>
      <c r="D284" s="33" t="inlineStr">
        <is>
          <t>Gravita India Limited</t>
        </is>
      </c>
      <c r="E284" s="31" t="inlineStr">
        <is>
          <t>metals &amp; mining</t>
        </is>
      </c>
      <c r="F284" s="31" t="inlineStr">
        <is>
          <t>mining / minerals / metals</t>
        </is>
      </c>
      <c r="G284" s="31" t="inlineStr">
        <is>
          <t>midcap</t>
        </is>
      </c>
      <c r="H284" s="32" t="n">
        <v>13419.85</v>
      </c>
      <c r="I284" s="32" t="n">
        <v>1818.2</v>
      </c>
      <c r="J284" s="32" t="n">
        <v>-0.62</v>
      </c>
      <c r="K284" s="32" t="n">
        <v>211437</v>
      </c>
      <c r="L284" s="31" t="n">
        <v>17</v>
      </c>
      <c r="M284" s="31" t="inlineStr">
        <is>
          <t>Underperforming</t>
        </is>
      </c>
      <c r="N284" s="32">
        <f>IF(M284="Underperforming",-5,IF(L284&gt;=95,15,IF(L284&gt;=90,10,IF(L284&gt;=80,5,0))))</f>
        <v/>
      </c>
      <c r="O284" s="32" t="n">
        <v>58.62</v>
      </c>
      <c r="P284" s="32" t="n">
        <v>14.95</v>
      </c>
      <c r="Q284" s="32" t="n">
        <v>1451.71</v>
      </c>
      <c r="R284" s="31" t="inlineStr">
        <is>
          <t>Near 52W High Breakout</t>
        </is>
      </c>
      <c r="S284" s="31" t="inlineStr">
        <is>
          <t>Nifty Metal</t>
        </is>
      </c>
      <c r="T284" s="32" t="n">
        <v>31.49</v>
      </c>
      <c r="U284" s="32" t="n">
        <v>5.54</v>
      </c>
      <c r="V284" s="32" t="n">
        <v>-19.73</v>
      </c>
      <c r="W284" s="32" t="n">
        <v>3.44</v>
      </c>
      <c r="X284" s="31" t="inlineStr">
        <is>
          <t>Cyclical in an Upturn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Cyclical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Volatile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Less than 12%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Less than 50%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IF(B285=0,"",RANK(B285,$B$2:$B$300,0))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PTCIL</t>
        </is>
      </c>
      <c r="D285" s="31" t="inlineStr">
        <is>
          <t>PTC Industries Ltd</t>
        </is>
      </c>
      <c r="E285" s="31" t="inlineStr">
        <is>
          <t>industrials</t>
        </is>
      </c>
      <c r="F285" s="31" t="inlineStr">
        <is>
          <t>castings &amp; forgings</t>
        </is>
      </c>
      <c r="G285" s="31" t="inlineStr">
        <is>
          <t>largecap</t>
        </is>
      </c>
      <c r="H285" s="32" t="n">
        <v>26898.13</v>
      </c>
      <c r="I285" s="32" t="n">
        <v>17941</v>
      </c>
      <c r="J285" s="32" t="n">
        <v>2.21</v>
      </c>
      <c r="K285" s="32" t="n">
        <v>36937</v>
      </c>
      <c r="L285" s="31" t="n">
        <v>40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55.57</v>
      </c>
      <c r="P285" s="32" t="n">
        <v>14.58</v>
      </c>
      <c r="Q285" s="32" t="n">
        <v>14640.72</v>
      </c>
      <c r="R285" s="31" t="inlineStr">
        <is>
          <t>Near 52W High Breakout</t>
        </is>
      </c>
      <c r="S285" s="31" t="inlineStr">
        <is>
          <t>Nifty 50</t>
        </is>
      </c>
      <c r="T285" s="32" t="n">
        <v>-2.54</v>
      </c>
      <c r="U285" s="32" t="n">
        <v>23.75</v>
      </c>
      <c r="V285" s="32" t="n">
        <v>26.97</v>
      </c>
      <c r="W285" s="32" t="n">
        <v>7.74</v>
      </c>
      <c r="X285" s="31" t="inlineStr">
        <is>
          <t>Cyclical in an Upturn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Yes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0 to 20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Negative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Blue sky scenario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Negative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IF(B286=0,"",RANK(B286,$B$2:$B$300,0))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TVSMOTOR</t>
        </is>
      </c>
      <c r="D286" s="31" t="inlineStr">
        <is>
          <t>Tvs Motor Company Limited</t>
        </is>
      </c>
      <c r="E286" s="31" t="inlineStr">
        <is>
          <t>auto</t>
        </is>
      </c>
      <c r="F286" s="31" t="inlineStr">
        <is>
          <t>automobiles - motorcycles / mopeds</t>
        </is>
      </c>
      <c r="G286" s="31" t="inlineStr">
        <is>
          <t>largecap</t>
        </is>
      </c>
      <c r="H286" s="32" t="n">
        <v>171896.02</v>
      </c>
      <c r="I286" s="32" t="n">
        <v>3618.2</v>
      </c>
      <c r="J286" s="32" t="n">
        <v>1.54</v>
      </c>
      <c r="K286" s="32" t="n">
        <v>825661</v>
      </c>
      <c r="L286" s="31" t="n">
        <v>24</v>
      </c>
      <c r="M286" s="31" t="inlineStr">
        <is>
          <t>Outperforming</t>
        </is>
      </c>
      <c r="N286" s="32">
        <f>IF(M286="Underperforming",-5,IF(L286&gt;=95,15,IF(L286&gt;=90,10,IF(L286&gt;=80,5,0))))</f>
        <v/>
      </c>
      <c r="O286" s="32" t="n">
        <v>53.71</v>
      </c>
      <c r="P286" s="32" t="n">
        <v>9.19</v>
      </c>
      <c r="Q286" s="32" t="n">
        <v>3099.94</v>
      </c>
      <c r="R286" s="31" t="inlineStr">
        <is>
          <t>Earnings / Momentum Support</t>
        </is>
      </c>
      <c r="S286" s="31" t="inlineStr">
        <is>
          <t>Nifty Auto</t>
        </is>
      </c>
      <c r="T286" s="32" t="n">
        <v>13.41</v>
      </c>
      <c r="U286" s="32" t="n">
        <v>27.43</v>
      </c>
      <c r="V286" s="32" t="n">
        <v>12.36</v>
      </c>
      <c r="W286" s="32" t="n">
        <v>4.91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Between 12 to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Yes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Less than 50% and Borrowings are increasing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More than 1.2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IF(B287=0,"",RANK(B287,$B$2:$B$300,0))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3" t="inlineStr">
        <is>
          <t>OPTIEMUS</t>
        </is>
      </c>
      <c r="D287" s="33" t="inlineStr">
        <is>
          <t>Optiemus Infracom Ltd</t>
        </is>
      </c>
      <c r="E287" s="31" t="inlineStr">
        <is>
          <t>telecom</t>
        </is>
      </c>
      <c r="F287" s="31" t="inlineStr">
        <is>
          <t>trading</t>
        </is>
      </c>
      <c r="G287" s="31" t="inlineStr">
        <is>
          <t>midcap</t>
        </is>
      </c>
      <c r="H287" s="32" t="n">
        <v>5223.33</v>
      </c>
      <c r="I287" s="32" t="n">
        <v>588.95</v>
      </c>
      <c r="J287" s="32" t="n">
        <v>0.98</v>
      </c>
      <c r="K287" s="32" t="n">
        <v>260640</v>
      </c>
      <c r="L287" s="31" t="n">
        <v>52</v>
      </c>
      <c r="M287" s="31" t="inlineStr">
        <is>
          <t>Underperforming</t>
        </is>
      </c>
      <c r="N287" s="32">
        <f>IF(M287="Underperforming",-5,IF(L287&gt;=95,15,IF(L287&gt;=90,10,IF(L287&gt;=80,5,0))))</f>
        <v/>
      </c>
      <c r="O287" s="32" t="n">
        <v>67.63</v>
      </c>
      <c r="P287" s="32" t="n">
        <v>17.06</v>
      </c>
      <c r="Q287" s="32" t="n">
        <v>437.4</v>
      </c>
      <c r="R287" s="31" t="inlineStr">
        <is>
          <t>Earnings / Momentum Support</t>
        </is>
      </c>
      <c r="S287" s="31" t="inlineStr">
        <is>
          <t>Nifty 50</t>
        </is>
      </c>
      <c r="T287" s="32" t="n">
        <v>-2.54</v>
      </c>
      <c r="U287" s="32" t="n">
        <v>-3.05</v>
      </c>
      <c r="V287" s="32" t="n">
        <v>-0.52</v>
      </c>
      <c r="W287" s="32" t="n">
        <v>10.31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Oligopoly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Yes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Less than 12%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Negative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IF(B288=0,"",RANK(B288,$B$2:$B$300,0))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SIEMENS</t>
        </is>
      </c>
      <c r="D288" s="31" t="inlineStr">
        <is>
          <t>Siemens Limited</t>
        </is>
      </c>
      <c r="E288" s="31" t="inlineStr">
        <is>
          <t>industrials</t>
        </is>
      </c>
      <c r="F288" s="31" t="inlineStr">
        <is>
          <t>electric equipment</t>
        </is>
      </c>
      <c r="G288" s="31" t="inlineStr">
        <is>
          <t>largecap</t>
        </is>
      </c>
      <c r="H288" s="32" t="n">
        <v>130297.37</v>
      </c>
      <c r="I288" s="32" t="n">
        <v>3658.8</v>
      </c>
      <c r="J288" s="32" t="n">
        <v>0.03</v>
      </c>
      <c r="K288" s="32" t="n">
        <v>339615</v>
      </c>
      <c r="L288" s="31" t="n">
        <v>18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55.47</v>
      </c>
      <c r="P288" s="32" t="n">
        <v>26.15</v>
      </c>
      <c r="Q288" s="32" t="n">
        <v>3103.95</v>
      </c>
      <c r="R288" s="31" t="inlineStr">
        <is>
          <t>Near 52W High Breakout</t>
        </is>
      </c>
      <c r="S288" s="31" t="inlineStr">
        <is>
          <t>Nifty 50</t>
        </is>
      </c>
      <c r="T288" s="32" t="n">
        <v>-2.54</v>
      </c>
      <c r="U288" s="32" t="n">
        <v>16.95</v>
      </c>
      <c r="V288" s="32" t="n">
        <v>20</v>
      </c>
      <c r="W288" s="32" t="n">
        <v>3.53</v>
      </c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Negative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Less than 12%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Negative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IF(B289=0,"",RANK(B289,$B$2:$B$300,0))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3" t="inlineStr">
        <is>
          <t>PNGJL</t>
        </is>
      </c>
      <c r="D289" s="33" t="inlineStr">
        <is>
          <t>P N Gadgil Jewellers Ltd</t>
        </is>
      </c>
      <c r="E289" s="31" t="inlineStr">
        <is>
          <t>consumer discretionary</t>
        </is>
      </c>
      <c r="F289" s="31" t="inlineStr">
        <is>
          <t>diamond cutting / jewellery</t>
        </is>
      </c>
      <c r="G289" s="31" t="inlineStr">
        <is>
          <t>midcap</t>
        </is>
      </c>
      <c r="H289" s="32" t="n">
        <v>8030.54</v>
      </c>
      <c r="I289" s="32" t="n">
        <v>591.75</v>
      </c>
      <c r="J289" s="32" t="n">
        <v>-0.55</v>
      </c>
      <c r="K289" s="32" t="n">
        <v>130571</v>
      </c>
      <c r="L289" s="31" t="n">
        <v>1</v>
      </c>
      <c r="M289" s="31" t="inlineStr">
        <is>
          <t>Underperforming</t>
        </is>
      </c>
      <c r="N289" s="32">
        <f>IF(M289="Underperforming",-5,IF(L289&gt;=95,15,IF(L289&gt;=90,10,IF(L289&gt;=80,5,0))))</f>
        <v/>
      </c>
      <c r="O289" s="32" t="n">
        <v>51.06</v>
      </c>
      <c r="P289" s="32" t="n">
        <v>12.24</v>
      </c>
      <c r="Q289" s="32" t="n">
        <v>582.54</v>
      </c>
      <c r="R289" s="31" t="inlineStr">
        <is>
          <t>Earnings / Momentum Support</t>
        </is>
      </c>
      <c r="S289" s="31" t="inlineStr">
        <is>
          <t>Nifty 50</t>
        </is>
      </c>
      <c r="T289" s="32" t="n">
        <v>-2.54</v>
      </c>
      <c r="U289" s="32" t="n">
        <v>-3.21</v>
      </c>
      <c r="V289" s="32" t="n">
        <v>-0.68</v>
      </c>
      <c r="W289" s="32" t="n">
        <v>-2.46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1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Less than 1.5</t>
        </is>
      </c>
      <c r="BU289" s="31">
        <f>IF(BT289="Above 2",0,IF(BT289="Between 1.5 to 2",5,IF(BT289="Less than 1.5",10,0)))</f>
        <v/>
      </c>
      <c r="BV289" s="31" t="inlineStr">
        <is>
          <t>Negative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Between 0.7 to 1.2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IF(B290=0,"",RANK(B290,$B$2:$B$300,0))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3" t="inlineStr">
        <is>
          <t>ETHOSLTD</t>
        </is>
      </c>
      <c r="D290" s="33" t="inlineStr">
        <is>
          <t>Ethos Ltd</t>
        </is>
      </c>
      <c r="E290" s="31" t="inlineStr">
        <is>
          <t>consumer discretionary</t>
        </is>
      </c>
      <c r="F290" s="31" t="inlineStr">
        <is>
          <t>trading</t>
        </is>
      </c>
      <c r="G290" s="31" t="inlineStr">
        <is>
          <t>midcap</t>
        </is>
      </c>
      <c r="H290" s="32" t="n">
        <v>7125.84</v>
      </c>
      <c r="I290" s="32" t="n">
        <v>2663.1</v>
      </c>
      <c r="J290" s="32" t="n">
        <v>1.13</v>
      </c>
      <c r="K290" s="32" t="n">
        <v>19093</v>
      </c>
      <c r="L290" s="31" t="n">
        <v>9</v>
      </c>
      <c r="M290" s="31" t="inlineStr">
        <is>
          <t>Underperforming</t>
        </is>
      </c>
      <c r="N290" s="32">
        <f>IF(M290="Underperforming",-5,IF(L290&gt;=95,15,IF(L290&gt;=90,10,IF(L290&gt;=80,5,0))))</f>
        <v/>
      </c>
      <c r="O290" s="32" t="n">
        <v>58.05</v>
      </c>
      <c r="P290" s="32" t="n">
        <v>7.85</v>
      </c>
      <c r="Q290" s="32" t="n">
        <v>2043.94</v>
      </c>
      <c r="R290" s="31" t="inlineStr">
        <is>
          <t>Earnings / Momentum Support</t>
        </is>
      </c>
      <c r="S290" s="31" t="inlineStr">
        <is>
          <t>Nifty 50</t>
        </is>
      </c>
      <c r="T290" s="32" t="n">
        <v>-2.54</v>
      </c>
      <c r="U290" s="32" t="n">
        <v>-5.88</v>
      </c>
      <c r="V290" s="32" t="n">
        <v>-3.42</v>
      </c>
      <c r="W290" s="32" t="n">
        <v>1.26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1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Less than 12%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Yes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Less than 50%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IF(B291=0,"",RANK(B291,$B$2:$B$300,0))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3" t="inlineStr">
        <is>
          <t>KOLTEPATIL</t>
        </is>
      </c>
      <c r="D291" s="33" t="inlineStr">
        <is>
          <t>Kolte - Patil Developers Limited</t>
        </is>
      </c>
      <c r="E291" s="31" t="inlineStr">
        <is>
          <t>realty</t>
        </is>
      </c>
      <c r="F291" s="31" t="inlineStr">
        <is>
          <t>construction</t>
        </is>
      </c>
      <c r="G291" s="31" t="inlineStr">
        <is>
          <t>smallcap</t>
        </is>
      </c>
      <c r="H291" s="32" t="n">
        <v>3435.91</v>
      </c>
      <c r="I291" s="32" t="n">
        <v>387.45</v>
      </c>
      <c r="J291" s="32" t="n">
        <v>0.87</v>
      </c>
      <c r="K291" s="32" t="n">
        <v>72486</v>
      </c>
      <c r="L291" s="31" t="n">
        <v>2</v>
      </c>
      <c r="M291" s="31" t="inlineStr">
        <is>
          <t>Underperforming</t>
        </is>
      </c>
      <c r="N291" s="32">
        <f>IF(M291="Underperforming",-5,IF(L291&gt;=95,15,IF(L291&gt;=90,10,IF(L291&gt;=80,5,0))))</f>
        <v/>
      </c>
      <c r="O291" s="32" t="n">
        <v>55.57</v>
      </c>
      <c r="P291" s="32" t="n">
        <v>9.779999999999999</v>
      </c>
      <c r="Q291" s="32" t="n">
        <v>310.16</v>
      </c>
      <c r="R291" s="31" t="inlineStr">
        <is>
          <t>Volume Spike / Accumulation</t>
        </is>
      </c>
      <c r="S291" s="31" t="inlineStr">
        <is>
          <t>Nifty Realty</t>
        </is>
      </c>
      <c r="T291" s="32" t="n">
        <v>-8.119999999999999</v>
      </c>
      <c r="U291" s="32" t="n">
        <v>-13.52</v>
      </c>
      <c r="V291" s="32" t="n">
        <v>-5.87</v>
      </c>
      <c r="W291" s="32" t="n">
        <v>-1.43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Yes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1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Negative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Between 0.7 to 1.2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IF(B292=0,"",RANK(B292,$B$2:$B$300,0))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MRPL</t>
        </is>
      </c>
      <c r="D292" s="31" t="inlineStr">
        <is>
          <t>Mangalore Refinery And Petrochemicals Limited</t>
        </is>
      </c>
      <c r="E292" s="31" t="inlineStr">
        <is>
          <t>energy</t>
        </is>
      </c>
      <c r="F292" s="31" t="inlineStr">
        <is>
          <t>refineries</t>
        </is>
      </c>
      <c r="G292" s="31" t="inlineStr">
        <is>
          <t>largecap</t>
        </is>
      </c>
      <c r="H292" s="32" t="n">
        <v>30581.1</v>
      </c>
      <c r="I292" s="32" t="n">
        <v>174.49</v>
      </c>
      <c r="J292" s="32" t="n">
        <v>0.67</v>
      </c>
      <c r="K292" s="32" t="n">
        <v>49682498</v>
      </c>
      <c r="L292" s="31" t="n">
        <v>16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55.99</v>
      </c>
      <c r="P292" s="32" t="n">
        <v>15.12</v>
      </c>
      <c r="Q292" s="32" t="n">
        <v>136.94</v>
      </c>
      <c r="R292" s="31" t="inlineStr">
        <is>
          <t>Volume Spike / Accumulation</t>
        </is>
      </c>
      <c r="S292" s="31" t="inlineStr">
        <is>
          <t>Nifty Energy</t>
        </is>
      </c>
      <c r="T292" s="32" t="n">
        <v>8.41</v>
      </c>
      <c r="U292" s="32" t="n">
        <v>19.41</v>
      </c>
      <c r="V292" s="32" t="n">
        <v>10.15</v>
      </c>
      <c r="W292" s="32" t="n">
        <v>3.19</v>
      </c>
      <c r="X292" s="31" t="inlineStr">
        <is>
          <t>Cyclical in an Upturn</t>
        </is>
      </c>
      <c r="Y292" s="31">
        <f>IF(X292="Growing Industry",10,IF(X292="Cyclical in an Upturn",5,0))</f>
        <v/>
      </c>
      <c r="Z292" s="31" t="inlineStr">
        <is>
          <t>Oligopoly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Yes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Cyclical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Volatile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Yes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0 to 20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1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Between 0.7 to 1.2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IF(B293=0,"",RANK(B293,$B$2:$B$300,0))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ORICONENT</t>
        </is>
      </c>
      <c r="D293" s="31" t="inlineStr">
        <is>
          <t>Oricon Enterprises Limited</t>
        </is>
      </c>
      <c r="E293" s="31" t="inlineStr">
        <is>
          <t>industrials</t>
        </is>
      </c>
      <c r="F293" s="31" t="inlineStr">
        <is>
          <t>packaging</t>
        </is>
      </c>
      <c r="G293" s="31" t="inlineStr">
        <is>
          <t>smallcap</t>
        </is>
      </c>
      <c r="H293" s="32" t="n">
        <v>941.5</v>
      </c>
      <c r="I293" s="32" t="n">
        <v>59.95</v>
      </c>
      <c r="J293" s="32" t="n">
        <v>0.49</v>
      </c>
      <c r="K293" s="32" t="n">
        <v>134654</v>
      </c>
      <c r="L293" s="31" t="n">
        <v>21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48.8</v>
      </c>
      <c r="P293" s="32" t="n">
        <v>20.34</v>
      </c>
      <c r="Q293" s="32" t="n">
        <v>53.4</v>
      </c>
      <c r="R293" s="31" t="inlineStr">
        <is>
          <t>Earnings / Momentum Support</t>
        </is>
      </c>
      <c r="S293" s="31" t="inlineStr">
        <is>
          <t>Nifty 50</t>
        </is>
      </c>
      <c r="T293" s="32" t="n">
        <v>-2.54</v>
      </c>
      <c r="U293" s="32" t="n">
        <v>34.45</v>
      </c>
      <c r="V293" s="32" t="n">
        <v>37.95</v>
      </c>
      <c r="W293" s="32" t="n">
        <v>4.39</v>
      </c>
      <c r="X293" s="31" t="inlineStr">
        <is>
          <t>Cyclical in an Upturn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Headwind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Below 45</t>
        </is>
      </c>
      <c r="BA293" s="31">
        <f>IF(AZ293="Between 50 to 75",10,IF(AZ293="Above 75",0,0))</f>
        <v/>
      </c>
      <c r="BB293" s="31" t="inlineStr">
        <is>
          <t>Stage 4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Yes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Less than 50%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IF(B294=0,"",RANK(B294,$B$2:$B$300,0))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3" t="inlineStr">
        <is>
          <t>KIRLFER</t>
        </is>
      </c>
      <c r="D294" s="33" t="inlineStr">
        <is>
          <t>Kirloskar Ferrous Industries Ltd</t>
        </is>
      </c>
      <c r="E294" s="31" t="inlineStr">
        <is>
          <t>metals &amp; mining</t>
        </is>
      </c>
      <c r="F294" s="31" t="inlineStr">
        <is>
          <t>steel - large</t>
        </is>
      </c>
      <c r="G294" s="31" t="inlineStr">
        <is>
          <t>midcap</t>
        </is>
      </c>
      <c r="H294" s="32" t="n">
        <v>7766.16</v>
      </c>
      <c r="I294" s="32" t="n">
        <v>470.9</v>
      </c>
      <c r="J294" s="32" t="n">
        <v>0.11</v>
      </c>
      <c r="K294" s="32" t="n">
        <v>73680</v>
      </c>
      <c r="L294" s="31" t="n">
        <v>1</v>
      </c>
      <c r="M294" s="31" t="inlineStr">
        <is>
          <t>Underperforming</t>
        </is>
      </c>
      <c r="N294" s="32">
        <f>IF(M294="Underperforming",-5,IF(L294&gt;=95,15,IF(L294&gt;=90,10,IF(L294&gt;=80,5,0))))</f>
        <v/>
      </c>
      <c r="O294" s="32" t="n">
        <v>56.67</v>
      </c>
      <c r="P294" s="32" t="n">
        <v>11.09</v>
      </c>
      <c r="Q294" s="32" t="n">
        <v>373.12</v>
      </c>
      <c r="R294" s="31" t="inlineStr">
        <is>
          <t>Earnings / Momentum Support</t>
        </is>
      </c>
      <c r="S294" s="31" t="inlineStr">
        <is>
          <t>Nifty Metal</t>
        </is>
      </c>
      <c r="T294" s="32" t="n">
        <v>31.49</v>
      </c>
      <c r="U294" s="32" t="n">
        <v>-16.84</v>
      </c>
      <c r="V294" s="32" t="n">
        <v>-36.76</v>
      </c>
      <c r="W294" s="32" t="n">
        <v>-2.22</v>
      </c>
      <c r="X294" s="31" t="inlineStr">
        <is>
          <t>Cyclical in an Upturn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Cyclical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Volatile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0 to 20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Negative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Less than 1.5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IF(B295=0,"",RANK(B295,$B$2:$B$300,0))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3" t="inlineStr">
        <is>
          <t>BHARTIHEXA</t>
        </is>
      </c>
      <c r="D295" s="33" t="inlineStr">
        <is>
          <t>Bharti Hexacom Ltd</t>
        </is>
      </c>
      <c r="E295" s="31" t="inlineStr">
        <is>
          <t>telecom-service</t>
        </is>
      </c>
      <c r="F295" s="31" t="inlineStr">
        <is>
          <t>telecommunications - service provider</t>
        </is>
      </c>
      <c r="G295" s="31" t="inlineStr">
        <is>
          <t>largecap</t>
        </is>
      </c>
      <c r="H295" s="32" t="n">
        <v>80275</v>
      </c>
      <c r="I295" s="32" t="n">
        <v>1605.5</v>
      </c>
      <c r="J295" s="32" t="n">
        <v>-1.37</v>
      </c>
      <c r="K295" s="32" t="n">
        <v>62567</v>
      </c>
      <c r="L295" s="31" t="n">
        <v>3</v>
      </c>
      <c r="M295" s="31" t="inlineStr">
        <is>
          <t>Underperforming</t>
        </is>
      </c>
      <c r="N295" s="32">
        <f>IF(M295="Underperforming",-5,IF(L295&gt;=95,15,IF(L295&gt;=90,10,IF(L295&gt;=80,5,0))))</f>
        <v/>
      </c>
      <c r="O295" s="32" t="n">
        <v>53.95</v>
      </c>
      <c r="P295" s="32" t="n">
        <v>25.7</v>
      </c>
      <c r="Q295" s="32" t="n">
        <v>1319.34</v>
      </c>
      <c r="R295" s="31" t="inlineStr">
        <is>
          <t>Earnings / Momentum Support</t>
        </is>
      </c>
      <c r="S295" s="31" t="inlineStr">
        <is>
          <t>Nifty 50</t>
        </is>
      </c>
      <c r="T295" s="32" t="n">
        <v>-2.54</v>
      </c>
      <c r="U295" s="32" t="n">
        <v>-9.93</v>
      </c>
      <c r="V295" s="32" t="n">
        <v>-7.59</v>
      </c>
      <c r="W295" s="32" t="n">
        <v>-1.04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Oligopoly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Yes</t>
        </is>
      </c>
      <c r="AC295" s="31">
        <f>IF(AB295="No",5,0)</f>
        <v/>
      </c>
      <c r="AD295" s="31" t="inlineStr">
        <is>
          <t>Headwind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20 to 40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1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Less than 12%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Between 0.7 to 1.2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IF(B296=0,"",RANK(B296,$B$2:$B$300,0))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3" t="inlineStr">
        <is>
          <t>JSL</t>
        </is>
      </c>
      <c r="D296" s="33" t="inlineStr">
        <is>
          <t>Jindal Stainless Limited</t>
        </is>
      </c>
      <c r="E296" s="31" t="inlineStr">
        <is>
          <t>metals &amp; mining</t>
        </is>
      </c>
      <c r="F296" s="31" t="inlineStr">
        <is>
          <t>steel - large</t>
        </is>
      </c>
      <c r="G296" s="31" t="inlineStr">
        <is>
          <t>largecap</t>
        </is>
      </c>
      <c r="H296" s="32" t="n">
        <v>60800.94</v>
      </c>
      <c r="I296" s="32" t="n">
        <v>737.5</v>
      </c>
      <c r="J296" s="32" t="n">
        <v>0</v>
      </c>
      <c r="K296" s="32" t="n">
        <v>474444</v>
      </c>
      <c r="L296" s="31" t="n">
        <v>8</v>
      </c>
      <c r="M296" s="31" t="inlineStr">
        <is>
          <t>Underperforming</t>
        </is>
      </c>
      <c r="N296" s="32">
        <f>IF(M296="Underperforming",-5,IF(L296&gt;=95,15,IF(L296&gt;=90,10,IF(L296&gt;=80,5,0))))</f>
        <v/>
      </c>
      <c r="O296" s="32" t="n">
        <v>51.28</v>
      </c>
      <c r="P296" s="32" t="n">
        <v>13.65</v>
      </c>
      <c r="Q296" s="32" t="n">
        <v>651.92</v>
      </c>
      <c r="R296" s="31" t="inlineStr">
        <is>
          <t>Earnings / Momentum Support</t>
        </is>
      </c>
      <c r="S296" s="31" t="inlineStr">
        <is>
          <t>Nifty Metal</t>
        </is>
      </c>
      <c r="T296" s="32" t="n">
        <v>31.49</v>
      </c>
      <c r="U296" s="32" t="n">
        <v>9.43</v>
      </c>
      <c r="V296" s="32" t="n">
        <v>-16.78</v>
      </c>
      <c r="W296" s="32" t="n">
        <v>0.84</v>
      </c>
      <c r="X296" s="31" t="inlineStr">
        <is>
          <t>Cyclical in an Upturn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Headwind</t>
        </is>
      </c>
      <c r="AE296" s="31">
        <f>IF(AD296="Tailwind",10,0)</f>
        <v/>
      </c>
      <c r="AF296" s="31" t="inlineStr">
        <is>
          <t>Cyclical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Volatile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1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Less than 1.5</t>
        </is>
      </c>
      <c r="BU296" s="31">
        <f>IF(BT296="Above 2",0,IF(BT296="Between 1.5 to 2",5,IF(BT296="Less than 1.5",10,0)))</f>
        <v/>
      </c>
      <c r="BV296" s="31" t="inlineStr">
        <is>
          <t>Between 50% to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IF(B297=0,"",RANK(B297,$B$2:$B$300,0))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3" t="inlineStr">
        <is>
          <t>RITCO</t>
        </is>
      </c>
      <c r="D297" s="33" t="inlineStr">
        <is>
          <t>Ritco Logistics Ltd</t>
        </is>
      </c>
      <c r="E297" s="31" t="inlineStr">
        <is>
          <t>transportation</t>
        </is>
      </c>
      <c r="F297" s="31" t="inlineStr">
        <is>
          <t>miscellaneous</t>
        </is>
      </c>
      <c r="G297" s="31" t="inlineStr">
        <is>
          <t>smallcap</t>
        </is>
      </c>
      <c r="H297" s="32" t="n">
        <v>784.12</v>
      </c>
      <c r="I297" s="32" t="n">
        <v>273.95</v>
      </c>
      <c r="J297" s="32" t="n">
        <v>0.88</v>
      </c>
      <c r="K297" s="32" t="n">
        <v>247683</v>
      </c>
      <c r="L297" s="31" t="n">
        <v>30</v>
      </c>
      <c r="M297" s="31" t="inlineStr">
        <is>
          <t>Underperforming</t>
        </is>
      </c>
      <c r="N297" s="32">
        <f>IF(M297="Underperforming",-5,IF(L297&gt;=95,15,IF(L297&gt;=90,10,IF(L297&gt;=80,5,0))))</f>
        <v/>
      </c>
      <c r="O297" s="32" t="n">
        <v>58.68</v>
      </c>
      <c r="P297" s="32" t="n">
        <v>26.66</v>
      </c>
      <c r="Q297" s="32" t="n">
        <v>200.06</v>
      </c>
      <c r="R297" s="31" t="inlineStr">
        <is>
          <t>Volume Spike / Accumulation</t>
        </is>
      </c>
      <c r="S297" s="31" t="inlineStr">
        <is>
          <t>Nifty 50</t>
        </is>
      </c>
      <c r="T297" s="32" t="n">
        <v>-2.54</v>
      </c>
      <c r="U297" s="32" t="n">
        <v>-11.87</v>
      </c>
      <c r="V297" s="32" t="n">
        <v>-9.57</v>
      </c>
      <c r="W297" s="32" t="n">
        <v>5.95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Yes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20 to 40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Negative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Less than 12%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Negative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More than 1.2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IF(B298=0,"",RANK(B298,$B$2:$B$300,0))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FLUOROCHEM</t>
        </is>
      </c>
      <c r="D298" s="31" t="inlineStr">
        <is>
          <t>Gujarat Fluorochemicals Ltd</t>
        </is>
      </c>
      <c r="E298" s="31" t="inlineStr">
        <is>
          <t>chemicals</t>
        </is>
      </c>
      <c r="F298" s="31" t="inlineStr">
        <is>
          <t>chemicals</t>
        </is>
      </c>
      <c r="G298" s="31" t="inlineStr">
        <is>
          <t>largecap</t>
        </is>
      </c>
      <c r="H298" s="32" t="n">
        <v>45531.73</v>
      </c>
      <c r="I298" s="32" t="n">
        <v>4144.9</v>
      </c>
      <c r="J298" s="32" t="n">
        <v>0.5</v>
      </c>
      <c r="K298" s="32" t="n">
        <v>145924</v>
      </c>
      <c r="L298" s="31" t="n">
        <v>45</v>
      </c>
      <c r="M298" s="31" t="inlineStr">
        <is>
          <t>Outperforming</t>
        </is>
      </c>
      <c r="N298" s="32">
        <f>IF(M298="Underperforming",-5,IF(L298&gt;=95,15,IF(L298&gt;=90,10,IF(L298&gt;=80,5,0))))</f>
        <v/>
      </c>
      <c r="O298" s="32" t="n">
        <v>66.83</v>
      </c>
      <c r="P298" s="32" t="n">
        <v>17.92</v>
      </c>
      <c r="Q298" s="32" t="n">
        <v>3418.56</v>
      </c>
      <c r="R298" s="31" t="inlineStr">
        <is>
          <t>Volume Spike &amp; Near 52W High Breakout</t>
        </is>
      </c>
      <c r="S298" s="31" t="inlineStr">
        <is>
          <t>Nifty 50</t>
        </is>
      </c>
      <c r="T298" s="32" t="n">
        <v>-2.54</v>
      </c>
      <c r="U298" s="32" t="n">
        <v>18.54</v>
      </c>
      <c r="V298" s="32" t="n">
        <v>21.63</v>
      </c>
      <c r="W298" s="32" t="n">
        <v>8.710000000000001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Oligopoly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Shallow Cyclical (2 to 3 Years Growth)</t>
        </is>
      </c>
      <c r="AG298" s="31">
        <f>IF(AF298="Structural (10 Years Consistency)",10,IF(AF298="Shallow Cyclical (2 to 3 years growth)",5,0))</f>
        <v/>
      </c>
      <c r="AH298" s="31" t="inlineStr">
        <is>
          <t>Yes due to Product Mix change or Operating Leverage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Volatile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Allocated capital in Non-core Areas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Above 40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3</t>
        </is>
      </c>
      <c r="BC298" s="31">
        <f>IF(BB298="Stage 2",20,IF(BB298="Stage 1",0,IF(BB298="Stage 3",5,IF(BB298="Stage 4",-5,0))))</f>
        <v/>
      </c>
      <c r="BD298" s="31" t="inlineStr">
        <is>
          <t>Negative Trend</t>
        </is>
      </c>
      <c r="BE298" s="31">
        <f>IF(BD298="Positive Trend",20,IF(BD298="Negative Trend",-10,0))</f>
        <v/>
      </c>
      <c r="BF298" s="31" t="inlineStr">
        <is>
          <t>Sideways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Overhead supply in last 2 years in last 2 years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Less than 1.5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More than 15%</t>
        </is>
      </c>
      <c r="CC298" s="31">
        <f>IF(CB298="More than 15%",-10,IF(CB298="Less than 15%",10,0))</f>
        <v/>
      </c>
      <c r="CD298" s="31" t="inlineStr">
        <is>
          <t>Yes Upto 10%</t>
        </is>
      </c>
      <c r="CE298" s="31">
        <f>IF(CD298="Yes, more than 10%",-10,IF(CD298="No",10,0))</f>
        <v/>
      </c>
    </row>
    <row r="299">
      <c r="A299" s="31">
        <f>IF(B299=0,"",RANK(B299,$B$2:$B$300,0))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ICEMAKE</t>
        </is>
      </c>
      <c r="D299" s="31" t="inlineStr">
        <is>
          <t>ICE Make Refrigeration Ltd</t>
        </is>
      </c>
      <c r="E299" s="31" t="inlineStr">
        <is>
          <t>industrials</t>
        </is>
      </c>
      <c r="F299" s="31" t="inlineStr">
        <is>
          <t>engineering</t>
        </is>
      </c>
      <c r="G299" s="31" t="inlineStr">
        <is>
          <t>smallcap</t>
        </is>
      </c>
      <c r="H299" s="32" t="n">
        <v>1263.64</v>
      </c>
      <c r="I299" s="32" t="n">
        <v>800.8</v>
      </c>
      <c r="J299" s="32" t="n">
        <v>-0.48</v>
      </c>
      <c r="K299" s="32" t="n">
        <v>26288</v>
      </c>
      <c r="L299" s="31" t="n">
        <v>5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53.34</v>
      </c>
      <c r="P299" s="32" t="n">
        <v>16.87</v>
      </c>
      <c r="Q299" s="32" t="n">
        <v>638.28</v>
      </c>
      <c r="R299" s="31" t="inlineStr">
        <is>
          <t>Earnings / Momentum Support</t>
        </is>
      </c>
      <c r="S299" s="31" t="inlineStr">
        <is>
          <t>Nifty 50</t>
        </is>
      </c>
      <c r="T299" s="32" t="n">
        <v>-2.54</v>
      </c>
      <c r="U299" s="32" t="n">
        <v>-0.12</v>
      </c>
      <c r="V299" s="32" t="n">
        <v>2.48</v>
      </c>
      <c r="W299" s="32" t="n">
        <v>-0.14</v>
      </c>
      <c r="X299" s="31" t="inlineStr">
        <is>
          <t>Cyclical in an Upturn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1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Less than 12%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Yes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Negative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Between 0.7 to 1.2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IF(B300=0,"",RANK(B300,$B$2:$B$300,0))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BALAMINES</t>
        </is>
      </c>
      <c r="D300" s="31" t="inlineStr">
        <is>
          <t>Balaji Amines Limited</t>
        </is>
      </c>
      <c r="E300" s="31" t="inlineStr">
        <is>
          <t>chemicals</t>
        </is>
      </c>
      <c r="F300" s="31" t="inlineStr">
        <is>
          <t>chemicals</t>
        </is>
      </c>
      <c r="G300" s="31" t="inlineStr">
        <is>
          <t>midcap</t>
        </is>
      </c>
      <c r="H300" s="32" t="n">
        <v>7416.91</v>
      </c>
      <c r="I300" s="32" t="n">
        <v>2289.1</v>
      </c>
      <c r="J300" s="32" t="n">
        <v>-3.49</v>
      </c>
      <c r="K300" s="32" t="n">
        <v>127828</v>
      </c>
      <c r="L300" s="31" t="n">
        <v>91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73.31</v>
      </c>
      <c r="P300" s="32" t="n">
        <v>57.05</v>
      </c>
      <c r="Q300" s="32" t="n">
        <v>1790.89</v>
      </c>
      <c r="R300" s="31" t="inlineStr">
        <is>
          <t>Earnings / Momentum Support</t>
        </is>
      </c>
      <c r="S300" s="31" t="inlineStr">
        <is>
          <t>Nifty 50</t>
        </is>
      </c>
      <c r="T300" s="32" t="n">
        <v>-2.54</v>
      </c>
      <c r="U300" s="32" t="n">
        <v>31.4</v>
      </c>
      <c r="V300" s="32" t="n">
        <v>34.82</v>
      </c>
      <c r="W300" s="32" t="n">
        <v>32.91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Duopoly That Cooperate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Headwind</t>
        </is>
      </c>
      <c r="AE300" s="31">
        <f>IF(AD300="Tailwind",10,0)</f>
        <v/>
      </c>
      <c r="AF300" s="31" t="inlineStr">
        <is>
          <t>Shallow Cyclical (2 to 3 Years Growth)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20 to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4</t>
        </is>
      </c>
      <c r="BC300" s="31">
        <f>IF(BB300="Stage 2",20,IF(BB300="Stage 1",0,IF(BB300="Stage 3",5,IF(BB300="Stage 4",-5,0))))</f>
        <v/>
      </c>
      <c r="BD300" s="31" t="inlineStr">
        <is>
          <t>Negative Trend</t>
        </is>
      </c>
      <c r="BE300" s="31">
        <f>IF(BD300="Positive Trend",20,IF(BD300="Negative Trend",-10,0))</f>
        <v/>
      </c>
      <c r="BF300" s="31" t="inlineStr">
        <is>
          <t>Downtrend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Overhead supply in last 2 years in last 2 years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No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Yes</t>
        </is>
      </c>
      <c r="BS300" s="31">
        <f>IF(BR300="NO",5,0)</f>
        <v/>
      </c>
      <c r="BT300" s="31" t="inlineStr">
        <is>
          <t>Less than 1.5</t>
        </is>
      </c>
      <c r="BU300" s="31">
        <f>IF(BT300="Above 2",0,IF(BT300="Between 1.5 to 2",5,IF(BT300="Less than 1.5",10,0)))</f>
        <v/>
      </c>
      <c r="BV300" s="31" t="inlineStr">
        <is>
          <t>Between 50% to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</sheetData>
  <autoFilter ref="A1:CE300"/>
  <conditionalFormatting sqref="B2:B30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0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0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0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0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0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0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0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0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0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0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0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0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0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0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0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0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0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0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0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0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0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0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0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0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0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0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0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0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0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0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0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00">
    <cfRule type="cellIs" priority="36" operator="equal" dxfId="3" stopIfTrue="1">
      <formula>"Underperforming"</formula>
    </cfRule>
  </conditionalFormatting>
  <conditionalFormatting sqref="N2:N300">
    <cfRule type="cellIs" priority="37" operator="equal" dxfId="3" stopIfTrue="1">
      <formula>-5</formula>
    </cfRule>
  </conditionalFormatting>
  <conditionalFormatting sqref="Q2:Q300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00" showDropDown="0" showInputMessage="0" showErrorMessage="0" allowBlank="1" type="list">
      <formula1>"Growing Industry,Stagnant Industry,Cyclical in an Upturn"</formula1>
    </dataValidation>
    <dataValidation sqref="Z2:Z30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00" showDropDown="0" showInputMessage="0" showErrorMessage="0" allowBlank="1" type="list">
      <formula1>"Yes,No"</formula1>
    </dataValidation>
    <dataValidation sqref="AD2:AD300" showDropDown="0" showInputMessage="0" showErrorMessage="0" allowBlank="1" type="list">
      <formula1>"Tailwind,Headwind"</formula1>
    </dataValidation>
    <dataValidation sqref="AF2:AF300" showDropDown="0" showInputMessage="0" showErrorMessage="0" allowBlank="1" type="list">
      <formula1>"Structural (10 Years Consistency),Shallow Cyclical (2 to 3 Years Growth),Cyclical"</formula1>
    </dataValidation>
    <dataValidation sqref="AH2:AH300" showDropDown="0" showInputMessage="0" showErrorMessage="0" allowBlank="1" type="list">
      <formula1>"Yes due to Product Mix change or Operating Leverage,Yes, these are peak margins,No"</formula1>
    </dataValidation>
    <dataValidation sqref="AJ2:AJ300" showDropDown="0" showInputMessage="0" showErrorMessage="0" allowBlank="1" type="list">
      <formula1>"Stable,Volatile"</formula1>
    </dataValidation>
    <dataValidation sqref="AL2:AL300" showDropDown="0" showInputMessage="0" showErrorMessage="0" allowBlank="1" type="list">
      <formula1>"Yes,No"</formula1>
    </dataValidation>
    <dataValidation sqref="AN2:AN300" showDropDown="0" showInputMessage="0" showErrorMessage="0" allowBlank="1" type="list">
      <formula1>"B2C,B2B,B2G"</formula1>
    </dataValidation>
    <dataValidation sqref="AP2:AP300" showDropDown="0" showInputMessage="0" showErrorMessage="0" allowBlank="1" type="list">
      <formula1>"Yes,No"</formula1>
    </dataValidation>
    <dataValidation sqref="AR2:AR300" showDropDown="0" showInputMessage="0" showErrorMessage="0" allowBlank="1" type="list">
      <formula1>"Fully Annuity,Higher Annuity, Lower One time,Higher One Time, Lower Annuity,Fully One Time"</formula1>
    </dataValidation>
    <dataValidation sqref="AT2:AT300" showDropDown="0" showInputMessage="0" showErrorMessage="0" allowBlank="1" type="list">
      <formula1>"Good,Allocated capital in Non-core Areas"</formula1>
    </dataValidation>
    <dataValidation sqref="AV2:AV300" showDropDown="0" showInputMessage="0" showErrorMessage="0" allowBlank="1" type="list">
      <formula1>"Yes for more than 2 years,Yes only for next 1 to 2 years,No"</formula1>
    </dataValidation>
    <dataValidation sqref="AX2:AX300" showDropDown="0" showInputMessage="0" showErrorMessage="0" allowBlank="1" type="list">
      <formula1>"Above 40,20 to 40,0 to 20"</formula1>
    </dataValidation>
    <dataValidation sqref="AZ2:AZ300" showDropDown="0" showInputMessage="0" showErrorMessage="0" allowBlank="1" type="list">
      <formula1>"Between 50 to 75,Above 75,Below 45"</formula1>
    </dataValidation>
    <dataValidation sqref="BB2:BB300" showDropDown="0" showInputMessage="0" showErrorMessage="0" allowBlank="1" type="list">
      <formula1>"Stage 1,Stage 2,Stage 3,Stage 4"</formula1>
    </dataValidation>
    <dataValidation sqref="BD2:BD300" showDropDown="0" showInputMessage="0" showErrorMessage="0" allowBlank="1" type="list">
      <formula1>"Positive Trend,Negative Trend"</formula1>
    </dataValidation>
    <dataValidation sqref="BF2:BF300" showDropDown="0" showInputMessage="0" showErrorMessage="0" allowBlank="1" type="list">
      <formula1>"Uptrend,Sideways,Downtrend"</formula1>
    </dataValidation>
    <dataValidation sqref="BH2:BH300" showDropDown="0" showInputMessage="0" showErrorMessage="0" allowBlank="1" type="list">
      <formula1>"Uptrend,Sideways,Downtrend"</formula1>
    </dataValidation>
    <dataValidation sqref="BJ2:BJ30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00" showDropDown="0" showInputMessage="0" showErrorMessage="0" allowBlank="1" type="list">
      <formula1>"Yes,No"</formula1>
    </dataValidation>
    <dataValidation sqref="BN2:BN300" showDropDown="0" showInputMessage="0" showErrorMessage="0" allowBlank="1" type="list">
      <formula1>"More than 20%,Between 12 to 20%,Less than 12%"</formula1>
    </dataValidation>
    <dataValidation sqref="BP2:BP300" showDropDown="0" showInputMessage="0" showErrorMessage="0" allowBlank="1" type="list">
      <formula1>"Yes,No"</formula1>
    </dataValidation>
    <dataValidation sqref="BR2:BR300" showDropDown="0" showInputMessage="0" showErrorMessage="0" allowBlank="1" type="list">
      <formula1>"Yes,No"</formula1>
    </dataValidation>
    <dataValidation sqref="BT2:BT300" showDropDown="0" showInputMessage="0" showErrorMessage="0" allowBlank="1" type="list">
      <formula1>"Above 2,Between 1.5 to 2,Less than 1.5"</formula1>
    </dataValidation>
    <dataValidation sqref="BV2:BV300" showDropDown="0" showInputMessage="0" showErrorMessage="0" allowBlank="1" type="list">
      <formula1>"Above 70%,Between 50% to 70%,Less than 50%,Less than 50% and Borrowings are increasing,Negative"</formula1>
    </dataValidation>
    <dataValidation sqref="BX2:BX300" showDropDown="0" showInputMessage="0" showErrorMessage="0" allowBlank="1" type="list">
      <formula1>"More than 1.2,Between 0.7 to 1.2,Less than 0.7"</formula1>
    </dataValidation>
    <dataValidation sqref="BZ2:BZ300" showDropDown="0" showInputMessage="0" showErrorMessage="0" allowBlank="1" type="list">
      <formula1>"Yes,No"</formula1>
    </dataValidation>
    <dataValidation sqref="CB2:CB300" showDropDown="0" showInputMessage="0" showErrorMessage="0" allowBlank="1" type="list">
      <formula1>"More than 15%,Less than 15%"</formula1>
    </dataValidation>
    <dataValidation sqref="CD2:CD30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IF(B2=0,"",RANK(B2,$B$2:$B$45,0))</f>
        <v/>
      </c>
      <c r="B2" s="32">
        <f>SUM(N2,Y2,AA2,AC2,AE2,AG2,AI2,AK2,AM2,AO2,AQ2,AS2,AU2,AW2,AY2,BA2,BC2,BE2,BG2,BI2,BK2,BM2,BO2,BQ2,BS2,BU2,BW2,BY2,CA2)</f>
        <v/>
      </c>
      <c r="C2" s="31" t="inlineStr">
        <is>
          <t>TMB</t>
        </is>
      </c>
      <c r="D2" s="31" t="inlineStr">
        <is>
          <t>Tamilnad Mercantile Bank Ltd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12626.15</v>
      </c>
      <c r="I2" s="32" t="n">
        <v>797.35</v>
      </c>
      <c r="J2" s="32" t="n">
        <v>-0.02</v>
      </c>
      <c r="K2" s="32" t="n">
        <v>99299</v>
      </c>
      <c r="L2" s="31" t="n">
        <v>74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67.09999999999999</v>
      </c>
      <c r="P2" s="32" t="n">
        <v>35.34</v>
      </c>
      <c r="Q2" s="32" t="n">
        <v>642.49</v>
      </c>
      <c r="R2" s="31" t="inlineStr">
        <is>
          <t>Near 52W High Breakout</t>
        </is>
      </c>
      <c r="S2" s="31" t="inlineStr">
        <is>
          <t>Nifty Bank</t>
        </is>
      </c>
      <c r="T2" s="32" t="n">
        <v>3.98</v>
      </c>
      <c r="U2" s="32" t="n">
        <v>82.33</v>
      </c>
      <c r="V2" s="32" t="n">
        <v>75.36</v>
      </c>
      <c r="W2" s="32" t="n">
        <v>17.12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IF(B3=0,"",RANK(B3,$B$2:$B$45,0))</f>
        <v/>
      </c>
      <c r="B3" s="32">
        <f>SUM(N3,Y3,AA3,AC3,AE3,AG3,AI3,AK3,AM3,AO3,AQ3,AS3,AU3,AW3,AY3,BA3,BC3,BE3,BG3,BI3,BK3,BM3,BO3,BQ3,BS3,BU3,BW3,BY3,CA3)</f>
        <v/>
      </c>
      <c r="C3" s="31" t="inlineStr">
        <is>
          <t>BANDHANBNK</t>
        </is>
      </c>
      <c r="D3" s="31" t="inlineStr">
        <is>
          <t>Bandhan Bank Ltd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largecap</t>
        </is>
      </c>
      <c r="H3" s="32" t="n">
        <v>34353.98</v>
      </c>
      <c r="I3" s="32" t="n">
        <v>213.25</v>
      </c>
      <c r="J3" s="32" t="n">
        <v>-0.55</v>
      </c>
      <c r="K3" s="32" t="n">
        <v>6777972</v>
      </c>
      <c r="L3" s="31" t="n">
        <v>43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65.59999999999999</v>
      </c>
      <c r="P3" s="32" t="n">
        <v>30.7</v>
      </c>
      <c r="Q3" s="32" t="n">
        <v>171.58</v>
      </c>
      <c r="R3" s="31" t="inlineStr">
        <is>
          <t>Near 52W High Breakout</t>
        </is>
      </c>
      <c r="S3" s="31" t="inlineStr">
        <is>
          <t>Nifty Bank</t>
        </is>
      </c>
      <c r="T3" s="32" t="n">
        <v>3.98</v>
      </c>
      <c r="U3" s="32" t="n">
        <v>15.07</v>
      </c>
      <c r="V3" s="32" t="n">
        <v>10.67</v>
      </c>
      <c r="W3" s="32" t="n">
        <v>8.35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IF(B4=0,"",RANK(B4,$B$2:$B$45,0))</f>
        <v/>
      </c>
      <c r="B4" s="32">
        <f>SUM(N4,Y4,AA4,AC4,AE4,AG4,AI4,AK4,AM4,AO4,AQ4,AS4,AU4,AW4,AY4,BA4,BC4,BE4,BG4,BI4,BK4,BM4,BO4,BQ4,BS4,BU4,BW4,BY4,CA4)</f>
        <v/>
      </c>
      <c r="C4" s="31" t="inlineStr">
        <is>
          <t>UJJIVANSFB</t>
        </is>
      </c>
      <c r="D4" s="31" t="inlineStr">
        <is>
          <t>Ujjivan Small Finance Bank Ltd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midcap</t>
        </is>
      </c>
      <c r="H4" s="32" t="n">
        <v>12620.82</v>
      </c>
      <c r="I4" s="32" t="n">
        <v>64.88</v>
      </c>
      <c r="J4" s="32" t="n">
        <v>-1.13</v>
      </c>
      <c r="K4" s="32" t="n">
        <v>19761879</v>
      </c>
      <c r="L4" s="31" t="n">
        <v>43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62.37</v>
      </c>
      <c r="P4" s="32" t="n">
        <v>25.67</v>
      </c>
      <c r="Q4" s="32" t="n">
        <v>51.13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3.98</v>
      </c>
      <c r="U4" s="32" t="n">
        <v>32.76</v>
      </c>
      <c r="V4" s="32" t="n">
        <v>27.68</v>
      </c>
      <c r="W4" s="32" t="n">
        <v>8.359999999999999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IF(B5=0,"",RANK(B5,$B$2:$B$45,0))</f>
        <v/>
      </c>
      <c r="B5" s="32">
        <f>SUM(N5,Y5,AA5,AC5,AE5,AG5,AI5,AK5,AM5,AO5,AQ5,AS5,AU5,AW5,AY5,BA5,BC5,BE5,BG5,BI5,BK5,BM5,BO5,BQ5,BS5,BU5,BW5,BY5,CA5)</f>
        <v/>
      </c>
      <c r="C5" s="31" t="inlineStr">
        <is>
          <t>PAISALO</t>
        </is>
      </c>
      <c r="D5" s="31" t="inlineStr">
        <is>
          <t>Paisalo Digital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midcap</t>
        </is>
      </c>
      <c r="H5" s="32" t="n">
        <v>6525.82</v>
      </c>
      <c r="I5" s="32" t="n">
        <v>71.75</v>
      </c>
      <c r="J5" s="32" t="n">
        <v>-2.75</v>
      </c>
      <c r="K5" s="32" t="n">
        <v>53207306</v>
      </c>
      <c r="L5" s="31" t="n">
        <v>92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81.17</v>
      </c>
      <c r="P5" s="32" t="n">
        <v>52.3</v>
      </c>
      <c r="Q5" s="32" t="n">
        <v>57.33</v>
      </c>
      <c r="R5" s="31" t="inlineStr">
        <is>
          <t>Volume Spike &amp; Near 52W High Breakout</t>
        </is>
      </c>
      <c r="S5" s="31" t="inlineStr">
        <is>
          <t>Nifty Bank</t>
        </is>
      </c>
      <c r="T5" s="32" t="n">
        <v>3.98</v>
      </c>
      <c r="U5" s="32" t="n">
        <v>130.85</v>
      </c>
      <c r="V5" s="32" t="n">
        <v>122.02</v>
      </c>
      <c r="W5" s="32" t="n">
        <v>33.77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IF(B6=0,"",RANK(B6,$B$2:$B$45,0))</f>
        <v/>
      </c>
      <c r="B6" s="32">
        <f>SUM(N6,Y6,AA6,AC6,AE6,AG6,AI6,AK6,AM6,AO6,AQ6,AS6,AU6,AW6,AY6,BA6,BC6,BE6,BG6,BI6,BK6,BM6,BO6,BQ6,BS6,BU6,BW6,BY6,CA6)</f>
        <v/>
      </c>
      <c r="C6" s="31" t="inlineStr">
        <is>
          <t>FUSION</t>
        </is>
      </c>
      <c r="D6" s="31" t="inlineStr">
        <is>
          <t>Fusion Micro Finance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smallcap</t>
        </is>
      </c>
      <c r="H6" s="32" t="n">
        <v>3661.28</v>
      </c>
      <c r="I6" s="32" t="n">
        <v>225.89</v>
      </c>
      <c r="J6" s="32" t="n">
        <v>0.17</v>
      </c>
      <c r="K6" s="32" t="n">
        <v>454666</v>
      </c>
      <c r="L6" s="31" t="n">
        <v>53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63.82</v>
      </c>
      <c r="P6" s="32" t="n">
        <v>26.56</v>
      </c>
      <c r="Q6" s="32" t="n">
        <v>171.39</v>
      </c>
      <c r="R6" s="31" t="inlineStr">
        <is>
          <t>Near 52W High Breakout</t>
        </is>
      </c>
      <c r="S6" s="31" t="inlineStr">
        <is>
          <t>Nifty Bank</t>
        </is>
      </c>
      <c r="T6" s="32" t="n">
        <v>3.98</v>
      </c>
      <c r="U6" s="32" t="n">
        <v>18.18</v>
      </c>
      <c r="V6" s="32" t="n">
        <v>13.66</v>
      </c>
      <c r="W6" s="32" t="n">
        <v>10.59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IF(B7=0,"",RANK(B7,$B$2:$B$45,0))</f>
        <v/>
      </c>
      <c r="B7" s="32">
        <f>SUM(N7,Y7,AA7,AC7,AE7,AG7,AI7,AK7,AM7,AO7,AQ7,AS7,AU7,AW7,AY7,BA7,BC7,BE7,BG7,BI7,BK7,BM7,BO7,BQ7,BS7,BU7,BW7,BY7,CA7)</f>
        <v/>
      </c>
      <c r="C7" s="31" t="inlineStr">
        <is>
          <t>RANEHOLDIN</t>
        </is>
      </c>
      <c r="D7" s="31" t="inlineStr">
        <is>
          <t>Rane Holdings Limited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smallcap</t>
        </is>
      </c>
      <c r="H7" s="32" t="n">
        <v>2468.92</v>
      </c>
      <c r="I7" s="32" t="n">
        <v>1729.2</v>
      </c>
      <c r="J7" s="32" t="n">
        <v>-0.54</v>
      </c>
      <c r="K7" s="32" t="n">
        <v>8638</v>
      </c>
      <c r="L7" s="31" t="n">
        <v>73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67.62</v>
      </c>
      <c r="P7" s="32" t="n">
        <v>33.63</v>
      </c>
      <c r="Q7" s="32" t="n">
        <v>1369.12</v>
      </c>
      <c r="R7" s="31" t="inlineStr">
        <is>
          <t>Near 52W High Breakout</t>
        </is>
      </c>
      <c r="S7" s="31" t="inlineStr">
        <is>
          <t>Nifty Bank</t>
        </is>
      </c>
      <c r="T7" s="32" t="n">
        <v>3.98</v>
      </c>
      <c r="U7" s="32" t="n">
        <v>9.56</v>
      </c>
      <c r="V7" s="32" t="n">
        <v>5.37</v>
      </c>
      <c r="W7" s="32" t="n">
        <v>16.97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IF(B8=0,"",RANK(B8,$B$2:$B$45,0))</f>
        <v/>
      </c>
      <c r="B8" s="32">
        <f>SUM(N8,Y8,AA8,AC8,AE8,AG8,AI8,AK8,AM8,AO8,AQ8,AS8,AU8,AW8,AY8,BA8,BC8,BE8,BG8,BI8,BK8,BM8,BO8,BQ8,BS8,BU8,BW8,BY8,CA8)</f>
        <v/>
      </c>
      <c r="C8" s="31" t="inlineStr">
        <is>
          <t>FEDERALBNK</t>
        </is>
      </c>
      <c r="D8" s="31" t="inlineStr">
        <is>
          <t>The Federal Bank  Limited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largecap</t>
        </is>
      </c>
      <c r="H8" s="32" t="n">
        <v>86003.45</v>
      </c>
      <c r="I8" s="32" t="n">
        <v>349</v>
      </c>
      <c r="J8" s="32" t="n">
        <v>6.86</v>
      </c>
      <c r="K8" s="32" t="n">
        <v>44155126</v>
      </c>
      <c r="L8" s="31" t="n">
        <v>68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76.72</v>
      </c>
      <c r="P8" s="32" t="n">
        <v>27.67</v>
      </c>
      <c r="Q8" s="32" t="n">
        <v>302.73</v>
      </c>
      <c r="R8" s="31" t="inlineStr">
        <is>
          <t>Volume Spike &amp; Near 52W High Breakout</t>
        </is>
      </c>
      <c r="S8" s="31" t="inlineStr">
        <is>
          <t>Nifty Bank</t>
        </is>
      </c>
      <c r="T8" s="32" t="n">
        <v>3.98</v>
      </c>
      <c r="U8" s="32" t="n">
        <v>65.25</v>
      </c>
      <c r="V8" s="32" t="n">
        <v>58.93</v>
      </c>
      <c r="W8" s="32" t="n">
        <v>14.82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Above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IF(B9=0,"",RANK(B9,$B$2:$B$45,0))</f>
        <v/>
      </c>
      <c r="B9" s="32">
        <f>SUM(N9,Y9,AA9,AC9,AE9,AG9,AI9,AK9,AM9,AO9,AQ9,AS9,AU9,AW9,AY9,BA9,BC9,BE9,BG9,BI9,BK9,BM9,BO9,BQ9,BS9,BU9,BW9,BY9,CA9)</f>
        <v/>
      </c>
      <c r="C9" s="31" t="inlineStr">
        <is>
          <t>J&amp;KBANK</t>
        </is>
      </c>
      <c r="D9" s="31" t="inlineStr">
        <is>
          <t>The Jammu &amp; Kashmir Bank Limited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largecap</t>
        </is>
      </c>
      <c r="H9" s="32" t="n">
        <v>20117.5</v>
      </c>
      <c r="I9" s="32" t="n">
        <v>182.69</v>
      </c>
      <c r="J9" s="32" t="n">
        <v>2.79</v>
      </c>
      <c r="K9" s="32" t="n">
        <v>6437349</v>
      </c>
      <c r="L9" s="31" t="n">
        <v>79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72.65000000000001</v>
      </c>
      <c r="P9" s="32" t="n">
        <v>58.02</v>
      </c>
      <c r="Q9" s="32" t="n">
        <v>153.64</v>
      </c>
      <c r="R9" s="31" t="inlineStr">
        <is>
          <t>Volume Spike / Accumulation</t>
        </is>
      </c>
      <c r="S9" s="31" t="inlineStr">
        <is>
          <t>Nifty Bank</t>
        </is>
      </c>
      <c r="T9" s="32" t="n">
        <v>3.98</v>
      </c>
      <c r="U9" s="32" t="n">
        <v>63.76</v>
      </c>
      <c r="V9" s="32" t="n">
        <v>57.5</v>
      </c>
      <c r="W9" s="32" t="n">
        <v>19.62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less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Above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IF(B10=0,"",RANK(B10,$B$2:$B$45,0))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ABCAPITAL</t>
        </is>
      </c>
      <c r="D10" s="31" t="inlineStr">
        <is>
          <t>Aditya Birla Capital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largecap</t>
        </is>
      </c>
      <c r="H10" s="32" t="n">
        <v>109792.05</v>
      </c>
      <c r="I10" s="32" t="n">
        <v>401.55</v>
      </c>
      <c r="J10" s="32" t="n">
        <v>0.46</v>
      </c>
      <c r="K10" s="32" t="n">
        <v>4757491</v>
      </c>
      <c r="L10" s="31" t="n">
        <v>62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68.95999999999999</v>
      </c>
      <c r="P10" s="32" t="n">
        <v>23</v>
      </c>
      <c r="Q10" s="32" t="n">
        <v>340.2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3.98</v>
      </c>
      <c r="U10" s="32" t="n">
        <v>51.9</v>
      </c>
      <c r="V10" s="32" t="n">
        <v>46.09</v>
      </c>
      <c r="W10" s="32" t="n">
        <v>12.83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IF(B11=0,"",RANK(B11,$B$2:$B$45,0))</f>
        <v/>
      </c>
      <c r="B11" s="32">
        <f>SUM(N11,Y11,AA11,AC11,AE11,AG11,AI11,AK11,AM11,AO11,AQ11,AS11,AU11,AW11,AY11,BA11,BC11,BE11,BG11,BI11,BK11,BM11,BO11,BQ11,BS11,BU11,BW11,BY11,CA11)</f>
        <v/>
      </c>
      <c r="C11" s="33" t="inlineStr">
        <is>
          <t>MANBA</t>
        </is>
      </c>
      <c r="D11" s="33" t="inlineStr">
        <is>
          <t>Manba Finance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smallcap</t>
        </is>
      </c>
      <c r="H11" s="32" t="n">
        <v>687.22</v>
      </c>
      <c r="I11" s="32" t="n">
        <v>136.79</v>
      </c>
      <c r="J11" s="32" t="n">
        <v>0.43</v>
      </c>
      <c r="K11" s="32" t="n">
        <v>173500</v>
      </c>
      <c r="L11" s="31" t="n">
        <v>23</v>
      </c>
      <c r="M11" s="31" t="inlineStr">
        <is>
          <t>Underperforming</t>
        </is>
      </c>
      <c r="N11" s="32">
        <f>IF(M11="Underperforming",-5,IF(L11&gt;=95,15,IF(L11&gt;=90,10,IF(L11&gt;=80,5,0))))</f>
        <v/>
      </c>
      <c r="O11" s="32" t="n">
        <v>61.64</v>
      </c>
      <c r="P11" s="32" t="n">
        <v>24.62</v>
      </c>
      <c r="Q11" s="32" t="n">
        <v>111.08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3.98</v>
      </c>
      <c r="U11" s="32" t="n">
        <v>-2.38</v>
      </c>
      <c r="V11" s="32" t="n">
        <v>-6.11</v>
      </c>
      <c r="W11" s="32" t="n">
        <v>4.85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IF(B12=0,"",RANK(B12,$B$2:$B$45,0))</f>
        <v/>
      </c>
      <c r="B12" s="32">
        <f>SUM(N12,Y12,AA12,AC12,AE12,AG12,AI12,AK12,AM12,AO12,AQ12,AS12,AU12,AW12,AY12,BA12,BC12,BE12,BG12,BI12,BK12,BM12,BO12,BQ12,BS12,BU12,BW12,BY12,CA12)</f>
        <v/>
      </c>
      <c r="C12" s="33" t="inlineStr">
        <is>
          <t>JSFB</t>
        </is>
      </c>
      <c r="D12" s="33" t="inlineStr">
        <is>
          <t>Jana Small Finance Bank Ltd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midcap</t>
        </is>
      </c>
      <c r="H12" s="32" t="n">
        <v>5193.31</v>
      </c>
      <c r="I12" s="32" t="n">
        <v>493</v>
      </c>
      <c r="J12" s="32" t="n">
        <v>-0.9399999999999999</v>
      </c>
      <c r="K12" s="32" t="n">
        <v>626855</v>
      </c>
      <c r="L12" s="31" t="n">
        <v>31</v>
      </c>
      <c r="M12" s="31" t="inlineStr">
        <is>
          <t>Underperforming</t>
        </is>
      </c>
      <c r="N12" s="32">
        <f>IF(M12="Underperforming",-5,IF(L12&gt;=95,15,IF(L12&gt;=90,10,IF(L12&gt;=80,5,0))))</f>
        <v/>
      </c>
      <c r="O12" s="32" t="n">
        <v>60.9</v>
      </c>
      <c r="P12" s="32" t="n">
        <v>30.12</v>
      </c>
      <c r="Q12" s="32" t="n">
        <v>377.55</v>
      </c>
      <c r="R12" s="31" t="inlineStr">
        <is>
          <t>Volume Spike &amp; Near 52W High Breakout</t>
        </is>
      </c>
      <c r="S12" s="31" t="inlineStr">
        <is>
          <t>Nifty Bank</t>
        </is>
      </c>
      <c r="T12" s="32" t="n">
        <v>3.98</v>
      </c>
      <c r="U12" s="32" t="n">
        <v>0.59</v>
      </c>
      <c r="V12" s="32" t="n">
        <v>-3.26</v>
      </c>
      <c r="W12" s="32" t="n">
        <v>6.13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IF(B13=0,"",RANK(B13,$B$2:$B$45,0))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CONSOFINVT</t>
        </is>
      </c>
      <c r="D13" s="31" t="inlineStr">
        <is>
          <t>Consolidated Finvest &amp; Holdings Limited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smallcap</t>
        </is>
      </c>
      <c r="H13" s="32" t="n">
        <v>901.9400000000001</v>
      </c>
      <c r="I13" s="32" t="n">
        <v>279.01</v>
      </c>
      <c r="J13" s="32" t="n">
        <v>3.29</v>
      </c>
      <c r="K13" s="32" t="n">
        <v>37496</v>
      </c>
      <c r="L13" s="31" t="n">
        <v>63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74.34</v>
      </c>
      <c r="P13" s="32" t="n">
        <v>24.94</v>
      </c>
      <c r="Q13" s="32" t="n">
        <v>215.79</v>
      </c>
      <c r="R13" s="31" t="inlineStr">
        <is>
          <t>Volume Spike &amp; Near 52W High Breakout</t>
        </is>
      </c>
      <c r="S13" s="31" t="inlineStr">
        <is>
          <t>Nifty Bank</t>
        </is>
      </c>
      <c r="T13" s="32" t="n">
        <v>3.98</v>
      </c>
      <c r="U13" s="32" t="n">
        <v>37.04</v>
      </c>
      <c r="V13" s="32" t="n">
        <v>31.8</v>
      </c>
      <c r="W13" s="32" t="n">
        <v>13.06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less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IF(B14=0,"",RANK(B14,$B$2:$B$45,0))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CUB</t>
        </is>
      </c>
      <c r="D14" s="31" t="inlineStr">
        <is>
          <t>City Union Bank Limited</t>
        </is>
      </c>
      <c r="E14" s="31" t="inlineStr">
        <is>
          <t>bank</t>
        </is>
      </c>
      <c r="F14" s="31" t="inlineStr">
        <is>
          <t>banks - private sector</t>
        </is>
      </c>
      <c r="G14" s="31" t="inlineStr">
        <is>
          <t>midcap</t>
        </is>
      </c>
      <c r="H14" s="32" t="n">
        <v>16691.07</v>
      </c>
      <c r="I14" s="32" t="n">
        <v>224.63</v>
      </c>
      <c r="J14" s="32" t="n">
        <v>1.7</v>
      </c>
      <c r="K14" s="32" t="n">
        <v>1792388</v>
      </c>
      <c r="L14" s="31" t="n">
        <v>55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62.88</v>
      </c>
      <c r="P14" s="32" t="n">
        <v>19.1</v>
      </c>
      <c r="Q14" s="32" t="n">
        <v>182.01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3.98</v>
      </c>
      <c r="U14" s="32" t="n">
        <v>42.28</v>
      </c>
      <c r="V14" s="32" t="n">
        <v>36.84</v>
      </c>
      <c r="W14" s="32" t="n">
        <v>11.09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0 to 20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IF(B15=0,"",RANK(B15,$B$2:$B$45,0))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ANANDRATHI</t>
        </is>
      </c>
      <c r="D15" s="31" t="inlineStr">
        <is>
          <t>Anand Rathi Wealth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largecap</t>
        </is>
      </c>
      <c r="H15" s="32" t="n">
        <v>34415.37</v>
      </c>
      <c r="I15" s="32" t="n">
        <v>2072.7</v>
      </c>
      <c r="J15" s="32" t="n">
        <v>-0.33</v>
      </c>
      <c r="K15" s="32" t="n">
        <v>148521</v>
      </c>
      <c r="L15" s="31" t="n">
        <v>61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72.73</v>
      </c>
      <c r="P15" s="32" t="n">
        <v>48.55</v>
      </c>
      <c r="Q15" s="32" t="n">
        <v>1834.09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3.98</v>
      </c>
      <c r="U15" s="32" t="n">
        <v>58.77</v>
      </c>
      <c r="V15" s="32" t="n">
        <v>52.69</v>
      </c>
      <c r="W15" s="32" t="n">
        <v>12.57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above 5x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Above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IF(B16=0,"",RANK(B16,$B$2:$B$45,0))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MUTHOOTMF</t>
        </is>
      </c>
      <c r="D16" s="31" t="inlineStr">
        <is>
          <t>Muthoot Microfin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smallcap</t>
        </is>
      </c>
      <c r="H16" s="32" t="n">
        <v>4092.84</v>
      </c>
      <c r="I16" s="32" t="n">
        <v>240.06</v>
      </c>
      <c r="J16" s="32" t="n">
        <v>-1.62</v>
      </c>
      <c r="K16" s="32" t="n">
        <v>273190</v>
      </c>
      <c r="L16" s="31" t="n">
        <v>71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74</v>
      </c>
      <c r="P16" s="32" t="n">
        <v>36.81</v>
      </c>
      <c r="Q16" s="32" t="n">
        <v>182.83</v>
      </c>
      <c r="R16" s="31" t="inlineStr">
        <is>
          <t>Volume Spike &amp; Near 52W High Breakout</t>
        </is>
      </c>
      <c r="S16" s="31" t="inlineStr">
        <is>
          <t>Nifty Bank</t>
        </is>
      </c>
      <c r="T16" s="32" t="n">
        <v>3.98</v>
      </c>
      <c r="U16" s="32" t="n">
        <v>44.52</v>
      </c>
      <c r="V16" s="32" t="n">
        <v>38.99</v>
      </c>
      <c r="W16" s="32" t="n">
        <v>15.78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less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IF(B17=0,"",RANK(B17,$B$2:$B$45,0))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KICL</t>
        </is>
      </c>
      <c r="D17" s="31" t="inlineStr">
        <is>
          <t>Kalyani Investment Company Limited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2408.99</v>
      </c>
      <c r="I17" s="32" t="n">
        <v>5518.5</v>
      </c>
      <c r="J17" s="32" t="n">
        <v>1.6</v>
      </c>
      <c r="K17" s="32" t="n">
        <v>1694</v>
      </c>
      <c r="L17" s="31" t="n">
        <v>25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64.06</v>
      </c>
      <c r="P17" s="32" t="n">
        <v>25.49</v>
      </c>
      <c r="Q17" s="32" t="n">
        <v>4520.43</v>
      </c>
      <c r="R17" s="31" t="inlineStr">
        <is>
          <t>Volume Spike / Accumulation</t>
        </is>
      </c>
      <c r="S17" s="31" t="inlineStr">
        <is>
          <t>Nifty Bank</t>
        </is>
      </c>
      <c r="T17" s="32" t="n">
        <v>3.98</v>
      </c>
      <c r="U17" s="32" t="n">
        <v>8.27</v>
      </c>
      <c r="V17" s="32" t="n">
        <v>4.13</v>
      </c>
      <c r="W17" s="32" t="n">
        <v>5.02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IF(B18=0,"",RANK(B18,$B$2:$B$45,0))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INDUSINDBK</t>
        </is>
      </c>
      <c r="D18" s="31" t="inlineStr">
        <is>
          <t>Indusind Bank Limited</t>
        </is>
      </c>
      <c r="E18" s="31" t="inlineStr">
        <is>
          <t>bank</t>
        </is>
      </c>
      <c r="F18" s="31" t="inlineStr">
        <is>
          <t>banks - private sector</t>
        </is>
      </c>
      <c r="G18" s="31" t="inlineStr">
        <is>
          <t>largecap</t>
        </is>
      </c>
      <c r="H18" s="32" t="n">
        <v>80032.52</v>
      </c>
      <c r="I18" s="32" t="n">
        <v>1027.2</v>
      </c>
      <c r="J18" s="32" t="n">
        <v>1.35</v>
      </c>
      <c r="K18" s="32" t="n">
        <v>2257757</v>
      </c>
      <c r="L18" s="31" t="n">
        <v>45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65.87</v>
      </c>
      <c r="P18" s="32" t="n">
        <v>19.72</v>
      </c>
      <c r="Q18" s="32" t="n">
        <v>867.03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3.98</v>
      </c>
      <c r="U18" s="32" t="n">
        <v>18.25</v>
      </c>
      <c r="V18" s="32" t="n">
        <v>13.73</v>
      </c>
      <c r="W18" s="32" t="n">
        <v>8.77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0 to 20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IF(B19=0,"",RANK(B19,$B$2:$B$45,0))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SMCGLOBAL</t>
        </is>
      </c>
      <c r="D19" s="31" t="inlineStr">
        <is>
          <t>SMC Global Securities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smallcap</t>
        </is>
      </c>
      <c r="H19" s="32" t="n">
        <v>1710.17</v>
      </c>
      <c r="I19" s="32" t="n">
        <v>81.67</v>
      </c>
      <c r="J19" s="32" t="n">
        <v>0.23</v>
      </c>
      <c r="K19" s="32" t="n">
        <v>778427</v>
      </c>
      <c r="L19" s="31" t="n">
        <v>44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63.02</v>
      </c>
      <c r="P19" s="32" t="n">
        <v>15.82</v>
      </c>
      <c r="Q19" s="32" t="n">
        <v>61.41</v>
      </c>
      <c r="R19" s="31" t="inlineStr">
        <is>
          <t>Volume Spike / Accumulation</t>
        </is>
      </c>
      <c r="S19" s="31" t="inlineStr">
        <is>
          <t>Nifty Bank</t>
        </is>
      </c>
      <c r="T19" s="32" t="n">
        <v>3.98</v>
      </c>
      <c r="U19" s="32" t="n">
        <v>10.66</v>
      </c>
      <c r="V19" s="32" t="n">
        <v>6.42</v>
      </c>
      <c r="W19" s="32" t="n">
        <v>8.6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0 to 20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IF(B20=0,"",RANK(B20,$B$2:$B$45,0))</f>
        <v/>
      </c>
      <c r="B20" s="32">
        <f>SUM(N20,Y20,AA20,AC20,AE20,AG20,AI20,AK20,AM20,AO20,AQ20,AS20,AU20,AW20,AY20,BA20,BC20,BE20,BG20,BI20,BK20,BM20,BO20,BQ20,BS20,BU20,BW20,BY20,CA20)</f>
        <v/>
      </c>
      <c r="C20" s="33" t="inlineStr">
        <is>
          <t>PNBHOUSING</t>
        </is>
      </c>
      <c r="D20" s="33" t="inlineStr">
        <is>
          <t>Pnb Housing Finance Limited</t>
        </is>
      </c>
      <c r="E20" s="31" t="inlineStr">
        <is>
          <t>financials</t>
        </is>
      </c>
      <c r="F20" s="31" t="inlineStr">
        <is>
          <t>finance - housing</t>
        </is>
      </c>
      <c r="G20" s="31" t="inlineStr">
        <is>
          <t>largecap</t>
        </is>
      </c>
      <c r="H20" s="32" t="n">
        <v>28650.73</v>
      </c>
      <c r="I20" s="32" t="n">
        <v>1099.8</v>
      </c>
      <c r="J20" s="32" t="n">
        <v>0.08</v>
      </c>
      <c r="K20" s="32" t="n">
        <v>464219</v>
      </c>
      <c r="L20" s="31" t="n">
        <v>27</v>
      </c>
      <c r="M20" s="31" t="inlineStr">
        <is>
          <t>Underperforming</t>
        </is>
      </c>
      <c r="N20" s="32">
        <f>IF(M20="Underperforming",-5,IF(L20&gt;=95,15,IF(L20&gt;=90,10,IF(L20&gt;=80,5,0))))</f>
        <v/>
      </c>
      <c r="O20" s="32" t="n">
        <v>65.2</v>
      </c>
      <c r="P20" s="32" t="n">
        <v>30.58</v>
      </c>
      <c r="Q20" s="32" t="n">
        <v>911.4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3.98</v>
      </c>
      <c r="U20" s="32" t="n">
        <v>2.14</v>
      </c>
      <c r="V20" s="32" t="n">
        <v>-1.76</v>
      </c>
      <c r="W20" s="32" t="n">
        <v>5.35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IF(B21=0,"",RANK(B21,$B$2:$B$45,0))</f>
        <v/>
      </c>
      <c r="B21" s="32">
        <f>SUM(N21,Y21,AA21,AC21,AE21,AG21,AI21,AK21,AM21,AO21,AQ21,AS21,AU21,AW21,AY21,BA21,BC21,BE21,BG21,BI21,BK21,BM21,BO21,BQ21,BS21,BU21,BW21,BY21,CA21)</f>
        <v/>
      </c>
      <c r="C21" s="33" t="inlineStr">
        <is>
          <t>MONARCH</t>
        </is>
      </c>
      <c r="D21" s="33" t="inlineStr">
        <is>
          <t>Monarch Networth Capital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smallcap</t>
        </is>
      </c>
      <c r="H21" s="32" t="n">
        <v>2859.46</v>
      </c>
      <c r="I21" s="32" t="n">
        <v>360.55</v>
      </c>
      <c r="J21" s="32" t="n">
        <v>-0.52</v>
      </c>
      <c r="K21" s="32" t="n">
        <v>211116</v>
      </c>
      <c r="L21" s="31" t="n">
        <v>21</v>
      </c>
      <c r="M21" s="31" t="inlineStr">
        <is>
          <t>Underperforming</t>
        </is>
      </c>
      <c r="N21" s="32">
        <f>IF(M21="Underperforming",-5,IF(L21&gt;=95,15,IF(L21&gt;=90,10,IF(L21&gt;=80,5,0))))</f>
        <v/>
      </c>
      <c r="O21" s="32" t="n">
        <v>66.18000000000001</v>
      </c>
      <c r="P21" s="32" t="n">
        <v>20.66</v>
      </c>
      <c r="Q21" s="32" t="n">
        <v>290.62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3.98</v>
      </c>
      <c r="U21" s="32" t="n">
        <v>-1.81</v>
      </c>
      <c r="V21" s="32" t="n">
        <v>-5.56</v>
      </c>
      <c r="W21" s="32" t="n">
        <v>4.28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between 2.5x to 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IF(B22=0,"",RANK(B22,$B$2:$B$45,0))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CGCL</t>
        </is>
      </c>
      <c r="D22" s="31" t="inlineStr">
        <is>
          <t>Capri Global Capital Limited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largecap</t>
        </is>
      </c>
      <c r="H22" s="32" t="n">
        <v>24667.7</v>
      </c>
      <c r="I22" s="32" t="n">
        <v>256.38</v>
      </c>
      <c r="J22" s="32" t="n">
        <v>-0.97</v>
      </c>
      <c r="K22" s="32" t="n">
        <v>1620882</v>
      </c>
      <c r="L22" s="31" t="n">
        <v>72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78.62</v>
      </c>
      <c r="P22" s="32" t="n">
        <v>31.59</v>
      </c>
      <c r="Q22" s="32" t="n">
        <v>212.27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3.98</v>
      </c>
      <c r="U22" s="32" t="n">
        <v>39.67</v>
      </c>
      <c r="V22" s="32" t="n">
        <v>34.33</v>
      </c>
      <c r="W22" s="32" t="n">
        <v>16.22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Above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IF(B23=0,"",RANK(B23,$B$2:$B$45,0))</f>
        <v/>
      </c>
      <c r="B23" s="32">
        <f>SUM(N23,Y23,AA23,AC23,AE23,AG23,AI23,AK23,AM23,AO23,AQ23,AS23,AU23,AW23,AY23,BA23,BC23,BE23,BG23,BI23,BK23,BM23,BO23,BQ23,BS23,BU23,BW23,BY23,CA23)</f>
        <v/>
      </c>
      <c r="C23" s="33" t="inlineStr">
        <is>
          <t>CAPITALSFB</t>
        </is>
      </c>
      <c r="D23" s="33" t="inlineStr">
        <is>
          <t>Capital Small Finance Bank Ltd</t>
        </is>
      </c>
      <c r="E23" s="31" t="inlineStr">
        <is>
          <t>bank</t>
        </is>
      </c>
      <c r="F23" s="31" t="inlineStr">
        <is>
          <t>banks - private sector</t>
        </is>
      </c>
      <c r="G23" s="31" t="inlineStr">
        <is>
          <t>smallcap</t>
        </is>
      </c>
      <c r="H23" s="32" t="n">
        <v>1381.91</v>
      </c>
      <c r="I23" s="32" t="n">
        <v>303.95</v>
      </c>
      <c r="J23" s="32" t="n">
        <v>1.54</v>
      </c>
      <c r="K23" s="32" t="n">
        <v>187364</v>
      </c>
      <c r="L23" s="31" t="n">
        <v>22</v>
      </c>
      <c r="M23" s="31" t="inlineStr">
        <is>
          <t>Underperforming</t>
        </is>
      </c>
      <c r="N23" s="32">
        <f>IF(M23="Underperforming",-5,IF(L23&gt;=95,15,IF(L23&gt;=90,10,IF(L23&gt;=80,5,0))))</f>
        <v/>
      </c>
      <c r="O23" s="32" t="n">
        <v>63.98</v>
      </c>
      <c r="P23" s="32" t="n">
        <v>26.05</v>
      </c>
      <c r="Q23" s="32" t="n">
        <v>247.6</v>
      </c>
      <c r="R23" s="31" t="inlineStr">
        <is>
          <t>Volume Spike &amp; Near 52W High Breakout</t>
        </is>
      </c>
      <c r="S23" s="31" t="inlineStr">
        <is>
          <t>Nifty Bank</t>
        </is>
      </c>
      <c r="T23" s="32" t="n">
        <v>3.98</v>
      </c>
      <c r="U23" s="32" t="n">
        <v>1.29</v>
      </c>
      <c r="V23" s="32" t="n">
        <v>-2.58</v>
      </c>
      <c r="W23" s="32" t="n">
        <v>4.43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IF(B24=0,"",RANK(B24,$B$2:$B$45,0))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TFCILTD</t>
        </is>
      </c>
      <c r="D24" s="31" t="inlineStr">
        <is>
          <t>Tourism Finance Corporation Of India Limited</t>
        </is>
      </c>
      <c r="E24" s="31" t="inlineStr">
        <is>
          <t>financials</t>
        </is>
      </c>
      <c r="F24" s="31" t="inlineStr">
        <is>
          <t>finance - term-lending institutions</t>
        </is>
      </c>
      <c r="G24" s="31" t="inlineStr">
        <is>
          <t>smallcap</t>
        </is>
      </c>
      <c r="H24" s="32" t="n">
        <v>3936.7</v>
      </c>
      <c r="I24" s="32" t="n">
        <v>85.03</v>
      </c>
      <c r="J24" s="32" t="n">
        <v>1.52</v>
      </c>
      <c r="K24" s="32" t="n">
        <v>7217087</v>
      </c>
      <c r="L24" s="31" t="n">
        <v>60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63.62</v>
      </c>
      <c r="P24" s="32" t="n">
        <v>38.23</v>
      </c>
      <c r="Q24" s="32" t="n">
        <v>63.46</v>
      </c>
      <c r="R24" s="31" t="inlineStr">
        <is>
          <t>Volume Spike &amp; Near 52W High Breakout</t>
        </is>
      </c>
      <c r="S24" s="31" t="inlineStr">
        <is>
          <t>Nifty Bank</t>
        </is>
      </c>
      <c r="T24" s="32" t="n">
        <v>3.98</v>
      </c>
      <c r="U24" s="32" t="n">
        <v>49.16</v>
      </c>
      <c r="V24" s="32" t="n">
        <v>43.46</v>
      </c>
      <c r="W24" s="32" t="n">
        <v>12.31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Blue sky scenario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IF(B25=0,"",RANK(B25,$B$2:$B$45,0))</f>
        <v/>
      </c>
      <c r="B25" s="32">
        <f>SUM(N25,Y25,AA25,AC25,AE25,AG25,AI25,AK25,AM25,AO25,AQ25,AS25,AU25,AW25,AY25,BA25,BC25,BE25,BG25,BI25,BK25,BM25,BO25,BQ25,BS25,BU25,BW25,BY25,CA25)</f>
        <v/>
      </c>
      <c r="C25" s="33" t="inlineStr">
        <is>
          <t>SPANDANA</t>
        </is>
      </c>
      <c r="D25" s="33" t="inlineStr">
        <is>
          <t>Spandana Sphoorty Financial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smallcap</t>
        </is>
      </c>
      <c r="H25" s="32" t="n">
        <v>2631.71</v>
      </c>
      <c r="I25" s="32" t="n">
        <v>296.9</v>
      </c>
      <c r="J25" s="32" t="n">
        <v>-1.49</v>
      </c>
      <c r="K25" s="32" t="n">
        <v>237293</v>
      </c>
      <c r="L25" s="31" t="n">
        <v>40</v>
      </c>
      <c r="M25" s="31" t="inlineStr">
        <is>
          <t>Underperforming</t>
        </is>
      </c>
      <c r="N25" s="32">
        <f>IF(M25="Underperforming",-5,IF(L25&gt;=95,15,IF(L25&gt;=90,10,IF(L25&gt;=80,5,0))))</f>
        <v/>
      </c>
      <c r="O25" s="32" t="n">
        <v>60.21</v>
      </c>
      <c r="P25" s="32" t="n">
        <v>17.14</v>
      </c>
      <c r="Q25" s="32" t="n">
        <v>224.33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3.98</v>
      </c>
      <c r="U25" s="32" t="n">
        <v>1.94</v>
      </c>
      <c r="V25" s="32" t="n">
        <v>-1.96</v>
      </c>
      <c r="W25" s="32" t="n">
        <v>7.81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IF(B26=0,"",RANK(B26,$B$2:$B$45,0))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KARURVYSYA</t>
        </is>
      </c>
      <c r="D26" s="31" t="inlineStr">
        <is>
          <t>Karur Vysya Bank Limited</t>
        </is>
      </c>
      <c r="E26" s="31" t="inlineStr">
        <is>
          <t>bank</t>
        </is>
      </c>
      <c r="F26" s="31" t="inlineStr">
        <is>
          <t>banks - private sector</t>
        </is>
      </c>
      <c r="G26" s="31" t="inlineStr">
        <is>
          <t>largecap</t>
        </is>
      </c>
      <c r="H26" s="32" t="n">
        <v>29946.7</v>
      </c>
      <c r="I26" s="32" t="n">
        <v>309.8</v>
      </c>
      <c r="J26" s="32" t="n">
        <v>1.86</v>
      </c>
      <c r="K26" s="32" t="n">
        <v>1820679</v>
      </c>
      <c r="L26" s="31" t="n">
        <v>47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60.87</v>
      </c>
      <c r="P26" s="32" t="n">
        <v>12.87</v>
      </c>
      <c r="Q26" s="32" t="n">
        <v>253.68</v>
      </c>
      <c r="R26" s="31" t="inlineStr">
        <is>
          <t>Earnings / Momentum Support</t>
        </is>
      </c>
      <c r="S26" s="31" t="inlineStr">
        <is>
          <t>Nifty Bank</t>
        </is>
      </c>
      <c r="T26" s="32" t="n">
        <v>3.98</v>
      </c>
      <c r="U26" s="32" t="n">
        <v>40</v>
      </c>
      <c r="V26" s="32" t="n">
        <v>34.65</v>
      </c>
      <c r="W26" s="32" t="n">
        <v>9.48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IF(B27=0,"",RANK(B27,$B$2:$B$45,0))</f>
        <v/>
      </c>
      <c r="B27" s="32">
        <f>SUM(N27,Y27,AA27,AC27,AE27,AG27,AI27,AK27,AM27,AO27,AQ27,AS27,AU27,AW27,AY27,BA27,BC27,BE27,BG27,BI27,BK27,BM27,BO27,BQ27,BS27,BU27,BW27,BY27,CA27)</f>
        <v/>
      </c>
      <c r="C27" s="33" t="inlineStr">
        <is>
          <t>HOMEFIRST</t>
        </is>
      </c>
      <c r="D27" s="33" t="inlineStr">
        <is>
          <t>Home First Finance Company India Ltd</t>
        </is>
      </c>
      <c r="E27" s="31" t="inlineStr">
        <is>
          <t>financials</t>
        </is>
      </c>
      <c r="F27" s="31" t="inlineStr">
        <is>
          <t>finance - housing</t>
        </is>
      </c>
      <c r="G27" s="31" t="inlineStr">
        <is>
          <t>midcap</t>
        </is>
      </c>
      <c r="H27" s="32" t="n">
        <v>12955.45</v>
      </c>
      <c r="I27" s="32" t="n">
        <v>1241.8</v>
      </c>
      <c r="J27" s="32" t="n">
        <v>1.38</v>
      </c>
      <c r="K27" s="32" t="n">
        <v>66355</v>
      </c>
      <c r="L27" s="31" t="n">
        <v>8</v>
      </c>
      <c r="M27" s="31" t="inlineStr">
        <is>
          <t>Underperforming</t>
        </is>
      </c>
      <c r="N27" s="32">
        <f>IF(M27="Underperforming",-5,IF(L27&gt;=95,15,IF(L27&gt;=90,10,IF(L27&gt;=80,5,0))))</f>
        <v/>
      </c>
      <c r="O27" s="32" t="n">
        <v>61.88</v>
      </c>
      <c r="P27" s="32" t="n">
        <v>26.61</v>
      </c>
      <c r="Q27" s="32" t="n">
        <v>985.98</v>
      </c>
      <c r="R27" s="31" t="inlineStr">
        <is>
          <t>Earnings / Momentum Support</t>
        </is>
      </c>
      <c r="S27" s="31" t="inlineStr">
        <is>
          <t>Nifty Bank</t>
        </is>
      </c>
      <c r="T27" s="32" t="n">
        <v>3.98</v>
      </c>
      <c r="U27" s="32" t="n">
        <v>-8.630000000000001</v>
      </c>
      <c r="V27" s="32" t="n">
        <v>-12.13</v>
      </c>
      <c r="W27" s="32" t="n">
        <v>0.7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between 2.5x to 5x and Growth more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IF(B28=0,"",RANK(B28,$B$2:$B$45,0))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OFSS</t>
        </is>
      </c>
      <c r="D28" s="31" t="inlineStr">
        <is>
          <t>Oracle Financial Services Software Limited</t>
        </is>
      </c>
      <c r="E28" s="31" t="inlineStr">
        <is>
          <t>i.t</t>
        </is>
      </c>
      <c r="F28" s="31" t="inlineStr">
        <is>
          <t>computers - software - large</t>
        </is>
      </c>
      <c r="G28" s="31" t="inlineStr">
        <is>
          <t>largecap</t>
        </is>
      </c>
      <c r="H28" s="32" t="n">
        <v>102492.61</v>
      </c>
      <c r="I28" s="32" t="n">
        <v>11771</v>
      </c>
      <c r="J28" s="32" t="n">
        <v>0.77</v>
      </c>
      <c r="K28" s="32" t="n">
        <v>299599</v>
      </c>
      <c r="L28" s="31" t="n">
        <v>78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76.70999999999999</v>
      </c>
      <c r="P28" s="32" t="n">
        <v>33.39</v>
      </c>
      <c r="Q28" s="32" t="n">
        <v>9587.870000000001</v>
      </c>
      <c r="R28" s="31" t="inlineStr">
        <is>
          <t>Near 52W High Breakout</t>
        </is>
      </c>
      <c r="S28" s="31" t="inlineStr">
        <is>
          <t>Nifty IT</t>
        </is>
      </c>
      <c r="T28" s="32" t="n">
        <v>-21.31</v>
      </c>
      <c r="U28" s="32" t="n">
        <v>39.88</v>
      </c>
      <c r="V28" s="32" t="n">
        <v>77.76000000000001</v>
      </c>
      <c r="W28" s="32" t="n">
        <v>19.07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above 5x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Above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Blue sky scenario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IF(B29=0,"",RANK(B29,$B$2:$B$45,0))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IIFL</t>
        </is>
      </c>
      <c r="D29" s="31" t="inlineStr">
        <is>
          <t>IIFL Finance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largecap</t>
        </is>
      </c>
      <c r="H29" s="32" t="n">
        <v>23614.04</v>
      </c>
      <c r="I29" s="32" t="n">
        <v>555.2</v>
      </c>
      <c r="J29" s="32" t="n">
        <v>-2.1</v>
      </c>
      <c r="K29" s="32" t="n">
        <v>2053028</v>
      </c>
      <c r="L29" s="31" t="n">
        <v>31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61.04</v>
      </c>
      <c r="P29" s="32" t="n">
        <v>17.44</v>
      </c>
      <c r="Q29" s="32" t="n">
        <v>427.49</v>
      </c>
      <c r="R29" s="31" t="inlineStr">
        <is>
          <t>Earnings / Momentum Support</t>
        </is>
      </c>
      <c r="S29" s="31" t="inlineStr">
        <is>
          <t>Nifty Bank</t>
        </is>
      </c>
      <c r="T29" s="32" t="n">
        <v>3.98</v>
      </c>
      <c r="U29" s="32" t="n">
        <v>4.95</v>
      </c>
      <c r="V29" s="32" t="n">
        <v>0.93</v>
      </c>
      <c r="W29" s="32" t="n">
        <v>6.1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more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IF(B30=0,"",RANK(B30,$B$2:$B$45,0))</f>
        <v/>
      </c>
      <c r="B30" s="32">
        <f>SUM(N30,Y30,AA30,AC30,AE30,AG30,AI30,AK30,AM30,AO30,AQ30,AS30,AU30,AW30,AY30,BA30,BC30,BE30,BG30,BI30,BK30,BM30,BO30,BQ30,BS30,BU30,BW30,BY30,CA30)</f>
        <v/>
      </c>
      <c r="C30" s="33" t="inlineStr">
        <is>
          <t>SHAREINDIA</t>
        </is>
      </c>
      <c r="D30" s="33" t="inlineStr">
        <is>
          <t>Share India Securities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smallcap</t>
        </is>
      </c>
      <c r="H30" s="32" t="n">
        <v>3878.46</v>
      </c>
      <c r="I30" s="32" t="n">
        <v>177.24</v>
      </c>
      <c r="J30" s="32" t="n">
        <v>3.49</v>
      </c>
      <c r="K30" s="32" t="n">
        <v>5547369</v>
      </c>
      <c r="L30" s="31" t="n">
        <v>28</v>
      </c>
      <c r="M30" s="31" t="inlineStr">
        <is>
          <t>Underperforming</t>
        </is>
      </c>
      <c r="N30" s="32">
        <f>IF(M30="Underperforming",-5,IF(L30&gt;=95,15,IF(L30&gt;=90,10,IF(L30&gt;=80,5,0))))</f>
        <v/>
      </c>
      <c r="O30" s="32" t="n">
        <v>65.34</v>
      </c>
      <c r="P30" s="32" t="n">
        <v>12.73</v>
      </c>
      <c r="Q30" s="32" t="n">
        <v>132.6</v>
      </c>
      <c r="R30" s="31" t="inlineStr">
        <is>
          <t>Earnings / Momentum Support</t>
        </is>
      </c>
      <c r="S30" s="31" t="inlineStr">
        <is>
          <t>Nifty Bank</t>
        </is>
      </c>
      <c r="T30" s="32" t="n">
        <v>3.98</v>
      </c>
      <c r="U30" s="32" t="n">
        <v>0.86</v>
      </c>
      <c r="V30" s="32" t="n">
        <v>-3</v>
      </c>
      <c r="W30" s="32" t="n">
        <v>5.64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IF(B31=0,"",RANK(B31,$B$2:$B$45,0))</f>
        <v/>
      </c>
      <c r="B31" s="32">
        <f>SUM(N31,Y31,AA31,AC31,AE31,AG31,AI31,AK31,AM31,AO31,AQ31,AS31,AU31,AW31,AY31,BA31,BC31,BE31,BG31,BI31,BK31,BM31,BO31,BQ31,BS31,BU31,BW31,BY31,CA31)</f>
        <v/>
      </c>
      <c r="C31" s="33" t="inlineStr">
        <is>
          <t>APTUS</t>
        </is>
      </c>
      <c r="D31" s="33" t="inlineStr">
        <is>
          <t>Aptus Value Housing Finance India Ltd</t>
        </is>
      </c>
      <c r="E31" s="31" t="inlineStr">
        <is>
          <t>financials</t>
        </is>
      </c>
      <c r="F31" s="31" t="inlineStr">
        <is>
          <t>finance - housing</t>
        </is>
      </c>
      <c r="G31" s="31" t="inlineStr">
        <is>
          <t>midcap</t>
        </is>
      </c>
      <c r="H31" s="32" t="n">
        <v>15366.83</v>
      </c>
      <c r="I31" s="32" t="n">
        <v>306.85</v>
      </c>
      <c r="J31" s="32" t="n">
        <v>2.3</v>
      </c>
      <c r="K31" s="32" t="n">
        <v>1598128</v>
      </c>
      <c r="L31" s="31" t="n">
        <v>19</v>
      </c>
      <c r="M31" s="31" t="inlineStr">
        <is>
          <t>Underperforming</t>
        </is>
      </c>
      <c r="N31" s="32">
        <f>IF(M31="Underperforming",-5,IF(L31&gt;=95,15,IF(L31&gt;=90,10,IF(L31&gt;=80,5,0))))</f>
        <v/>
      </c>
      <c r="O31" s="32" t="n">
        <v>65.23999999999999</v>
      </c>
      <c r="P31" s="32" t="n">
        <v>17.96</v>
      </c>
      <c r="Q31" s="32" t="n">
        <v>245.11</v>
      </c>
      <c r="R31" s="31" t="inlineStr">
        <is>
          <t>Volume Spike / Accumulation</t>
        </is>
      </c>
      <c r="S31" s="31" t="inlineStr">
        <is>
          <t>Nifty Bank</t>
        </is>
      </c>
      <c r="T31" s="32" t="n">
        <v>3.98</v>
      </c>
      <c r="U31" s="32" t="n">
        <v>-11.09</v>
      </c>
      <c r="V31" s="32" t="n">
        <v>-14.5</v>
      </c>
      <c r="W31" s="32" t="n">
        <v>3.75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between 2.5x to 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IF(B32=0,"",RANK(B32,$B$2:$B$45,0))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GEOJITFSL</t>
        </is>
      </c>
      <c r="D32" s="31" t="inlineStr">
        <is>
          <t>Geojit Financial Services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smallcap</t>
        </is>
      </c>
      <c r="H32" s="32" t="n">
        <v>2263.12</v>
      </c>
      <c r="I32" s="32" t="n">
        <v>81.08</v>
      </c>
      <c r="J32" s="32" t="n">
        <v>-1.71</v>
      </c>
      <c r="K32" s="32" t="n">
        <v>323801</v>
      </c>
      <c r="L32" s="31" t="n">
        <v>35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66.06</v>
      </c>
      <c r="P32" s="32" t="n">
        <v>13.27</v>
      </c>
      <c r="Q32" s="32" t="n">
        <v>64.29000000000001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3.98</v>
      </c>
      <c r="U32" s="32" t="n">
        <v>9.42</v>
      </c>
      <c r="V32" s="32" t="n">
        <v>5.24</v>
      </c>
      <c r="W32" s="32" t="n">
        <v>6.78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less than 2.5x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IF(B33=0,"",RANK(B33,$B$2:$B$45,0))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ESAFSFB</t>
        </is>
      </c>
      <c r="D33" s="31" t="inlineStr">
        <is>
          <t>ESAF Small Finance Bank Ltd</t>
        </is>
      </c>
      <c r="E33" s="31" t="inlineStr">
        <is>
          <t>bank</t>
        </is>
      </c>
      <c r="F33" s="31" t="inlineStr">
        <is>
          <t>banks - private sector</t>
        </is>
      </c>
      <c r="G33" s="31" t="inlineStr">
        <is>
          <t>smallcap</t>
        </is>
      </c>
      <c r="H33" s="32" t="n">
        <v>1815.13</v>
      </c>
      <c r="I33" s="32" t="n">
        <v>35.2</v>
      </c>
      <c r="J33" s="32" t="n">
        <v>-2.38</v>
      </c>
      <c r="K33" s="32" t="n">
        <v>899746</v>
      </c>
      <c r="L33" s="31" t="n">
        <v>61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63.92</v>
      </c>
      <c r="P33" s="32" t="n">
        <v>25.33</v>
      </c>
      <c r="Q33" s="32" t="n">
        <v>27.27</v>
      </c>
      <c r="R33" s="31" t="inlineStr">
        <is>
          <t>Near 52W High Breakout</t>
        </is>
      </c>
      <c r="S33" s="31" t="inlineStr">
        <is>
          <t>Nifty Bank</t>
        </is>
      </c>
      <c r="T33" s="32" t="n">
        <v>3.98</v>
      </c>
      <c r="U33" s="32" t="n">
        <v>5.55</v>
      </c>
      <c r="V33" s="32" t="n">
        <v>1.51</v>
      </c>
      <c r="W33" s="32" t="n">
        <v>12.65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IF(B34=0,"",RANK(B34,$B$2:$B$45,0))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BAJFINANCE</t>
        </is>
      </c>
      <c r="D34" s="31" t="inlineStr">
        <is>
          <t>Bajaj Finance Limited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largecap</t>
        </is>
      </c>
      <c r="H34" s="32" t="n">
        <v>657280.76</v>
      </c>
      <c r="I34" s="32" t="n">
        <v>1056.3</v>
      </c>
      <c r="J34" s="32" t="n">
        <v>1.8</v>
      </c>
      <c r="K34" s="32" t="n">
        <v>12882360</v>
      </c>
      <c r="L34" s="31" t="n">
        <v>33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64.09</v>
      </c>
      <c r="P34" s="32" t="n">
        <v>10.85</v>
      </c>
      <c r="Q34" s="32" t="n">
        <v>879.23</v>
      </c>
      <c r="R34" s="31" t="inlineStr">
        <is>
          <t>Near 52W High Breakout</t>
        </is>
      </c>
      <c r="S34" s="31" t="inlineStr">
        <is>
          <t>Nifty Bank</t>
        </is>
      </c>
      <c r="T34" s="32" t="n">
        <v>3.98</v>
      </c>
      <c r="U34" s="32" t="n">
        <v>12.82</v>
      </c>
      <c r="V34" s="32" t="n">
        <v>8.51</v>
      </c>
      <c r="W34" s="32" t="n">
        <v>6.4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above 5x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Blue sky scenario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IF(B35=0,"",RANK(B35,$B$2:$B$45,0))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MOTILALOFS</t>
        </is>
      </c>
      <c r="D35" s="31" t="inlineStr">
        <is>
          <t>Motilal Oswal Financial Services Limited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largecap</t>
        </is>
      </c>
      <c r="H35" s="32" t="n">
        <v>58233.61</v>
      </c>
      <c r="I35" s="32" t="n">
        <v>967.1</v>
      </c>
      <c r="J35" s="32" t="n">
        <v>1.28</v>
      </c>
      <c r="K35" s="32" t="n">
        <v>474373</v>
      </c>
      <c r="L35" s="31" t="n">
        <v>29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63.61</v>
      </c>
      <c r="P35" s="32" t="n">
        <v>15.66</v>
      </c>
      <c r="Q35" s="32" t="n">
        <v>795.59</v>
      </c>
      <c r="R35" s="31" t="inlineStr">
        <is>
          <t>Earnings / Momentum Support</t>
        </is>
      </c>
      <c r="S35" s="31" t="inlineStr">
        <is>
          <t>Nifty Bank</t>
        </is>
      </c>
      <c r="T35" s="32" t="n">
        <v>3.98</v>
      </c>
      <c r="U35" s="32" t="n">
        <v>6.94</v>
      </c>
      <c r="V35" s="32" t="n">
        <v>2.85</v>
      </c>
      <c r="W35" s="32" t="n">
        <v>5.74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between 2.5x to 5x and Growth more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IF(B36=0,"",RANK(B36,$B$2:$B$45,0))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POONAWALLA</t>
        </is>
      </c>
      <c r="D36" s="31" t="inlineStr">
        <is>
          <t>Poonawalla Fincorp Ltd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largecap</t>
        </is>
      </c>
      <c r="H36" s="32" t="n">
        <v>42026.2</v>
      </c>
      <c r="I36" s="32" t="n">
        <v>477.3</v>
      </c>
      <c r="J36" s="32" t="n">
        <v>1.09</v>
      </c>
      <c r="K36" s="32" t="n">
        <v>1447885</v>
      </c>
      <c r="L36" s="31" t="n">
        <v>24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60.5</v>
      </c>
      <c r="P36" s="32" t="n">
        <v>11.04</v>
      </c>
      <c r="Q36" s="32" t="n">
        <v>377.71</v>
      </c>
      <c r="R36" s="31" t="inlineStr">
        <is>
          <t>Earnings / Momentum Support</t>
        </is>
      </c>
      <c r="S36" s="31" t="inlineStr">
        <is>
          <t>Nifty Bank</t>
        </is>
      </c>
      <c r="T36" s="32" t="n">
        <v>3.98</v>
      </c>
      <c r="U36" s="32" t="n">
        <v>5.55</v>
      </c>
      <c r="V36" s="32" t="n">
        <v>1.51</v>
      </c>
      <c r="W36" s="32" t="n">
        <v>4.89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between 2.5x to 5x and Growth more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IF(B37=0,"",RANK(B37,$B$2:$B$45,0))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NUVAMA</t>
        </is>
      </c>
      <c r="D37" s="31" t="inlineStr">
        <is>
          <t>Nuvama Wealth Management Ltd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largecap</t>
        </is>
      </c>
      <c r="H37" s="32" t="n">
        <v>34006.94</v>
      </c>
      <c r="I37" s="32" t="n">
        <v>1863.1</v>
      </c>
      <c r="J37" s="32" t="n">
        <v>0.9</v>
      </c>
      <c r="K37" s="32" t="n">
        <v>216726</v>
      </c>
      <c r="L37" s="31" t="n">
        <v>59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66.19</v>
      </c>
      <c r="P37" s="32" t="n">
        <v>34.07</v>
      </c>
      <c r="Q37" s="32" t="n">
        <v>1584.2</v>
      </c>
      <c r="R37" s="31" t="inlineStr">
        <is>
          <t>Earnings / Momentum Support</t>
        </is>
      </c>
      <c r="S37" s="31" t="inlineStr">
        <is>
          <t>Nifty Bank</t>
        </is>
      </c>
      <c r="T37" s="32" t="n">
        <v>3.98</v>
      </c>
      <c r="U37" s="32" t="n">
        <v>22.84</v>
      </c>
      <c r="V37" s="32" t="n">
        <v>18.14</v>
      </c>
      <c r="W37" s="32" t="n">
        <v>12.08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above 5x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20 to 40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IF(B38=0,"",RANK(B38,$B$2:$B$45,0))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CHOLAFIN</t>
        </is>
      </c>
      <c r="D38" s="31" t="inlineStr">
        <is>
          <t>Cholamandalam Investment And Finance Company Limited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largecap</t>
        </is>
      </c>
      <c r="H38" s="32" t="n">
        <v>153784.19</v>
      </c>
      <c r="I38" s="32" t="n">
        <v>1804.9</v>
      </c>
      <c r="J38" s="32" t="n">
        <v>0.88</v>
      </c>
      <c r="K38" s="32" t="n">
        <v>791604</v>
      </c>
      <c r="L38" s="31" t="n">
        <v>32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61.64</v>
      </c>
      <c r="P38" s="32" t="n">
        <v>12.17</v>
      </c>
      <c r="Q38" s="32" t="n">
        <v>1471.6</v>
      </c>
      <c r="R38" s="31" t="inlineStr">
        <is>
          <t>Near 52W High Breakout</t>
        </is>
      </c>
      <c r="S38" s="31" t="inlineStr">
        <is>
          <t>Nifty Bank</t>
        </is>
      </c>
      <c r="T38" s="32" t="n">
        <v>3.98</v>
      </c>
      <c r="U38" s="32" t="n">
        <v>16.24</v>
      </c>
      <c r="V38" s="32" t="n">
        <v>11.79</v>
      </c>
      <c r="W38" s="32" t="n">
        <v>6.16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above 5x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Blue sky scenario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IF(B39=0,"",RANK(B39,$B$2:$B$45,0))</f>
        <v/>
      </c>
      <c r="B39" s="32">
        <f>SUM(N39,Y39,AA39,AC39,AE39,AG39,AI39,AK39,AM39,AO39,AQ39,AS39,AU39,AW39,AY39,BA39,BC39,BE39,BG39,BI39,BK39,BM39,BO39,BQ39,BS39,BU39,BW39,BY39,CA39)</f>
        <v/>
      </c>
      <c r="C39" s="31" t="inlineStr">
        <is>
          <t>CHOICEIN</t>
        </is>
      </c>
      <c r="D39" s="31" t="inlineStr">
        <is>
          <t>Choice International Ltd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midcap</t>
        </is>
      </c>
      <c r="H39" s="32" t="n">
        <v>18018.16</v>
      </c>
      <c r="I39" s="32" t="n">
        <v>808.8</v>
      </c>
      <c r="J39" s="32" t="n">
        <v>0.27</v>
      </c>
      <c r="K39" s="32" t="n">
        <v>723085</v>
      </c>
      <c r="L39" s="31" t="n">
        <v>21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60.9</v>
      </c>
      <c r="P39" s="32" t="n">
        <v>19.93</v>
      </c>
      <c r="Q39" s="32" t="n">
        <v>679.36</v>
      </c>
      <c r="R39" s="31" t="inlineStr">
        <is>
          <t>Near 52W High Breakout</t>
        </is>
      </c>
      <c r="S39" s="31" t="inlineStr">
        <is>
          <t>Nifty Bank</t>
        </is>
      </c>
      <c r="T39" s="32" t="n">
        <v>3.98</v>
      </c>
      <c r="U39" s="32" t="n">
        <v>7.4</v>
      </c>
      <c r="V39" s="32" t="n">
        <v>3.3</v>
      </c>
      <c r="W39" s="32" t="n">
        <v>4.1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above 5x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2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Blue sky scenario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IF(B40=0,"",RANK(B40,$B$2:$B$45,0))</f>
        <v/>
      </c>
      <c r="B40" s="32">
        <f>SUM(N40,Y40,AA40,AC40,AE40,AG40,AI40,AK40,AM40,AO40,AQ40,AS40,AU40,AW40,AY40,BA40,BC40,BE40,BG40,BI40,BK40,BM40,BO40,BQ40,BS40,BU40,BW40,BY40,CA40)</f>
        <v/>
      </c>
      <c r="C40" s="33" t="inlineStr">
        <is>
          <t>ICICIBANK</t>
        </is>
      </c>
      <c r="D40" s="33" t="inlineStr">
        <is>
          <t>Icici Bank Limited</t>
        </is>
      </c>
      <c r="E40" s="31" t="inlineStr">
        <is>
          <t>bank</t>
        </is>
      </c>
      <c r="F40" s="31" t="inlineStr">
        <is>
          <t>banks - private sector</t>
        </is>
      </c>
      <c r="G40" s="31" t="inlineStr">
        <is>
          <t>largecap</t>
        </is>
      </c>
      <c r="H40" s="32" t="n">
        <v>1036085.32</v>
      </c>
      <c r="I40" s="32" t="n">
        <v>1444.3</v>
      </c>
      <c r="J40" s="32" t="n">
        <v>1.84</v>
      </c>
      <c r="K40" s="32" t="n">
        <v>11112550</v>
      </c>
      <c r="L40" s="31" t="n">
        <v>11</v>
      </c>
      <c r="M40" s="31" t="inlineStr">
        <is>
          <t>Underperforming</t>
        </is>
      </c>
      <c r="N40" s="32">
        <f>IF(M40="Underperforming",-5,IF(L40&gt;=95,15,IF(L40&gt;=90,10,IF(L40&gt;=80,5,0))))</f>
        <v/>
      </c>
      <c r="O40" s="32" t="n">
        <v>64.09999999999999</v>
      </c>
      <c r="P40" s="32" t="n">
        <v>13.06</v>
      </c>
      <c r="Q40" s="32" t="n">
        <v>1266.31</v>
      </c>
      <c r="R40" s="31" t="inlineStr">
        <is>
          <t>Near 52W High Breakout</t>
        </is>
      </c>
      <c r="S40" s="31" t="inlineStr">
        <is>
          <t>Nifty Bank</t>
        </is>
      </c>
      <c r="T40" s="32" t="n">
        <v>3.98</v>
      </c>
      <c r="U40" s="32" t="n">
        <v>2.08</v>
      </c>
      <c r="V40" s="32" t="n">
        <v>-1.83</v>
      </c>
      <c r="W40" s="32" t="n">
        <v>1.94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between 2.5x to 5x and Growth less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2</t>
        </is>
      </c>
      <c r="BQ40" s="31">
        <f>IF(BP40="Stage 2",20,IF(BP40="Stage 1",0,IF(BP40="Stage 3",5,IF(BP40="Stage 4",-5,0))))</f>
        <v/>
      </c>
      <c r="BR40" s="31" t="inlineStr">
        <is>
          <t>Positive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Blue sky scenario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IF(B41=0,"",RANK(B41,$B$2:$B$45,0))</f>
        <v/>
      </c>
      <c r="B41" s="32">
        <f>SUM(N41,Y41,AA41,AC41,AE41,AG41,AI41,AK41,AM41,AO41,AQ41,AS41,AU41,AW41,AY41,BA41,BC41,BE41,BG41,BI41,BK41,BM41,BO41,BQ41,BS41,BU41,BW41,BY41,CA41)</f>
        <v/>
      </c>
      <c r="C41" s="31" t="inlineStr">
        <is>
          <t>SBIN</t>
        </is>
      </c>
      <c r="D41" s="31" t="inlineStr">
        <is>
          <t>State Bank Of India Ltd</t>
        </is>
      </c>
      <c r="E41" s="31" t="inlineStr">
        <is>
          <t>bank</t>
        </is>
      </c>
      <c r="F41" s="31" t="inlineStr">
        <is>
          <t>banks - public sector</t>
        </is>
      </c>
      <c r="G41" s="31" t="inlineStr">
        <is>
          <t>largecap</t>
        </is>
      </c>
      <c r="H41" s="32" t="n">
        <v>963953.39</v>
      </c>
      <c r="I41" s="32" t="n">
        <v>1044.3</v>
      </c>
      <c r="J41" s="32" t="n">
        <v>1.27</v>
      </c>
      <c r="K41" s="32" t="n">
        <v>8452780</v>
      </c>
      <c r="L41" s="31" t="n">
        <v>26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55.48</v>
      </c>
      <c r="P41" s="32" t="n">
        <v>8.210000000000001</v>
      </c>
      <c r="Q41" s="32" t="n">
        <v>940.67</v>
      </c>
      <c r="R41" s="31" t="inlineStr">
        <is>
          <t>Earnings / Momentum Support</t>
        </is>
      </c>
      <c r="S41" s="31" t="inlineStr">
        <is>
          <t>Nifty Bank</t>
        </is>
      </c>
      <c r="T41" s="32" t="n">
        <v>3.98</v>
      </c>
      <c r="U41" s="32" t="n">
        <v>29.12</v>
      </c>
      <c r="V41" s="32" t="n">
        <v>24.18</v>
      </c>
      <c r="W41" s="32" t="n">
        <v>5.14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less than 2.5x and Growth less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2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IF(B42=0,"",RANK(B42,$B$2:$B$45,0))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ARMANFIN</t>
        </is>
      </c>
      <c r="D42" s="31" t="inlineStr">
        <is>
          <t>Arman Financial Services Limited</t>
        </is>
      </c>
      <c r="E42" s="31" t="inlineStr">
        <is>
          <t>financials</t>
        </is>
      </c>
      <c r="F42" s="31" t="inlineStr">
        <is>
          <t>finance &amp; investments</t>
        </is>
      </c>
      <c r="G42" s="31" t="inlineStr">
        <is>
          <t>smallcap</t>
        </is>
      </c>
      <c r="H42" s="32" t="n">
        <v>2058.64</v>
      </c>
      <c r="I42" s="32" t="n">
        <v>1958.2</v>
      </c>
      <c r="J42" s="32" t="n">
        <v>-0.18</v>
      </c>
      <c r="K42" s="32" t="n">
        <v>30012</v>
      </c>
      <c r="L42" s="31" t="n">
        <v>50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65.45999999999999</v>
      </c>
      <c r="P42" s="32" t="n">
        <v>15.59</v>
      </c>
      <c r="Q42" s="32" t="n">
        <v>1466.99</v>
      </c>
      <c r="R42" s="31" t="inlineStr">
        <is>
          <t>Volume Spike &amp; Near 52W High Breakout</t>
        </is>
      </c>
      <c r="S42" s="31" t="inlineStr">
        <is>
          <t>Nifty Bank</t>
        </is>
      </c>
      <c r="T42" s="32" t="n">
        <v>3.98</v>
      </c>
      <c r="U42" s="32" t="n">
        <v>20.77</v>
      </c>
      <c r="V42" s="32" t="n">
        <v>16.15</v>
      </c>
      <c r="W42" s="32" t="n">
        <v>9.73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Cyclical in an Uptick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Not Applicable</t>
        </is>
      </c>
      <c r="AK42" s="31">
        <f>IF(AJ42="Yes",10,0)</f>
        <v/>
      </c>
      <c r="AL42" s="31" t="inlineStr">
        <is>
          <t>Yes</t>
        </is>
      </c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Not Applicable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between 2.5x to 5x and Growth more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20 to 40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2</t>
        </is>
      </c>
      <c r="BQ42" s="31">
        <f>IF(BP42="Stage 2",20,IF(BP42="Stage 1",0,IF(BP42="Stage 3",5,IF(BP42="Stage 4",-5,0))))</f>
        <v/>
      </c>
      <c r="BR42" s="31" t="inlineStr">
        <is>
          <t>Positive Trend</t>
        </is>
      </c>
      <c r="BS42" s="31">
        <f>IF(BR42="Positive Trend",20,IF(BR42="Negative Trend",-10,0))</f>
        <v/>
      </c>
      <c r="BT42" s="31" t="inlineStr">
        <is>
          <t>Sideways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IF(B43=0,"",RANK(B43,$B$2:$B$45,0))</f>
        <v/>
      </c>
      <c r="B43" s="32">
        <f>SUM(N43,Y43,AA43,AC43,AE43,AG43,AI43,AK43,AM43,AO43,AQ43,AS43,AU43,AW43,AY43,BA43,BC43,BE43,BG43,BI43,BK43,BM43,BO43,BQ43,BS43,BU43,BW43,BY43,CA43)</f>
        <v/>
      </c>
      <c r="C43" s="31" t="inlineStr">
        <is>
          <t>IDFCFIRSTB</t>
        </is>
      </c>
      <c r="D43" s="31" t="inlineStr">
        <is>
          <t>IDFC First Bank Ltd</t>
        </is>
      </c>
      <c r="E43" s="31" t="inlineStr">
        <is>
          <t>bank</t>
        </is>
      </c>
      <c r="F43" s="31" t="inlineStr">
        <is>
          <t>banks - private sector</t>
        </is>
      </c>
      <c r="G43" s="31" t="inlineStr">
        <is>
          <t>largecap</t>
        </is>
      </c>
      <c r="H43" s="32" t="n">
        <v>69114.64999999999</v>
      </c>
      <c r="I43" s="32" t="n">
        <v>80.34999999999999</v>
      </c>
      <c r="J43" s="32" t="n">
        <v>1.35</v>
      </c>
      <c r="K43" s="32" t="n">
        <v>12269443</v>
      </c>
      <c r="L43" s="31" t="n">
        <v>32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60.84</v>
      </c>
      <c r="P43" s="32" t="n">
        <v>18.2</v>
      </c>
      <c r="Q43" s="32" t="n">
        <v>68.40000000000001</v>
      </c>
      <c r="R43" s="31" t="inlineStr">
        <is>
          <t>Earnings / Momentum Support</t>
        </is>
      </c>
      <c r="S43" s="31" t="inlineStr">
        <is>
          <t>Nifty Bank</t>
        </is>
      </c>
      <c r="T43" s="32" t="n">
        <v>3.98</v>
      </c>
      <c r="U43" s="32" t="n">
        <v>9.93</v>
      </c>
      <c r="V43" s="32" t="n">
        <v>5.73</v>
      </c>
      <c r="W43" s="32" t="n">
        <v>6.24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No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less than 2.5x and Growth less than 20%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0 to 20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2</t>
        </is>
      </c>
      <c r="BQ43" s="31">
        <f>IF(BP43="Stage 2",20,IF(BP43="Stage 1",0,IF(BP43="Stage 3",5,IF(BP43="Stage 4",-5,0))))</f>
        <v/>
      </c>
      <c r="BR43" s="31" t="inlineStr">
        <is>
          <t>Positive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IF(B44=0,"",RANK(B44,$B$2:$B$45,0))</f>
        <v/>
      </c>
      <c r="B44" s="32">
        <f>SUM(N44,Y44,AA44,AC44,AE44,AG44,AI44,AK44,AM44,AO44,AQ44,AS44,AU44,AW44,AY44,BA44,BC44,BE44,BG44,BI44,BK44,BM44,BO44,BQ44,BS44,BU44,BW44,BY44,CA44)</f>
        <v/>
      </c>
      <c r="C44" s="33" t="inlineStr">
        <is>
          <t>AIIL</t>
        </is>
      </c>
      <c r="D44" s="33" t="inlineStr">
        <is>
          <t>Authum Investment &amp; Infrastructure Ltd</t>
        </is>
      </c>
      <c r="E44" s="31" t="inlineStr">
        <is>
          <t>financials</t>
        </is>
      </c>
      <c r="F44" s="31" t="inlineStr">
        <is>
          <t>finance &amp; investments</t>
        </is>
      </c>
      <c r="G44" s="31" t="inlineStr">
        <is>
          <t>largecap</t>
        </is>
      </c>
      <c r="H44" s="32" t="n">
        <v>48490.78</v>
      </c>
      <c r="I44" s="32" t="n">
        <v>571</v>
      </c>
      <c r="J44" s="32" t="n">
        <v>9.880000000000001</v>
      </c>
      <c r="K44" s="32" t="n">
        <v>2640042</v>
      </c>
      <c r="L44" s="31" t="n">
        <v>34</v>
      </c>
      <c r="M44" s="31" t="inlineStr">
        <is>
          <t>Underperforming</t>
        </is>
      </c>
      <c r="N44" s="32">
        <f>IF(M44="Underperforming",-5,IF(L44&gt;=95,15,IF(L44&gt;=90,10,IF(L44&gt;=80,5,0))))</f>
        <v/>
      </c>
      <c r="O44" s="32" t="n">
        <v>58.89</v>
      </c>
      <c r="P44" s="32" t="n">
        <v>9.449999999999999</v>
      </c>
      <c r="Q44" s="32" t="n">
        <v>413.82</v>
      </c>
      <c r="R44" s="31" t="inlineStr">
        <is>
          <t>Earnings / Momentum Support</t>
        </is>
      </c>
      <c r="S44" s="31" t="inlineStr">
        <is>
          <t>Nifty Bank</t>
        </is>
      </c>
      <c r="T44" s="32" t="n">
        <v>3.98</v>
      </c>
      <c r="U44" s="32" t="n">
        <v>1.79</v>
      </c>
      <c r="V44" s="32" t="n">
        <v>-2.1</v>
      </c>
      <c r="W44" s="32" t="n">
        <v>6.73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No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between 2.5x to 5x and Growth less than 20%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0 to 20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2</t>
        </is>
      </c>
      <c r="BQ44" s="31">
        <f>IF(BP44="Stage 2",20,IF(BP44="Stage 1",0,IF(BP44="Stage 3",5,IF(BP44="Stage 4",-5,0))))</f>
        <v/>
      </c>
      <c r="BR44" s="31" t="inlineStr">
        <is>
          <t>Positive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IF(B45=0,"",RANK(B45,$B$2:$B$45,0))</f>
        <v/>
      </c>
      <c r="B45" s="32">
        <f>SUM(N45,Y45,AA45,AC45,AE45,AG45,AI45,AK45,AM45,AO45,AQ45,AS45,AU45,AW45,AY45,BA45,BC45,BE45,BG45,BI45,BK45,BM45,BO45,BQ45,BS45,BU45,BW45,BY45,CA45)</f>
        <v/>
      </c>
      <c r="C45" s="33" t="inlineStr">
        <is>
          <t>INDIASHLTR</t>
        </is>
      </c>
      <c r="D45" s="33" t="inlineStr">
        <is>
          <t>India Shelter Finance Corporation Ltd</t>
        </is>
      </c>
      <c r="E45" s="31" t="inlineStr">
        <is>
          <t>financials</t>
        </is>
      </c>
      <c r="F45" s="31" t="inlineStr">
        <is>
          <t>finance - housing</t>
        </is>
      </c>
      <c r="G45" s="31" t="inlineStr">
        <is>
          <t>midcap</t>
        </is>
      </c>
      <c r="H45" s="32" t="n">
        <v>8867.620000000001</v>
      </c>
      <c r="I45" s="32" t="n">
        <v>815.35</v>
      </c>
      <c r="J45" s="32" t="n">
        <v>0.03</v>
      </c>
      <c r="K45" s="32" t="n">
        <v>78376</v>
      </c>
      <c r="L45" s="31" t="n">
        <v>1</v>
      </c>
      <c r="M45" s="31" t="inlineStr">
        <is>
          <t>Underperforming</t>
        </is>
      </c>
      <c r="N45" s="32">
        <f>IF(M45="Underperforming",-5,IF(L45&gt;=95,15,IF(L45&gt;=90,10,IF(L45&gt;=80,5,0))))</f>
        <v/>
      </c>
      <c r="O45" s="32" t="n">
        <v>56.7</v>
      </c>
      <c r="P45" s="32" t="n">
        <v>7.06</v>
      </c>
      <c r="Q45" s="32" t="n">
        <v>673.55</v>
      </c>
      <c r="R45" s="31" t="inlineStr">
        <is>
          <t>Earnings / Momentum Support</t>
        </is>
      </c>
      <c r="S45" s="31" t="inlineStr">
        <is>
          <t>Nifty Bank</t>
        </is>
      </c>
      <c r="T45" s="32" t="n">
        <v>3.98</v>
      </c>
      <c r="U45" s="32" t="n">
        <v>-15.15</v>
      </c>
      <c r="V45" s="32" t="n">
        <v>-18.4</v>
      </c>
      <c r="W45" s="32" t="n">
        <v>-2.45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No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between 2.5x to 5x and Growth more than 20%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0 to 20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1</t>
        </is>
      </c>
      <c r="BQ45" s="31">
        <f>IF(BP45="Stage 2",20,IF(BP45="Stage 1",0,IF(BP45="Stage 3",5,IF(BP45="Stage 4",-5,0))))</f>
        <v/>
      </c>
      <c r="BR45" s="31" t="inlineStr">
        <is>
          <t>Positive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</sheetData>
  <autoFilter ref="A1:CA45"/>
  <conditionalFormatting sqref="B2:B4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5">
    <cfRule type="cellIs" priority="34" operator="equal" dxfId="3" stopIfTrue="1">
      <formula>"Underperforming"</formula>
    </cfRule>
  </conditionalFormatting>
  <conditionalFormatting sqref="N2:N45">
    <cfRule type="cellIs" priority="35" operator="equal" dxfId="3" stopIfTrue="1">
      <formula>-5</formula>
    </cfRule>
  </conditionalFormatting>
  <conditionalFormatting sqref="Q2:Q45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5" showDropDown="0" showInputMessage="0" showErrorMessage="0" allowBlank="1" type="list">
      <formula1>"Growing Industry,Stagnant Industry,Cyclical in an Upturn"</formula1>
    </dataValidation>
    <dataValidation sqref="Z2:Z45" showDropDown="0" showInputMessage="0" showErrorMessage="0" allowBlank="1" type="list">
      <formula1>"Fragmented with Low ROE,Fragmented with High ROE,Highly Cyclical"</formula1>
    </dataValidation>
    <dataValidation sqref="AB2:AB45" showDropDown="0" showInputMessage="0" showErrorMessage="0" allowBlank="1" type="list">
      <formula1>"Yes,No"</formula1>
    </dataValidation>
    <dataValidation sqref="AD2:AD45" showDropDown="0" showInputMessage="0" showErrorMessage="0" allowBlank="1" type="list">
      <formula1>"Tailwind,Headwind"</formula1>
    </dataValidation>
    <dataValidation sqref="AF2:AF4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5" showDropDown="0" showInputMessage="0" showErrorMessage="0" allowBlank="1" type="list">
      <formula1>"Yes,No"</formula1>
    </dataValidation>
    <dataValidation sqref="AJ2:AJ45" showDropDown="0" showInputMessage="0" showErrorMessage="0" allowBlank="1" type="list">
      <formula1>"Yes,No,Not Applicable"</formula1>
    </dataValidation>
    <dataValidation sqref="AL2:AL45" showDropDown="0" showInputMessage="0" showErrorMessage="0" allowBlank="1" type="list">
      <formula1>"Yes,No"</formula1>
    </dataValidation>
    <dataValidation sqref="AN2:AN45" showDropDown="0" showInputMessage="0" showErrorMessage="0" allowBlank="1" type="list">
      <formula1>"Yes,No"</formula1>
    </dataValidation>
    <dataValidation sqref="AP2:AP45" showDropDown="0" showInputMessage="0" showErrorMessage="0" allowBlank="1" type="list">
      <formula1>"Yes,No"</formula1>
    </dataValidation>
    <dataValidation sqref="AR2:AR45" showDropDown="0" showInputMessage="0" showErrorMessage="0" allowBlank="1" type="list">
      <formula1>"Yes,No"</formula1>
    </dataValidation>
    <dataValidation sqref="AT2:AT45" showDropDown="0" showInputMessage="0" showErrorMessage="0" allowBlank="1" type="list">
      <formula1>"No,Yes"</formula1>
    </dataValidation>
    <dataValidation sqref="AV2:AV45" showDropDown="0" showInputMessage="0" showErrorMessage="0" allowBlank="1" type="list">
      <formula1>"No,Yes"</formula1>
    </dataValidation>
    <dataValidation sqref="AX2:AX45" showDropDown="0" showInputMessage="0" showErrorMessage="0" allowBlank="1" type="list">
      <formula1>"No,Yes CEO Resignation,Yes CEO Retirement"</formula1>
    </dataValidation>
    <dataValidation sqref="AZ2:AZ45" showDropDown="0" showInputMessage="0" showErrorMessage="0" allowBlank="1" type="list">
      <formula1>"No,Yes"</formula1>
    </dataValidation>
    <dataValidation sqref="BB2:BB45" showDropDown="0" showInputMessage="0" showErrorMessage="0" allowBlank="1" type="list">
      <formula1>"No,Yes"</formula1>
    </dataValidation>
    <dataValidation sqref="BD2:BD45" showDropDown="0" showInputMessage="0" showErrorMessage="0" allowBlank="1" type="list">
      <formula1>"Yes,No"</formula1>
    </dataValidation>
    <dataValidation sqref="BF2:BF45" showDropDown="0" showInputMessage="0" showErrorMessage="0" allowBlank="1" type="list">
      <formula1>"Yes,No"</formula1>
    </dataValidation>
    <dataValidation sqref="BH2:BH45" showDropDown="0" showInputMessage="0" showErrorMessage="0" allowBlank="1" type="list">
      <formula1>"Yes,No"</formula1>
    </dataValidation>
    <dataValidation sqref="BJ2:BJ4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5" showDropDown="0" showInputMessage="0" showErrorMessage="0" allowBlank="1" type="list">
      <formula1>"Above 40,20 to 40,0 to 20"</formula1>
    </dataValidation>
    <dataValidation sqref="BN2:BN45" showDropDown="0" showInputMessage="0" showErrorMessage="0" allowBlank="1" type="list">
      <formula1>"Between 50 to 75,Above 75,Below 45"</formula1>
    </dataValidation>
    <dataValidation sqref="BP2:BP45" showDropDown="0" showInputMessage="0" showErrorMessage="0" allowBlank="1" type="list">
      <formula1>"Stage 1,Stage 2,Stage 3,Stage 4"</formula1>
    </dataValidation>
    <dataValidation sqref="BR2:BR45" showDropDown="0" showInputMessage="0" showErrorMessage="0" allowBlank="1" type="list">
      <formula1>"Positive Trend,Negative Trend"</formula1>
    </dataValidation>
    <dataValidation sqref="BT2:BT45" showDropDown="0" showInputMessage="0" showErrorMessage="0" allowBlank="1" type="list">
      <formula1>"Uptrend,Sideways,Downtrend"</formula1>
    </dataValidation>
    <dataValidation sqref="BV2:BV45" showDropDown="0" showInputMessage="0" showErrorMessage="0" allowBlank="1" type="list">
      <formula1>"Uptrend,Sideways,Downtrend"</formula1>
    </dataValidation>
    <dataValidation sqref="BX2:BX4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9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IF(B2=0,"",RANK(B2,$B$2:$B$19,0))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135.7</v>
      </c>
      <c r="E2" s="32" t="inlineStr">
        <is>
          <t>5%</t>
        </is>
      </c>
      <c r="F2" s="32" t="n">
        <v>50000</v>
      </c>
      <c r="G2" s="32" t="n">
        <v>43</v>
      </c>
      <c r="H2" s="31" t="inlineStr">
        <is>
          <t>INDIAGLYCO</t>
        </is>
      </c>
      <c r="I2" s="31" t="inlineStr">
        <is>
          <t>India Glycols Limited</t>
        </is>
      </c>
      <c r="J2" s="31" t="inlineStr">
        <is>
          <t>fmcg</t>
        </is>
      </c>
      <c r="K2" s="31" t="inlineStr">
        <is>
          <t>breweries &amp; distilleries</t>
        </is>
      </c>
      <c r="L2" s="31" t="inlineStr">
        <is>
          <t>midcap</t>
        </is>
      </c>
      <c r="M2" s="32" t="n">
        <v>7770.41</v>
      </c>
      <c r="N2" s="32" t="n">
        <v>1159.3</v>
      </c>
      <c r="O2" s="32" t="n">
        <v>0.24</v>
      </c>
      <c r="P2" s="32" t="n">
        <v>449815</v>
      </c>
      <c r="Q2" s="31" t="n">
        <v>42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65.27</v>
      </c>
      <c r="U2" s="32" t="n">
        <v>21.25</v>
      </c>
      <c r="V2" s="32" t="n">
        <v>905.08</v>
      </c>
      <c r="W2" s="31" t="inlineStr">
        <is>
          <t>Volume Spike &amp; Near 52W High Breakout</t>
        </is>
      </c>
      <c r="X2" s="31" t="inlineStr">
        <is>
          <t>Nifty FMCG</t>
        </is>
      </c>
      <c r="Y2" s="32" t="n">
        <v>-13.73</v>
      </c>
      <c r="Z2" s="32" t="n">
        <v>22.44</v>
      </c>
      <c r="AA2" s="32" t="n">
        <v>41.93</v>
      </c>
      <c r="AB2" s="32" t="n">
        <v>8.220000000000001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B2C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20 to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IF(B3=0,"",RANK(B3,$B$2:$B$19,0))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140</v>
      </c>
      <c r="E3" s="32" t="inlineStr">
        <is>
          <t>5%</t>
        </is>
      </c>
      <c r="F3" s="32" t="n">
        <v>50000</v>
      </c>
      <c r="G3" s="32" t="n">
        <v>250</v>
      </c>
      <c r="H3" s="31" t="inlineStr">
        <is>
          <t>MENONBE</t>
        </is>
      </c>
      <c r="I3" s="31" t="inlineStr">
        <is>
          <t>Menon Bearings Limited</t>
        </is>
      </c>
      <c r="J3" s="31" t="inlineStr">
        <is>
          <t>auto</t>
        </is>
      </c>
      <c r="K3" s="31" t="inlineStr">
        <is>
          <t>auto ancillaries</t>
        </is>
      </c>
      <c r="L3" s="31" t="inlineStr">
        <is>
          <t>smallcap</t>
        </is>
      </c>
      <c r="M3" s="32" t="n">
        <v>1118.95</v>
      </c>
      <c r="N3" s="32" t="n">
        <v>199.67</v>
      </c>
      <c r="O3" s="32" t="n">
        <v>5</v>
      </c>
      <c r="P3" s="32" t="n">
        <v>231637</v>
      </c>
      <c r="Q3" s="31" t="n">
        <v>85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73.83</v>
      </c>
      <c r="U3" s="32" t="n">
        <v>42.59</v>
      </c>
      <c r="V3" s="32" t="n">
        <v>148.69</v>
      </c>
      <c r="W3" s="31" t="inlineStr">
        <is>
          <t>Near 52W High Breakout</t>
        </is>
      </c>
      <c r="X3" s="31" t="inlineStr">
        <is>
          <t>Nifty Auto</t>
        </is>
      </c>
      <c r="Y3" s="32" t="n">
        <v>13.41</v>
      </c>
      <c r="Z3" s="32" t="n">
        <v>59.56</v>
      </c>
      <c r="AA3" s="32" t="n">
        <v>40.68</v>
      </c>
      <c r="AB3" s="32" t="n">
        <v>23.69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Less than 50%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IF(B4=0,"",RANK(B4,$B$2:$B$19,0))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139.5</v>
      </c>
      <c r="E4" s="32" t="inlineStr">
        <is>
          <t>5%</t>
        </is>
      </c>
      <c r="F4" s="32" t="n">
        <v>50000</v>
      </c>
      <c r="G4" s="32" t="n">
        <v>221</v>
      </c>
      <c r="H4" s="31" t="inlineStr">
        <is>
          <t>BAFNAPH</t>
        </is>
      </c>
      <c r="I4" s="31" t="inlineStr">
        <is>
          <t>Bafna Pharmaceuticals Ltd</t>
        </is>
      </c>
      <c r="J4" s="31" t="inlineStr">
        <is>
          <t>healthcare</t>
        </is>
      </c>
      <c r="K4" s="31" t="inlineStr">
        <is>
          <t>pharmaceuticals - indian - formulations</t>
        </is>
      </c>
      <c r="L4" s="31" t="inlineStr">
        <is>
          <t>smallcap</t>
        </is>
      </c>
      <c r="M4" s="32" t="n">
        <v>534.35</v>
      </c>
      <c r="N4" s="32" t="n">
        <v>225.88</v>
      </c>
      <c r="O4" s="32" t="n">
        <v>2</v>
      </c>
      <c r="P4" s="32" t="n">
        <v>5824</v>
      </c>
      <c r="Q4" s="31" t="n">
        <v>94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70.8</v>
      </c>
      <c r="U4" s="32" t="n">
        <v>38.53</v>
      </c>
      <c r="V4" s="32" t="n">
        <v>160.37</v>
      </c>
      <c r="W4" s="31" t="inlineStr">
        <is>
          <t>Near 52W High Breakout</t>
        </is>
      </c>
      <c r="X4" s="31" t="inlineStr">
        <is>
          <t>Nifty Pharma</t>
        </is>
      </c>
      <c r="Y4" s="32" t="n">
        <v>13.51</v>
      </c>
      <c r="Z4" s="32" t="n">
        <v>154.17</v>
      </c>
      <c r="AA4" s="32" t="n">
        <v>123.92</v>
      </c>
      <c r="AB4" s="32" t="n">
        <v>36.79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Annuity, Lower One Time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20 to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Above 2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IF(B5=0,"",RANK(B5,$B$2:$B$19,0))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139.6</v>
      </c>
      <c r="E5" s="32" t="inlineStr">
        <is>
          <t>5%</t>
        </is>
      </c>
      <c r="F5" s="32" t="n">
        <v>50000</v>
      </c>
      <c r="G5" s="32" t="n">
        <v>67</v>
      </c>
      <c r="H5" s="31" t="inlineStr">
        <is>
          <t>HSCL</t>
        </is>
      </c>
      <c r="I5" s="31" t="inlineStr">
        <is>
          <t>Himadri Speciality Chemical Limited</t>
        </is>
      </c>
      <c r="J5" s="31" t="inlineStr">
        <is>
          <t>chemicals</t>
        </is>
      </c>
      <c r="K5" s="31" t="inlineStr">
        <is>
          <t>chemicals</t>
        </is>
      </c>
      <c r="L5" s="31" t="inlineStr">
        <is>
          <t>largecap</t>
        </is>
      </c>
      <c r="M5" s="32" t="n">
        <v>37414.28</v>
      </c>
      <c r="N5" s="32" t="n">
        <v>741.55</v>
      </c>
      <c r="O5" s="32" t="n">
        <v>2.66</v>
      </c>
      <c r="P5" s="32" t="n">
        <v>18316544</v>
      </c>
      <c r="Q5" s="31" t="n">
        <v>79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74.55</v>
      </c>
      <c r="U5" s="32" t="n">
        <v>39.25</v>
      </c>
      <c r="V5" s="32" t="n">
        <v>569.38</v>
      </c>
      <c r="W5" s="31" t="inlineStr">
        <is>
          <t>Near 52W High Breakout</t>
        </is>
      </c>
      <c r="X5" s="31" t="inlineStr">
        <is>
          <t>Nifty 50</t>
        </is>
      </c>
      <c r="Y5" s="32" t="n">
        <v>-2.54</v>
      </c>
      <c r="Z5" s="32" t="n">
        <v>44.48</v>
      </c>
      <c r="AA5" s="32" t="n">
        <v>48.25</v>
      </c>
      <c r="AB5" s="32" t="n">
        <v>19.54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20 to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Between 1.5 to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IF(B6=0,"",RANK(B6,$B$2:$B$19,0))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</v>
      </c>
      <c r="E6" s="32" t="inlineStr">
        <is>
          <t>5%</t>
        </is>
      </c>
      <c r="F6" s="32" t="n">
        <v>50000</v>
      </c>
      <c r="G6" s="32" t="n">
        <v>30</v>
      </c>
      <c r="H6" s="31" t="inlineStr">
        <is>
          <t>CEMPRO</t>
        </is>
      </c>
      <c r="I6" s="31" t="inlineStr">
        <is>
          <t>Cemindia Projects Ltd</t>
        </is>
      </c>
      <c r="J6" s="31" t="inlineStr">
        <is>
          <t>realty</t>
        </is>
      </c>
      <c r="K6" s="31" t="inlineStr">
        <is>
          <t>construction</t>
        </is>
      </c>
      <c r="L6" s="31" t="inlineStr">
        <is>
          <t>largecap</t>
        </is>
      </c>
      <c r="M6" s="32" t="n">
        <v>27743.69</v>
      </c>
      <c r="N6" s="32" t="n">
        <v>1615</v>
      </c>
      <c r="O6" s="32" t="n">
        <v>0.74</v>
      </c>
      <c r="P6" s="32" t="n">
        <v>687137</v>
      </c>
      <c r="Q6" s="31" t="n">
        <v>98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84.44</v>
      </c>
      <c r="U6" s="32" t="n">
        <v>51.36</v>
      </c>
      <c r="V6" s="32" t="n">
        <v>1275.46</v>
      </c>
      <c r="W6" s="31" t="inlineStr">
        <is>
          <t>Near 52W High Breakout</t>
        </is>
      </c>
      <c r="X6" s="31" t="inlineStr">
        <is>
          <t>Nifty Realty</t>
        </is>
      </c>
      <c r="Y6" s="32" t="n">
        <v>-8.119999999999999</v>
      </c>
      <c r="Z6" s="32" t="n">
        <v>100.87</v>
      </c>
      <c r="AA6" s="32" t="n">
        <v>118.63</v>
      </c>
      <c r="AB6" s="32" t="n">
        <v>55.75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Less than 50%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IF(B7=0,"",RANK(B7,$B$2:$B$19,0))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138.3</v>
      </c>
      <c r="E7" s="32" t="inlineStr">
        <is>
          <t>5%</t>
        </is>
      </c>
      <c r="F7" s="32" t="n">
        <v>50000</v>
      </c>
      <c r="G7" s="32" t="n">
        <v>120</v>
      </c>
      <c r="H7" s="31" t="inlineStr">
        <is>
          <t>RUBYMILLS</t>
        </is>
      </c>
      <c r="I7" s="31" t="inlineStr">
        <is>
          <t>The Ruby Mills Limited</t>
        </is>
      </c>
      <c r="J7" s="31" t="inlineStr">
        <is>
          <t>textiles</t>
        </is>
      </c>
      <c r="K7" s="31" t="inlineStr">
        <is>
          <t>textiles - composite</t>
        </is>
      </c>
      <c r="L7" s="31" t="inlineStr">
        <is>
          <t>smallcap</t>
        </is>
      </c>
      <c r="M7" s="32" t="n">
        <v>1383.08</v>
      </c>
      <c r="N7" s="32" t="n">
        <v>413.6</v>
      </c>
      <c r="O7" s="32" t="n">
        <v>3.16</v>
      </c>
      <c r="P7" s="32" t="n">
        <v>66281</v>
      </c>
      <c r="Q7" s="31" t="n">
        <v>89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81.67</v>
      </c>
      <c r="U7" s="32" t="n">
        <v>50.43</v>
      </c>
      <c r="V7" s="32" t="n">
        <v>316.32</v>
      </c>
      <c r="W7" s="31" t="inlineStr">
        <is>
          <t>Near 52W High Breakout</t>
        </is>
      </c>
      <c r="X7" s="31" t="inlineStr">
        <is>
          <t>Nifty 50</t>
        </is>
      </c>
      <c r="Y7" s="32" t="n">
        <v>-2.54</v>
      </c>
      <c r="Z7" s="32" t="n">
        <v>67.65000000000001</v>
      </c>
      <c r="AA7" s="32" t="n">
        <v>72.02</v>
      </c>
      <c r="AB7" s="32" t="n">
        <v>28.89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Less than 12%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IF(B8=0,"",RANK(B8,$B$2:$B$19,0))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136.9</v>
      </c>
      <c r="E8" s="32" t="inlineStr">
        <is>
          <t>5%</t>
        </is>
      </c>
      <c r="F8" s="32" t="n">
        <v>50000</v>
      </c>
      <c r="G8" s="32" t="n">
        <v>36</v>
      </c>
      <c r="H8" s="31" t="inlineStr">
        <is>
          <t>ADOR</t>
        </is>
      </c>
      <c r="I8" s="31" t="inlineStr">
        <is>
          <t>Ador Welding Ltd</t>
        </is>
      </c>
      <c r="J8" s="31" t="inlineStr">
        <is>
          <t>industrials</t>
        </is>
      </c>
      <c r="K8" s="31" t="inlineStr">
        <is>
          <t>electrodes - welding equipment</t>
        </is>
      </c>
      <c r="L8" s="31" t="inlineStr">
        <is>
          <t>smallcap</t>
        </is>
      </c>
      <c r="M8" s="32" t="n">
        <v>2408.72</v>
      </c>
      <c r="N8" s="32" t="n">
        <v>1384.1</v>
      </c>
      <c r="O8" s="32" t="n">
        <v>2.31</v>
      </c>
      <c r="P8" s="32" t="n">
        <v>70837</v>
      </c>
      <c r="Q8" s="31" t="n">
        <v>66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77.84999999999999</v>
      </c>
      <c r="U8" s="32" t="n">
        <v>33.72</v>
      </c>
      <c r="V8" s="32" t="n">
        <v>1122.52</v>
      </c>
      <c r="W8" s="31" t="inlineStr">
        <is>
          <t>Volume Spike &amp; Near 52W High Breakout</t>
        </is>
      </c>
      <c r="X8" s="31" t="inlineStr">
        <is>
          <t>Nifty Infra</t>
        </is>
      </c>
      <c r="Y8" s="32" t="n">
        <v>1.74</v>
      </c>
      <c r="Z8" s="32" t="n">
        <v>26.64</v>
      </c>
      <c r="AA8" s="32" t="n">
        <v>24.47</v>
      </c>
      <c r="AB8" s="32" t="n">
        <v>14.24</v>
      </c>
      <c r="AC8" s="31" t="inlineStr">
        <is>
          <t>Cyclical in an Upturn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20 to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IF(B9=0,"",RANK(B9,$B$2:$B$19,0))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138</v>
      </c>
      <c r="E9" s="32" t="inlineStr">
        <is>
          <t>5%</t>
        </is>
      </c>
      <c r="F9" s="32" t="n">
        <v>50000</v>
      </c>
      <c r="G9" s="32" t="n">
        <v>78</v>
      </c>
      <c r="H9" s="31" t="inlineStr">
        <is>
          <t>SANGAMIND</t>
        </is>
      </c>
      <c r="I9" s="31" t="inlineStr">
        <is>
          <t>Sangam (india) Limited</t>
        </is>
      </c>
      <c r="J9" s="31" t="inlineStr">
        <is>
          <t>textiles</t>
        </is>
      </c>
      <c r="K9" s="31" t="inlineStr">
        <is>
          <t>textiles - spinning - synthetic / blended</t>
        </is>
      </c>
      <c r="L9" s="31" t="inlineStr">
        <is>
          <t>smallcap</t>
        </is>
      </c>
      <c r="M9" s="32" t="n">
        <v>3200.45</v>
      </c>
      <c r="N9" s="32" t="n">
        <v>636.95</v>
      </c>
      <c r="O9" s="32" t="n">
        <v>1.37</v>
      </c>
      <c r="P9" s="32" t="n">
        <v>126648</v>
      </c>
      <c r="Q9" s="31" t="n">
        <v>70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79.31</v>
      </c>
      <c r="U9" s="32" t="n">
        <v>43.49</v>
      </c>
      <c r="V9" s="32" t="n">
        <v>503.7</v>
      </c>
      <c r="W9" s="31" t="inlineStr">
        <is>
          <t>Volume Spike &amp; Near 52W High Breakout</t>
        </is>
      </c>
      <c r="X9" s="31" t="inlineStr">
        <is>
          <t>Nifty 50</t>
        </is>
      </c>
      <c r="Y9" s="32" t="n">
        <v>-2.54</v>
      </c>
      <c r="Z9" s="32" t="n">
        <v>37.7</v>
      </c>
      <c r="AA9" s="32" t="n">
        <v>41.29</v>
      </c>
      <c r="AB9" s="32" t="n">
        <v>15.61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Between 0.7 to 1.2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IF(B10=0,"",RANK(B10,$B$2:$B$19,0))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134.1</v>
      </c>
      <c r="E10" s="32" t="inlineStr">
        <is>
          <t>5%</t>
        </is>
      </c>
      <c r="F10" s="32" t="n">
        <v>50000</v>
      </c>
      <c r="G10" s="32" t="n">
        <v>187</v>
      </c>
      <c r="H10" s="33" t="inlineStr">
        <is>
          <t>SSWL</t>
        </is>
      </c>
      <c r="I10" s="33" t="inlineStr">
        <is>
          <t>Steel Strips Wheels Limited</t>
        </is>
      </c>
      <c r="J10" s="31" t="inlineStr">
        <is>
          <t>auto</t>
        </is>
      </c>
      <c r="K10" s="31" t="inlineStr">
        <is>
          <t>auto ancillaries</t>
        </is>
      </c>
      <c r="L10" s="31" t="inlineStr">
        <is>
          <t>smallcap</t>
        </is>
      </c>
      <c r="M10" s="32" t="n">
        <v>4184.3</v>
      </c>
      <c r="N10" s="32" t="n">
        <v>266.21</v>
      </c>
      <c r="O10" s="32" t="n">
        <v>0.29</v>
      </c>
      <c r="P10" s="32" t="n">
        <v>1526108</v>
      </c>
      <c r="Q10" s="31" t="n">
        <v>30</v>
      </c>
      <c r="R10" s="31" t="inlineStr">
        <is>
          <t>Underperforming</t>
        </is>
      </c>
      <c r="S10" s="32">
        <f>IF(R10="Underperforming",-5,IF(Q10&gt;=95,15,IF(Q10&gt;=90,10,IF(Q10&gt;=80,5,0))))</f>
        <v/>
      </c>
      <c r="T10" s="32" t="n">
        <v>67.93000000000001</v>
      </c>
      <c r="U10" s="32" t="n">
        <v>13.81</v>
      </c>
      <c r="V10" s="32" t="n">
        <v>204.04</v>
      </c>
      <c r="W10" s="31" t="inlineStr">
        <is>
          <t>Volume Spike &amp; Near 52W High Breakout</t>
        </is>
      </c>
      <c r="X10" s="31" t="inlineStr">
        <is>
          <t>Nifty Auto</t>
        </is>
      </c>
      <c r="Y10" s="32" t="n">
        <v>13.41</v>
      </c>
      <c r="Z10" s="32" t="n">
        <v>4.51</v>
      </c>
      <c r="AA10" s="32" t="n">
        <v>-7.85</v>
      </c>
      <c r="AB10" s="32" t="n">
        <v>5.81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0 to 20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Less than 1.5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IF(B11=0,"",RANK(B11,$B$2:$B$19,0))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137.7</v>
      </c>
      <c r="E11" s="32" t="inlineStr">
        <is>
          <t>5%</t>
        </is>
      </c>
      <c r="F11" s="32" t="n">
        <v>50000</v>
      </c>
      <c r="G11" s="32" t="n">
        <v>26</v>
      </c>
      <c r="H11" s="31" t="inlineStr">
        <is>
          <t>IPCALAB</t>
        </is>
      </c>
      <c r="I11" s="31" t="inlineStr">
        <is>
          <t>Ipca Laboratories Limited</t>
        </is>
      </c>
      <c r="J11" s="31" t="inlineStr">
        <is>
          <t>healthcare</t>
        </is>
      </c>
      <c r="K11" s="31" t="inlineStr">
        <is>
          <t>pharmaceuticals - indian - bulk drugs &amp; formln</t>
        </is>
      </c>
      <c r="L11" s="31" t="inlineStr">
        <is>
          <t>largecap</t>
        </is>
      </c>
      <c r="M11" s="32" t="n">
        <v>48219.02</v>
      </c>
      <c r="N11" s="32" t="n">
        <v>1900.6</v>
      </c>
      <c r="O11" s="32" t="n">
        <v>0.55</v>
      </c>
      <c r="P11" s="32" t="n">
        <v>157265</v>
      </c>
      <c r="Q11" s="31" t="n">
        <v>59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71.45</v>
      </c>
      <c r="U11" s="32" t="n">
        <v>33.83</v>
      </c>
      <c r="V11" s="32" t="n">
        <v>1559.81</v>
      </c>
      <c r="W11" s="31" t="inlineStr">
        <is>
          <t>Near 52W High Breakout</t>
        </is>
      </c>
      <c r="X11" s="31" t="inlineStr">
        <is>
          <t>Nifty Pharma</t>
        </is>
      </c>
      <c r="Y11" s="32" t="n">
        <v>13.51</v>
      </c>
      <c r="Z11" s="32" t="n">
        <v>29.38</v>
      </c>
      <c r="AA11" s="32" t="n">
        <v>13.98</v>
      </c>
      <c r="AB11" s="32" t="n">
        <v>12.22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Yes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Between 50% to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IF(B12=0,"",RANK(B12,$B$2:$B$19,0))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136.6</v>
      </c>
      <c r="E12" s="32" t="inlineStr">
        <is>
          <t>5%</t>
        </is>
      </c>
      <c r="F12" s="32" t="n">
        <v>50000</v>
      </c>
      <c r="G12" s="32" t="n">
        <v>79</v>
      </c>
      <c r="H12" s="31" t="inlineStr">
        <is>
          <t>WELENT</t>
        </is>
      </c>
      <c r="I12" s="31" t="inlineStr">
        <is>
          <t>Welspun Enterprises Limited</t>
        </is>
      </c>
      <c r="J12" s="31" t="inlineStr">
        <is>
          <t>realty</t>
        </is>
      </c>
      <c r="K12" s="31" t="inlineStr">
        <is>
          <t>construction</t>
        </is>
      </c>
      <c r="L12" s="31" t="inlineStr">
        <is>
          <t>midcap</t>
        </is>
      </c>
      <c r="M12" s="32" t="n">
        <v>8668.860000000001</v>
      </c>
      <c r="N12" s="32" t="n">
        <v>626.3</v>
      </c>
      <c r="O12" s="32" t="n">
        <v>0.17</v>
      </c>
      <c r="P12" s="32" t="n">
        <v>705721</v>
      </c>
      <c r="Q12" s="31" t="n">
        <v>55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74.23</v>
      </c>
      <c r="U12" s="32" t="n">
        <v>17.97</v>
      </c>
      <c r="V12" s="32" t="n">
        <v>506.94</v>
      </c>
      <c r="W12" s="31" t="inlineStr">
        <is>
          <t>Volume Spike &amp; Near 52W High Breakout</t>
        </is>
      </c>
      <c r="X12" s="31" t="inlineStr">
        <is>
          <t>Nifty Realty</t>
        </is>
      </c>
      <c r="Y12" s="32" t="n">
        <v>-8.119999999999999</v>
      </c>
      <c r="Z12" s="32" t="n">
        <v>20.9</v>
      </c>
      <c r="AA12" s="32" t="n">
        <v>31.58</v>
      </c>
      <c r="AB12" s="32" t="n">
        <v>10.97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0 to 20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No</t>
        </is>
      </c>
      <c r="BX12" s="31">
        <f>IF(BW12="NO",5,0)</f>
        <v/>
      </c>
      <c r="BY12" s="31" t="inlineStr">
        <is>
          <t>Less than 1.5</t>
        </is>
      </c>
      <c r="BZ12" s="31">
        <f>IF(BY12="Above 2",0,IF(BY12="Between 1.5 to 2",5,IF(BY12="Less than 1.5",10,0)))</f>
        <v/>
      </c>
      <c r="CA12" s="31" t="inlineStr">
        <is>
          <t>Less than 50%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IF(B13=0,"",RANK(B13,$B$2:$B$19,0))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132.9</v>
      </c>
      <c r="E13" s="32" t="inlineStr">
        <is>
          <t>5%</t>
        </is>
      </c>
      <c r="F13" s="32" t="n">
        <v>50000</v>
      </c>
      <c r="G13" s="32" t="n">
        <v>70</v>
      </c>
      <c r="H13" s="31" t="inlineStr">
        <is>
          <t>SONACOMS</t>
        </is>
      </c>
      <c r="I13" s="31" t="inlineStr">
        <is>
          <t>Sona BLW Precision Forgings Ltd</t>
        </is>
      </c>
      <c r="J13" s="31" t="inlineStr">
        <is>
          <t>auto</t>
        </is>
      </c>
      <c r="K13" s="31" t="inlineStr">
        <is>
          <t>auto ancillaries</t>
        </is>
      </c>
      <c r="L13" s="31" t="inlineStr">
        <is>
          <t>largecap</t>
        </is>
      </c>
      <c r="M13" s="32" t="n">
        <v>43830.88</v>
      </c>
      <c r="N13" s="32" t="n">
        <v>704.85</v>
      </c>
      <c r="O13" s="32" t="n">
        <v>3.14</v>
      </c>
      <c r="P13" s="32" t="n">
        <v>4862624</v>
      </c>
      <c r="Q13" s="31" t="n">
        <v>62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74.73999999999999</v>
      </c>
      <c r="U13" s="32" t="n">
        <v>39.12</v>
      </c>
      <c r="V13" s="32" t="n">
        <v>592.85</v>
      </c>
      <c r="W13" s="31" t="inlineStr">
        <is>
          <t>Volume Spike &amp; Near 52W High Breakout</t>
        </is>
      </c>
      <c r="X13" s="31" t="inlineStr">
        <is>
          <t>Nifty Auto</t>
        </is>
      </c>
      <c r="Y13" s="32" t="n">
        <v>13.41</v>
      </c>
      <c r="Z13" s="32" t="n">
        <v>47.83</v>
      </c>
      <c r="AA13" s="32" t="n">
        <v>30.34</v>
      </c>
      <c r="AB13" s="32" t="n">
        <v>12.69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Between 12 to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Between 50% to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IF(B14=0,"",RANK(B14,$B$2:$B$19,0))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130.4</v>
      </c>
      <c r="E14" s="32" t="inlineStr">
        <is>
          <t>5%</t>
        </is>
      </c>
      <c r="F14" s="32" t="n">
        <v>50000</v>
      </c>
      <c r="G14" s="32" t="n">
        <v>50</v>
      </c>
      <c r="H14" s="31" t="inlineStr">
        <is>
          <t>MANGLMCEM</t>
        </is>
      </c>
      <c r="I14" s="31" t="inlineStr">
        <is>
          <t>Mangalam Cement Limited</t>
        </is>
      </c>
      <c r="J14" s="31" t="inlineStr">
        <is>
          <t>building materials</t>
        </is>
      </c>
      <c r="K14" s="31" t="inlineStr">
        <is>
          <t>cement - north india</t>
        </is>
      </c>
      <c r="L14" s="31" t="inlineStr">
        <is>
          <t>smallcap</t>
        </is>
      </c>
      <c r="M14" s="32" t="n">
        <v>2712.88</v>
      </c>
      <c r="N14" s="32" t="n">
        <v>986.6</v>
      </c>
      <c r="O14" s="32" t="n">
        <v>0.03</v>
      </c>
      <c r="P14" s="32" t="n">
        <v>112798</v>
      </c>
      <c r="Q14" s="31" t="n">
        <v>41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67.06</v>
      </c>
      <c r="U14" s="32" t="n">
        <v>20.89</v>
      </c>
      <c r="V14" s="32" t="n">
        <v>803.9299999999999</v>
      </c>
      <c r="W14" s="31" t="inlineStr">
        <is>
          <t>Near 52W High Breakout</t>
        </is>
      </c>
      <c r="X14" s="31" t="inlineStr">
        <is>
          <t>Nifty Infra</t>
        </is>
      </c>
      <c r="Y14" s="32" t="n">
        <v>1.74</v>
      </c>
      <c r="Z14" s="32" t="n">
        <v>34.75</v>
      </c>
      <c r="AA14" s="32" t="n">
        <v>32.45</v>
      </c>
      <c r="AB14" s="32" t="n">
        <v>7.96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Less than 50%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Between 0.7 to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IF(B15=0,"",RANK(B15,$B$2:$B$19,0))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136</v>
      </c>
      <c r="E15" s="32" t="inlineStr">
        <is>
          <t>5%</t>
        </is>
      </c>
      <c r="F15" s="32" t="n">
        <v>50000</v>
      </c>
      <c r="G15" s="32" t="n">
        <v>182</v>
      </c>
      <c r="H15" s="31" t="inlineStr">
        <is>
          <t>BLSE</t>
        </is>
      </c>
      <c r="I15" s="31" t="inlineStr">
        <is>
          <t>BLS E-Services Ltd</t>
        </is>
      </c>
      <c r="J15" s="31" t="inlineStr">
        <is>
          <t>i.t</t>
        </is>
      </c>
      <c r="K15" s="31" t="inlineStr">
        <is>
          <t>computers - software - medium / small</t>
        </is>
      </c>
      <c r="L15" s="31" t="inlineStr">
        <is>
          <t>smallcap</t>
        </is>
      </c>
      <c r="M15" s="32" t="n">
        <v>2492.83</v>
      </c>
      <c r="N15" s="32" t="n">
        <v>274.37</v>
      </c>
      <c r="O15" s="32" t="n">
        <v>2.09</v>
      </c>
      <c r="P15" s="32" t="n">
        <v>1085011</v>
      </c>
      <c r="Q15" s="31" t="n">
        <v>83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77.25</v>
      </c>
      <c r="U15" s="32" t="n">
        <v>29.93</v>
      </c>
      <c r="V15" s="32" t="n">
        <v>214.22</v>
      </c>
      <c r="W15" s="31" t="inlineStr">
        <is>
          <t>Volume Spike &amp; Near 52W High Breakout</t>
        </is>
      </c>
      <c r="X15" s="31" t="inlineStr">
        <is>
          <t>Nifty IT</t>
        </is>
      </c>
      <c r="Y15" s="32" t="n">
        <v>-21.31</v>
      </c>
      <c r="Z15" s="32" t="n">
        <v>49.07</v>
      </c>
      <c r="AA15" s="32" t="n">
        <v>89.45</v>
      </c>
      <c r="AB15" s="32" t="n">
        <v>21.65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Annuity, Lower One Time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Between 50% to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IF(B16=0,"",RANK(B16,$B$2:$B$19,0))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139.5</v>
      </c>
      <c r="E16" s="32" t="inlineStr">
        <is>
          <t>5%</t>
        </is>
      </c>
      <c r="F16" s="32" t="n">
        <v>50000</v>
      </c>
      <c r="G16" s="32" t="n">
        <v>367</v>
      </c>
      <c r="H16" s="31" t="inlineStr">
        <is>
          <t>MBAPL</t>
        </is>
      </c>
      <c r="I16" s="31" t="inlineStr">
        <is>
          <t>Madhya Bharat Agro Products Ltd</t>
        </is>
      </c>
      <c r="J16" s="31" t="inlineStr">
        <is>
          <t>chemicals</t>
        </is>
      </c>
      <c r="K16" s="31" t="inlineStr">
        <is>
          <t>fertilizers</t>
        </is>
      </c>
      <c r="L16" s="31" t="inlineStr">
        <is>
          <t>smallcap</t>
        </is>
      </c>
      <c r="M16" s="32" t="n">
        <v>1193.48</v>
      </c>
      <c r="N16" s="32" t="n">
        <v>136.2</v>
      </c>
      <c r="O16" s="32" t="n">
        <v>3.5</v>
      </c>
      <c r="P16" s="32" t="n">
        <v>1264418</v>
      </c>
      <c r="Q16" s="31" t="n">
        <v>76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80.39</v>
      </c>
      <c r="U16" s="32" t="n">
        <v>55.25</v>
      </c>
      <c r="V16" s="32" t="n">
        <v>106.08</v>
      </c>
      <c r="W16" s="31" t="inlineStr">
        <is>
          <t>Volume Spike &amp; Near 52W High Breakout</t>
        </is>
      </c>
      <c r="X16" s="31" t="inlineStr">
        <is>
          <t>Nifty 50</t>
        </is>
      </c>
      <c r="Y16" s="32" t="n">
        <v>-2.54</v>
      </c>
      <c r="Z16" s="32" t="n">
        <v>61.02</v>
      </c>
      <c r="AA16" s="32" t="n">
        <v>65.20999999999999</v>
      </c>
      <c r="AB16" s="32" t="n">
        <v>18.11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Between 12 to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More than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IF(B17=0,"",RANK(B17,$B$2:$B$19,0))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138</v>
      </c>
      <c r="E17" s="32" t="inlineStr">
        <is>
          <t>5%</t>
        </is>
      </c>
      <c r="F17" s="32" t="n">
        <v>50000</v>
      </c>
      <c r="G17" s="32" t="n">
        <v>29</v>
      </c>
      <c r="H17" s="31" t="inlineStr">
        <is>
          <t>ADANIENSOL</t>
        </is>
      </c>
      <c r="I17" s="31" t="inlineStr">
        <is>
          <t>Adani Energy Solutions Ltd</t>
        </is>
      </c>
      <c r="J17" s="31" t="inlineStr">
        <is>
          <t>power &amp; utilities</t>
        </is>
      </c>
      <c r="K17" s="31" t="inlineStr">
        <is>
          <t>power generation and supply</t>
        </is>
      </c>
      <c r="L17" s="31" t="inlineStr">
        <is>
          <t>largecap</t>
        </is>
      </c>
      <c r="M17" s="32" t="n">
        <v>206932.95</v>
      </c>
      <c r="N17" s="32" t="n">
        <v>1722.6</v>
      </c>
      <c r="O17" s="32" t="n">
        <v>1.96</v>
      </c>
      <c r="P17" s="32" t="n">
        <v>2898703</v>
      </c>
      <c r="Q17" s="31" t="n">
        <v>85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75.93000000000001</v>
      </c>
      <c r="U17" s="32" t="n">
        <v>51.95</v>
      </c>
      <c r="V17" s="32" t="n">
        <v>1375.71</v>
      </c>
      <c r="W17" s="31" t="inlineStr">
        <is>
          <t>Near 52W High Breakout</t>
        </is>
      </c>
      <c r="X17" s="31" t="inlineStr">
        <is>
          <t>Nifty IT</t>
        </is>
      </c>
      <c r="Y17" s="32" t="n">
        <v>-21.31</v>
      </c>
      <c r="Z17" s="32" t="n">
        <v>98.15000000000001</v>
      </c>
      <c r="AA17" s="32" t="n">
        <v>151.81</v>
      </c>
      <c r="AB17" s="32" t="n">
        <v>23.36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More than 1.2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IF(B18=0,"",RANK(B18,$B$2:$B$19,0))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139.1</v>
      </c>
      <c r="E18" s="32" t="inlineStr">
        <is>
          <t>5%</t>
        </is>
      </c>
      <c r="F18" s="32" t="n">
        <v>50000</v>
      </c>
      <c r="G18" s="32" t="n">
        <v>10</v>
      </c>
      <c r="H18" s="31" t="inlineStr">
        <is>
          <t>TITAN</t>
        </is>
      </c>
      <c r="I18" s="31" t="inlineStr">
        <is>
          <t>Titan Company Limited</t>
        </is>
      </c>
      <c r="J18" s="31" t="inlineStr">
        <is>
          <t>consumer discretionary</t>
        </is>
      </c>
      <c r="K18" s="31" t="inlineStr">
        <is>
          <t>diamond cutting / jewellery</t>
        </is>
      </c>
      <c r="L18" s="31" t="inlineStr">
        <is>
          <t>largecap</t>
        </is>
      </c>
      <c r="M18" s="32" t="n">
        <v>411764.1</v>
      </c>
      <c r="N18" s="32" t="n">
        <v>4638.1</v>
      </c>
      <c r="O18" s="32" t="n">
        <v>0.27</v>
      </c>
      <c r="P18" s="32" t="n">
        <v>667212</v>
      </c>
      <c r="Q18" s="31" t="n">
        <v>37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63.1</v>
      </c>
      <c r="U18" s="32" t="n">
        <v>16.5</v>
      </c>
      <c r="V18" s="32" t="n">
        <v>3969.66</v>
      </c>
      <c r="W18" s="31" t="inlineStr">
        <is>
          <t>Near 52W High Breakout</t>
        </is>
      </c>
      <c r="X18" s="31" t="inlineStr">
        <is>
          <t>Nifty 50</t>
        </is>
      </c>
      <c r="Y18" s="32" t="n">
        <v>-2.54</v>
      </c>
      <c r="Z18" s="32" t="n">
        <v>36.75</v>
      </c>
      <c r="AA18" s="32" t="n">
        <v>40.31</v>
      </c>
      <c r="AB18" s="32" t="n">
        <v>7.13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0 to 20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More than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IF(B19=0,"",RANK(B19,$B$2:$B$19,0))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136.3</v>
      </c>
      <c r="E19" s="32" t="inlineStr">
        <is>
          <t>5%</t>
        </is>
      </c>
      <c r="F19" s="32" t="n">
        <v>50000</v>
      </c>
      <c r="G19" s="32" t="n">
        <v>118</v>
      </c>
      <c r="H19" s="31" t="inlineStr">
        <is>
          <t>KAPSTON</t>
        </is>
      </c>
      <c r="I19" s="31" t="inlineStr">
        <is>
          <t>Kapston Services Ltd</t>
        </is>
      </c>
      <c r="J19" s="31" t="inlineStr">
        <is>
          <t>miscellaneous</t>
        </is>
      </c>
      <c r="K19" s="31" t="inlineStr">
        <is>
          <t>miscellaneous</t>
        </is>
      </c>
      <c r="L19" s="31" t="inlineStr">
        <is>
          <t>smallcap</t>
        </is>
      </c>
      <c r="M19" s="32" t="n">
        <v>1286.52</v>
      </c>
      <c r="N19" s="32" t="n">
        <v>422.75</v>
      </c>
      <c r="O19" s="32" t="n">
        <v>0.61</v>
      </c>
      <c r="P19" s="32" t="n">
        <v>12089</v>
      </c>
      <c r="Q19" s="31" t="n">
        <v>80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69.63</v>
      </c>
      <c r="U19" s="32" t="n">
        <v>18.96</v>
      </c>
      <c r="V19" s="32" t="n">
        <v>311.85</v>
      </c>
      <c r="W19" s="31" t="inlineStr">
        <is>
          <t>Near 52W High Breakout</t>
        </is>
      </c>
      <c r="X19" s="31" t="inlineStr">
        <is>
          <t>Nifty 50</t>
        </is>
      </c>
      <c r="Y19" s="32" t="n">
        <v>-2.54</v>
      </c>
      <c r="Z19" s="32" t="n">
        <v>70.7</v>
      </c>
      <c r="AA19" s="32" t="n">
        <v>75.15000000000001</v>
      </c>
      <c r="AB19" s="32" t="n">
        <v>19.85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0 to 20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Between 1.5 to 2</t>
        </is>
      </c>
      <c r="BZ19" s="31">
        <f>IF(BY19="Above 2",0,IF(BY19="Between 1.5 to 2",5,IF(BY19="Less than 1.5",10,0)))</f>
        <v/>
      </c>
      <c r="CA19" s="31" t="inlineStr">
        <is>
          <t>Less than 50% and Borrowings are increasing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More than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</sheetData>
  <autoFilter ref="A1:CJ19"/>
  <conditionalFormatting sqref="B2:B1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9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9">
    <cfRule type="cellIs" priority="36" operator="equal" dxfId="3" stopIfTrue="1">
      <formula>"Underperforming"</formula>
    </cfRule>
  </conditionalFormatting>
  <conditionalFormatting sqref="S2:S19">
    <cfRule type="cellIs" priority="37" operator="equal" dxfId="3" stopIfTrue="1">
      <formula>-5</formula>
    </cfRule>
  </conditionalFormatting>
  <conditionalFormatting sqref="V2:V19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9" showDropDown="0" showInputMessage="0" showErrorMessage="0" allowBlank="1" type="list">
      <formula1>"Growing Industry,Stagnant Industry,Cyclical in an Upturn"</formula1>
    </dataValidation>
    <dataValidation sqref="AE2:AE1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9" showDropDown="0" showInputMessage="0" showErrorMessage="0" allowBlank="1" type="list">
      <formula1>"Yes,No"</formula1>
    </dataValidation>
    <dataValidation sqref="AI2:AI19" showDropDown="0" showInputMessage="0" showErrorMessage="0" allowBlank="1" type="list">
      <formula1>"Tailwind,Headwind"</formula1>
    </dataValidation>
    <dataValidation sqref="AK2:AK19" showDropDown="0" showInputMessage="0" showErrorMessage="0" allowBlank="1" type="list">
      <formula1>"Structural (10 Years Consistency),Shallow Cyclical (2 to 3 Years Growth),Cyclical"</formula1>
    </dataValidation>
    <dataValidation sqref="AM2:AM19" showDropDown="0" showInputMessage="0" showErrorMessage="0" allowBlank="1" type="list">
      <formula1>"Yes due to Product Mix change or Operating Leverage,Yes, these are peak margins,No"</formula1>
    </dataValidation>
    <dataValidation sqref="AO2:AO19" showDropDown="0" showInputMessage="0" showErrorMessage="0" allowBlank="1" type="list">
      <formula1>"Stable,Volatile"</formula1>
    </dataValidation>
    <dataValidation sqref="AQ2:AQ19" showDropDown="0" showInputMessage="0" showErrorMessage="0" allowBlank="1" type="list">
      <formula1>"Yes,No"</formula1>
    </dataValidation>
    <dataValidation sqref="AS2:AS19" showDropDown="0" showInputMessage="0" showErrorMessage="0" allowBlank="1" type="list">
      <formula1>"B2C,B2B,B2G"</formula1>
    </dataValidation>
    <dataValidation sqref="AU2:AU19" showDropDown="0" showInputMessage="0" showErrorMessage="0" allowBlank="1" type="list">
      <formula1>"Yes,No"</formula1>
    </dataValidation>
    <dataValidation sqref="AW2:AW19" showDropDown="0" showInputMessage="0" showErrorMessage="0" allowBlank="1" type="list">
      <formula1>"Fully Annuity,Higher Annuity, Lower One time,Higher One Time, Lower Annuity,Fully One Time"</formula1>
    </dataValidation>
    <dataValidation sqref="AY2:AY19" showDropDown="0" showInputMessage="0" showErrorMessage="0" allowBlank="1" type="list">
      <formula1>"Good,Allocated capital in Non-core Areas"</formula1>
    </dataValidation>
    <dataValidation sqref="BA2:BA19" showDropDown="0" showInputMessage="0" showErrorMessage="0" allowBlank="1" type="list">
      <formula1>"Yes for more than 2 years,Yes only for next 1 to 2 years,No"</formula1>
    </dataValidation>
    <dataValidation sqref="BC2:BC19" showDropDown="0" showInputMessage="0" showErrorMessage="0" allowBlank="1" type="list">
      <formula1>"Above 40,20 to 40,0 to 20"</formula1>
    </dataValidation>
    <dataValidation sqref="BE2:BE19" showDropDown="0" showInputMessage="0" showErrorMessage="0" allowBlank="1" type="list">
      <formula1>"Between 50 to 75,Above 75,Below 45"</formula1>
    </dataValidation>
    <dataValidation sqref="BG2:BG19" showDropDown="0" showInputMessage="0" showErrorMessage="0" allowBlank="1" type="list">
      <formula1>"Stage 1,Stage 2,Stage 3,Stage 4"</formula1>
    </dataValidation>
    <dataValidation sqref="BI2:BI19" showDropDown="0" showInputMessage="0" showErrorMessage="0" allowBlank="1" type="list">
      <formula1>"Positive Trend,Negative Trend"</formula1>
    </dataValidation>
    <dataValidation sqref="BK2:BK19" showDropDown="0" showInputMessage="0" showErrorMessage="0" allowBlank="1" type="list">
      <formula1>"Uptrend,Sideways,Downtrend"</formula1>
    </dataValidation>
    <dataValidation sqref="BM2:BM19" showDropDown="0" showInputMessage="0" showErrorMessage="0" allowBlank="1" type="list">
      <formula1>"Uptrend,Sideways,Downtrend"</formula1>
    </dataValidation>
    <dataValidation sqref="BO2:BO1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9" showDropDown="0" showInputMessage="0" showErrorMessage="0" allowBlank="1" type="list">
      <formula1>"Yes,No"</formula1>
    </dataValidation>
    <dataValidation sqref="BS2:BS19" showDropDown="0" showInputMessage="0" showErrorMessage="0" allowBlank="1" type="list">
      <formula1>"More than 20%,Between 12 to 20%,Less than 12%"</formula1>
    </dataValidation>
    <dataValidation sqref="BU2:BU19" showDropDown="0" showInputMessage="0" showErrorMessage="0" allowBlank="1" type="list">
      <formula1>"Yes,No"</formula1>
    </dataValidation>
    <dataValidation sqref="BW2:BW19" showDropDown="0" showInputMessage="0" showErrorMessage="0" allowBlank="1" type="list">
      <formula1>"Yes,No"</formula1>
    </dataValidation>
    <dataValidation sqref="BY2:BY19" showDropDown="0" showInputMessage="0" showErrorMessage="0" allowBlank="1" type="list">
      <formula1>"Above 2,Between 1.5 to 2,Less than 1.5"</formula1>
    </dataValidation>
    <dataValidation sqref="CA2:CA19" showDropDown="0" showInputMessage="0" showErrorMessage="0" allowBlank="1" type="list">
      <formula1>"Above 70%,Between 50% to 70%,Less than 50%,Less than 50% and Borrowings are increasing,Negative"</formula1>
    </dataValidation>
    <dataValidation sqref="CC2:CC19" showDropDown="0" showInputMessage="0" showErrorMessage="0" allowBlank="1" type="list">
      <formula1>"More than 1.2,Between 0.7 to 1.2,Less than 0.7"</formula1>
    </dataValidation>
    <dataValidation sqref="CE2:CE19" showDropDown="0" showInputMessage="0" showErrorMessage="0" allowBlank="1" type="list">
      <formula1>"Yes,No"</formula1>
    </dataValidation>
    <dataValidation sqref="CG2:CG19" showDropDown="0" showInputMessage="0" showErrorMessage="0" allowBlank="1" type="list">
      <formula1>"More than 15%,Less than 15%"</formula1>
    </dataValidation>
    <dataValidation sqref="CI2:CI1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5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IF(B2=0,"",RANK(B2,$B$2:$B$5,0))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139.4</v>
      </c>
      <c r="E2" s="32" t="inlineStr">
        <is>
          <t>5%</t>
        </is>
      </c>
      <c r="F2" s="32" t="n">
        <v>50000</v>
      </c>
      <c r="G2" s="32" t="n">
        <v>143</v>
      </c>
      <c r="H2" s="31" t="inlineStr">
        <is>
          <t>FEDERALBNK</t>
        </is>
      </c>
      <c r="I2" s="31" t="inlineStr">
        <is>
          <t>The Federal Bank  Limited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largecap</t>
        </is>
      </c>
      <c r="M2" s="32" t="n">
        <v>86003.45</v>
      </c>
      <c r="N2" s="32" t="n">
        <v>349</v>
      </c>
      <c r="O2" s="32" t="n">
        <v>6.86</v>
      </c>
      <c r="P2" s="32" t="n">
        <v>44155126</v>
      </c>
      <c r="Q2" s="31" t="n">
        <v>68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76.72</v>
      </c>
      <c r="U2" s="32" t="n">
        <v>27.67</v>
      </c>
      <c r="V2" s="32" t="n">
        <v>302.73</v>
      </c>
      <c r="W2" s="31" t="inlineStr">
        <is>
          <t>Volume Spike &amp; Near 52W High Breakout</t>
        </is>
      </c>
      <c r="X2" s="31" t="inlineStr">
        <is>
          <t>Nifty Bank</t>
        </is>
      </c>
      <c r="Y2" s="32" t="n">
        <v>3.98</v>
      </c>
      <c r="Z2" s="32" t="n">
        <v>65.25</v>
      </c>
      <c r="AA2" s="32" t="n">
        <v>58.93</v>
      </c>
      <c r="AB2" s="32" t="n">
        <v>14.82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IF(B3=0,"",RANK(B3,$B$2:$B$5,0))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137.2</v>
      </c>
      <c r="E3" s="32" t="inlineStr">
        <is>
          <t>5%</t>
        </is>
      </c>
      <c r="F3" s="32" t="n">
        <v>50000</v>
      </c>
      <c r="G3" s="32" t="n">
        <v>179</v>
      </c>
      <c r="H3" s="31" t="inlineStr">
        <is>
          <t>CONSOFINVT</t>
        </is>
      </c>
      <c r="I3" s="31" t="inlineStr">
        <is>
          <t>Consolidated Finvest &amp; Holdings Limited</t>
        </is>
      </c>
      <c r="J3" s="31" t="inlineStr">
        <is>
          <t>financials</t>
        </is>
      </c>
      <c r="K3" s="31" t="inlineStr">
        <is>
          <t>finance &amp; investments</t>
        </is>
      </c>
      <c r="L3" s="31" t="inlineStr">
        <is>
          <t>smallcap</t>
        </is>
      </c>
      <c r="M3" s="32" t="n">
        <v>901.9400000000001</v>
      </c>
      <c r="N3" s="32" t="n">
        <v>279.01</v>
      </c>
      <c r="O3" s="32" t="n">
        <v>3.29</v>
      </c>
      <c r="P3" s="32" t="n">
        <v>37496</v>
      </c>
      <c r="Q3" s="31" t="n">
        <v>63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74.34</v>
      </c>
      <c r="U3" s="32" t="n">
        <v>24.94</v>
      </c>
      <c r="V3" s="32" t="n">
        <v>215.79</v>
      </c>
      <c r="W3" s="31" t="inlineStr">
        <is>
          <t>Volume Spike &amp; Near 52W High Breakout</t>
        </is>
      </c>
      <c r="X3" s="31" t="inlineStr">
        <is>
          <t>Nifty Bank</t>
        </is>
      </c>
      <c r="Y3" s="32" t="n">
        <v>3.98</v>
      </c>
      <c r="Z3" s="32" t="n">
        <v>37.04</v>
      </c>
      <c r="AA3" s="32" t="n">
        <v>31.8</v>
      </c>
      <c r="AB3" s="32" t="n">
        <v>13.06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less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20 to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IF(B4=0,"",RANK(B4,$B$2:$B$5,0))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138.3</v>
      </c>
      <c r="E4" s="32" t="inlineStr">
        <is>
          <t>5%</t>
        </is>
      </c>
      <c r="F4" s="32" t="n">
        <v>50000</v>
      </c>
      <c r="G4" s="32" t="n">
        <v>588</v>
      </c>
      <c r="H4" s="31" t="inlineStr">
        <is>
          <t>TFCILTD</t>
        </is>
      </c>
      <c r="I4" s="31" t="inlineStr">
        <is>
          <t>Tourism Finance Corporation Of India Limited</t>
        </is>
      </c>
      <c r="J4" s="31" t="inlineStr">
        <is>
          <t>financials</t>
        </is>
      </c>
      <c r="K4" s="31" t="inlineStr">
        <is>
          <t>finance - term-lending institutions</t>
        </is>
      </c>
      <c r="L4" s="31" t="inlineStr">
        <is>
          <t>smallcap</t>
        </is>
      </c>
      <c r="M4" s="32" t="n">
        <v>3936.7</v>
      </c>
      <c r="N4" s="32" t="n">
        <v>85.03</v>
      </c>
      <c r="O4" s="32" t="n">
        <v>1.52</v>
      </c>
      <c r="P4" s="32" t="n">
        <v>7217087</v>
      </c>
      <c r="Q4" s="31" t="n">
        <v>60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63.62</v>
      </c>
      <c r="U4" s="32" t="n">
        <v>38.23</v>
      </c>
      <c r="V4" s="32" t="n">
        <v>63.46</v>
      </c>
      <c r="W4" s="31" t="inlineStr">
        <is>
          <t>Volume Spike &amp; Near 52W High Breakout</t>
        </is>
      </c>
      <c r="X4" s="31" t="inlineStr">
        <is>
          <t>Nifty Bank</t>
        </is>
      </c>
      <c r="Y4" s="32" t="n">
        <v>3.98</v>
      </c>
      <c r="Z4" s="32" t="n">
        <v>49.16</v>
      </c>
      <c r="AA4" s="32" t="n">
        <v>43.46</v>
      </c>
      <c r="AB4" s="32" t="n">
        <v>12.31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between 2.5x to 5x and Growth less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20 to 40</t>
        </is>
      </c>
      <c r="BR4" s="31">
        <f>IF(BQ4="Above 40",20,IF(BQ4="20 to 40",10,IF(BQ4="0 to 20",-5,0)))</f>
        <v/>
      </c>
      <c r="BS4" s="31" t="inlineStr">
        <is>
          <t>Between 50 to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  <row r="5">
      <c r="A5" s="31">
        <f>IF(B5=0,"",RANK(B5,$B$2:$B$5,0))</f>
        <v/>
      </c>
      <c r="B5" s="32">
        <f>SUM(S5,AD5,AF5,AH5,AJ5,AL5,AN5,AP5,AR5,AT5,AV5,AX5,AZ5,BB5,BD5,BF5,BH5,BJ5,BL5,BN5,BP5,BR5,BT5,BV5,BX5,BZ5,CB5,CD5,CF5)</f>
        <v/>
      </c>
      <c r="C5" s="31" t="inlineStr">
        <is>
          <t>52W Breakout</t>
        </is>
      </c>
      <c r="D5" s="32" t="n">
        <v>136</v>
      </c>
      <c r="E5" s="32" t="inlineStr">
        <is>
          <t>5%</t>
        </is>
      </c>
      <c r="F5" s="32" t="n">
        <v>50000</v>
      </c>
      <c r="G5" s="32" t="n">
        <v>4</v>
      </c>
      <c r="H5" s="31" t="inlineStr">
        <is>
          <t>OFSS</t>
        </is>
      </c>
      <c r="I5" s="31" t="inlineStr">
        <is>
          <t>Oracle Financial Services Software Limited</t>
        </is>
      </c>
      <c r="J5" s="31" t="inlineStr">
        <is>
          <t>i.t</t>
        </is>
      </c>
      <c r="K5" s="31" t="inlineStr">
        <is>
          <t>computers - software - large</t>
        </is>
      </c>
      <c r="L5" s="31" t="inlineStr">
        <is>
          <t>largecap</t>
        </is>
      </c>
      <c r="M5" s="32" t="n">
        <v>102492.61</v>
      </c>
      <c r="N5" s="32" t="n">
        <v>11771</v>
      </c>
      <c r="O5" s="32" t="n">
        <v>0.77</v>
      </c>
      <c r="P5" s="32" t="n">
        <v>299599</v>
      </c>
      <c r="Q5" s="31" t="n">
        <v>78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76.70999999999999</v>
      </c>
      <c r="U5" s="32" t="n">
        <v>33.39</v>
      </c>
      <c r="V5" s="32" t="n">
        <v>9587.870000000001</v>
      </c>
      <c r="W5" s="31" t="inlineStr">
        <is>
          <t>Near 52W High Breakout</t>
        </is>
      </c>
      <c r="X5" s="31" t="inlineStr">
        <is>
          <t>Nifty IT</t>
        </is>
      </c>
      <c r="Y5" s="32" t="n">
        <v>-21.31</v>
      </c>
      <c r="Z5" s="32" t="n">
        <v>39.88</v>
      </c>
      <c r="AA5" s="32" t="n">
        <v>77.76000000000001</v>
      </c>
      <c r="AB5" s="32" t="n">
        <v>19.07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Fragmented with High ROE</t>
        </is>
      </c>
      <c r="AF5" s="31">
        <f>IF(AE5="Fragmented with Low ROE",-5,IF(AE5="Fragmented with High ROE",10,IF(AE5= "highly cyclical",5,0)))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Consistency)",15,IF(AK5="Shallow Cyclical (2 to 3 years growth)",10,IF(AK5 = "Cyclical in an Uptick",5,IF(AK5 = "Cyclical in an Downtick",-10,0))))</f>
        <v/>
      </c>
      <c r="AM5" s="31" t="inlineStr">
        <is>
          <t>Yes</t>
        </is>
      </c>
      <c r="AN5" s="31">
        <f>IF(AM5="Yes",10,0)</f>
        <v/>
      </c>
      <c r="AO5" s="31" t="inlineStr">
        <is>
          <t>Yes</t>
        </is>
      </c>
      <c r="AP5" s="31">
        <f>IF(AO5="Yes",10,0)</f>
        <v/>
      </c>
      <c r="AQ5" s="31" t="n"/>
      <c r="AR5" s="31">
        <f>IF(AQ5="No",10,0)</f>
        <v/>
      </c>
      <c r="AS5" s="31" t="inlineStr">
        <is>
          <t>Yes</t>
        </is>
      </c>
      <c r="AT5" s="31">
        <f>IF(AS5="Yes",10,0)</f>
        <v/>
      </c>
      <c r="AU5" s="31" t="inlineStr">
        <is>
          <t>Yes</t>
        </is>
      </c>
      <c r="AV5" s="31">
        <f>IF(AU5="Yes",10,0)</f>
        <v/>
      </c>
      <c r="AW5" s="31" t="inlineStr">
        <is>
          <t>Yes</t>
        </is>
      </c>
      <c r="AX5" s="31">
        <f>IF(AW5="Yes",5,0)</f>
        <v/>
      </c>
      <c r="AY5" s="31" t="inlineStr">
        <is>
          <t>No</t>
        </is>
      </c>
      <c r="AZ5" s="31">
        <f>IF(AY5="No",10,IF(AY5="Yes",-10,0))</f>
        <v/>
      </c>
      <c r="BA5" s="31" t="inlineStr">
        <is>
          <t>No</t>
        </is>
      </c>
      <c r="BB5" s="31">
        <f>IF(BA5="No",10,0)</f>
        <v/>
      </c>
      <c r="BC5" s="31" t="inlineStr">
        <is>
          <t>No</t>
        </is>
      </c>
      <c r="BD5" s="31">
        <f>IF(BC5="No",10,IF(BC5= "Yes CEO Resignation",-5,0))</f>
        <v/>
      </c>
      <c r="BE5" s="31" t="inlineStr">
        <is>
          <t>No</t>
        </is>
      </c>
      <c r="BF5" s="31">
        <f>IF(BE5="No",10,IF(BE5="Yes",-5,0))</f>
        <v/>
      </c>
      <c r="BG5" s="31" t="inlineStr">
        <is>
          <t>No</t>
        </is>
      </c>
      <c r="BH5" s="31">
        <f>IF(BG5="No",5,IF(BG5="Yes",-5,0))</f>
        <v/>
      </c>
      <c r="BI5" s="31" t="inlineStr">
        <is>
          <t>Yes</t>
        </is>
      </c>
      <c r="BJ5" s="31">
        <f>IF(BI5="Yes",10,0)</f>
        <v/>
      </c>
      <c r="BK5" s="31" t="inlineStr">
        <is>
          <t>Yes</t>
        </is>
      </c>
      <c r="BL5" s="31">
        <f>IF(BK5="Yes",10,0)</f>
        <v/>
      </c>
      <c r="BM5" s="31" t="inlineStr">
        <is>
          <t>Yes</t>
        </is>
      </c>
      <c r="BN5" s="31">
        <f>IF(BM5="Yes",10,0)</f>
        <v/>
      </c>
      <c r="BO5" s="31" t="inlineStr">
        <is>
          <t>P/BV above 5x</t>
        </is>
      </c>
      <c r="BP5" s="31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1" t="inlineStr">
        <is>
          <t>20 to 40</t>
        </is>
      </c>
      <c r="BR5" s="31">
        <f>IF(BQ5="Above 40",20,IF(BQ5="20 to 40",10,IF(BQ5="0 to 20",-5,0)))</f>
        <v/>
      </c>
      <c r="BS5" s="31" t="inlineStr">
        <is>
          <t>Above 75</t>
        </is>
      </c>
      <c r="BT5" s="31">
        <f>IF(BS5="Between 50 to 75",10,IF(BS5="Above 75",0,0))</f>
        <v/>
      </c>
      <c r="BU5" s="31" t="inlineStr">
        <is>
          <t>Stage 2</t>
        </is>
      </c>
      <c r="BV5" s="31">
        <f>IF(BU5="Stage 2",20,IF(BU5="Stage 1",0,IF(BU5="Stage 3",5,IF(BU5="Stage 4",-5,0))))</f>
        <v/>
      </c>
      <c r="BW5" s="31" t="inlineStr">
        <is>
          <t>Positive Trend</t>
        </is>
      </c>
      <c r="BX5" s="31">
        <f>IF(BW5="Positive Trend",20,IF(BW5="Negative Trend",-10,0))</f>
        <v/>
      </c>
      <c r="BY5" s="31" t="inlineStr">
        <is>
          <t>Uptrend</t>
        </is>
      </c>
      <c r="BZ5" s="31">
        <f>IF(BY5="Uptrend",10,IF(BY5="Sideways",5,0))</f>
        <v/>
      </c>
      <c r="CA5" s="31" t="inlineStr">
        <is>
          <t>Uptrend</t>
        </is>
      </c>
      <c r="CB5" s="31">
        <f>IF(CA5="Uptrend",10,IF(CA5="Sideways",5,0))</f>
        <v/>
      </c>
      <c r="CC5" s="31" t="inlineStr">
        <is>
          <t>Blue sky scenario</t>
        </is>
      </c>
      <c r="CD5" s="31">
        <f>IF(CC5="Overhead supply in last 2 years in last 2 years",-5,IF(CC5="Close to 52 week high or retracement",5,IF(CC5="Blue sky scenario",10,IF(CC5="Long term Downtrend",-10,0))))</f>
        <v/>
      </c>
      <c r="CE5" s="31" t="inlineStr">
        <is>
          <t>Yes</t>
        </is>
      </c>
      <c r="CF5" s="31">
        <f>IF(CE5="Yes",10,0)</f>
        <v/>
      </c>
    </row>
  </sheetData>
  <autoFilter ref="A1:CF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5">
    <cfRule type="cellIs" priority="34" operator="equal" dxfId="3" stopIfTrue="1">
      <formula>"Underperforming"</formula>
    </cfRule>
  </conditionalFormatting>
  <conditionalFormatting sqref="S2:S5">
    <cfRule type="cellIs" priority="35" operator="equal" dxfId="3" stopIfTrue="1">
      <formula>-5</formula>
    </cfRule>
  </conditionalFormatting>
  <conditionalFormatting sqref="V2:V5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5" showDropDown="0" showInputMessage="0" showErrorMessage="0" allowBlank="1" type="list">
      <formula1>"Growing Industry,Stagnant Industry,Cyclical in an Upturn"</formula1>
    </dataValidation>
    <dataValidation sqref="AE2:AE5" showDropDown="0" showInputMessage="0" showErrorMessage="0" allowBlank="1" type="list">
      <formula1>"Fragmented with Low ROE,Fragmented with High ROE,Highly Cyclical"</formula1>
    </dataValidation>
    <dataValidation sqref="AG2:AG5" showDropDown="0" showInputMessage="0" showErrorMessage="0" allowBlank="1" type="list">
      <formula1>"Yes,No"</formula1>
    </dataValidation>
    <dataValidation sqref="AI2:AI5" showDropDown="0" showInputMessage="0" showErrorMessage="0" allowBlank="1" type="list">
      <formula1>"Tailwind,Headwind"</formula1>
    </dataValidation>
    <dataValidation sqref="AK2:AK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5" showDropDown="0" showInputMessage="0" showErrorMessage="0" allowBlank="1" type="list">
      <formula1>"Yes,No"</formula1>
    </dataValidation>
    <dataValidation sqref="AO2:AO5" showDropDown="0" showInputMessage="0" showErrorMessage="0" allowBlank="1" type="list">
      <formula1>"Yes,No,Not Applicable"</formula1>
    </dataValidation>
    <dataValidation sqref="AQ2:AQ5" showDropDown="0" showInputMessage="0" showErrorMessage="0" allowBlank="1" type="list">
      <formula1>"Yes,No"</formula1>
    </dataValidation>
    <dataValidation sqref="AS2:AS5" showDropDown="0" showInputMessage="0" showErrorMessage="0" allowBlank="1" type="list">
      <formula1>"Yes,No"</formula1>
    </dataValidation>
    <dataValidation sqref="AU2:AU5" showDropDown="0" showInputMessage="0" showErrorMessage="0" allowBlank="1" type="list">
      <formula1>"Yes,No"</formula1>
    </dataValidation>
    <dataValidation sqref="AW2:AW5" showDropDown="0" showInputMessage="0" showErrorMessage="0" allowBlank="1" type="list">
      <formula1>"Yes,No"</formula1>
    </dataValidation>
    <dataValidation sqref="AY2:AY5" showDropDown="0" showInputMessage="0" showErrorMessage="0" allowBlank="1" type="list">
      <formula1>"No,Yes"</formula1>
    </dataValidation>
    <dataValidation sqref="BA2:BA5" showDropDown="0" showInputMessage="0" showErrorMessage="0" allowBlank="1" type="list">
      <formula1>"No,Yes"</formula1>
    </dataValidation>
    <dataValidation sqref="BC2:BC5" showDropDown="0" showInputMessage="0" showErrorMessage="0" allowBlank="1" type="list">
      <formula1>"No,Yes CEO Resignation,Yes CEO Retirement"</formula1>
    </dataValidation>
    <dataValidation sqref="BE2:BE5" showDropDown="0" showInputMessage="0" showErrorMessage="0" allowBlank="1" type="list">
      <formula1>"No,Yes"</formula1>
    </dataValidation>
    <dataValidation sqref="BG2:BG5" showDropDown="0" showInputMessage="0" showErrorMessage="0" allowBlank="1" type="list">
      <formula1>"No,Yes"</formula1>
    </dataValidation>
    <dataValidation sqref="BI2:BI5" showDropDown="0" showInputMessage="0" showErrorMessage="0" allowBlank="1" type="list">
      <formula1>"Yes,No"</formula1>
    </dataValidation>
    <dataValidation sqref="BK2:BK5" showDropDown="0" showInputMessage="0" showErrorMessage="0" allowBlank="1" type="list">
      <formula1>"Yes,No"</formula1>
    </dataValidation>
    <dataValidation sqref="BM2:BM5" showDropDown="0" showInputMessage="0" showErrorMessage="0" allowBlank="1" type="list">
      <formula1>"Yes,No"</formula1>
    </dataValidation>
    <dataValidation sqref="BO2:BO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5" showDropDown="0" showInputMessage="0" showErrorMessage="0" allowBlank="1" type="list">
      <formula1>"Above 40,20 to 40,0 to 20"</formula1>
    </dataValidation>
    <dataValidation sqref="BS2:BS5" showDropDown="0" showInputMessage="0" showErrorMessage="0" allowBlank="1" type="list">
      <formula1>"Between 50 to 75,Above 75,Below 45"</formula1>
    </dataValidation>
    <dataValidation sqref="BU2:BU5" showDropDown="0" showInputMessage="0" showErrorMessage="0" allowBlank="1" type="list">
      <formula1>"Stage 1,Stage 2,Stage 3,Stage 4"</formula1>
    </dataValidation>
    <dataValidation sqref="BW2:BW5" showDropDown="0" showInputMessage="0" showErrorMessage="0" allowBlank="1" type="list">
      <formula1>"Positive Trend,Negative Trend"</formula1>
    </dataValidation>
    <dataValidation sqref="BY2:BY5" showDropDown="0" showInputMessage="0" showErrorMessage="0" allowBlank="1" type="list">
      <formula1>"Uptrend,Sideways,Downtrend"</formula1>
    </dataValidation>
    <dataValidation sqref="CA2:CA5" showDropDown="0" showInputMessage="0" showErrorMessage="0" allowBlank="1" type="list">
      <formula1>"Uptrend,Sideways,Downtrend"</formula1>
    </dataValidation>
    <dataValidation sqref="CC2:CC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4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IF(B2=0,"",RANK(B2,$B$2:$B$85,0))</f>
        <v/>
      </c>
      <c r="B2" s="32">
        <f>SUM(N2,Y2,AA2,AC2,AE2,AG2,AI2,AK2,AM2,AO2,AQ2,AS2,AU2,AW2,AY2,BA2,BC2,BE2,BG2,BI2,BK2,BM2,BO2,BQ2,BS2,BU2,BW2,BY2,CA2,CC2,CE2,CG2)</f>
        <v/>
      </c>
      <c r="C2" s="34" t="inlineStr">
        <is>
          <t>EMMVEE</t>
        </is>
      </c>
      <c r="D2" s="34" t="inlineStr">
        <is>
          <t>Emmvee Photovoltaic Power Ltd</t>
        </is>
      </c>
      <c r="E2" s="31" t="inlineStr">
        <is>
          <t>Technology</t>
        </is>
      </c>
      <c r="F2" s="31" t="inlineStr">
        <is>
          <t>Electric Equipment - General</t>
        </is>
      </c>
      <c r="G2" s="31" t="inlineStr">
        <is>
          <t>largecap</t>
        </is>
      </c>
      <c r="H2" s="32" t="n">
        <v>23889.37</v>
      </c>
      <c r="I2" s="32" t="n">
        <v>345.05</v>
      </c>
      <c r="J2" s="32" t="n">
        <v>-5.56</v>
      </c>
      <c r="K2" s="32" t="n">
        <v>0</v>
      </c>
      <c r="L2" s="31" t="n">
        <v>69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63.07</v>
      </c>
      <c r="P2" s="32" t="n">
        <v>58.98</v>
      </c>
      <c r="Q2" s="32" t="n">
        <v>262.61</v>
      </c>
      <c r="R2" s="31" t="inlineStr">
        <is>
          <t>Volume Spike &amp; Near 52W High Breakout</t>
        </is>
      </c>
      <c r="S2" s="31" t="inlineStr">
        <is>
          <t>Nifty 50</t>
        </is>
      </c>
      <c r="T2" s="32" t="n">
        <v>-6.65</v>
      </c>
      <c r="U2" s="32" t="n">
        <v>48.21</v>
      </c>
      <c r="V2" s="32" t="n">
        <v>58.77</v>
      </c>
      <c r="W2" s="32" t="n">
        <v>15.38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16</t>
        </is>
      </c>
      <c r="CG2" s="31">
        <f>IF(CF2&gt;20,10,IF(CF2&gt;=10,5,2))</f>
        <v/>
      </c>
    </row>
    <row r="3">
      <c r="A3" s="31">
        <f>IF(B3=0,"",RANK(B3,$B$2:$B$85,0))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SAKAR</t>
        </is>
      </c>
      <c r="D3" s="31" t="inlineStr">
        <is>
          <t>Sakar Healthcare Ltd</t>
        </is>
      </c>
      <c r="E3" s="31" t="inlineStr">
        <is>
          <t>healthcare</t>
        </is>
      </c>
      <c r="F3" s="31" t="inlineStr">
        <is>
          <t>Hospitals</t>
        </is>
      </c>
      <c r="G3" s="31" t="inlineStr">
        <is>
          <t>smallcap</t>
        </is>
      </c>
      <c r="H3" s="32" t="n">
        <v>1952.87</v>
      </c>
      <c r="I3" s="32" t="n">
        <v>877.7</v>
      </c>
      <c r="J3" s="32" t="n">
        <v>-2.15</v>
      </c>
      <c r="K3" s="32" t="n">
        <v>0</v>
      </c>
      <c r="L3" s="31" t="n">
        <v>90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74.98999999999999</v>
      </c>
      <c r="P3" s="32" t="n">
        <v>56.3</v>
      </c>
      <c r="Q3" s="32" t="n">
        <v>617.86</v>
      </c>
      <c r="R3" s="31" t="inlineStr">
        <is>
          <t>Near 52W High Breakout</t>
        </is>
      </c>
      <c r="S3" s="31" t="inlineStr">
        <is>
          <t>Nifty Pharma</t>
        </is>
      </c>
      <c r="T3" s="32" t="n">
        <v>13.51</v>
      </c>
      <c r="U3" s="32" t="n">
        <v>148.36</v>
      </c>
      <c r="V3" s="32" t="n">
        <v>118.8</v>
      </c>
      <c r="W3" s="32" t="n">
        <v>31.38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15</t>
        </is>
      </c>
      <c r="CG3" s="31">
        <f>IF(CF3&gt;20,10,IF(CF3&gt;=10,5,2))</f>
        <v/>
      </c>
    </row>
    <row r="4">
      <c r="A4" s="31">
        <f>IF(B4=0,"",RANK(B4,$B$2:$B$85,0))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INDOBORAX</t>
        </is>
      </c>
      <c r="D4" s="31" t="inlineStr">
        <is>
          <t>Indo Borax &amp; Chemicals Ltd</t>
        </is>
      </c>
      <c r="E4" s="31" t="inlineStr">
        <is>
          <t>chemicals</t>
        </is>
      </c>
      <c r="F4" s="31" t="inlineStr">
        <is>
          <t>Chemicals - Inorganic</t>
        </is>
      </c>
      <c r="G4" s="31" t="inlineStr">
        <is>
          <t>smallcap</t>
        </is>
      </c>
      <c r="H4" s="32" t="n">
        <v>1494.43</v>
      </c>
      <c r="I4" s="32" t="n">
        <v>465.7</v>
      </c>
      <c r="J4" s="32" t="n">
        <v>4.07</v>
      </c>
      <c r="K4" s="32" t="n">
        <v>0</v>
      </c>
      <c r="L4" s="31" t="n">
        <v>92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87.45</v>
      </c>
      <c r="P4" s="32" t="n">
        <v>67.29000000000001</v>
      </c>
      <c r="Q4" s="32" t="n">
        <v>360.79</v>
      </c>
      <c r="R4" s="31" t="inlineStr">
        <is>
          <t>Volume Spike &amp; Near 52W High Breakout</t>
        </is>
      </c>
      <c r="S4" s="31" t="inlineStr">
        <is>
          <t>Nifty 50</t>
        </is>
      </c>
      <c r="T4" s="32" t="n">
        <v>-2.54</v>
      </c>
      <c r="U4" s="32" t="n">
        <v>89.66</v>
      </c>
      <c r="V4" s="32" t="n">
        <v>94.59999999999999</v>
      </c>
      <c r="W4" s="32" t="n">
        <v>34.04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17</t>
        </is>
      </c>
      <c r="CG4" s="31">
        <f>IF(CF4&gt;20,10,IF(CF4&gt;=10,5,2))</f>
        <v/>
      </c>
    </row>
    <row r="5">
      <c r="A5" s="31">
        <f>IF(B5=0,"",RANK(B5,$B$2:$B$85,0))</f>
        <v/>
      </c>
      <c r="B5" s="32">
        <f>SUM(N5,Y5,AA5,AC5,AE5,AG5,AI5,AK5,AM5,AO5,AQ5,AS5,AU5,AW5,AY5,BA5,BC5,BE5,BG5,BI5,BK5,BM5,BO5,BQ5,BS5,BU5,BW5,BY5,CA5,CC5,CE5,CG5)</f>
        <v/>
      </c>
      <c r="C5" s="34" t="inlineStr">
        <is>
          <t>ACGL</t>
        </is>
      </c>
      <c r="D5" s="34" t="inlineStr">
        <is>
          <t>Automobile Corporation Of Goa Ltd</t>
        </is>
      </c>
      <c r="E5" s="31" t="inlineStr">
        <is>
          <t>Consumer Cyclical</t>
        </is>
      </c>
      <c r="F5" s="31" t="inlineStr">
        <is>
          <t>Auto Ancillaries - Diversified</t>
        </is>
      </c>
      <c r="G5" s="31" t="inlineStr">
        <is>
          <t>smallcap</t>
        </is>
      </c>
      <c r="H5" s="32" t="n">
        <v>1404.4</v>
      </c>
      <c r="I5" s="32" t="n">
        <v>2306.6</v>
      </c>
      <c r="J5" s="32" t="n">
        <v>-1.81</v>
      </c>
      <c r="K5" s="32" t="n">
        <v>0</v>
      </c>
      <c r="L5" s="31" t="n">
        <v>58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71.22</v>
      </c>
      <c r="P5" s="32" t="n">
        <v>41.49</v>
      </c>
      <c r="Q5" s="32" t="n">
        <v>1739.19</v>
      </c>
      <c r="R5" s="31" t="inlineStr">
        <is>
          <t>Near 52W High Breakout</t>
        </is>
      </c>
      <c r="S5" s="31" t="inlineStr">
        <is>
          <t>Nifty Auto</t>
        </is>
      </c>
      <c r="T5" s="32" t="n">
        <v>13.41</v>
      </c>
      <c r="U5" s="32" t="n">
        <v>30.65</v>
      </c>
      <c r="V5" s="32" t="n">
        <v>15.19</v>
      </c>
      <c r="W5" s="32" t="n">
        <v>11.88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15</t>
        </is>
      </c>
      <c r="CG5" s="31">
        <f>IF(CF5&gt;20,10,IF(CF5&gt;=10,5,2))</f>
        <v/>
      </c>
    </row>
    <row r="6">
      <c r="A6" s="31">
        <f>IF(B6=0,"",RANK(B6,$B$2:$B$85,0))</f>
        <v/>
      </c>
      <c r="B6" s="32">
        <f>SUM(N6,Y6,AA6,AC6,AE6,AG6,AI6,AK6,AM6,AO6,AQ6,AS6,AU6,AW6,AY6,BA6,BC6,BE6,BG6,BI6,BK6,BM6,BO6,BQ6,BS6,BU6,BW6,BY6,CA6,CC6,CE6,CG6)</f>
        <v/>
      </c>
      <c r="C6" s="34" t="inlineStr">
        <is>
          <t>INDIAGLYCO</t>
        </is>
      </c>
      <c r="D6" s="34" t="inlineStr">
        <is>
          <t>India Glycols Ltd</t>
        </is>
      </c>
      <c r="E6" s="31" t="inlineStr">
        <is>
          <t>fmcg</t>
        </is>
      </c>
      <c r="F6" s="31" t="inlineStr">
        <is>
          <t>Alcoholic Beverages</t>
        </is>
      </c>
      <c r="G6" s="31" t="inlineStr">
        <is>
          <t>midcap</t>
        </is>
      </c>
      <c r="H6" s="32" t="n">
        <v>7770.41</v>
      </c>
      <c r="I6" s="32" t="n">
        <v>1159.3</v>
      </c>
      <c r="J6" s="32" t="n">
        <v>0.24</v>
      </c>
      <c r="K6" s="32" t="n">
        <v>0</v>
      </c>
      <c r="L6" s="31" t="n">
        <v>42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65.27</v>
      </c>
      <c r="P6" s="32" t="n">
        <v>21.25</v>
      </c>
      <c r="Q6" s="32" t="n">
        <v>905.08</v>
      </c>
      <c r="R6" s="31" t="inlineStr">
        <is>
          <t>Volume Spike &amp; Near 52W High Breakout</t>
        </is>
      </c>
      <c r="S6" s="31" t="inlineStr">
        <is>
          <t>Nifty FMCG</t>
        </is>
      </c>
      <c r="T6" s="32" t="n">
        <v>-13.73</v>
      </c>
      <c r="U6" s="32" t="n">
        <v>22.44</v>
      </c>
      <c r="V6" s="32" t="n">
        <v>41.93</v>
      </c>
      <c r="W6" s="32" t="n">
        <v>8.220000000000001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18</t>
        </is>
      </c>
      <c r="CG6" s="31">
        <f>IF(CF6&gt;20,10,IF(CF6&gt;=10,5,2))</f>
        <v/>
      </c>
    </row>
    <row r="7">
      <c r="A7" s="31">
        <f>IF(B7=0,"",RANK(B7,$B$2:$B$85,0))</f>
        <v/>
      </c>
      <c r="B7" s="32">
        <f>SUM(N7,Y7,AA7,AC7,AE7,AG7,AI7,AK7,AM7,AO7,AQ7,AS7,AU7,AW7,AY7,BA7,BC7,BE7,BG7,BI7,BK7,BM7,BO7,BQ7,BS7,BU7,BW7,BY7,CA7,CC7,CE7,CG7)</f>
        <v/>
      </c>
      <c r="C7" s="34" t="inlineStr">
        <is>
          <t>MENONBE</t>
        </is>
      </c>
      <c r="D7" s="34" t="inlineStr">
        <is>
          <t>Menon Bearings Ltd</t>
        </is>
      </c>
      <c r="E7" s="31" t="inlineStr">
        <is>
          <t>auto</t>
        </is>
      </c>
      <c r="F7" s="31" t="inlineStr">
        <is>
          <t>Auto Ancillaries - Bearings</t>
        </is>
      </c>
      <c r="G7" s="31" t="inlineStr">
        <is>
          <t>smallcap</t>
        </is>
      </c>
      <c r="H7" s="32" t="n">
        <v>1118.95</v>
      </c>
      <c r="I7" s="32" t="n">
        <v>199.67</v>
      </c>
      <c r="J7" s="32" t="n">
        <v>5</v>
      </c>
      <c r="K7" s="32" t="n">
        <v>0</v>
      </c>
      <c r="L7" s="31" t="n">
        <v>85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73.83</v>
      </c>
      <c r="P7" s="32" t="n">
        <v>42.59</v>
      </c>
      <c r="Q7" s="32" t="n">
        <v>148.69</v>
      </c>
      <c r="R7" s="31" t="inlineStr">
        <is>
          <t>Near 52W High Breakout</t>
        </is>
      </c>
      <c r="S7" s="31" t="inlineStr">
        <is>
          <t>Nifty Auto</t>
        </is>
      </c>
      <c r="T7" s="32" t="n">
        <v>13.41</v>
      </c>
      <c r="U7" s="32" t="n">
        <v>59.56</v>
      </c>
      <c r="V7" s="32" t="n">
        <v>40.68</v>
      </c>
      <c r="W7" s="32" t="n">
        <v>23.69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Less than 50%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21</t>
        </is>
      </c>
      <c r="CG7" s="31">
        <f>IF(CF7&gt;20,10,IF(CF7&gt;=10,5,2))</f>
        <v/>
      </c>
    </row>
    <row r="8">
      <c r="A8" s="31">
        <f>IF(B8=0,"",RANK(B8,$B$2:$B$85,0))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ACCENTMIC</t>
        </is>
      </c>
      <c r="D8" s="31" t="inlineStr">
        <is>
          <t>Accent Microcell Ltd</t>
        </is>
      </c>
      <c r="E8" s="31" t="inlineStr">
        <is>
          <t>unknown</t>
        </is>
      </c>
      <c r="F8" s="31" t="inlineStr">
        <is>
          <t>Pharma - Formulators</t>
        </is>
      </c>
      <c r="G8" s="31" t="inlineStr">
        <is>
          <t>smallcap</t>
        </is>
      </c>
      <c r="H8" s="32" t="n">
        <v>1231.6</v>
      </c>
      <c r="I8" s="32" t="n">
        <v>513.4</v>
      </c>
      <c r="J8" s="32" t="n">
        <v>0.71</v>
      </c>
      <c r="K8" s="32" t="n">
        <v>0</v>
      </c>
      <c r="L8" s="31" t="n">
        <v>75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73.7</v>
      </c>
      <c r="P8" s="32" t="n">
        <v>62.64</v>
      </c>
      <c r="Q8" s="32" t="n">
        <v>404.71</v>
      </c>
      <c r="R8" s="31" t="inlineStr">
        <is>
          <t>Near 52W High Breakout</t>
        </is>
      </c>
      <c r="S8" s="31" t="inlineStr">
        <is>
          <t>Nifty 50</t>
        </is>
      </c>
      <c r="T8" s="32" t="n">
        <v>-2.54</v>
      </c>
      <c r="U8" s="32" t="n">
        <v>87.09999999999999</v>
      </c>
      <c r="V8" s="32" t="n">
        <v>91.98</v>
      </c>
      <c r="W8" s="32" t="n">
        <v>17.55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19</t>
        </is>
      </c>
      <c r="CG8" s="31">
        <f>IF(CF8&gt;20,10,IF(CF8&gt;=10,5,2))</f>
        <v/>
      </c>
    </row>
    <row r="9">
      <c r="A9" s="31">
        <f>IF(B9=0,"",RANK(B9,$B$2:$B$85,0))</f>
        <v/>
      </c>
      <c r="B9" s="32">
        <f>SUM(N9,Y9,AA9,AC9,AE9,AG9,AI9,AK9,AM9,AO9,AQ9,AS9,AU9,AW9,AY9,BA9,BC9,BE9,BG9,BI9,BK9,BM9,BO9,BQ9,BS9,BU9,BW9,BY9,CA9,CC9,CE9,CG9)</f>
        <v/>
      </c>
      <c r="C9" s="34" t="inlineStr">
        <is>
          <t>AEGISLOG</t>
        </is>
      </c>
      <c r="D9" s="34" t="inlineStr">
        <is>
          <t>Aegis Logistics Ltd</t>
        </is>
      </c>
      <c r="E9" s="31" t="inlineStr">
        <is>
          <t>services</t>
        </is>
      </c>
      <c r="F9" s="31" t="inlineStr">
        <is>
          <t>Logistics</t>
        </is>
      </c>
      <c r="G9" s="31" t="inlineStr">
        <is>
          <t>largecap</t>
        </is>
      </c>
      <c r="H9" s="32" t="n">
        <v>47353.41</v>
      </c>
      <c r="I9" s="32" t="n">
        <v>1349.1</v>
      </c>
      <c r="J9" s="32" t="n">
        <v>3.98</v>
      </c>
      <c r="K9" s="32" t="n">
        <v>0</v>
      </c>
      <c r="L9" s="31" t="n">
        <v>94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80.13</v>
      </c>
      <c r="P9" s="32" t="n">
        <v>40.57</v>
      </c>
      <c r="Q9" s="32" t="n">
        <v>1023.93</v>
      </c>
      <c r="R9" s="31" t="inlineStr">
        <is>
          <t>Near 52W High Breakout</t>
        </is>
      </c>
      <c r="S9" s="31" t="inlineStr">
        <is>
          <t>Nifty 50</t>
        </is>
      </c>
      <c r="T9" s="32" t="n">
        <v>-2.54</v>
      </c>
      <c r="U9" s="32" t="n">
        <v>83</v>
      </c>
      <c r="V9" s="32" t="n">
        <v>87.77</v>
      </c>
      <c r="W9" s="32" t="n">
        <v>35.84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16</t>
        </is>
      </c>
      <c r="CG9" s="31">
        <f>IF(CF9&gt;20,10,IF(CF9&gt;=10,5,2))</f>
        <v/>
      </c>
    </row>
    <row r="10">
      <c r="A10" s="31">
        <f>IF(B10=0,"",RANK(B10,$B$2:$B$85,0))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ACUTAAS</t>
        </is>
      </c>
      <c r="D10" s="31" t="inlineStr">
        <is>
          <t>Acutaas Chemicals Ltd</t>
        </is>
      </c>
      <c r="E10" s="31" t="inlineStr">
        <is>
          <t>healthcare</t>
        </is>
      </c>
      <c r="F10" s="31" t="inlineStr">
        <is>
          <t>Pharma - API &amp; CRAMS</t>
        </is>
      </c>
      <c r="G10" s="31" t="inlineStr">
        <is>
          <t>largecap</t>
        </is>
      </c>
      <c r="H10" s="32" t="n">
        <v>29632.43</v>
      </c>
      <c r="I10" s="32" t="n">
        <v>3619.4</v>
      </c>
      <c r="J10" s="32" t="n">
        <v>0.99</v>
      </c>
      <c r="K10" s="32" t="n">
        <v>0</v>
      </c>
      <c r="L10" s="31" t="n">
        <v>95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71.53</v>
      </c>
      <c r="P10" s="32" t="n">
        <v>68.48999999999999</v>
      </c>
      <c r="Q10" s="32" t="n">
        <v>2875.67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13.51</v>
      </c>
      <c r="U10" s="32" t="n">
        <v>201.12</v>
      </c>
      <c r="V10" s="32" t="n">
        <v>165.28</v>
      </c>
      <c r="W10" s="32" t="n">
        <v>37.14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Between 50% to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23</t>
        </is>
      </c>
      <c r="CG10" s="31">
        <f>IF(CF10&gt;20,10,IF(CF10&gt;=10,5,2))</f>
        <v/>
      </c>
    </row>
    <row r="11">
      <c r="A11" s="31">
        <f>IF(B11=0,"",RANK(B11,$B$2:$B$85,0))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RADICO</t>
        </is>
      </c>
      <c r="D11" s="31" t="inlineStr">
        <is>
          <t>Radico Khaitan Ltd</t>
        </is>
      </c>
      <c r="E11" s="31" t="inlineStr">
        <is>
          <t>fmcg</t>
        </is>
      </c>
      <c r="F11" s="31" t="inlineStr">
        <is>
          <t>Alcoholic Beverages</t>
        </is>
      </c>
      <c r="G11" s="31" t="inlineStr">
        <is>
          <t>largecap</t>
        </is>
      </c>
      <c r="H11" s="32" t="n">
        <v>54904.65</v>
      </c>
      <c r="I11" s="32" t="n">
        <v>4097.9</v>
      </c>
      <c r="J11" s="32" t="n">
        <v>-0.2</v>
      </c>
      <c r="K11" s="32" t="n">
        <v>0</v>
      </c>
      <c r="L11" s="31" t="n">
        <v>68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79.94</v>
      </c>
      <c r="P11" s="32" t="n">
        <v>52.26</v>
      </c>
      <c r="Q11" s="32" t="n">
        <v>3461.45</v>
      </c>
      <c r="R11" s="31" t="inlineStr">
        <is>
          <t>Near 52W High Breakout</t>
        </is>
      </c>
      <c r="S11" s="31" t="inlineStr">
        <is>
          <t>Nifty FMCG</t>
        </is>
      </c>
      <c r="T11" s="32" t="n">
        <v>-13.73</v>
      </c>
      <c r="U11" s="32" t="n">
        <v>50.97</v>
      </c>
      <c r="V11" s="32" t="n">
        <v>75</v>
      </c>
      <c r="W11" s="32" t="n">
        <v>14.99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17</t>
        </is>
      </c>
      <c r="CG11" s="31">
        <f>IF(CF11&gt;20,10,IF(CF11&gt;=10,5,2))</f>
        <v/>
      </c>
    </row>
    <row r="12">
      <c r="A12" s="31">
        <f>IF(B12=0,"",RANK(B12,$B$2:$B$85,0))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4" t="inlineStr">
        <is>
          <t>BHEL</t>
        </is>
      </c>
      <c r="D12" s="34" t="inlineStr">
        <is>
          <t>Bharat Heavy Electricals Ltd</t>
        </is>
      </c>
      <c r="E12" s="31" t="inlineStr">
        <is>
          <t>industrials</t>
        </is>
      </c>
      <c r="F12" s="31" t="inlineStr">
        <is>
          <t>Capital Goods - Engineering Heavy</t>
        </is>
      </c>
      <c r="G12" s="31" t="inlineStr">
        <is>
          <t>largecap</t>
        </is>
      </c>
      <c r="H12" s="32" t="n">
        <v>146943.07</v>
      </c>
      <c r="I12" s="32" t="n">
        <v>422</v>
      </c>
      <c r="J12" s="32" t="n">
        <v>-3.08</v>
      </c>
      <c r="K12" s="32" t="n">
        <v>0</v>
      </c>
      <c r="L12" s="31" t="n">
        <v>77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67.81999999999999</v>
      </c>
      <c r="P12" s="32" t="n">
        <v>46.73</v>
      </c>
      <c r="Q12" s="32" t="n">
        <v>333.32</v>
      </c>
      <c r="R12" s="31" t="inlineStr">
        <is>
          <t>Volume Spike &amp; Near 52W High Breakout</t>
        </is>
      </c>
      <c r="S12" s="31" t="inlineStr">
        <is>
          <t>Nifty 50</t>
        </is>
      </c>
      <c r="T12" s="32" t="n">
        <v>-2.54</v>
      </c>
      <c r="U12" s="32" t="n">
        <v>69.36</v>
      </c>
      <c r="V12" s="32" t="n">
        <v>73.77</v>
      </c>
      <c r="W12" s="32" t="n">
        <v>18.76</v>
      </c>
      <c r="X12" s="31" t="inlineStr">
        <is>
          <t>Cyclical in an Upturn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20</t>
        </is>
      </c>
      <c r="CG12" s="31">
        <f>IF(CF12&gt;20,10,IF(CF12&gt;=10,5,2))</f>
        <v/>
      </c>
    </row>
    <row r="13">
      <c r="A13" s="31">
        <f>IF(B13=0,"",RANK(B13,$B$2:$B$85,0))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TIMEX</t>
        </is>
      </c>
      <c r="D13" s="31" t="inlineStr">
        <is>
          <t>Timex Group India Ltd</t>
        </is>
      </c>
      <c r="E13" s="31" t="inlineStr">
        <is>
          <t>Consumer Cyclical</t>
        </is>
      </c>
      <c r="F13" s="31" t="inlineStr">
        <is>
          <t>Watches</t>
        </is>
      </c>
      <c r="G13" s="31" t="inlineStr">
        <is>
          <t>midcap</t>
        </is>
      </c>
      <c r="H13" s="32" t="n">
        <v>5387.2</v>
      </c>
      <c r="I13" s="32" t="n">
        <v>533.65</v>
      </c>
      <c r="J13" s="32" t="n">
        <v>-2.01</v>
      </c>
      <c r="K13" s="32" t="n">
        <v>0</v>
      </c>
      <c r="L13" s="31" t="n">
        <v>95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70.63</v>
      </c>
      <c r="P13" s="32" t="n">
        <v>40.03</v>
      </c>
      <c r="Q13" s="32" t="n">
        <v>434.74</v>
      </c>
      <c r="R13" s="31" t="inlineStr">
        <is>
          <t>Earnings / Momentum Support</t>
        </is>
      </c>
      <c r="S13" s="31" t="inlineStr">
        <is>
          <t>Nifty 50</t>
        </is>
      </c>
      <c r="T13" s="32" t="n">
        <v>-2.54</v>
      </c>
      <c r="U13" s="32" t="n">
        <v>138.56</v>
      </c>
      <c r="V13" s="32" t="n">
        <v>144.77</v>
      </c>
      <c r="W13" s="32" t="n">
        <v>38.18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B2C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18</t>
        </is>
      </c>
      <c r="CG13" s="31">
        <f>IF(CF13&gt;20,10,IF(CF13&gt;=10,5,2))</f>
        <v/>
      </c>
    </row>
    <row r="14">
      <c r="A14" s="31">
        <f>IF(B14=0,"",RANK(B14,$B$2:$B$85,0))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IBULLSLTD</t>
        </is>
      </c>
      <c r="D14" s="31" t="inlineStr">
        <is>
          <t>Indiabulls Limited</t>
        </is>
      </c>
      <c r="E14" s="31" t="inlineStr">
        <is>
          <t>miscellaneous</t>
        </is>
      </c>
      <c r="F14" s="31" t="inlineStr">
        <is>
          <t>Diversified</t>
        </is>
      </c>
      <c r="G14" s="31" t="inlineStr">
        <is>
          <t>midcap</t>
        </is>
      </c>
      <c r="H14" s="32" t="n">
        <v>6753.35</v>
      </c>
      <c r="I14" s="32" t="n">
        <v>28.99</v>
      </c>
      <c r="J14" s="32" t="n">
        <v>-3.66</v>
      </c>
      <c r="K14" s="32" t="n">
        <v>0</v>
      </c>
      <c r="L14" s="31" t="n">
        <v>89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75.67</v>
      </c>
      <c r="P14" s="32" t="n">
        <v>44.18</v>
      </c>
      <c r="Q14" s="32" t="n">
        <v>21.45</v>
      </c>
      <c r="R14" s="31" t="inlineStr">
        <is>
          <t>Near 52W High Breakout</t>
        </is>
      </c>
      <c r="S14" s="31" t="inlineStr">
        <is>
          <t>Nifty 50</t>
        </is>
      </c>
      <c r="T14" s="32" t="n">
        <v>-2.54</v>
      </c>
      <c r="U14" s="32" t="n">
        <v>85.95</v>
      </c>
      <c r="V14" s="32" t="n">
        <v>90.8</v>
      </c>
      <c r="W14" s="32" t="n">
        <v>30.45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Between 50% to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16</t>
        </is>
      </c>
      <c r="CG14" s="31">
        <f>IF(CF14&gt;20,10,IF(CF14&gt;=10,5,2))</f>
        <v/>
      </c>
    </row>
    <row r="15">
      <c r="A15" s="31">
        <f>IF(B15=0,"",RANK(B15,$B$2:$B$85,0))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CUPID</t>
        </is>
      </c>
      <c r="D15" s="31" t="inlineStr">
        <is>
          <t>Cupid Ltd</t>
        </is>
      </c>
      <c r="E15" s="31" t="inlineStr">
        <is>
          <t>fmcg</t>
        </is>
      </c>
      <c r="F15" s="31" t="inlineStr">
        <is>
          <t>Contraceptives/Protectives</t>
        </is>
      </c>
      <c r="G15" s="31" t="inlineStr">
        <is>
          <t>largecap</t>
        </is>
      </c>
      <c r="H15" s="32" t="n">
        <v>28880.62</v>
      </c>
      <c r="I15" s="32" t="n">
        <v>214.78</v>
      </c>
      <c r="J15" s="32" t="n">
        <v>0.85</v>
      </c>
      <c r="K15" s="32" t="n">
        <v>0</v>
      </c>
      <c r="L15" s="31" t="n">
        <v>99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88.89</v>
      </c>
      <c r="P15" s="32" t="n">
        <v>63.35</v>
      </c>
      <c r="Q15" s="32" t="n">
        <v>167.53</v>
      </c>
      <c r="R15" s="31" t="inlineStr">
        <is>
          <t>Volume Spike &amp; Near 52W High Breakout</t>
        </is>
      </c>
      <c r="S15" s="31" t="inlineStr">
        <is>
          <t>Nifty FMCG</t>
        </is>
      </c>
      <c r="T15" s="32" t="n">
        <v>-13.73</v>
      </c>
      <c r="U15" s="32" t="n">
        <v>631.6900000000001</v>
      </c>
      <c r="V15" s="32" t="n">
        <v>748.13</v>
      </c>
      <c r="W15" s="32" t="n">
        <v>76.51000000000001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Less than 50%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22</t>
        </is>
      </c>
      <c r="CG15" s="31">
        <f>IF(CF15&gt;20,10,IF(CF15&gt;=10,5,2))</f>
        <v/>
      </c>
    </row>
    <row r="16">
      <c r="A16" s="31">
        <f>IF(B16=0,"",RANK(B16,$B$2:$B$85,0))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4" t="inlineStr">
        <is>
          <t>BORORENEW</t>
        </is>
      </c>
      <c r="D16" s="34" t="inlineStr">
        <is>
          <t>Borosil Renewables Ltd</t>
        </is>
      </c>
      <c r="E16" s="31" t="inlineStr">
        <is>
          <t>Technology</t>
        </is>
      </c>
      <c r="F16" s="31" t="inlineStr">
        <is>
          <t>Glass &amp; Glass Products</t>
        </is>
      </c>
      <c r="G16" s="31" t="inlineStr">
        <is>
          <t>midcap</t>
        </is>
      </c>
      <c r="H16" s="32" t="n">
        <v>8499.5</v>
      </c>
      <c r="I16" s="32" t="n">
        <v>604.55</v>
      </c>
      <c r="J16" s="32" t="n">
        <v>-1.22</v>
      </c>
      <c r="K16" s="32" t="n">
        <v>0</v>
      </c>
      <c r="L16" s="31" t="n">
        <v>29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59.75</v>
      </c>
      <c r="P16" s="32" t="n">
        <v>26.04</v>
      </c>
      <c r="Q16" s="32" t="n">
        <v>489.52</v>
      </c>
      <c r="R16" s="31" t="inlineStr">
        <is>
          <t>Volume Spike / Accumulation</t>
        </is>
      </c>
      <c r="S16" s="31" t="inlineStr">
        <is>
          <t>Nifty 50</t>
        </is>
      </c>
      <c r="T16" s="32" t="n">
        <v>-2.54</v>
      </c>
      <c r="U16" s="32" t="n">
        <v>3.17</v>
      </c>
      <c r="V16" s="32" t="n">
        <v>5.85</v>
      </c>
      <c r="W16" s="32" t="n">
        <v>5.73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17</t>
        </is>
      </c>
      <c r="CG16" s="31">
        <f>IF(CF16&gt;20,10,IF(CF16&gt;=10,5,2))</f>
        <v/>
      </c>
    </row>
    <row r="17">
      <c r="A17" s="31">
        <f>IF(B17=0,"",RANK(B17,$B$2:$B$85,0))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SKMEGGPROD</t>
        </is>
      </c>
      <c r="D17" s="31" t="inlineStr">
        <is>
          <t>SKM Egg Products Export (India) Ltd</t>
        </is>
      </c>
      <c r="E17" s="31" t="inlineStr">
        <is>
          <t>fmcg</t>
        </is>
      </c>
      <c r="F17" s="31" t="inlineStr">
        <is>
          <t>FMCG - Animal/Polutry</t>
        </is>
      </c>
      <c r="G17" s="31" t="inlineStr">
        <is>
          <t>smallcap</t>
        </is>
      </c>
      <c r="H17" s="32" t="n">
        <v>1679.59</v>
      </c>
      <c r="I17" s="32" t="n">
        <v>318.95</v>
      </c>
      <c r="J17" s="32" t="n">
        <v>-3.7</v>
      </c>
      <c r="K17" s="32" t="n">
        <v>0</v>
      </c>
      <c r="L17" s="31" t="n">
        <v>93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79.12</v>
      </c>
      <c r="P17" s="32" t="n">
        <v>40.24</v>
      </c>
      <c r="Q17" s="32" t="n">
        <v>228.92</v>
      </c>
      <c r="R17" s="31" t="inlineStr">
        <is>
          <t>Near 52W High Breakout</t>
        </is>
      </c>
      <c r="S17" s="31" t="inlineStr">
        <is>
          <t>Nifty FMCG</t>
        </is>
      </c>
      <c r="T17" s="32" t="n">
        <v>-13.73</v>
      </c>
      <c r="U17" s="32" t="n">
        <v>118.17</v>
      </c>
      <c r="V17" s="32" t="n">
        <v>152.89</v>
      </c>
      <c r="W17" s="32" t="n">
        <v>35.71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Less than 50%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17</t>
        </is>
      </c>
      <c r="CG17" s="31">
        <f>IF(CF17&gt;20,10,IF(CF17&gt;=10,5,2))</f>
        <v/>
      </c>
    </row>
    <row r="18">
      <c r="A18" s="31">
        <f>IF(B18=0,"",RANK(B18,$B$2:$B$85,0))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IOLCP</t>
        </is>
      </c>
      <c r="D18" s="31" t="inlineStr">
        <is>
          <t>IOL Chemicals &amp; Pharmaceuticals Ltd</t>
        </is>
      </c>
      <c r="E18" s="31" t="inlineStr">
        <is>
          <t>Healthcare</t>
        </is>
      </c>
      <c r="F18" s="31" t="inlineStr">
        <is>
          <t>Pharma - API &amp; CRAMS</t>
        </is>
      </c>
      <c r="G18" s="31" t="inlineStr">
        <is>
          <t>smallcap</t>
        </is>
      </c>
      <c r="H18" s="32" t="n">
        <v>4353.89</v>
      </c>
      <c r="I18" s="32" t="n">
        <v>148.33</v>
      </c>
      <c r="J18" s="32" t="n">
        <v>-9.59</v>
      </c>
      <c r="K18" s="32" t="n">
        <v>0</v>
      </c>
      <c r="L18" s="31" t="n">
        <v>87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68.28</v>
      </c>
      <c r="P18" s="32" t="n">
        <v>63.83</v>
      </c>
      <c r="Q18" s="32" t="n">
        <v>126.61</v>
      </c>
      <c r="R18" s="31" t="inlineStr">
        <is>
          <t>Earnings / Momentum Support</t>
        </is>
      </c>
      <c r="S18" s="31" t="inlineStr">
        <is>
          <t>Nifty Pharma</t>
        </is>
      </c>
      <c r="T18" s="32" t="n">
        <v>13.51</v>
      </c>
      <c r="U18" s="32" t="n">
        <v>63.77</v>
      </c>
      <c r="V18" s="32" t="n">
        <v>44.28</v>
      </c>
      <c r="W18" s="32" t="n">
        <v>26.42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16</t>
        </is>
      </c>
      <c r="CG18" s="31">
        <f>IF(CF18&gt;20,10,IF(CF18&gt;=10,5,2))</f>
        <v/>
      </c>
    </row>
    <row r="19">
      <c r="A19" s="31">
        <f>IF(B19=0,"",RANK(B19,$B$2:$B$85,0))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4" t="inlineStr">
        <is>
          <t>PGHL</t>
        </is>
      </c>
      <c r="D19" s="34" t="inlineStr">
        <is>
          <t>Procter &amp; Gamble Health Ltd</t>
        </is>
      </c>
      <c r="E19" s="31" t="inlineStr">
        <is>
          <t>healthcare</t>
        </is>
      </c>
      <c r="F19" s="31" t="inlineStr">
        <is>
          <t>Pharma - MNC bulk Drugs</t>
        </is>
      </c>
      <c r="G19" s="31" t="inlineStr">
        <is>
          <t>midcap</t>
        </is>
      </c>
      <c r="H19" s="32" t="n">
        <v>11286.75</v>
      </c>
      <c r="I19" s="32" t="n">
        <v>6799.5</v>
      </c>
      <c r="J19" s="32" t="n">
        <v>-0.8</v>
      </c>
      <c r="K19" s="32" t="n">
        <v>0</v>
      </c>
      <c r="L19" s="31" t="n">
        <v>58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80.2</v>
      </c>
      <c r="P19" s="32" t="n">
        <v>61.03</v>
      </c>
      <c r="Q19" s="32" t="n">
        <v>5846.33</v>
      </c>
      <c r="R19" s="31" t="inlineStr">
        <is>
          <t>Near 52W High Breakout</t>
        </is>
      </c>
      <c r="S19" s="31" t="inlineStr">
        <is>
          <t>Nifty Pharma</t>
        </is>
      </c>
      <c r="T19" s="32" t="n">
        <v>13.51</v>
      </c>
      <c r="U19" s="32" t="n">
        <v>20.32</v>
      </c>
      <c r="V19" s="32" t="n">
        <v>6</v>
      </c>
      <c r="W19" s="32" t="n">
        <v>12.05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15</t>
        </is>
      </c>
      <c r="CG19" s="31">
        <f>IF(CF19&gt;20,10,IF(CF19&gt;=10,5,2))</f>
        <v/>
      </c>
    </row>
    <row r="20">
      <c r="A20" s="31">
        <f>IF(B20=0,"",RANK(B20,$B$2:$B$85,0))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4" t="inlineStr">
        <is>
          <t>VENUSREM</t>
        </is>
      </c>
      <c r="D20" s="34" t="inlineStr">
        <is>
          <t>Venus Remedies Ltd</t>
        </is>
      </c>
      <c r="E20" s="31" t="inlineStr">
        <is>
          <t>Healthcare</t>
        </is>
      </c>
      <c r="F20" s="31" t="inlineStr">
        <is>
          <t>Pharmaceuticals - I V Fluids</t>
        </is>
      </c>
      <c r="G20" s="31" t="inlineStr">
        <is>
          <t>smallcap</t>
        </is>
      </c>
      <c r="H20" s="32" t="n">
        <v>2365.96</v>
      </c>
      <c r="I20" s="32" t="n">
        <v>1770</v>
      </c>
      <c r="J20" s="32" t="n">
        <v>-1.03</v>
      </c>
      <c r="K20" s="32" t="n">
        <v>0</v>
      </c>
      <c r="L20" s="31" t="n">
        <v>96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71.15000000000001</v>
      </c>
      <c r="P20" s="32" t="n">
        <v>59.94</v>
      </c>
      <c r="Q20" s="32" t="n">
        <v>1411.6</v>
      </c>
      <c r="R20" s="31" t="inlineStr">
        <is>
          <t>Earnings / Momentum Support</t>
        </is>
      </c>
      <c r="S20" s="31" t="inlineStr">
        <is>
          <t>Nifty Pharma</t>
        </is>
      </c>
      <c r="T20" s="32" t="n">
        <v>13.51</v>
      </c>
      <c r="U20" s="32" t="n">
        <v>220.3</v>
      </c>
      <c r="V20" s="32" t="n">
        <v>182.18</v>
      </c>
      <c r="W20" s="32" t="n">
        <v>45.46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15</t>
        </is>
      </c>
      <c r="CG20" s="31">
        <f>IF(CF20&gt;20,10,IF(CF20&gt;=10,5,2))</f>
        <v/>
      </c>
    </row>
    <row r="21">
      <c r="A21" s="31">
        <f>IF(B21=0,"",RANK(B21,$B$2:$B$85,0))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RPEL</t>
        </is>
      </c>
      <c r="D21" s="31" t="inlineStr">
        <is>
          <t>Raghav Productivity Enhancers Ltd</t>
        </is>
      </c>
      <c r="E21" s="31" t="inlineStr">
        <is>
          <t>building materials</t>
        </is>
      </c>
      <c r="F21" s="31" t="inlineStr">
        <is>
          <t>Steel Products</t>
        </is>
      </c>
      <c r="G21" s="31" t="inlineStr">
        <is>
          <t>midcap</t>
        </is>
      </c>
      <c r="H21" s="32" t="n">
        <v>6020.37</v>
      </c>
      <c r="I21" s="32" t="n">
        <v>1311</v>
      </c>
      <c r="J21" s="32" t="n">
        <v>0.26</v>
      </c>
      <c r="K21" s="32" t="n">
        <v>0</v>
      </c>
      <c r="L21" s="31" t="n">
        <v>93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79.27</v>
      </c>
      <c r="P21" s="32" t="n">
        <v>39.88</v>
      </c>
      <c r="Q21" s="32" t="n">
        <v>1022.87</v>
      </c>
      <c r="R21" s="31" t="inlineStr">
        <is>
          <t>Near 52W High Breakout</t>
        </is>
      </c>
      <c r="S21" s="31" t="inlineStr">
        <is>
          <t>Nifty Infra</t>
        </is>
      </c>
      <c r="T21" s="32" t="n">
        <v>1.74</v>
      </c>
      <c r="U21" s="32" t="n">
        <v>89.84999999999999</v>
      </c>
      <c r="V21" s="32" t="n">
        <v>86.59999999999999</v>
      </c>
      <c r="W21" s="32" t="n">
        <v>35.04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19</t>
        </is>
      </c>
      <c r="CG21" s="31">
        <f>IF(CF21&gt;20,10,IF(CF21&gt;=10,5,2))</f>
        <v/>
      </c>
    </row>
    <row r="22">
      <c r="A22" s="31">
        <f>IF(B22=0,"",RANK(B22,$B$2:$B$85,0))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THANGAMAYL</t>
        </is>
      </c>
      <c r="D22" s="31" t="inlineStr">
        <is>
          <t>Thangamayil Jewellery Ltd</t>
        </is>
      </c>
      <c r="E22" s="31" t="inlineStr">
        <is>
          <t>consumer discretionary</t>
        </is>
      </c>
      <c r="F22" s="31" t="inlineStr">
        <is>
          <t>Diamond, Gems &amp; Jewellery</t>
        </is>
      </c>
      <c r="G22" s="31" t="inlineStr">
        <is>
          <t>largecap</t>
        </is>
      </c>
      <c r="H22" s="32" t="n">
        <v>20004.39</v>
      </c>
      <c r="I22" s="32" t="n">
        <v>6436</v>
      </c>
      <c r="J22" s="32" t="n">
        <v>0.93</v>
      </c>
      <c r="K22" s="32" t="n">
        <v>0</v>
      </c>
      <c r="L22" s="31" t="n">
        <v>96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75.84999999999999</v>
      </c>
      <c r="P22" s="32" t="n">
        <v>47.66</v>
      </c>
      <c r="Q22" s="32" t="n">
        <v>4863.41</v>
      </c>
      <c r="R22" s="31" t="inlineStr">
        <is>
          <t>Near 52W High Breakout</t>
        </is>
      </c>
      <c r="S22" s="31" t="inlineStr">
        <is>
          <t>Nifty 50</t>
        </is>
      </c>
      <c r="T22" s="32" t="n">
        <v>-2.54</v>
      </c>
      <c r="U22" s="32" t="n">
        <v>242.67</v>
      </c>
      <c r="V22" s="32" t="n">
        <v>251.6</v>
      </c>
      <c r="W22" s="32" t="n">
        <v>42.77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Between 50% to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18</t>
        </is>
      </c>
      <c r="CG22" s="31">
        <f>IF(CF22&gt;20,10,IF(CF22&gt;=10,5,2))</f>
        <v/>
      </c>
    </row>
    <row r="23">
      <c r="A23" s="31">
        <f>IF(B23=0,"",RANK(B23,$B$2:$B$85,0))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ATHERENERG</t>
        </is>
      </c>
      <c r="D23" s="31" t="inlineStr">
        <is>
          <t>Ather Energy Ltd</t>
        </is>
      </c>
      <c r="E23" s="31" t="inlineStr">
        <is>
          <t>auto</t>
        </is>
      </c>
      <c r="F23" s="31" t="inlineStr">
        <is>
          <t>Auto - 2 &amp; 3 Wheelers</t>
        </is>
      </c>
      <c r="G23" s="31" t="inlineStr">
        <is>
          <t>largecap</t>
        </is>
      </c>
      <c r="H23" s="32" t="n">
        <v>49148.01</v>
      </c>
      <c r="I23" s="32" t="n">
        <v>1282.2</v>
      </c>
      <c r="J23" s="32" t="n">
        <v>1.19</v>
      </c>
      <c r="K23" s="32" t="n">
        <v>0</v>
      </c>
      <c r="L23" s="31" t="n">
        <v>97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79.54000000000001</v>
      </c>
      <c r="P23" s="32" t="n">
        <v>54.71</v>
      </c>
      <c r="Q23" s="32" t="n">
        <v>984.45</v>
      </c>
      <c r="R23" s="31" t="inlineStr">
        <is>
          <t>Volume Spike &amp; Near 52W High Breakout</t>
        </is>
      </c>
      <c r="S23" s="31" t="inlineStr">
        <is>
          <t>Nifty Auto</t>
        </is>
      </c>
      <c r="T23" s="32" t="n">
        <v>13.41</v>
      </c>
      <c r="U23" s="32" t="n">
        <v>275.68</v>
      </c>
      <c r="V23" s="32" t="n">
        <v>231.25</v>
      </c>
      <c r="W23" s="32" t="n">
        <v>46.25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Negative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16</t>
        </is>
      </c>
      <c r="CG23" s="31">
        <f>IF(CF23&gt;20,10,IF(CF23&gt;=10,5,2))</f>
        <v/>
      </c>
    </row>
    <row r="24">
      <c r="A24" s="31">
        <f>IF(B24=0,"",RANK(B24,$B$2:$B$85,0))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RAMCOSYS</t>
        </is>
      </c>
      <c r="D24" s="31" t="inlineStr">
        <is>
          <t>Ramco Systems Ltd</t>
        </is>
      </c>
      <c r="E24" s="31" t="inlineStr">
        <is>
          <t>i.t</t>
        </is>
      </c>
      <c r="F24" s="31" t="inlineStr">
        <is>
          <t>IT Product Companies</t>
        </is>
      </c>
      <c r="G24" s="31" t="inlineStr">
        <is>
          <t>smallcap</t>
        </is>
      </c>
      <c r="H24" s="32" t="n">
        <v>2965.56</v>
      </c>
      <c r="I24" s="32" t="n">
        <v>789.05</v>
      </c>
      <c r="J24" s="32" t="n">
        <v>-4.99</v>
      </c>
      <c r="K24" s="32" t="n">
        <v>0</v>
      </c>
      <c r="L24" s="31" t="n">
        <v>94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73.7</v>
      </c>
      <c r="P24" s="32" t="n">
        <v>26.77</v>
      </c>
      <c r="Q24" s="32" t="n">
        <v>546.6900000000001</v>
      </c>
      <c r="R24" s="31" t="inlineStr">
        <is>
          <t>Near 52W High Breakout</t>
        </is>
      </c>
      <c r="S24" s="31" t="inlineStr">
        <is>
          <t>Nifty IT</t>
        </is>
      </c>
      <c r="T24" s="32" t="n">
        <v>-21.31</v>
      </c>
      <c r="U24" s="32" t="n">
        <v>99.33</v>
      </c>
      <c r="V24" s="32" t="n">
        <v>153.31</v>
      </c>
      <c r="W24" s="32" t="n">
        <v>36.14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15</t>
        </is>
      </c>
      <c r="CG24" s="31">
        <f>IF(CF24&gt;20,10,IF(CF24&gt;=10,5,2))</f>
        <v/>
      </c>
    </row>
    <row r="25">
      <c r="A25" s="31">
        <f>IF(B25=0,"",RANK(B25,$B$2:$B$85,0))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4" t="inlineStr">
        <is>
          <t>SEKURITIND</t>
        </is>
      </c>
      <c r="D25" s="34" t="inlineStr">
        <is>
          <t>Saint-Gobain Sekurit India Ltd</t>
        </is>
      </c>
      <c r="E25" s="31" t="inlineStr">
        <is>
          <t>Consumer Cyclical</t>
        </is>
      </c>
      <c r="F25" s="31" t="inlineStr">
        <is>
          <t>Glass &amp; Glass Products</t>
        </is>
      </c>
      <c r="G25" s="31" t="inlineStr">
        <is>
          <t>smallcap</t>
        </is>
      </c>
      <c r="H25" s="32" t="n">
        <v>1209.88</v>
      </c>
      <c r="I25" s="32" t="n">
        <v>132.8</v>
      </c>
      <c r="J25" s="32" t="n">
        <v>-0.23</v>
      </c>
      <c r="K25" s="32" t="n">
        <v>0</v>
      </c>
      <c r="L25" s="31" t="n">
        <v>57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69.95</v>
      </c>
      <c r="P25" s="32" t="n">
        <v>34.2</v>
      </c>
      <c r="Q25" s="32" t="n">
        <v>106.29</v>
      </c>
      <c r="R25" s="31" t="inlineStr">
        <is>
          <t>Near 52W High Breakout</t>
        </is>
      </c>
      <c r="S25" s="31" t="inlineStr">
        <is>
          <t>Nifty Auto</t>
        </is>
      </c>
      <c r="T25" s="32" t="n">
        <v>13.41</v>
      </c>
      <c r="U25" s="32" t="n">
        <v>21.51</v>
      </c>
      <c r="V25" s="32" t="n">
        <v>7.14</v>
      </c>
      <c r="W25" s="32" t="n">
        <v>11.52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B2C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Between 50% to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15</t>
        </is>
      </c>
      <c r="CG25" s="31">
        <f>IF(CF25&gt;20,10,IF(CF25&gt;=10,5,2))</f>
        <v/>
      </c>
    </row>
    <row r="26">
      <c r="A26" s="31">
        <f>IF(B26=0,"",RANK(B26,$B$2:$B$85,0))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KPL</t>
        </is>
      </c>
      <c r="D26" s="31" t="inlineStr">
        <is>
          <t>Kwality Pharmaceuticals Ltd</t>
        </is>
      </c>
      <c r="E26" s="31" t="inlineStr">
        <is>
          <t>Healthcare</t>
        </is>
      </c>
      <c r="F26" s="31" t="inlineStr">
        <is>
          <t>Pharma - Formulators</t>
        </is>
      </c>
      <c r="G26" s="31" t="inlineStr">
        <is>
          <t>smallcap</t>
        </is>
      </c>
      <c r="H26" s="32" t="n">
        <v>2800.59</v>
      </c>
      <c r="I26" s="32" t="n">
        <v>2699.05</v>
      </c>
      <c r="J26" s="32" t="n">
        <v>-4</v>
      </c>
      <c r="K26" s="32" t="n">
        <v>0</v>
      </c>
      <c r="L26" s="31" t="n">
        <v>92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77.48999999999999</v>
      </c>
      <c r="P26" s="32" t="n">
        <v>61.38</v>
      </c>
      <c r="Q26" s="32" t="n">
        <v>1978.12</v>
      </c>
      <c r="R26" s="31" t="inlineStr">
        <is>
          <t>Near 52W High Breakout</t>
        </is>
      </c>
      <c r="S26" s="31" t="inlineStr">
        <is>
          <t>Nifty Pharma</t>
        </is>
      </c>
      <c r="T26" s="32" t="n">
        <v>13.51</v>
      </c>
      <c r="U26" s="32" t="n">
        <v>131.8</v>
      </c>
      <c r="V26" s="32" t="n">
        <v>104.21</v>
      </c>
      <c r="W26" s="32" t="n">
        <v>33.86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Less than 50%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21</t>
        </is>
      </c>
      <c r="CG26" s="31">
        <f>IF(CF26&gt;20,10,IF(CF26&gt;=10,5,2))</f>
        <v/>
      </c>
    </row>
    <row r="27">
      <c r="A27" s="31">
        <f>IF(B27=0,"",RANK(B27,$B$2:$B$85,0))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GRANULES</t>
        </is>
      </c>
      <c r="D27" s="31" t="inlineStr">
        <is>
          <t>Granules India Ltd</t>
        </is>
      </c>
      <c r="E27" s="31" t="inlineStr">
        <is>
          <t>healthcare</t>
        </is>
      </c>
      <c r="F27" s="31" t="inlineStr">
        <is>
          <t>Pharma - API &amp; CRAMS</t>
        </is>
      </c>
      <c r="G27" s="31" t="inlineStr">
        <is>
          <t>largecap</t>
        </is>
      </c>
      <c r="H27" s="32" t="n">
        <v>21825.95</v>
      </c>
      <c r="I27" s="32" t="n">
        <v>880.8</v>
      </c>
      <c r="J27" s="32" t="n">
        <v>-2.49</v>
      </c>
      <c r="K27" s="32" t="n">
        <v>0</v>
      </c>
      <c r="L27" s="31" t="n">
        <v>79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76.31</v>
      </c>
      <c r="P27" s="32" t="n">
        <v>47.75</v>
      </c>
      <c r="Q27" s="32" t="n">
        <v>747.03</v>
      </c>
      <c r="R27" s="31" t="inlineStr">
        <is>
          <t>Near 52W High Breakout</t>
        </is>
      </c>
      <c r="S27" s="31" t="inlineStr">
        <is>
          <t>Nifty Pharma</t>
        </is>
      </c>
      <c r="T27" s="32" t="n">
        <v>13.51</v>
      </c>
      <c r="U27" s="32" t="n">
        <v>78.06999999999999</v>
      </c>
      <c r="V27" s="32" t="n">
        <v>56.88</v>
      </c>
      <c r="W27" s="32" t="n">
        <v>19.73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Between 50% to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18</t>
        </is>
      </c>
      <c r="CG27" s="31">
        <f>IF(CF27&gt;20,10,IF(CF27&gt;=10,5,2))</f>
        <v/>
      </c>
    </row>
    <row r="28">
      <c r="A28" s="31">
        <f>IF(B28=0,"",RANK(B28,$B$2:$B$85,0))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VADILALIND</t>
        </is>
      </c>
      <c r="D28" s="31" t="inlineStr">
        <is>
          <t>Vadilal Industries Ltd</t>
        </is>
      </c>
      <c r="E28" s="31" t="inlineStr">
        <is>
          <t>fmcg</t>
        </is>
      </c>
      <c r="F28" s="31" t="inlineStr">
        <is>
          <t>FMCG - Dairy Products</t>
        </is>
      </c>
      <c r="G28" s="31" t="inlineStr">
        <is>
          <t>smallcap</t>
        </is>
      </c>
      <c r="H28" s="32" t="n">
        <v>4827.35</v>
      </c>
      <c r="I28" s="32" t="n">
        <v>6716</v>
      </c>
      <c r="J28" s="32" t="n">
        <v>-0.97</v>
      </c>
      <c r="K28" s="32" t="n">
        <v>0</v>
      </c>
      <c r="L28" s="31" t="n">
        <v>72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72.66</v>
      </c>
      <c r="P28" s="32" t="n">
        <v>25.82</v>
      </c>
      <c r="Q28" s="32" t="n">
        <v>5314.41</v>
      </c>
      <c r="R28" s="31" t="inlineStr">
        <is>
          <t>Near 52W High Breakout</t>
        </is>
      </c>
      <c r="S28" s="31" t="inlineStr">
        <is>
          <t>Nifty FMCG</t>
        </is>
      </c>
      <c r="T28" s="32" t="n">
        <v>-13.73</v>
      </c>
      <c r="U28" s="32" t="n">
        <v>26.81</v>
      </c>
      <c r="V28" s="32" t="n">
        <v>46.99</v>
      </c>
      <c r="W28" s="32" t="n">
        <v>15.98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B2C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Between 50% to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18</t>
        </is>
      </c>
      <c r="CG28" s="31">
        <f>IF(CF28&gt;20,10,IF(CF28&gt;=10,5,2))</f>
        <v/>
      </c>
    </row>
    <row r="29">
      <c r="A29" s="31">
        <f>IF(B29=0,"",RANK(B29,$B$2:$B$85,0))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GNA</t>
        </is>
      </c>
      <c r="D29" s="31" t="inlineStr">
        <is>
          <t>GNA Axles Ltd</t>
        </is>
      </c>
      <c r="E29" s="31" t="inlineStr">
        <is>
          <t>auto</t>
        </is>
      </c>
      <c r="F29" s="31" t="inlineStr">
        <is>
          <t>Auto &amp; Auto Ancl - CV</t>
        </is>
      </c>
      <c r="G29" s="31" t="inlineStr">
        <is>
          <t>smallcap</t>
        </is>
      </c>
      <c r="H29" s="32" t="n">
        <v>2434.39</v>
      </c>
      <c r="I29" s="32" t="n">
        <v>567.05</v>
      </c>
      <c r="J29" s="32" t="n">
        <v>-4.21</v>
      </c>
      <c r="K29" s="32" t="n">
        <v>0</v>
      </c>
      <c r="L29" s="31" t="n">
        <v>76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76.94</v>
      </c>
      <c r="P29" s="32" t="n">
        <v>23.52</v>
      </c>
      <c r="Q29" s="32" t="n">
        <v>426.22</v>
      </c>
      <c r="R29" s="31" t="inlineStr">
        <is>
          <t>Volume Spike &amp; Near 52W High Breakout</t>
        </is>
      </c>
      <c r="S29" s="31" t="inlineStr">
        <is>
          <t>Nifty Auto</t>
        </is>
      </c>
      <c r="T29" s="32" t="n">
        <v>13.41</v>
      </c>
      <c r="U29" s="32" t="n">
        <v>68.69</v>
      </c>
      <c r="V29" s="32" t="n">
        <v>48.74</v>
      </c>
      <c r="W29" s="32" t="n">
        <v>18.24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23</t>
        </is>
      </c>
      <c r="CG29" s="31">
        <f>IF(CF29&gt;20,10,IF(CF29&gt;=10,5,2))</f>
        <v/>
      </c>
    </row>
    <row r="30">
      <c r="A30" s="31">
        <f>IF(B30=0,"",RANK(B30,$B$2:$B$85,0))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CEMPRO</t>
        </is>
      </c>
      <c r="D30" s="31" t="inlineStr">
        <is>
          <t>Cemindia Projects Ltd</t>
        </is>
      </c>
      <c r="E30" s="31" t="inlineStr">
        <is>
          <t>realty</t>
        </is>
      </c>
      <c r="F30" s="31" t="inlineStr">
        <is>
          <t>Infra - Construction &amp; Contracting</t>
        </is>
      </c>
      <c r="G30" s="31" t="inlineStr">
        <is>
          <t>largecap</t>
        </is>
      </c>
      <c r="H30" s="32" t="n">
        <v>27743.69</v>
      </c>
      <c r="I30" s="32" t="n">
        <v>1615</v>
      </c>
      <c r="J30" s="32" t="n">
        <v>0.74</v>
      </c>
      <c r="K30" s="32" t="n">
        <v>0</v>
      </c>
      <c r="L30" s="31" t="n">
        <v>98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84.44</v>
      </c>
      <c r="P30" s="32" t="n">
        <v>51.36</v>
      </c>
      <c r="Q30" s="32" t="n">
        <v>1275.46</v>
      </c>
      <c r="R30" s="31" t="inlineStr">
        <is>
          <t>Near 52W High Breakout</t>
        </is>
      </c>
      <c r="S30" s="31" t="inlineStr">
        <is>
          <t>Nifty Realty</t>
        </is>
      </c>
      <c r="T30" s="32" t="n">
        <v>-8.119999999999999</v>
      </c>
      <c r="U30" s="32" t="n">
        <v>100.87</v>
      </c>
      <c r="V30" s="32" t="n">
        <v>118.63</v>
      </c>
      <c r="W30" s="32" t="n">
        <v>55.75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Less than 50%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20</t>
        </is>
      </c>
      <c r="CG30" s="31">
        <f>IF(CF30&gt;20,10,IF(CF30&gt;=10,5,2))</f>
        <v/>
      </c>
    </row>
    <row r="31">
      <c r="A31" s="31">
        <f>IF(B31=0,"",RANK(B31,$B$2:$B$85,0))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BHAGYANGR</t>
        </is>
      </c>
      <c r="D31" s="31" t="inlineStr">
        <is>
          <t>Bhagyanagar India Ltd</t>
        </is>
      </c>
      <c r="E31" s="31" t="inlineStr">
        <is>
          <t>power &amp; utilities</t>
        </is>
      </c>
      <c r="F31" s="31" t="inlineStr">
        <is>
          <t>Recycling</t>
        </is>
      </c>
      <c r="G31" s="31" t="inlineStr">
        <is>
          <t>smallcap</t>
        </is>
      </c>
      <c r="H31" s="32" t="n">
        <v>1283.16</v>
      </c>
      <c r="I31" s="32" t="n">
        <v>401.05</v>
      </c>
      <c r="J31" s="32" t="n">
        <v>2.85</v>
      </c>
      <c r="K31" s="32" t="n">
        <v>0</v>
      </c>
      <c r="L31" s="31" t="n">
        <v>98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78.72</v>
      </c>
      <c r="P31" s="32" t="n">
        <v>70.3</v>
      </c>
      <c r="Q31" s="32" t="n">
        <v>278.64</v>
      </c>
      <c r="R31" s="31" t="inlineStr">
        <is>
          <t>Near 52W High Breakout</t>
        </is>
      </c>
      <c r="S31" s="31" t="inlineStr">
        <is>
          <t>Nifty IT</t>
        </is>
      </c>
      <c r="T31" s="32" t="n">
        <v>-21.31</v>
      </c>
      <c r="U31" s="32" t="n">
        <v>276.89</v>
      </c>
      <c r="V31" s="32" t="n">
        <v>378.96</v>
      </c>
      <c r="W31" s="32" t="n">
        <v>53.46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Between 50% to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Between 0.7 to 1.2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17</t>
        </is>
      </c>
      <c r="CG31" s="31">
        <f>IF(CF31&gt;20,10,IF(CF31&gt;=10,5,2))</f>
        <v/>
      </c>
    </row>
    <row r="32">
      <c r="A32" s="31">
        <f>IF(B32=0,"",RANK(B32,$B$2:$B$85,0))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GHCLTEXTIL</t>
        </is>
      </c>
      <c r="D32" s="31" t="inlineStr">
        <is>
          <t>GHCL Textiles Ltd</t>
        </is>
      </c>
      <c r="E32" s="31" t="inlineStr">
        <is>
          <t>textiles</t>
        </is>
      </c>
      <c r="F32" s="31" t="inlineStr">
        <is>
          <t>Textiles - General</t>
        </is>
      </c>
      <c r="G32" s="31" t="inlineStr">
        <is>
          <t>smallcap</t>
        </is>
      </c>
      <c r="H32" s="32" t="n">
        <v>1086.81</v>
      </c>
      <c r="I32" s="32" t="n">
        <v>113.7</v>
      </c>
      <c r="J32" s="32" t="n">
        <v>-0.95</v>
      </c>
      <c r="K32" s="32" t="n">
        <v>0</v>
      </c>
      <c r="L32" s="31" t="n">
        <v>55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70.91</v>
      </c>
      <c r="P32" s="32" t="n">
        <v>23.61</v>
      </c>
      <c r="Q32" s="32" t="n">
        <v>87.45999999999999</v>
      </c>
      <c r="R32" s="31" t="inlineStr">
        <is>
          <t>Near 52W High Breakout</t>
        </is>
      </c>
      <c r="S32" s="31" t="inlineStr">
        <is>
          <t>Nifty 50</t>
        </is>
      </c>
      <c r="T32" s="32" t="n">
        <v>-2.54</v>
      </c>
      <c r="U32" s="32" t="n">
        <v>22.51</v>
      </c>
      <c r="V32" s="32" t="n">
        <v>25.7</v>
      </c>
      <c r="W32" s="32" t="n">
        <v>11.2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Less than 50%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17</t>
        </is>
      </c>
      <c r="CG32" s="31">
        <f>IF(CF32&gt;20,10,IF(CF32&gt;=10,5,2))</f>
        <v/>
      </c>
    </row>
    <row r="33">
      <c r="A33" s="31">
        <f>IF(B33=0,"",RANK(B33,$B$2:$B$85,0))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4" t="inlineStr">
        <is>
          <t>HSCL</t>
        </is>
      </c>
      <c r="D33" s="34" t="inlineStr">
        <is>
          <t>Himadri Speciality Chemical Ltd</t>
        </is>
      </c>
      <c r="E33" s="31" t="inlineStr">
        <is>
          <t>chemicals</t>
        </is>
      </c>
      <c r="F33" s="31" t="inlineStr">
        <is>
          <t>Carbon Black</t>
        </is>
      </c>
      <c r="G33" s="31" t="inlineStr">
        <is>
          <t>largecap</t>
        </is>
      </c>
      <c r="H33" s="32" t="n">
        <v>37414.28</v>
      </c>
      <c r="I33" s="32" t="n">
        <v>741.55</v>
      </c>
      <c r="J33" s="32" t="n">
        <v>2.66</v>
      </c>
      <c r="K33" s="32" t="n">
        <v>0</v>
      </c>
      <c r="L33" s="31" t="n">
        <v>79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74.55</v>
      </c>
      <c r="P33" s="32" t="n">
        <v>39.25</v>
      </c>
      <c r="Q33" s="32" t="n">
        <v>569.38</v>
      </c>
      <c r="R33" s="31" t="inlineStr">
        <is>
          <t>Near 52W High Breakout</t>
        </is>
      </c>
      <c r="S33" s="31" t="inlineStr">
        <is>
          <t>Nifty 50</t>
        </is>
      </c>
      <c r="T33" s="32" t="n">
        <v>-2.54</v>
      </c>
      <c r="U33" s="32" t="n">
        <v>44.48</v>
      </c>
      <c r="V33" s="32" t="n">
        <v>48.25</v>
      </c>
      <c r="W33" s="32" t="n">
        <v>19.54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Between 1.5 to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16</t>
        </is>
      </c>
      <c r="CG33" s="31">
        <f>IF(CF33&gt;20,10,IF(CF33&gt;=10,5,2))</f>
        <v/>
      </c>
    </row>
    <row r="34">
      <c r="A34" s="31">
        <f>IF(B34=0,"",RANK(B34,$B$2:$B$85,0))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KMCSHIL</t>
        </is>
      </c>
      <c r="D34" s="31" t="inlineStr">
        <is>
          <t>KMC Speciality Hospitals (India) Ltd</t>
        </is>
      </c>
      <c r="E34" s="31" t="inlineStr">
        <is>
          <t>Healthcare</t>
        </is>
      </c>
      <c r="F34" s="31" t="inlineStr">
        <is>
          <t>Hospitals</t>
        </is>
      </c>
      <c r="G34" s="31" t="inlineStr">
        <is>
          <t>smallcap</t>
        </is>
      </c>
      <c r="H34" s="32" t="n">
        <v>2195.94</v>
      </c>
      <c r="I34" s="32" t="n">
        <v>134.65</v>
      </c>
      <c r="J34" s="32" t="n">
        <v>-0.26</v>
      </c>
      <c r="K34" s="32" t="n">
        <v>0</v>
      </c>
      <c r="L34" s="31" t="n">
        <v>88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84.09999999999999</v>
      </c>
      <c r="P34" s="32" t="n">
        <v>65.45</v>
      </c>
      <c r="Q34" s="32" t="n">
        <v>105.18</v>
      </c>
      <c r="R34" s="31" t="inlineStr">
        <is>
          <t>Near 52W High Breakout</t>
        </is>
      </c>
      <c r="S34" s="31" t="inlineStr">
        <is>
          <t>Nifty Pharma</t>
        </is>
      </c>
      <c r="T34" s="32" t="n">
        <v>13.51</v>
      </c>
      <c r="U34" s="32" t="n">
        <v>106.46</v>
      </c>
      <c r="V34" s="32" t="n">
        <v>81.88</v>
      </c>
      <c r="W34" s="32" t="n">
        <v>27.2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19</t>
        </is>
      </c>
      <c r="CG34" s="31">
        <f>IF(CF34&gt;20,10,IF(CF34&gt;=10,5,2))</f>
        <v/>
      </c>
    </row>
    <row r="35">
      <c r="A35" s="31">
        <f>IF(B35=0,"",RANK(B35,$B$2:$B$85,0))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HESTERBIO</t>
        </is>
      </c>
      <c r="D35" s="31" t="inlineStr">
        <is>
          <t>Hester Biosciences Ltd</t>
        </is>
      </c>
      <c r="E35" s="31" t="inlineStr">
        <is>
          <t>healthcare</t>
        </is>
      </c>
      <c r="F35" s="31" t="inlineStr">
        <is>
          <t>Pharma - Animal</t>
        </is>
      </c>
      <c r="G35" s="31" t="inlineStr">
        <is>
          <t>smallcap</t>
        </is>
      </c>
      <c r="H35" s="32" t="n">
        <v>2082.31</v>
      </c>
      <c r="I35" s="32" t="n">
        <v>2447.8</v>
      </c>
      <c r="J35" s="32" t="n">
        <v>0.42</v>
      </c>
      <c r="K35" s="32" t="n">
        <v>0</v>
      </c>
      <c r="L35" s="31" t="n">
        <v>81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76.26000000000001</v>
      </c>
      <c r="P35" s="32" t="n">
        <v>45.92</v>
      </c>
      <c r="Q35" s="32" t="n">
        <v>1870.97</v>
      </c>
      <c r="R35" s="31" t="inlineStr">
        <is>
          <t>Volume Spike &amp; Near 52W High Breakout</t>
        </is>
      </c>
      <c r="S35" s="31" t="inlineStr">
        <is>
          <t>Nifty Pharma</t>
        </is>
      </c>
      <c r="T35" s="32" t="n">
        <v>13.51</v>
      </c>
      <c r="U35" s="32" t="n">
        <v>27.96</v>
      </c>
      <c r="V35" s="32" t="n">
        <v>12.73</v>
      </c>
      <c r="W35" s="32" t="n">
        <v>21.16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17</t>
        </is>
      </c>
      <c r="CG35" s="31">
        <f>IF(CF35&gt;20,10,IF(CF35&gt;=10,5,2))</f>
        <v/>
      </c>
    </row>
    <row r="36">
      <c r="A36" s="31">
        <f>IF(B36=0,"",RANK(B36,$B$2:$B$85,0))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INDNIPPON</t>
        </is>
      </c>
      <c r="D36" s="31" t="inlineStr">
        <is>
          <t>India Nippon Electricals Ltd</t>
        </is>
      </c>
      <c r="E36" s="31" t="inlineStr">
        <is>
          <t>auto</t>
        </is>
      </c>
      <c r="F36" s="31" t="inlineStr">
        <is>
          <t>Auto Ancillaries - Engine Parts</t>
        </is>
      </c>
      <c r="G36" s="31" t="inlineStr">
        <is>
          <t>smallcap</t>
        </is>
      </c>
      <c r="H36" s="32" t="n">
        <v>2744.88</v>
      </c>
      <c r="I36" s="32" t="n">
        <v>1213.4</v>
      </c>
      <c r="J36" s="32" t="n">
        <v>0.61</v>
      </c>
      <c r="K36" s="32" t="n">
        <v>0</v>
      </c>
      <c r="L36" s="31" t="n">
        <v>85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77.8</v>
      </c>
      <c r="P36" s="32" t="n">
        <v>27.86</v>
      </c>
      <c r="Q36" s="32" t="n">
        <v>980.6799999999999</v>
      </c>
      <c r="R36" s="31" t="inlineStr">
        <is>
          <t>Near 52W High Breakout</t>
        </is>
      </c>
      <c r="S36" s="31" t="inlineStr">
        <is>
          <t>Nifty Auto</t>
        </is>
      </c>
      <c r="T36" s="32" t="n">
        <v>13.41</v>
      </c>
      <c r="U36" s="32" t="n">
        <v>58.64</v>
      </c>
      <c r="V36" s="32" t="n">
        <v>39.88</v>
      </c>
      <c r="W36" s="32" t="n">
        <v>23.7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Less than 50%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25</t>
        </is>
      </c>
      <c r="CG36" s="31">
        <f>IF(CF36&gt;20,10,IF(CF36&gt;=10,5,2))</f>
        <v/>
      </c>
    </row>
    <row r="37">
      <c r="A37" s="31">
        <f>IF(B37=0,"",RANK(B37,$B$2:$B$85,0))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FILATEX</t>
        </is>
      </c>
      <c r="D37" s="31" t="inlineStr">
        <is>
          <t>Filatex India Ltd</t>
        </is>
      </c>
      <c r="E37" s="31" t="inlineStr">
        <is>
          <t>textiles</t>
        </is>
      </c>
      <c r="F37" s="31" t="inlineStr">
        <is>
          <t>Textiles - Manmade Fibre - PFY/PSF</t>
        </is>
      </c>
      <c r="G37" s="31" t="inlineStr">
        <is>
          <t>smallcap</t>
        </is>
      </c>
      <c r="H37" s="32" t="n">
        <v>3178.13</v>
      </c>
      <c r="I37" s="32" t="n">
        <v>71.56999999999999</v>
      </c>
      <c r="J37" s="32" t="n">
        <v>-2.09</v>
      </c>
      <c r="K37" s="32" t="n">
        <v>0</v>
      </c>
      <c r="L37" s="31" t="n">
        <v>78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75.68000000000001</v>
      </c>
      <c r="P37" s="32" t="n">
        <v>21.01</v>
      </c>
      <c r="Q37" s="32" t="n">
        <v>54.67</v>
      </c>
      <c r="R37" s="31" t="inlineStr">
        <is>
          <t>Volume Spike &amp; Near 52W High Breakout</t>
        </is>
      </c>
      <c r="S37" s="31" t="inlineStr">
        <is>
          <t>Nifty 50</t>
        </is>
      </c>
      <c r="T37" s="32" t="n">
        <v>-2.54</v>
      </c>
      <c r="U37" s="32" t="n">
        <v>22.17</v>
      </c>
      <c r="V37" s="32" t="n">
        <v>25.35</v>
      </c>
      <c r="W37" s="32" t="n">
        <v>18.8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Between 12 to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20</t>
        </is>
      </c>
      <c r="CG37" s="31">
        <f>IF(CF37&gt;20,10,IF(CF37&gt;=10,5,2))</f>
        <v/>
      </c>
    </row>
    <row r="38">
      <c r="A38" s="31">
        <f>IF(B38=0,"",RANK(B38,$B$2:$B$85,0))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KMEW</t>
        </is>
      </c>
      <c r="D38" s="31" t="inlineStr">
        <is>
          <t>Knowledge Marine &amp; Engineering Works Ltd</t>
        </is>
      </c>
      <c r="E38" s="31" t="inlineStr">
        <is>
          <t>transportation</t>
        </is>
      </c>
      <c r="F38" s="31" t="inlineStr">
        <is>
          <t>Shipping</t>
        </is>
      </c>
      <c r="G38" s="31" t="inlineStr">
        <is>
          <t>midcap</t>
        </is>
      </c>
      <c r="H38" s="32" t="n">
        <v>5909.66</v>
      </c>
      <c r="I38" s="32" t="n">
        <v>2402.3</v>
      </c>
      <c r="J38" s="32" t="n">
        <v>-1.33</v>
      </c>
      <c r="K38" s="32" t="n">
        <v>0</v>
      </c>
      <c r="L38" s="31" t="n">
        <v>90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70.31999999999999</v>
      </c>
      <c r="P38" s="32" t="n">
        <v>44.1</v>
      </c>
      <c r="Q38" s="32" t="n">
        <v>1711.35</v>
      </c>
      <c r="R38" s="31" t="inlineStr">
        <is>
          <t>Near 52W High Breakout</t>
        </is>
      </c>
      <c r="S38" s="31" t="inlineStr">
        <is>
          <t>Nifty 50</t>
        </is>
      </c>
      <c r="T38" s="32" t="n">
        <v>-2.54</v>
      </c>
      <c r="U38" s="32" t="n">
        <v>163.45</v>
      </c>
      <c r="V38" s="32" t="n">
        <v>170.31</v>
      </c>
      <c r="W38" s="32" t="n">
        <v>31.41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Negative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18</t>
        </is>
      </c>
      <c r="CG38" s="31">
        <f>IF(CF38&gt;20,10,IF(CF38&gt;=10,5,2))</f>
        <v/>
      </c>
    </row>
    <row r="39">
      <c r="A39" s="31">
        <f>IF(B39=0,"",RANK(B39,$B$2:$B$85,0))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NITTAGELA</t>
        </is>
      </c>
      <c r="D39" s="31" t="inlineStr">
        <is>
          <t>Nitta Gelatin India Ltd</t>
        </is>
      </c>
      <c r="E39" s="31" t="inlineStr">
        <is>
          <t>Basic Materials</t>
        </is>
      </c>
      <c r="F39" s="31" t="inlineStr">
        <is>
          <t>Chemicals - Organic</t>
        </is>
      </c>
      <c r="G39" s="31" t="inlineStr">
        <is>
          <t>smallcap</t>
        </is>
      </c>
      <c r="H39" s="32" t="n">
        <v>1709.83</v>
      </c>
      <c r="I39" s="32" t="n">
        <v>1883.25</v>
      </c>
      <c r="J39" s="32" t="n">
        <v>-3.47</v>
      </c>
      <c r="K39" s="32" t="n">
        <v>0</v>
      </c>
      <c r="L39" s="31" t="n">
        <v>97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71.31</v>
      </c>
      <c r="P39" s="32" t="n">
        <v>57.89</v>
      </c>
      <c r="Q39" s="32" t="n">
        <v>1520.66</v>
      </c>
      <c r="R39" s="31" t="inlineStr">
        <is>
          <t>Earnings / Momentum Support</t>
        </is>
      </c>
      <c r="S39" s="31" t="inlineStr">
        <is>
          <t>Nifty 50</t>
        </is>
      </c>
      <c r="T39" s="32" t="n">
        <v>-2.54</v>
      </c>
      <c r="U39" s="32" t="n">
        <v>98.22</v>
      </c>
      <c r="V39" s="32" t="n">
        <v>103.39</v>
      </c>
      <c r="W39" s="32" t="n">
        <v>46.01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Cyclical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Volatile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17</t>
        </is>
      </c>
      <c r="CG39" s="31">
        <f>IF(CF39&gt;20,10,IF(CF39&gt;=10,5,2))</f>
        <v/>
      </c>
    </row>
    <row r="40">
      <c r="A40" s="31">
        <f>IF(B40=0,"",RANK(B40,$B$2:$B$85,0))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SIGNPOST</t>
        </is>
      </c>
      <c r="D40" s="31" t="inlineStr">
        <is>
          <t>Signpost India Ltd</t>
        </is>
      </c>
      <c r="E40" s="31" t="inlineStr">
        <is>
          <t>miscellaneous</t>
        </is>
      </c>
      <c r="F40" s="31" t="inlineStr">
        <is>
          <t>Advertisement</t>
        </is>
      </c>
      <c r="G40" s="31" t="inlineStr">
        <is>
          <t>smallcap</t>
        </is>
      </c>
      <c r="H40" s="32" t="n">
        <v>1747.28</v>
      </c>
      <c r="I40" s="32" t="n">
        <v>326.9</v>
      </c>
      <c r="J40" s="32" t="n">
        <v>0.45</v>
      </c>
      <c r="K40" s="32" t="n">
        <v>0</v>
      </c>
      <c r="L40" s="31" t="n">
        <v>65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67.51000000000001</v>
      </c>
      <c r="P40" s="32" t="n">
        <v>31.84</v>
      </c>
      <c r="Q40" s="32" t="n">
        <v>229.91</v>
      </c>
      <c r="R40" s="31" t="inlineStr">
        <is>
          <t>Near 52W High Breakout</t>
        </is>
      </c>
      <c r="S40" s="31" t="inlineStr">
        <is>
          <t>Nifty 50</t>
        </is>
      </c>
      <c r="T40" s="32" t="n">
        <v>-2.54</v>
      </c>
      <c r="U40" s="32" t="n">
        <v>37.87</v>
      </c>
      <c r="V40" s="32" t="n">
        <v>41.47</v>
      </c>
      <c r="W40" s="32" t="n">
        <v>13.94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Less than 50%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16</t>
        </is>
      </c>
      <c r="CG40" s="31">
        <f>IF(CF40&gt;20,10,IF(CF40&gt;=10,5,2))</f>
        <v/>
      </c>
    </row>
    <row r="41">
      <c r="A41" s="31">
        <f>IF(B41=0,"",RANK(B41,$B$2:$B$85,0))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4" t="inlineStr">
        <is>
          <t>PSPPROJECT</t>
        </is>
      </c>
      <c r="D41" s="34" t="inlineStr">
        <is>
          <t>PSP Projects Ltd</t>
        </is>
      </c>
      <c r="E41" s="31" t="inlineStr">
        <is>
          <t>realty</t>
        </is>
      </c>
      <c r="F41" s="31" t="inlineStr">
        <is>
          <t>Construction &amp; Contracting</t>
        </is>
      </c>
      <c r="G41" s="31" t="inlineStr">
        <is>
          <t>smallcap</t>
        </is>
      </c>
      <c r="H41" s="32" t="n">
        <v>4147.72</v>
      </c>
      <c r="I41" s="32" t="n">
        <v>1046.3</v>
      </c>
      <c r="J41" s="32" t="n">
        <v>-2.31</v>
      </c>
      <c r="K41" s="32" t="n">
        <v>0</v>
      </c>
      <c r="L41" s="31" t="n">
        <v>70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69.55</v>
      </c>
      <c r="P41" s="32" t="n">
        <v>28.06</v>
      </c>
      <c r="Q41" s="32" t="n">
        <v>818.72</v>
      </c>
      <c r="R41" s="31" t="inlineStr">
        <is>
          <t>Near 52W High Breakout</t>
        </is>
      </c>
      <c r="S41" s="31" t="inlineStr">
        <is>
          <t>Nifty Realty</t>
        </is>
      </c>
      <c r="T41" s="32" t="n">
        <v>-8.119999999999999</v>
      </c>
      <c r="U41" s="32" t="n">
        <v>27.97</v>
      </c>
      <c r="V41" s="32" t="n">
        <v>39.28</v>
      </c>
      <c r="W41" s="32" t="n">
        <v>15.49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16</t>
        </is>
      </c>
      <c r="CG41" s="31">
        <f>IF(CF41&gt;20,10,IF(CF41&gt;=10,5,2))</f>
        <v/>
      </c>
    </row>
    <row r="42">
      <c r="A42" s="31">
        <f>IF(B42=0,"",RANK(B42,$B$2:$B$85,0))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4" t="inlineStr">
        <is>
          <t>SSWL</t>
        </is>
      </c>
      <c r="D42" s="34" t="inlineStr">
        <is>
          <t>Steel Strips Wheels Ltd</t>
        </is>
      </c>
      <c r="E42" s="31" t="inlineStr">
        <is>
          <t>auto</t>
        </is>
      </c>
      <c r="F42" s="31" t="inlineStr">
        <is>
          <t>Auto Ancillaries - Wheels</t>
        </is>
      </c>
      <c r="G42" s="31" t="inlineStr">
        <is>
          <t>smallcap</t>
        </is>
      </c>
      <c r="H42" s="32" t="n">
        <v>4184.3</v>
      </c>
      <c r="I42" s="32" t="n">
        <v>266.21</v>
      </c>
      <c r="J42" s="32" t="n">
        <v>0.29</v>
      </c>
      <c r="K42" s="32" t="n">
        <v>0</v>
      </c>
      <c r="L42" s="31" t="n">
        <v>30</v>
      </c>
      <c r="M42" s="31" t="inlineStr">
        <is>
          <t>Underperforming</t>
        </is>
      </c>
      <c r="N42" s="32">
        <f>IF(M42="Underperforming",-5,IF(L42&gt;=95,15,IF(L42&gt;=90,10,IF(L42&gt;=80,5,0))))</f>
        <v/>
      </c>
      <c r="O42" s="32" t="n">
        <v>67.93000000000001</v>
      </c>
      <c r="P42" s="32" t="n">
        <v>13.81</v>
      </c>
      <c r="Q42" s="32" t="n">
        <v>204.04</v>
      </c>
      <c r="R42" s="31" t="inlineStr">
        <is>
          <t>Volume Spike &amp; Near 52W High Breakout</t>
        </is>
      </c>
      <c r="S42" s="31" t="inlineStr">
        <is>
          <t>Nifty Auto</t>
        </is>
      </c>
      <c r="T42" s="32" t="n">
        <v>13.41</v>
      </c>
      <c r="U42" s="32" t="n">
        <v>4.51</v>
      </c>
      <c r="V42" s="32" t="n">
        <v>-7.85</v>
      </c>
      <c r="W42" s="32" t="n">
        <v>5.81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0 to 20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23</t>
        </is>
      </c>
      <c r="CG42" s="31">
        <f>IF(CF42&gt;20,10,IF(CF42&gt;=10,5,2))</f>
        <v/>
      </c>
    </row>
    <row r="43">
      <c r="A43" s="31">
        <f>IF(B43=0,"",RANK(B43,$B$2:$B$85,0))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SIGMAADV</t>
        </is>
      </c>
      <c r="D43" s="31" t="inlineStr">
        <is>
          <t>Sigma Advanced System Ltd</t>
        </is>
      </c>
      <c r="E43" s="31" t="inlineStr">
        <is>
          <t>aerospace &amp; defence</t>
        </is>
      </c>
      <c r="F43" s="31" t="inlineStr">
        <is>
          <t>Aerospace &amp; Defence - Equipments</t>
        </is>
      </c>
      <c r="G43" s="31" t="inlineStr">
        <is>
          <t>midcap</t>
        </is>
      </c>
      <c r="H43" s="32" t="n">
        <v>9830.65</v>
      </c>
      <c r="I43" s="32" t="n">
        <v>557.8</v>
      </c>
      <c r="J43" s="32" t="n">
        <v>-2.74</v>
      </c>
      <c r="K43" s="32" t="n">
        <v>0</v>
      </c>
      <c r="L43" s="31" t="n">
        <v>99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74.54000000000001</v>
      </c>
      <c r="P43" s="32" t="n">
        <v>64.05</v>
      </c>
      <c r="Q43" s="32" t="n">
        <v>458.41</v>
      </c>
      <c r="R43" s="31" t="inlineStr">
        <is>
          <t>Earnings / Momentum Support</t>
        </is>
      </c>
      <c r="S43" s="31" t="inlineStr">
        <is>
          <t>Nifty 50</t>
        </is>
      </c>
      <c r="T43" s="32" t="n">
        <v>-2.54</v>
      </c>
      <c r="U43" s="32" t="n">
        <v>418.5</v>
      </c>
      <c r="V43" s="32" t="n">
        <v>432.01</v>
      </c>
      <c r="W43" s="32" t="n">
        <v>87.59999999999999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Negative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Between 0.7 to 1.2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20</t>
        </is>
      </c>
      <c r="CG43" s="31">
        <f>IF(CF43&gt;20,10,IF(CF43&gt;=10,5,2))</f>
        <v/>
      </c>
    </row>
    <row r="44">
      <c r="A44" s="31">
        <f>IF(B44=0,"",RANK(B44,$B$2:$B$85,0))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4" t="inlineStr">
        <is>
          <t>IKIO</t>
        </is>
      </c>
      <c r="D44" s="34" t="inlineStr">
        <is>
          <t>IKIO Technologies Ltd</t>
        </is>
      </c>
      <c r="E44" s="31" t="inlineStr">
        <is>
          <t>consumer discretionary</t>
        </is>
      </c>
      <c r="F44" s="31" t="inlineStr">
        <is>
          <t>Capital Goods - Electric General</t>
        </is>
      </c>
      <c r="G44" s="31" t="inlineStr">
        <is>
          <t>smallcap</t>
        </is>
      </c>
      <c r="H44" s="32" t="n">
        <v>1695.31</v>
      </c>
      <c r="I44" s="32" t="n">
        <v>219.37</v>
      </c>
      <c r="J44" s="32" t="n">
        <v>3.09</v>
      </c>
      <c r="K44" s="32" t="n">
        <v>0</v>
      </c>
      <c r="L44" s="31" t="n">
        <v>65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69.38</v>
      </c>
      <c r="P44" s="32" t="n">
        <v>21.36</v>
      </c>
      <c r="Q44" s="32" t="n">
        <v>155.86</v>
      </c>
      <c r="R44" s="31" t="inlineStr">
        <is>
          <t>Volume Spike &amp; Near 52W High Breakout</t>
        </is>
      </c>
      <c r="S44" s="31" t="inlineStr">
        <is>
          <t>Nifty 50</t>
        </is>
      </c>
      <c r="T44" s="32" t="n">
        <v>-2.54</v>
      </c>
      <c r="U44" s="32" t="n">
        <v>4.67</v>
      </c>
      <c r="V44" s="32" t="n">
        <v>7.4</v>
      </c>
      <c r="W44" s="32" t="n">
        <v>13.91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19</t>
        </is>
      </c>
      <c r="CG44" s="31">
        <f>IF(CF44&gt;20,10,IF(CF44&gt;=10,5,2))</f>
        <v/>
      </c>
    </row>
    <row r="45">
      <c r="A45" s="31">
        <f>IF(B45=0,"",RANK(B45,$B$2:$B$85,0))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WELCORP</t>
        </is>
      </c>
      <c r="D45" s="31" t="inlineStr">
        <is>
          <t>Welspun Corp Ltd</t>
        </is>
      </c>
      <c r="E45" s="31" t="inlineStr">
        <is>
          <t>industrials</t>
        </is>
      </c>
      <c r="F45" s="31" t="inlineStr">
        <is>
          <t>DI Pipes/Saw Pipes</t>
        </is>
      </c>
      <c r="G45" s="31" t="inlineStr">
        <is>
          <t>largecap</t>
        </is>
      </c>
      <c r="H45" s="32" t="n">
        <v>41718.49</v>
      </c>
      <c r="I45" s="32" t="n">
        <v>1581.5</v>
      </c>
      <c r="J45" s="32" t="n">
        <v>-6.09</v>
      </c>
      <c r="K45" s="32" t="n">
        <v>0</v>
      </c>
      <c r="L45" s="31" t="n">
        <v>86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82.56</v>
      </c>
      <c r="P45" s="32" t="n">
        <v>66.95999999999999</v>
      </c>
      <c r="Q45" s="32" t="n">
        <v>1319.78</v>
      </c>
      <c r="R45" s="31" t="inlineStr">
        <is>
          <t>Volume Spike &amp; Near 52W High Breakout</t>
        </is>
      </c>
      <c r="S45" s="31" t="inlineStr">
        <is>
          <t>Nifty Metal</t>
        </is>
      </c>
      <c r="T45" s="32" t="n">
        <v>31.49</v>
      </c>
      <c r="U45" s="32" t="n">
        <v>71.81999999999999</v>
      </c>
      <c r="V45" s="32" t="n">
        <v>30.67</v>
      </c>
      <c r="W45" s="32" t="n">
        <v>23.89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Less than 12%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18</t>
        </is>
      </c>
      <c r="CG45" s="31">
        <f>IF(CF45&gt;20,10,IF(CF45&gt;=10,5,2))</f>
        <v/>
      </c>
    </row>
    <row r="46">
      <c r="A46" s="31">
        <f>IF(B46=0,"",RANK(B46,$B$2:$B$85,0))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INDOTECH</t>
        </is>
      </c>
      <c r="D46" s="31" t="inlineStr">
        <is>
          <t>Indo Tech Transformers Ltd</t>
        </is>
      </c>
      <c r="E46" s="31" t="inlineStr">
        <is>
          <t>industrials</t>
        </is>
      </c>
      <c r="F46" s="31" t="inlineStr">
        <is>
          <t>Capital Goods - Transformers</t>
        </is>
      </c>
      <c r="G46" s="31" t="inlineStr">
        <is>
          <t>smallcap</t>
        </is>
      </c>
      <c r="H46" s="32" t="n">
        <v>3611.76</v>
      </c>
      <c r="I46" s="32" t="n">
        <v>3400.9</v>
      </c>
      <c r="J46" s="32" t="n">
        <v>-0.98</v>
      </c>
      <c r="K46" s="32" t="n">
        <v>0</v>
      </c>
      <c r="L46" s="31" t="n">
        <v>92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75.29000000000001</v>
      </c>
      <c r="P46" s="32" t="n">
        <v>46.68</v>
      </c>
      <c r="Q46" s="32" t="n">
        <v>2481.96</v>
      </c>
      <c r="R46" s="31" t="inlineStr">
        <is>
          <t>Near 52W High Breakout</t>
        </is>
      </c>
      <c r="S46" s="31" t="inlineStr">
        <is>
          <t>Nifty 50</t>
        </is>
      </c>
      <c r="T46" s="32" t="n">
        <v>-2.54</v>
      </c>
      <c r="U46" s="32" t="n">
        <v>80.76000000000001</v>
      </c>
      <c r="V46" s="32" t="n">
        <v>85.47</v>
      </c>
      <c r="W46" s="32" t="n">
        <v>34.4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Between 12 to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Less than 50%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18</t>
        </is>
      </c>
      <c r="CG46" s="31">
        <f>IF(CF46&gt;20,10,IF(CF46&gt;=10,5,2))</f>
        <v/>
      </c>
    </row>
    <row r="47">
      <c r="A47" s="31">
        <f>IF(B47=0,"",RANK(B47,$B$2:$B$85,0))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AFCOM</t>
        </is>
      </c>
      <c r="D47" s="31" t="inlineStr">
        <is>
          <t>Afcom Holdings Ltd</t>
        </is>
      </c>
      <c r="E47" s="31" t="inlineStr">
        <is>
          <t>Industrials</t>
        </is>
      </c>
      <c r="F47" s="31" t="inlineStr">
        <is>
          <t>Air Transport Service</t>
        </is>
      </c>
      <c r="G47" s="31" t="inlineStr">
        <is>
          <t>smallcap</t>
        </is>
      </c>
      <c r="H47" s="32" t="n">
        <v>4085.82</v>
      </c>
      <c r="I47" s="32" t="n">
        <v>1423.7</v>
      </c>
      <c r="J47" s="32" t="n">
        <v>2.49</v>
      </c>
      <c r="K47" s="32" t="n">
        <v>0</v>
      </c>
      <c r="L47" s="31" t="n">
        <v>88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72.14</v>
      </c>
      <c r="P47" s="32" t="n">
        <v>29.34</v>
      </c>
      <c r="Q47" s="32" t="n">
        <v>1095.71</v>
      </c>
      <c r="R47" s="31" t="inlineStr">
        <is>
          <t>Near 52W High Breakout</t>
        </is>
      </c>
      <c r="S47" s="31" t="inlineStr">
        <is>
          <t>Nifty 50</t>
        </is>
      </c>
      <c r="T47" s="32" t="n">
        <v>-2.54</v>
      </c>
      <c r="U47" s="32" t="n">
        <v>58.75</v>
      </c>
      <c r="V47" s="32" t="n">
        <v>62.89</v>
      </c>
      <c r="W47" s="32" t="n">
        <v>27.79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Less than 50%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Between 0.7 to 1.2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18</t>
        </is>
      </c>
      <c r="CG47" s="31">
        <f>IF(CF47&gt;20,10,IF(CF47&gt;=10,5,2))</f>
        <v/>
      </c>
    </row>
    <row r="48">
      <c r="A48" s="31">
        <f>IF(B48=0,"",RANK(B48,$B$2:$B$85,0))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SANGAMIND</t>
        </is>
      </c>
      <c r="D48" s="31" t="inlineStr">
        <is>
          <t>Sangam (India) Ltd</t>
        </is>
      </c>
      <c r="E48" s="31" t="inlineStr">
        <is>
          <t>textiles</t>
        </is>
      </c>
      <c r="F48" s="31" t="inlineStr">
        <is>
          <t>Textiles - Spinning</t>
        </is>
      </c>
      <c r="G48" s="31" t="inlineStr">
        <is>
          <t>smallcap</t>
        </is>
      </c>
      <c r="H48" s="32" t="n">
        <v>3200.45</v>
      </c>
      <c r="I48" s="32" t="n">
        <v>636.95</v>
      </c>
      <c r="J48" s="32" t="n">
        <v>1.37</v>
      </c>
      <c r="K48" s="32" t="n">
        <v>0</v>
      </c>
      <c r="L48" s="31" t="n">
        <v>70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79.31</v>
      </c>
      <c r="P48" s="32" t="n">
        <v>43.49</v>
      </c>
      <c r="Q48" s="32" t="n">
        <v>503.7</v>
      </c>
      <c r="R48" s="31" t="inlineStr">
        <is>
          <t>Volume Spike &amp; Near 52W High Breakout</t>
        </is>
      </c>
      <c r="S48" s="31" t="inlineStr">
        <is>
          <t>Nifty 50</t>
        </is>
      </c>
      <c r="T48" s="32" t="n">
        <v>-2.54</v>
      </c>
      <c r="U48" s="32" t="n">
        <v>37.7</v>
      </c>
      <c r="V48" s="32" t="n">
        <v>41.29</v>
      </c>
      <c r="W48" s="32" t="n">
        <v>15.61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Between 0.7 to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16</t>
        </is>
      </c>
      <c r="CG48" s="31">
        <f>IF(CF48&gt;20,10,IF(CF48&gt;=10,5,2))</f>
        <v/>
      </c>
    </row>
    <row r="49">
      <c r="A49" s="31">
        <f>IF(B49=0,"",RANK(B49,$B$2:$B$85,0))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HONASA</t>
        </is>
      </c>
      <c r="D49" s="31" t="inlineStr">
        <is>
          <t>Honasa Consumer Ltd</t>
        </is>
      </c>
      <c r="E49" s="31" t="inlineStr">
        <is>
          <t>services</t>
        </is>
      </c>
      <c r="F49" s="31" t="inlineStr">
        <is>
          <t>New age - Platform - E-Retail</t>
        </is>
      </c>
      <c r="G49" s="31" t="inlineStr">
        <is>
          <t>midcap</t>
        </is>
      </c>
      <c r="H49" s="32" t="n">
        <v>15223.7</v>
      </c>
      <c r="I49" s="32" t="n">
        <v>466.95</v>
      </c>
      <c r="J49" s="32" t="n">
        <v>-0.67</v>
      </c>
      <c r="K49" s="32" t="n">
        <v>0</v>
      </c>
      <c r="L49" s="31" t="n">
        <v>76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80.31999999999999</v>
      </c>
      <c r="P49" s="32" t="n">
        <v>50.23</v>
      </c>
      <c r="Q49" s="32" t="n">
        <v>384.68</v>
      </c>
      <c r="R49" s="31" t="inlineStr">
        <is>
          <t>Near 52W High Breakout</t>
        </is>
      </c>
      <c r="S49" s="31" t="inlineStr">
        <is>
          <t>Nifty 50</t>
        </is>
      </c>
      <c r="T49" s="32" t="n">
        <v>-2.54</v>
      </c>
      <c r="U49" s="32" t="n">
        <v>63.01</v>
      </c>
      <c r="V49" s="32" t="n">
        <v>67.26000000000001</v>
      </c>
      <c r="W49" s="32" t="n">
        <v>18.22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B2C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Between 50% to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16</t>
        </is>
      </c>
      <c r="CG49" s="31">
        <f>IF(CF49&gt;20,10,IF(CF49&gt;=10,5,2))</f>
        <v/>
      </c>
    </row>
    <row r="50">
      <c r="A50" s="31">
        <f>IF(B50=0,"",RANK(B50,$B$2:$B$85,0))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NOVARTIND</t>
        </is>
      </c>
      <c r="D50" s="31" t="inlineStr">
        <is>
          <t>Novartis India Ltd</t>
        </is>
      </c>
      <c r="E50" s="31" t="inlineStr">
        <is>
          <t>healthcare</t>
        </is>
      </c>
      <c r="F50" s="31" t="inlineStr">
        <is>
          <t>Pharma - MNC bulk Drugs</t>
        </is>
      </c>
      <c r="G50" s="31" t="inlineStr">
        <is>
          <t>smallcap</t>
        </is>
      </c>
      <c r="H50" s="32" t="n">
        <v>3876.7</v>
      </c>
      <c r="I50" s="32" t="n">
        <v>1570.1</v>
      </c>
      <c r="J50" s="32" t="n">
        <v>-1.64</v>
      </c>
      <c r="K50" s="32" t="n">
        <v>0</v>
      </c>
      <c r="L50" s="31" t="n">
        <v>84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72.59</v>
      </c>
      <c r="P50" s="32" t="n">
        <v>68.53</v>
      </c>
      <c r="Q50" s="32" t="n">
        <v>1192.69</v>
      </c>
      <c r="R50" s="31" t="inlineStr">
        <is>
          <t>Volume Spike &amp; Near 52W High Breakout</t>
        </is>
      </c>
      <c r="S50" s="31" t="inlineStr">
        <is>
          <t>Nifty Pharma</t>
        </is>
      </c>
      <c r="T50" s="32" t="n">
        <v>13.51</v>
      </c>
      <c r="U50" s="32" t="n">
        <v>50.81</v>
      </c>
      <c r="V50" s="32" t="n">
        <v>32.86</v>
      </c>
      <c r="W50" s="32" t="n">
        <v>23.1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Less than 12%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Less than 50%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19</t>
        </is>
      </c>
      <c r="CG50" s="31">
        <f>IF(CF50&gt;20,10,IF(CF50&gt;=10,5,2))</f>
        <v/>
      </c>
    </row>
    <row r="51">
      <c r="A51" s="31">
        <f>IF(B51=0,"",RANK(B51,$B$2:$B$85,0))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TRIVENI</t>
        </is>
      </c>
      <c r="D51" s="31" t="inlineStr">
        <is>
          <t>Triveni Engineering and Industries Ltd</t>
        </is>
      </c>
      <c r="E51" s="31" t="inlineStr">
        <is>
          <t>fmcg</t>
        </is>
      </c>
      <c r="F51" s="31" t="inlineStr">
        <is>
          <t>Sugar</t>
        </is>
      </c>
      <c r="G51" s="31" t="inlineStr">
        <is>
          <t>midcap</t>
        </is>
      </c>
      <c r="H51" s="32" t="n">
        <v>10404.44</v>
      </c>
      <c r="I51" s="32" t="n">
        <v>472.15</v>
      </c>
      <c r="J51" s="32" t="n">
        <v>0.16</v>
      </c>
      <c r="K51" s="32" t="n">
        <v>0</v>
      </c>
      <c r="L51" s="31" t="n">
        <v>51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70.3</v>
      </c>
      <c r="P51" s="32" t="n">
        <v>23</v>
      </c>
      <c r="Q51" s="32" t="n">
        <v>378.18</v>
      </c>
      <c r="R51" s="31" t="inlineStr">
        <is>
          <t>Volume Spike &amp; Near 52W High Breakout</t>
        </is>
      </c>
      <c r="S51" s="31" t="inlineStr">
        <is>
          <t>Nifty FMCG</t>
        </is>
      </c>
      <c r="T51" s="32" t="n">
        <v>-13.73</v>
      </c>
      <c r="U51" s="32" t="n">
        <v>31.56</v>
      </c>
      <c r="V51" s="32" t="n">
        <v>52.5</v>
      </c>
      <c r="W51" s="32" t="n">
        <v>10.21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B2C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Less than 12%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Less than 50%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15</t>
        </is>
      </c>
      <c r="CG51" s="31">
        <f>IF(CF51&gt;20,10,IF(CF51&gt;=10,5,2))</f>
        <v/>
      </c>
    </row>
    <row r="52">
      <c r="A52" s="31">
        <f>IF(B52=0,"",RANK(B52,$B$2:$B$85,0))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SKYGOLD</t>
        </is>
      </c>
      <c r="D52" s="31" t="inlineStr">
        <is>
          <t>Sky Gold &amp; Diamonds Ltd</t>
        </is>
      </c>
      <c r="E52" s="31" t="inlineStr">
        <is>
          <t>consumer discretionary</t>
        </is>
      </c>
      <c r="F52" s="31" t="inlineStr">
        <is>
          <t>Diamond, Gems &amp; Jewellery</t>
        </is>
      </c>
      <c r="G52" s="31" t="inlineStr">
        <is>
          <t>midcap</t>
        </is>
      </c>
      <c r="H52" s="32" t="n">
        <v>9622.309999999999</v>
      </c>
      <c r="I52" s="32" t="n">
        <v>621.3</v>
      </c>
      <c r="J52" s="32" t="n">
        <v>-0.18</v>
      </c>
      <c r="K52" s="32" t="n">
        <v>0</v>
      </c>
      <c r="L52" s="31" t="n">
        <v>86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72.31</v>
      </c>
      <c r="P52" s="32" t="n">
        <v>53.35</v>
      </c>
      <c r="Q52" s="32" t="n">
        <v>457.34</v>
      </c>
      <c r="R52" s="31" t="inlineStr">
        <is>
          <t>Near 52W High Breakout</t>
        </is>
      </c>
      <c r="S52" s="31" t="inlineStr">
        <is>
          <t>Nifty 50</t>
        </is>
      </c>
      <c r="T52" s="32" t="n">
        <v>-2.54</v>
      </c>
      <c r="U52" s="32" t="n">
        <v>90.06</v>
      </c>
      <c r="V52" s="32" t="n">
        <v>95.01000000000001</v>
      </c>
      <c r="W52" s="32" t="n">
        <v>24.64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Negative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Between 0.7 to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24</t>
        </is>
      </c>
      <c r="CG52" s="31">
        <f>IF(CF52&gt;20,10,IF(CF52&gt;=10,5,2))</f>
        <v/>
      </c>
    </row>
    <row r="53">
      <c r="A53" s="31">
        <f>IF(B53=0,"",RANK(B53,$B$2:$B$85,0))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HFCL</t>
        </is>
      </c>
      <c r="D53" s="31" t="inlineStr">
        <is>
          <t>HFCL Ltd</t>
        </is>
      </c>
      <c r="E53" s="31" t="inlineStr">
        <is>
          <t>telecom</t>
        </is>
      </c>
      <c r="F53" s="31" t="inlineStr">
        <is>
          <t>Telecom Services</t>
        </is>
      </c>
      <c r="G53" s="31" t="inlineStr">
        <is>
          <t>largecap</t>
        </is>
      </c>
      <c r="H53" s="32" t="n">
        <v>32627.85</v>
      </c>
      <c r="I53" s="32" t="n">
        <v>213.17</v>
      </c>
      <c r="J53" s="32" t="n">
        <v>-5</v>
      </c>
      <c r="K53" s="32" t="n">
        <v>0</v>
      </c>
      <c r="L53" s="31" t="n">
        <v>98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82.43000000000001</v>
      </c>
      <c r="P53" s="32" t="n">
        <v>69.3</v>
      </c>
      <c r="Q53" s="32" t="n">
        <v>162.41</v>
      </c>
      <c r="R53" s="31" t="inlineStr">
        <is>
          <t>Near 52W High Breakout</t>
        </is>
      </c>
      <c r="S53" s="31" t="inlineStr">
        <is>
          <t>Nifty Infra</t>
        </is>
      </c>
      <c r="T53" s="32" t="n">
        <v>1.74</v>
      </c>
      <c r="U53" s="32" t="n">
        <v>161.74</v>
      </c>
      <c r="V53" s="32" t="n">
        <v>157.26</v>
      </c>
      <c r="W53" s="32" t="n">
        <v>53.93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Oligopoly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Negative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19</t>
        </is>
      </c>
      <c r="CG53" s="31">
        <f>IF(CF53&gt;20,10,IF(CF53&gt;=10,5,2))</f>
        <v/>
      </c>
    </row>
    <row r="54">
      <c r="A54" s="31">
        <f>IF(B54=0,"",RANK(B54,$B$2:$B$85,0))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AURUM</t>
        </is>
      </c>
      <c r="D54" s="31" t="inlineStr">
        <is>
          <t>Aurum Proptech Ltd</t>
        </is>
      </c>
      <c r="E54" s="31" t="inlineStr">
        <is>
          <t>i.t</t>
        </is>
      </c>
      <c r="F54" s="31" t="inlineStr">
        <is>
          <t>IT Enabled Services</t>
        </is>
      </c>
      <c r="G54" s="31" t="inlineStr">
        <is>
          <t>smallcap</t>
        </is>
      </c>
      <c r="H54" s="32" t="n">
        <v>1723.87</v>
      </c>
      <c r="I54" s="32" t="n">
        <v>239.28</v>
      </c>
      <c r="J54" s="32" t="n">
        <v>-0.79</v>
      </c>
      <c r="K54" s="32" t="n">
        <v>0</v>
      </c>
      <c r="L54" s="31" t="n">
        <v>57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73.23</v>
      </c>
      <c r="P54" s="32" t="n">
        <v>36.35</v>
      </c>
      <c r="Q54" s="32" t="n">
        <v>186.39</v>
      </c>
      <c r="R54" s="31" t="inlineStr">
        <is>
          <t>Volume Spike &amp; Near 52W High Breakout</t>
        </is>
      </c>
      <c r="S54" s="31" t="inlineStr">
        <is>
          <t>Nifty IT</t>
        </is>
      </c>
      <c r="T54" s="32" t="n">
        <v>-21.31</v>
      </c>
      <c r="U54" s="32" t="n">
        <v>20.51</v>
      </c>
      <c r="V54" s="32" t="n">
        <v>53.15</v>
      </c>
      <c r="W54" s="32" t="n">
        <v>11.82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Between 50% to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19</t>
        </is>
      </c>
      <c r="CG54" s="31">
        <f>IF(CF54&gt;20,10,IF(CF54&gt;=10,5,2))</f>
        <v/>
      </c>
    </row>
    <row r="55">
      <c r="A55" s="31">
        <f>IF(B55=0,"",RANK(B55,$B$2:$B$85,0))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4" t="inlineStr">
        <is>
          <t>KABRAEXTRU</t>
        </is>
      </c>
      <c r="D55" s="34" t="inlineStr">
        <is>
          <t>Kabra Extrusion Technik Ltd</t>
        </is>
      </c>
      <c r="E55" s="31" t="inlineStr">
        <is>
          <t>industrials</t>
        </is>
      </c>
      <c r="F55" s="31" t="inlineStr">
        <is>
          <t>Capital Goods - Engineering Heavy</t>
        </is>
      </c>
      <c r="G55" s="31" t="inlineStr">
        <is>
          <t>smallcap</t>
        </is>
      </c>
      <c r="H55" s="32" t="n">
        <v>1156.55</v>
      </c>
      <c r="I55" s="32" t="n">
        <v>330.7</v>
      </c>
      <c r="J55" s="32" t="n">
        <v>0.14</v>
      </c>
      <c r="K55" s="32" t="n">
        <v>0</v>
      </c>
      <c r="L55" s="31" t="n">
        <v>55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71.86</v>
      </c>
      <c r="P55" s="32" t="n">
        <v>16.72</v>
      </c>
      <c r="Q55" s="32" t="n">
        <v>244.95</v>
      </c>
      <c r="R55" s="31" t="inlineStr">
        <is>
          <t>Volume Spike &amp; Near 52W High Breakout</t>
        </is>
      </c>
      <c r="S55" s="31" t="inlineStr">
        <is>
          <t>Nifty Infra</t>
        </is>
      </c>
      <c r="T55" s="32" t="n">
        <v>1.74</v>
      </c>
      <c r="U55" s="32" t="n">
        <v>6.76</v>
      </c>
      <c r="V55" s="32" t="n">
        <v>4.94</v>
      </c>
      <c r="W55" s="32" t="n">
        <v>11.12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0 to 20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18</t>
        </is>
      </c>
      <c r="CG55" s="31">
        <f>IF(CF55&gt;20,10,IF(CF55&gt;=10,5,2))</f>
        <v/>
      </c>
    </row>
    <row r="56">
      <c r="A56" s="31">
        <f>IF(B56=0,"",RANK(B56,$B$2:$B$85,0))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4" t="inlineStr">
        <is>
          <t>CFF</t>
        </is>
      </c>
      <c r="D56" s="34" t="inlineStr">
        <is>
          <t>CFF Fluid Control Ltd</t>
        </is>
      </c>
      <c r="E56" s="31" t="inlineStr">
        <is>
          <t>Industrials</t>
        </is>
      </c>
      <c r="F56" s="31" t="inlineStr">
        <is>
          <t>Shipping - Proxy</t>
        </is>
      </c>
      <c r="G56" s="31" t="inlineStr">
        <is>
          <t>smallcap</t>
        </is>
      </c>
      <c r="H56" s="32" t="n">
        <v>1924.58</v>
      </c>
      <c r="I56" s="32" t="n">
        <v>917.6</v>
      </c>
      <c r="J56" s="32" t="n">
        <v>0.8</v>
      </c>
      <c r="K56" s="32" t="n">
        <v>0</v>
      </c>
      <c r="L56" s="31" t="n">
        <v>58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69.31</v>
      </c>
      <c r="P56" s="32" t="n">
        <v>33.07</v>
      </c>
      <c r="Q56" s="32" t="n">
        <v>693.8099999999999</v>
      </c>
      <c r="R56" s="31" t="inlineStr">
        <is>
          <t>Volume Spike &amp; Near 52W High Breakout</t>
        </is>
      </c>
      <c r="S56" s="31" t="inlineStr">
        <is>
          <t>Nifty 50</t>
        </is>
      </c>
      <c r="T56" s="32" t="n">
        <v>-2.54</v>
      </c>
      <c r="U56" s="32" t="n">
        <v>40.38</v>
      </c>
      <c r="V56" s="32" t="n">
        <v>44.03</v>
      </c>
      <c r="W56" s="32" t="n">
        <v>11.9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Negative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18</t>
        </is>
      </c>
      <c r="CG56" s="31">
        <f>IF(CF56&gt;20,10,IF(CF56&gt;=10,5,2))</f>
        <v/>
      </c>
    </row>
    <row r="57">
      <c r="A57" s="31">
        <f>IF(B57=0,"",RANK(B57,$B$2:$B$85,0))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OBEROIRLTY</t>
        </is>
      </c>
      <c r="D57" s="31" t="inlineStr">
        <is>
          <t>Oberoi Realty Ltd</t>
        </is>
      </c>
      <c r="E57" s="31" t="inlineStr">
        <is>
          <t>realty</t>
        </is>
      </c>
      <c r="F57" s="31" t="inlineStr">
        <is>
          <t>Realty - Regional</t>
        </is>
      </c>
      <c r="G57" s="31" t="inlineStr">
        <is>
          <t>largecap</t>
        </is>
      </c>
      <c r="H57" s="32" t="n">
        <v>68895.35000000001</v>
      </c>
      <c r="I57" s="32" t="n">
        <v>1894.8</v>
      </c>
      <c r="J57" s="32" t="n">
        <v>1.81</v>
      </c>
      <c r="K57" s="32" t="n">
        <v>0</v>
      </c>
      <c r="L57" s="31" t="n">
        <v>16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65.22</v>
      </c>
      <c r="P57" s="32" t="n">
        <v>16.31</v>
      </c>
      <c r="Q57" s="32" t="n">
        <v>1610.33</v>
      </c>
      <c r="R57" s="31" t="inlineStr">
        <is>
          <t>Near 52W High Breakout</t>
        </is>
      </c>
      <c r="S57" s="31" t="inlineStr">
        <is>
          <t>Nifty Realty</t>
        </is>
      </c>
      <c r="T57" s="32" t="n">
        <v>-8.119999999999999</v>
      </c>
      <c r="U57" s="32" t="n">
        <v>3.77</v>
      </c>
      <c r="V57" s="32" t="n">
        <v>12.94</v>
      </c>
      <c r="W57" s="32" t="n">
        <v>3.1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0 to 20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Less than 50%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18</t>
        </is>
      </c>
      <c r="CG57" s="31">
        <f>IF(CF57&gt;20,10,IF(CF57&gt;=10,5,2))</f>
        <v/>
      </c>
    </row>
    <row r="58">
      <c r="A58" s="31">
        <f>IF(B58=0,"",RANK(B58,$B$2:$B$85,0))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DIACABS</t>
        </is>
      </c>
      <c r="D58" s="31" t="inlineStr">
        <is>
          <t>Diamond Power Infrastructure Ltd</t>
        </is>
      </c>
      <c r="E58" s="31" t="inlineStr">
        <is>
          <t>industrials</t>
        </is>
      </c>
      <c r="F58" s="31" t="inlineStr">
        <is>
          <t>Cables - Power</t>
        </is>
      </c>
      <c r="G58" s="31" t="inlineStr">
        <is>
          <t>midcap</t>
        </is>
      </c>
      <c r="H58" s="32" t="n">
        <v>11718.78</v>
      </c>
      <c r="I58" s="32" t="n">
        <v>222.38</v>
      </c>
      <c r="J58" s="32" t="n">
        <v>-1.13</v>
      </c>
      <c r="K58" s="32" t="n">
        <v>0</v>
      </c>
      <c r="L58" s="31" t="n">
        <v>75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72.27</v>
      </c>
      <c r="P58" s="32" t="n">
        <v>49.92</v>
      </c>
      <c r="Q58" s="32" t="n">
        <v>170.32</v>
      </c>
      <c r="R58" s="31" t="inlineStr">
        <is>
          <t>Near 52W High Breakout</t>
        </is>
      </c>
      <c r="S58" s="31" t="inlineStr">
        <is>
          <t>Nifty Energy</t>
        </is>
      </c>
      <c r="T58" s="32" t="n">
        <v>8.41</v>
      </c>
      <c r="U58" s="32" t="n">
        <v>31.69</v>
      </c>
      <c r="V58" s="32" t="n">
        <v>21.48</v>
      </c>
      <c r="W58" s="32" t="n">
        <v>17.59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Negative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16</t>
        </is>
      </c>
      <c r="CG58" s="31">
        <f>IF(CF58&gt;20,10,IF(CF58&gt;=10,5,2))</f>
        <v/>
      </c>
    </row>
    <row r="59">
      <c r="A59" s="31">
        <f>IF(B59=0,"",RANK(B59,$B$2:$B$85,0))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4" t="inlineStr">
        <is>
          <t>TATVA</t>
        </is>
      </c>
      <c r="D59" s="34" t="inlineStr">
        <is>
          <t>Tatva Chintan Pharma Chem Ltd</t>
        </is>
      </c>
      <c r="E59" s="31" t="inlineStr">
        <is>
          <t>chemicals</t>
        </is>
      </c>
      <c r="F59" s="31" t="inlineStr">
        <is>
          <t>Speciality Chemicals</t>
        </is>
      </c>
      <c r="G59" s="31" t="inlineStr">
        <is>
          <t>smallcap</t>
        </is>
      </c>
      <c r="H59" s="32" t="n">
        <v>3340.62</v>
      </c>
      <c r="I59" s="32" t="n">
        <v>1428.1</v>
      </c>
      <c r="J59" s="32" t="n">
        <v>0.7</v>
      </c>
      <c r="K59" s="32" t="n">
        <v>0</v>
      </c>
      <c r="L59" s="31" t="n">
        <v>52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63.29</v>
      </c>
      <c r="P59" s="32" t="n">
        <v>18.29</v>
      </c>
      <c r="Q59" s="32" t="n">
        <v>1057.64</v>
      </c>
      <c r="R59" s="31" t="inlineStr">
        <is>
          <t>Volume Spike &amp; Near 52W High Breakout</t>
        </is>
      </c>
      <c r="S59" s="31" t="inlineStr">
        <is>
          <t>Nifty 50</t>
        </is>
      </c>
      <c r="T59" s="32" t="n">
        <v>-2.54</v>
      </c>
      <c r="U59" s="32" t="n">
        <v>42.9</v>
      </c>
      <c r="V59" s="32" t="n">
        <v>46.63</v>
      </c>
      <c r="W59" s="32" t="n">
        <v>10.58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0 to 20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16</t>
        </is>
      </c>
      <c r="CG59" s="31">
        <f>IF(CF59&gt;20,10,IF(CF59&gt;=10,5,2))</f>
        <v/>
      </c>
    </row>
    <row r="60">
      <c r="A60" s="31">
        <f>IF(B60=0,"",RANK(B60,$B$2:$B$85,0))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IKS</t>
        </is>
      </c>
      <c r="D60" s="31" t="inlineStr">
        <is>
          <t>Inventurus Knowledge Solutions Ltd</t>
        </is>
      </c>
      <c r="E60" s="31" t="inlineStr">
        <is>
          <t>i.t</t>
        </is>
      </c>
      <c r="F60" s="31" t="inlineStr">
        <is>
          <t>IT Enabled Services/Business Process Outsourcing</t>
        </is>
      </c>
      <c r="G60" s="31" t="inlineStr">
        <is>
          <t>largecap</t>
        </is>
      </c>
      <c r="H60" s="32" t="n">
        <v>32566.22</v>
      </c>
      <c r="I60" s="32" t="n">
        <v>1897.1</v>
      </c>
      <c r="J60" s="32" t="n">
        <v>1.82</v>
      </c>
      <c r="K60" s="32" t="n">
        <v>0</v>
      </c>
      <c r="L60" s="31" t="n">
        <v>50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66.15000000000001</v>
      </c>
      <c r="P60" s="32" t="n">
        <v>11.43</v>
      </c>
      <c r="Q60" s="32" t="n">
        <v>1550.27</v>
      </c>
      <c r="R60" s="31" t="inlineStr">
        <is>
          <t>Near 52W High Breakout</t>
        </is>
      </c>
      <c r="S60" s="31" t="inlineStr">
        <is>
          <t>Nifty IT</t>
        </is>
      </c>
      <c r="T60" s="32" t="n">
        <v>-21.31</v>
      </c>
      <c r="U60" s="32" t="n">
        <v>19.44</v>
      </c>
      <c r="V60" s="32" t="n">
        <v>51.79</v>
      </c>
      <c r="W60" s="32" t="n">
        <v>9.800000000000001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0 to 20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Between 50% to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16</t>
        </is>
      </c>
      <c r="CG60" s="31">
        <f>IF(CF60&gt;20,10,IF(CF60&gt;=10,5,2))</f>
        <v/>
      </c>
    </row>
    <row r="61">
      <c r="A61" s="31">
        <f>IF(B61=0,"",RANK(B61,$B$2:$B$85,0))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BLSE</t>
        </is>
      </c>
      <c r="D61" s="31" t="inlineStr">
        <is>
          <t>BLS E-Services Ltd</t>
        </is>
      </c>
      <c r="E61" s="31" t="inlineStr">
        <is>
          <t>i.t</t>
        </is>
      </c>
      <c r="F61" s="31" t="inlineStr">
        <is>
          <t>IT - Software</t>
        </is>
      </c>
      <c r="G61" s="31" t="inlineStr">
        <is>
          <t>smallcap</t>
        </is>
      </c>
      <c r="H61" s="32" t="n">
        <v>2492.83</v>
      </c>
      <c r="I61" s="32" t="n">
        <v>274.37</v>
      </c>
      <c r="J61" s="32" t="n">
        <v>2.09</v>
      </c>
      <c r="K61" s="32" t="n">
        <v>0</v>
      </c>
      <c r="L61" s="31" t="n">
        <v>83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77.25</v>
      </c>
      <c r="P61" s="32" t="n">
        <v>29.93</v>
      </c>
      <c r="Q61" s="32" t="n">
        <v>214.22</v>
      </c>
      <c r="R61" s="31" t="inlineStr">
        <is>
          <t>Volume Spike &amp; Near 52W High Breakout</t>
        </is>
      </c>
      <c r="S61" s="31" t="inlineStr">
        <is>
          <t>Nifty IT</t>
        </is>
      </c>
      <c r="T61" s="32" t="n">
        <v>-21.31</v>
      </c>
      <c r="U61" s="32" t="n">
        <v>49.07</v>
      </c>
      <c r="V61" s="32" t="n">
        <v>89.45</v>
      </c>
      <c r="W61" s="32" t="n">
        <v>21.65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Less than 12%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Between 50% to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16</t>
        </is>
      </c>
      <c r="CG61" s="31">
        <f>IF(CF61&gt;20,10,IF(CF61&gt;=10,5,2))</f>
        <v/>
      </c>
    </row>
    <row r="62">
      <c r="A62" s="31">
        <f>IF(B62=0,"",RANK(B62,$B$2:$B$85,0))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4" t="inlineStr">
        <is>
          <t>JLHL</t>
        </is>
      </c>
      <c r="D62" s="34" t="inlineStr">
        <is>
          <t>Jupiter Life Line Hospitals Ltd</t>
        </is>
      </c>
      <c r="E62" s="31" t="inlineStr">
        <is>
          <t>healthcare</t>
        </is>
      </c>
      <c r="F62" s="31" t="inlineStr">
        <is>
          <t>Hospitals</t>
        </is>
      </c>
      <c r="G62" s="31" t="inlineStr">
        <is>
          <t>midcap</t>
        </is>
      </c>
      <c r="H62" s="32" t="n">
        <v>10182.4</v>
      </c>
      <c r="I62" s="32" t="n">
        <v>1553</v>
      </c>
      <c r="J62" s="32" t="n">
        <v>-0.06</v>
      </c>
      <c r="K62" s="32" t="n">
        <v>0</v>
      </c>
      <c r="L62" s="31" t="n">
        <v>29</v>
      </c>
      <c r="M62" s="31" t="inlineStr">
        <is>
          <t>Underperforming</t>
        </is>
      </c>
      <c r="N62" s="32">
        <f>IF(M62="Underperforming",-5,IF(L62&gt;=95,15,IF(L62&gt;=90,10,IF(L62&gt;=80,5,0))))</f>
        <v/>
      </c>
      <c r="O62" s="32" t="n">
        <v>71.5</v>
      </c>
      <c r="P62" s="32" t="n">
        <v>21.85</v>
      </c>
      <c r="Q62" s="32" t="n">
        <v>1307.12</v>
      </c>
      <c r="R62" s="31" t="inlineStr">
        <is>
          <t>Near 52W High Breakout</t>
        </is>
      </c>
      <c r="S62" s="31" t="inlineStr">
        <is>
          <t>Nifty Pharma</t>
        </is>
      </c>
      <c r="T62" s="32" t="n">
        <v>13.51</v>
      </c>
      <c r="U62" s="32" t="n">
        <v>4.3</v>
      </c>
      <c r="V62" s="32" t="n">
        <v>-8.109999999999999</v>
      </c>
      <c r="W62" s="32" t="n">
        <v>5.7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Between 12 to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15</t>
        </is>
      </c>
      <c r="CG62" s="31">
        <f>IF(CF62&gt;20,10,IF(CF62&gt;=10,5,2))</f>
        <v/>
      </c>
    </row>
    <row r="63">
      <c r="A63" s="31">
        <f>IF(B63=0,"",RANK(B63,$B$2:$B$85,0))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LLOYDSENT</t>
        </is>
      </c>
      <c r="D63" s="34" t="inlineStr">
        <is>
          <t>Lloyds Enterprises Ltd</t>
        </is>
      </c>
      <c r="E63" s="31" t="inlineStr">
        <is>
          <t>services</t>
        </is>
      </c>
      <c r="F63" s="31" t="inlineStr">
        <is>
          <t>Trading</t>
        </is>
      </c>
      <c r="G63" s="31" t="inlineStr">
        <is>
          <t>midcap</t>
        </is>
      </c>
      <c r="H63" s="32" t="n">
        <v>11865.18</v>
      </c>
      <c r="I63" s="32" t="n">
        <v>77.84999999999999</v>
      </c>
      <c r="J63" s="32" t="n">
        <v>-1.85</v>
      </c>
      <c r="K63" s="32" t="n">
        <v>0</v>
      </c>
      <c r="L63" s="31" t="n">
        <v>24</v>
      </c>
      <c r="M63" s="31" t="inlineStr">
        <is>
          <t>Underperforming</t>
        </is>
      </c>
      <c r="N63" s="32">
        <f>IF(M63="Underperforming",-5,IF(L63&gt;=95,15,IF(L63&gt;=90,10,IF(L63&gt;=80,5,0))))</f>
        <v/>
      </c>
      <c r="O63" s="32" t="n">
        <v>62.36</v>
      </c>
      <c r="P63" s="32" t="n">
        <v>31.75</v>
      </c>
      <c r="Q63" s="32" t="n">
        <v>57.44</v>
      </c>
      <c r="R63" s="31" t="inlineStr">
        <is>
          <t>Volume Spike &amp; Near 52W High Breakout</t>
        </is>
      </c>
      <c r="S63" s="31" t="inlineStr">
        <is>
          <t>Nifty 50</t>
        </is>
      </c>
      <c r="T63" s="32" t="n">
        <v>-2.54</v>
      </c>
      <c r="U63" s="32" t="n">
        <v>-3.14</v>
      </c>
      <c r="V63" s="32" t="n">
        <v>-0.61</v>
      </c>
      <c r="W63" s="32" t="n">
        <v>4.95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Negative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20</t>
        </is>
      </c>
      <c r="CG63" s="31">
        <f>IF(CF63&gt;20,10,IF(CF63&gt;=10,5,2))</f>
        <v/>
      </c>
    </row>
    <row r="64">
      <c r="A64" s="31">
        <f>IF(B64=0,"",RANK(B64,$B$2:$B$85,0))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TBZ</t>
        </is>
      </c>
      <c r="D64" s="31" t="inlineStr">
        <is>
          <t>Tribhovandas Bhimji Zaveri Ltd</t>
        </is>
      </c>
      <c r="E64" s="31" t="inlineStr">
        <is>
          <t>consumer discretionary</t>
        </is>
      </c>
      <c r="F64" s="31" t="inlineStr">
        <is>
          <t>Diamond, Gems &amp; Jewellery</t>
        </is>
      </c>
      <c r="G64" s="31" t="inlineStr">
        <is>
          <t>smallcap</t>
        </is>
      </c>
      <c r="H64" s="32" t="n">
        <v>1722.52</v>
      </c>
      <c r="I64" s="32" t="n">
        <v>258.13</v>
      </c>
      <c r="J64" s="32" t="n">
        <v>0.82</v>
      </c>
      <c r="K64" s="32" t="n">
        <v>0</v>
      </c>
      <c r="L64" s="31" t="n">
        <v>85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78.14</v>
      </c>
      <c r="P64" s="32" t="n">
        <v>24.04</v>
      </c>
      <c r="Q64" s="32" t="n">
        <v>192.69</v>
      </c>
      <c r="R64" s="31" t="inlineStr">
        <is>
          <t>Volume Spike &amp; Near 52W High Breakout</t>
        </is>
      </c>
      <c r="S64" s="31" t="inlineStr">
        <is>
          <t>Nifty 50</t>
        </is>
      </c>
      <c r="T64" s="32" t="n">
        <v>-2.54</v>
      </c>
      <c r="U64" s="32" t="n">
        <v>29.92</v>
      </c>
      <c r="V64" s="32" t="n">
        <v>33.3</v>
      </c>
      <c r="W64" s="32" t="n">
        <v>23.52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Less than 50% and Borrowings are increasing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Between 0.7 to 1.2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20</t>
        </is>
      </c>
      <c r="CG64" s="31">
        <f>IF(CF64&gt;20,10,IF(CF64&gt;=10,5,2))</f>
        <v/>
      </c>
    </row>
    <row r="65">
      <c r="A65" s="31">
        <f>IF(B65=0,"",RANK(B65,$B$2:$B$85,0))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MODINSU</t>
        </is>
      </c>
      <c r="D65" s="31" t="inlineStr">
        <is>
          <t>Modern Insulators Ltd</t>
        </is>
      </c>
      <c r="E65" s="31" t="inlineStr">
        <is>
          <t>Technology</t>
        </is>
      </c>
      <c r="F65" s="31" t="inlineStr">
        <is>
          <t>Capital Goods - Electric General</t>
        </is>
      </c>
      <c r="G65" s="31" t="inlineStr">
        <is>
          <t>smallcap</t>
        </is>
      </c>
      <c r="H65" s="32" t="n">
        <v>2340.46</v>
      </c>
      <c r="I65" s="32" t="n">
        <v>496.45</v>
      </c>
      <c r="J65" s="32" t="n">
        <v>-4.82</v>
      </c>
      <c r="K65" s="32" t="n">
        <v>0</v>
      </c>
      <c r="L65" s="31" t="n">
        <v>97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67.64</v>
      </c>
      <c r="P65" s="32" t="n">
        <v>52.2</v>
      </c>
      <c r="Q65" s="32" t="n">
        <v>390.39</v>
      </c>
      <c r="R65" s="31" t="inlineStr">
        <is>
          <t>Earnings / Momentum Support</t>
        </is>
      </c>
      <c r="S65" s="31" t="inlineStr">
        <is>
          <t>Nifty 50</t>
        </is>
      </c>
      <c r="T65" s="32" t="n">
        <v>-2.54</v>
      </c>
      <c r="U65" s="32" t="n">
        <v>349.07</v>
      </c>
      <c r="V65" s="32" t="n">
        <v>360.77</v>
      </c>
      <c r="W65" s="32" t="n">
        <v>50.8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Less than 50%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15</t>
        </is>
      </c>
      <c r="CG65" s="31">
        <f>IF(CF65&gt;20,10,IF(CF65&gt;=10,5,2))</f>
        <v/>
      </c>
    </row>
    <row r="66">
      <c r="A66" s="31">
        <f>IF(B66=0,"",RANK(B66,$B$2:$B$85,0))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4" t="inlineStr">
        <is>
          <t>BEPL</t>
        </is>
      </c>
      <c r="D66" s="34" t="inlineStr">
        <is>
          <t>Bhansali Engineering Polymers Ltd</t>
        </is>
      </c>
      <c r="E66" s="31" t="inlineStr">
        <is>
          <t>energy</t>
        </is>
      </c>
      <c r="F66" s="31" t="inlineStr">
        <is>
          <t>Petrochem - Polymers</t>
        </is>
      </c>
      <c r="G66" s="31" t="inlineStr">
        <is>
          <t>smallcap</t>
        </is>
      </c>
      <c r="H66" s="32" t="n">
        <v>2814.59</v>
      </c>
      <c r="I66" s="32" t="n">
        <v>113.1</v>
      </c>
      <c r="J66" s="32" t="n">
        <v>3.12</v>
      </c>
      <c r="K66" s="32" t="n">
        <v>0</v>
      </c>
      <c r="L66" s="31" t="n">
        <v>24</v>
      </c>
      <c r="M66" s="31" t="inlineStr">
        <is>
          <t>Underperforming</t>
        </is>
      </c>
      <c r="N66" s="32">
        <f>IF(M66="Underperforming",-5,IF(L66&gt;=95,15,IF(L66&gt;=90,10,IF(L66&gt;=80,5,0))))</f>
        <v/>
      </c>
      <c r="O66" s="32" t="n">
        <v>69.48</v>
      </c>
      <c r="P66" s="32" t="n">
        <v>37.44</v>
      </c>
      <c r="Q66" s="32" t="n">
        <v>90.68000000000001</v>
      </c>
      <c r="R66" s="31" t="inlineStr">
        <is>
          <t>Volume Spike &amp; Near 52W High Breakout</t>
        </is>
      </c>
      <c r="S66" s="31" t="inlineStr">
        <is>
          <t>Nifty Energy</t>
        </is>
      </c>
      <c r="T66" s="32" t="n">
        <v>8.41</v>
      </c>
      <c r="U66" s="32" t="n">
        <v>2.5</v>
      </c>
      <c r="V66" s="32" t="n">
        <v>-5.44</v>
      </c>
      <c r="W66" s="32" t="n">
        <v>4.89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Oligopoly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Cyclical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Volatile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16</t>
        </is>
      </c>
      <c r="CG66" s="31">
        <f>IF(CF66&gt;20,10,IF(CF66&gt;=10,5,2))</f>
        <v/>
      </c>
    </row>
    <row r="67">
      <c r="A67" s="31">
        <f>IF(B67=0,"",RANK(B67,$B$2:$B$85,0))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GANDHAR</t>
        </is>
      </c>
      <c r="D67" s="34" t="inlineStr">
        <is>
          <t>Gandhar Oil Refinery (India) Ltd</t>
        </is>
      </c>
      <c r="E67" s="31" t="inlineStr">
        <is>
          <t>energy</t>
        </is>
      </c>
      <c r="F67" s="31" t="inlineStr">
        <is>
          <t>Refineries</t>
        </is>
      </c>
      <c r="G67" s="31" t="inlineStr">
        <is>
          <t>smallcap</t>
        </is>
      </c>
      <c r="H67" s="32" t="n">
        <v>2035.21</v>
      </c>
      <c r="I67" s="32" t="n">
        <v>207.93</v>
      </c>
      <c r="J67" s="32" t="n">
        <v>-1.43</v>
      </c>
      <c r="K67" s="32" t="n">
        <v>0</v>
      </c>
      <c r="L67" s="31" t="n">
        <v>67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72.79000000000001</v>
      </c>
      <c r="P67" s="32" t="n">
        <v>43.17</v>
      </c>
      <c r="Q67" s="32" t="n">
        <v>159.6</v>
      </c>
      <c r="R67" s="31" t="inlineStr">
        <is>
          <t>Near 52W High Breakout</t>
        </is>
      </c>
      <c r="S67" s="31" t="inlineStr">
        <is>
          <t>Nifty Energy</t>
        </is>
      </c>
      <c r="T67" s="32" t="n">
        <v>8.41</v>
      </c>
      <c r="U67" s="32" t="n">
        <v>24.11</v>
      </c>
      <c r="V67" s="32" t="n">
        <v>14.48</v>
      </c>
      <c r="W67" s="32" t="n">
        <v>14.4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Oligopoly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Cyclical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Volatile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Between 50% to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15</t>
        </is>
      </c>
      <c r="CG67" s="31">
        <f>IF(CF67&gt;20,10,IF(CF67&gt;=10,5,2))</f>
        <v/>
      </c>
    </row>
    <row r="68">
      <c r="A68" s="31">
        <f>IF(B68=0,"",RANK(B68,$B$2:$B$85,0))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RPTECH</t>
        </is>
      </c>
      <c r="D68" s="31" t="inlineStr">
        <is>
          <t>Rashi Peripherals Ltd</t>
        </is>
      </c>
      <c r="E68" s="31" t="inlineStr">
        <is>
          <t>Technology</t>
        </is>
      </c>
      <c r="F68" s="31" t="inlineStr">
        <is>
          <t>Trading</t>
        </is>
      </c>
      <c r="G68" s="31" t="inlineStr">
        <is>
          <t>smallcap</t>
        </is>
      </c>
      <c r="H68" s="32" t="n">
        <v>4840</v>
      </c>
      <c r="I68" s="32" t="n">
        <v>734.45</v>
      </c>
      <c r="J68" s="32" t="n">
        <v>-3.43</v>
      </c>
      <c r="K68" s="32" t="n">
        <v>0</v>
      </c>
      <c r="L68" s="31" t="n">
        <v>91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75.48</v>
      </c>
      <c r="P68" s="32" t="n">
        <v>71.59</v>
      </c>
      <c r="Q68" s="32" t="n">
        <v>600.72</v>
      </c>
      <c r="R68" s="31" t="inlineStr">
        <is>
          <t>Earnings / Momentum Support</t>
        </is>
      </c>
      <c r="S68" s="31" t="inlineStr">
        <is>
          <t>Nifty 50</t>
        </is>
      </c>
      <c r="T68" s="32" t="n">
        <v>-2.54</v>
      </c>
      <c r="U68" s="32" t="n">
        <v>132.88</v>
      </c>
      <c r="V68" s="32" t="n">
        <v>138.94</v>
      </c>
      <c r="W68" s="32" t="n">
        <v>32.46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Less than 50%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18</t>
        </is>
      </c>
      <c r="CG68" s="31">
        <f>IF(CF68&gt;20,10,IF(CF68&gt;=10,5,2))</f>
        <v/>
      </c>
    </row>
    <row r="69">
      <c r="A69" s="31">
        <f>IF(B69=0,"",RANK(B69,$B$2:$B$85,0))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3" t="inlineStr">
        <is>
          <t>SHYAMMETL</t>
        </is>
      </c>
      <c r="D69" s="33" t="inlineStr">
        <is>
          <t>Shyam Metalics &amp; Energy Ltd</t>
        </is>
      </c>
      <c r="E69" s="31" t="inlineStr">
        <is>
          <t>metals &amp; mining</t>
        </is>
      </c>
      <c r="F69" s="31" t="inlineStr">
        <is>
          <t>Steel Products</t>
        </is>
      </c>
      <c r="G69" s="31" t="inlineStr">
        <is>
          <t>largecap</t>
        </is>
      </c>
      <c r="H69" s="32" t="n">
        <v>28541.23</v>
      </c>
      <c r="I69" s="32" t="n">
        <v>1022.5</v>
      </c>
      <c r="J69" s="32" t="n">
        <v>-1.73</v>
      </c>
      <c r="K69" s="32" t="n">
        <v>0</v>
      </c>
      <c r="L69" s="31" t="n">
        <v>33</v>
      </c>
      <c r="M69" s="31" t="inlineStr">
        <is>
          <t>Underperforming</t>
        </is>
      </c>
      <c r="N69" s="32">
        <f>IF(M69="Underperforming",-5,IF(L69&gt;=95,15,IF(L69&gt;=90,10,IF(L69&gt;=80,5,0))))</f>
        <v/>
      </c>
      <c r="O69" s="32" t="n">
        <v>65.26000000000001</v>
      </c>
      <c r="P69" s="32" t="n">
        <v>16.1</v>
      </c>
      <c r="Q69" s="32" t="n">
        <v>834.9</v>
      </c>
      <c r="R69" s="31" t="inlineStr">
        <is>
          <t>Near 52W High Breakout</t>
        </is>
      </c>
      <c r="S69" s="31" t="inlineStr">
        <is>
          <t>Nifty Metal</t>
        </is>
      </c>
      <c r="T69" s="32" t="n">
        <v>31.49</v>
      </c>
      <c r="U69" s="32" t="n">
        <v>12.72</v>
      </c>
      <c r="V69" s="32" t="n">
        <v>-14.28</v>
      </c>
      <c r="W69" s="32" t="n">
        <v>6.54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Cyclical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Volatile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0 to 20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16</t>
        </is>
      </c>
      <c r="CG69" s="31">
        <f>IF(CF69&gt;20,10,IF(CF69&gt;=10,5,2))</f>
        <v/>
      </c>
    </row>
    <row r="70">
      <c r="A70" s="31">
        <f>IF(B70=0,"",RANK(B70,$B$2:$B$85,0))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4" t="inlineStr">
        <is>
          <t>GALAPREC</t>
        </is>
      </c>
      <c r="D70" s="34" t="inlineStr">
        <is>
          <t>Gala Precision Engineering Ltd</t>
        </is>
      </c>
      <c r="E70" s="31" t="inlineStr">
        <is>
          <t>industrials</t>
        </is>
      </c>
      <c r="F70" s="31" t="inlineStr">
        <is>
          <t>Castings, Forgings &amp; Fastners</t>
        </is>
      </c>
      <c r="G70" s="31" t="inlineStr">
        <is>
          <t>smallcap</t>
        </is>
      </c>
      <c r="H70" s="32" t="n">
        <v>1514.87</v>
      </c>
      <c r="I70" s="32" t="n">
        <v>1182</v>
      </c>
      <c r="J70" s="32" t="n">
        <v>-1.24</v>
      </c>
      <c r="K70" s="32" t="n">
        <v>0</v>
      </c>
      <c r="L70" s="31" t="n">
        <v>77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79.09999999999999</v>
      </c>
      <c r="P70" s="32" t="n">
        <v>41.08</v>
      </c>
      <c r="Q70" s="32" t="n">
        <v>904.28</v>
      </c>
      <c r="R70" s="31" t="inlineStr">
        <is>
          <t>Near 52W High Breakout</t>
        </is>
      </c>
      <c r="S70" s="31" t="inlineStr">
        <is>
          <t>Nifty Infra</t>
        </is>
      </c>
      <c r="T70" s="32" t="n">
        <v>1.74</v>
      </c>
      <c r="U70" s="32" t="n">
        <v>35.65</v>
      </c>
      <c r="V70" s="32" t="n">
        <v>33.33</v>
      </c>
      <c r="W70" s="32" t="n">
        <v>18.27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Less than 12%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Less than 50%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15</t>
        </is>
      </c>
      <c r="CG70" s="31">
        <f>IF(CF70&gt;20,10,IF(CF70&gt;=10,5,2))</f>
        <v/>
      </c>
    </row>
    <row r="71">
      <c r="A71" s="31">
        <f>IF(B71=0,"",RANK(B71,$B$2:$B$85,0))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4" t="inlineStr">
        <is>
          <t>RPGLIFE</t>
        </is>
      </c>
      <c r="D71" s="34" t="inlineStr">
        <is>
          <t>RPG Life Sciences Ltd</t>
        </is>
      </c>
      <c r="E71" s="31" t="inlineStr">
        <is>
          <t>healthcare</t>
        </is>
      </c>
      <c r="F71" s="31" t="inlineStr">
        <is>
          <t>Pharma - Formulators</t>
        </is>
      </c>
      <c r="G71" s="31" t="inlineStr">
        <is>
          <t>smallcap</t>
        </is>
      </c>
      <c r="H71" s="32" t="n">
        <v>4729.83</v>
      </c>
      <c r="I71" s="32" t="n">
        <v>2859.8</v>
      </c>
      <c r="J71" s="32" t="n">
        <v>-2.13</v>
      </c>
      <c r="K71" s="32" t="n">
        <v>0</v>
      </c>
      <c r="L71" s="31" t="n">
        <v>63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75.09</v>
      </c>
      <c r="P71" s="32" t="n">
        <v>24.01</v>
      </c>
      <c r="Q71" s="32" t="n">
        <v>2268.48</v>
      </c>
      <c r="R71" s="31" t="inlineStr">
        <is>
          <t>Volume Spike &amp; Near 52W High Breakout</t>
        </is>
      </c>
      <c r="S71" s="31" t="inlineStr">
        <is>
          <t>Nifty Pharma</t>
        </is>
      </c>
      <c r="T71" s="32" t="n">
        <v>13.51</v>
      </c>
      <c r="U71" s="32" t="n">
        <v>15.18</v>
      </c>
      <c r="V71" s="32" t="n">
        <v>1.47</v>
      </c>
      <c r="W71" s="32" t="n">
        <v>13.04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Less than 12%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Less than 50%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15</t>
        </is>
      </c>
      <c r="CG71" s="31">
        <f>IF(CF71&gt;20,10,IF(CF71&gt;=10,5,2))</f>
        <v/>
      </c>
    </row>
    <row r="72">
      <c r="A72" s="31">
        <f>IF(B72=0,"",RANK(B72,$B$2:$B$85,0))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KRISHANA</t>
        </is>
      </c>
      <c r="D72" s="31" t="inlineStr">
        <is>
          <t>Krishana Phoschem Ltd</t>
        </is>
      </c>
      <c r="E72" s="31" t="inlineStr">
        <is>
          <t>Basic Materials</t>
        </is>
      </c>
      <c r="F72" s="31" t="inlineStr">
        <is>
          <t>Fertilisers</t>
        </is>
      </c>
      <c r="G72" s="31" t="inlineStr">
        <is>
          <t>smallcap</t>
        </is>
      </c>
      <c r="H72" s="32" t="n">
        <v>4341.84</v>
      </c>
      <c r="I72" s="32" t="n">
        <v>140.45</v>
      </c>
      <c r="J72" s="32" t="n">
        <v>0.14</v>
      </c>
      <c r="K72" s="32" t="n">
        <v>0</v>
      </c>
      <c r="L72" s="31" t="n">
        <v>56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63.14</v>
      </c>
      <c r="P72" s="32" t="n">
        <v>44.03</v>
      </c>
      <c r="Q72" s="32" t="n">
        <v>115.23</v>
      </c>
      <c r="R72" s="31" t="inlineStr">
        <is>
          <t>Earnings / Momentum Support</t>
        </is>
      </c>
      <c r="S72" s="31" t="inlineStr">
        <is>
          <t>Nifty FMCG</t>
        </is>
      </c>
      <c r="T72" s="32" t="n">
        <v>-13.73</v>
      </c>
      <c r="U72" s="32" t="n">
        <v>44.62</v>
      </c>
      <c r="V72" s="32" t="n">
        <v>67.64</v>
      </c>
      <c r="W72" s="32" t="n">
        <v>11.23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More than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17</t>
        </is>
      </c>
      <c r="CG72" s="31">
        <f>IF(CF72&gt;20,10,IF(CF72&gt;=10,5,2))</f>
        <v/>
      </c>
    </row>
    <row r="73">
      <c r="A73" s="31">
        <f>IF(B73=0,"",RANK(B73,$B$2:$B$85,0))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AZAD</t>
        </is>
      </c>
      <c r="D73" s="31" t="inlineStr">
        <is>
          <t>Azad Engineering Ltd</t>
        </is>
      </c>
      <c r="E73" s="31" t="inlineStr">
        <is>
          <t>aerospace &amp; defence</t>
        </is>
      </c>
      <c r="F73" s="31" t="inlineStr">
        <is>
          <t>Aerospace &amp; Defence - Equipments</t>
        </is>
      </c>
      <c r="G73" s="31" t="inlineStr">
        <is>
          <t>midcap</t>
        </is>
      </c>
      <c r="H73" s="32" t="n">
        <v>15045.61</v>
      </c>
      <c r="I73" s="32" t="n">
        <v>2329.7</v>
      </c>
      <c r="J73" s="32" t="n">
        <v>-3.26</v>
      </c>
      <c r="K73" s="32" t="n">
        <v>0</v>
      </c>
      <c r="L73" s="31" t="n">
        <v>61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62.56</v>
      </c>
      <c r="P73" s="32" t="n">
        <v>29.42</v>
      </c>
      <c r="Q73" s="32" t="n">
        <v>1879.3</v>
      </c>
      <c r="R73" s="31" t="inlineStr">
        <is>
          <t>Earnings / Momentum Support</t>
        </is>
      </c>
      <c r="S73" s="31" t="inlineStr">
        <is>
          <t>Nifty 50</t>
        </is>
      </c>
      <c r="T73" s="32" t="n">
        <v>-2.54</v>
      </c>
      <c r="U73" s="32" t="n">
        <v>42.52</v>
      </c>
      <c r="V73" s="32" t="n">
        <v>46.23</v>
      </c>
      <c r="W73" s="32" t="n">
        <v>12.52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Negative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17</t>
        </is>
      </c>
      <c r="CG73" s="31">
        <f>IF(CF73&gt;20,10,IF(CF73&gt;=10,5,2))</f>
        <v/>
      </c>
    </row>
    <row r="74">
      <c r="A74" s="31">
        <f>IF(B74=0,"",RANK(B74,$B$2:$B$85,0))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4" t="inlineStr">
        <is>
          <t>RELTD</t>
        </is>
      </c>
      <c r="D74" s="34" t="inlineStr">
        <is>
          <t>Ravindra Energy Ltd</t>
        </is>
      </c>
      <c r="E74" s="31" t="inlineStr">
        <is>
          <t>industrials</t>
        </is>
      </c>
      <c r="F74" s="31" t="inlineStr">
        <is>
          <t>Capital Goods - Electric General</t>
        </is>
      </c>
      <c r="G74" s="31" t="inlineStr">
        <is>
          <t>smallcap</t>
        </is>
      </c>
      <c r="H74" s="32" t="n">
        <v>3524.25</v>
      </c>
      <c r="I74" s="32" t="n">
        <v>177.5</v>
      </c>
      <c r="J74" s="32" t="n">
        <v>1.69</v>
      </c>
      <c r="K74" s="32" t="n">
        <v>0</v>
      </c>
      <c r="L74" s="31" t="n">
        <v>57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65.01000000000001</v>
      </c>
      <c r="P74" s="32" t="n">
        <v>18.2</v>
      </c>
      <c r="Q74" s="32" t="n">
        <v>124.09</v>
      </c>
      <c r="R74" s="31" t="inlineStr">
        <is>
          <t>Near 52W High Breakout</t>
        </is>
      </c>
      <c r="S74" s="31" t="inlineStr">
        <is>
          <t>Nifty 50</t>
        </is>
      </c>
      <c r="T74" s="32" t="n">
        <v>-2.54</v>
      </c>
      <c r="U74" s="32" t="n">
        <v>30.58</v>
      </c>
      <c r="V74" s="32" t="n">
        <v>33.98</v>
      </c>
      <c r="W74" s="32" t="n">
        <v>11.67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0 to 20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More than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16</t>
        </is>
      </c>
      <c r="CG74" s="31">
        <f>IF(CF74&gt;20,10,IF(CF74&gt;=10,5,2))</f>
        <v/>
      </c>
    </row>
    <row r="75">
      <c r="A75" s="31">
        <f>IF(B75=0,"",RANK(B75,$B$2:$B$85,0))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PRICOLLTD</t>
        </is>
      </c>
      <c r="D75" s="34" t="inlineStr">
        <is>
          <t>Pricol Ltd</t>
        </is>
      </c>
      <c r="E75" s="31" t="inlineStr">
        <is>
          <t>auto</t>
        </is>
      </c>
      <c r="F75" s="31" t="inlineStr">
        <is>
          <t>Auto Ancillaries - 2 Wheelers</t>
        </is>
      </c>
      <c r="G75" s="31" t="inlineStr">
        <is>
          <t>midcap</t>
        </is>
      </c>
      <c r="H75" s="32" t="n">
        <v>7499.37</v>
      </c>
      <c r="I75" s="32" t="n">
        <v>615.3</v>
      </c>
      <c r="J75" s="32" t="n">
        <v>-1.52</v>
      </c>
      <c r="K75" s="32" t="n">
        <v>0</v>
      </c>
      <c r="L75" s="31" t="n">
        <v>39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56.53</v>
      </c>
      <c r="P75" s="32" t="n">
        <v>19.27</v>
      </c>
      <c r="Q75" s="32" t="n">
        <v>495.49</v>
      </c>
      <c r="R75" s="31" t="inlineStr">
        <is>
          <t>Earnings / Momentum Support</t>
        </is>
      </c>
      <c r="S75" s="31" t="inlineStr">
        <is>
          <t>Nifty Auto</t>
        </is>
      </c>
      <c r="T75" s="32" t="n">
        <v>13.41</v>
      </c>
      <c r="U75" s="32" t="n">
        <v>36.08</v>
      </c>
      <c r="V75" s="32" t="n">
        <v>19.98</v>
      </c>
      <c r="W75" s="32" t="n">
        <v>7.62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Oligopoly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Shallow Cyclical (2 to 3 Years Growth)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Fully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Allocated capital in Non-core Areas</t>
        </is>
      </c>
      <c r="AU75" s="31">
        <f>IF(AT75="Good",10,0)</f>
        <v/>
      </c>
      <c r="AV75" s="31" t="inlineStr">
        <is>
          <t>Yes only for next 1 to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Between 12 to 20%</t>
        </is>
      </c>
      <c r="BO75" s="31">
        <f>IF(BN75="More than 20%",10,IF(BN75="Between 12 to 20%",5,IF(BN75="Less than 12%",0,0)))</f>
        <v/>
      </c>
      <c r="BP75" s="31" t="inlineStr">
        <is>
          <t>Yes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Between 1.5 to 2</t>
        </is>
      </c>
      <c r="BU75" s="31">
        <f>IF(BT75="Above 2",0,IF(BT75="Between 1.5 to 2",5,IF(BT75="Less than 1.5",10,0)))</f>
        <v/>
      </c>
      <c r="BV75" s="31" t="inlineStr">
        <is>
          <t>Between 50% to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15</t>
        </is>
      </c>
      <c r="CG75" s="31">
        <f>IF(CF75&gt;20,10,IF(CF75&gt;=10,5,2))</f>
        <v/>
      </c>
    </row>
    <row r="76">
      <c r="A76" s="31">
        <f>IF(B76=0,"",RANK(B76,$B$2:$B$85,0))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4" t="inlineStr">
        <is>
          <t>KALYANKJIL</t>
        </is>
      </c>
      <c r="D76" s="34" t="inlineStr">
        <is>
          <t>Kalyan Jewellers India Ltd</t>
        </is>
      </c>
      <c r="E76" s="31" t="inlineStr">
        <is>
          <t>consumer discretionary</t>
        </is>
      </c>
      <c r="F76" s="31" t="inlineStr">
        <is>
          <t>Diamond, Gems &amp; Jewellery</t>
        </is>
      </c>
      <c r="G76" s="31" t="inlineStr">
        <is>
          <t>largecap</t>
        </is>
      </c>
      <c r="H76" s="32" t="n">
        <v>59320.6</v>
      </c>
      <c r="I76" s="32" t="n">
        <v>574.4</v>
      </c>
      <c r="J76" s="32" t="n">
        <v>5.09</v>
      </c>
      <c r="K76" s="32" t="n">
        <v>0</v>
      </c>
      <c r="L76" s="31" t="n">
        <v>41</v>
      </c>
      <c r="M76" s="31" t="inlineStr">
        <is>
          <t>Underperforming</t>
        </is>
      </c>
      <c r="N76" s="32">
        <f>IF(M76="Underperforming",-5,IF(L76&gt;=95,15,IF(L76&gt;=90,10,IF(L76&gt;=80,5,0))))</f>
        <v/>
      </c>
      <c r="O76" s="32" t="n">
        <v>70.09999999999999</v>
      </c>
      <c r="P76" s="32" t="n">
        <v>19.66</v>
      </c>
      <c r="Q76" s="32" t="n">
        <v>435.89</v>
      </c>
      <c r="R76" s="31" t="inlineStr">
        <is>
          <t>Volume Spike &amp; Near 52W High Breakout</t>
        </is>
      </c>
      <c r="S76" s="31" t="inlineStr">
        <is>
          <t>Nifty 500</t>
        </is>
      </c>
      <c r="T76" s="32" t="n">
        <v>0.26</v>
      </c>
      <c r="U76" s="32" t="n">
        <v>-2.38</v>
      </c>
      <c r="V76" s="32" t="n">
        <v>-2.64</v>
      </c>
      <c r="W76" s="32" t="n">
        <v>7.82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0 to 20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Between 50% to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20</t>
        </is>
      </c>
      <c r="CG76" s="31">
        <f>IF(CF76&gt;20,10,IF(CF76&gt;=10,5,2))</f>
        <v/>
      </c>
    </row>
    <row r="77">
      <c r="A77" s="31">
        <f>IF(B77=0,"",RANK(B77,$B$2:$B$85,0))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KAPSTON</t>
        </is>
      </c>
      <c r="D77" s="31" t="inlineStr">
        <is>
          <t>Kapston Services Ltd</t>
        </is>
      </c>
      <c r="E77" s="31" t="inlineStr">
        <is>
          <t>miscellaneous</t>
        </is>
      </c>
      <c r="F77" s="31" t="inlineStr">
        <is>
          <t>Services - Others</t>
        </is>
      </c>
      <c r="G77" s="31" t="inlineStr">
        <is>
          <t>smallcap</t>
        </is>
      </c>
      <c r="H77" s="32" t="n">
        <v>1286.52</v>
      </c>
      <c r="I77" s="32" t="n">
        <v>422.75</v>
      </c>
      <c r="J77" s="32" t="n">
        <v>0.61</v>
      </c>
      <c r="K77" s="32" t="n">
        <v>0</v>
      </c>
      <c r="L77" s="31" t="n">
        <v>80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69.63</v>
      </c>
      <c r="P77" s="32" t="n">
        <v>18.96</v>
      </c>
      <c r="Q77" s="32" t="n">
        <v>311.85</v>
      </c>
      <c r="R77" s="31" t="inlineStr">
        <is>
          <t>Near 52W High Breakout</t>
        </is>
      </c>
      <c r="S77" s="31" t="inlineStr">
        <is>
          <t>Nifty 50</t>
        </is>
      </c>
      <c r="T77" s="32" t="n">
        <v>-2.54</v>
      </c>
      <c r="U77" s="32" t="n">
        <v>70.7</v>
      </c>
      <c r="V77" s="32" t="n">
        <v>75.15000000000001</v>
      </c>
      <c r="W77" s="32" t="n">
        <v>19.85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0 to 20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Between 1.5 to 2</t>
        </is>
      </c>
      <c r="BU77" s="31">
        <f>IF(BT77="Above 2",0,IF(BT77="Between 1.5 to 2",5,IF(BT77="Less than 1.5",10,0)))</f>
        <v/>
      </c>
      <c r="BV77" s="31" t="inlineStr">
        <is>
          <t>Less than 50% and Borrowings are increasing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More than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18</t>
        </is>
      </c>
      <c r="CG77" s="31">
        <f>IF(CF77&gt;20,10,IF(CF77&gt;=10,5,2))</f>
        <v/>
      </c>
    </row>
    <row r="78">
      <c r="A78" s="31">
        <f>IF(B78=0,"",RANK(B78,$B$2:$B$85,0))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PAYTM</t>
        </is>
      </c>
      <c r="D78" s="34" t="inlineStr">
        <is>
          <t>One 97 Communications Ltd</t>
        </is>
      </c>
      <c r="E78" s="31" t="inlineStr">
        <is>
          <t>i.t</t>
        </is>
      </c>
      <c r="F78" s="31" t="inlineStr">
        <is>
          <t>E-Commerce - Platform - Utility</t>
        </is>
      </c>
      <c r="G78" s="31" t="inlineStr">
        <is>
          <t>largecap</t>
        </is>
      </c>
      <c r="H78" s="32" t="n">
        <v>86364.27</v>
      </c>
      <c r="I78" s="32" t="n">
        <v>1348</v>
      </c>
      <c r="J78" s="32" t="n">
        <v>-0.96</v>
      </c>
      <c r="K78" s="32" t="n">
        <v>0</v>
      </c>
      <c r="L78" s="31" t="n">
        <v>52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65.01000000000001</v>
      </c>
      <c r="P78" s="32" t="n">
        <v>16.4</v>
      </c>
      <c r="Q78" s="32" t="n">
        <v>1058.82</v>
      </c>
      <c r="R78" s="31" t="inlineStr">
        <is>
          <t>Volume Spike &amp; Near 52W High Breakout</t>
        </is>
      </c>
      <c r="S78" s="31" t="inlineStr">
        <is>
          <t>Nifty IT</t>
        </is>
      </c>
      <c r="T78" s="32" t="n">
        <v>-21.31</v>
      </c>
      <c r="U78" s="32" t="n">
        <v>34.58</v>
      </c>
      <c r="V78" s="32" t="n">
        <v>71.03</v>
      </c>
      <c r="W78" s="32" t="n">
        <v>10.28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Oligopoly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Negative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15</t>
        </is>
      </c>
      <c r="CG78" s="31">
        <f>IF(CF78&gt;20,10,IF(CF78&gt;=10,5,2))</f>
        <v/>
      </c>
    </row>
    <row r="79">
      <c r="A79" s="31">
        <f>IF(B79=0,"",RANK(B79,$B$2:$B$85,0))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CNL</t>
        </is>
      </c>
      <c r="D79" s="31" t="inlineStr">
        <is>
          <t>Creative Newtech Ltd</t>
        </is>
      </c>
      <c r="E79" s="31" t="inlineStr">
        <is>
          <t>Technology</t>
        </is>
      </c>
      <c r="F79" s="31" t="inlineStr">
        <is>
          <t>E-Commerce - Platform - Utility</t>
        </is>
      </c>
      <c r="G79" s="31" t="inlineStr">
        <is>
          <t>smallcap</t>
        </is>
      </c>
      <c r="H79" s="32" t="n">
        <v>1376.35</v>
      </c>
      <c r="I79" s="32" t="n">
        <v>916.55</v>
      </c>
      <c r="J79" s="32" t="n">
        <v>-0.1</v>
      </c>
      <c r="K79" s="32" t="n">
        <v>0</v>
      </c>
      <c r="L79" s="31" t="n">
        <v>78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77.77</v>
      </c>
      <c r="P79" s="32" t="n">
        <v>29.97</v>
      </c>
      <c r="Q79" s="32" t="n">
        <v>696.33</v>
      </c>
      <c r="R79" s="31" t="inlineStr">
        <is>
          <t>Volume Spike &amp; Near 52W High Breakout</t>
        </is>
      </c>
      <c r="S79" s="31" t="inlineStr">
        <is>
          <t>Nifty 50</t>
        </is>
      </c>
      <c r="T79" s="32" t="n">
        <v>-2.54</v>
      </c>
      <c r="U79" s="32" t="n">
        <v>38.11</v>
      </c>
      <c r="V79" s="32" t="n">
        <v>41.71</v>
      </c>
      <c r="W79" s="32" t="n">
        <v>19.19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Oligopoly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Negative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23</t>
        </is>
      </c>
      <c r="CG79" s="31">
        <f>IF(CF79&gt;20,10,IF(CF79&gt;=10,5,2))</f>
        <v/>
      </c>
    </row>
    <row r="80">
      <c r="A80" s="31">
        <f>IF(B80=0,"",RANK(B80,$B$2:$B$85,0))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4" t="inlineStr">
        <is>
          <t>SKIPPER</t>
        </is>
      </c>
      <c r="D80" s="34" t="inlineStr">
        <is>
          <t>Skipper Ltd</t>
        </is>
      </c>
      <c r="E80" s="31" t="inlineStr">
        <is>
          <t>Industrials</t>
        </is>
      </c>
      <c r="F80" s="31" t="inlineStr">
        <is>
          <t>Electrical Equipments/HVDC</t>
        </is>
      </c>
      <c r="G80" s="31" t="inlineStr">
        <is>
          <t>midcap</t>
        </is>
      </c>
      <c r="H80" s="32" t="n">
        <v>6085.06</v>
      </c>
      <c r="I80" s="32" t="n">
        <v>538.8</v>
      </c>
      <c r="J80" s="32" t="n">
        <v>-3.45</v>
      </c>
      <c r="K80" s="32" t="n">
        <v>0</v>
      </c>
      <c r="L80" s="31" t="n">
        <v>42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61.5</v>
      </c>
      <c r="P80" s="32" t="n">
        <v>35.01</v>
      </c>
      <c r="Q80" s="32" t="n">
        <v>432.91</v>
      </c>
      <c r="R80" s="31" t="inlineStr">
        <is>
          <t>Earnings / Momentum Support</t>
        </is>
      </c>
      <c r="S80" s="31" t="inlineStr">
        <is>
          <t>Nifty Infra</t>
        </is>
      </c>
      <c r="T80" s="32" t="n">
        <v>1.74</v>
      </c>
      <c r="U80" s="32" t="n">
        <v>9.710000000000001</v>
      </c>
      <c r="V80" s="32" t="n">
        <v>7.83</v>
      </c>
      <c r="W80" s="32" t="n">
        <v>8.130000000000001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Less than 50%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16</t>
        </is>
      </c>
      <c r="CG80" s="31">
        <f>IF(CF80&gt;20,10,IF(CF80&gt;=10,5,2))</f>
        <v/>
      </c>
    </row>
    <row r="81">
      <c r="A81" s="31">
        <f>IF(B81=0,"",RANK(B81,$B$2:$B$85,0))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4" t="inlineStr">
        <is>
          <t>SILVERTUC</t>
        </is>
      </c>
      <c r="D81" s="34" t="inlineStr">
        <is>
          <t>Silver Touch Technologies Ltd</t>
        </is>
      </c>
      <c r="E81" s="31" t="inlineStr">
        <is>
          <t>i.t</t>
        </is>
      </c>
      <c r="F81" s="31" t="inlineStr">
        <is>
          <t>IT - Software</t>
        </is>
      </c>
      <c r="G81" s="31" t="inlineStr">
        <is>
          <t>smallcap</t>
        </is>
      </c>
      <c r="H81" s="32" t="n">
        <v>2507.29</v>
      </c>
      <c r="I81" s="32" t="n">
        <v>197.72</v>
      </c>
      <c r="J81" s="32" t="n">
        <v>0.9</v>
      </c>
      <c r="K81" s="32" t="n">
        <v>0</v>
      </c>
      <c r="L81" s="31" t="n">
        <v>15</v>
      </c>
      <c r="M81" s="31" t="inlineStr">
        <is>
          <t>Underperforming</t>
        </is>
      </c>
      <c r="N81" s="32">
        <f>IF(M81="Underperforming",-5,IF(L81&gt;=95,15,IF(L81&gt;=90,10,IF(L81&gt;=80,5,0))))</f>
        <v/>
      </c>
      <c r="O81" s="32" t="n">
        <v>43.2</v>
      </c>
      <c r="P81" s="32" t="n">
        <v>28.24</v>
      </c>
      <c r="Q81" s="32" t="n">
        <v>94.09</v>
      </c>
      <c r="R81" s="31" t="inlineStr">
        <is>
          <t>Volume Spike / Accumulation</t>
        </is>
      </c>
      <c r="S81" s="31" t="inlineStr">
        <is>
          <t>Nifty IT</t>
        </is>
      </c>
      <c r="T81" s="32" t="n">
        <v>-21.31</v>
      </c>
      <c r="U81" s="32" t="n">
        <v>-72.22</v>
      </c>
      <c r="V81" s="32" t="n">
        <v>-64.7</v>
      </c>
      <c r="W81" s="32" t="n">
        <v>2.86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Below 45</t>
        </is>
      </c>
      <c r="BA81" s="31">
        <f>IF(AZ81="Between 50 to 75",10,IF(AZ81="Above 75",0,0))</f>
        <v/>
      </c>
      <c r="BB81" s="31" t="inlineStr">
        <is>
          <t>Stage 4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Between 1.5 to 2</t>
        </is>
      </c>
      <c r="BU81" s="31">
        <f>IF(BT81="Above 2",0,IF(BT81="Between 1.5 to 2",5,IF(BT81="Less than 1.5",10,0)))</f>
        <v/>
      </c>
      <c r="BV81" s="31" t="inlineStr">
        <is>
          <t>Less than 50%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16</t>
        </is>
      </c>
      <c r="CG81" s="31">
        <f>IF(CF81&gt;20,10,IF(CF81&gt;=10,5,2))</f>
        <v/>
      </c>
    </row>
    <row r="82">
      <c r="A82" s="31">
        <f>IF(B82=0,"",RANK(B82,$B$2:$B$85,0))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LLOYDSME</t>
        </is>
      </c>
      <c r="D82" s="34" t="inlineStr">
        <is>
          <t>Lloyds Metals &amp; Energy Ltd</t>
        </is>
      </c>
      <c r="E82" s="31" t="inlineStr">
        <is>
          <t>metals &amp; mining</t>
        </is>
      </c>
      <c r="F82" s="31" t="inlineStr">
        <is>
          <t>Mining/Minerals - Iron Ore</t>
        </is>
      </c>
      <c r="G82" s="31" t="inlineStr">
        <is>
          <t>largecap</t>
        </is>
      </c>
      <c r="H82" s="32" t="n">
        <v>105004.66</v>
      </c>
      <c r="I82" s="32" t="n">
        <v>1865.4</v>
      </c>
      <c r="J82" s="32" t="n">
        <v>1.19</v>
      </c>
      <c r="K82" s="32" t="n">
        <v>0</v>
      </c>
      <c r="L82" s="31" t="n">
        <v>46</v>
      </c>
      <c r="M82" s="31" t="inlineStr">
        <is>
          <t>Underperforming</t>
        </is>
      </c>
      <c r="N82" s="32">
        <f>IF(M82="Underperforming",-5,IF(L82&gt;=95,15,IF(L82&gt;=90,10,IF(L82&gt;=80,5,0))))</f>
        <v/>
      </c>
      <c r="O82" s="32" t="n">
        <v>71.61</v>
      </c>
      <c r="P82" s="32" t="n">
        <v>44.81</v>
      </c>
      <c r="Q82" s="32" t="n">
        <v>1522.78</v>
      </c>
      <c r="R82" s="31" t="inlineStr">
        <is>
          <t>Near 52W High Breakout</t>
        </is>
      </c>
      <c r="S82" s="31" t="inlineStr">
        <is>
          <t>Nifty Metal</t>
        </is>
      </c>
      <c r="T82" s="32" t="n">
        <v>31.49</v>
      </c>
      <c r="U82" s="32" t="n">
        <v>26.75</v>
      </c>
      <c r="V82" s="32" t="n">
        <v>-3.61</v>
      </c>
      <c r="W82" s="32" t="n">
        <v>8.960000000000001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Less than 50% and Borrowings are increasing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More than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18</t>
        </is>
      </c>
      <c r="CG82" s="31">
        <f>IF(CF82&gt;20,10,IF(CF82&gt;=10,5,2))</f>
        <v/>
      </c>
    </row>
    <row r="83">
      <c r="A83" s="31">
        <f>IF(B83=0,"",RANK(B83,$B$2:$B$85,0))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4" t="inlineStr">
        <is>
          <t>TANFACIND</t>
        </is>
      </c>
      <c r="D83" s="34" t="inlineStr">
        <is>
          <t>Tanfac Industries Ltd</t>
        </is>
      </c>
      <c r="E83" s="31" t="inlineStr">
        <is>
          <t>Basic Materials</t>
        </is>
      </c>
      <c r="F83" s="31" t="inlineStr">
        <is>
          <t>Chemicals - Inorganic</t>
        </is>
      </c>
      <c r="G83" s="31" t="inlineStr">
        <is>
          <t>midcap</t>
        </is>
      </c>
      <c r="H83" s="32" t="n">
        <v>5693</v>
      </c>
      <c r="I83" s="32" t="n">
        <v>2684.25</v>
      </c>
      <c r="J83" s="32" t="n">
        <v>1.49</v>
      </c>
      <c r="K83" s="32" t="n">
        <v>0</v>
      </c>
      <c r="L83" s="31" t="n">
        <v>28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66.09999999999999</v>
      </c>
      <c r="P83" s="32" t="n">
        <v>12.09</v>
      </c>
      <c r="Q83" s="32" t="n">
        <v>1964.99</v>
      </c>
      <c r="R83" s="31" t="inlineStr">
        <is>
          <t>Volume Spike &amp; Near 52W High Breakout</t>
        </is>
      </c>
      <c r="S83" s="31" t="inlineStr">
        <is>
          <t>Nifty 50</t>
        </is>
      </c>
      <c r="T83" s="32" t="n">
        <v>-2.54</v>
      </c>
      <c r="U83" s="32" t="n">
        <v>12.15</v>
      </c>
      <c r="V83" s="32" t="n">
        <v>15.07</v>
      </c>
      <c r="W83" s="32" t="n">
        <v>5.57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0 to 20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Less than 12%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Less than 50%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15</t>
        </is>
      </c>
      <c r="CG83" s="31">
        <f>IF(CF83&gt;20,10,IF(CF83&gt;=10,5,2))</f>
        <v/>
      </c>
    </row>
    <row r="84">
      <c r="A84" s="31">
        <f>IF(B84=0,"",RANK(B84,$B$2:$B$85,0))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UTSSAV</t>
        </is>
      </c>
      <c r="D84" s="31" t="inlineStr">
        <is>
          <t>Utssav CZ Gold Jewels Ltd</t>
        </is>
      </c>
      <c r="E84" s="31" t="inlineStr">
        <is>
          <t>unknown</t>
        </is>
      </c>
      <c r="F84" s="31" t="inlineStr">
        <is>
          <t>Diamond, Gems &amp; Jewellery</t>
        </is>
      </c>
      <c r="G84" s="31" t="inlineStr">
        <is>
          <t>smallcap</t>
        </is>
      </c>
      <c r="H84" s="32" t="n">
        <v>1314.98</v>
      </c>
      <c r="I84" s="32" t="n">
        <v>544.55</v>
      </c>
      <c r="J84" s="32" t="n">
        <v>-1.2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inlineStr"/>
      <c r="P84" s="32" t="inlineStr"/>
      <c r="Q84" s="32" t="inlineStr"/>
      <c r="R84" s="31" t="inlineStr"/>
      <c r="S84" s="31" t="inlineStr"/>
      <c r="T84" s="32" t="inlineStr"/>
      <c r="U84" s="32" t="inlineStr"/>
      <c r="V84" s="32" t="inlineStr"/>
      <c r="W84" s="32" t="inlineStr"/>
      <c r="X84" s="31" t="n"/>
      <c r="Y84" s="31">
        <f>IF(X84="Growing Industry",10,IF(X84="Cyclical in an Upturn",5,0))</f>
        <v/>
      </c>
      <c r="Z84" s="31" t="n"/>
      <c r="AA84" s="31">
        <f>IF(Z84="Monopoly",10,IF(Z84="Oligopoly",5,IF(Z84="Duopoly that cooperate",10,IF(Z84="Duopoly that compete",5,IF(Z84="Too many players with High ROCE",5,0)))))</f>
        <v/>
      </c>
      <c r="AB84" s="31" t="n"/>
      <c r="AC84" s="31">
        <f>IF(AB84="No",5,0)</f>
        <v/>
      </c>
      <c r="AD84" s="31" t="n"/>
      <c r="AE84" s="31">
        <f>IF(AD84="Tailwind",10,0)</f>
        <v/>
      </c>
      <c r="AF84" s="31" t="n"/>
      <c r="AG84" s="31">
        <f>IF(AF84="Structural (10 Years Consistency)",10,IF(AF84="Shallow Cyclical (2 to 3 years growth)",5,0))</f>
        <v/>
      </c>
      <c r="AH84" s="31" t="n"/>
      <c r="AI84" s="31">
        <f>IF(AH84="Yes due to Product Mix change or Operating Leverage",10,IF(AH84="Yes, these are peak margins",-5,IF(AH84="No",5,0)))</f>
        <v/>
      </c>
      <c r="AJ84" s="31" t="n"/>
      <c r="AK84" s="31">
        <f>IF(AJ84="Stable",10,0)</f>
        <v/>
      </c>
      <c r="AL84" s="31" t="n"/>
      <c r="AM84" s="31">
        <f>IF(AL84="Yes",10,0)</f>
        <v/>
      </c>
      <c r="AN84" s="31" t="n"/>
      <c r="AO84" s="31">
        <f>IF(AN84="B2C",10,IF(AN84="B2B",5,0))</f>
        <v/>
      </c>
      <c r="AP84" s="31" t="n"/>
      <c r="AQ84" s="31">
        <f>IF(AP84="Yes",10,0)</f>
        <v/>
      </c>
      <c r="AR84" s="31" t="n"/>
      <c r="AS84" s="31">
        <f>IF(AR84="Fully Annuity",10,IF(AR84="Higher Annuity, Lower One Time",5,IF(AR84="Higher One Time, Lower Annuity",3,0)))</f>
        <v/>
      </c>
      <c r="AT84" s="31" t="n"/>
      <c r="AU84" s="31">
        <f>IF(AT84="Good",10,0)</f>
        <v/>
      </c>
      <c r="AV84" s="31" t="n"/>
      <c r="AW84" s="31">
        <f>IF(AV84="Yes for more than 2 years",10,IF(AV84="Yes only for next 1 to 2 years",5,0))</f>
        <v/>
      </c>
      <c r="AX84" s="31" t="n"/>
      <c r="AY84" s="31">
        <f>IF(AX84="Above 40",20,IF(AX84="20 to 40",10,IF(AX84="0 to 20",-5,0)))</f>
        <v/>
      </c>
      <c r="AZ84" s="31" t="n"/>
      <c r="BA84" s="31">
        <f>IF(AZ84="Between 50 to 75",10,IF(AZ84="Above 75",0,0))</f>
        <v/>
      </c>
      <c r="BB84" s="31" t="n"/>
      <c r="BC84" s="31">
        <f>IF(BB84="Stage 2",20,IF(BB84="Stage 1",0,IF(BB84="Stage 3",5,IF(BB84="Stage 4",-5,0))))</f>
        <v/>
      </c>
      <c r="BD84" s="31" t="n"/>
      <c r="BE84" s="31">
        <f>IF(BD84="Positive Trend",20,IF(BD84="Negative Trend",-10,0))</f>
        <v/>
      </c>
      <c r="BF84" s="31" t="n"/>
      <c r="BG84" s="31">
        <f>IF(BF84="Uptrend",10,IF(BF84="Sideways",5,0))</f>
        <v/>
      </c>
      <c r="BH84" s="31" t="n"/>
      <c r="BI84" s="31">
        <f>IF(BH84="Uptrend",10,IF(BH84="Sideways",5,0))</f>
        <v/>
      </c>
      <c r="BJ84" s="31" t="n"/>
      <c r="BK84" s="31">
        <f>IF(BJ84="Overhead supply in last 2 years in last 2 years",-5,IF(BJ84="Close to 52 week high or retracement",5,IF(BJ84="Blue sky scenario",10,IF(BJ84="Long term Downtrend",-10,0))))</f>
        <v/>
      </c>
      <c r="BL84" s="31" t="n"/>
      <c r="BM84" s="31">
        <f>IF(BL84="Yes",10,0)</f>
        <v/>
      </c>
      <c r="BN84" s="31" t="n"/>
      <c r="BO84" s="31">
        <f>IF(BN84="More than 20%",10,IF(BN84="Between 12 to 20%",5,IF(BN84="Less than 12%",0,0)))</f>
        <v/>
      </c>
      <c r="BP84" s="31" t="n"/>
      <c r="BQ84" s="31">
        <f>IF(BP84="No",10,0)</f>
        <v/>
      </c>
      <c r="BR84" s="31" t="n"/>
      <c r="BS84" s="31">
        <f>IF(BR84="NO",5,0)</f>
        <v/>
      </c>
      <c r="BT84" s="31" t="n"/>
      <c r="BU84" s="31">
        <f>IF(BT84="Above 2",0,IF(BT84="Between 1.5 to 2",5,IF(BT84="Less than 1.5",10,0)))</f>
        <v/>
      </c>
      <c r="BV84" s="31" t="n"/>
      <c r="BW84" s="31">
        <f>IF(BV84="Above 70%",10,IF(BV84="Between 50% to 70%",5,IF(BV84="Less than 50%",0,IF(BV84="Negative",-10,IF(BV84="Less than 50% and Borrowings are increasing",-5,0)))))</f>
        <v/>
      </c>
      <c r="BX84" s="31" t="n"/>
      <c r="BY84" s="31">
        <f>IF(BX84="More than 1.2",-10,IF(BX84="Between 0.7 to 1.2",0,IF(BX84="Less than 0.7",10,0)))</f>
        <v/>
      </c>
      <c r="BZ84" s="31" t="n"/>
      <c r="CA84" s="31">
        <f>IF(BZ84="Yes",-10,0)</f>
        <v/>
      </c>
      <c r="CB84" s="31" t="n"/>
      <c r="CC84" s="31">
        <f>IF(CB84="More than 15%",-10,IF(CB84="Less than 15%",10,0))</f>
        <v/>
      </c>
      <c r="CD84" s="31" t="n"/>
      <c r="CE84" s="31">
        <f>IF(CD84="Yes, more than 10%",-10,IF(CD84="No",10,0))</f>
        <v/>
      </c>
      <c r="CF84" s="31" t="n"/>
      <c r="CG84" s="31">
        <f>IF(CF84&gt;20,10,IF(CF84&gt;=10,5,2))</f>
        <v/>
      </c>
    </row>
    <row r="85">
      <c r="A85" s="31">
        <f>IF(B85=0,"",RANK(B85,$B$2:$B$85,0))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4" t="inlineStr">
        <is>
          <t>SACHEEROME</t>
        </is>
      </c>
      <c r="D85" s="34" t="inlineStr">
        <is>
          <t>Sacheerome Ltd</t>
        </is>
      </c>
      <c r="E85" s="31" t="inlineStr">
        <is>
          <t>unknown</t>
        </is>
      </c>
      <c r="F85" s="31" t="inlineStr">
        <is>
          <t>Chemicals - Organic</t>
        </is>
      </c>
      <c r="G85" s="31" t="inlineStr">
        <is>
          <t>smallcap</t>
        </is>
      </c>
      <c r="H85" s="32" t="n">
        <v>1016.17</v>
      </c>
      <c r="I85" s="32" t="n">
        <v>454.2</v>
      </c>
      <c r="J85" s="32" t="n">
        <v>4.2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inlineStr"/>
      <c r="P85" s="32" t="inlineStr"/>
      <c r="Q85" s="32" t="inlineStr"/>
      <c r="R85" s="31" t="inlineStr"/>
      <c r="S85" s="31" t="inlineStr"/>
      <c r="T85" s="32" t="inlineStr"/>
      <c r="U85" s="32" t="inlineStr"/>
      <c r="V85" s="32" t="inlineStr"/>
      <c r="W85" s="32" t="inlineStr"/>
      <c r="X85" s="31" t="n"/>
      <c r="Y85" s="31">
        <f>IF(X85="Growing Industry",10,IF(X85="Cyclical in an Upturn",5,0))</f>
        <v/>
      </c>
      <c r="Z85" s="31" t="n"/>
      <c r="AA85" s="31">
        <f>IF(Z85="Monopoly",10,IF(Z85="Oligopoly",5,IF(Z85="Duopoly that cooperate",10,IF(Z85="Duopoly that compete",5,IF(Z85="Too many players with High ROCE",5,0)))))</f>
        <v/>
      </c>
      <c r="AB85" s="31" t="n"/>
      <c r="AC85" s="31">
        <f>IF(AB85="No",5,0)</f>
        <v/>
      </c>
      <c r="AD85" s="31" t="n"/>
      <c r="AE85" s="31">
        <f>IF(AD85="Tailwind",10,0)</f>
        <v/>
      </c>
      <c r="AF85" s="31" t="n"/>
      <c r="AG85" s="31">
        <f>IF(AF85="Structural (10 Years Consistency)",10,IF(AF85="Shallow Cyclical (2 to 3 years growth)",5,0))</f>
        <v/>
      </c>
      <c r="AH85" s="31" t="n"/>
      <c r="AI85" s="31">
        <f>IF(AH85="Yes due to Product Mix change or Operating Leverage",10,IF(AH85="Yes, these are peak margins",-5,IF(AH85="No",5,0)))</f>
        <v/>
      </c>
      <c r="AJ85" s="31" t="n"/>
      <c r="AK85" s="31">
        <f>IF(AJ85="Stable",10,0)</f>
        <v/>
      </c>
      <c r="AL85" s="31" t="n"/>
      <c r="AM85" s="31">
        <f>IF(AL85="Yes",10,0)</f>
        <v/>
      </c>
      <c r="AN85" s="31" t="n"/>
      <c r="AO85" s="31">
        <f>IF(AN85="B2C",10,IF(AN85="B2B",5,0))</f>
        <v/>
      </c>
      <c r="AP85" s="31" t="n"/>
      <c r="AQ85" s="31">
        <f>IF(AP85="Yes",10,0)</f>
        <v/>
      </c>
      <c r="AR85" s="31" t="n"/>
      <c r="AS85" s="31">
        <f>IF(AR85="Fully Annuity",10,IF(AR85="Higher Annuity, Lower One Time",5,IF(AR85="Higher One Time, Lower Annuity",3,0)))</f>
        <v/>
      </c>
      <c r="AT85" s="31" t="n"/>
      <c r="AU85" s="31">
        <f>IF(AT85="Good",10,0)</f>
        <v/>
      </c>
      <c r="AV85" s="31" t="n"/>
      <c r="AW85" s="31">
        <f>IF(AV85="Yes for more than 2 years",10,IF(AV85="Yes only for next 1 to 2 years",5,0))</f>
        <v/>
      </c>
      <c r="AX85" s="31" t="n"/>
      <c r="AY85" s="31">
        <f>IF(AX85="Above 40",20,IF(AX85="20 to 40",10,IF(AX85="0 to 20",-5,0)))</f>
        <v/>
      </c>
      <c r="AZ85" s="31" t="n"/>
      <c r="BA85" s="31">
        <f>IF(AZ85="Between 50 to 75",10,IF(AZ85="Above 75",0,0))</f>
        <v/>
      </c>
      <c r="BB85" s="31" t="n"/>
      <c r="BC85" s="31">
        <f>IF(BB85="Stage 2",20,IF(BB85="Stage 1",0,IF(BB85="Stage 3",5,IF(BB85="Stage 4",-5,0))))</f>
        <v/>
      </c>
      <c r="BD85" s="31" t="n"/>
      <c r="BE85" s="31">
        <f>IF(BD85="Positive Trend",20,IF(BD85="Negative Trend",-10,0))</f>
        <v/>
      </c>
      <c r="BF85" s="31" t="n"/>
      <c r="BG85" s="31">
        <f>IF(BF85="Uptrend",10,IF(BF85="Sideways",5,0))</f>
        <v/>
      </c>
      <c r="BH85" s="31" t="n"/>
      <c r="BI85" s="31">
        <f>IF(BH85="Uptrend",10,IF(BH85="Sideways",5,0))</f>
        <v/>
      </c>
      <c r="BJ85" s="31" t="n"/>
      <c r="BK85" s="31">
        <f>IF(BJ85="Overhead supply in last 2 years in last 2 years",-5,IF(BJ85="Close to 52 week high or retracement",5,IF(BJ85="Blue sky scenario",10,IF(BJ85="Long term Downtrend",-10,0))))</f>
        <v/>
      </c>
      <c r="BL85" s="31" t="n"/>
      <c r="BM85" s="31">
        <f>IF(BL85="Yes",10,0)</f>
        <v/>
      </c>
      <c r="BN85" s="31" t="n"/>
      <c r="BO85" s="31">
        <f>IF(BN85="More than 20%",10,IF(BN85="Between 12 to 20%",5,IF(BN85="Less than 12%",0,0)))</f>
        <v/>
      </c>
      <c r="BP85" s="31" t="n"/>
      <c r="BQ85" s="31">
        <f>IF(BP85="No",10,0)</f>
        <v/>
      </c>
      <c r="BR85" s="31" t="n"/>
      <c r="BS85" s="31">
        <f>IF(BR85="NO",5,0)</f>
        <v/>
      </c>
      <c r="BT85" s="31" t="n"/>
      <c r="BU85" s="31">
        <f>IF(BT85="Above 2",0,IF(BT85="Between 1.5 to 2",5,IF(BT85="Less than 1.5",10,0)))</f>
        <v/>
      </c>
      <c r="BV85" s="31" t="n"/>
      <c r="BW85" s="31">
        <f>IF(BV85="Above 70%",10,IF(BV85="Between 50% to 70%",5,IF(BV85="Less than 50%",0,IF(BV85="Negative",-10,IF(BV85="Less than 50% and Borrowings are increasing",-5,0)))))</f>
        <v/>
      </c>
      <c r="BX85" s="31" t="n"/>
      <c r="BY85" s="31">
        <f>IF(BX85="More than 1.2",-10,IF(BX85="Between 0.7 to 1.2",0,IF(BX85="Less than 0.7",10,0)))</f>
        <v/>
      </c>
      <c r="BZ85" s="31" t="n"/>
      <c r="CA85" s="31">
        <f>IF(BZ85="Yes",-10,0)</f>
        <v/>
      </c>
      <c r="CB85" s="31" t="n"/>
      <c r="CC85" s="31">
        <f>IF(CB85="More than 15%",-10,IF(CB85="Less than 15%",10,0))</f>
        <v/>
      </c>
      <c r="CD85" s="31" t="n"/>
      <c r="CE85" s="31">
        <f>IF(CD85="Yes, more than 10%",-10,IF(CD85="No",10,0))</f>
        <v/>
      </c>
      <c r="CF85" s="31" t="n"/>
      <c r="CG85" s="31">
        <f>IF(CF85&gt;20,10,IF(CF85&gt;=10,5,2))</f>
        <v/>
      </c>
    </row>
    <row r="89">
      <c r="A89" s="25" t="inlineStr">
        <is>
          <t>❌ REMOVED SCAN MATCH STOCKS (THIS WEEK)</t>
        </is>
      </c>
    </row>
    <row r="90">
      <c r="A90" s="35" t="inlineStr">
        <is>
          <t>Symbol</t>
        </is>
      </c>
      <c r="B90" s="35" t="inlineStr">
        <is>
          <t>Company Name</t>
        </is>
      </c>
      <c r="C90" s="35" t="inlineStr">
        <is>
          <t>Sector</t>
        </is>
      </c>
      <c r="D90" s="35" t="inlineStr">
        <is>
          <t>Date of Removal</t>
        </is>
      </c>
    </row>
    <row r="91">
      <c r="A91" s="36" t="inlineStr">
        <is>
          <t>AADHARHFC</t>
        </is>
      </c>
      <c r="B91" s="37" t="inlineStr">
        <is>
          <t>AADHARHFC</t>
        </is>
      </c>
      <c r="C91" s="37" t="inlineStr">
        <is>
          <t>unknown</t>
        </is>
      </c>
      <c r="D91" s="38" t="inlineStr">
        <is>
          <t>2026-07-15</t>
        </is>
      </c>
    </row>
    <row r="92">
      <c r="A92" s="36" t="inlineStr">
        <is>
          <t>ACMESOLAR</t>
        </is>
      </c>
      <c r="B92" s="37" t="inlineStr">
        <is>
          <t>ACME Solar Holdings Limited</t>
        </is>
      </c>
      <c r="C92" s="37" t="inlineStr">
        <is>
          <t>Utilities</t>
        </is>
      </c>
      <c r="D92" s="38" t="inlineStr">
        <is>
          <t>2026-07-19</t>
        </is>
      </c>
    </row>
    <row r="93">
      <c r="A93" s="36" t="inlineStr">
        <is>
          <t>ADFFOODS</t>
        </is>
      </c>
      <c r="B93" s="37" t="inlineStr">
        <is>
          <t>ADFFOODS</t>
        </is>
      </c>
      <c r="C93" s="37" t="inlineStr">
        <is>
          <t>unknown</t>
        </is>
      </c>
      <c r="D93" s="38" t="inlineStr">
        <is>
          <t>2026-07-16</t>
        </is>
      </c>
    </row>
    <row r="94">
      <c r="A94" s="36" t="inlineStr">
        <is>
          <t>AEGISVOPAK</t>
        </is>
      </c>
      <c r="B94" s="37" t="inlineStr">
        <is>
          <t>AEGISVOPAK</t>
        </is>
      </c>
      <c r="C94" s="37" t="inlineStr">
        <is>
          <t>Energy</t>
        </is>
      </c>
      <c r="D94" s="38" t="inlineStr">
        <is>
          <t>2026-07-16</t>
        </is>
      </c>
    </row>
    <row r="95">
      <c r="A95" s="36" t="inlineStr">
        <is>
          <t>AKUMS</t>
        </is>
      </c>
      <c r="B95" s="37" t="inlineStr">
        <is>
          <t>AKUMS</t>
        </is>
      </c>
      <c r="C95" s="37" t="inlineStr">
        <is>
          <t>Healthcare</t>
        </is>
      </c>
      <c r="D95" s="38" t="inlineStr">
        <is>
          <t>2026-07-17</t>
        </is>
      </c>
    </row>
    <row r="96">
      <c r="A96" s="36" t="inlineStr">
        <is>
          <t>AVALON</t>
        </is>
      </c>
      <c r="B96" s="37" t="inlineStr">
        <is>
          <t>AVALON</t>
        </is>
      </c>
      <c r="C96" s="37" t="inlineStr">
        <is>
          <t>unknown</t>
        </is>
      </c>
      <c r="D96" s="38" t="inlineStr">
        <is>
          <t>2026-07-17</t>
        </is>
      </c>
    </row>
    <row r="97">
      <c r="A97" s="36" t="inlineStr">
        <is>
          <t>AVANTEL</t>
        </is>
      </c>
      <c r="B97" s="37" t="inlineStr">
        <is>
          <t>AVANTEL</t>
        </is>
      </c>
      <c r="C97" s="37" t="inlineStr">
        <is>
          <t>unknown</t>
        </is>
      </c>
      <c r="D97" s="38" t="inlineStr">
        <is>
          <t>2026-07-14</t>
        </is>
      </c>
    </row>
    <row r="98">
      <c r="A98" s="36" t="inlineStr">
        <is>
          <t>BAJAJCON</t>
        </is>
      </c>
      <c r="B98" s="37" t="inlineStr">
        <is>
          <t>BAJAJCON</t>
        </is>
      </c>
      <c r="C98" s="37" t="inlineStr">
        <is>
          <t>unknown</t>
        </is>
      </c>
      <c r="D98" s="38" t="inlineStr">
        <is>
          <t>2026-07-15</t>
        </is>
      </c>
    </row>
    <row r="99">
      <c r="A99" s="36" t="inlineStr">
        <is>
          <t>BALAMINES</t>
        </is>
      </c>
      <c r="B99" s="37" t="inlineStr">
        <is>
          <t>Balaji Amines Limited</t>
        </is>
      </c>
      <c r="C99" s="37" t="inlineStr">
        <is>
          <t>Basic Materials</t>
        </is>
      </c>
      <c r="D99" s="38" t="inlineStr">
        <is>
          <t>2026-07-14</t>
        </is>
      </c>
    </row>
    <row r="100">
      <c r="A100" s="36" t="inlineStr">
        <is>
          <t>BFINVEST</t>
        </is>
      </c>
      <c r="B100" s="37" t="inlineStr">
        <is>
          <t>BFINVEST</t>
        </is>
      </c>
      <c r="C100" s="37" t="inlineStr">
        <is>
          <t>unknown</t>
        </is>
      </c>
      <c r="D100" s="38" t="inlineStr">
        <is>
          <t>2026-07-14</t>
        </is>
      </c>
    </row>
    <row r="101">
      <c r="A101" s="36" t="inlineStr">
        <is>
          <t>BHARATSE</t>
        </is>
      </c>
      <c r="B101" s="37" t="inlineStr">
        <is>
          <t>BHARATSE</t>
        </is>
      </c>
      <c r="C101" s="37" t="inlineStr">
        <is>
          <t>unknown</t>
        </is>
      </c>
      <c r="D101" s="38" t="inlineStr">
        <is>
          <t>2026-07-15</t>
        </is>
      </c>
    </row>
    <row r="102">
      <c r="A102" s="36" t="inlineStr">
        <is>
          <t>BLISSGVS</t>
        </is>
      </c>
      <c r="B102" s="37" t="inlineStr">
        <is>
          <t>BLISSGVS</t>
        </is>
      </c>
      <c r="C102" s="37" t="inlineStr">
        <is>
          <t>unknown</t>
        </is>
      </c>
      <c r="D102" s="38" t="inlineStr">
        <is>
          <t>2026-07-17</t>
        </is>
      </c>
    </row>
    <row r="103">
      <c r="A103" s="36" t="inlineStr">
        <is>
          <t>CCAVENUE</t>
        </is>
      </c>
      <c r="B103" s="37" t="inlineStr">
        <is>
          <t>AvenuesAI Limited</t>
        </is>
      </c>
      <c r="C103" s="37" t="inlineStr">
        <is>
          <t>Technology</t>
        </is>
      </c>
      <c r="D103" s="38" t="inlineStr">
        <is>
          <t>2026-07-16</t>
        </is>
      </c>
    </row>
    <row r="104">
      <c r="A104" s="36" t="inlineStr">
        <is>
          <t>CHENNPETRO</t>
        </is>
      </c>
      <c r="B104" s="37" t="inlineStr">
        <is>
          <t>Chennai Petroleum Corporation Limited</t>
        </is>
      </c>
      <c r="C104" s="37" t="inlineStr">
        <is>
          <t>Energy</t>
        </is>
      </c>
      <c r="D104" s="38" t="inlineStr">
        <is>
          <t>2026-07-17</t>
        </is>
      </c>
    </row>
    <row r="105">
      <c r="A105" s="36" t="inlineStr">
        <is>
          <t>CRAFTSMAN</t>
        </is>
      </c>
      <c r="B105" s="37" t="inlineStr">
        <is>
          <t>CRAFTSMAN</t>
        </is>
      </c>
      <c r="C105" s="37" t="inlineStr">
        <is>
          <t>unknown</t>
        </is>
      </c>
      <c r="D105" s="38" t="inlineStr">
        <is>
          <t>2026-07-14</t>
        </is>
      </c>
    </row>
    <row r="106">
      <c r="A106" s="36" t="inlineStr">
        <is>
          <t>DIVGIITTS</t>
        </is>
      </c>
      <c r="B106" s="37" t="inlineStr">
        <is>
          <t>DIVGIITTS</t>
        </is>
      </c>
      <c r="C106" s="37" t="inlineStr">
        <is>
          <t>unknown</t>
        </is>
      </c>
      <c r="D106" s="38" t="inlineStr">
        <is>
          <t>2026-07-14</t>
        </is>
      </c>
    </row>
    <row r="107">
      <c r="A107" s="36" t="inlineStr">
        <is>
          <t>FEDFINA</t>
        </is>
      </c>
      <c r="B107" s="37" t="inlineStr">
        <is>
          <t>FEDFINA</t>
        </is>
      </c>
      <c r="C107" s="37" t="inlineStr">
        <is>
          <t>unknown</t>
        </is>
      </c>
      <c r="D107" s="38" t="inlineStr">
        <is>
          <t>2026-07-16</t>
        </is>
      </c>
    </row>
    <row r="108">
      <c r="A108" s="36" t="inlineStr">
        <is>
          <t>FERMENTA</t>
        </is>
      </c>
      <c r="B108" s="37" t="inlineStr">
        <is>
          <t>FERMENTA</t>
        </is>
      </c>
      <c r="C108" s="37" t="inlineStr">
        <is>
          <t>unknown</t>
        </is>
      </c>
      <c r="D108" s="38" t="inlineStr">
        <is>
          <t>2026-07-17</t>
        </is>
      </c>
    </row>
    <row r="109">
      <c r="A109" s="36" t="inlineStr">
        <is>
          <t>FREDUN</t>
        </is>
      </c>
      <c r="B109" s="37" t="inlineStr">
        <is>
          <t>FREDUN</t>
        </is>
      </c>
      <c r="C109" s="37" t="inlineStr">
        <is>
          <t>unknown</t>
        </is>
      </c>
      <c r="D109" s="38" t="inlineStr">
        <is>
          <t>2026-07-19</t>
        </is>
      </c>
    </row>
    <row r="110">
      <c r="A110" s="36" t="inlineStr">
        <is>
          <t>GOLDIAM</t>
        </is>
      </c>
      <c r="B110" s="37" t="inlineStr">
        <is>
          <t>GOLDIAM</t>
        </is>
      </c>
      <c r="C110" s="37" t="inlineStr">
        <is>
          <t>unknown</t>
        </is>
      </c>
      <c r="D110" s="38" t="inlineStr">
        <is>
          <t>2026-07-16</t>
        </is>
      </c>
    </row>
    <row r="111">
      <c r="A111" s="36" t="inlineStr">
        <is>
          <t>GREAVESCOT</t>
        </is>
      </c>
      <c r="B111" s="37" t="inlineStr">
        <is>
          <t>Greaves Cotton Limited</t>
        </is>
      </c>
      <c r="C111" s="37" t="inlineStr">
        <is>
          <t>Industrials</t>
        </is>
      </c>
      <c r="D111" s="38" t="inlineStr">
        <is>
          <t>2026-07-16</t>
        </is>
      </c>
    </row>
    <row r="112">
      <c r="A112" s="36" t="inlineStr">
        <is>
          <t>GRINDWELL</t>
        </is>
      </c>
      <c r="B112" s="37" t="inlineStr">
        <is>
          <t>GRINDWELL</t>
        </is>
      </c>
      <c r="C112" s="37" t="inlineStr">
        <is>
          <t>unknown</t>
        </is>
      </c>
      <c r="D112" s="38" t="inlineStr">
        <is>
          <t>2026-07-17</t>
        </is>
      </c>
    </row>
    <row r="113">
      <c r="A113" s="36" t="inlineStr">
        <is>
          <t>HIRECT</t>
        </is>
      </c>
      <c r="B113" s="37" t="inlineStr">
        <is>
          <t>Hind Rectifiers Limited</t>
        </is>
      </c>
      <c r="C113" s="37" t="inlineStr">
        <is>
          <t>Industrials</t>
        </is>
      </c>
      <c r="D113" s="38" t="inlineStr">
        <is>
          <t>2026-07-17</t>
        </is>
      </c>
    </row>
    <row r="114">
      <c r="A114" s="36" t="inlineStr">
        <is>
          <t>HUHTAMAKI</t>
        </is>
      </c>
      <c r="B114" s="37" t="inlineStr">
        <is>
          <t>Huhtamaki India Limited</t>
        </is>
      </c>
      <c r="C114" s="37" t="inlineStr">
        <is>
          <t>Consumer Cyclical</t>
        </is>
      </c>
      <c r="D114" s="38" t="inlineStr">
        <is>
          <t>2026-07-17</t>
        </is>
      </c>
    </row>
    <row r="115">
      <c r="A115" s="36" t="inlineStr">
        <is>
          <t>JAYBARMARU</t>
        </is>
      </c>
      <c r="B115" s="37" t="inlineStr">
        <is>
          <t>JAYBARMARU</t>
        </is>
      </c>
      <c r="C115" s="37" t="inlineStr">
        <is>
          <t>unknown</t>
        </is>
      </c>
      <c r="D115" s="38" t="inlineStr">
        <is>
          <t>2026-07-16</t>
        </is>
      </c>
    </row>
    <row r="116">
      <c r="A116" s="36" t="inlineStr">
        <is>
          <t>JNKINDIA</t>
        </is>
      </c>
      <c r="B116" s="37" t="inlineStr">
        <is>
          <t>JNKINDIA</t>
        </is>
      </c>
      <c r="C116" s="37" t="inlineStr">
        <is>
          <t>unknown</t>
        </is>
      </c>
      <c r="D116" s="38" t="inlineStr">
        <is>
          <t>2026-07-19</t>
        </is>
      </c>
    </row>
    <row r="117">
      <c r="A117" s="36" t="inlineStr">
        <is>
          <t>JSWINFRA</t>
        </is>
      </c>
      <c r="B117" s="37" t="inlineStr">
        <is>
          <t>JSW Infrastructure Limited</t>
        </is>
      </c>
      <c r="C117" s="37" t="inlineStr">
        <is>
          <t>Industrials</t>
        </is>
      </c>
      <c r="D117" s="38" t="inlineStr">
        <is>
          <t>2026-07-19</t>
        </is>
      </c>
    </row>
    <row r="118">
      <c r="A118" s="36" t="inlineStr">
        <is>
          <t>KERNEX</t>
        </is>
      </c>
      <c r="B118" s="37" t="inlineStr">
        <is>
          <t>KERNEX</t>
        </is>
      </c>
      <c r="C118" s="37" t="inlineStr">
        <is>
          <t>unknown</t>
        </is>
      </c>
      <c r="D118" s="38" t="inlineStr">
        <is>
          <t>2026-07-17</t>
        </is>
      </c>
    </row>
    <row r="119">
      <c r="A119" s="36" t="inlineStr">
        <is>
          <t>KSL</t>
        </is>
      </c>
      <c r="B119" s="37" t="inlineStr">
        <is>
          <t>Kalyani Steels Limited</t>
        </is>
      </c>
      <c r="C119" s="37" t="inlineStr">
        <is>
          <t>Basic Materials</t>
        </is>
      </c>
      <c r="D119" s="38" t="inlineStr">
        <is>
          <t>2026-07-15</t>
        </is>
      </c>
    </row>
    <row r="120">
      <c r="A120" s="36" t="inlineStr">
        <is>
          <t>LTF</t>
        </is>
      </c>
      <c r="B120" s="37" t="inlineStr">
        <is>
          <t>LTF</t>
        </is>
      </c>
      <c r="C120" s="37" t="inlineStr">
        <is>
          <t>unknown</t>
        </is>
      </c>
      <c r="D120" s="38" t="inlineStr">
        <is>
          <t>2026-07-14</t>
        </is>
      </c>
    </row>
    <row r="121">
      <c r="A121" s="36" t="inlineStr">
        <is>
          <t>MARKSANS</t>
        </is>
      </c>
      <c r="B121" s="37" t="inlineStr">
        <is>
          <t>Marksans Pharma Limited</t>
        </is>
      </c>
      <c r="C121" s="37" t="inlineStr">
        <is>
          <t>Healthcare</t>
        </is>
      </c>
      <c r="D121" s="38" t="inlineStr">
        <is>
          <t>2026-07-17</t>
        </is>
      </c>
    </row>
    <row r="122">
      <c r="A122" s="36" t="inlineStr">
        <is>
          <t>MRUTR</t>
        </is>
      </c>
      <c r="B122" s="37" t="inlineStr">
        <is>
          <t>MRUTR</t>
        </is>
      </c>
      <c r="C122" s="37" t="inlineStr">
        <is>
          <t>unknown</t>
        </is>
      </c>
      <c r="D122" s="38" t="inlineStr">
        <is>
          <t>2026-07-15</t>
        </is>
      </c>
    </row>
    <row r="123">
      <c r="A123" s="36" t="inlineStr">
        <is>
          <t>NYKAA</t>
        </is>
      </c>
      <c r="B123" s="37" t="inlineStr">
        <is>
          <t>FSN E-Commerce Ventures Limited</t>
        </is>
      </c>
      <c r="C123" s="37" t="inlineStr">
        <is>
          <t>Consumer Cyclical</t>
        </is>
      </c>
      <c r="D123" s="38" t="inlineStr">
        <is>
          <t>2026-07-19</t>
        </is>
      </c>
    </row>
    <row r="124">
      <c r="A124" s="36" t="inlineStr">
        <is>
          <t>OBSCP</t>
        </is>
      </c>
      <c r="B124" s="37" t="inlineStr">
        <is>
          <t>OBSCP</t>
        </is>
      </c>
      <c r="C124" s="37" t="inlineStr">
        <is>
          <t>unknown</t>
        </is>
      </c>
      <c r="D124" s="38" t="inlineStr">
        <is>
          <t>2026-07-16</t>
        </is>
      </c>
    </row>
    <row r="125">
      <c r="A125" s="36" t="inlineStr">
        <is>
          <t>PDSL</t>
        </is>
      </c>
      <c r="B125" s="37" t="inlineStr">
        <is>
          <t>PDS Limited</t>
        </is>
      </c>
      <c r="C125" s="37" t="inlineStr">
        <is>
          <t>Industrials</t>
        </is>
      </c>
      <c r="D125" s="38" t="inlineStr">
        <is>
          <t>2026-07-15</t>
        </is>
      </c>
    </row>
    <row r="126">
      <c r="A126" s="36" t="inlineStr">
        <is>
          <t>PGIL</t>
        </is>
      </c>
      <c r="B126" s="37" t="inlineStr">
        <is>
          <t>Pearl Global Industries Limited</t>
        </is>
      </c>
      <c r="C126" s="37" t="inlineStr">
        <is>
          <t>Consumer Cyclical</t>
        </is>
      </c>
      <c r="D126" s="38" t="inlineStr">
        <is>
          <t>2026-07-16</t>
        </is>
      </c>
    </row>
    <row r="127">
      <c r="A127" s="36" t="inlineStr">
        <is>
          <t>PICCADIL</t>
        </is>
      </c>
      <c r="B127" s="37" t="inlineStr">
        <is>
          <t>Piccadily Agro Industries Limited</t>
        </is>
      </c>
      <c r="C127" s="37" t="inlineStr">
        <is>
          <t>Consumer Defensive</t>
        </is>
      </c>
      <c r="D127" s="38" t="inlineStr">
        <is>
          <t>2026-07-17</t>
        </is>
      </c>
    </row>
    <row r="128">
      <c r="A128" s="36" t="inlineStr">
        <is>
          <t>PREMIERENE</t>
        </is>
      </c>
      <c r="B128" s="37" t="inlineStr">
        <is>
          <t>PREMIERENE</t>
        </is>
      </c>
      <c r="C128" s="37" t="inlineStr">
        <is>
          <t>Technology</t>
        </is>
      </c>
      <c r="D128" s="38" t="inlineStr">
        <is>
          <t>2026-07-17</t>
        </is>
      </c>
    </row>
    <row r="129">
      <c r="A129" s="36" t="inlineStr">
        <is>
          <t>RATEGAIN</t>
        </is>
      </c>
      <c r="B129" s="37" t="inlineStr">
        <is>
          <t>RateGain Travel Technologies Limited</t>
        </is>
      </c>
      <c r="C129" s="37" t="inlineStr">
        <is>
          <t>Technology</t>
        </is>
      </c>
      <c r="D129" s="38" t="inlineStr">
        <is>
          <t>2026-07-19</t>
        </is>
      </c>
    </row>
    <row r="130">
      <c r="A130" s="36" t="inlineStr">
        <is>
          <t>RISHABH</t>
        </is>
      </c>
      <c r="B130" s="37" t="inlineStr">
        <is>
          <t>Rishabh Instruments Limited</t>
        </is>
      </c>
      <c r="C130" s="37" t="inlineStr">
        <is>
          <t>Technology</t>
        </is>
      </c>
      <c r="D130" s="38" t="inlineStr">
        <is>
          <t>2026-07-19</t>
        </is>
      </c>
    </row>
    <row r="131">
      <c r="A131" s="36" t="inlineStr">
        <is>
          <t>RML</t>
        </is>
      </c>
      <c r="B131" s="37" t="inlineStr">
        <is>
          <t>Rane (Madras) Limited</t>
        </is>
      </c>
      <c r="C131" s="37" t="inlineStr">
        <is>
          <t>Consumer Cyclical</t>
        </is>
      </c>
      <c r="D131" s="38" t="inlineStr">
        <is>
          <t>2026-07-17</t>
        </is>
      </c>
    </row>
    <row r="132">
      <c r="A132" s="36" t="inlineStr">
        <is>
          <t>SANGHVIMOV</t>
        </is>
      </c>
      <c r="B132" s="37" t="inlineStr">
        <is>
          <t>SANGHVIMOV</t>
        </is>
      </c>
      <c r="C132" s="37" t="inlineStr">
        <is>
          <t>unknown</t>
        </is>
      </c>
      <c r="D132" s="38" t="inlineStr">
        <is>
          <t>2026-07-16</t>
        </is>
      </c>
    </row>
    <row r="133">
      <c r="A133" s="36" t="inlineStr">
        <is>
          <t>SENORES</t>
        </is>
      </c>
      <c r="B133" s="37" t="inlineStr">
        <is>
          <t>SENORES</t>
        </is>
      </c>
      <c r="C133" s="37" t="inlineStr">
        <is>
          <t>Healthcare</t>
        </is>
      </c>
      <c r="D133" s="38" t="inlineStr">
        <is>
          <t>2026-07-16</t>
        </is>
      </c>
    </row>
    <row r="134">
      <c r="A134" s="36" t="inlineStr">
        <is>
          <t>SPECTRUM</t>
        </is>
      </c>
      <c r="B134" s="37" t="inlineStr">
        <is>
          <t>SPECTRUM</t>
        </is>
      </c>
      <c r="C134" s="37" t="inlineStr">
        <is>
          <t>Industrials</t>
        </is>
      </c>
      <c r="D134" s="38" t="inlineStr">
        <is>
          <t>2026-07-17</t>
        </is>
      </c>
    </row>
    <row r="135">
      <c r="A135" s="36" t="inlineStr">
        <is>
          <t>SPORTKING</t>
        </is>
      </c>
      <c r="B135" s="37" t="inlineStr">
        <is>
          <t>Sportking India Limited</t>
        </is>
      </c>
      <c r="C135" s="37" t="inlineStr">
        <is>
          <t>Consumer Cyclical</t>
        </is>
      </c>
      <c r="D135" s="38" t="inlineStr">
        <is>
          <t>2026-07-16</t>
        </is>
      </c>
    </row>
    <row r="136">
      <c r="A136" s="36" t="inlineStr">
        <is>
          <t>SUDARSHAN</t>
        </is>
      </c>
      <c r="B136" s="37" t="inlineStr">
        <is>
          <t>SUDARSHAN</t>
        </is>
      </c>
      <c r="C136" s="37" t="inlineStr">
        <is>
          <t>unknown</t>
        </is>
      </c>
      <c r="D136" s="38" t="inlineStr">
        <is>
          <t>2026-07-16</t>
        </is>
      </c>
    </row>
    <row r="137">
      <c r="A137" s="36" t="inlineStr">
        <is>
          <t>SUVEN</t>
        </is>
      </c>
      <c r="B137" s="37" t="inlineStr">
        <is>
          <t>Suven Life Sciences Limited</t>
        </is>
      </c>
      <c r="C137" s="37" t="inlineStr">
        <is>
          <t>Healthcare</t>
        </is>
      </c>
      <c r="D137" s="38" t="inlineStr">
        <is>
          <t>2026-07-14</t>
        </is>
      </c>
    </row>
    <row r="138">
      <c r="A138" s="36" t="inlineStr">
        <is>
          <t>TAALTECH</t>
        </is>
      </c>
      <c r="B138" s="37" t="inlineStr">
        <is>
          <t>TAALTECH</t>
        </is>
      </c>
      <c r="C138" s="37" t="inlineStr">
        <is>
          <t>unknown</t>
        </is>
      </c>
      <c r="D138" s="38" t="inlineStr">
        <is>
          <t>2026-07-17</t>
        </is>
      </c>
    </row>
    <row r="139">
      <c r="A139" s="36" t="inlineStr">
        <is>
          <t>TIPSMUSIC</t>
        </is>
      </c>
      <c r="B139" s="37" t="inlineStr">
        <is>
          <t>TIPSMUSIC</t>
        </is>
      </c>
      <c r="C139" s="37" t="inlineStr">
        <is>
          <t>unknown</t>
        </is>
      </c>
      <c r="D139" s="38" t="inlineStr">
        <is>
          <t>2026-07-15</t>
        </is>
      </c>
    </row>
    <row r="140">
      <c r="A140" s="36" t="inlineStr">
        <is>
          <t>UNIABEXAL</t>
        </is>
      </c>
      <c r="B140" s="37" t="inlineStr">
        <is>
          <t>UNIABEXAL</t>
        </is>
      </c>
      <c r="C140" s="37" t="inlineStr">
        <is>
          <t>unknown</t>
        </is>
      </c>
      <c r="D140" s="38" t="inlineStr">
        <is>
          <t>2026-07-19</t>
        </is>
      </c>
    </row>
    <row r="141">
      <c r="A141" s="36" t="inlineStr">
        <is>
          <t>UNICHEMLAB</t>
        </is>
      </c>
      <c r="B141" s="37" t="inlineStr">
        <is>
          <t>Unichem Laboratories Limited</t>
        </is>
      </c>
      <c r="C141" s="37" t="inlineStr">
        <is>
          <t>Healthcare</t>
        </is>
      </c>
      <c r="D141" s="38" t="inlineStr">
        <is>
          <t>2026-07-14</t>
        </is>
      </c>
    </row>
    <row r="142">
      <c r="A142" s="36" t="inlineStr">
        <is>
          <t>VIJAYA</t>
        </is>
      </c>
      <c r="B142" s="37" t="inlineStr">
        <is>
          <t>VIJAYA</t>
        </is>
      </c>
      <c r="C142" s="37" t="inlineStr">
        <is>
          <t>unknown</t>
        </is>
      </c>
      <c r="D142" s="38" t="inlineStr">
        <is>
          <t>2026-07-17</t>
        </is>
      </c>
    </row>
    <row r="143">
      <c r="A143" s="36" t="inlineStr">
        <is>
          <t>WABAG</t>
        </is>
      </c>
      <c r="B143" s="37" t="inlineStr">
        <is>
          <t>WABAG</t>
        </is>
      </c>
      <c r="C143" s="37" t="inlineStr">
        <is>
          <t>unknown</t>
        </is>
      </c>
      <c r="D143" s="38" t="inlineStr">
        <is>
          <t>2026-07-15</t>
        </is>
      </c>
    </row>
  </sheetData>
  <autoFilter ref="A1:CG85"/>
  <conditionalFormatting sqref="B2:B8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5">
    <cfRule type="cellIs" priority="37" operator="equal" dxfId="3" stopIfTrue="1">
      <formula>"Underperforming"</formula>
    </cfRule>
  </conditionalFormatting>
  <conditionalFormatting sqref="N2:N85">
    <cfRule type="cellIs" priority="38" operator="equal" dxfId="3" stopIfTrue="1">
      <formula>-5</formula>
    </cfRule>
  </conditionalFormatting>
  <conditionalFormatting sqref="Q2:Q8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5" showDropDown="0" showInputMessage="0" showErrorMessage="0" allowBlank="1" type="list">
      <formula1>"Growing Industry,Stagnant Industry,Cyclical in an Upturn"</formula1>
    </dataValidation>
    <dataValidation sqref="Z2:Z8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5" showDropDown="0" showInputMessage="0" showErrorMessage="0" allowBlank="1" type="list">
      <formula1>"Yes,No"</formula1>
    </dataValidation>
    <dataValidation sqref="AD2:AD85" showDropDown="0" showInputMessage="0" showErrorMessage="0" allowBlank="1" type="list">
      <formula1>"Tailwind,Headwind"</formula1>
    </dataValidation>
    <dataValidation sqref="AF2:AF85" showDropDown="0" showInputMessage="0" showErrorMessage="0" allowBlank="1" type="list">
      <formula1>"Structural (10 Years Consistency),Shallow Cyclical (2 to 3 Years Growth),Cyclical"</formula1>
    </dataValidation>
    <dataValidation sqref="AH2:AH85" showDropDown="0" showInputMessage="0" showErrorMessage="0" allowBlank="1" type="list">
      <formula1>"Yes due to Product Mix change or Operating Leverage,Yes, these are peak margins,No"</formula1>
    </dataValidation>
    <dataValidation sqref="AJ2:AJ85" showDropDown="0" showInputMessage="0" showErrorMessage="0" allowBlank="1" type="list">
      <formula1>"Stable,Volatile"</formula1>
    </dataValidation>
    <dataValidation sqref="AL2:AL85" showDropDown="0" showInputMessage="0" showErrorMessage="0" allowBlank="1" type="list">
      <formula1>"Yes,No"</formula1>
    </dataValidation>
    <dataValidation sqref="AN2:AN85" showDropDown="0" showInputMessage="0" showErrorMessage="0" allowBlank="1" type="list">
      <formula1>"B2C,B2B,B2G"</formula1>
    </dataValidation>
    <dataValidation sqref="AP2:AP85" showDropDown="0" showInputMessage="0" showErrorMessage="0" allowBlank="1" type="list">
      <formula1>"Yes,No"</formula1>
    </dataValidation>
    <dataValidation sqref="AR2:AR85" showDropDown="0" showInputMessage="0" showErrorMessage="0" allowBlank="1" type="list">
      <formula1>"Fully Annuity,Higher Annuity, Lower One time,Higher One Time, Lower Annuity,Fully One Time"</formula1>
    </dataValidation>
    <dataValidation sqref="AT2:AT85" showDropDown="0" showInputMessage="0" showErrorMessage="0" allowBlank="1" type="list">
      <formula1>"Good,Allocated capital in Non-core Areas"</formula1>
    </dataValidation>
    <dataValidation sqref="AV2:AV85" showDropDown="0" showInputMessage="0" showErrorMessage="0" allowBlank="1" type="list">
      <formula1>"Yes for more than 2 years,Yes only for next 1 to 2 years,No"</formula1>
    </dataValidation>
    <dataValidation sqref="AX2:AX85" showDropDown="0" showInputMessage="0" showErrorMessage="0" allowBlank="1" type="list">
      <formula1>"Above 40,20 to 40,0 to 20"</formula1>
    </dataValidation>
    <dataValidation sqref="AZ2:AZ85" showDropDown="0" showInputMessage="0" showErrorMessage="0" allowBlank="1" type="list">
      <formula1>"Between 50 to 75,Above 75,Below 45"</formula1>
    </dataValidation>
    <dataValidation sqref="BB2:BB85" showDropDown="0" showInputMessage="0" showErrorMessage="0" allowBlank="1" type="list">
      <formula1>"Stage 1,Stage 2,Stage 3,Stage 4"</formula1>
    </dataValidation>
    <dataValidation sqref="BD2:BD85" showDropDown="0" showInputMessage="0" showErrorMessage="0" allowBlank="1" type="list">
      <formula1>"Positive Trend,Negative Trend"</formula1>
    </dataValidation>
    <dataValidation sqref="BF2:BF85" showDropDown="0" showInputMessage="0" showErrorMessage="0" allowBlank="1" type="list">
      <formula1>"Uptrend,Sideways,Downtrend"</formula1>
    </dataValidation>
    <dataValidation sqref="BH2:BH85" showDropDown="0" showInputMessage="0" showErrorMessage="0" allowBlank="1" type="list">
      <formula1>"Uptrend,Sideways,Downtrend"</formula1>
    </dataValidation>
    <dataValidation sqref="BJ2:BJ8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5" showDropDown="0" showInputMessage="0" showErrorMessage="0" allowBlank="1" type="list">
      <formula1>"Yes,No"</formula1>
    </dataValidation>
    <dataValidation sqref="BN2:BN85" showDropDown="0" showInputMessage="0" showErrorMessage="0" allowBlank="1" type="list">
      <formula1>"More than 20%,Between 12 to 20%,Less than 12%"</formula1>
    </dataValidation>
    <dataValidation sqref="BP2:BP85" showDropDown="0" showInputMessage="0" showErrorMessage="0" allowBlank="1" type="list">
      <formula1>"Yes,No"</formula1>
    </dataValidation>
    <dataValidation sqref="BR2:BR85" showDropDown="0" showInputMessage="0" showErrorMessage="0" allowBlank="1" type="list">
      <formula1>"Yes,No"</formula1>
    </dataValidation>
    <dataValidation sqref="BT2:BT85" showDropDown="0" showInputMessage="0" showErrorMessage="0" allowBlank="1" type="list">
      <formula1>"Above 2,Between 1.5 to 2,Less than 1.5"</formula1>
    </dataValidation>
    <dataValidation sqref="BV2:BV85" showDropDown="0" showInputMessage="0" showErrorMessage="0" allowBlank="1" type="list">
      <formula1>"Above 70%,Between 50% to 70%,Less than 50%,Less than 50% and Borrowings are increasing,Negative"</formula1>
    </dataValidation>
    <dataValidation sqref="BX2:BX85" showDropDown="0" showInputMessage="0" showErrorMessage="0" allowBlank="1" type="list">
      <formula1>"More than 1.2,Between 0.7 to 1.2,Less than 0.7"</formula1>
    </dataValidation>
    <dataValidation sqref="BZ2:BZ85" showDropDown="0" showInputMessage="0" showErrorMessage="0" allowBlank="1" type="list">
      <formula1>"Yes,No"</formula1>
    </dataValidation>
    <dataValidation sqref="CB2:CB85" showDropDown="0" showInputMessage="0" showErrorMessage="0" allowBlank="1" type="list">
      <formula1>"More than 15%,Less than 15%"</formula1>
    </dataValidation>
    <dataValidation sqref="CD2:CD8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IF(B2=0,"",RANK(B2,$B$2:$B$17,0))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 Services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2817.78</v>
      </c>
      <c r="I2" s="32" t="n">
        <v>255.07</v>
      </c>
      <c r="J2" s="32" t="n">
        <v>-4.16</v>
      </c>
      <c r="K2" s="32" t="n">
        <v>0</v>
      </c>
      <c r="L2" s="31" t="n">
        <v>80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</v>
      </c>
      <c r="P2" s="32" t="n">
        <v>65.22</v>
      </c>
      <c r="Q2" s="32" t="n">
        <v>199.12</v>
      </c>
      <c r="R2" s="31" t="inlineStr">
        <is>
          <t>Near 52W High Breakout</t>
        </is>
      </c>
      <c r="S2" s="31" t="inlineStr">
        <is>
          <t>Nifty Bank</t>
        </is>
      </c>
      <c r="T2" s="32" t="n">
        <v>3.98</v>
      </c>
      <c r="U2" s="32" t="n">
        <v>55.47</v>
      </c>
      <c r="V2" s="32" t="n">
        <v>49.53</v>
      </c>
      <c r="W2" s="32" t="n">
        <v>19.88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17</t>
        </is>
      </c>
      <c r="CC2" s="31">
        <f>IF(CB2&gt;20,10,IF(CB2&gt;=10,5,2))</f>
        <v/>
      </c>
    </row>
    <row r="3">
      <c r="A3" s="31">
        <f>IF(B3=0,"",RANK(B3,$B$2:$B$17,0))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PAISALO</t>
        </is>
      </c>
      <c r="D3" s="31" t="inlineStr">
        <is>
          <t>Paisalo Digital Ltd</t>
        </is>
      </c>
      <c r="E3" s="31" t="inlineStr">
        <is>
          <t>financials</t>
        </is>
      </c>
      <c r="F3" s="31" t="inlineStr">
        <is>
          <t>Finance - Capital Markets - Brokers</t>
        </is>
      </c>
      <c r="G3" s="31" t="inlineStr">
        <is>
          <t>midcap</t>
        </is>
      </c>
      <c r="H3" s="32" t="n">
        <v>6525.82</v>
      </c>
      <c r="I3" s="32" t="n">
        <v>71.75</v>
      </c>
      <c r="J3" s="32" t="n">
        <v>-2.75</v>
      </c>
      <c r="K3" s="32" t="n">
        <v>0</v>
      </c>
      <c r="L3" s="31" t="n">
        <v>92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81.17</v>
      </c>
      <c r="P3" s="32" t="n">
        <v>52.3</v>
      </c>
      <c r="Q3" s="32" t="n">
        <v>57.33</v>
      </c>
      <c r="R3" s="31" t="inlineStr">
        <is>
          <t>Volume Spike &amp; Near 52W High Breakout</t>
        </is>
      </c>
      <c r="S3" s="31" t="inlineStr">
        <is>
          <t>Nifty Bank</t>
        </is>
      </c>
      <c r="T3" s="32" t="n">
        <v>3.98</v>
      </c>
      <c r="U3" s="32" t="n">
        <v>130.85</v>
      </c>
      <c r="V3" s="32" t="n">
        <v>122.02</v>
      </c>
      <c r="W3" s="32" t="n">
        <v>33.77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19</t>
        </is>
      </c>
      <c r="CC3" s="31">
        <f>IF(CB3&gt;20,10,IF(CB3&gt;=10,5,2))</f>
        <v/>
      </c>
    </row>
    <row r="4">
      <c r="A4" s="31">
        <f>IF(B4=0,"",RANK(B4,$B$2:$B$17,0))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UJJIVANSFB</t>
        </is>
      </c>
      <c r="D4" s="31" t="inlineStr">
        <is>
          <t>Ujjivan Small Finance Bank Ltd</t>
        </is>
      </c>
      <c r="E4" s="31" t="inlineStr">
        <is>
          <t>bank</t>
        </is>
      </c>
      <c r="F4" s="31" t="inlineStr">
        <is>
          <t>Banks - Small Finance</t>
        </is>
      </c>
      <c r="G4" s="31" t="inlineStr">
        <is>
          <t>midcap</t>
        </is>
      </c>
      <c r="H4" s="32" t="n">
        <v>12624.54</v>
      </c>
      <c r="I4" s="32" t="n">
        <v>64.88</v>
      </c>
      <c r="J4" s="32" t="n">
        <v>-1.13</v>
      </c>
      <c r="K4" s="32" t="n">
        <v>0</v>
      </c>
      <c r="L4" s="31" t="n">
        <v>43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62.37</v>
      </c>
      <c r="P4" s="32" t="n">
        <v>25.67</v>
      </c>
      <c r="Q4" s="32" t="n">
        <v>51.13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3.98</v>
      </c>
      <c r="U4" s="32" t="n">
        <v>32.76</v>
      </c>
      <c r="V4" s="32" t="n">
        <v>27.68</v>
      </c>
      <c r="W4" s="32" t="n">
        <v>8.359999999999999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17</t>
        </is>
      </c>
      <c r="CC4" s="31">
        <f>IF(CB4&gt;20,10,IF(CB4&gt;=10,5,2))</f>
        <v/>
      </c>
    </row>
    <row r="5">
      <c r="A5" s="31">
        <f>IF(B5=0,"",RANK(B5,$B$2:$B$17,0))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SGFIN</t>
        </is>
      </c>
      <c r="D5" s="31" t="inlineStr">
        <is>
          <t>SG Finserve Ltd</t>
        </is>
      </c>
      <c r="E5" s="31" t="inlineStr">
        <is>
          <t>Financial Services</t>
        </is>
      </c>
      <c r="F5" s="31" t="inlineStr">
        <is>
          <t>Finance &amp; Investments - MSME Lending</t>
        </is>
      </c>
      <c r="G5" s="31" t="inlineStr">
        <is>
          <t>smallcap</t>
        </is>
      </c>
      <c r="H5" s="32" t="n">
        <v>4149.08</v>
      </c>
      <c r="I5" s="32" t="n">
        <v>629.65</v>
      </c>
      <c r="J5" s="32" t="n">
        <v>-2.42</v>
      </c>
      <c r="K5" s="32" t="n">
        <v>0</v>
      </c>
      <c r="L5" s="31" t="n">
        <v>71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66.61</v>
      </c>
      <c r="P5" s="32" t="n">
        <v>59.43</v>
      </c>
      <c r="Q5" s="32" t="n">
        <v>510.47</v>
      </c>
      <c r="R5" s="31" t="inlineStr">
        <is>
          <t>Volume Spike / Accumulation</t>
        </is>
      </c>
      <c r="S5" s="31" t="inlineStr">
        <is>
          <t>Nifty Bank</t>
        </is>
      </c>
      <c r="T5" s="32" t="n">
        <v>6.39</v>
      </c>
      <c r="U5" s="32" t="n">
        <v>61.13</v>
      </c>
      <c r="V5" s="32" t="n">
        <v>51.45</v>
      </c>
      <c r="W5" s="32" t="n">
        <v>15.67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21</t>
        </is>
      </c>
      <c r="CC5" s="31">
        <f>IF(CB5&gt;20,10,IF(CB5&gt;=10,5,2))</f>
        <v/>
      </c>
    </row>
    <row r="6">
      <c r="A6" s="31">
        <f>IF(B6=0,"",RANK(B6,$B$2:$B$17,0))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SURYODAY</t>
        </is>
      </c>
      <c r="D6" s="31" t="inlineStr">
        <is>
          <t>Suryoday Small Finance Bank Ltd</t>
        </is>
      </c>
      <c r="E6" s="31" t="inlineStr">
        <is>
          <t>Financial Services</t>
        </is>
      </c>
      <c r="F6" s="31" t="inlineStr">
        <is>
          <t>Banks - Small Finance</t>
        </is>
      </c>
      <c r="G6" s="31" t="inlineStr">
        <is>
          <t>smallcap</t>
        </is>
      </c>
      <c r="H6" s="32" t="n">
        <v>1910.98</v>
      </c>
      <c r="I6" s="32" t="n">
        <v>179.79</v>
      </c>
      <c r="J6" s="32" t="n">
        <v>-3.07</v>
      </c>
      <c r="K6" s="32" t="n">
        <v>0</v>
      </c>
      <c r="L6" s="31" t="n">
        <v>54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64.88</v>
      </c>
      <c r="P6" s="32" t="n">
        <v>39.58</v>
      </c>
      <c r="Q6" s="32" t="n">
        <v>140.95</v>
      </c>
      <c r="R6" s="31" t="inlineStr">
        <is>
          <t>Near 52W High Breakout</t>
        </is>
      </c>
      <c r="S6" s="31" t="inlineStr">
        <is>
          <t>Nifty Bank</t>
        </is>
      </c>
      <c r="T6" s="32" t="n">
        <v>3.98</v>
      </c>
      <c r="U6" s="32" t="n">
        <v>28.79</v>
      </c>
      <c r="V6" s="32" t="n">
        <v>23.86</v>
      </c>
      <c r="W6" s="32" t="n">
        <v>10.8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16</t>
        </is>
      </c>
      <c r="CC6" s="31">
        <f>IF(CB6&gt;20,10,IF(CB6&gt;=10,5,2))</f>
        <v/>
      </c>
    </row>
    <row r="7">
      <c r="A7" s="31">
        <f>IF(B7=0,"",RANK(B7,$B$2:$B$17,0))</f>
        <v/>
      </c>
      <c r="B7" s="32">
        <f>SUM(N7,Y7,AA7,AC7,AE7,AG7,AI7,AK7,AM7,AO7,AQ7,AS7,AU7,AW7,AY7,BA7,BC7,BE7,BG7,BI7,BK7,BM7,BO7,BQ7,BS7,BU7,BW7,BY7,CA7,CC7)</f>
        <v/>
      </c>
      <c r="C7" s="34" t="inlineStr">
        <is>
          <t>NAM-INDIA</t>
        </is>
      </c>
      <c r="D7" s="34" t="inlineStr">
        <is>
          <t>Nippon Life India Asset Management Ltd</t>
        </is>
      </c>
      <c r="E7" s="31" t="inlineStr">
        <is>
          <t>Financial Services</t>
        </is>
      </c>
      <c r="F7" s="31" t="inlineStr">
        <is>
          <t>Finance - AMC</t>
        </is>
      </c>
      <c r="G7" s="31" t="inlineStr">
        <is>
          <t>largecap</t>
        </is>
      </c>
      <c r="H7" s="32" t="n">
        <v>75852.46000000001</v>
      </c>
      <c r="I7" s="32" t="n">
        <v>1186.5</v>
      </c>
      <c r="J7" s="32" t="n">
        <v>3.04</v>
      </c>
      <c r="K7" s="32" t="n">
        <v>0</v>
      </c>
      <c r="L7" s="31" t="n">
        <v>57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66.87</v>
      </c>
      <c r="P7" s="32" t="n">
        <v>42.49</v>
      </c>
      <c r="Q7" s="32" t="n">
        <v>974.88</v>
      </c>
      <c r="R7" s="31" t="inlineStr">
        <is>
          <t>Near 52W High Breakout</t>
        </is>
      </c>
      <c r="S7" s="31" t="inlineStr">
        <is>
          <t>Nifty Bank</t>
        </is>
      </c>
      <c r="T7" s="32" t="n">
        <v>3.98</v>
      </c>
      <c r="U7" s="32" t="n">
        <v>44.02</v>
      </c>
      <c r="V7" s="32" t="n">
        <v>38.51</v>
      </c>
      <c r="W7" s="32" t="n">
        <v>11.5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above 5x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16</t>
        </is>
      </c>
      <c r="CC7" s="31">
        <f>IF(CB7&gt;20,10,IF(CB7&gt;=10,5,2))</f>
        <v/>
      </c>
    </row>
    <row r="8">
      <c r="A8" s="31">
        <f>IF(B8=0,"",RANK(B8,$B$2:$B$17,0))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MUTHOOTMF</t>
        </is>
      </c>
      <c r="D8" s="31" t="inlineStr">
        <is>
          <t>Muthoot Microfin Ltd</t>
        </is>
      </c>
      <c r="E8" s="31" t="inlineStr">
        <is>
          <t>financials</t>
        </is>
      </c>
      <c r="F8" s="31" t="inlineStr">
        <is>
          <t>Finance &amp; Investments - Microfinance</t>
        </is>
      </c>
      <c r="G8" s="31" t="inlineStr">
        <is>
          <t>smallcap</t>
        </is>
      </c>
      <c r="H8" s="32" t="n">
        <v>4092.84</v>
      </c>
      <c r="I8" s="32" t="n">
        <v>240.06</v>
      </c>
      <c r="J8" s="32" t="n">
        <v>-1.62</v>
      </c>
      <c r="K8" s="32" t="n">
        <v>0</v>
      </c>
      <c r="L8" s="31" t="n">
        <v>71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74</v>
      </c>
      <c r="P8" s="32" t="n">
        <v>36.81</v>
      </c>
      <c r="Q8" s="32" t="n">
        <v>182.83</v>
      </c>
      <c r="R8" s="31" t="inlineStr">
        <is>
          <t>Volume Spike &amp; Near 52W High Breakout</t>
        </is>
      </c>
      <c r="S8" s="31" t="inlineStr">
        <is>
          <t>Nifty Bank</t>
        </is>
      </c>
      <c r="T8" s="32" t="n">
        <v>3.98</v>
      </c>
      <c r="U8" s="32" t="n">
        <v>44.52</v>
      </c>
      <c r="V8" s="32" t="n">
        <v>38.99</v>
      </c>
      <c r="W8" s="32" t="n">
        <v>15.78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less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15</t>
        </is>
      </c>
      <c r="CC8" s="31">
        <f>IF(CB8&gt;20,10,IF(CB8&gt;=10,5,2))</f>
        <v/>
      </c>
    </row>
    <row r="9">
      <c r="A9" s="31">
        <f>IF(B9=0,"",RANK(B9,$B$2:$B$17,0))</f>
        <v/>
      </c>
      <c r="B9" s="32">
        <f>SUM(N9,Y9,AA9,AC9,AE9,AG9,AI9,AK9,AM9,AO9,AQ9,AS9,AU9,AW9,AY9,BA9,BC9,BE9,BG9,BI9,BK9,BM9,BO9,BQ9,BS9,BU9,BW9,BY9,CA9,CC9)</f>
        <v/>
      </c>
      <c r="C9" s="31" t="inlineStr">
        <is>
          <t>CGCL</t>
        </is>
      </c>
      <c r="D9" s="31" t="inlineStr">
        <is>
          <t>Capri Global Capital Ltd</t>
        </is>
      </c>
      <c r="E9" s="31" t="inlineStr">
        <is>
          <t>financials</t>
        </is>
      </c>
      <c r="F9" s="31" t="inlineStr">
        <is>
          <t>Finance &amp; Investments - Gold Loan</t>
        </is>
      </c>
      <c r="G9" s="31" t="inlineStr">
        <is>
          <t>largecap</t>
        </is>
      </c>
      <c r="H9" s="32" t="n">
        <v>24667.7</v>
      </c>
      <c r="I9" s="32" t="n">
        <v>256.38</v>
      </c>
      <c r="J9" s="32" t="n">
        <v>-0.97</v>
      </c>
      <c r="K9" s="32" t="n">
        <v>0</v>
      </c>
      <c r="L9" s="31" t="n">
        <v>72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78.62</v>
      </c>
      <c r="P9" s="32" t="n">
        <v>31.59</v>
      </c>
      <c r="Q9" s="32" t="n">
        <v>212.27</v>
      </c>
      <c r="R9" s="31" t="inlineStr">
        <is>
          <t>Near 52W High Breakout</t>
        </is>
      </c>
      <c r="S9" s="31" t="inlineStr">
        <is>
          <t>Nifty Bank</t>
        </is>
      </c>
      <c r="T9" s="32" t="n">
        <v>3.98</v>
      </c>
      <c r="U9" s="32" t="n">
        <v>39.67</v>
      </c>
      <c r="V9" s="32" t="n">
        <v>34.33</v>
      </c>
      <c r="W9" s="32" t="n">
        <v>16.22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Above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23</t>
        </is>
      </c>
      <c r="CC9" s="31">
        <f>IF(CB9&gt;20,10,IF(CB9&gt;=10,5,2))</f>
        <v/>
      </c>
    </row>
    <row r="10">
      <c r="A10" s="31">
        <f>IF(B10=0,"",RANK(B10,$B$2:$B$17,0))</f>
        <v/>
      </c>
      <c r="B10" s="32">
        <f>SUM(N10,Y10,AA10,AC10,AE10,AG10,AI10,AK10,AM10,AO10,AQ10,AS10,AU10,AW10,AY10,BA10,BC10,BE10,BG10,BI10,BK10,BM10,BO10,BQ10,BS10,BU10,BW10,BY10,CA10,CC10)</f>
        <v/>
      </c>
      <c r="C10" s="34" t="inlineStr">
        <is>
          <t>PIRAMALFIN</t>
        </is>
      </c>
      <c r="D10" s="34" t="inlineStr">
        <is>
          <t>Piramal Finance Ltd</t>
        </is>
      </c>
      <c r="E10" s="31" t="inlineStr">
        <is>
          <t>Financial Services</t>
        </is>
      </c>
      <c r="F10" s="31" t="inlineStr">
        <is>
          <t>Conglomerate Backed NBFC</t>
        </is>
      </c>
      <c r="G10" s="31" t="inlineStr">
        <is>
          <t>largecap</t>
        </is>
      </c>
      <c r="H10" s="32" t="n">
        <v>48606.5</v>
      </c>
      <c r="I10" s="32" t="n">
        <v>2144.3</v>
      </c>
      <c r="J10" s="32" t="n">
        <v>-1.93</v>
      </c>
      <c r="K10" s="32" t="n">
        <v>0</v>
      </c>
      <c r="L10" s="31" t="n">
        <v>66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72.78</v>
      </c>
      <c r="P10" s="32" t="n">
        <v>57.19</v>
      </c>
      <c r="Q10" s="32" t="n">
        <v>1763.07</v>
      </c>
      <c r="R10" s="31" t="inlineStr">
        <is>
          <t>Volume Spike &amp; Near 52W High Breakout</t>
        </is>
      </c>
      <c r="S10" s="31" t="inlineStr">
        <is>
          <t>Nifty Bank</t>
        </is>
      </c>
      <c r="T10" s="32" t="n">
        <v>1.11</v>
      </c>
      <c r="U10" s="32" t="n">
        <v>63</v>
      </c>
      <c r="V10" s="32" t="n">
        <v>61.2</v>
      </c>
      <c r="W10" s="32" t="n">
        <v>14.24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16</t>
        </is>
      </c>
      <c r="CC10" s="31">
        <f>IF(CB10&gt;20,10,IF(CB10&gt;=10,5,2))</f>
        <v/>
      </c>
    </row>
    <row r="11">
      <c r="A11" s="31">
        <f>IF(B11=0,"",RANK(B11,$B$2:$B$17,0))</f>
        <v/>
      </c>
      <c r="B11" s="32">
        <f>SUM(N11,Y11,AA11,AC11,AE11,AG11,AI11,AK11,AM11,AO11,AQ11,AS11,AU11,AW11,AY11,BA11,BC11,BE11,BG11,BI11,BK11,BM11,BO11,BQ11,BS11,BU11,BW11,BY11,CA11,CC11)</f>
        <v/>
      </c>
      <c r="C11" s="31" t="inlineStr">
        <is>
          <t>GODREJIND</t>
        </is>
      </c>
      <c r="D11" s="31" t="inlineStr">
        <is>
          <t>Godrej Industries Ltd</t>
        </is>
      </c>
      <c r="E11" s="31" t="inlineStr">
        <is>
          <t>chemicals</t>
        </is>
      </c>
      <c r="F11" s="31" t="inlineStr">
        <is>
          <t>Finance - Holding Company</t>
        </is>
      </c>
      <c r="G11" s="31" t="inlineStr">
        <is>
          <t>largecap</t>
        </is>
      </c>
      <c r="H11" s="32" t="n">
        <v>44959.51</v>
      </c>
      <c r="I11" s="32" t="n">
        <v>1334.7</v>
      </c>
      <c r="J11" s="32" t="n">
        <v>-0.34</v>
      </c>
      <c r="K11" s="32" t="n">
        <v>0</v>
      </c>
      <c r="L11" s="31" t="n">
        <v>64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64.65000000000001</v>
      </c>
      <c r="P11" s="32" t="n">
        <v>32.77</v>
      </c>
      <c r="Q11" s="32" t="n">
        <v>1092.9</v>
      </c>
      <c r="R11" s="31" t="inlineStr">
        <is>
          <t>Earnings / Momentum Support</t>
        </is>
      </c>
      <c r="S11" s="31" t="inlineStr">
        <is>
          <t>Nifty 50</t>
        </is>
      </c>
      <c r="T11" s="32" t="n">
        <v>-2.54</v>
      </c>
      <c r="U11" s="32" t="n">
        <v>15.59</v>
      </c>
      <c r="V11" s="32" t="n">
        <v>18.6</v>
      </c>
      <c r="W11" s="32" t="n">
        <v>13.34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  <c r="CB11" s="31" t="inlineStr">
        <is>
          <t>15</t>
        </is>
      </c>
      <c r="CC11" s="31">
        <f>IF(CB11&gt;20,10,IF(CB11&gt;=10,5,2))</f>
        <v/>
      </c>
    </row>
    <row r="12">
      <c r="A12" s="31">
        <f>IF(B12=0,"",RANK(B12,$B$2:$B$17,0))</f>
        <v/>
      </c>
      <c r="B12" s="32">
        <f>SUM(N12,Y12,AA12,AC12,AE12,AG12,AI12,AK12,AM12,AO12,AQ12,AS12,AU12,AW12,AY12,BA12,BC12,BE12,BG12,BI12,BK12,BM12,BO12,BQ12,BS12,BU12,BW12,BY12,CA12,CC12)</f>
        <v/>
      </c>
      <c r="C12" s="34" t="inlineStr">
        <is>
          <t>GCSL</t>
        </is>
      </c>
      <c r="D12" s="34" t="inlineStr">
        <is>
          <t>Gretex Corporate Services Ltd</t>
        </is>
      </c>
      <c r="E12" s="31" t="inlineStr">
        <is>
          <t>Financial Services</t>
        </is>
      </c>
      <c r="F12" s="31" t="inlineStr">
        <is>
          <t>Finance &amp; Investments - Others</t>
        </is>
      </c>
      <c r="G12" s="31" t="inlineStr">
        <is>
          <t>smallcap</t>
        </is>
      </c>
      <c r="H12" s="32" t="n">
        <v>1273.92</v>
      </c>
      <c r="I12" s="32" t="n">
        <v>527.3</v>
      </c>
      <c r="J12" s="32" t="n">
        <v>2.39</v>
      </c>
      <c r="K12" s="32" t="n">
        <v>0</v>
      </c>
      <c r="L12" s="31" t="n">
        <v>86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73.34999999999999</v>
      </c>
      <c r="P12" s="32" t="n">
        <v>23.12</v>
      </c>
      <c r="Q12" s="32" t="n">
        <v>404.74</v>
      </c>
      <c r="R12" s="31" t="inlineStr">
        <is>
          <t>Volume Spike &amp; Near 52W High Breakout</t>
        </is>
      </c>
      <c r="S12" s="31" t="inlineStr">
        <is>
          <t>Nifty Bank</t>
        </is>
      </c>
      <c r="T12" s="32" t="n">
        <v>8.140000000000001</v>
      </c>
      <c r="U12" s="32" t="n">
        <v>75.12</v>
      </c>
      <c r="V12" s="32" t="n">
        <v>61.94</v>
      </c>
      <c r="W12" s="32" t="n">
        <v>24.98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above 5x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  <c r="CB12" s="31" t="inlineStr">
        <is>
          <t>15</t>
        </is>
      </c>
      <c r="CC12" s="31">
        <f>IF(CB12&gt;20,10,IF(CB12&gt;=10,5,2))</f>
        <v/>
      </c>
    </row>
    <row r="13">
      <c r="A13" s="31">
        <f>IF(B13=0,"",RANK(B13,$B$2:$B$17,0))</f>
        <v/>
      </c>
      <c r="B13" s="32">
        <f>SUM(N13,Y13,AA13,AC13,AE13,AG13,AI13,AK13,AM13,AO13,AQ13,AS13,AU13,AW13,AY13,BA13,BC13,BE13,BG13,BI13,BK13,BM13,BO13,BQ13,BS13,BU13,BW13,BY13,CA13,CC13)</f>
        <v/>
      </c>
      <c r="C13" s="34" t="inlineStr">
        <is>
          <t>OFSS</t>
        </is>
      </c>
      <c r="D13" s="34" t="inlineStr">
        <is>
          <t>Oracle Financial Services Software Ltd</t>
        </is>
      </c>
      <c r="E13" s="31" t="inlineStr">
        <is>
          <t>i.t</t>
        </is>
      </c>
      <c r="F13" s="31" t="inlineStr">
        <is>
          <t>IT Product Companies</t>
        </is>
      </c>
      <c r="G13" s="31" t="inlineStr">
        <is>
          <t>largecap</t>
        </is>
      </c>
      <c r="H13" s="32" t="n">
        <v>102492.61</v>
      </c>
      <c r="I13" s="32" t="n">
        <v>11771</v>
      </c>
      <c r="J13" s="32" t="n">
        <v>0.77</v>
      </c>
      <c r="K13" s="32" t="n">
        <v>0</v>
      </c>
      <c r="L13" s="31" t="n">
        <v>78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76.70999999999999</v>
      </c>
      <c r="P13" s="32" t="n">
        <v>33.39</v>
      </c>
      <c r="Q13" s="32" t="n">
        <v>9587.870000000001</v>
      </c>
      <c r="R13" s="31" t="inlineStr">
        <is>
          <t>Near 52W High Breakout</t>
        </is>
      </c>
      <c r="S13" s="31" t="inlineStr">
        <is>
          <t>Nifty IT</t>
        </is>
      </c>
      <c r="T13" s="32" t="n">
        <v>-21.31</v>
      </c>
      <c r="U13" s="32" t="n">
        <v>39.88</v>
      </c>
      <c r="V13" s="32" t="n">
        <v>77.76000000000001</v>
      </c>
      <c r="W13" s="32" t="n">
        <v>19.07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above 5x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Above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  <c r="CB13" s="31" t="inlineStr">
        <is>
          <t>15</t>
        </is>
      </c>
      <c r="CC13" s="31">
        <f>IF(CB13&gt;20,10,IF(CB13&gt;=10,5,2))</f>
        <v/>
      </c>
    </row>
    <row r="14">
      <c r="A14" s="31">
        <f>IF(B14=0,"",RANK(B14,$B$2:$B$17,0))</f>
        <v/>
      </c>
      <c r="B14" s="32">
        <f>SUM(N14,Y14,AA14,AC14,AE14,AG14,AI14,AK14,AM14,AO14,AQ14,AS14,AU14,AW14,AY14,BA14,BC14,BE14,BG14,BI14,BK14,BM14,BO14,BQ14,BS14,BU14,BW14,BY14,CA14,CC14)</f>
        <v/>
      </c>
      <c r="C14" s="31" t="inlineStr">
        <is>
          <t>DHANBANK</t>
        </is>
      </c>
      <c r="D14" s="31" t="inlineStr">
        <is>
          <t>Dhanlaxmi Bank Ltd</t>
        </is>
      </c>
      <c r="E14" s="31" t="inlineStr">
        <is>
          <t>Financial Services</t>
        </is>
      </c>
      <c r="F14" s="31" t="inlineStr">
        <is>
          <t>Banks - Private</t>
        </is>
      </c>
      <c r="G14" s="31" t="inlineStr">
        <is>
          <t>smallcap</t>
        </is>
      </c>
      <c r="H14" s="32" t="n">
        <v>1336.45</v>
      </c>
      <c r="I14" s="32" t="n">
        <v>33.86</v>
      </c>
      <c r="J14" s="32" t="n">
        <v>-0.7</v>
      </c>
      <c r="K14" s="32" t="n">
        <v>0</v>
      </c>
      <c r="L14" s="31" t="n">
        <v>44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63.45</v>
      </c>
      <c r="P14" s="32" t="n">
        <v>36.01</v>
      </c>
      <c r="Q14" s="32" t="n">
        <v>26.29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3.98</v>
      </c>
      <c r="U14" s="32" t="n">
        <v>12.57</v>
      </c>
      <c r="V14" s="32" t="n">
        <v>8.26</v>
      </c>
      <c r="W14" s="32" t="n">
        <v>8.48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  <c r="CB14" s="31" t="inlineStr">
        <is>
          <t>16</t>
        </is>
      </c>
      <c r="CC14" s="31">
        <f>IF(CB14&gt;20,10,IF(CB14&gt;=10,5,2))</f>
        <v/>
      </c>
    </row>
    <row r="15">
      <c r="A15" s="31">
        <f>IF(B15=0,"",RANK(B15,$B$2:$B$17,0))</f>
        <v/>
      </c>
      <c r="B15" s="32">
        <f>SUM(N15,Y15,AA15,AC15,AE15,AG15,AI15,AK15,AM15,AO15,AQ15,AS15,AU15,AW15,AY15,BA15,BC15,BE15,BG15,BI15,BK15,BM15,BO15,BQ15,BS15,BU15,BW15,BY15,CA15,CC15)</f>
        <v/>
      </c>
      <c r="C15" s="34" t="inlineStr">
        <is>
          <t>POONAWALLA</t>
        </is>
      </c>
      <c r="D15" s="34" t="inlineStr">
        <is>
          <t>Poonawalla Fincorp Ltd</t>
        </is>
      </c>
      <c r="E15" s="31" t="inlineStr">
        <is>
          <t>financials</t>
        </is>
      </c>
      <c r="F15" s="31" t="inlineStr">
        <is>
          <t>Conglomerate Backed NBFC</t>
        </is>
      </c>
      <c r="G15" s="31" t="inlineStr">
        <is>
          <t>largecap</t>
        </is>
      </c>
      <c r="H15" s="32" t="n">
        <v>42026.85</v>
      </c>
      <c r="I15" s="32" t="n">
        <v>477.3</v>
      </c>
      <c r="J15" s="32" t="n">
        <v>1.09</v>
      </c>
      <c r="K15" s="32" t="n">
        <v>0</v>
      </c>
      <c r="L15" s="31" t="n">
        <v>24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60.5</v>
      </c>
      <c r="P15" s="32" t="n">
        <v>11.04</v>
      </c>
      <c r="Q15" s="32" t="n">
        <v>377.71</v>
      </c>
      <c r="R15" s="31" t="inlineStr">
        <is>
          <t>Earnings / Momentum Support</t>
        </is>
      </c>
      <c r="S15" s="31" t="inlineStr">
        <is>
          <t>Nifty Bank</t>
        </is>
      </c>
      <c r="T15" s="32" t="n">
        <v>3.98</v>
      </c>
      <c r="U15" s="32" t="n">
        <v>5.55</v>
      </c>
      <c r="V15" s="32" t="n">
        <v>1.51</v>
      </c>
      <c r="W15" s="32" t="n">
        <v>4.89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  <c r="CB15" s="31" t="inlineStr">
        <is>
          <t>17</t>
        </is>
      </c>
      <c r="CC15" s="31">
        <f>IF(CB15&gt;20,10,IF(CB15&gt;=10,5,2))</f>
        <v/>
      </c>
    </row>
    <row r="16">
      <c r="A16" s="31">
        <f>IF(B16=0,"",RANK(B16,$B$2:$B$17,0))</f>
        <v/>
      </c>
      <c r="B16" s="32">
        <f>SUM(N16,Y16,AA16,AC16,AE16,AG16,AI16,AK16,AM16,AO16,AQ16,AS16,AU16,AW16,AY16,BA16,BC16,BE16,BG16,BI16,BK16,BM16,BO16,BQ16,BS16,BU16,BW16,BY16,CA16,CC16)</f>
        <v/>
      </c>
      <c r="C16" s="34" t="inlineStr">
        <is>
          <t>CHOLAFIN</t>
        </is>
      </c>
      <c r="D16" s="34" t="inlineStr">
        <is>
          <t>Cholamandalam Investment &amp; Finance Company Ltd</t>
        </is>
      </c>
      <c r="E16" s="31" t="inlineStr">
        <is>
          <t>financials</t>
        </is>
      </c>
      <c r="F16" s="31" t="inlineStr">
        <is>
          <t>Conglomerate Backed NBFC</t>
        </is>
      </c>
      <c r="G16" s="31" t="inlineStr">
        <is>
          <t>largecap</t>
        </is>
      </c>
      <c r="H16" s="32" t="n">
        <v>153883.36</v>
      </c>
      <c r="I16" s="32" t="n">
        <v>1804.9</v>
      </c>
      <c r="J16" s="32" t="n">
        <v>0.88</v>
      </c>
      <c r="K16" s="32" t="n">
        <v>0</v>
      </c>
      <c r="L16" s="31" t="n">
        <v>32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61.64</v>
      </c>
      <c r="P16" s="32" t="n">
        <v>12.17</v>
      </c>
      <c r="Q16" s="32" t="n">
        <v>1471.6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3.98</v>
      </c>
      <c r="U16" s="32" t="n">
        <v>16.24</v>
      </c>
      <c r="V16" s="32" t="n">
        <v>11.79</v>
      </c>
      <c r="W16" s="32" t="n">
        <v>6.16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above 5x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  <c r="CB16" s="31" t="inlineStr">
        <is>
          <t>16</t>
        </is>
      </c>
      <c r="CC16" s="31">
        <f>IF(CB16&gt;20,10,IF(CB16&gt;=10,5,2))</f>
        <v/>
      </c>
    </row>
    <row r="17">
      <c r="A17" s="31">
        <f>IF(B17=0,"",RANK(B17,$B$2:$B$17,0))</f>
        <v/>
      </c>
      <c r="B17" s="32">
        <f>SUM(N17,Y17,AA17,AC17,AE17,AG17,AI17,AK17,AM17,AO17,AQ17,AS17,AU17,AW17,AY17,BA17,BC17,BE17,BG17,BI17,BK17,BM17,BO17,BQ17,BS17,BU17,BW17,BY17,CA17,CC17)</f>
        <v/>
      </c>
      <c r="C17" s="31" t="inlineStr">
        <is>
          <t>CHOICEIN</t>
        </is>
      </c>
      <c r="D17" s="31" t="inlineStr">
        <is>
          <t>Choice International Ltd</t>
        </is>
      </c>
      <c r="E17" s="31" t="inlineStr">
        <is>
          <t>financials</t>
        </is>
      </c>
      <c r="F17" s="31" t="inlineStr">
        <is>
          <t>Finance - Capital Markets - Brokers</t>
        </is>
      </c>
      <c r="G17" s="31" t="inlineStr">
        <is>
          <t>midcap</t>
        </is>
      </c>
      <c r="H17" s="32" t="n">
        <v>18018.16</v>
      </c>
      <c r="I17" s="32" t="n">
        <v>808.8</v>
      </c>
      <c r="J17" s="32" t="n">
        <v>0.27</v>
      </c>
      <c r="K17" s="32" t="n">
        <v>0</v>
      </c>
      <c r="L17" s="31" t="n">
        <v>21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60.9</v>
      </c>
      <c r="P17" s="32" t="n">
        <v>19.93</v>
      </c>
      <c r="Q17" s="32" t="n">
        <v>679.36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3.98</v>
      </c>
      <c r="U17" s="32" t="n">
        <v>7.4</v>
      </c>
      <c r="V17" s="32" t="n">
        <v>3.3</v>
      </c>
      <c r="W17" s="32" t="n">
        <v>4.1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above 5x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  <c r="CB17" s="31" t="inlineStr">
        <is>
          <t>15</t>
        </is>
      </c>
      <c r="CC17" s="31">
        <f>IF(CB17&gt;20,10,IF(CB17&gt;=10,5,2))</f>
        <v/>
      </c>
    </row>
    <row r="21">
      <c r="A21" s="25" t="inlineStr">
        <is>
          <t>❌ REMOVED SCAN MATCH STOCKS (THIS WEEK)</t>
        </is>
      </c>
    </row>
    <row r="22">
      <c r="A22" s="35" t="inlineStr">
        <is>
          <t>Symbol</t>
        </is>
      </c>
      <c r="B22" s="35" t="inlineStr">
        <is>
          <t>Company Name</t>
        </is>
      </c>
      <c r="C22" s="35" t="inlineStr">
        <is>
          <t>Sector</t>
        </is>
      </c>
      <c r="D22" s="35" t="inlineStr">
        <is>
          <t>Date of Removal</t>
        </is>
      </c>
    </row>
    <row r="23">
      <c r="A23" s="36" t="inlineStr">
        <is>
          <t>FUSION</t>
        </is>
      </c>
      <c r="B23" s="37" t="inlineStr">
        <is>
          <t>Fusion Finance Limited</t>
        </is>
      </c>
      <c r="C23" s="37" t="inlineStr">
        <is>
          <t>Financial Services</t>
        </is>
      </c>
      <c r="D23" s="38" t="inlineStr">
        <is>
          <t>2026-07-15</t>
        </is>
      </c>
    </row>
    <row r="24">
      <c r="A24" s="36" t="inlineStr">
        <is>
          <t>J&amp;KBANK</t>
        </is>
      </c>
      <c r="B24" s="37" t="inlineStr">
        <is>
          <t>Jammu and Kashmir Bank Limited</t>
        </is>
      </c>
      <c r="C24" s="37" t="inlineStr">
        <is>
          <t>Financial Services</t>
        </is>
      </c>
      <c r="D24" s="38" t="inlineStr">
        <is>
          <t>2026-07-19</t>
        </is>
      </c>
    </row>
    <row r="25">
      <c r="A25" s="36" t="inlineStr">
        <is>
          <t>JSFB</t>
        </is>
      </c>
      <c r="B25" s="37" t="inlineStr">
        <is>
          <t>Jana Small Finance Bank Limited</t>
        </is>
      </c>
      <c r="C25" s="37" t="inlineStr">
        <is>
          <t>Financial Services</t>
        </is>
      </c>
      <c r="D25" s="38" t="inlineStr">
        <is>
          <t>2026-07-17</t>
        </is>
      </c>
    </row>
    <row r="26">
      <c r="A26" s="36" t="inlineStr">
        <is>
          <t>SHAREINDIA</t>
        </is>
      </c>
      <c r="B26" s="37" t="inlineStr">
        <is>
          <t>Share India Securities Limited</t>
        </is>
      </c>
      <c r="C26" s="37" t="inlineStr">
        <is>
          <t>Financial Services</t>
        </is>
      </c>
      <c r="D26" s="38" t="inlineStr">
        <is>
          <t>2026-07-14</t>
        </is>
      </c>
    </row>
    <row r="27">
      <c r="A27" s="36" t="inlineStr">
        <is>
          <t>SPANDANA</t>
        </is>
      </c>
      <c r="B27" s="37" t="inlineStr">
        <is>
          <t>Spandana Sphoorty Financial Limited</t>
        </is>
      </c>
      <c r="C27" s="37" t="inlineStr">
        <is>
          <t>Financial Services</t>
        </is>
      </c>
      <c r="D27" s="38" t="inlineStr">
        <is>
          <t>2026-07-17</t>
        </is>
      </c>
    </row>
    <row r="28">
      <c r="A28" s="36" t="inlineStr">
        <is>
          <t>TMB</t>
        </is>
      </c>
      <c r="B28" s="37" t="inlineStr">
        <is>
          <t>Tamilnad Mercantile Bank Limited</t>
        </is>
      </c>
      <c r="C28" s="37" t="inlineStr">
        <is>
          <t>Financial Services</t>
        </is>
      </c>
      <c r="D28" s="38" t="inlineStr">
        <is>
          <t>2026-07-16</t>
        </is>
      </c>
    </row>
  </sheetData>
  <autoFilter ref="A1:CC17"/>
  <conditionalFormatting sqref="B2:B1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7">
    <cfRule type="cellIs" priority="35" operator="equal" dxfId="3" stopIfTrue="1">
      <formula>"Underperforming"</formula>
    </cfRule>
  </conditionalFormatting>
  <conditionalFormatting sqref="N2:N17">
    <cfRule type="cellIs" priority="36" operator="equal" dxfId="3" stopIfTrue="1">
      <formula>-5</formula>
    </cfRule>
  </conditionalFormatting>
  <conditionalFormatting sqref="Q2:Q1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7" showDropDown="0" showInputMessage="0" showErrorMessage="0" allowBlank="1" type="list">
      <formula1>"Growing Industry,Stagnant Industry,Cyclical in an Upturn"</formula1>
    </dataValidation>
    <dataValidation sqref="Z2:Z17" showDropDown="0" showInputMessage="0" showErrorMessage="0" allowBlank="1" type="list">
      <formula1>"Fragmented with Low ROE,Fragmented with High ROE,Highly Cyclical"</formula1>
    </dataValidation>
    <dataValidation sqref="AB2:AB17" showDropDown="0" showInputMessage="0" showErrorMessage="0" allowBlank="1" type="list">
      <formula1>"Yes,No"</formula1>
    </dataValidation>
    <dataValidation sqref="AD2:AD17" showDropDown="0" showInputMessage="0" showErrorMessage="0" allowBlank="1" type="list">
      <formula1>"Tailwind,Headwind"</formula1>
    </dataValidation>
    <dataValidation sqref="AF2:AF1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7" showDropDown="0" showInputMessage="0" showErrorMessage="0" allowBlank="1" type="list">
      <formula1>"Yes,No"</formula1>
    </dataValidation>
    <dataValidation sqref="AJ2:AJ17" showDropDown="0" showInputMessage="0" showErrorMessage="0" allowBlank="1" type="list">
      <formula1>"Yes,No,Not Applicable"</formula1>
    </dataValidation>
    <dataValidation sqref="AL2:AL17" showDropDown="0" showInputMessage="0" showErrorMessage="0" allowBlank="1" type="list">
      <formula1>"Yes,No"</formula1>
    </dataValidation>
    <dataValidation sqref="AN2:AN17" showDropDown="0" showInputMessage="0" showErrorMessage="0" allowBlank="1" type="list">
      <formula1>"Yes,No"</formula1>
    </dataValidation>
    <dataValidation sqref="AP2:AP17" showDropDown="0" showInputMessage="0" showErrorMessage="0" allowBlank="1" type="list">
      <formula1>"Yes,No"</formula1>
    </dataValidation>
    <dataValidation sqref="AR2:AR17" showDropDown="0" showInputMessage="0" showErrorMessage="0" allowBlank="1" type="list">
      <formula1>"Yes,No"</formula1>
    </dataValidation>
    <dataValidation sqref="AT2:AT17" showDropDown="0" showInputMessage="0" showErrorMessage="0" allowBlank="1" type="list">
      <formula1>"No,Yes"</formula1>
    </dataValidation>
    <dataValidation sqref="AV2:AV17" showDropDown="0" showInputMessage="0" showErrorMessage="0" allowBlank="1" type="list">
      <formula1>"No,Yes"</formula1>
    </dataValidation>
    <dataValidation sqref="AX2:AX17" showDropDown="0" showInputMessage="0" showErrorMessage="0" allowBlank="1" type="list">
      <formula1>"No,Yes CEO Resignation,Yes CEO Retirement"</formula1>
    </dataValidation>
    <dataValidation sqref="AZ2:AZ17" showDropDown="0" showInputMessage="0" showErrorMessage="0" allowBlank="1" type="list">
      <formula1>"No,Yes"</formula1>
    </dataValidation>
    <dataValidation sqref="BB2:BB17" showDropDown="0" showInputMessage="0" showErrorMessage="0" allowBlank="1" type="list">
      <formula1>"No,Yes"</formula1>
    </dataValidation>
    <dataValidation sqref="BD2:BD17" showDropDown="0" showInputMessage="0" showErrorMessage="0" allowBlank="1" type="list">
      <formula1>"Yes,No"</formula1>
    </dataValidation>
    <dataValidation sqref="BF2:BF17" showDropDown="0" showInputMessage="0" showErrorMessage="0" allowBlank="1" type="list">
      <formula1>"Yes,No"</formula1>
    </dataValidation>
    <dataValidation sqref="BH2:BH17" showDropDown="0" showInputMessage="0" showErrorMessage="0" allowBlank="1" type="list">
      <formula1>"Yes,No"</formula1>
    </dataValidation>
    <dataValidation sqref="BJ2:BJ1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7" showDropDown="0" showInputMessage="0" showErrorMessage="0" allowBlank="1" type="list">
      <formula1>"Above 40,20 to 40,0 to 20"</formula1>
    </dataValidation>
    <dataValidation sqref="BN2:BN17" showDropDown="0" showInputMessage="0" showErrorMessage="0" allowBlank="1" type="list">
      <formula1>"Between 50 to 75,Above 75,Below 45"</formula1>
    </dataValidation>
    <dataValidation sqref="BP2:BP17" showDropDown="0" showInputMessage="0" showErrorMessage="0" allowBlank="1" type="list">
      <formula1>"Stage 1,Stage 2,Stage 3,Stage 4"</formula1>
    </dataValidation>
    <dataValidation sqref="BR2:BR17" showDropDown="0" showInputMessage="0" showErrorMessage="0" allowBlank="1" type="list">
      <formula1>"Positive Trend,Negative Trend"</formula1>
    </dataValidation>
    <dataValidation sqref="BT2:BT17" showDropDown="0" showInputMessage="0" showErrorMessage="0" allowBlank="1" type="list">
      <formula1>"Uptrend,Sideways,Downtrend"</formula1>
    </dataValidation>
    <dataValidation sqref="BV2:BV17" showDropDown="0" showInputMessage="0" showErrorMessage="0" allowBlank="1" type="list">
      <formula1>"Uptrend,Sideways,Downtrend"</formula1>
    </dataValidation>
    <dataValidation sqref="BX2:BX1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2026-07-19T10:08:01Z</dcterms:created>
  <dcterms:modified xmlns:dcterms="http://purl.org/dc/terms/" xmlns:xsi="http://www.w3.org/2001/XMLSchema-instance" xsi:type="dcterms:W3CDTF">2026-07-19T10:11:58Z</dcterms:modified>
</cp:coreProperties>
</file>