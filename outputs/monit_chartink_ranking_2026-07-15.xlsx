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Universe'!$A$1:$J$428</definedName>
    <definedName name="_xlnm._FilterDatabase" localSheetId="3" hidden="1">'Confluence Overlap'!$A$1:$K$97</definedName>
    <definedName name="_xlnm._FilterDatabase" localSheetId="4" hidden="1">'Monit Non Financial'!$A$1:$CE$362</definedName>
    <definedName name="_xlnm._FilterDatabase" localSheetId="5" hidden="1">'Monit Banks NBFC'!$A$1:$CA$67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Financial'!$A$1:$CG$85</definedName>
    <definedName name="_xlnm._FilterDatabase" localSheetId="9" hidden="1">'Scan Match Banks NBFC'!$A$1:$CC$17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15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36" customWidth="1" min="4" max="4"/>
    <col width="22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564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79</v>
      </c>
      <c r="G6" s="19" t="n">
        <v>15435.54</v>
      </c>
      <c r="H6" s="18" t="inlineStr">
        <is>
          <t>Potential Leader</t>
        </is>
      </c>
      <c r="J6" s="18" t="inlineStr">
        <is>
          <t>energy</t>
        </is>
      </c>
      <c r="K6" s="16" t="n">
        <v>28</v>
      </c>
      <c r="L6" s="16" t="n">
        <v>19</v>
      </c>
      <c r="M6" s="20" t="inlineStr">
        <is>
          <t>47.4%</t>
        </is>
      </c>
    </row>
    <row r="7">
      <c r="A7" s="16" t="n">
        <v>2</v>
      </c>
      <c r="B7" s="17" t="n">
        <v>552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77</v>
      </c>
      <c r="G7" s="19" t="n">
        <v>5512.66</v>
      </c>
      <c r="H7" s="18" t="inlineStr">
        <is>
          <t>Potential Leader</t>
        </is>
      </c>
      <c r="J7" s="18" t="inlineStr">
        <is>
          <t>i.t</t>
        </is>
      </c>
      <c r="K7" s="16" t="n">
        <v>93</v>
      </c>
      <c r="L7" s="16" t="n">
        <v>73</v>
      </c>
      <c r="M7" s="20" t="inlineStr">
        <is>
          <t>27.4%</t>
        </is>
      </c>
    </row>
    <row r="8">
      <c r="A8" s="16" t="n">
        <v>3</v>
      </c>
      <c r="B8" s="17" t="n">
        <v>546</v>
      </c>
      <c r="C8" s="17" t="inlineStr">
        <is>
          <t>WELCORP</t>
        </is>
      </c>
      <c r="D8" s="18" t="inlineStr">
        <is>
          <t>Welspun Corp Limited</t>
        </is>
      </c>
      <c r="E8" s="18" t="inlineStr">
        <is>
          <t>industrials</t>
        </is>
      </c>
      <c r="F8" s="16" t="n">
        <v>76</v>
      </c>
      <c r="G8" s="19" t="n">
        <v>44406.52</v>
      </c>
      <c r="H8" s="18" t="inlineStr">
        <is>
          <t>Potential Leader</t>
        </is>
      </c>
      <c r="J8" s="18" t="inlineStr">
        <is>
          <t>telecom-service</t>
        </is>
      </c>
      <c r="K8" s="16" t="n">
        <v>11</v>
      </c>
      <c r="L8" s="16" t="n">
        <v>9</v>
      </c>
      <c r="M8" s="20" t="inlineStr">
        <is>
          <t>22.2%</t>
        </is>
      </c>
    </row>
    <row r="9">
      <c r="A9" s="16" t="n">
        <v>4</v>
      </c>
      <c r="B9" s="17" t="n">
        <v>528</v>
      </c>
      <c r="C9" s="17" t="inlineStr">
        <is>
          <t>SHILPAMED</t>
        </is>
      </c>
      <c r="D9" s="18" t="inlineStr">
        <is>
          <t>Shilpa Medicare Limited</t>
        </is>
      </c>
      <c r="E9" s="18" t="inlineStr">
        <is>
          <t>healthcare</t>
        </is>
      </c>
      <c r="F9" s="16" t="n">
        <v>73</v>
      </c>
      <c r="G9" s="19" t="n">
        <v>12209.19</v>
      </c>
      <c r="H9" s="18" t="inlineStr">
        <is>
          <t>Potential Leader</t>
        </is>
      </c>
      <c r="J9" s="18" t="inlineStr">
        <is>
          <t>media</t>
        </is>
      </c>
      <c r="K9" s="16" t="n">
        <v>19</v>
      </c>
      <c r="L9" s="16" t="n">
        <v>16</v>
      </c>
      <c r="M9" s="20" t="inlineStr">
        <is>
          <t>18.8%</t>
        </is>
      </c>
    </row>
    <row r="10">
      <c r="A10" s="16" t="n">
        <v>5</v>
      </c>
      <c r="B10" s="17" t="n">
        <v>504</v>
      </c>
      <c r="C10" s="17" t="inlineStr">
        <is>
          <t>NINSYS</t>
        </is>
      </c>
      <c r="D10" s="18" t="inlineStr">
        <is>
          <t>NINtec Systems Ltd</t>
        </is>
      </c>
      <c r="E10" s="18" t="inlineStr">
        <is>
          <t>i.t</t>
        </is>
      </c>
      <c r="F10" s="16" t="n">
        <v>69</v>
      </c>
      <c r="G10" s="19" t="n">
        <v>1613.42</v>
      </c>
      <c r="H10" s="18" t="inlineStr">
        <is>
          <t>Potential Leader</t>
        </is>
      </c>
      <c r="J10" s="18" t="inlineStr">
        <is>
          <t>plastic products</t>
        </is>
      </c>
      <c r="K10" s="16" t="n">
        <v>12</v>
      </c>
      <c r="L10" s="16" t="n">
        <v>11</v>
      </c>
      <c r="M10" s="20" t="inlineStr">
        <is>
          <t>9.1%</t>
        </is>
      </c>
    </row>
    <row r="11">
      <c r="A11" s="16" t="n">
        <v>6</v>
      </c>
      <c r="B11" s="17" t="n">
        <v>498</v>
      </c>
      <c r="C11" s="17" t="inlineStr">
        <is>
          <t>SIGMAADV</t>
        </is>
      </c>
      <c r="D11" s="18" t="inlineStr">
        <is>
          <t>Sigma Advanced System Ltd</t>
        </is>
      </c>
      <c r="E11" s="18" t="inlineStr">
        <is>
          <t>aerospace &amp; defence</t>
        </is>
      </c>
      <c r="F11" s="16" t="n">
        <v>68</v>
      </c>
      <c r="G11" s="19" t="n">
        <v>10109.99</v>
      </c>
      <c r="H11" s="18" t="inlineStr">
        <is>
          <t>Potential Leader</t>
        </is>
      </c>
      <c r="J11" s="18" t="inlineStr">
        <is>
          <t>consumer discretionary</t>
        </is>
      </c>
      <c r="K11" s="16" t="n">
        <v>172</v>
      </c>
      <c r="L11" s="16" t="n">
        <v>158</v>
      </c>
      <c r="M11" s="20" t="inlineStr">
        <is>
          <t>8.9%</t>
        </is>
      </c>
    </row>
    <row r="12">
      <c r="A12" s="16" t="n">
        <v>7</v>
      </c>
      <c r="B12" s="17" t="n">
        <v>444</v>
      </c>
      <c r="C12" s="17" t="inlineStr">
        <is>
          <t>INDOBORAX</t>
        </is>
      </c>
      <c r="D12" s="18" t="inlineStr">
        <is>
          <t>Indo Borax &amp; Chemicals Ltd</t>
        </is>
      </c>
      <c r="E12" s="18" t="inlineStr">
        <is>
          <t>chemicals</t>
        </is>
      </c>
      <c r="F12" s="16" t="n">
        <v>59</v>
      </c>
      <c r="G12" s="19" t="n">
        <v>1561.82</v>
      </c>
      <c r="H12" s="18" t="inlineStr">
        <is>
          <t>Potential Leader</t>
        </is>
      </c>
      <c r="J12" s="18" t="inlineStr">
        <is>
          <t>bank</t>
        </is>
      </c>
      <c r="K12" s="16" t="n">
        <v>86</v>
      </c>
      <c r="L12" s="16" t="n">
        <v>80</v>
      </c>
      <c r="M12" s="20" t="inlineStr">
        <is>
          <t>7.5%</t>
        </is>
      </c>
    </row>
    <row r="13">
      <c r="A13" s="16" t="n">
        <v>8</v>
      </c>
      <c r="B13" s="17" t="n">
        <v>438</v>
      </c>
      <c r="C13" s="17" t="inlineStr">
        <is>
          <t>BLSE</t>
        </is>
      </c>
      <c r="D13" s="18" t="inlineStr">
        <is>
          <t>BLS E-Services Ltd</t>
        </is>
      </c>
      <c r="E13" s="18" t="inlineStr">
        <is>
          <t>i.t</t>
        </is>
      </c>
      <c r="F13" s="16" t="n">
        <v>58</v>
      </c>
      <c r="G13" s="19" t="n">
        <v>2464.85</v>
      </c>
      <c r="H13" s="18" t="inlineStr">
        <is>
          <t>Potential Leader</t>
        </is>
      </c>
      <c r="J13" s="18" t="inlineStr">
        <is>
          <t>metals &amp; mining</t>
        </is>
      </c>
      <c r="K13" s="16" t="n">
        <v>73</v>
      </c>
      <c r="L13" s="16" t="n">
        <v>73</v>
      </c>
      <c r="M13" s="20" t="inlineStr">
        <is>
          <t>0.0%</t>
        </is>
      </c>
    </row>
    <row r="14">
      <c r="A14" s="16" t="n">
        <v>9</v>
      </c>
      <c r="B14" s="17" t="n">
        <v>438</v>
      </c>
      <c r="C14" s="17" t="inlineStr">
        <is>
          <t>CEMPRO</t>
        </is>
      </c>
      <c r="D14" s="18" t="inlineStr">
        <is>
          <t>Cemindia Projects Ltd</t>
        </is>
      </c>
      <c r="E14" s="18" t="inlineStr">
        <is>
          <t>realty</t>
        </is>
      </c>
      <c r="F14" s="16" t="n">
        <v>58</v>
      </c>
      <c r="G14" s="19" t="n">
        <v>27427.61</v>
      </c>
      <c r="H14" s="18" t="inlineStr">
        <is>
          <t>Potential Leader</t>
        </is>
      </c>
      <c r="J14" s="18" t="inlineStr">
        <is>
          <t>miscellaneous</t>
        </is>
      </c>
      <c r="K14" s="16" t="n">
        <v>62</v>
      </c>
      <c r="L14" s="16" t="n">
        <v>62</v>
      </c>
      <c r="M14" s="20" t="inlineStr">
        <is>
          <t>0.0%</t>
        </is>
      </c>
    </row>
    <row r="15">
      <c r="A15" s="16" t="n">
        <v>10</v>
      </c>
      <c r="B15" s="17" t="n">
        <v>438</v>
      </c>
      <c r="C15" s="17" t="inlineStr">
        <is>
          <t>RATEGAIN</t>
        </is>
      </c>
      <c r="D15" s="18" t="inlineStr">
        <is>
          <t>Rategain Travel Technologies Ltd</t>
        </is>
      </c>
      <c r="E15" s="18" t="inlineStr">
        <is>
          <t>i.t</t>
        </is>
      </c>
      <c r="F15" s="16" t="n">
        <v>58</v>
      </c>
      <c r="G15" s="19" t="n">
        <v>11252.3</v>
      </c>
      <c r="H15" s="18" t="inlineStr">
        <is>
          <t>Potential Leader</t>
        </is>
      </c>
      <c r="J15" s="18" t="inlineStr">
        <is>
          <t>financials</t>
        </is>
      </c>
      <c r="K15" s="16" t="n">
        <v>239</v>
      </c>
      <c r="L15" s="16" t="n">
        <v>241</v>
      </c>
      <c r="M15" s="21" t="inlineStr">
        <is>
          <t>-0.8%</t>
        </is>
      </c>
    </row>
    <row r="16">
      <c r="A16" s="16" t="n">
        <v>11</v>
      </c>
      <c r="B16" s="17" t="n">
        <v>432</v>
      </c>
      <c r="C16" s="17" t="inlineStr">
        <is>
          <t>GRWRHITECH</t>
        </is>
      </c>
      <c r="D16" s="18" t="inlineStr">
        <is>
          <t>Garware Hi Tech Films Ltd</t>
        </is>
      </c>
      <c r="E16" s="18" t="inlineStr">
        <is>
          <t>industrials</t>
        </is>
      </c>
      <c r="F16" s="16" t="n">
        <v>57</v>
      </c>
      <c r="G16" s="19" t="n">
        <v>16348.64</v>
      </c>
      <c r="H16" s="18" t="inlineStr">
        <is>
          <t>Potential Leader</t>
        </is>
      </c>
      <c r="J16" s="18" t="inlineStr">
        <is>
          <t>chemicals</t>
        </is>
      </c>
      <c r="K16" s="16" t="n">
        <v>99</v>
      </c>
      <c r="L16" s="16" t="n">
        <v>100</v>
      </c>
      <c r="M16" s="21" t="inlineStr">
        <is>
          <t>-1.0%</t>
        </is>
      </c>
    </row>
    <row r="17">
      <c r="A17" s="16" t="n">
        <v>12</v>
      </c>
      <c r="B17" s="17" t="n">
        <v>432</v>
      </c>
      <c r="C17" s="17" t="inlineStr">
        <is>
          <t>INNOVACAP</t>
        </is>
      </c>
      <c r="D17" s="18" t="inlineStr">
        <is>
          <t>Innova Captab Ltd</t>
        </is>
      </c>
      <c r="E17" s="18" t="inlineStr">
        <is>
          <t>healthcare</t>
        </is>
      </c>
      <c r="F17" s="16" t="n">
        <v>57</v>
      </c>
      <c r="G17" s="19" t="n">
        <v>5685.58</v>
      </c>
      <c r="H17" s="18" t="inlineStr">
        <is>
          <t>Potential Leader</t>
        </is>
      </c>
      <c r="J17" s="18" t="inlineStr">
        <is>
          <t>realty</t>
        </is>
      </c>
      <c r="K17" s="16" t="n">
        <v>93</v>
      </c>
      <c r="L17" s="16" t="n">
        <v>94</v>
      </c>
      <c r="M17" s="21" t="inlineStr">
        <is>
          <t>-1.1%</t>
        </is>
      </c>
    </row>
    <row r="18">
      <c r="A18" s="16" t="n">
        <v>13</v>
      </c>
      <c r="B18" s="17" t="n">
        <v>432</v>
      </c>
      <c r="C18" s="17" t="inlineStr">
        <is>
          <t>LAURUSLABS</t>
        </is>
      </c>
      <c r="D18" s="18" t="inlineStr">
        <is>
          <t>Laurus Labs Limited</t>
        </is>
      </c>
      <c r="E18" s="18" t="inlineStr">
        <is>
          <t>healthcare</t>
        </is>
      </c>
      <c r="F18" s="16" t="n">
        <v>57</v>
      </c>
      <c r="G18" s="19" t="n">
        <v>84255.42</v>
      </c>
      <c r="H18" s="18" t="inlineStr">
        <is>
          <t>Potential Leader</t>
        </is>
      </c>
      <c r="J18" s="18" t="inlineStr">
        <is>
          <t>healthcare</t>
        </is>
      </c>
      <c r="K18" s="16" t="n">
        <v>305</v>
      </c>
      <c r="L18" s="16" t="n">
        <v>316</v>
      </c>
      <c r="M18" s="21" t="inlineStr">
        <is>
          <t>-3.5%</t>
        </is>
      </c>
    </row>
    <row r="19">
      <c r="A19" s="16" t="n">
        <v>14</v>
      </c>
      <c r="B19" s="17" t="n">
        <v>384</v>
      </c>
      <c r="C19" s="17" t="inlineStr">
        <is>
          <t>CAPLIPOINT</t>
        </is>
      </c>
      <c r="D19" s="18" t="inlineStr">
        <is>
          <t>Caplin Point Laboratories Limited</t>
        </is>
      </c>
      <c r="E19" s="18" t="inlineStr">
        <is>
          <t>healthcare</t>
        </is>
      </c>
      <c r="F19" s="16" t="n">
        <v>49</v>
      </c>
      <c r="G19" s="19" t="n">
        <v>20206.95</v>
      </c>
      <c r="H19" s="18" t="inlineStr">
        <is>
          <t>Potential Leader</t>
        </is>
      </c>
      <c r="J19" s="18" t="inlineStr">
        <is>
          <t>building materials</t>
        </is>
      </c>
      <c r="K19" s="16" t="n">
        <v>71</v>
      </c>
      <c r="L19" s="16" t="n">
        <v>74</v>
      </c>
      <c r="M19" s="21" t="inlineStr">
        <is>
          <t>-4.1%</t>
        </is>
      </c>
    </row>
    <row r="20">
      <c r="A20" s="16" t="n">
        <v>15</v>
      </c>
      <c r="B20" s="17" t="n">
        <v>384</v>
      </c>
      <c r="C20" s="17" t="inlineStr">
        <is>
          <t>PAISALO</t>
        </is>
      </c>
      <c r="D20" s="18" t="inlineStr">
        <is>
          <t>Paisalo Digital Ltd</t>
        </is>
      </c>
      <c r="E20" s="18" t="inlineStr">
        <is>
          <t>financials</t>
        </is>
      </c>
      <c r="F20" s="16" t="n">
        <v>49</v>
      </c>
      <c r="G20" s="19" t="n">
        <v>6589.49</v>
      </c>
      <c r="H20" s="18" t="inlineStr">
        <is>
          <t>Potential Leader</t>
        </is>
      </c>
      <c r="J20" s="18" t="inlineStr">
        <is>
          <t>industrials</t>
        </is>
      </c>
      <c r="K20" s="16" t="n">
        <v>194</v>
      </c>
      <c r="L20" s="16" t="n">
        <v>205</v>
      </c>
      <c r="M20" s="21" t="inlineStr">
        <is>
          <t>-5.4%</t>
        </is>
      </c>
    </row>
    <row r="21">
      <c r="A21" s="16" t="n">
        <v>16</v>
      </c>
      <c r="B21" s="17" t="n">
        <v>372</v>
      </c>
      <c r="C21" s="17" t="inlineStr">
        <is>
          <t>RPEL</t>
        </is>
      </c>
      <c r="D21" s="18" t="inlineStr">
        <is>
          <t>Raghav Productivity Enhancers Ltd</t>
        </is>
      </c>
      <c r="E21" s="18" t="inlineStr">
        <is>
          <t>building materials</t>
        </is>
      </c>
      <c r="F21" s="16" t="n">
        <v>47</v>
      </c>
      <c r="G21" s="19" t="n">
        <v>5801.32</v>
      </c>
      <c r="H21" s="18" t="inlineStr">
        <is>
          <t>Potential Leader</t>
        </is>
      </c>
    </row>
    <row r="22">
      <c r="A22" s="16" t="n">
        <v>17</v>
      </c>
      <c r="B22" s="17" t="n">
        <v>366</v>
      </c>
      <c r="C22" s="17" t="inlineStr">
        <is>
          <t>YASHO</t>
        </is>
      </c>
      <c r="D22" s="18" t="inlineStr">
        <is>
          <t>Yasho Industries Ltd</t>
        </is>
      </c>
      <c r="E22" s="18" t="inlineStr">
        <is>
          <t>chemicals</t>
        </is>
      </c>
      <c r="F22" s="16" t="n">
        <v>46</v>
      </c>
      <c r="G22" s="19" t="n">
        <v>3726.85</v>
      </c>
      <c r="H22" s="18" t="inlineStr">
        <is>
          <t>Potential Leader</t>
        </is>
      </c>
    </row>
    <row r="23">
      <c r="A23" s="16" t="n">
        <v>18</v>
      </c>
      <c r="B23" s="17" t="n">
        <v>360</v>
      </c>
      <c r="C23" s="17" t="inlineStr">
        <is>
          <t>ASTRAMICRO</t>
        </is>
      </c>
      <c r="D23" s="18" t="inlineStr">
        <is>
          <t>Astra Microwave Products Limited</t>
        </is>
      </c>
      <c r="E23" s="18" t="inlineStr">
        <is>
          <t>aerospace &amp; defence</t>
        </is>
      </c>
      <c r="F23" s="16" t="n">
        <v>45</v>
      </c>
      <c r="G23" s="19" t="n">
        <v>16330.54</v>
      </c>
      <c r="H23" s="18" t="inlineStr">
        <is>
          <t>Potential Leader</t>
        </is>
      </c>
    </row>
    <row r="24">
      <c r="A24" s="16" t="n">
        <v>19</v>
      </c>
      <c r="B24" s="17" t="n">
        <v>360</v>
      </c>
      <c r="C24" s="17" t="inlineStr">
        <is>
          <t>CUPID</t>
        </is>
      </c>
      <c r="D24" s="18" t="inlineStr">
        <is>
          <t>Cupid Limited</t>
        </is>
      </c>
      <c r="E24" s="18" t="inlineStr">
        <is>
          <t>fmcg</t>
        </is>
      </c>
      <c r="F24" s="16" t="n">
        <v>45</v>
      </c>
      <c r="G24" s="19" t="n">
        <v>29148.21</v>
      </c>
      <c r="H24" s="18" t="inlineStr">
        <is>
          <t>Potential Leader</t>
        </is>
      </c>
    </row>
    <row r="25">
      <c r="A25" s="16" t="n">
        <v>20</v>
      </c>
      <c r="B25" s="17" t="n">
        <v>360</v>
      </c>
      <c r="C25" s="17" t="inlineStr">
        <is>
          <t>JAYBARMARU</t>
        </is>
      </c>
      <c r="D25" s="18" t="inlineStr">
        <is>
          <t>Jay Bharat Maruti Limited</t>
        </is>
      </c>
      <c r="E25" s="18" t="inlineStr">
        <is>
          <t>auto</t>
        </is>
      </c>
      <c r="F25" s="16" t="n">
        <v>45</v>
      </c>
      <c r="G25" s="19" t="n">
        <v>2156.12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POONAWALLA</t>
        </is>
      </c>
      <c r="B30" s="18" t="inlineStr">
        <is>
          <t>Poonawalla Fincorp Ltd</t>
        </is>
      </c>
      <c r="C30" s="18" t="inlineStr">
        <is>
          <t>financials</t>
        </is>
      </c>
      <c r="D30" s="16" t="n">
        <v>10</v>
      </c>
      <c r="E30" s="16" t="n">
        <v>1</v>
      </c>
      <c r="F30" s="19" t="n">
        <v>41317.4</v>
      </c>
      <c r="J30" s="17" t="inlineStr">
        <is>
          <t>OMAXAUTO</t>
        </is>
      </c>
      <c r="K30" s="18" t="inlineStr">
        <is>
          <t>auto</t>
        </is>
      </c>
      <c r="L30" s="19" t="n">
        <v>303</v>
      </c>
      <c r="M30" s="19" t="n">
        <v>532.52</v>
      </c>
      <c r="N30" s="16" t="n">
        <v>8</v>
      </c>
    </row>
    <row r="31">
      <c r="A31" s="17" t="inlineStr">
        <is>
          <t>GODREJPROP</t>
        </is>
      </c>
      <c r="B31" s="18" t="inlineStr">
        <is>
          <t>Godrej Properties Limited</t>
        </is>
      </c>
      <c r="C31" s="18" t="inlineStr">
        <is>
          <t>realty</t>
        </is>
      </c>
      <c r="D31" s="16" t="n">
        <v>10</v>
      </c>
      <c r="E31" s="16" t="n">
        <v>0</v>
      </c>
      <c r="F31" s="19" t="n">
        <v>63476.22</v>
      </c>
      <c r="J31" s="17" t="inlineStr">
        <is>
          <t>SATIN</t>
        </is>
      </c>
      <c r="K31" s="18" t="inlineStr">
        <is>
          <t>financials</t>
        </is>
      </c>
      <c r="L31" s="19" t="n">
        <v>302</v>
      </c>
      <c r="M31" s="19" t="n">
        <v>2923.72</v>
      </c>
      <c r="N31" s="16" t="n">
        <v>27</v>
      </c>
    </row>
    <row r="32">
      <c r="A32" s="17" t="inlineStr">
        <is>
          <t>CEATLTD</t>
        </is>
      </c>
      <c r="B32" s="18" t="inlineStr">
        <is>
          <t>Ceat Limited</t>
        </is>
      </c>
      <c r="C32" s="18" t="inlineStr">
        <is>
          <t>auto</t>
        </is>
      </c>
      <c r="D32" s="16" t="n">
        <v>10</v>
      </c>
      <c r="E32" s="16" t="n">
        <v>1</v>
      </c>
      <c r="F32" s="19" t="n">
        <v>15046.63</v>
      </c>
      <c r="J32" s="17" t="inlineStr">
        <is>
          <t>WELINV</t>
        </is>
      </c>
      <c r="K32" s="18" t="inlineStr">
        <is>
          <t>financials</t>
        </is>
      </c>
      <c r="L32" s="19" t="n">
        <v>300</v>
      </c>
      <c r="M32" s="19" t="n">
        <v>655.83</v>
      </c>
      <c r="N32" s="16" t="n">
        <v>6</v>
      </c>
    </row>
    <row r="33">
      <c r="A33" s="17" t="inlineStr">
        <is>
          <t>KABRAEXTRU</t>
        </is>
      </c>
      <c r="B33" s="18" t="inlineStr">
        <is>
          <t>Kabra Extrusion Technik Limited</t>
        </is>
      </c>
      <c r="C33" s="18" t="inlineStr">
        <is>
          <t>industrials</t>
        </is>
      </c>
      <c r="D33" s="16" t="n">
        <v>10</v>
      </c>
      <c r="E33" s="16" t="n">
        <v>2</v>
      </c>
      <c r="F33" s="19" t="n">
        <v>1111.26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10366.72</v>
      </c>
      <c r="N33" s="16" t="n">
        <v>14</v>
      </c>
    </row>
    <row r="34">
      <c r="A34" s="17" t="inlineStr">
        <is>
          <t>QUESS</t>
        </is>
      </c>
      <c r="B34" s="18" t="inlineStr">
        <is>
          <t>Quess Corp Limited</t>
        </is>
      </c>
      <c r="C34" s="18" t="inlineStr">
        <is>
          <t>miscellaneous</t>
        </is>
      </c>
      <c r="D34" s="16" t="n">
        <v>10</v>
      </c>
      <c r="E34" s="16" t="n">
        <v>2</v>
      </c>
      <c r="F34" s="19" t="n">
        <v>4368.69</v>
      </c>
      <c r="J34" s="17" t="inlineStr">
        <is>
          <t>INDOBORAX</t>
        </is>
      </c>
      <c r="K34" s="18" t="inlineStr">
        <is>
          <t>chemicals</t>
        </is>
      </c>
      <c r="L34" s="19" t="n">
        <v>290</v>
      </c>
      <c r="M34" s="19" t="n">
        <v>1561.82</v>
      </c>
      <c r="N34" s="16" t="n">
        <v>30</v>
      </c>
    </row>
    <row r="35">
      <c r="A35" s="17" t="inlineStr">
        <is>
          <t>POLYPLEX</t>
        </is>
      </c>
      <c r="B35" s="18" t="inlineStr">
        <is>
          <t>Polyplex Corporation Limited</t>
        </is>
      </c>
      <c r="C35" s="18" t="inlineStr">
        <is>
          <t>industrials</t>
        </is>
      </c>
      <c r="D35" s="16" t="n">
        <v>9</v>
      </c>
      <c r="E35" s="16" t="n">
        <v>1</v>
      </c>
      <c r="F35" s="19" t="n">
        <v>3336.08</v>
      </c>
      <c r="J35" s="17" t="inlineStr">
        <is>
          <t>CONFIPET</t>
        </is>
      </c>
      <c r="K35" s="18" t="inlineStr">
        <is>
          <t>miscellaneous</t>
        </is>
      </c>
      <c r="L35" s="19" t="n">
        <v>288</v>
      </c>
      <c r="M35" s="19" t="n">
        <v>2445.96</v>
      </c>
      <c r="N35" s="16" t="n">
        <v>22</v>
      </c>
    </row>
    <row r="36">
      <c r="A36" s="17" t="inlineStr">
        <is>
          <t>AEGISVOPAK</t>
        </is>
      </c>
      <c r="B36" s="18" t="inlineStr">
        <is>
          <t>Aegis Vopak Terminals Ltd</t>
        </is>
      </c>
      <c r="C36" s="18" t="inlineStr">
        <is>
          <t>transportation</t>
        </is>
      </c>
      <c r="D36" s="16" t="n">
        <v>9</v>
      </c>
      <c r="E36" s="16" t="n">
        <v>2</v>
      </c>
      <c r="F36" s="19" t="n">
        <v>31094.67</v>
      </c>
      <c r="J36" s="17" t="inlineStr">
        <is>
          <t>PAISALO</t>
        </is>
      </c>
      <c r="K36" s="18" t="inlineStr">
        <is>
          <t>financials</t>
        </is>
      </c>
      <c r="L36" s="19" t="n">
        <v>287</v>
      </c>
      <c r="M36" s="19" t="n">
        <v>6589.49</v>
      </c>
      <c r="N36" s="16" t="n">
        <v>30</v>
      </c>
    </row>
    <row r="37">
      <c r="A37" s="17" t="inlineStr">
        <is>
          <t>TTKPRESTIG</t>
        </is>
      </c>
      <c r="B37" s="18" t="inlineStr">
        <is>
          <t>Ttk Prestige Limited</t>
        </is>
      </c>
      <c r="C37" s="18" t="inlineStr">
        <is>
          <t>consumer discretionary</t>
        </is>
      </c>
      <c r="D37" s="16" t="n">
        <v>9</v>
      </c>
      <c r="E37" s="16" t="n">
        <v>1</v>
      </c>
      <c r="F37" s="19" t="n">
        <v>9103.129999999999</v>
      </c>
      <c r="J37" s="17" t="inlineStr">
        <is>
          <t>IOLCP</t>
        </is>
      </c>
      <c r="K37" s="18" t="inlineStr">
        <is>
          <t>healthcare</t>
        </is>
      </c>
      <c r="L37" s="19" t="n">
        <v>287</v>
      </c>
      <c r="M37" s="19" t="n">
        <v>5100.92</v>
      </c>
      <c r="N37" s="16" t="n">
        <v>28</v>
      </c>
    </row>
    <row r="38">
      <c r="A38" s="17" t="inlineStr">
        <is>
          <t>SHREECEM</t>
        </is>
      </c>
      <c r="B38" s="18" t="inlineStr">
        <is>
          <t>Shree Cements Limited</t>
        </is>
      </c>
      <c r="C38" s="18" t="inlineStr">
        <is>
          <t>building materials</t>
        </is>
      </c>
      <c r="D38" s="16" t="n">
        <v>9</v>
      </c>
      <c r="E38" s="16" t="n">
        <v>0</v>
      </c>
      <c r="F38" s="19" t="n">
        <v>94820.21000000001</v>
      </c>
      <c r="J38" s="17" t="inlineStr">
        <is>
          <t>UJJIVANSFB</t>
        </is>
      </c>
      <c r="K38" s="18" t="inlineStr">
        <is>
          <t>bank</t>
        </is>
      </c>
      <c r="L38" s="19" t="n">
        <v>287</v>
      </c>
      <c r="M38" s="19" t="n">
        <v>12671.4</v>
      </c>
      <c r="N38" s="16" t="n">
        <v>18</v>
      </c>
    </row>
    <row r="39">
      <c r="A39" s="17" t="inlineStr">
        <is>
          <t>RGL</t>
        </is>
      </c>
      <c r="B39" s="18" t="inlineStr">
        <is>
          <t>Renaissance Global Ltd</t>
        </is>
      </c>
      <c r="C39" s="18" t="inlineStr">
        <is>
          <t>consumer discretionary</t>
        </is>
      </c>
      <c r="D39" s="16" t="n">
        <v>9</v>
      </c>
      <c r="E39" s="16" t="n">
        <v>0</v>
      </c>
      <c r="F39" s="19" t="n">
        <v>1276.85</v>
      </c>
      <c r="J39" s="17" t="inlineStr">
        <is>
          <t>INDIAGLYCO</t>
        </is>
      </c>
      <c r="K39" s="18" t="inlineStr">
        <is>
          <t>fmcg</t>
        </is>
      </c>
      <c r="L39" s="19" t="n">
        <v>287</v>
      </c>
      <c r="M39" s="19" t="n">
        <v>7390.71</v>
      </c>
      <c r="N39" s="16" t="n">
        <v>11</v>
      </c>
    </row>
    <row r="40">
      <c r="A40" s="17" t="inlineStr">
        <is>
          <t>CCAVENUE</t>
        </is>
      </c>
      <c r="B40" s="18" t="inlineStr">
        <is>
          <t>AvenuesAI Ltd</t>
        </is>
      </c>
      <c r="C40" s="18" t="inlineStr">
        <is>
          <t>i.t</t>
        </is>
      </c>
      <c r="D40" s="16" t="n">
        <v>8</v>
      </c>
      <c r="E40" s="16" t="n">
        <v>0</v>
      </c>
      <c r="F40" s="19" t="n">
        <v>6230.62</v>
      </c>
      <c r="J40" s="17" t="inlineStr">
        <is>
          <t>TMB</t>
        </is>
      </c>
      <c r="K40" s="18" t="inlineStr">
        <is>
          <t>bank</t>
        </is>
      </c>
      <c r="L40" s="19" t="n">
        <v>287</v>
      </c>
      <c r="M40" s="19" t="n">
        <v>12356.96</v>
      </c>
      <c r="N40" s="16" t="n">
        <v>22</v>
      </c>
    </row>
    <row r="41">
      <c r="A41" s="17" t="inlineStr">
        <is>
          <t>VISAKAIND</t>
        </is>
      </c>
      <c r="B41" s="18" t="inlineStr">
        <is>
          <t>Visaka Industries Limited</t>
        </is>
      </c>
      <c r="C41" s="18" t="inlineStr">
        <is>
          <t>building materials</t>
        </is>
      </c>
      <c r="D41" s="16" t="n">
        <v>7</v>
      </c>
      <c r="E41" s="16" t="n">
        <v>2</v>
      </c>
      <c r="F41" s="19" t="n">
        <v>725.89</v>
      </c>
      <c r="J41" s="17" t="inlineStr">
        <is>
          <t>FEDFINA</t>
        </is>
      </c>
      <c r="K41" s="18" t="inlineStr">
        <is>
          <t>financials</t>
        </is>
      </c>
      <c r="L41" s="19" t="n">
        <v>287</v>
      </c>
      <c r="M41" s="19" t="n">
        <v>5794.58</v>
      </c>
      <c r="N41" s="16" t="n">
        <v>7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88.02</v>
      </c>
      <c r="D47" s="28" t="n">
        <v>260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10109.99</v>
      </c>
    </row>
    <row r="48">
      <c r="A48" s="16" t="n">
        <v>2</v>
      </c>
      <c r="B48" s="27" t="n">
        <v>99</v>
      </c>
      <c r="C48" s="28" t="n">
        <v>78.40000000000001</v>
      </c>
      <c r="D48" s="28" t="n">
        <v>277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29148.21</v>
      </c>
    </row>
    <row r="49">
      <c r="A49" s="16" t="n">
        <v>3</v>
      </c>
      <c r="B49" s="27" t="n">
        <v>99</v>
      </c>
      <c r="C49" s="28" t="n">
        <v>68.8</v>
      </c>
      <c r="D49" s="28" t="n">
        <v>248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11630.11</v>
      </c>
    </row>
    <row r="50">
      <c r="A50" s="16" t="n">
        <v>4</v>
      </c>
      <c r="B50" s="27" t="n">
        <v>98</v>
      </c>
      <c r="C50" s="28" t="n">
        <v>58.08</v>
      </c>
      <c r="D50" s="28" t="n">
        <v>255</v>
      </c>
      <c r="E50" s="17" t="inlineStr">
        <is>
          <t>HFCL</t>
        </is>
      </c>
      <c r="F50" s="18" t="inlineStr">
        <is>
          <t>HFCL Ltd</t>
        </is>
      </c>
      <c r="G50" s="18" t="inlineStr">
        <is>
          <t>telecom</t>
        </is>
      </c>
      <c r="H50" s="19" t="n">
        <v>32568.16</v>
      </c>
    </row>
    <row r="51">
      <c r="A51" s="16" t="n">
        <v>5</v>
      </c>
      <c r="B51" s="27" t="n">
        <v>98</v>
      </c>
      <c r="C51" s="28" t="n">
        <v>55.9</v>
      </c>
      <c r="D51" s="28" t="n">
        <v>263</v>
      </c>
      <c r="E51" s="17" t="inlineStr">
        <is>
          <t>UFBL</t>
        </is>
      </c>
      <c r="F51" s="18" t="inlineStr">
        <is>
          <t>United Foodbrands Ltd</t>
        </is>
      </c>
      <c r="G51" s="18" t="inlineStr">
        <is>
          <t>consumer discretionary</t>
        </is>
      </c>
      <c r="H51" s="19" t="n">
        <v>2892.2</v>
      </c>
    </row>
    <row r="52">
      <c r="A52" s="16" t="n">
        <v>6</v>
      </c>
      <c r="B52" s="27" t="n">
        <v>98</v>
      </c>
      <c r="C52" s="28" t="n">
        <v>54.96</v>
      </c>
      <c r="D52" s="28" t="n">
        <v>287</v>
      </c>
      <c r="E52" s="17" t="inlineStr">
        <is>
          <t>MODINSU</t>
        </is>
      </c>
      <c r="F52" s="18" t="inlineStr">
        <is>
          <t>Modern Insulators Limited</t>
        </is>
      </c>
      <c r="G52" s="18" t="inlineStr">
        <is>
          <t>Technology</t>
        </is>
      </c>
      <c r="H52" s="19" t="n">
        <v>2484.72</v>
      </c>
    </row>
    <row r="53">
      <c r="A53" s="16" t="n">
        <v>7</v>
      </c>
      <c r="B53" s="27" t="n">
        <v>98</v>
      </c>
      <c r="C53" s="28" t="n">
        <v>54.91</v>
      </c>
      <c r="D53" s="28" t="n">
        <v>270</v>
      </c>
      <c r="E53" s="17" t="inlineStr">
        <is>
          <t>CEMPRO</t>
        </is>
      </c>
      <c r="F53" s="18" t="inlineStr">
        <is>
          <t>Cemindia Projects Ltd</t>
        </is>
      </c>
      <c r="G53" s="18" t="inlineStr">
        <is>
          <t>realty</t>
        </is>
      </c>
      <c r="H53" s="19" t="n">
        <v>27427.61</v>
      </c>
    </row>
    <row r="54">
      <c r="A54" s="16" t="n">
        <v>8</v>
      </c>
      <c r="B54" s="27" t="n">
        <v>97</v>
      </c>
      <c r="C54" s="28" t="n">
        <v>51.54</v>
      </c>
      <c r="D54" s="28" t="n">
        <v>277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5512.66</v>
      </c>
    </row>
    <row r="55">
      <c r="A55" s="16" t="n">
        <v>9</v>
      </c>
      <c r="B55" s="27" t="n">
        <v>97</v>
      </c>
      <c r="C55" s="28" t="n">
        <v>48.3</v>
      </c>
      <c r="D55" s="28" t="n">
        <v>277</v>
      </c>
      <c r="E55" s="17" t="inlineStr">
        <is>
          <t>VENUSREM</t>
        </is>
      </c>
      <c r="F55" s="18" t="inlineStr">
        <is>
          <t>Venus Remedies Limited</t>
        </is>
      </c>
      <c r="G55" s="18" t="inlineStr">
        <is>
          <t>healthcare</t>
        </is>
      </c>
      <c r="H55" s="19" t="n">
        <v>2533.85</v>
      </c>
    </row>
    <row r="56">
      <c r="A56" s="16" t="n">
        <v>10</v>
      </c>
      <c r="B56" s="27" t="n">
        <v>97</v>
      </c>
      <c r="C56" s="28" t="n">
        <v>46.92</v>
      </c>
      <c r="D56" s="28" t="n">
        <v>275</v>
      </c>
      <c r="E56" s="17" t="inlineStr">
        <is>
          <t>ATHERENERG</t>
        </is>
      </c>
      <c r="F56" s="18" t="inlineStr">
        <is>
          <t>Ather Energy Ltd</t>
        </is>
      </c>
      <c r="G56" s="18" t="inlineStr">
        <is>
          <t>auto</t>
        </is>
      </c>
      <c r="H56" s="19" t="n">
        <v>46043.48</v>
      </c>
    </row>
    <row r="57">
      <c r="A57" s="16" t="n">
        <v>11</v>
      </c>
      <c r="B57" s="27" t="n">
        <v>97</v>
      </c>
      <c r="C57" s="28" t="n">
        <v>46.57</v>
      </c>
      <c r="D57" s="28" t="n">
        <v>223</v>
      </c>
      <c r="E57" s="17" t="inlineStr">
        <is>
          <t>DEEDEV</t>
        </is>
      </c>
      <c r="F57" s="18" t="inlineStr">
        <is>
          <t>DEE Development Engineers Ltd</t>
        </is>
      </c>
      <c r="G57" s="18" t="inlineStr">
        <is>
          <t>metals &amp; mining</t>
        </is>
      </c>
      <c r="H57" s="19" t="n">
        <v>4790.25</v>
      </c>
    </row>
    <row r="58">
      <c r="A58" s="16" t="n">
        <v>12</v>
      </c>
      <c r="B58" s="27" t="n">
        <v>97</v>
      </c>
      <c r="C58" s="28" t="n">
        <v>45.92</v>
      </c>
      <c r="D58" s="28" t="n">
        <v>265</v>
      </c>
      <c r="E58" s="17" t="inlineStr">
        <is>
          <t>NITTAGELA</t>
        </is>
      </c>
      <c r="F58" s="18" t="inlineStr">
        <is>
          <t>Nitta Gelatin India Limited</t>
        </is>
      </c>
      <c r="G58" s="18" t="inlineStr">
        <is>
          <t>Basic Materials</t>
        </is>
      </c>
      <c r="H58" s="19" t="n">
        <v>1708.06</v>
      </c>
    </row>
    <row r="59">
      <c r="A59" s="16" t="n">
        <v>13</v>
      </c>
      <c r="B59" s="27" t="n">
        <v>96</v>
      </c>
      <c r="C59" s="28" t="n">
        <v>44.49</v>
      </c>
      <c r="D59" s="28" t="n">
        <v>275</v>
      </c>
      <c r="E59" s="17" t="inlineStr">
        <is>
          <t>THANGAMAYL</t>
        </is>
      </c>
      <c r="F59" s="18" t="inlineStr">
        <is>
          <t>Thangamayil Jewellery Limited</t>
        </is>
      </c>
      <c r="G59" s="18" t="inlineStr">
        <is>
          <t>consumer discretionary</t>
        </is>
      </c>
      <c r="H59" s="19" t="n">
        <v>20075.88</v>
      </c>
    </row>
    <row r="60">
      <c r="A60" s="16" t="n">
        <v>14</v>
      </c>
      <c r="B60" s="27" t="n">
        <v>96</v>
      </c>
      <c r="C60" s="28" t="n">
        <v>44.48</v>
      </c>
      <c r="D60" s="28" t="n">
        <v>303</v>
      </c>
      <c r="E60" s="17" t="inlineStr">
        <is>
          <t>OMAXAUTO</t>
        </is>
      </c>
      <c r="F60" s="18" t="inlineStr">
        <is>
          <t>Omax Autos Limited</t>
        </is>
      </c>
      <c r="G60" s="18" t="inlineStr">
        <is>
          <t>auto</t>
        </is>
      </c>
      <c r="H60" s="19" t="n">
        <v>532.52</v>
      </c>
    </row>
    <row r="61">
      <c r="A61" s="16" t="n">
        <v>15</v>
      </c>
      <c r="B61" s="27" t="n">
        <v>96</v>
      </c>
      <c r="C61" s="28" t="n">
        <v>42.59</v>
      </c>
      <c r="D61" s="28" t="n">
        <v>260</v>
      </c>
      <c r="E61" s="17" t="inlineStr">
        <is>
          <t>JAYBARMARU</t>
        </is>
      </c>
      <c r="F61" s="18" t="inlineStr">
        <is>
          <t>Jay Bharat Maruti Limited</t>
        </is>
      </c>
      <c r="G61" s="18" t="inlineStr">
        <is>
          <t>auto</t>
        </is>
      </c>
      <c r="H61" s="19" t="n">
        <v>2156.12</v>
      </c>
    </row>
    <row r="62">
      <c r="A62" s="16" t="n">
        <v>16</v>
      </c>
      <c r="B62" s="27" t="n">
        <v>96</v>
      </c>
      <c r="C62" s="28" t="n">
        <v>41.11</v>
      </c>
      <c r="D62" s="28" t="n">
        <v>273</v>
      </c>
      <c r="E62" s="17" t="inlineStr">
        <is>
          <t>HITECHCORP</t>
        </is>
      </c>
      <c r="F62" s="18" t="inlineStr">
        <is>
          <t>Hitech Corporation</t>
        </is>
      </c>
      <c r="G62" s="18" t="inlineStr">
        <is>
          <t>industrials</t>
        </is>
      </c>
      <c r="H62" s="19" t="n">
        <v>547.9</v>
      </c>
    </row>
    <row r="63">
      <c r="A63" s="16" t="n">
        <v>17</v>
      </c>
      <c r="B63" s="27" t="n">
        <v>96</v>
      </c>
      <c r="C63" s="28" t="n">
        <v>40.71</v>
      </c>
      <c r="D63" s="28" t="n">
        <v>295</v>
      </c>
      <c r="E63" s="17" t="inlineStr">
        <is>
          <t>TIMEX</t>
        </is>
      </c>
      <c r="F63" s="18" t="inlineStr">
        <is>
          <t>Timex Group India Limited</t>
        </is>
      </c>
      <c r="G63" s="18" t="inlineStr">
        <is>
          <t>Consumer Cyclical</t>
        </is>
      </c>
      <c r="H63" s="19" t="n">
        <v>5587.08</v>
      </c>
    </row>
    <row r="64">
      <c r="A64" s="16" t="n">
        <v>18</v>
      </c>
      <c r="B64" s="27" t="n">
        <v>95</v>
      </c>
      <c r="C64" s="28" t="n">
        <v>39.14</v>
      </c>
      <c r="D64" s="28" t="n">
        <v>282</v>
      </c>
      <c r="E64" s="17" t="inlineStr">
        <is>
          <t>SKMEGGPROD</t>
        </is>
      </c>
      <c r="F64" s="18" t="inlineStr">
        <is>
          <t>Skm Egg Products Export (india) Limited</t>
        </is>
      </c>
      <c r="G64" s="18" t="inlineStr">
        <is>
          <t>fmcg</t>
        </is>
      </c>
      <c r="H64" s="19" t="n">
        <v>1854.95</v>
      </c>
    </row>
    <row r="65">
      <c r="A65" s="16" t="n">
        <v>19</v>
      </c>
      <c r="B65" s="27" t="n">
        <v>95</v>
      </c>
      <c r="C65" s="28" t="n">
        <v>38.7</v>
      </c>
      <c r="D65" s="28" t="n">
        <v>253</v>
      </c>
      <c r="E65" s="17" t="inlineStr">
        <is>
          <t>SETL</t>
        </is>
      </c>
      <c r="F65" s="18" t="inlineStr">
        <is>
          <t>Standard Enginnering Technology Ltd</t>
        </is>
      </c>
      <c r="G65" s="18" t="inlineStr">
        <is>
          <t>industrials</t>
        </is>
      </c>
      <c r="H65" s="19" t="n">
        <v>5463.08</v>
      </c>
    </row>
    <row r="66">
      <c r="A66" s="16" t="n">
        <v>20</v>
      </c>
      <c r="B66" s="27" t="n">
        <v>95</v>
      </c>
      <c r="C66" s="28" t="n">
        <v>38.55</v>
      </c>
      <c r="D66" s="28" t="n">
        <v>270</v>
      </c>
      <c r="E66" s="17" t="inlineStr">
        <is>
          <t>RAMCOSYS</t>
        </is>
      </c>
      <c r="F66" s="18" t="inlineStr">
        <is>
          <t>Ramco Systems Limited</t>
        </is>
      </c>
      <c r="G66" s="18" t="inlineStr">
        <is>
          <t>i.t</t>
        </is>
      </c>
      <c r="H66" s="19" t="n">
        <v>3055.24</v>
      </c>
    </row>
    <row r="67">
      <c r="A67" s="16" t="n">
        <v>21</v>
      </c>
      <c r="B67" s="27" t="n">
        <v>95</v>
      </c>
      <c r="C67" s="28" t="n">
        <v>36.93</v>
      </c>
      <c r="D67" s="28" t="n">
        <v>270</v>
      </c>
      <c r="E67" s="17" t="inlineStr">
        <is>
          <t>NINSYS</t>
        </is>
      </c>
      <c r="F67" s="18" t="inlineStr">
        <is>
          <t>NINtec Systems Ltd</t>
        </is>
      </c>
      <c r="G67" s="18" t="inlineStr">
        <is>
          <t>i.t</t>
        </is>
      </c>
      <c r="H67" s="19" t="n">
        <v>1613.42</v>
      </c>
    </row>
    <row r="68">
      <c r="A68" s="16" t="n">
        <v>22</v>
      </c>
      <c r="B68" s="29" t="n">
        <v>94</v>
      </c>
      <c r="C68" s="28" t="n">
        <v>36.36</v>
      </c>
      <c r="D68" s="28" t="n">
        <v>285</v>
      </c>
      <c r="E68" s="17" t="inlineStr">
        <is>
          <t>IBULLSLTD</t>
        </is>
      </c>
      <c r="F68" s="18" t="inlineStr">
        <is>
          <t>Indiabulls Limited</t>
        </is>
      </c>
      <c r="G68" s="18" t="inlineStr">
        <is>
          <t>miscellaneous</t>
        </is>
      </c>
      <c r="H68" s="19" t="n">
        <v>7182.34</v>
      </c>
    </row>
    <row r="69">
      <c r="A69" s="16" t="n">
        <v>23</v>
      </c>
      <c r="B69" s="29" t="n">
        <v>94</v>
      </c>
      <c r="C69" s="28" t="n">
        <v>36.08</v>
      </c>
      <c r="D69" s="28" t="n">
        <v>280</v>
      </c>
      <c r="E69" s="17" t="inlineStr">
        <is>
          <t>RPTECH</t>
        </is>
      </c>
      <c r="F69" s="18" t="inlineStr">
        <is>
          <t>Rashi Peripherals Ltd</t>
        </is>
      </c>
      <c r="G69" s="18" t="inlineStr">
        <is>
          <t>services</t>
        </is>
      </c>
      <c r="H69" s="19" t="n">
        <v>5125.02</v>
      </c>
    </row>
    <row r="70">
      <c r="A70" s="16" t="n">
        <v>24</v>
      </c>
      <c r="B70" s="29" t="n">
        <v>94</v>
      </c>
      <c r="C70" s="28" t="n">
        <v>36.04</v>
      </c>
      <c r="D70" s="28" t="n">
        <v>248</v>
      </c>
      <c r="E70" s="17" t="inlineStr">
        <is>
          <t>KERNEX</t>
        </is>
      </c>
      <c r="F70" s="18" t="inlineStr">
        <is>
          <t>Kernex Microsystems (india) Limited</t>
        </is>
      </c>
      <c r="G70" s="18" t="inlineStr">
        <is>
          <t>consumer discretionary</t>
        </is>
      </c>
      <c r="H70" s="19" t="n">
        <v>3684.6</v>
      </c>
    </row>
    <row r="71">
      <c r="A71" s="16" t="n">
        <v>25</v>
      </c>
      <c r="B71" s="29" t="n">
        <v>94</v>
      </c>
      <c r="C71" s="28" t="n">
        <v>35.91</v>
      </c>
      <c r="D71" s="28" t="n">
        <v>277</v>
      </c>
      <c r="E71" s="17" t="inlineStr">
        <is>
          <t>ACUTAAS</t>
        </is>
      </c>
      <c r="F71" s="18" t="inlineStr">
        <is>
          <t>Acutaas Chemicals Ltd</t>
        </is>
      </c>
      <c r="G71" s="18" t="inlineStr">
        <is>
          <t>healthcare</t>
        </is>
      </c>
      <c r="H71" s="19" t="n">
        <v>28324.95</v>
      </c>
    </row>
    <row r="72">
      <c r="A72" s="16" t="n">
        <v>26</v>
      </c>
      <c r="B72" s="29" t="n">
        <v>94</v>
      </c>
      <c r="C72" s="28" t="n">
        <v>34.26</v>
      </c>
      <c r="D72" s="28" t="n">
        <v>285</v>
      </c>
      <c r="E72" s="17" t="inlineStr">
        <is>
          <t>AEGISLOG</t>
        </is>
      </c>
      <c r="F72" s="18" t="inlineStr">
        <is>
          <t>Aegis Logistics Ltd</t>
        </is>
      </c>
      <c r="G72" s="18" t="inlineStr">
        <is>
          <t>services</t>
        </is>
      </c>
      <c r="H72" s="19" t="n">
        <v>42909.75</v>
      </c>
    </row>
    <row r="73">
      <c r="A73" s="16" t="n">
        <v>27</v>
      </c>
      <c r="B73" s="29" t="n">
        <v>93</v>
      </c>
      <c r="C73" s="28" t="n">
        <v>34.16</v>
      </c>
      <c r="D73" s="28" t="n">
        <v>253</v>
      </c>
      <c r="E73" s="17" t="inlineStr">
        <is>
          <t>YASHO</t>
        </is>
      </c>
      <c r="F73" s="18" t="inlineStr">
        <is>
          <t>Yasho Industries Ltd</t>
        </is>
      </c>
      <c r="G73" s="18" t="inlineStr">
        <is>
          <t>chemicals</t>
        </is>
      </c>
      <c r="H73" s="19" t="n">
        <v>3726.85</v>
      </c>
    </row>
    <row r="74">
      <c r="A74" s="16" t="n">
        <v>28</v>
      </c>
      <c r="B74" s="29" t="n">
        <v>93</v>
      </c>
      <c r="C74" s="28" t="n">
        <v>34.08</v>
      </c>
      <c r="D74" s="28" t="n">
        <v>272</v>
      </c>
      <c r="E74" s="17" t="inlineStr">
        <is>
          <t>KPL</t>
        </is>
      </c>
      <c r="F74" s="18" t="inlineStr">
        <is>
          <t>Kwality Pharmaceuticals Limited</t>
        </is>
      </c>
      <c r="G74" s="18" t="inlineStr">
        <is>
          <t>Healthcare</t>
        </is>
      </c>
      <c r="H74" s="19" t="n">
        <v>2810.34</v>
      </c>
    </row>
    <row r="75">
      <c r="A75" s="16" t="n">
        <v>29</v>
      </c>
      <c r="B75" s="29" t="n">
        <v>93</v>
      </c>
      <c r="C75" s="28" t="n">
        <v>34.04</v>
      </c>
      <c r="D75" s="28" t="n">
        <v>287</v>
      </c>
      <c r="E75" s="17" t="inlineStr">
        <is>
          <t>IOLCP</t>
        </is>
      </c>
      <c r="F75" s="18" t="inlineStr">
        <is>
          <t>Iol Chemicals And Pharmaceuticals Limited</t>
        </is>
      </c>
      <c r="G75" s="18" t="inlineStr">
        <is>
          <t>healthcare</t>
        </is>
      </c>
      <c r="H75" s="19" t="n">
        <v>5100.92</v>
      </c>
    </row>
    <row r="76">
      <c r="A76" s="16" t="n">
        <v>30</v>
      </c>
      <c r="B76" s="29" t="n">
        <v>93</v>
      </c>
      <c r="C76" s="28" t="n">
        <v>34.03</v>
      </c>
      <c r="D76" s="28" t="n">
        <v>282</v>
      </c>
      <c r="E76" s="17" t="inlineStr">
        <is>
          <t>SAKAR</t>
        </is>
      </c>
      <c r="F76" s="18" t="inlineStr">
        <is>
          <t>Sakar Healthcare Ltd</t>
        </is>
      </c>
      <c r="G76" s="18" t="inlineStr">
        <is>
          <t>healthcare</t>
        </is>
      </c>
      <c r="H76" s="19" t="n">
        <v>2012.39</v>
      </c>
    </row>
    <row r="77">
      <c r="A77" s="16" t="n">
        <v>31</v>
      </c>
      <c r="B77" s="29" t="n">
        <v>93</v>
      </c>
      <c r="C77" s="28" t="n">
        <v>34.03</v>
      </c>
      <c r="D77" s="28" t="n">
        <v>287</v>
      </c>
      <c r="E77" s="17" t="inlineStr">
        <is>
          <t>PAISALO</t>
        </is>
      </c>
      <c r="F77" s="18" t="inlineStr">
        <is>
          <t>Paisalo Digital Ltd</t>
        </is>
      </c>
      <c r="G77" s="18" t="inlineStr">
        <is>
          <t>financials</t>
        </is>
      </c>
      <c r="H77" s="19" t="n">
        <v>6589.49</v>
      </c>
    </row>
    <row r="78">
      <c r="A78" s="16" t="n">
        <v>32</v>
      </c>
      <c r="B78" s="29" t="n">
        <v>92</v>
      </c>
      <c r="C78" s="28" t="n">
        <v>33.9</v>
      </c>
      <c r="D78" s="28" t="n">
        <v>260</v>
      </c>
      <c r="E78" s="17" t="inlineStr">
        <is>
          <t>SENORES</t>
        </is>
      </c>
      <c r="F78" s="18" t="inlineStr">
        <is>
          <t>Senores Pharmaceuticals Ltd</t>
        </is>
      </c>
      <c r="G78" s="18" t="inlineStr">
        <is>
          <t>healthcare</t>
        </is>
      </c>
      <c r="H78" s="19" t="n">
        <v>6686.06</v>
      </c>
    </row>
    <row r="79">
      <c r="A79" s="16" t="n">
        <v>33</v>
      </c>
      <c r="B79" s="29" t="n">
        <v>92</v>
      </c>
      <c r="C79" s="28" t="n">
        <v>33.8</v>
      </c>
      <c r="D79" s="28" t="n">
        <v>178</v>
      </c>
      <c r="E79" s="17" t="inlineStr">
        <is>
          <t>BALAMINES</t>
        </is>
      </c>
      <c r="F79" s="18" t="inlineStr">
        <is>
          <t>Balaji Amines Limited</t>
        </is>
      </c>
      <c r="G79" s="18" t="inlineStr">
        <is>
          <t>chemicals</t>
        </is>
      </c>
      <c r="H79" s="19" t="n">
        <v>7489.49</v>
      </c>
    </row>
    <row r="80">
      <c r="A80" s="16" t="n">
        <v>34</v>
      </c>
      <c r="B80" s="29" t="n">
        <v>92</v>
      </c>
      <c r="C80" s="28" t="n">
        <v>33.51</v>
      </c>
      <c r="D80" s="28" t="n">
        <v>270</v>
      </c>
      <c r="E80" s="17" t="inlineStr">
        <is>
          <t>INDOTECH</t>
        </is>
      </c>
      <c r="F80" s="18" t="inlineStr">
        <is>
          <t>Indo Tech Transformers Limited</t>
        </is>
      </c>
      <c r="G80" s="18" t="inlineStr">
        <is>
          <t>industrials</t>
        </is>
      </c>
      <c r="H80" s="19" t="n">
        <v>3687.9</v>
      </c>
    </row>
    <row r="81">
      <c r="A81" s="16" t="n">
        <v>35</v>
      </c>
      <c r="B81" s="29" t="n">
        <v>92</v>
      </c>
      <c r="C81" s="28" t="n">
        <v>33.43</v>
      </c>
      <c r="D81" s="28" t="n">
        <v>225</v>
      </c>
      <c r="E81" s="17" t="inlineStr">
        <is>
          <t>INDSWFTLAB</t>
        </is>
      </c>
      <c r="F81" s="18" t="inlineStr">
        <is>
          <t>Ind-swift Laboratories Limited</t>
        </is>
      </c>
      <c r="G81" s="18" t="inlineStr">
        <is>
          <t>healthcare</t>
        </is>
      </c>
      <c r="H81" s="19" t="n">
        <v>1996.03</v>
      </c>
    </row>
    <row r="82">
      <c r="A82" s="16" t="n">
        <v>36</v>
      </c>
      <c r="B82" s="29" t="n">
        <v>91</v>
      </c>
      <c r="C82" s="28" t="n">
        <v>33.24</v>
      </c>
      <c r="D82" s="28" t="n">
        <v>263</v>
      </c>
      <c r="E82" s="17" t="inlineStr">
        <is>
          <t>NRL</t>
        </is>
      </c>
      <c r="F82" s="18" t="inlineStr">
        <is>
          <t>Nupur Recyclers Ltd</t>
        </is>
      </c>
      <c r="G82" s="18" t="inlineStr">
        <is>
          <t>services</t>
        </is>
      </c>
      <c r="H82" s="19" t="n">
        <v>757.55</v>
      </c>
    </row>
    <row r="83">
      <c r="A83" s="16" t="n">
        <v>37</v>
      </c>
      <c r="B83" s="29" t="n">
        <v>91</v>
      </c>
      <c r="C83" s="28" t="n">
        <v>33.18</v>
      </c>
      <c r="D83" s="28" t="n">
        <v>273</v>
      </c>
      <c r="E83" s="17" t="inlineStr">
        <is>
          <t>GRWRHITECH</t>
        </is>
      </c>
      <c r="F83" s="18" t="inlineStr">
        <is>
          <t>Garware Hi Tech Films Ltd</t>
        </is>
      </c>
      <c r="G83" s="18" t="inlineStr">
        <is>
          <t>industrials</t>
        </is>
      </c>
      <c r="H83" s="19" t="n">
        <v>16348.64</v>
      </c>
    </row>
    <row r="84">
      <c r="A84" s="16" t="n">
        <v>38</v>
      </c>
      <c r="B84" s="29" t="n">
        <v>91</v>
      </c>
      <c r="C84" s="28" t="n">
        <v>33.15</v>
      </c>
      <c r="D84" s="28" t="n">
        <v>253</v>
      </c>
      <c r="E84" s="17" t="inlineStr">
        <is>
          <t>KIRLOSENG</t>
        </is>
      </c>
      <c r="F84" s="18" t="inlineStr">
        <is>
          <t>Kirloskar Oil Engines Limited</t>
        </is>
      </c>
      <c r="G84" s="18" t="inlineStr">
        <is>
          <t>industrials</t>
        </is>
      </c>
      <c r="H84" s="19" t="n">
        <v>34338.21</v>
      </c>
    </row>
    <row r="85">
      <c r="A85" s="16" t="n">
        <v>39</v>
      </c>
      <c r="B85" s="29" t="n">
        <v>91</v>
      </c>
      <c r="C85" s="28" t="n">
        <v>32.91</v>
      </c>
      <c r="D85" s="28" t="n">
        <v>260</v>
      </c>
      <c r="E85" s="17" t="inlineStr">
        <is>
          <t>RATEGAIN</t>
        </is>
      </c>
      <c r="F85" s="18" t="inlineStr">
        <is>
          <t>Rategain Travel Technologies Ltd</t>
        </is>
      </c>
      <c r="G85" s="18" t="inlineStr">
        <is>
          <t>i.t</t>
        </is>
      </c>
      <c r="H85" s="19" t="n">
        <v>11252.3</v>
      </c>
    </row>
    <row r="86">
      <c r="A86" s="16" t="n">
        <v>40</v>
      </c>
      <c r="B86" s="29" t="n">
        <v>91</v>
      </c>
      <c r="C86" s="28" t="n">
        <v>32.87</v>
      </c>
      <c r="D86" s="28" t="n">
        <v>255</v>
      </c>
      <c r="E86" s="17" t="inlineStr">
        <is>
          <t>ORCHPHARMA</t>
        </is>
      </c>
      <c r="F86" s="18" t="inlineStr">
        <is>
          <t>Orchid Pharma Ltd</t>
        </is>
      </c>
      <c r="G86" s="18" t="inlineStr">
        <is>
          <t>healthcare</t>
        </is>
      </c>
      <c r="H86" s="19" t="n">
        <v>5340.47</v>
      </c>
    </row>
    <row r="87">
      <c r="A87" s="16" t="n">
        <v>41</v>
      </c>
      <c r="B87" s="29" t="n">
        <v>90</v>
      </c>
      <c r="C87" s="28" t="n">
        <v>32.4</v>
      </c>
      <c r="D87" s="28" t="n">
        <v>265</v>
      </c>
      <c r="E87" s="17" t="inlineStr">
        <is>
          <t>KMEW</t>
        </is>
      </c>
      <c r="F87" s="18" t="inlineStr">
        <is>
          <t>Knowledge Marine &amp; Engineering Works Ltd</t>
        </is>
      </c>
      <c r="G87" s="18" t="inlineStr">
        <is>
          <t>transportation</t>
        </is>
      </c>
      <c r="H87" s="19" t="n">
        <v>5724.57</v>
      </c>
    </row>
    <row r="88">
      <c r="A88" s="16" t="n">
        <v>42</v>
      </c>
      <c r="B88" s="29" t="n">
        <v>90</v>
      </c>
      <c r="C88" s="28" t="n">
        <v>32.36</v>
      </c>
      <c r="D88" s="28" t="n">
        <v>250</v>
      </c>
      <c r="E88" s="17" t="inlineStr">
        <is>
          <t>JNKINDIA</t>
        </is>
      </c>
      <c r="F88" s="18" t="inlineStr">
        <is>
          <t>JNK India Ltd</t>
        </is>
      </c>
      <c r="G88" s="18" t="inlineStr">
        <is>
          <t>realty</t>
        </is>
      </c>
      <c r="H88" s="19" t="n">
        <v>2963.88</v>
      </c>
    </row>
    <row r="89">
      <c r="A89" s="16" t="n">
        <v>43</v>
      </c>
      <c r="B89" s="29" t="n">
        <v>90</v>
      </c>
      <c r="C89" s="28" t="n">
        <v>32.29</v>
      </c>
      <c r="D89" s="28" t="n">
        <v>255</v>
      </c>
      <c r="E89" s="17" t="inlineStr">
        <is>
          <t>RPEL</t>
        </is>
      </c>
      <c r="F89" s="18" t="inlineStr">
        <is>
          <t>Raghav Productivity Enhancers Ltd</t>
        </is>
      </c>
      <c r="G89" s="18" t="inlineStr">
        <is>
          <t>building materials</t>
        </is>
      </c>
      <c r="H89" s="19" t="n">
        <v>5801.32</v>
      </c>
    </row>
    <row r="90">
      <c r="A90" s="16" t="n">
        <v>44</v>
      </c>
      <c r="B90" s="29" t="n">
        <v>90</v>
      </c>
      <c r="C90" s="28" t="n">
        <v>31.67</v>
      </c>
      <c r="D90" s="28" t="n">
        <v>290</v>
      </c>
      <c r="E90" s="17" t="inlineStr">
        <is>
          <t>INDOBORAX</t>
        </is>
      </c>
      <c r="F90" s="18" t="inlineStr">
        <is>
          <t>Indo Borax &amp; Chemicals Ltd</t>
        </is>
      </c>
      <c r="G90" s="18" t="inlineStr">
        <is>
          <t>chemicals</t>
        </is>
      </c>
      <c r="H90" s="19" t="n">
        <v>1561.82</v>
      </c>
    </row>
    <row r="9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HIRECT</t>
        </is>
      </c>
      <c r="B2" s="31" t="inlineStr">
        <is>
          <t>Hind Rectifiers Limited</t>
        </is>
      </c>
      <c r="C2" s="31" t="inlineStr">
        <is>
          <t>consumer discretionary</t>
        </is>
      </c>
      <c r="D2" s="31" t="inlineStr">
        <is>
          <t>electronics - components</t>
        </is>
      </c>
      <c r="E2" s="31" t="inlineStr">
        <is>
          <t>smallcap</t>
        </is>
      </c>
      <c r="F2" s="31" t="n">
        <v>3651.22</v>
      </c>
      <c r="G2" s="31" t="n">
        <v>1273.6</v>
      </c>
      <c r="H2" s="31" t="n">
        <v>19.88</v>
      </c>
      <c r="I2" s="31" t="n">
        <v>1163256</v>
      </c>
      <c r="J2" s="31" t="inlineStr">
        <is>
          <t>504036</t>
        </is>
      </c>
    </row>
    <row r="3">
      <c r="A3" s="31" t="inlineStr">
        <is>
          <t>ITDC</t>
        </is>
      </c>
      <c r="B3" s="31" t="inlineStr">
        <is>
          <t>India Tourism Development Corporation Ltd</t>
        </is>
      </c>
      <c r="C3" s="31" t="inlineStr">
        <is>
          <t>services</t>
        </is>
      </c>
      <c r="D3" s="31" t="inlineStr">
        <is>
          <t>hotels</t>
        </is>
      </c>
      <c r="E3" s="31" t="inlineStr">
        <is>
          <t>midcap</t>
        </is>
      </c>
      <c r="F3" s="31" t="n">
        <v>5861.91</v>
      </c>
      <c r="G3" s="31" t="n">
        <v>793.9</v>
      </c>
      <c r="H3" s="31" t="n">
        <v>16.16</v>
      </c>
      <c r="I3" s="31" t="n">
        <v>16519795</v>
      </c>
      <c r="J3" s="31" t="inlineStr">
        <is>
          <t>532189</t>
        </is>
      </c>
    </row>
    <row r="4">
      <c r="A4" s="31" t="inlineStr">
        <is>
          <t>FILATEX</t>
        </is>
      </c>
      <c r="B4" s="31" t="inlineStr">
        <is>
          <t>Filatex India Limited</t>
        </is>
      </c>
      <c r="C4" s="31" t="inlineStr">
        <is>
          <t>textiles</t>
        </is>
      </c>
      <c r="D4" s="31" t="inlineStr">
        <is>
          <t>textiles - manmade</t>
        </is>
      </c>
      <c r="E4" s="31" t="inlineStr">
        <is>
          <t>smallcap</t>
        </is>
      </c>
      <c r="F4" s="31" t="n">
        <v>2739.4</v>
      </c>
      <c r="G4" s="31" t="n">
        <v>70.34</v>
      </c>
      <c r="H4" s="31" t="n">
        <v>14.02</v>
      </c>
      <c r="I4" s="31" t="n">
        <v>32639659</v>
      </c>
      <c r="J4" s="31" t="inlineStr">
        <is>
          <t>526227</t>
        </is>
      </c>
    </row>
    <row r="5">
      <c r="A5" s="31" t="inlineStr">
        <is>
          <t>RPGLIFE</t>
        </is>
      </c>
      <c r="B5" s="31" t="inlineStr">
        <is>
          <t>Rpg Life Sciences Limited</t>
        </is>
      </c>
      <c r="C5" s="31" t="inlineStr">
        <is>
          <t>healthcare</t>
        </is>
      </c>
      <c r="D5" s="31" t="inlineStr">
        <is>
          <t>pharmaceuticals - indian - bulk drugs &amp; formln</t>
        </is>
      </c>
      <c r="E5" s="31" t="inlineStr">
        <is>
          <t>smallcap</t>
        </is>
      </c>
      <c r="F5" s="31" t="n">
        <v>4532.02</v>
      </c>
      <c r="G5" s="31" t="n">
        <v>2978.1</v>
      </c>
      <c r="H5" s="31" t="n">
        <v>8.68</v>
      </c>
      <c r="I5" s="31" t="n">
        <v>146496</v>
      </c>
      <c r="J5" s="31" t="inlineStr">
        <is>
          <t>532983</t>
        </is>
      </c>
    </row>
    <row r="6">
      <c r="A6" s="31" t="inlineStr">
        <is>
          <t>GABRIEL</t>
        </is>
      </c>
      <c r="B6" s="31" t="inlineStr">
        <is>
          <t>Gabriel India Limited</t>
        </is>
      </c>
      <c r="C6" s="31" t="inlineStr">
        <is>
          <t>auto</t>
        </is>
      </c>
      <c r="D6" s="31" t="inlineStr">
        <is>
          <t>auto ancillaries</t>
        </is>
      </c>
      <c r="E6" s="31" t="inlineStr">
        <is>
          <t>largecap</t>
        </is>
      </c>
      <c r="F6" s="31" t="n">
        <v>22128.94</v>
      </c>
      <c r="G6" s="31" t="n">
        <v>1354.5</v>
      </c>
      <c r="H6" s="31" t="n">
        <v>8.48</v>
      </c>
      <c r="I6" s="31" t="n">
        <v>2277605</v>
      </c>
      <c r="J6" s="31" t="inlineStr">
        <is>
          <t>505714</t>
        </is>
      </c>
    </row>
    <row r="7">
      <c r="A7" s="31" t="inlineStr">
        <is>
          <t>AEGISLOG</t>
        </is>
      </c>
      <c r="B7" s="31" t="inlineStr">
        <is>
          <t>Aegis Logistics Ltd</t>
        </is>
      </c>
      <c r="C7" s="31" t="inlineStr">
        <is>
          <t>services</t>
        </is>
      </c>
      <c r="D7" s="31" t="inlineStr">
        <is>
          <t>trading</t>
        </is>
      </c>
      <c r="E7" s="31" t="inlineStr">
        <is>
          <t>largecap</t>
        </is>
      </c>
      <c r="F7" s="31" t="n">
        <v>42909.75</v>
      </c>
      <c r="G7" s="31" t="n">
        <v>1321.1</v>
      </c>
      <c r="H7" s="31" t="n">
        <v>8.07</v>
      </c>
      <c r="I7" s="31" t="n">
        <v>2961979</v>
      </c>
      <c r="J7" s="31" t="inlineStr">
        <is>
          <t>500003</t>
        </is>
      </c>
    </row>
    <row r="8">
      <c r="A8" s="31" t="inlineStr">
        <is>
          <t>ATHERENERG</t>
        </is>
      </c>
      <c r="B8" s="31" t="inlineStr">
        <is>
          <t>Ather Energy Ltd</t>
        </is>
      </c>
      <c r="C8" s="31" t="inlineStr">
        <is>
          <t>auto</t>
        </is>
      </c>
      <c r="D8" s="31" t="inlineStr">
        <is>
          <t>automobiles - scooters and 3 - wheelers</t>
        </is>
      </c>
      <c r="E8" s="31" t="inlineStr">
        <is>
          <t>largecap</t>
        </is>
      </c>
      <c r="F8" s="31" t="n">
        <v>46043.48</v>
      </c>
      <c r="G8" s="31" t="n">
        <v>1296.4</v>
      </c>
      <c r="H8" s="31" t="n">
        <v>7.87</v>
      </c>
      <c r="I8" s="31" t="n">
        <v>17106822</v>
      </c>
      <c r="J8" s="31" t="inlineStr">
        <is>
          <t>544397</t>
        </is>
      </c>
    </row>
    <row r="9">
      <c r="A9" s="31" t="inlineStr">
        <is>
          <t>GANESHBE</t>
        </is>
      </c>
      <c r="B9" s="31" t="inlineStr">
        <is>
          <t>Ganesh Benzoplast Ltd</t>
        </is>
      </c>
      <c r="C9" s="31" t="inlineStr">
        <is>
          <t>miscellaneous</t>
        </is>
      </c>
      <c r="D9" s="31" t="inlineStr">
        <is>
          <t>miscellaneous</t>
        </is>
      </c>
      <c r="E9" s="31" t="inlineStr">
        <is>
          <t>smallcap</t>
        </is>
      </c>
      <c r="F9" s="31" t="n">
        <v>694.99</v>
      </c>
      <c r="G9" s="31" t="n">
        <v>103.86</v>
      </c>
      <c r="H9" s="31" t="n">
        <v>7.58</v>
      </c>
      <c r="I9" s="31" t="n">
        <v>1313524</v>
      </c>
      <c r="J9" s="31" t="inlineStr">
        <is>
          <t>500153</t>
        </is>
      </c>
    </row>
    <row r="10">
      <c r="A10" s="31" t="inlineStr">
        <is>
          <t>INOXINDIA</t>
        </is>
      </c>
      <c r="B10" s="31" t="inlineStr">
        <is>
          <t>Inox India Ltd</t>
        </is>
      </c>
      <c r="C10" s="31" t="inlineStr">
        <is>
          <t>industrials</t>
        </is>
      </c>
      <c r="D10" s="31" t="inlineStr">
        <is>
          <t>packaging</t>
        </is>
      </c>
      <c r="E10" s="31" t="inlineStr">
        <is>
          <t>midcap</t>
        </is>
      </c>
      <c r="F10" s="31" t="n">
        <v>16807.58</v>
      </c>
      <c r="G10" s="31" t="n">
        <v>1964.4</v>
      </c>
      <c r="H10" s="31" t="n">
        <v>6.08</v>
      </c>
      <c r="I10" s="31" t="n">
        <v>446595</v>
      </c>
      <c r="J10" s="31" t="inlineStr">
        <is>
          <t>544046</t>
        </is>
      </c>
    </row>
    <row r="11">
      <c r="A11" s="31" t="inlineStr">
        <is>
          <t>PREMIERPOL</t>
        </is>
      </c>
      <c r="B11" s="31" t="inlineStr">
        <is>
          <t>Premier Polyfilm Limited</t>
        </is>
      </c>
      <c r="C11" s="31" t="inlineStr">
        <is>
          <t>plastic products</t>
        </is>
      </c>
      <c r="D11" s="31" t="inlineStr">
        <is>
          <t>plastics products</t>
        </is>
      </c>
      <c r="E11" s="31" t="inlineStr">
        <is>
          <t>smallcap</t>
        </is>
      </c>
      <c r="F11" s="31" t="n">
        <v>664.17</v>
      </c>
      <c r="G11" s="31" t="n">
        <v>67.2</v>
      </c>
      <c r="H11" s="31" t="n">
        <v>5.98</v>
      </c>
      <c r="I11" s="31" t="n">
        <v>415390</v>
      </c>
      <c r="J11" s="31" t="inlineStr">
        <is>
          <t>514354</t>
        </is>
      </c>
    </row>
    <row r="12">
      <c r="A12" s="31" t="inlineStr">
        <is>
          <t>ROLEXRINGS</t>
        </is>
      </c>
      <c r="B12" s="31" t="inlineStr">
        <is>
          <t>Rolex Rings Ltd</t>
        </is>
      </c>
      <c r="C12" s="31" t="inlineStr">
        <is>
          <t>auto</t>
        </is>
      </c>
      <c r="D12" s="31" t="inlineStr">
        <is>
          <t>auto ancillaries</t>
        </is>
      </c>
      <c r="E12" s="31" t="inlineStr">
        <is>
          <t>smallcap</t>
        </is>
      </c>
      <c r="F12" s="31" t="n">
        <v>3993.22</v>
      </c>
      <c r="G12" s="31" t="n">
        <v>155.3</v>
      </c>
      <c r="H12" s="31" t="n">
        <v>5.91</v>
      </c>
      <c r="I12" s="31" t="n">
        <v>9978759</v>
      </c>
      <c r="J12" s="31" t="inlineStr">
        <is>
          <t>543325</t>
        </is>
      </c>
    </row>
    <row r="13">
      <c r="A13" s="31" t="inlineStr">
        <is>
          <t>NEOGEN</t>
        </is>
      </c>
      <c r="B13" s="31" t="inlineStr">
        <is>
          <t>Neogen Chemicals Ltd</t>
        </is>
      </c>
      <c r="C13" s="31" t="inlineStr">
        <is>
          <t>chemicals</t>
        </is>
      </c>
      <c r="D13" s="31" t="inlineStr">
        <is>
          <t>chemicals</t>
        </is>
      </c>
      <c r="E13" s="31" t="inlineStr">
        <is>
          <t>midcap</t>
        </is>
      </c>
      <c r="F13" s="31" t="n">
        <v>5879.39</v>
      </c>
      <c r="G13" s="31" t="n">
        <v>2272.2</v>
      </c>
      <c r="H13" s="31" t="n">
        <v>5.82</v>
      </c>
      <c r="I13" s="31" t="n">
        <v>266095</v>
      </c>
      <c r="J13" s="31" t="inlineStr">
        <is>
          <t>542665</t>
        </is>
      </c>
    </row>
    <row r="14">
      <c r="A14" s="31" t="inlineStr">
        <is>
          <t>NAVKARCORP</t>
        </is>
      </c>
      <c r="B14" s="31" t="inlineStr">
        <is>
          <t>Navkar Corporation Limited</t>
        </is>
      </c>
      <c r="C14" s="31" t="inlineStr">
        <is>
          <t>transportation</t>
        </is>
      </c>
      <c r="D14" s="31" t="inlineStr">
        <is>
          <t>miscellaneous</t>
        </is>
      </c>
      <c r="E14" s="31" t="inlineStr">
        <is>
          <t>smallcap</t>
        </is>
      </c>
      <c r="F14" s="31" t="n">
        <v>1651.95</v>
      </c>
      <c r="G14" s="31" t="n">
        <v>116.09</v>
      </c>
      <c r="H14" s="31" t="n">
        <v>5.78</v>
      </c>
      <c r="I14" s="31" t="n">
        <v>5167971</v>
      </c>
      <c r="J14" s="31" t="inlineStr">
        <is>
          <t>539332</t>
        </is>
      </c>
    </row>
    <row r="15">
      <c r="A15" s="31" t="inlineStr">
        <is>
          <t>FEDFINA</t>
        </is>
      </c>
      <c r="B15" s="31" t="inlineStr">
        <is>
          <t>Fedbank Financial Services Ltd</t>
        </is>
      </c>
      <c r="C15" s="31" t="inlineStr">
        <is>
          <t>financials</t>
        </is>
      </c>
      <c r="D15" s="31" t="inlineStr">
        <is>
          <t>finance &amp; investments</t>
        </is>
      </c>
      <c r="E15" s="31" t="inlineStr">
        <is>
          <t>midcap</t>
        </is>
      </c>
      <c r="F15" s="31" t="n">
        <v>5794.58</v>
      </c>
      <c r="G15" s="31" t="n">
        <v>163.55</v>
      </c>
      <c r="H15" s="31" t="n">
        <v>5.62</v>
      </c>
      <c r="I15" s="31" t="n">
        <v>20106868</v>
      </c>
      <c r="J15" s="31" t="inlineStr">
        <is>
          <t>544027</t>
        </is>
      </c>
    </row>
    <row r="16">
      <c r="A16" s="31" t="inlineStr">
        <is>
          <t>JUBLPHARMA</t>
        </is>
      </c>
      <c r="B16" s="31" t="inlineStr">
        <is>
          <t>Jubilant Pharmova Ltd</t>
        </is>
      </c>
      <c r="C16" s="31" t="inlineStr">
        <is>
          <t>healthcare</t>
        </is>
      </c>
      <c r="D16" s="31" t="inlineStr">
        <is>
          <t>pharmaceuticals - indian - bulk drugs</t>
        </is>
      </c>
      <c r="E16" s="31" t="inlineStr">
        <is>
          <t>midcap</t>
        </is>
      </c>
      <c r="F16" s="31" t="n">
        <v>15521.15</v>
      </c>
      <c r="G16" s="31" t="n">
        <v>1028.4</v>
      </c>
      <c r="H16" s="31" t="n">
        <v>5.54</v>
      </c>
      <c r="I16" s="31" t="n">
        <v>709727</v>
      </c>
      <c r="J16" s="31" t="inlineStr">
        <is>
          <t>530019</t>
        </is>
      </c>
    </row>
    <row r="17">
      <c r="A17" s="31" t="inlineStr">
        <is>
          <t>FLUOROCHEM</t>
        </is>
      </c>
      <c r="B17" s="31" t="inlineStr">
        <is>
          <t>Gujarat Fluorochemicals Ltd</t>
        </is>
      </c>
      <c r="C17" s="31" t="inlineStr">
        <is>
          <t>chemicals</t>
        </is>
      </c>
      <c r="D17" s="31" t="inlineStr">
        <is>
          <t>chemicals</t>
        </is>
      </c>
      <c r="E17" s="31" t="inlineStr">
        <is>
          <t>largecap</t>
        </is>
      </c>
      <c r="F17" s="31" t="n">
        <v>43104.04</v>
      </c>
      <c r="G17" s="31" t="n">
        <v>4131.6</v>
      </c>
      <c r="H17" s="31" t="n">
        <v>5.29</v>
      </c>
      <c r="I17" s="31" t="n">
        <v>541688</v>
      </c>
      <c r="J17" s="31" t="inlineStr">
        <is>
          <t>542812</t>
        </is>
      </c>
    </row>
    <row r="18">
      <c r="A18" s="31" t="inlineStr">
        <is>
          <t>KRN</t>
        </is>
      </c>
      <c r="B18" s="31" t="inlineStr">
        <is>
          <t>KRN Heat Exchanger and Refrigeration Ltd</t>
        </is>
      </c>
      <c r="C18" s="31" t="inlineStr">
        <is>
          <t>industrials</t>
        </is>
      </c>
      <c r="D18" s="31" t="inlineStr">
        <is>
          <t>engineering</t>
        </is>
      </c>
      <c r="E18" s="31" t="inlineStr">
        <is>
          <t>midcap</t>
        </is>
      </c>
      <c r="F18" s="31" t="n">
        <v>8014.08</v>
      </c>
      <c r="G18" s="31" t="n">
        <v>1285.5</v>
      </c>
      <c r="H18" s="31" t="n">
        <v>5</v>
      </c>
      <c r="I18" s="31" t="n">
        <v>195887</v>
      </c>
      <c r="J18" s="31" t="inlineStr">
        <is>
          <t>544263</t>
        </is>
      </c>
    </row>
    <row r="19">
      <c r="A19" s="31" t="inlineStr">
        <is>
          <t>OCCLLTD</t>
        </is>
      </c>
      <c r="B19" s="31" t="inlineStr">
        <is>
          <t>OCCL Ltd</t>
        </is>
      </c>
      <c r="C19" s="31" t="inlineStr">
        <is>
          <t>chemicals</t>
        </is>
      </c>
      <c r="D19" s="31" t="inlineStr">
        <is>
          <t>chemicals</t>
        </is>
      </c>
      <c r="E19" s="31" t="inlineStr">
        <is>
          <t>smallcap</t>
        </is>
      </c>
      <c r="F19" s="31" t="n">
        <v>656.85</v>
      </c>
      <c r="G19" s="31" t="n">
        <v>138.02</v>
      </c>
      <c r="H19" s="31" t="n">
        <v>4.96</v>
      </c>
      <c r="I19" s="31" t="n">
        <v>122925</v>
      </c>
      <c r="J19" s="31" t="inlineStr">
        <is>
          <t>544278</t>
        </is>
      </c>
    </row>
    <row r="20">
      <c r="A20" s="31" t="inlineStr">
        <is>
          <t>HFCL</t>
        </is>
      </c>
      <c r="B20" s="31" t="inlineStr">
        <is>
          <t>HFCL Ltd</t>
        </is>
      </c>
      <c r="C20" s="31" t="inlineStr">
        <is>
          <t>telecom</t>
        </is>
      </c>
      <c r="D20" s="31" t="inlineStr">
        <is>
          <t>cables - telephone</t>
        </is>
      </c>
      <c r="E20" s="31" t="inlineStr">
        <is>
          <t>largecap</t>
        </is>
      </c>
      <c r="F20" s="31" t="n">
        <v>32568.16</v>
      </c>
      <c r="G20" s="31" t="n">
        <v>223.08</v>
      </c>
      <c r="H20" s="31" t="n">
        <v>4.84</v>
      </c>
      <c r="I20" s="31" t="n">
        <v>32151875</v>
      </c>
      <c r="J20" s="31" t="inlineStr">
        <is>
          <t>500183</t>
        </is>
      </c>
    </row>
    <row r="21">
      <c r="A21" s="31" t="inlineStr">
        <is>
          <t>SSWL</t>
        </is>
      </c>
      <c r="B21" s="31" t="inlineStr">
        <is>
          <t>Steel Strips Wheels Limited</t>
        </is>
      </c>
      <c r="C21" s="31" t="inlineStr">
        <is>
          <t>auto</t>
        </is>
      </c>
      <c r="D21" s="31" t="inlineStr">
        <is>
          <t>auto ancillaries</t>
        </is>
      </c>
      <c r="E21" s="31" t="inlineStr">
        <is>
          <t>smallcap</t>
        </is>
      </c>
      <c r="F21" s="31" t="n">
        <v>3936.43</v>
      </c>
      <c r="G21" s="31" t="n">
        <v>262.56</v>
      </c>
      <c r="H21" s="31" t="n">
        <v>4.84</v>
      </c>
      <c r="I21" s="31" t="n">
        <v>18950372</v>
      </c>
      <c r="J21" s="31" t="inlineStr">
        <is>
          <t>513262</t>
        </is>
      </c>
    </row>
    <row r="22">
      <c r="A22" s="31" t="inlineStr">
        <is>
          <t>AURUM</t>
        </is>
      </c>
      <c r="B22" s="31" t="inlineStr">
        <is>
          <t>Aurum Proptech Ltd</t>
        </is>
      </c>
      <c r="C22" s="31" t="inlineStr">
        <is>
          <t>i.t</t>
        </is>
      </c>
      <c r="D22" s="31" t="inlineStr">
        <is>
          <t>computers - software - medium / small</t>
        </is>
      </c>
      <c r="E22" s="31" t="inlineStr">
        <is>
          <t>smallcap</t>
        </is>
      </c>
      <c r="F22" s="31" t="n">
        <v>1837.04</v>
      </c>
      <c r="G22" s="31" t="n">
        <v>250.82</v>
      </c>
      <c r="H22" s="31" t="n">
        <v>4.67</v>
      </c>
      <c r="I22" s="31" t="n">
        <v>3194513</v>
      </c>
      <c r="J22" s="31" t="inlineStr">
        <is>
          <t>539289</t>
        </is>
      </c>
    </row>
    <row r="23">
      <c r="A23" s="31" t="inlineStr">
        <is>
          <t>GHCLTEXTIL</t>
        </is>
      </c>
      <c r="B23" s="31" t="inlineStr">
        <is>
          <t>GHCL Textiles Ltd</t>
        </is>
      </c>
      <c r="C23" s="31" t="inlineStr">
        <is>
          <t>textiles</t>
        </is>
      </c>
      <c r="D23" s="31" t="inlineStr">
        <is>
          <t>textiles - spinning - synthetic / blended</t>
        </is>
      </c>
      <c r="E23" s="31" t="inlineStr">
        <is>
          <t>smallcap</t>
        </is>
      </c>
      <c r="F23" s="31" t="n">
        <v>1032.04</v>
      </c>
      <c r="G23" s="31" t="n">
        <v>112.95</v>
      </c>
      <c r="H23" s="31" t="n">
        <v>4.61</v>
      </c>
      <c r="I23" s="31" t="n">
        <v>1435772</v>
      </c>
      <c r="J23" s="31" t="inlineStr">
        <is>
          <t>543918</t>
        </is>
      </c>
    </row>
    <row r="24">
      <c r="A24" s="31" t="inlineStr">
        <is>
          <t>ORCHPHARMA</t>
        </is>
      </c>
      <c r="B24" s="31" t="inlineStr">
        <is>
          <t>Orchid Pharma Ltd</t>
        </is>
      </c>
      <c r="C24" s="31" t="inlineStr">
        <is>
          <t>healthcare</t>
        </is>
      </c>
      <c r="D24" s="31" t="inlineStr">
        <is>
          <t>pharmaceuticals - indian - bulk drugs &amp; formln</t>
        </is>
      </c>
      <c r="E24" s="31" t="inlineStr">
        <is>
          <t>midcap</t>
        </is>
      </c>
      <c r="F24" s="31" t="n">
        <v>5340.47</v>
      </c>
      <c r="G24" s="31" t="n">
        <v>1101.4</v>
      </c>
      <c r="H24" s="31" t="n">
        <v>4.6</v>
      </c>
      <c r="I24" s="31" t="n">
        <v>320974</v>
      </c>
      <c r="J24" s="31" t="inlineStr">
        <is>
          <t>524372</t>
        </is>
      </c>
    </row>
    <row r="25">
      <c r="A25" s="31" t="inlineStr">
        <is>
          <t>FMGOETZE</t>
        </is>
      </c>
      <c r="B25" s="31" t="inlineStr">
        <is>
          <t>Federal-mogul Goetze (india) Limited.</t>
        </is>
      </c>
      <c r="C25" s="31" t="inlineStr">
        <is>
          <t>auto</t>
        </is>
      </c>
      <c r="D25" s="31" t="inlineStr">
        <is>
          <t>auto ancillaries</t>
        </is>
      </c>
      <c r="E25" s="31" t="inlineStr">
        <is>
          <t>smallcap</t>
        </is>
      </c>
      <c r="F25" s="31" t="n">
        <v>2607.2</v>
      </c>
      <c r="G25" s="31" t="n">
        <v>490</v>
      </c>
      <c r="H25" s="31" t="n">
        <v>4.56</v>
      </c>
      <c r="I25" s="31" t="n">
        <v>308411</v>
      </c>
      <c r="J25" s="31" t="inlineStr">
        <is>
          <t>505744</t>
        </is>
      </c>
    </row>
    <row r="26">
      <c r="A26" s="31" t="inlineStr">
        <is>
          <t>KMEW</t>
        </is>
      </c>
      <c r="B26" s="31" t="inlineStr">
        <is>
          <t>Knowledge Marine &amp; Engineering Works Ltd</t>
        </is>
      </c>
      <c r="C26" s="31" t="inlineStr">
        <is>
          <t>transportation</t>
        </is>
      </c>
      <c r="D26" s="31" t="inlineStr">
        <is>
          <t>miscellaneous</t>
        </is>
      </c>
      <c r="E26" s="31" t="inlineStr">
        <is>
          <t>midcap</t>
        </is>
      </c>
      <c r="F26" s="31" t="n">
        <v>5724.57</v>
      </c>
      <c r="G26" s="31" t="n">
        <v>2448.5</v>
      </c>
      <c r="H26" s="31" t="n">
        <v>4.55</v>
      </c>
      <c r="I26" s="31" t="n">
        <v>216652</v>
      </c>
      <c r="J26" s="31" t="inlineStr">
        <is>
          <t>543273</t>
        </is>
      </c>
    </row>
    <row r="27">
      <c r="A27" s="31" t="inlineStr">
        <is>
          <t>TMB</t>
        </is>
      </c>
      <c r="B27" s="31" t="inlineStr">
        <is>
          <t>Tamilnad Mercantile Bank Ltd</t>
        </is>
      </c>
      <c r="C27" s="31" t="inlineStr">
        <is>
          <t>bank</t>
        </is>
      </c>
      <c r="D27" s="31" t="inlineStr">
        <is>
          <t>banks - private sector</t>
        </is>
      </c>
      <c r="E27" s="31" t="inlineStr">
        <is>
          <t>midcap</t>
        </is>
      </c>
      <c r="F27" s="31" t="n">
        <v>12356.96</v>
      </c>
      <c r="G27" s="31" t="n">
        <v>815.75</v>
      </c>
      <c r="H27" s="31" t="n">
        <v>4.54</v>
      </c>
      <c r="I27" s="31" t="n">
        <v>404554</v>
      </c>
      <c r="J27" s="31" t="inlineStr">
        <is>
          <t>543596</t>
        </is>
      </c>
    </row>
    <row r="28">
      <c r="A28" s="31" t="inlineStr">
        <is>
          <t>ABB</t>
        </is>
      </c>
      <c r="B28" s="31" t="inlineStr">
        <is>
          <t>Abb India Limited</t>
        </is>
      </c>
      <c r="C28" s="31" t="inlineStr">
        <is>
          <t>industrials</t>
        </is>
      </c>
      <c r="D28" s="31" t="inlineStr">
        <is>
          <t>electric equipment</t>
        </is>
      </c>
      <c r="E28" s="31" t="inlineStr">
        <is>
          <t>largecap</t>
        </is>
      </c>
      <c r="F28" s="31" t="n">
        <v>146047.25</v>
      </c>
      <c r="G28" s="31" t="n">
        <v>7204.5</v>
      </c>
      <c r="H28" s="31" t="n">
        <v>4.53</v>
      </c>
      <c r="I28" s="31" t="n">
        <v>763817</v>
      </c>
      <c r="J28" s="31" t="inlineStr">
        <is>
          <t>500002</t>
        </is>
      </c>
    </row>
    <row r="29">
      <c r="A29" s="31" t="inlineStr">
        <is>
          <t>INDIGOPNTS</t>
        </is>
      </c>
      <c r="B29" s="31" t="inlineStr">
        <is>
          <t>Indigo Paints Ltd</t>
        </is>
      </c>
      <c r="C29" s="31" t="inlineStr">
        <is>
          <t>building materials</t>
        </is>
      </c>
      <c r="D29" s="31" t="inlineStr">
        <is>
          <t>paints / varnishes</t>
        </is>
      </c>
      <c r="E29" s="31" t="inlineStr">
        <is>
          <t>smallcap</t>
        </is>
      </c>
      <c r="F29" s="31" t="n">
        <v>4947.3</v>
      </c>
      <c r="G29" s="31" t="n">
        <v>1084.4</v>
      </c>
      <c r="H29" s="31" t="n">
        <v>4.5</v>
      </c>
      <c r="I29" s="31" t="n">
        <v>85422</v>
      </c>
      <c r="J29" s="31" t="inlineStr">
        <is>
          <t>543258</t>
        </is>
      </c>
    </row>
    <row r="30">
      <c r="A30" s="31" t="inlineStr">
        <is>
          <t>SETL</t>
        </is>
      </c>
      <c r="B30" s="31" t="inlineStr">
        <is>
          <t>Standard Enginnering Technology Ltd</t>
        </is>
      </c>
      <c r="C30" s="31" t="inlineStr">
        <is>
          <t>industrials</t>
        </is>
      </c>
      <c r="D30" s="31" t="inlineStr">
        <is>
          <t>engineering</t>
        </is>
      </c>
      <c r="E30" s="31" t="inlineStr">
        <is>
          <t>midcap</t>
        </is>
      </c>
      <c r="F30" s="31" t="n">
        <v>5463.08</v>
      </c>
      <c r="G30" s="31" t="n">
        <v>285.5</v>
      </c>
      <c r="H30" s="31" t="n">
        <v>4.25</v>
      </c>
      <c r="I30" s="31" t="n">
        <v>1174671</v>
      </c>
      <c r="J30" s="31" t="inlineStr">
        <is>
          <t>544333</t>
        </is>
      </c>
    </row>
    <row r="31">
      <c r="A31" s="31" t="inlineStr">
        <is>
          <t>PIXTRANS</t>
        </is>
      </c>
      <c r="B31" s="31" t="inlineStr">
        <is>
          <t>Pix Transmission Ltd</t>
        </is>
      </c>
      <c r="C31" s="31" t="inlineStr">
        <is>
          <t>fmcg</t>
        </is>
      </c>
      <c r="D31" s="31" t="inlineStr">
        <is>
          <t>miscellaneous</t>
        </is>
      </c>
      <c r="E31" s="31" t="inlineStr">
        <is>
          <t>smallcap</t>
        </is>
      </c>
      <c r="F31" s="31" t="n">
        <v>2503.22</v>
      </c>
      <c r="G31" s="31" t="n">
        <v>1914</v>
      </c>
      <c r="H31" s="31" t="n">
        <v>4.18</v>
      </c>
      <c r="I31" s="31" t="n">
        <v>95300</v>
      </c>
      <c r="J31" s="31" t="inlineStr">
        <is>
          <t>500333</t>
        </is>
      </c>
    </row>
    <row r="32">
      <c r="A32" s="31" t="inlineStr">
        <is>
          <t>BANDHANBNK</t>
        </is>
      </c>
      <c r="B32" s="31" t="inlineStr">
        <is>
          <t>Bandhan Bank Ltd</t>
        </is>
      </c>
      <c r="C32" s="31" t="inlineStr">
        <is>
          <t>bank</t>
        </is>
      </c>
      <c r="D32" s="31" t="inlineStr">
        <is>
          <t>banks - private sector</t>
        </is>
      </c>
      <c r="E32" s="31" t="inlineStr">
        <is>
          <t>largecap</t>
        </is>
      </c>
      <c r="F32" s="31" t="n">
        <v>33487.28</v>
      </c>
      <c r="G32" s="31" t="n">
        <v>216.52</v>
      </c>
      <c r="H32" s="31" t="n">
        <v>4.16</v>
      </c>
      <c r="I32" s="31" t="n">
        <v>23750106</v>
      </c>
      <c r="J32" s="31" t="inlineStr">
        <is>
          <t>541153</t>
        </is>
      </c>
    </row>
    <row r="33">
      <c r="A33" s="31" t="inlineStr">
        <is>
          <t>ACE</t>
        </is>
      </c>
      <c r="B33" s="31" t="inlineStr">
        <is>
          <t>Action Construction Equipment Limited</t>
        </is>
      </c>
      <c r="C33" s="31" t="inlineStr">
        <is>
          <t>industrials</t>
        </is>
      </c>
      <c r="D33" s="31" t="inlineStr">
        <is>
          <t>engineering</t>
        </is>
      </c>
      <c r="E33" s="31" t="inlineStr">
        <is>
          <t>midcap</t>
        </is>
      </c>
      <c r="F33" s="31" t="n">
        <v>11484.38</v>
      </c>
      <c r="G33" s="31" t="n">
        <v>1004.4</v>
      </c>
      <c r="H33" s="31" t="n">
        <v>4.15</v>
      </c>
      <c r="I33" s="31" t="n">
        <v>417987</v>
      </c>
      <c r="J33" s="31" t="inlineStr">
        <is>
          <t>532762</t>
        </is>
      </c>
    </row>
    <row r="34">
      <c r="A34" s="31" t="inlineStr">
        <is>
          <t>E2E</t>
        </is>
      </c>
      <c r="B34" s="31" t="inlineStr">
        <is>
          <t>E2E Networks Ltd</t>
        </is>
      </c>
      <c r="C34" s="31" t="inlineStr">
        <is>
          <t>i.t</t>
        </is>
      </c>
      <c r="D34" s="31" t="inlineStr">
        <is>
          <t>computers - software - medium / small</t>
        </is>
      </c>
      <c r="E34" s="31" t="inlineStr">
        <is>
          <t>smallcap</t>
        </is>
      </c>
      <c r="F34" s="31" t="n">
        <v>811.16</v>
      </c>
      <c r="G34" s="31" t="n">
        <v>410.9</v>
      </c>
      <c r="H34" s="31" t="n">
        <v>4.13</v>
      </c>
      <c r="I34" s="31" t="n">
        <v>2148304</v>
      </c>
      <c r="J34" s="31" t="inlineStr">
        <is>
          <t>535080</t>
        </is>
      </c>
    </row>
    <row r="35">
      <c r="A35" s="31" t="inlineStr">
        <is>
          <t>TFCILTD</t>
        </is>
      </c>
      <c r="B35" s="31" t="inlineStr">
        <is>
          <t>Tourism Finance Corporation Of India Limited</t>
        </is>
      </c>
      <c r="C35" s="31" t="inlineStr">
        <is>
          <t>financials</t>
        </is>
      </c>
      <c r="D35" s="31" t="inlineStr">
        <is>
          <t>finance - term-lending institutions</t>
        </is>
      </c>
      <c r="E35" s="31" t="inlineStr">
        <is>
          <t>smallcap</t>
        </is>
      </c>
      <c r="F35" s="31" t="n">
        <v>3728.36</v>
      </c>
      <c r="G35" s="31" t="n">
        <v>83.8</v>
      </c>
      <c r="H35" s="31" t="n">
        <v>4.06</v>
      </c>
      <c r="I35" s="31" t="n">
        <v>9252212</v>
      </c>
      <c r="J35" s="31" t="inlineStr">
        <is>
          <t>526650</t>
        </is>
      </c>
    </row>
    <row r="36">
      <c r="A36" s="31" t="inlineStr">
        <is>
          <t>DEEDEV</t>
        </is>
      </c>
      <c r="B36" s="31" t="inlineStr">
        <is>
          <t>DEE Development Engineers Ltd</t>
        </is>
      </c>
      <c r="C36" s="31" t="inlineStr">
        <is>
          <t>metals &amp; mining</t>
        </is>
      </c>
      <c r="D36" s="31" t="inlineStr">
        <is>
          <t>steel - medium / small</t>
        </is>
      </c>
      <c r="E36" s="31" t="inlineStr">
        <is>
          <t>smallcap</t>
        </is>
      </c>
      <c r="F36" s="31" t="n">
        <v>4790.25</v>
      </c>
      <c r="G36" s="31" t="n">
        <v>719.05</v>
      </c>
      <c r="H36" s="31" t="n">
        <v>3.97</v>
      </c>
      <c r="I36" s="31" t="n">
        <v>120955</v>
      </c>
      <c r="J36" s="31" t="n"/>
    </row>
    <row r="37">
      <c r="A37" s="31" t="inlineStr">
        <is>
          <t>IRISDOREME</t>
        </is>
      </c>
      <c r="B37" s="31" t="inlineStr">
        <is>
          <t>Iris Clothings Ltd</t>
        </is>
      </c>
      <c r="C37" s="31" t="inlineStr">
        <is>
          <t>consumer discretionary</t>
        </is>
      </c>
      <c r="D37" s="31" t="inlineStr">
        <is>
          <t>textiles - products</t>
        </is>
      </c>
      <c r="E37" s="31" t="inlineStr">
        <is>
          <t>smallcap</t>
        </is>
      </c>
      <c r="F37" s="31" t="n">
        <v>834.03</v>
      </c>
      <c r="G37" s="31" t="n">
        <v>45.52</v>
      </c>
      <c r="H37" s="31" t="n">
        <v>3.88</v>
      </c>
      <c r="I37" s="31" t="n">
        <v>1891747</v>
      </c>
      <c r="J37" s="31" t="inlineStr">
        <is>
          <t>535123</t>
        </is>
      </c>
    </row>
    <row r="38">
      <c r="A38" s="31" t="inlineStr">
        <is>
          <t>CENTENKA</t>
        </is>
      </c>
      <c r="B38" s="31" t="inlineStr">
        <is>
          <t>Century Enka Limited</t>
        </is>
      </c>
      <c r="C38" s="31" t="inlineStr">
        <is>
          <t>textiles</t>
        </is>
      </c>
      <c r="D38" s="31" t="inlineStr">
        <is>
          <t>textiles - manmade</t>
        </is>
      </c>
      <c r="E38" s="31" t="inlineStr">
        <is>
          <t>smallcap</t>
        </is>
      </c>
      <c r="F38" s="31" t="n">
        <v>1157.54</v>
      </c>
      <c r="G38" s="31" t="n">
        <v>549.85</v>
      </c>
      <c r="H38" s="31" t="n">
        <v>3.79</v>
      </c>
      <c r="I38" s="31" t="n">
        <v>1825914</v>
      </c>
      <c r="J38" s="31" t="inlineStr">
        <is>
          <t>500280</t>
        </is>
      </c>
    </row>
    <row r="39">
      <c r="A39" s="31" t="inlineStr">
        <is>
          <t>ASIANENE</t>
        </is>
      </c>
      <c r="B39" s="31" t="inlineStr">
        <is>
          <t>Asian Energy Services Ltd</t>
        </is>
      </c>
      <c r="C39" s="31" t="inlineStr">
        <is>
          <t>energy</t>
        </is>
      </c>
      <c r="D39" s="31" t="inlineStr">
        <is>
          <t>oil drilling / allied services</t>
        </is>
      </c>
      <c r="E39" s="31" t="inlineStr">
        <is>
          <t>smallcap</t>
        </is>
      </c>
      <c r="F39" s="31" t="n">
        <v>1718.64</v>
      </c>
      <c r="G39" s="31" t="n">
        <v>366.9</v>
      </c>
      <c r="H39" s="31" t="n">
        <v>3.78</v>
      </c>
      <c r="I39" s="31" t="n">
        <v>363071</v>
      </c>
      <c r="J39" s="31" t="inlineStr">
        <is>
          <t>530355</t>
        </is>
      </c>
    </row>
    <row r="40">
      <c r="A40" s="31" t="inlineStr">
        <is>
          <t>AARTIIND</t>
        </is>
      </c>
      <c r="B40" s="31" t="inlineStr">
        <is>
          <t>Aarti Industries Limited</t>
        </is>
      </c>
      <c r="C40" s="31" t="inlineStr">
        <is>
          <t>chemicals</t>
        </is>
      </c>
      <c r="D40" s="31" t="inlineStr">
        <is>
          <t>chemicals</t>
        </is>
      </c>
      <c r="E40" s="31" t="inlineStr">
        <is>
          <t>midcap</t>
        </is>
      </c>
      <c r="F40" s="31" t="n">
        <v>17515.12</v>
      </c>
      <c r="G40" s="31" t="n">
        <v>500.7</v>
      </c>
      <c r="H40" s="31" t="n">
        <v>3.65</v>
      </c>
      <c r="I40" s="31" t="n">
        <v>4186386</v>
      </c>
      <c r="J40" s="31" t="inlineStr">
        <is>
          <t>524208</t>
        </is>
      </c>
    </row>
    <row r="41">
      <c r="A41" s="31" t="inlineStr">
        <is>
          <t>MUKANDLTD</t>
        </is>
      </c>
      <c r="B41" s="31" t="inlineStr">
        <is>
          <t>Mukand Limited</t>
        </is>
      </c>
      <c r="C41" s="31" t="inlineStr">
        <is>
          <t>metals &amp; mining</t>
        </is>
      </c>
      <c r="D41" s="31" t="inlineStr">
        <is>
          <t>steel - medium / small</t>
        </is>
      </c>
      <c r="E41" s="31" t="inlineStr">
        <is>
          <t>smallcap</t>
        </is>
      </c>
      <c r="F41" s="31" t="n">
        <v>1975.54</v>
      </c>
      <c r="G41" s="31" t="n">
        <v>141.65</v>
      </c>
      <c r="H41" s="31" t="n">
        <v>3.61</v>
      </c>
      <c r="I41" s="31" t="n">
        <v>801817</v>
      </c>
      <c r="J41" s="31" t="inlineStr">
        <is>
          <t>500460</t>
        </is>
      </c>
    </row>
    <row r="42">
      <c r="A42" s="31" t="inlineStr">
        <is>
          <t>HONAUT</t>
        </is>
      </c>
      <c r="B42" s="31" t="inlineStr">
        <is>
          <t>Honeywell Automation India Limited</t>
        </is>
      </c>
      <c r="C42" s="31" t="inlineStr">
        <is>
          <t>consumer discretionary</t>
        </is>
      </c>
      <c r="D42" s="31" t="inlineStr">
        <is>
          <t>electronics - components</t>
        </is>
      </c>
      <c r="E42" s="31" t="inlineStr">
        <is>
          <t>largecap</t>
        </is>
      </c>
      <c r="F42" s="31" t="n">
        <v>33650.84</v>
      </c>
      <c r="G42" s="31" t="n">
        <v>39420</v>
      </c>
      <c r="H42" s="31" t="n">
        <v>3.57</v>
      </c>
      <c r="I42" s="31" t="n">
        <v>4488</v>
      </c>
      <c r="J42" s="31" t="inlineStr">
        <is>
          <t>517174</t>
        </is>
      </c>
    </row>
    <row r="43">
      <c r="A43" s="31" t="inlineStr">
        <is>
          <t>APLLTD</t>
        </is>
      </c>
      <c r="B43" s="31" t="inlineStr">
        <is>
          <t>Alembic Pharmaceuticals Limited</t>
        </is>
      </c>
      <c r="C43" s="31" t="inlineStr">
        <is>
          <t>healthcare</t>
        </is>
      </c>
      <c r="D43" s="31" t="inlineStr">
        <is>
          <t>pharmaceuticals - indian - bulk drugs &amp; formln</t>
        </is>
      </c>
      <c r="E43" s="31" t="inlineStr">
        <is>
          <t>midcap</t>
        </is>
      </c>
      <c r="F43" s="31" t="n">
        <v>16140.78</v>
      </c>
      <c r="G43" s="31" t="n">
        <v>850.05</v>
      </c>
      <c r="H43" s="31" t="n">
        <v>3.52</v>
      </c>
      <c r="I43" s="31" t="n">
        <v>207604</v>
      </c>
      <c r="J43" s="31" t="inlineStr">
        <is>
          <t>533573</t>
        </is>
      </c>
    </row>
    <row r="44">
      <c r="A44" s="31" t="inlineStr">
        <is>
          <t>ADOR</t>
        </is>
      </c>
      <c r="B44" s="31" t="inlineStr">
        <is>
          <t>Ador Welding Ltd</t>
        </is>
      </c>
      <c r="C44" s="31" t="inlineStr">
        <is>
          <t>industrials</t>
        </is>
      </c>
      <c r="D44" s="31" t="inlineStr">
        <is>
          <t>electrodes - welding equipment</t>
        </is>
      </c>
      <c r="E44" s="31" t="inlineStr">
        <is>
          <t>smallcap</t>
        </is>
      </c>
      <c r="F44" s="31" t="n">
        <v>2290.38</v>
      </c>
      <c r="G44" s="31" t="n">
        <v>1362.3</v>
      </c>
      <c r="H44" s="31" t="n">
        <v>3.51</v>
      </c>
      <c r="I44" s="31" t="n">
        <v>119870</v>
      </c>
      <c r="J44" s="31" t="inlineStr">
        <is>
          <t>517041</t>
        </is>
      </c>
    </row>
    <row r="45">
      <c r="A45" s="31" t="inlineStr">
        <is>
          <t>OAL</t>
        </is>
      </c>
      <c r="B45" s="31" t="inlineStr">
        <is>
          <t>Oriental Aromatics Ltd</t>
        </is>
      </c>
      <c r="C45" s="31" t="inlineStr">
        <is>
          <t>chemicals</t>
        </is>
      </c>
      <c r="D45" s="31" t="inlineStr">
        <is>
          <t>chemicals</t>
        </is>
      </c>
      <c r="E45" s="31" t="inlineStr">
        <is>
          <t>smallcap</t>
        </is>
      </c>
      <c r="F45" s="31" t="n">
        <v>1186.79</v>
      </c>
      <c r="G45" s="31" t="n">
        <v>365</v>
      </c>
      <c r="H45" s="31" t="n">
        <v>3.5</v>
      </c>
      <c r="I45" s="31" t="n">
        <v>48916</v>
      </c>
      <c r="J45" s="31" t="inlineStr">
        <is>
          <t>500078</t>
        </is>
      </c>
    </row>
    <row r="46">
      <c r="A46" s="31" t="inlineStr">
        <is>
          <t>BHEL</t>
        </is>
      </c>
      <c r="B46" s="31" t="inlineStr">
        <is>
          <t>Bharat Heavy Electricals Limited</t>
        </is>
      </c>
      <c r="C46" s="31" t="inlineStr">
        <is>
          <t>industrials</t>
        </is>
      </c>
      <c r="D46" s="31" t="inlineStr">
        <is>
          <t>electric equipment</t>
        </is>
      </c>
      <c r="E46" s="31" t="inlineStr">
        <is>
          <t>largecap</t>
        </is>
      </c>
      <c r="F46" s="31" t="n">
        <v>140640.54</v>
      </c>
      <c r="G46" s="31" t="n">
        <v>417.95</v>
      </c>
      <c r="H46" s="31" t="n">
        <v>3.48</v>
      </c>
      <c r="I46" s="31" t="n">
        <v>19808847</v>
      </c>
      <c r="J46" s="31" t="inlineStr">
        <is>
          <t>500103</t>
        </is>
      </c>
    </row>
    <row r="47">
      <c r="A47" s="31" t="inlineStr">
        <is>
          <t>KALYANKJIL</t>
        </is>
      </c>
      <c r="B47" s="31" t="inlineStr">
        <is>
          <t>Kalyan Jewellers India Ltd</t>
        </is>
      </c>
      <c r="C47" s="31" t="inlineStr">
        <is>
          <t>consumer discretionary</t>
        </is>
      </c>
      <c r="D47" s="31" t="inlineStr">
        <is>
          <t>diamond cutting / jewellery</t>
        </is>
      </c>
      <c r="E47" s="31" t="inlineStr">
        <is>
          <t>largecap</t>
        </is>
      </c>
      <c r="F47" s="31" t="n">
        <v>54709.41</v>
      </c>
      <c r="G47" s="31" t="n">
        <v>548.1</v>
      </c>
      <c r="H47" s="31" t="n">
        <v>3.46</v>
      </c>
      <c r="I47" s="31" t="n">
        <v>63633358</v>
      </c>
      <c r="J47" s="31" t="inlineStr">
        <is>
          <t>543278</t>
        </is>
      </c>
    </row>
    <row r="48">
      <c r="A48" s="31" t="inlineStr">
        <is>
          <t>SHILPAMED</t>
        </is>
      </c>
      <c r="B48" s="31" t="inlineStr">
        <is>
          <t>Shilpa Medicare Limited</t>
        </is>
      </c>
      <c r="C48" s="31" t="inlineStr">
        <is>
          <t>healthcare</t>
        </is>
      </c>
      <c r="D48" s="31" t="inlineStr">
        <is>
          <t>pharmaceuticals - indian - formulations</t>
        </is>
      </c>
      <c r="E48" s="31" t="inlineStr">
        <is>
          <t>midcap</t>
        </is>
      </c>
      <c r="F48" s="31" t="n">
        <v>12209.19</v>
      </c>
      <c r="G48" s="31" t="n">
        <v>645.75</v>
      </c>
      <c r="H48" s="31" t="n">
        <v>3.44</v>
      </c>
      <c r="I48" s="31" t="n">
        <v>741076</v>
      </c>
      <c r="J48" s="31" t="inlineStr">
        <is>
          <t>530549</t>
        </is>
      </c>
    </row>
    <row r="49">
      <c r="A49" s="31" t="inlineStr">
        <is>
          <t>HEG</t>
        </is>
      </c>
      <c r="B49" s="31" t="inlineStr">
        <is>
          <t>Heg Limited</t>
        </is>
      </c>
      <c r="C49" s="31" t="inlineStr">
        <is>
          <t>industrials</t>
        </is>
      </c>
      <c r="D49" s="31" t="inlineStr">
        <is>
          <t>electrodes - graphites</t>
        </is>
      </c>
      <c r="E49" s="31" t="inlineStr">
        <is>
          <t>midcap</t>
        </is>
      </c>
      <c r="F49" s="31" t="n">
        <v>10931.21</v>
      </c>
      <c r="G49" s="31" t="n">
        <v>585.6</v>
      </c>
      <c r="H49" s="31" t="n">
        <v>3.38</v>
      </c>
      <c r="I49" s="31" t="n">
        <v>2684596</v>
      </c>
      <c r="J49" s="31" t="inlineStr">
        <is>
          <t>509631</t>
        </is>
      </c>
    </row>
    <row r="50">
      <c r="A50" s="31" t="inlineStr">
        <is>
          <t>PRECOT</t>
        </is>
      </c>
      <c r="B50" s="31" t="inlineStr">
        <is>
          <t>Precot Meridian Limited</t>
        </is>
      </c>
      <c r="C50" s="31" t="inlineStr">
        <is>
          <t>textiles</t>
        </is>
      </c>
      <c r="D50" s="31" t="inlineStr">
        <is>
          <t>textiles - cotton/blended</t>
        </is>
      </c>
      <c r="E50" s="31" t="inlineStr">
        <is>
          <t>smallcap</t>
        </is>
      </c>
      <c r="F50" s="31" t="n">
        <v>954</v>
      </c>
      <c r="G50" s="31" t="n">
        <v>821.4</v>
      </c>
      <c r="H50" s="31" t="n">
        <v>3.32</v>
      </c>
      <c r="I50" s="31" t="n">
        <v>3371</v>
      </c>
      <c r="J50" s="31" t="inlineStr">
        <is>
          <t>521184</t>
        </is>
      </c>
    </row>
    <row r="51">
      <c r="A51" s="31" t="inlineStr">
        <is>
          <t>HUHTAMAKI</t>
        </is>
      </c>
      <c r="B51" s="31" t="inlineStr">
        <is>
          <t>Huhtamaki India Ltd</t>
        </is>
      </c>
      <c r="C51" s="31" t="inlineStr">
        <is>
          <t>industrials</t>
        </is>
      </c>
      <c r="D51" s="31" t="inlineStr">
        <is>
          <t>packaging</t>
        </is>
      </c>
      <c r="E51" s="31" t="inlineStr">
        <is>
          <t>smallcap</t>
        </is>
      </c>
      <c r="F51" s="31" t="n">
        <v>1629.61</v>
      </c>
      <c r="G51" s="31" t="n">
        <v>222.9</v>
      </c>
      <c r="H51" s="31" t="n">
        <v>3.3</v>
      </c>
      <c r="I51" s="31" t="n">
        <v>179266</v>
      </c>
      <c r="J51" s="31" t="inlineStr">
        <is>
          <t>509820</t>
        </is>
      </c>
    </row>
    <row r="52">
      <c r="A52" s="31" t="inlineStr">
        <is>
          <t>RSWM</t>
        </is>
      </c>
      <c r="B52" s="31" t="inlineStr">
        <is>
          <t>Rswm Limited</t>
        </is>
      </c>
      <c r="C52" s="31" t="inlineStr">
        <is>
          <t>textiles</t>
        </is>
      </c>
      <c r="D52" s="31" t="inlineStr">
        <is>
          <t>textiles - cotton/blended</t>
        </is>
      </c>
      <c r="E52" s="31" t="inlineStr">
        <is>
          <t>smallcap</t>
        </is>
      </c>
      <c r="F52" s="31" t="n">
        <v>973.5</v>
      </c>
      <c r="G52" s="31" t="n">
        <v>213.28</v>
      </c>
      <c r="H52" s="31" t="n">
        <v>3.19</v>
      </c>
      <c r="I52" s="31" t="n">
        <v>73662</v>
      </c>
      <c r="J52" s="31" t="inlineStr">
        <is>
          <t>500350</t>
        </is>
      </c>
    </row>
    <row r="53">
      <c r="A53" s="31" t="inlineStr">
        <is>
          <t>GODREJIND</t>
        </is>
      </c>
      <c r="B53" s="31" t="inlineStr">
        <is>
          <t>Godrej Industries Limited</t>
        </is>
      </c>
      <c r="C53" s="31" t="inlineStr">
        <is>
          <t>chemicals</t>
        </is>
      </c>
      <c r="D53" s="31" t="inlineStr">
        <is>
          <t>chemicals</t>
        </is>
      </c>
      <c r="E53" s="31" t="inlineStr">
        <is>
          <t>largecap</t>
        </is>
      </c>
      <c r="F53" s="31" t="n">
        <v>45020.7</v>
      </c>
      <c r="G53" s="31" t="n">
        <v>1379.4</v>
      </c>
      <c r="H53" s="31" t="n">
        <v>3.19</v>
      </c>
      <c r="I53" s="31" t="n">
        <v>327090</v>
      </c>
      <c r="J53" s="31" t="inlineStr">
        <is>
          <t>500164</t>
        </is>
      </c>
    </row>
    <row r="54">
      <c r="A54" s="31" t="inlineStr">
        <is>
          <t>INDIAGLYCO</t>
        </is>
      </c>
      <c r="B54" s="31" t="inlineStr">
        <is>
          <t>India Glycols Limited</t>
        </is>
      </c>
      <c r="C54" s="31" t="inlineStr">
        <is>
          <t>fmcg</t>
        </is>
      </c>
      <c r="D54" s="31" t="inlineStr">
        <is>
          <t>breweries &amp; distilleries</t>
        </is>
      </c>
      <c r="E54" s="31" t="inlineStr">
        <is>
          <t>midcap</t>
        </is>
      </c>
      <c r="F54" s="31" t="n">
        <v>7390.71</v>
      </c>
      <c r="G54" s="31" t="n">
        <v>1137.35</v>
      </c>
      <c r="H54" s="31" t="n">
        <v>3.15</v>
      </c>
      <c r="I54" s="31" t="n">
        <v>708876</v>
      </c>
      <c r="J54" s="31" t="inlineStr">
        <is>
          <t>500201</t>
        </is>
      </c>
    </row>
    <row r="55">
      <c r="A55" s="31" t="inlineStr">
        <is>
          <t>BLUSPRING</t>
        </is>
      </c>
      <c r="B55" s="31" t="inlineStr">
        <is>
          <t>Bluspring Enterprises Ltd</t>
        </is>
      </c>
      <c r="C55" s="31" t="inlineStr">
        <is>
          <t>miscellaneous</t>
        </is>
      </c>
      <c r="D55" s="31" t="inlineStr">
        <is>
          <t>diversified - large</t>
        </is>
      </c>
      <c r="E55" s="31" t="inlineStr">
        <is>
          <t>smallcap</t>
        </is>
      </c>
      <c r="F55" s="31" t="n">
        <v>1687.58</v>
      </c>
      <c r="G55" s="31" t="n">
        <v>116.67</v>
      </c>
      <c r="H55" s="31" t="n">
        <v>3.1</v>
      </c>
      <c r="I55" s="31" t="n">
        <v>715678</v>
      </c>
      <c r="J55" s="31" t="inlineStr">
        <is>
          <t>544414</t>
        </is>
      </c>
    </row>
    <row r="56">
      <c r="A56" s="31" t="inlineStr">
        <is>
          <t>JNKINDIA</t>
        </is>
      </c>
      <c r="B56" s="31" t="inlineStr">
        <is>
          <t>JNK India Ltd</t>
        </is>
      </c>
      <c r="C56" s="31" t="inlineStr">
        <is>
          <t>realty</t>
        </is>
      </c>
      <c r="D56" s="31" t="inlineStr">
        <is>
          <t>engineering - turnkey services</t>
        </is>
      </c>
      <c r="E56" s="31" t="inlineStr">
        <is>
          <t>smallcap</t>
        </is>
      </c>
      <c r="F56" s="31" t="n">
        <v>2963.88</v>
      </c>
      <c r="G56" s="31" t="n">
        <v>545.95</v>
      </c>
      <c r="H56" s="31" t="n">
        <v>3.07</v>
      </c>
      <c r="I56" s="31" t="n">
        <v>1174806</v>
      </c>
      <c r="J56" s="31" t="inlineStr">
        <is>
          <t>544167</t>
        </is>
      </c>
    </row>
    <row r="57">
      <c r="A57" s="31" t="inlineStr">
        <is>
          <t>ETERNAL</t>
        </is>
      </c>
      <c r="B57" s="31" t="inlineStr">
        <is>
          <t>Eternal Ltd</t>
        </is>
      </c>
      <c r="C57" s="31" t="inlineStr">
        <is>
          <t>i.t</t>
        </is>
      </c>
      <c r="D57" s="31" t="inlineStr">
        <is>
          <t>miscellaneous</t>
        </is>
      </c>
      <c r="E57" s="31" t="inlineStr">
        <is>
          <t>largecap</t>
        </is>
      </c>
      <c r="F57" s="31" t="n">
        <v>276144.78</v>
      </c>
      <c r="G57" s="31" t="n">
        <v>294.8</v>
      </c>
      <c r="H57" s="31" t="n">
        <v>3.02</v>
      </c>
      <c r="I57" s="31" t="n">
        <v>45126606</v>
      </c>
      <c r="J57" s="31" t="inlineStr">
        <is>
          <t>543320</t>
        </is>
      </c>
    </row>
    <row r="58">
      <c r="A58" s="31" t="inlineStr">
        <is>
          <t>AUTOAXLES</t>
        </is>
      </c>
      <c r="B58" s="31" t="inlineStr">
        <is>
          <t>Automotive Axles Limited</t>
        </is>
      </c>
      <c r="C58" s="31" t="inlineStr">
        <is>
          <t>auto</t>
        </is>
      </c>
      <c r="D58" s="31" t="inlineStr">
        <is>
          <t>auto ancillaries</t>
        </is>
      </c>
      <c r="E58" s="31" t="inlineStr">
        <is>
          <t>smallcap</t>
        </is>
      </c>
      <c r="F58" s="31" t="n">
        <v>2683.58</v>
      </c>
      <c r="G58" s="31" t="n">
        <v>1829</v>
      </c>
      <c r="H58" s="31" t="n">
        <v>3</v>
      </c>
      <c r="I58" s="31" t="n">
        <v>9380</v>
      </c>
      <c r="J58" s="31" t="inlineStr">
        <is>
          <t>505010</t>
        </is>
      </c>
    </row>
    <row r="59">
      <c r="A59" s="31" t="inlineStr">
        <is>
          <t>MOSCHIP</t>
        </is>
      </c>
      <c r="B59" s="31" t="inlineStr">
        <is>
          <t>Moschip Technologies Ltd</t>
        </is>
      </c>
      <c r="C59" s="31" t="inlineStr">
        <is>
          <t>i.t</t>
        </is>
      </c>
      <c r="D59" s="31" t="inlineStr">
        <is>
          <t>computers - hardware</t>
        </is>
      </c>
      <c r="E59" s="31" t="inlineStr">
        <is>
          <t>smallcap</t>
        </is>
      </c>
      <c r="F59" s="31" t="n">
        <v>4668.89</v>
      </c>
      <c r="G59" s="31" t="n">
        <v>247.98</v>
      </c>
      <c r="H59" s="31" t="n">
        <v>2.97</v>
      </c>
      <c r="I59" s="31" t="n">
        <v>11593552</v>
      </c>
      <c r="J59" s="31" t="inlineStr">
        <is>
          <t>532407</t>
        </is>
      </c>
    </row>
    <row r="60">
      <c r="A60" s="31" t="inlineStr">
        <is>
          <t>GALAPREC</t>
        </is>
      </c>
      <c r="B60" s="31" t="inlineStr">
        <is>
          <t>Gala Precision Engineering Ltd</t>
        </is>
      </c>
      <c r="C60" s="31" t="inlineStr">
        <is>
          <t>industrials</t>
        </is>
      </c>
      <c r="D60" s="31" t="inlineStr">
        <is>
          <t>fasteners</t>
        </is>
      </c>
      <c r="E60" s="31" t="inlineStr">
        <is>
          <t>smallcap</t>
        </is>
      </c>
      <c r="F60" s="31" t="n">
        <v>1453.02</v>
      </c>
      <c r="G60" s="31" t="n">
        <v>1173.2</v>
      </c>
      <c r="H60" s="31" t="n">
        <v>2.95</v>
      </c>
      <c r="I60" s="31" t="n">
        <v>90926</v>
      </c>
      <c r="J60" s="31" t="inlineStr">
        <is>
          <t>544244</t>
        </is>
      </c>
    </row>
    <row r="61">
      <c r="A61" s="31" t="inlineStr">
        <is>
          <t>J&amp;KBANK</t>
        </is>
      </c>
      <c r="B61" s="31" t="inlineStr">
        <is>
          <t>The Jammu &amp; Kashmir Bank Limited</t>
        </is>
      </c>
      <c r="C61" s="31" t="inlineStr">
        <is>
          <t>bank</t>
        </is>
      </c>
      <c r="D61" s="31" t="inlineStr">
        <is>
          <t>banks - private sector</t>
        </is>
      </c>
      <c r="E61" s="31" t="inlineStr">
        <is>
          <t>midcap</t>
        </is>
      </c>
      <c r="F61" s="31" t="n">
        <v>19534.98</v>
      </c>
      <c r="G61" s="31" t="n">
        <v>182.63</v>
      </c>
      <c r="H61" s="31" t="n">
        <v>2.95</v>
      </c>
      <c r="I61" s="31" t="n">
        <v>11189388</v>
      </c>
      <c r="J61" s="31" t="inlineStr">
        <is>
          <t>532209</t>
        </is>
      </c>
    </row>
    <row r="62">
      <c r="A62" s="31" t="inlineStr">
        <is>
          <t>SOTL</t>
        </is>
      </c>
      <c r="B62" s="31" t="inlineStr">
        <is>
          <t>Savita Oil Technologies Limited</t>
        </is>
      </c>
      <c r="C62" s="31" t="inlineStr">
        <is>
          <t>energy</t>
        </is>
      </c>
      <c r="D62" s="31" t="inlineStr">
        <is>
          <t>petrochemicals</t>
        </is>
      </c>
      <c r="E62" s="31" t="inlineStr">
        <is>
          <t>smallcap</t>
        </is>
      </c>
      <c r="F62" s="31" t="n">
        <v>3973.42</v>
      </c>
      <c r="G62" s="31" t="n">
        <v>596.6</v>
      </c>
      <c r="H62" s="31" t="n">
        <v>2.94</v>
      </c>
      <c r="I62" s="31" t="n">
        <v>241053</v>
      </c>
      <c r="J62" s="31" t="inlineStr">
        <is>
          <t>524667</t>
        </is>
      </c>
    </row>
    <row r="63">
      <c r="A63" s="31" t="inlineStr">
        <is>
          <t>CARYSIL</t>
        </is>
      </c>
      <c r="B63" s="31" t="inlineStr">
        <is>
          <t>Carysil Ltd</t>
        </is>
      </c>
      <c r="C63" s="31" t="inlineStr">
        <is>
          <t>consumer discretionary</t>
        </is>
      </c>
      <c r="D63" s="31" t="inlineStr">
        <is>
          <t>domestic appliances</t>
        </is>
      </c>
      <c r="E63" s="31" t="inlineStr">
        <is>
          <t>smallcap</t>
        </is>
      </c>
      <c r="F63" s="31" t="n">
        <v>3320.96</v>
      </c>
      <c r="G63" s="31" t="n">
        <v>1200</v>
      </c>
      <c r="H63" s="31" t="n">
        <v>2.77</v>
      </c>
      <c r="I63" s="31" t="n">
        <v>1241146</v>
      </c>
      <c r="J63" s="31" t="inlineStr">
        <is>
          <t>524091</t>
        </is>
      </c>
    </row>
    <row r="64">
      <c r="A64" s="31" t="inlineStr">
        <is>
          <t>ULTRACEMCO</t>
        </is>
      </c>
      <c r="B64" s="31" t="inlineStr">
        <is>
          <t>Ultratech Cement Limited</t>
        </is>
      </c>
      <c r="C64" s="31" t="inlineStr">
        <is>
          <t>building materials</t>
        </is>
      </c>
      <c r="D64" s="31" t="inlineStr">
        <is>
          <t>cement - north india</t>
        </is>
      </c>
      <c r="E64" s="31" t="inlineStr">
        <is>
          <t>largecap</t>
        </is>
      </c>
      <c r="F64" s="31" t="n">
        <v>338763.18</v>
      </c>
      <c r="G64" s="31" t="n">
        <v>11812</v>
      </c>
      <c r="H64" s="31" t="n">
        <v>2.75</v>
      </c>
      <c r="I64" s="31" t="n">
        <v>379666</v>
      </c>
      <c r="J64" s="31" t="inlineStr">
        <is>
          <t>532538</t>
        </is>
      </c>
    </row>
    <row r="65">
      <c r="A65" s="31" t="inlineStr">
        <is>
          <t>MUTHOOTMF</t>
        </is>
      </c>
      <c r="B65" s="31" t="inlineStr">
        <is>
          <t>Muthoot Microfin Ltd</t>
        </is>
      </c>
      <c r="C65" s="31" t="inlineStr">
        <is>
          <t>financials</t>
        </is>
      </c>
      <c r="D65" s="31" t="inlineStr">
        <is>
          <t>finance &amp; investments</t>
        </is>
      </c>
      <c r="E65" s="31" t="inlineStr">
        <is>
          <t>smallcap</t>
        </is>
      </c>
      <c r="F65" s="31" t="n">
        <v>4074.93</v>
      </c>
      <c r="G65" s="31" t="n">
        <v>245.54</v>
      </c>
      <c r="H65" s="31" t="n">
        <v>2.73</v>
      </c>
      <c r="I65" s="31" t="n">
        <v>820993</v>
      </c>
      <c r="J65" s="31" t="inlineStr">
        <is>
          <t>544055</t>
        </is>
      </c>
    </row>
    <row r="66">
      <c r="A66" s="31" t="inlineStr">
        <is>
          <t>FINEORG</t>
        </is>
      </c>
      <c r="B66" s="31" t="inlineStr">
        <is>
          <t>Fine Organic Industries Ltd</t>
        </is>
      </c>
      <c r="C66" s="31" t="inlineStr">
        <is>
          <t>chemicals</t>
        </is>
      </c>
      <c r="D66" s="31" t="inlineStr">
        <is>
          <t>chemicals</t>
        </is>
      </c>
      <c r="E66" s="31" t="inlineStr">
        <is>
          <t>midcap</t>
        </is>
      </c>
      <c r="F66" s="31" t="n">
        <v>15280.93</v>
      </c>
      <c r="G66" s="31" t="n">
        <v>5118.5</v>
      </c>
      <c r="H66" s="31" t="n">
        <v>2.7</v>
      </c>
      <c r="I66" s="31" t="n">
        <v>11644</v>
      </c>
      <c r="J66" s="31" t="inlineStr">
        <is>
          <t>541557</t>
        </is>
      </c>
    </row>
    <row r="67">
      <c r="A67" s="31" t="inlineStr">
        <is>
          <t>RATEGAIN</t>
        </is>
      </c>
      <c r="B67" s="31" t="inlineStr">
        <is>
          <t>Rategain Travel Technologies Ltd</t>
        </is>
      </c>
      <c r="C67" s="31" t="inlineStr">
        <is>
          <t>i.t</t>
        </is>
      </c>
      <c r="D67" s="31" t="inlineStr">
        <is>
          <t>computers - software - medium / small</t>
        </is>
      </c>
      <c r="E67" s="31" t="inlineStr">
        <is>
          <t>midcap</t>
        </is>
      </c>
      <c r="F67" s="31" t="n">
        <v>11252.3</v>
      </c>
      <c r="G67" s="31" t="n">
        <v>977.2</v>
      </c>
      <c r="H67" s="31" t="n">
        <v>2.62</v>
      </c>
      <c r="I67" s="31" t="n">
        <v>1234413</v>
      </c>
      <c r="J67" s="31" t="inlineStr">
        <is>
          <t>543417</t>
        </is>
      </c>
    </row>
    <row r="68">
      <c r="A68" s="31" t="inlineStr">
        <is>
          <t>WANBURY</t>
        </is>
      </c>
      <c r="B68" s="31" t="inlineStr">
        <is>
          <t>Wanbury Limited</t>
        </is>
      </c>
      <c r="C68" s="31" t="inlineStr">
        <is>
          <t>healthcare</t>
        </is>
      </c>
      <c r="D68" s="31" t="inlineStr">
        <is>
          <t>pharmaceuticals - indian - bulk drugs &amp; formln</t>
        </is>
      </c>
      <c r="E68" s="31" t="inlineStr">
        <is>
          <t>smallcap</t>
        </is>
      </c>
      <c r="F68" s="31" t="n">
        <v>1173.96</v>
      </c>
      <c r="G68" s="31" t="n">
        <v>344.75</v>
      </c>
      <c r="H68" s="31" t="n">
        <v>2.6</v>
      </c>
      <c r="I68" s="31" t="n">
        <v>2208326</v>
      </c>
      <c r="J68" s="31" t="inlineStr">
        <is>
          <t>524212</t>
        </is>
      </c>
    </row>
    <row r="69">
      <c r="A69" s="31" t="inlineStr">
        <is>
          <t>AETHER</t>
        </is>
      </c>
      <c r="B69" s="31" t="inlineStr">
        <is>
          <t>Aether Industries Ltd</t>
        </is>
      </c>
      <c r="C69" s="31" t="inlineStr">
        <is>
          <t>chemicals</t>
        </is>
      </c>
      <c r="D69" s="31" t="inlineStr">
        <is>
          <t>chemicals</t>
        </is>
      </c>
      <c r="E69" s="31" t="inlineStr">
        <is>
          <t>midcap</t>
        </is>
      </c>
      <c r="F69" s="31" t="n">
        <v>19104.57</v>
      </c>
      <c r="G69" s="31" t="n">
        <v>1477.2</v>
      </c>
      <c r="H69" s="31" t="n">
        <v>2.59</v>
      </c>
      <c r="I69" s="31" t="n">
        <v>174952</v>
      </c>
      <c r="J69" s="31" t="inlineStr">
        <is>
          <t>543534</t>
        </is>
      </c>
    </row>
    <row r="70">
      <c r="A70" s="31" t="inlineStr">
        <is>
          <t>NIVABUPA</t>
        </is>
      </c>
      <c r="B70" s="31" t="inlineStr">
        <is>
          <t>Niva Bupa Health Insurance Company Ltd</t>
        </is>
      </c>
      <c r="C70" s="31" t="inlineStr">
        <is>
          <t>financials</t>
        </is>
      </c>
      <c r="D70" s="31" t="inlineStr">
        <is>
          <t>finance &amp; investments</t>
        </is>
      </c>
      <c r="E70" s="31" t="inlineStr">
        <is>
          <t>midcap</t>
        </is>
      </c>
      <c r="F70" s="31" t="n">
        <v>15919.54</v>
      </c>
      <c r="G70" s="31" t="n">
        <v>88.36</v>
      </c>
      <c r="H70" s="31" t="n">
        <v>2.54</v>
      </c>
      <c r="I70" s="31" t="n">
        <v>2276881</v>
      </c>
      <c r="J70" s="31" t="n"/>
    </row>
    <row r="71">
      <c r="A71" s="31" t="inlineStr">
        <is>
          <t>ACUTAAS</t>
        </is>
      </c>
      <c r="B71" s="31" t="inlineStr">
        <is>
          <t>Acutaas Chemicals Ltd</t>
        </is>
      </c>
      <c r="C71" s="31" t="inlineStr">
        <is>
          <t>healthcare</t>
        </is>
      </c>
      <c r="D71" s="31" t="inlineStr">
        <is>
          <t>pharmaceuticals - indian - bulk drugs</t>
        </is>
      </c>
      <c r="E71" s="31" t="inlineStr">
        <is>
          <t>largecap</t>
        </is>
      </c>
      <c r="F71" s="31" t="n">
        <v>28324.95</v>
      </c>
      <c r="G71" s="31" t="n">
        <v>3546.9</v>
      </c>
      <c r="H71" s="31" t="n">
        <v>2.52</v>
      </c>
      <c r="I71" s="31" t="n">
        <v>191332</v>
      </c>
      <c r="J71" s="31" t="inlineStr">
        <is>
          <t>543349</t>
        </is>
      </c>
    </row>
    <row r="72">
      <c r="A72" s="31" t="inlineStr">
        <is>
          <t>TPLPLASTEH</t>
        </is>
      </c>
      <c r="B72" s="31" t="inlineStr">
        <is>
          <t>Tpl Plastech Limited</t>
        </is>
      </c>
      <c r="C72" s="31" t="inlineStr">
        <is>
          <t>industrials</t>
        </is>
      </c>
      <c r="D72" s="31" t="inlineStr">
        <is>
          <t>packaging</t>
        </is>
      </c>
      <c r="E72" s="31" t="inlineStr">
        <is>
          <t>smallcap</t>
        </is>
      </c>
      <c r="F72" s="31" t="n">
        <v>627.92</v>
      </c>
      <c r="G72" s="31" t="n">
        <v>82.5</v>
      </c>
      <c r="H72" s="31" t="n">
        <v>2.48</v>
      </c>
      <c r="I72" s="31" t="n">
        <v>133718</v>
      </c>
      <c r="J72" s="31" t="inlineStr">
        <is>
          <t>526582</t>
        </is>
      </c>
    </row>
    <row r="73">
      <c r="A73" s="31" t="inlineStr">
        <is>
          <t>ARROWGREEN</t>
        </is>
      </c>
      <c r="B73" s="31" t="inlineStr">
        <is>
          <t>Arrow Greentech Limited</t>
        </is>
      </c>
      <c r="C73" s="31" t="inlineStr">
        <is>
          <t>plastic products</t>
        </is>
      </c>
      <c r="D73" s="31" t="inlineStr">
        <is>
          <t>plastics products</t>
        </is>
      </c>
      <c r="E73" s="31" t="inlineStr">
        <is>
          <t>smallcap</t>
        </is>
      </c>
      <c r="F73" s="31" t="n">
        <v>1015.87</v>
      </c>
      <c r="G73" s="31" t="n">
        <v>690</v>
      </c>
      <c r="H73" s="31" t="n">
        <v>2.48</v>
      </c>
      <c r="I73" s="31" t="n">
        <v>32379</v>
      </c>
      <c r="J73" s="31" t="inlineStr">
        <is>
          <t>516064</t>
        </is>
      </c>
    </row>
    <row r="74">
      <c r="A74" s="31" t="inlineStr">
        <is>
          <t>HMVL</t>
        </is>
      </c>
      <c r="B74" s="31" t="inlineStr">
        <is>
          <t>Hindustan Media Ventures Limited</t>
        </is>
      </c>
      <c r="C74" s="31" t="inlineStr">
        <is>
          <t>media</t>
        </is>
      </c>
      <c r="D74" s="31" t="inlineStr">
        <is>
          <t>entertainment / electronic media software</t>
        </is>
      </c>
      <c r="E74" s="31" t="inlineStr">
        <is>
          <t>smallcap</t>
        </is>
      </c>
      <c r="F74" s="31" t="n">
        <v>661.35</v>
      </c>
      <c r="G74" s="31" t="n">
        <v>92</v>
      </c>
      <c r="H74" s="31" t="n">
        <v>2.48</v>
      </c>
      <c r="I74" s="31" t="n">
        <v>77758</v>
      </c>
      <c r="J74" s="31" t="inlineStr">
        <is>
          <t>533217</t>
        </is>
      </c>
    </row>
    <row r="75">
      <c r="A75" s="31" t="inlineStr">
        <is>
          <t>SHREECEM</t>
        </is>
      </c>
      <c r="B75" s="31" t="inlineStr">
        <is>
          <t>Shree Cements Limited</t>
        </is>
      </c>
      <c r="C75" s="31" t="inlineStr">
        <is>
          <t>building materials</t>
        </is>
      </c>
      <c r="D75" s="31" t="inlineStr">
        <is>
          <t>cement - north india</t>
        </is>
      </c>
      <c r="E75" s="31" t="inlineStr">
        <is>
          <t>largecap</t>
        </is>
      </c>
      <c r="F75" s="31" t="n">
        <v>94820.21000000001</v>
      </c>
      <c r="G75" s="31" t="n">
        <v>26925</v>
      </c>
      <c r="H75" s="31" t="n">
        <v>2.45</v>
      </c>
      <c r="I75" s="31" t="n">
        <v>17102</v>
      </c>
      <c r="J75" s="31" t="inlineStr">
        <is>
          <t>500387</t>
        </is>
      </c>
    </row>
    <row r="76">
      <c r="A76" s="31" t="inlineStr">
        <is>
          <t>THANGAMAYL</t>
        </is>
      </c>
      <c r="B76" s="31" t="inlineStr">
        <is>
          <t>Thangamayil Jewellery Limited</t>
        </is>
      </c>
      <c r="C76" s="31" t="inlineStr">
        <is>
          <t>consumer discretionary</t>
        </is>
      </c>
      <c r="D76" s="31" t="inlineStr">
        <is>
          <t>diamond cutting / jewellery</t>
        </is>
      </c>
      <c r="E76" s="31" t="inlineStr">
        <is>
          <t>largecap</t>
        </is>
      </c>
      <c r="F76" s="31" t="n">
        <v>20075.88</v>
      </c>
      <c r="G76" s="31" t="n">
        <v>6617</v>
      </c>
      <c r="H76" s="31" t="n">
        <v>2.45</v>
      </c>
      <c r="I76" s="31" t="n">
        <v>227756</v>
      </c>
      <c r="J76" s="31" t="inlineStr">
        <is>
          <t>533158</t>
        </is>
      </c>
    </row>
    <row r="77">
      <c r="A77" s="31" t="inlineStr">
        <is>
          <t>LLOYDSENT</t>
        </is>
      </c>
      <c r="B77" s="31" t="inlineStr">
        <is>
          <t>Lloyds Enterprises Ltd</t>
        </is>
      </c>
      <c r="C77" s="31" t="inlineStr">
        <is>
          <t>services</t>
        </is>
      </c>
      <c r="D77" s="31" t="inlineStr">
        <is>
          <t>trading</t>
        </is>
      </c>
      <c r="E77" s="31" t="inlineStr">
        <is>
          <t>midcap</t>
        </is>
      </c>
      <c r="F77" s="31" t="n">
        <v>11879.63</v>
      </c>
      <c r="G77" s="31" t="n">
        <v>79.70999999999999</v>
      </c>
      <c r="H77" s="31" t="n">
        <v>2.43</v>
      </c>
      <c r="I77" s="31" t="n">
        <v>13819866</v>
      </c>
      <c r="J77" s="31" t="inlineStr">
        <is>
          <t>512463</t>
        </is>
      </c>
    </row>
    <row r="78">
      <c r="A78" s="31" t="inlineStr">
        <is>
          <t>ENDURANCE</t>
        </is>
      </c>
      <c r="B78" s="31" t="inlineStr">
        <is>
          <t>Endurance Technologies Limited</t>
        </is>
      </c>
      <c r="C78" s="31" t="inlineStr">
        <is>
          <t>auto</t>
        </is>
      </c>
      <c r="D78" s="31" t="inlineStr">
        <is>
          <t>auto ancillaries</t>
        </is>
      </c>
      <c r="E78" s="31" t="inlineStr">
        <is>
          <t>largecap</t>
        </is>
      </c>
      <c r="F78" s="31" t="n">
        <v>37713.12</v>
      </c>
      <c r="G78" s="31" t="n">
        <v>2746.2</v>
      </c>
      <c r="H78" s="31" t="n">
        <v>2.43</v>
      </c>
      <c r="I78" s="31" t="n">
        <v>313711</v>
      </c>
      <c r="J78" s="31" t="inlineStr">
        <is>
          <t>540153</t>
        </is>
      </c>
    </row>
    <row r="79">
      <c r="A79" s="31" t="inlineStr">
        <is>
          <t>UNIPARTS</t>
        </is>
      </c>
      <c r="B79" s="31" t="inlineStr">
        <is>
          <t>Uniparts India Ltd</t>
        </is>
      </c>
      <c r="C79" s="31" t="inlineStr">
        <is>
          <t>industrials</t>
        </is>
      </c>
      <c r="D79" s="31" t="inlineStr">
        <is>
          <t>engineering</t>
        </is>
      </c>
      <c r="E79" s="31" t="inlineStr">
        <is>
          <t>smallcap</t>
        </is>
      </c>
      <c r="F79" s="31" t="n">
        <v>3064.09</v>
      </c>
      <c r="G79" s="31" t="n">
        <v>695.05</v>
      </c>
      <c r="H79" s="31" t="n">
        <v>2.4</v>
      </c>
      <c r="I79" s="31" t="n">
        <v>268125</v>
      </c>
      <c r="J79" s="31" t="inlineStr">
        <is>
          <t>543689</t>
        </is>
      </c>
    </row>
    <row r="80">
      <c r="A80" s="31" t="inlineStr">
        <is>
          <t>TITAGARH</t>
        </is>
      </c>
      <c r="B80" s="31" t="inlineStr">
        <is>
          <t>Titagarh Rail Systems Ltd</t>
        </is>
      </c>
      <c r="C80" s="31" t="inlineStr">
        <is>
          <t>industrials</t>
        </is>
      </c>
      <c r="D80" s="31" t="inlineStr">
        <is>
          <t>engineering</t>
        </is>
      </c>
      <c r="E80" s="31" t="inlineStr">
        <is>
          <t>midcap</t>
        </is>
      </c>
      <c r="F80" s="31" t="n">
        <v>11564.44</v>
      </c>
      <c r="G80" s="31" t="n">
        <v>879.1</v>
      </c>
      <c r="H80" s="31" t="n">
        <v>2.38</v>
      </c>
      <c r="I80" s="31" t="n">
        <v>719351</v>
      </c>
      <c r="J80" s="31" t="inlineStr">
        <is>
          <t>532966</t>
        </is>
      </c>
    </row>
    <row r="81">
      <c r="A81" s="31" t="inlineStr">
        <is>
          <t>UNICHEMLAB</t>
        </is>
      </c>
      <c r="B81" s="31" t="inlineStr">
        <is>
          <t>Unichem Laboratories Limited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smallcap</t>
        </is>
      </c>
      <c r="F81" s="31" t="n">
        <v>4093.04</v>
      </c>
      <c r="G81" s="31" t="n">
        <v>595.1</v>
      </c>
      <c r="H81" s="31" t="n">
        <v>2.37</v>
      </c>
      <c r="I81" s="31" t="n">
        <v>226358</v>
      </c>
      <c r="J81" s="31" t="inlineStr">
        <is>
          <t>506690</t>
        </is>
      </c>
    </row>
    <row r="82">
      <c r="A82" s="31" t="inlineStr">
        <is>
          <t>CONFIPET</t>
        </is>
      </c>
      <c r="B82" s="31" t="inlineStr">
        <is>
          <t>Confidence Petroleum India Ltd</t>
        </is>
      </c>
      <c r="C82" s="31" t="inlineStr">
        <is>
          <t>miscellaneous</t>
        </is>
      </c>
      <c r="D82" s="31" t="inlineStr">
        <is>
          <t>miscellaneous</t>
        </is>
      </c>
      <c r="E82" s="31" t="inlineStr">
        <is>
          <t>smallcap</t>
        </is>
      </c>
      <c r="F82" s="31" t="n">
        <v>2445.96</v>
      </c>
      <c r="G82" s="31" t="n">
        <v>75.34999999999999</v>
      </c>
      <c r="H82" s="31" t="n">
        <v>2.35</v>
      </c>
      <c r="I82" s="31" t="n">
        <v>1231433</v>
      </c>
      <c r="J82" s="31" t="inlineStr">
        <is>
          <t>526829</t>
        </is>
      </c>
    </row>
    <row r="83">
      <c r="A83" s="31" t="inlineStr">
        <is>
          <t>MANGLMCEM</t>
        </is>
      </c>
      <c r="B83" s="31" t="inlineStr">
        <is>
          <t>Mangalam Cement Limited</t>
        </is>
      </c>
      <c r="C83" s="31" t="inlineStr">
        <is>
          <t>building materials</t>
        </is>
      </c>
      <c r="D83" s="31" t="inlineStr">
        <is>
          <t>cement - north india</t>
        </is>
      </c>
      <c r="E83" s="31" t="inlineStr">
        <is>
          <t>smallcap</t>
        </is>
      </c>
      <c r="F83" s="31" t="n">
        <v>2646.61</v>
      </c>
      <c r="G83" s="31" t="n">
        <v>984.55</v>
      </c>
      <c r="H83" s="31" t="n">
        <v>2.29</v>
      </c>
      <c r="I83" s="31" t="n">
        <v>144453</v>
      </c>
      <c r="J83" s="31" t="inlineStr">
        <is>
          <t>502157</t>
        </is>
      </c>
    </row>
    <row r="84">
      <c r="A84" s="31" t="inlineStr">
        <is>
          <t>SUVEN</t>
        </is>
      </c>
      <c r="B84" s="31" t="inlineStr">
        <is>
          <t>Suven Life Sciences Limited</t>
        </is>
      </c>
      <c r="C84" s="31" t="inlineStr">
        <is>
          <t>healthcare</t>
        </is>
      </c>
      <c r="D84" s="31" t="inlineStr">
        <is>
          <t>miscellaneous</t>
        </is>
      </c>
      <c r="E84" s="31" t="inlineStr">
        <is>
          <t>midcap</t>
        </is>
      </c>
      <c r="F84" s="31" t="n">
        <v>9182.75</v>
      </c>
      <c r="G84" s="31" t="n">
        <v>356.1</v>
      </c>
      <c r="H84" s="31" t="n">
        <v>2.27</v>
      </c>
      <c r="I84" s="31" t="n">
        <v>709341</v>
      </c>
      <c r="J84" s="31" t="inlineStr">
        <is>
          <t>530239</t>
        </is>
      </c>
    </row>
    <row r="85">
      <c r="A85" s="31" t="inlineStr">
        <is>
          <t>IBULLSLTD</t>
        </is>
      </c>
      <c r="B85" s="31" t="inlineStr">
        <is>
          <t>Indiabulls Limited</t>
        </is>
      </c>
      <c r="C85" s="31" t="inlineStr">
        <is>
          <t>miscellaneous</t>
        </is>
      </c>
      <c r="D85" s="31" t="inlineStr">
        <is>
          <t>diversified - medium / small</t>
        </is>
      </c>
      <c r="E85" s="31" t="inlineStr">
        <is>
          <t>midcap</t>
        </is>
      </c>
      <c r="F85" s="31" t="n">
        <v>7182.34</v>
      </c>
      <c r="G85" s="31" t="n">
        <v>31.59</v>
      </c>
      <c r="H85" s="31" t="n">
        <v>2.23</v>
      </c>
      <c r="I85" s="31" t="n">
        <v>4921383</v>
      </c>
      <c r="J85" s="31" t="inlineStr">
        <is>
          <t>533520</t>
        </is>
      </c>
    </row>
    <row r="86">
      <c r="A86" s="31" t="inlineStr">
        <is>
          <t>METROPOLIS</t>
        </is>
      </c>
      <c r="B86" s="31" t="inlineStr">
        <is>
          <t>Metropolis Healthcare Ltd</t>
        </is>
      </c>
      <c r="C86" s="31" t="inlineStr">
        <is>
          <t>healthcare</t>
        </is>
      </c>
      <c r="D86" s="31" t="inlineStr">
        <is>
          <t>healthcare</t>
        </is>
      </c>
      <c r="E86" s="31" t="inlineStr">
        <is>
          <t>midcap</t>
        </is>
      </c>
      <c r="F86" s="31" t="n">
        <v>11593.77</v>
      </c>
      <c r="G86" s="31" t="n">
        <v>571.65</v>
      </c>
      <c r="H86" s="31" t="n">
        <v>2.23</v>
      </c>
      <c r="I86" s="31" t="n">
        <v>702141</v>
      </c>
      <c r="J86" s="31" t="inlineStr">
        <is>
          <t>542650</t>
        </is>
      </c>
    </row>
    <row r="87">
      <c r="A87" s="31" t="inlineStr">
        <is>
          <t>LLOYDSME</t>
        </is>
      </c>
      <c r="B87" s="31" t="inlineStr">
        <is>
          <t>Lloyds Metals &amp; Energy Ltd</t>
        </is>
      </c>
      <c r="C87" s="31" t="inlineStr">
        <is>
          <t>metals &amp; mining</t>
        </is>
      </c>
      <c r="D87" s="31" t="inlineStr">
        <is>
          <t>mining / minerals / metals</t>
        </is>
      </c>
      <c r="E87" s="31" t="inlineStr">
        <is>
          <t>largecap</t>
        </is>
      </c>
      <c r="F87" s="31" t="n">
        <v>102736.42</v>
      </c>
      <c r="G87" s="31" t="n">
        <v>1866.1</v>
      </c>
      <c r="H87" s="31" t="n">
        <v>2.22</v>
      </c>
      <c r="I87" s="31" t="n">
        <v>792357</v>
      </c>
      <c r="J87" s="31" t="inlineStr">
        <is>
          <t>512455</t>
        </is>
      </c>
    </row>
    <row r="88">
      <c r="A88" s="31" t="inlineStr">
        <is>
          <t>ESAFSFB</t>
        </is>
      </c>
      <c r="B88" s="31" t="inlineStr">
        <is>
          <t>ESAF Small Finance Bank Ltd</t>
        </is>
      </c>
      <c r="C88" s="31" t="inlineStr">
        <is>
          <t>bank</t>
        </is>
      </c>
      <c r="D88" s="31" t="inlineStr">
        <is>
          <t>banks - private sector</t>
        </is>
      </c>
      <c r="E88" s="31" t="inlineStr">
        <is>
          <t>smallcap</t>
        </is>
      </c>
      <c r="F88" s="31" t="n">
        <v>1806.88</v>
      </c>
      <c r="G88" s="31" t="n">
        <v>35.81</v>
      </c>
      <c r="H88" s="31" t="n">
        <v>2.2</v>
      </c>
      <c r="I88" s="31" t="n">
        <v>1591206</v>
      </c>
      <c r="J88" s="31" t="inlineStr">
        <is>
          <t>544020</t>
        </is>
      </c>
    </row>
    <row r="89">
      <c r="A89" s="31" t="inlineStr">
        <is>
          <t>KIRLOSENG</t>
        </is>
      </c>
      <c r="B89" s="31" t="inlineStr">
        <is>
          <t>Kirloskar Oil Engines Limited</t>
        </is>
      </c>
      <c r="C89" s="31" t="inlineStr">
        <is>
          <t>industrials</t>
        </is>
      </c>
      <c r="D89" s="31" t="inlineStr">
        <is>
          <t>engines</t>
        </is>
      </c>
      <c r="E89" s="31" t="inlineStr">
        <is>
          <t>largecap</t>
        </is>
      </c>
      <c r="F89" s="31" t="n">
        <v>34338.21</v>
      </c>
      <c r="G89" s="31" t="n">
        <v>2414.2</v>
      </c>
      <c r="H89" s="31" t="n">
        <v>2.2</v>
      </c>
      <c r="I89" s="31" t="n">
        <v>247981</v>
      </c>
      <c r="J89" s="31" t="inlineStr">
        <is>
          <t>533293</t>
        </is>
      </c>
    </row>
    <row r="90">
      <c r="A90" s="31" t="inlineStr">
        <is>
          <t>VISHNU</t>
        </is>
      </c>
      <c r="B90" s="31" t="inlineStr">
        <is>
          <t>Vishnu Chemicals Limited</t>
        </is>
      </c>
      <c r="C90" s="31" t="inlineStr">
        <is>
          <t>chemicals</t>
        </is>
      </c>
      <c r="D90" s="31" t="inlineStr">
        <is>
          <t>chemicals</t>
        </is>
      </c>
      <c r="E90" s="31" t="inlineStr">
        <is>
          <t>smallcap</t>
        </is>
      </c>
      <c r="F90" s="31" t="n">
        <v>4120.71</v>
      </c>
      <c r="G90" s="31" t="n">
        <v>625.6</v>
      </c>
      <c r="H90" s="31" t="n">
        <v>2.2</v>
      </c>
      <c r="I90" s="31" t="n">
        <v>143038</v>
      </c>
      <c r="J90" s="31" t="inlineStr">
        <is>
          <t>516072</t>
        </is>
      </c>
    </row>
    <row r="91">
      <c r="A91" s="31" t="inlineStr">
        <is>
          <t>KOVAI</t>
        </is>
      </c>
      <c r="B91" s="31" t="inlineStr">
        <is>
          <t>Kovai Medical Center &amp; Hospital Ltd</t>
        </is>
      </c>
      <c r="C91" s="31" t="inlineStr">
        <is>
          <t>healthcare</t>
        </is>
      </c>
      <c r="D91" s="31" t="inlineStr">
        <is>
          <t>healthcare</t>
        </is>
      </c>
      <c r="E91" s="31" t="inlineStr">
        <is>
          <t>midcap</t>
        </is>
      </c>
      <c r="F91" s="31" t="n">
        <v>6414.35</v>
      </c>
      <c r="G91" s="31" t="n">
        <v>5990</v>
      </c>
      <c r="H91" s="31" t="n">
        <v>2.18</v>
      </c>
      <c r="I91" s="31" t="n">
        <v>4707</v>
      </c>
      <c r="J91" s="31" t="inlineStr">
        <is>
          <t>523323</t>
        </is>
      </c>
    </row>
    <row r="92">
      <c r="A92" s="31" t="inlineStr">
        <is>
          <t>CHEVIOT</t>
        </is>
      </c>
      <c r="B92" s="31" t="inlineStr">
        <is>
          <t>Cheviot Company Ltd</t>
        </is>
      </c>
      <c r="C92" s="31" t="inlineStr">
        <is>
          <t>textiles</t>
        </is>
      </c>
      <c r="D92" s="31" t="inlineStr">
        <is>
          <t>textiles - jute - yarn / products</t>
        </is>
      </c>
      <c r="E92" s="31" t="inlineStr">
        <is>
          <t>smallcap</t>
        </is>
      </c>
      <c r="F92" s="31" t="n">
        <v>651.14</v>
      </c>
      <c r="G92" s="31" t="n">
        <v>1138.9</v>
      </c>
      <c r="H92" s="31" t="n">
        <v>2.18</v>
      </c>
      <c r="I92" s="31" t="n">
        <v>1185</v>
      </c>
      <c r="J92" s="31" t="inlineStr">
        <is>
          <t>526817</t>
        </is>
      </c>
    </row>
    <row r="93">
      <c r="A93" s="31" t="inlineStr">
        <is>
          <t>SANATHAN</t>
        </is>
      </c>
      <c r="B93" s="31" t="inlineStr">
        <is>
          <t>Sanathan Textiles Ltd</t>
        </is>
      </c>
      <c r="C93" s="31" t="inlineStr">
        <is>
          <t>textiles</t>
        </is>
      </c>
      <c r="D93" s="31" t="inlineStr">
        <is>
          <t>textiles - cotton/blended</t>
        </is>
      </c>
      <c r="E93" s="31" t="inlineStr">
        <is>
          <t>smallcap</t>
        </is>
      </c>
      <c r="F93" s="31" t="n">
        <v>3713.78</v>
      </c>
      <c r="G93" s="31" t="n">
        <v>449.5</v>
      </c>
      <c r="H93" s="31" t="n">
        <v>2.16</v>
      </c>
      <c r="I93" s="31" t="n">
        <v>95686</v>
      </c>
      <c r="J93" s="31" t="inlineStr">
        <is>
          <t>544314</t>
        </is>
      </c>
    </row>
    <row r="94">
      <c r="A94" s="31" t="inlineStr">
        <is>
          <t>PGIL</t>
        </is>
      </c>
      <c r="B94" s="31" t="inlineStr">
        <is>
          <t>Pearl Global Industries Limited</t>
        </is>
      </c>
      <c r="C94" s="31" t="inlineStr">
        <is>
          <t>consumer discretionary</t>
        </is>
      </c>
      <c r="D94" s="31" t="inlineStr">
        <is>
          <t>textiles - products</t>
        </is>
      </c>
      <c r="E94" s="31" t="inlineStr">
        <is>
          <t>midcap</t>
        </is>
      </c>
      <c r="F94" s="31" t="n">
        <v>9216.74</v>
      </c>
      <c r="G94" s="31" t="n">
        <v>2040</v>
      </c>
      <c r="H94" s="31" t="n">
        <v>2.14</v>
      </c>
      <c r="I94" s="31" t="n">
        <v>147440</v>
      </c>
      <c r="J94" s="31" t="inlineStr">
        <is>
          <t>532808</t>
        </is>
      </c>
    </row>
    <row r="95">
      <c r="A95" s="31" t="inlineStr">
        <is>
          <t>RELIGARE</t>
        </is>
      </c>
      <c r="B95" s="31" t="inlineStr">
        <is>
          <t>Religare Enterprises Limited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midcap</t>
        </is>
      </c>
      <c r="F95" s="31" t="n">
        <v>8948.85</v>
      </c>
      <c r="G95" s="31" t="n">
        <v>267.85</v>
      </c>
      <c r="H95" s="31" t="n">
        <v>2.14</v>
      </c>
      <c r="I95" s="31" t="n">
        <v>760164</v>
      </c>
      <c r="J95" s="31" t="inlineStr">
        <is>
          <t>532915</t>
        </is>
      </c>
    </row>
    <row r="96">
      <c r="A96" s="31" t="inlineStr">
        <is>
          <t>PANAMAPET</t>
        </is>
      </c>
      <c r="B96" s="31" t="inlineStr">
        <is>
          <t>Panama Petrochem Limited</t>
        </is>
      </c>
      <c r="C96" s="31" t="inlineStr">
        <is>
          <t>energy</t>
        </is>
      </c>
      <c r="D96" s="31" t="inlineStr">
        <is>
          <t>petrochemicals</t>
        </is>
      </c>
      <c r="E96" s="31" t="inlineStr">
        <is>
          <t>smallcap</t>
        </is>
      </c>
      <c r="F96" s="31" t="n">
        <v>2523.19</v>
      </c>
      <c r="G96" s="31" t="n">
        <v>426</v>
      </c>
      <c r="H96" s="31" t="n">
        <v>2.13</v>
      </c>
      <c r="I96" s="31" t="n">
        <v>168317</v>
      </c>
      <c r="J96" s="31" t="inlineStr">
        <is>
          <t>524820</t>
        </is>
      </c>
    </row>
    <row r="97">
      <c r="A97" s="31" t="inlineStr">
        <is>
          <t>GREENPLY</t>
        </is>
      </c>
      <c r="B97" s="31" t="inlineStr">
        <is>
          <t>Greenply Industries Limited</t>
        </is>
      </c>
      <c r="C97" s="31" t="inlineStr">
        <is>
          <t>building materials</t>
        </is>
      </c>
      <c r="D97" s="31" t="inlineStr">
        <is>
          <t>miscellaneous</t>
        </is>
      </c>
      <c r="E97" s="31" t="inlineStr">
        <is>
          <t>smallcap</t>
        </is>
      </c>
      <c r="F97" s="31" t="n">
        <v>3899.44</v>
      </c>
      <c r="G97" s="31" t="n">
        <v>318.75</v>
      </c>
      <c r="H97" s="31" t="n">
        <v>2.1</v>
      </c>
      <c r="I97" s="31" t="n">
        <v>76044</v>
      </c>
      <c r="J97" s="31" t="inlineStr">
        <is>
          <t>526797</t>
        </is>
      </c>
    </row>
    <row r="98">
      <c r="A98" s="31" t="inlineStr">
        <is>
          <t>TCPLPACK</t>
        </is>
      </c>
      <c r="B98" s="31" t="inlineStr">
        <is>
          <t>TCPL Packaging Ltd</t>
        </is>
      </c>
      <c r="C98" s="31" t="inlineStr">
        <is>
          <t>industrials</t>
        </is>
      </c>
      <c r="D98" s="31" t="inlineStr">
        <is>
          <t>packaging</t>
        </is>
      </c>
      <c r="E98" s="31" t="inlineStr">
        <is>
          <t>smallcap</t>
        </is>
      </c>
      <c r="F98" s="31" t="n">
        <v>2927.38</v>
      </c>
      <c r="G98" s="31" t="n">
        <v>3284.4</v>
      </c>
      <c r="H98" s="31" t="n">
        <v>2.1</v>
      </c>
      <c r="I98" s="31" t="n">
        <v>25265</v>
      </c>
      <c r="J98" s="31" t="inlineStr">
        <is>
          <t>523301</t>
        </is>
      </c>
    </row>
    <row r="99">
      <c r="A99" s="31" t="inlineStr">
        <is>
          <t>ZYDUSLIFE</t>
        </is>
      </c>
      <c r="B99" s="31" t="inlineStr">
        <is>
          <t>Zydus Lifesciences Ltd</t>
        </is>
      </c>
      <c r="C99" s="31" t="inlineStr">
        <is>
          <t>healthcare</t>
        </is>
      </c>
      <c r="D99" s="31" t="inlineStr">
        <is>
          <t>pharmaceuticals - indian - bulk drugs &amp; formln</t>
        </is>
      </c>
      <c r="E99" s="31" t="inlineStr">
        <is>
          <t>largecap</t>
        </is>
      </c>
      <c r="F99" s="31" t="n">
        <v>113077.03</v>
      </c>
      <c r="G99" s="31" t="n">
        <v>1156.9</v>
      </c>
      <c r="H99" s="31" t="n">
        <v>2.06</v>
      </c>
      <c r="I99" s="31" t="n">
        <v>2033822</v>
      </c>
      <c r="J99" s="31" t="inlineStr">
        <is>
          <t>532321</t>
        </is>
      </c>
    </row>
    <row r="100">
      <c r="A100" s="31" t="inlineStr">
        <is>
          <t>IPCALAB</t>
        </is>
      </c>
      <c r="B100" s="31" t="inlineStr">
        <is>
          <t>Ipca Laboratories Limited</t>
        </is>
      </c>
      <c r="C100" s="31" t="inlineStr">
        <is>
          <t>healthcare</t>
        </is>
      </c>
      <c r="D100" s="31" t="inlineStr">
        <is>
          <t>pharmaceuticals - indian - bulk drugs &amp; formln</t>
        </is>
      </c>
      <c r="E100" s="31" t="inlineStr">
        <is>
          <t>largecap</t>
        </is>
      </c>
      <c r="F100" s="31" t="n">
        <v>46691.72</v>
      </c>
      <c r="G100" s="31" t="n">
        <v>1878</v>
      </c>
      <c r="H100" s="31" t="n">
        <v>2.04</v>
      </c>
      <c r="I100" s="31" t="n">
        <v>291486</v>
      </c>
      <c r="J100" s="31" t="inlineStr">
        <is>
          <t>524494</t>
        </is>
      </c>
    </row>
    <row r="101">
      <c r="A101" s="31" t="inlineStr">
        <is>
          <t>NAZARA</t>
        </is>
      </c>
      <c r="B101" s="31" t="inlineStr">
        <is>
          <t>Nazara Technologies Ltd</t>
        </is>
      </c>
      <c r="C101" s="31" t="inlineStr">
        <is>
          <t>i.t</t>
        </is>
      </c>
      <c r="D101" s="31" t="inlineStr">
        <is>
          <t>telecommunications - service provider</t>
        </is>
      </c>
      <c r="E101" s="31" t="inlineStr">
        <is>
          <t>midcap</t>
        </is>
      </c>
      <c r="F101" s="31" t="n">
        <v>11260.28</v>
      </c>
      <c r="G101" s="31" t="n">
        <v>310.1</v>
      </c>
      <c r="H101" s="31" t="n">
        <v>2.02</v>
      </c>
      <c r="I101" s="31" t="n">
        <v>5108077</v>
      </c>
      <c r="J101" s="31" t="inlineStr">
        <is>
          <t>543280</t>
        </is>
      </c>
    </row>
    <row r="102">
      <c r="A102" s="31" t="inlineStr">
        <is>
          <t>RAJRATAN</t>
        </is>
      </c>
      <c r="B102" s="31" t="inlineStr">
        <is>
          <t>Rajratan Global Wire Ltd</t>
        </is>
      </c>
      <c r="C102" s="31" t="inlineStr">
        <is>
          <t>metals &amp; mining</t>
        </is>
      </c>
      <c r="D102" s="31" t="inlineStr">
        <is>
          <t>steel - medium / small</t>
        </is>
      </c>
      <c r="E102" s="31" t="inlineStr">
        <is>
          <t>smallcap</t>
        </is>
      </c>
      <c r="F102" s="31" t="n">
        <v>2422.54</v>
      </c>
      <c r="G102" s="31" t="n">
        <v>486.7</v>
      </c>
      <c r="H102" s="31" t="n">
        <v>2</v>
      </c>
      <c r="I102" s="31" t="n">
        <v>75043</v>
      </c>
      <c r="J102" s="31" t="inlineStr">
        <is>
          <t>517522</t>
        </is>
      </c>
    </row>
    <row r="103">
      <c r="A103" s="31" t="inlineStr">
        <is>
          <t>ACMESOLAR</t>
        </is>
      </c>
      <c r="B103" s="31" t="inlineStr">
        <is>
          <t>ACME Solar Holdings Ltd</t>
        </is>
      </c>
      <c r="C103" s="31" t="inlineStr">
        <is>
          <t>realty</t>
        </is>
      </c>
      <c r="D103" s="31" t="inlineStr">
        <is>
          <t>engineering - turnkey services</t>
        </is>
      </c>
      <c r="E103" s="31" t="inlineStr">
        <is>
          <t>largecap</t>
        </is>
      </c>
      <c r="F103" s="31" t="n">
        <v>27158.56</v>
      </c>
      <c r="G103" s="31" t="n">
        <v>392.15</v>
      </c>
      <c r="H103" s="31" t="n">
        <v>1.96</v>
      </c>
      <c r="I103" s="31" t="n">
        <v>1967859</v>
      </c>
      <c r="J103" s="31" t="inlineStr">
        <is>
          <t>544283</t>
        </is>
      </c>
    </row>
    <row r="104">
      <c r="A104" s="31" t="inlineStr">
        <is>
          <t>LMW</t>
        </is>
      </c>
      <c r="B104" s="31" t="inlineStr">
        <is>
          <t>LMW Ltd</t>
        </is>
      </c>
      <c r="C104" s="31" t="inlineStr">
        <is>
          <t>industrials</t>
        </is>
      </c>
      <c r="D104" s="31" t="inlineStr">
        <is>
          <t>textile machinery</t>
        </is>
      </c>
      <c r="E104" s="31" t="inlineStr">
        <is>
          <t>midcap</t>
        </is>
      </c>
      <c r="F104" s="31" t="n">
        <v>17223.13</v>
      </c>
      <c r="G104" s="31" t="n">
        <v>16436</v>
      </c>
      <c r="H104" s="31" t="n">
        <v>1.95</v>
      </c>
      <c r="I104" s="31" t="n">
        <v>4651</v>
      </c>
      <c r="J104" s="31" t="inlineStr">
        <is>
          <t>500252</t>
        </is>
      </c>
    </row>
    <row r="105">
      <c r="A105" s="31" t="inlineStr">
        <is>
          <t>KARURVYSYA</t>
        </is>
      </c>
      <c r="B105" s="31" t="inlineStr">
        <is>
          <t>Karur Vysya Bank Limited</t>
        </is>
      </c>
      <c r="C105" s="31" t="inlineStr">
        <is>
          <t>bank</t>
        </is>
      </c>
      <c r="D105" s="31" t="inlineStr">
        <is>
          <t>banks - private sector</t>
        </is>
      </c>
      <c r="E105" s="31" t="inlineStr">
        <is>
          <t>largecap</t>
        </is>
      </c>
      <c r="F105" s="31" t="n">
        <v>28955.89</v>
      </c>
      <c r="G105" s="31" t="n">
        <v>305.4</v>
      </c>
      <c r="H105" s="31" t="n">
        <v>1.95</v>
      </c>
      <c r="I105" s="31" t="n">
        <v>2108877</v>
      </c>
      <c r="J105" s="31" t="inlineStr">
        <is>
          <t>590003</t>
        </is>
      </c>
    </row>
    <row r="106">
      <c r="A106" s="31" t="inlineStr">
        <is>
          <t>MANORAMA</t>
        </is>
      </c>
      <c r="B106" s="31" t="inlineStr">
        <is>
          <t>Manorama Industries Ltd</t>
        </is>
      </c>
      <c r="C106" s="31" t="inlineStr">
        <is>
          <t>fmcg</t>
        </is>
      </c>
      <c r="D106" s="31" t="inlineStr">
        <is>
          <t>food - processing - indian</t>
        </is>
      </c>
      <c r="E106" s="31" t="inlineStr">
        <is>
          <t>midcap</t>
        </is>
      </c>
      <c r="F106" s="31" t="n">
        <v>9419.620000000001</v>
      </c>
      <c r="G106" s="31" t="n">
        <v>1608.2</v>
      </c>
      <c r="H106" s="31" t="n">
        <v>1.94</v>
      </c>
      <c r="I106" s="31" t="n">
        <v>173360</v>
      </c>
      <c r="J106" s="31" t="inlineStr">
        <is>
          <t>541974</t>
        </is>
      </c>
    </row>
    <row r="107">
      <c r="A107" s="31" t="inlineStr">
        <is>
          <t>SENORES</t>
        </is>
      </c>
      <c r="B107" s="31" t="inlineStr">
        <is>
          <t>Senores Pharmaceuticals Ltd</t>
        </is>
      </c>
      <c r="C107" s="31" t="inlineStr">
        <is>
          <t>healthcare</t>
        </is>
      </c>
      <c r="D107" s="31" t="inlineStr">
        <is>
          <t>pharmaceuticals - indian - formulations</t>
        </is>
      </c>
      <c r="E107" s="31" t="inlineStr">
        <is>
          <t>midcap</t>
        </is>
      </c>
      <c r="F107" s="31" t="n">
        <v>6686.06</v>
      </c>
      <c r="G107" s="31" t="n">
        <v>1480</v>
      </c>
      <c r="H107" s="31" t="n">
        <v>1.94</v>
      </c>
      <c r="I107" s="31" t="n">
        <v>174532</v>
      </c>
      <c r="J107" s="31" t="inlineStr">
        <is>
          <t>544319</t>
        </is>
      </c>
    </row>
    <row r="108">
      <c r="A108" s="31" t="inlineStr">
        <is>
          <t>RACLGEAR</t>
        </is>
      </c>
      <c r="B108" s="31" t="inlineStr">
        <is>
          <t>RACL Geartech Ltd</t>
        </is>
      </c>
      <c r="C108" s="31" t="inlineStr">
        <is>
          <t>auto</t>
        </is>
      </c>
      <c r="D108" s="31" t="inlineStr">
        <is>
          <t>auto ancillaries</t>
        </is>
      </c>
      <c r="E108" s="31" t="inlineStr">
        <is>
          <t>smallcap</t>
        </is>
      </c>
      <c r="F108" s="31" t="n">
        <v>1566.28</v>
      </c>
      <c r="G108" s="31" t="n">
        <v>1354.4</v>
      </c>
      <c r="H108" s="31" t="n">
        <v>1.93</v>
      </c>
      <c r="I108" s="31" t="n">
        <v>87299</v>
      </c>
      <c r="J108" s="31" t="inlineStr">
        <is>
          <t>520073</t>
        </is>
      </c>
    </row>
    <row r="109">
      <c r="A109" s="31" t="inlineStr">
        <is>
          <t>ARTEMISMED</t>
        </is>
      </c>
      <c r="B109" s="31" t="inlineStr">
        <is>
          <t>Artemis Medicare Services Ltd</t>
        </is>
      </c>
      <c r="C109" s="31" t="inlineStr">
        <is>
          <t>healthcare</t>
        </is>
      </c>
      <c r="D109" s="31" t="inlineStr">
        <is>
          <t>healthcare</t>
        </is>
      </c>
      <c r="E109" s="31" t="inlineStr">
        <is>
          <t>smallcap</t>
        </is>
      </c>
      <c r="F109" s="31" t="n">
        <v>4290.1</v>
      </c>
      <c r="G109" s="31" t="n">
        <v>276.2</v>
      </c>
      <c r="H109" s="31" t="n">
        <v>1.92</v>
      </c>
      <c r="I109" s="31" t="n">
        <v>147602</v>
      </c>
      <c r="J109" s="31" t="inlineStr">
        <is>
          <t>542919</t>
        </is>
      </c>
    </row>
    <row r="110">
      <c r="A110" s="31" t="inlineStr">
        <is>
          <t>SKYGOLD</t>
        </is>
      </c>
      <c r="B110" s="31" t="inlineStr">
        <is>
          <t>Sky Gold Ltd</t>
        </is>
      </c>
      <c r="C110" s="31" t="inlineStr">
        <is>
          <t>consumer discretionary</t>
        </is>
      </c>
      <c r="D110" s="31" t="inlineStr">
        <is>
          <t>diamond cutting / jewellery</t>
        </is>
      </c>
      <c r="E110" s="31" t="inlineStr">
        <is>
          <t>midcap</t>
        </is>
      </c>
      <c r="F110" s="31" t="n">
        <v>9571.209999999999</v>
      </c>
      <c r="G110" s="31" t="n">
        <v>629.8</v>
      </c>
      <c r="H110" s="31" t="n">
        <v>1.91</v>
      </c>
      <c r="I110" s="31" t="n">
        <v>655199</v>
      </c>
      <c r="J110" s="31" t="inlineStr">
        <is>
          <t>541967</t>
        </is>
      </c>
    </row>
    <row r="111">
      <c r="A111" s="31" t="inlineStr">
        <is>
          <t>MBAPL</t>
        </is>
      </c>
      <c r="B111" s="31" t="inlineStr">
        <is>
          <t>Madhya Bharat Agro Products Ltd</t>
        </is>
      </c>
      <c r="C111" s="31" t="inlineStr">
        <is>
          <t>chemicals</t>
        </is>
      </c>
      <c r="D111" s="31" t="inlineStr">
        <is>
          <t>fertilizers</t>
        </is>
      </c>
      <c r="E111" s="31" t="inlineStr">
        <is>
          <t>smallcap</t>
        </is>
      </c>
      <c r="F111" s="31" t="n">
        <v>1086.57</v>
      </c>
      <c r="G111" s="31" t="n">
        <v>126.35</v>
      </c>
      <c r="H111" s="31" t="n">
        <v>1.9</v>
      </c>
      <c r="I111" s="31" t="n">
        <v>964378</v>
      </c>
      <c r="J111" s="31" t="inlineStr">
        <is>
          <t>538370</t>
        </is>
      </c>
    </row>
    <row r="112">
      <c r="A112" s="31" t="inlineStr">
        <is>
          <t>APTUS</t>
        </is>
      </c>
      <c r="B112" s="31" t="inlineStr">
        <is>
          <t>Aptus Value Housing Finance India Ltd</t>
        </is>
      </c>
      <c r="C112" s="31" t="inlineStr">
        <is>
          <t>financials</t>
        </is>
      </c>
      <c r="D112" s="31" t="inlineStr">
        <is>
          <t>finance - housing</t>
        </is>
      </c>
      <c r="E112" s="31" t="inlineStr">
        <is>
          <t>midcap</t>
        </is>
      </c>
      <c r="F112" s="31" t="n">
        <v>14529.05</v>
      </c>
      <c r="G112" s="31" t="n">
        <v>295.6</v>
      </c>
      <c r="H112" s="31" t="n">
        <v>1.88</v>
      </c>
      <c r="I112" s="31" t="n">
        <v>974240</v>
      </c>
      <c r="J112" s="31" t="inlineStr">
        <is>
          <t>543335</t>
        </is>
      </c>
    </row>
    <row r="113">
      <c r="A113" s="31" t="inlineStr">
        <is>
          <t>SPECIALITY</t>
        </is>
      </c>
      <c r="B113" s="31" t="inlineStr">
        <is>
          <t>Speciality Restaurants Limited</t>
        </is>
      </c>
      <c r="C113" s="31" t="inlineStr">
        <is>
          <t>services</t>
        </is>
      </c>
      <c r="D113" s="31" t="inlineStr">
        <is>
          <t>hotels</t>
        </is>
      </c>
      <c r="E113" s="31" t="inlineStr">
        <is>
          <t>smallcap</t>
        </is>
      </c>
      <c r="F113" s="31" t="n">
        <v>632.42</v>
      </c>
      <c r="G113" s="31" t="n">
        <v>133.55</v>
      </c>
      <c r="H113" s="31" t="n">
        <v>1.86</v>
      </c>
      <c r="I113" s="31" t="n">
        <v>71316</v>
      </c>
      <c r="J113" s="31" t="inlineStr">
        <is>
          <t>534425</t>
        </is>
      </c>
    </row>
    <row r="114">
      <c r="A114" s="31" t="inlineStr">
        <is>
          <t>ARMANFIN</t>
        </is>
      </c>
      <c r="B114" s="31" t="inlineStr">
        <is>
          <t>Arman Financial Services Limited</t>
        </is>
      </c>
      <c r="C114" s="31" t="inlineStr">
        <is>
          <t>financials</t>
        </is>
      </c>
      <c r="D114" s="31" t="inlineStr">
        <is>
          <t>finance &amp; investments</t>
        </is>
      </c>
      <c r="E114" s="31" t="inlineStr">
        <is>
          <t>smallcap</t>
        </is>
      </c>
      <c r="F114" s="31" t="n">
        <v>2059.06</v>
      </c>
      <c r="G114" s="31" t="n">
        <v>1995</v>
      </c>
      <c r="H114" s="31" t="n">
        <v>1.86</v>
      </c>
      <c r="I114" s="31" t="n">
        <v>147530</v>
      </c>
      <c r="J114" s="31" t="inlineStr">
        <is>
          <t>531179</t>
        </is>
      </c>
    </row>
    <row r="115">
      <c r="A115" s="31" t="inlineStr">
        <is>
          <t>CEATLTD</t>
        </is>
      </c>
      <c r="B115" s="31" t="inlineStr">
        <is>
          <t>Ceat Limited</t>
        </is>
      </c>
      <c r="C115" s="31" t="inlineStr">
        <is>
          <t>auto</t>
        </is>
      </c>
      <c r="D115" s="31" t="inlineStr">
        <is>
          <t>tyres</t>
        </is>
      </c>
      <c r="E115" s="31" t="inlineStr">
        <is>
          <t>midcap</t>
        </is>
      </c>
      <c r="F115" s="31" t="n">
        <v>15046.63</v>
      </c>
      <c r="G115" s="31" t="n">
        <v>3789.1</v>
      </c>
      <c r="H115" s="31" t="n">
        <v>1.86</v>
      </c>
      <c r="I115" s="31" t="n">
        <v>176263</v>
      </c>
      <c r="J115" s="31" t="inlineStr">
        <is>
          <t>500878</t>
        </is>
      </c>
    </row>
    <row r="116">
      <c r="A116" s="31" t="inlineStr">
        <is>
          <t>CHOLAFIN</t>
        </is>
      </c>
      <c r="B116" s="31" t="inlineStr">
        <is>
          <t>Cholamandalam Investment And Finance Company Limited</t>
        </is>
      </c>
      <c r="C116" s="31" t="inlineStr">
        <is>
          <t>financials</t>
        </is>
      </c>
      <c r="D116" s="31" t="inlineStr">
        <is>
          <t>finance &amp; investments</t>
        </is>
      </c>
      <c r="E116" s="31" t="inlineStr">
        <is>
          <t>largecap</t>
        </is>
      </c>
      <c r="F116" s="31" t="n">
        <v>150938.38</v>
      </c>
      <c r="G116" s="31" t="n">
        <v>1803.9</v>
      </c>
      <c r="H116" s="31" t="n">
        <v>1.83</v>
      </c>
      <c r="I116" s="31" t="n">
        <v>1510352</v>
      </c>
      <c r="J116" s="31" t="inlineStr">
        <is>
          <t>511243</t>
        </is>
      </c>
    </row>
    <row r="117">
      <c r="A117" s="31" t="inlineStr">
        <is>
          <t>TVSSRICHAK</t>
        </is>
      </c>
      <c r="B117" s="31" t="inlineStr">
        <is>
          <t>Tvs Srichakra Limited</t>
        </is>
      </c>
      <c r="C117" s="31" t="inlineStr">
        <is>
          <t>auto</t>
        </is>
      </c>
      <c r="D117" s="31" t="inlineStr">
        <is>
          <t>tyres</t>
        </is>
      </c>
      <c r="E117" s="31" t="inlineStr">
        <is>
          <t>smallcap</t>
        </is>
      </c>
      <c r="F117" s="31" t="n">
        <v>3167.03</v>
      </c>
      <c r="G117" s="31" t="n">
        <v>4211.9</v>
      </c>
      <c r="H117" s="31" t="n">
        <v>1.83</v>
      </c>
      <c r="I117" s="31" t="n">
        <v>2756</v>
      </c>
      <c r="J117" s="31" t="inlineStr">
        <is>
          <t>509243</t>
        </is>
      </c>
    </row>
    <row r="118">
      <c r="A118" s="31" t="inlineStr">
        <is>
          <t>UNOMINDA</t>
        </is>
      </c>
      <c r="B118" s="31" t="inlineStr">
        <is>
          <t>Uno Minda Ltd</t>
        </is>
      </c>
      <c r="C118" s="31" t="inlineStr">
        <is>
          <t>auto</t>
        </is>
      </c>
      <c r="D118" s="31" t="inlineStr">
        <is>
          <t>auto ancillaries</t>
        </is>
      </c>
      <c r="E118" s="31" t="inlineStr">
        <is>
          <t>largecap</t>
        </is>
      </c>
      <c r="F118" s="31" t="n">
        <v>65652.86</v>
      </c>
      <c r="G118" s="31" t="n">
        <v>1157.7</v>
      </c>
      <c r="H118" s="31" t="n">
        <v>1.82</v>
      </c>
      <c r="I118" s="31" t="n">
        <v>723182</v>
      </c>
      <c r="J118" s="31" t="inlineStr">
        <is>
          <t>532539</t>
        </is>
      </c>
    </row>
    <row r="119">
      <c r="A119" s="31" t="inlineStr">
        <is>
          <t>ASTRAMICRO</t>
        </is>
      </c>
      <c r="B119" s="31" t="inlineStr">
        <is>
          <t>Astra Microwave Products Limited</t>
        </is>
      </c>
      <c r="C119" s="31" t="inlineStr">
        <is>
          <t>aerospace &amp; defence</t>
        </is>
      </c>
      <c r="D119" s="31" t="inlineStr">
        <is>
          <t>telecommunications - equipment</t>
        </is>
      </c>
      <c r="E119" s="31" t="inlineStr">
        <is>
          <t>midcap</t>
        </is>
      </c>
      <c r="F119" s="31" t="n">
        <v>16330.54</v>
      </c>
      <c r="G119" s="31" t="n">
        <v>1750.9</v>
      </c>
      <c r="H119" s="31" t="n">
        <v>1.8</v>
      </c>
      <c r="I119" s="31" t="n">
        <v>409532</v>
      </c>
      <c r="J119" s="31" t="inlineStr">
        <is>
          <t>532493</t>
        </is>
      </c>
    </row>
    <row r="120">
      <c r="A120" s="31" t="inlineStr">
        <is>
          <t>CENTURYPLY</t>
        </is>
      </c>
      <c r="B120" s="31" t="inlineStr">
        <is>
          <t>Century Plyboards (india) Limited</t>
        </is>
      </c>
      <c r="C120" s="31" t="inlineStr">
        <is>
          <t>building materials</t>
        </is>
      </c>
      <c r="D120" s="31" t="inlineStr">
        <is>
          <t>miscellaneous</t>
        </is>
      </c>
      <c r="E120" s="31" t="inlineStr">
        <is>
          <t>midcap</t>
        </is>
      </c>
      <c r="F120" s="31" t="n">
        <v>17366.15</v>
      </c>
      <c r="G120" s="31" t="n">
        <v>795.6</v>
      </c>
      <c r="H120" s="31" t="n">
        <v>1.78</v>
      </c>
      <c r="I120" s="31" t="n">
        <v>151723</v>
      </c>
      <c r="J120" s="31" t="inlineStr">
        <is>
          <t>532548</t>
        </is>
      </c>
    </row>
    <row r="121">
      <c r="A121" s="31" t="inlineStr">
        <is>
          <t>RITCO</t>
        </is>
      </c>
      <c r="B121" s="31" t="inlineStr">
        <is>
          <t>Ritco Logistics Ltd</t>
        </is>
      </c>
      <c r="C121" s="31" t="inlineStr">
        <is>
          <t>transportation</t>
        </is>
      </c>
      <c r="D121" s="31" t="inlineStr">
        <is>
          <t>miscellaneous</t>
        </is>
      </c>
      <c r="E121" s="31" t="inlineStr">
        <is>
          <t>smallcap</t>
        </is>
      </c>
      <c r="F121" s="31" t="n">
        <v>759.79</v>
      </c>
      <c r="G121" s="31" t="n">
        <v>270.15</v>
      </c>
      <c r="H121" s="31" t="n">
        <v>1.77</v>
      </c>
      <c r="I121" s="31" t="n">
        <v>48196</v>
      </c>
      <c r="J121" s="31" t="inlineStr">
        <is>
          <t>542383</t>
        </is>
      </c>
    </row>
    <row r="122">
      <c r="A122" s="31" t="inlineStr">
        <is>
          <t>MARKSANS</t>
        </is>
      </c>
      <c r="B122" s="31" t="inlineStr">
        <is>
          <t>Marksans Pharma Limited</t>
        </is>
      </c>
      <c r="C122" s="31" t="inlineStr">
        <is>
          <t>healthcare</t>
        </is>
      </c>
      <c r="D122" s="31" t="inlineStr">
        <is>
          <t>pharmaceuticals - indian - formulations</t>
        </is>
      </c>
      <c r="E122" s="31" t="inlineStr">
        <is>
          <t>midcap</t>
        </is>
      </c>
      <c r="F122" s="31" t="n">
        <v>12278.47</v>
      </c>
      <c r="G122" s="31" t="n">
        <v>275.75</v>
      </c>
      <c r="H122" s="31" t="n">
        <v>1.77</v>
      </c>
      <c r="I122" s="31" t="n">
        <v>1713863</v>
      </c>
      <c r="J122" s="31" t="inlineStr">
        <is>
          <t>524404</t>
        </is>
      </c>
    </row>
    <row r="123">
      <c r="A123" s="31" t="inlineStr">
        <is>
          <t>JUSTDIAL</t>
        </is>
      </c>
      <c r="B123" s="31" t="inlineStr">
        <is>
          <t>Just Dial Limited</t>
        </is>
      </c>
      <c r="C123" s="31" t="inlineStr">
        <is>
          <t>i.t</t>
        </is>
      </c>
      <c r="D123" s="31" t="inlineStr">
        <is>
          <t>miscellaneous</t>
        </is>
      </c>
      <c r="E123" s="31" t="inlineStr">
        <is>
          <t>midcap</t>
        </is>
      </c>
      <c r="F123" s="31" t="n">
        <v>6719.8</v>
      </c>
      <c r="G123" s="31" t="n">
        <v>804.05</v>
      </c>
      <c r="H123" s="31" t="n">
        <v>1.76</v>
      </c>
      <c r="I123" s="31" t="n">
        <v>23598076</v>
      </c>
      <c r="J123" s="31" t="inlineStr">
        <is>
          <t>535648</t>
        </is>
      </c>
    </row>
    <row r="124">
      <c r="A124" s="31" t="inlineStr">
        <is>
          <t>JUBLINGREA</t>
        </is>
      </c>
      <c r="B124" s="31" t="inlineStr">
        <is>
          <t>Jubilant Ingrevia Ltd</t>
        </is>
      </c>
      <c r="C124" s="31" t="inlineStr">
        <is>
          <t>chemicals</t>
        </is>
      </c>
      <c r="D124" s="31" t="inlineStr">
        <is>
          <t>chemicals</t>
        </is>
      </c>
      <c r="E124" s="31" t="inlineStr">
        <is>
          <t>midcap</t>
        </is>
      </c>
      <c r="F124" s="31" t="n">
        <v>11532.75</v>
      </c>
      <c r="G124" s="31" t="n">
        <v>736.7</v>
      </c>
      <c r="H124" s="31" t="n">
        <v>1.75</v>
      </c>
      <c r="I124" s="31" t="n">
        <v>443946</v>
      </c>
      <c r="J124" s="31" t="inlineStr">
        <is>
          <t>543271</t>
        </is>
      </c>
    </row>
    <row r="125">
      <c r="A125" s="31" t="inlineStr">
        <is>
          <t>GANDHAR</t>
        </is>
      </c>
      <c r="B125" s="31" t="inlineStr">
        <is>
          <t>Gandhar Oil Refinery (India) Ltd</t>
        </is>
      </c>
      <c r="C125" s="31" t="inlineStr">
        <is>
          <t>energy</t>
        </is>
      </c>
      <c r="D125" s="31" t="inlineStr">
        <is>
          <t>refineries</t>
        </is>
      </c>
      <c r="E125" s="31" t="inlineStr">
        <is>
          <t>smallcap</t>
        </is>
      </c>
      <c r="F125" s="31" t="n">
        <v>1989.6</v>
      </c>
      <c r="G125" s="31" t="n">
        <v>206.82</v>
      </c>
      <c r="H125" s="31" t="n">
        <v>1.75</v>
      </c>
      <c r="I125" s="31" t="n">
        <v>601996</v>
      </c>
      <c r="J125" s="31" t="inlineStr">
        <is>
          <t>544029</t>
        </is>
      </c>
    </row>
    <row r="126">
      <c r="A126" s="31" t="inlineStr">
        <is>
          <t>MUNJALSHOW</t>
        </is>
      </c>
      <c r="B126" s="31" t="inlineStr">
        <is>
          <t>Munjal Showa Limited</t>
        </is>
      </c>
      <c r="C126" s="31" t="inlineStr">
        <is>
          <t>auto</t>
        </is>
      </c>
      <c r="D126" s="31" t="inlineStr">
        <is>
          <t>auto ancillaries</t>
        </is>
      </c>
      <c r="E126" s="31" t="inlineStr">
        <is>
          <t>smallcap</t>
        </is>
      </c>
      <c r="F126" s="31" t="n">
        <v>534.53</v>
      </c>
      <c r="G126" s="31" t="n">
        <v>135.98</v>
      </c>
      <c r="H126" s="31" t="n">
        <v>1.74</v>
      </c>
      <c r="I126" s="31" t="n">
        <v>64393</v>
      </c>
      <c r="J126" s="31" t="inlineStr">
        <is>
          <t>520043</t>
        </is>
      </c>
    </row>
    <row r="127">
      <c r="A127" s="31" t="inlineStr">
        <is>
          <t>VHL</t>
        </is>
      </c>
      <c r="B127" s="31" t="inlineStr">
        <is>
          <t>Vardhman Holdings Limited</t>
        </is>
      </c>
      <c r="C127" s="31" t="inlineStr">
        <is>
          <t>financials</t>
        </is>
      </c>
      <c r="D127" s="31" t="inlineStr">
        <is>
          <t>finance &amp; investments</t>
        </is>
      </c>
      <c r="E127" s="31" t="inlineStr">
        <is>
          <t>smallcap</t>
        </is>
      </c>
      <c r="F127" s="31" t="n">
        <v>1124.98</v>
      </c>
      <c r="G127" s="31" t="n">
        <v>3586</v>
      </c>
      <c r="H127" s="31" t="n">
        <v>1.73</v>
      </c>
      <c r="I127" s="31" t="n">
        <v>461</v>
      </c>
      <c r="J127" s="31" t="inlineStr">
        <is>
          <t>500439</t>
        </is>
      </c>
    </row>
    <row r="128">
      <c r="A128" s="31" t="inlineStr">
        <is>
          <t>MASFIN</t>
        </is>
      </c>
      <c r="B128" s="31" t="inlineStr">
        <is>
          <t>MAS Financial Services Ltd</t>
        </is>
      </c>
      <c r="C128" s="31" t="inlineStr">
        <is>
          <t>financials</t>
        </is>
      </c>
      <c r="D128" s="31" t="inlineStr">
        <is>
          <t>finance &amp; investments</t>
        </is>
      </c>
      <c r="E128" s="31" t="inlineStr">
        <is>
          <t>midcap</t>
        </is>
      </c>
      <c r="F128" s="31" t="n">
        <v>5780.2</v>
      </c>
      <c r="G128" s="31" t="n">
        <v>324</v>
      </c>
      <c r="H128" s="31" t="n">
        <v>1.71</v>
      </c>
      <c r="I128" s="31" t="n">
        <v>56074</v>
      </c>
      <c r="J128" s="31" t="inlineStr">
        <is>
          <t>540749</t>
        </is>
      </c>
    </row>
    <row r="129">
      <c r="A129" s="31" t="inlineStr">
        <is>
          <t>WELINV</t>
        </is>
      </c>
      <c r="B129" s="31" t="inlineStr">
        <is>
          <t>Welspun Investments And Commercials Limited</t>
        </is>
      </c>
      <c r="C129" s="31" t="inlineStr">
        <is>
          <t>financials</t>
        </is>
      </c>
      <c r="D129" s="31" t="inlineStr">
        <is>
          <t>finance &amp; investments</t>
        </is>
      </c>
      <c r="E129" s="31" t="inlineStr">
        <is>
          <t>smallcap</t>
        </is>
      </c>
      <c r="F129" s="31" t="n">
        <v>655.83</v>
      </c>
      <c r="G129" s="31" t="n">
        <v>1825</v>
      </c>
      <c r="H129" s="31" t="n">
        <v>1.69</v>
      </c>
      <c r="I129" s="31" t="n">
        <v>280</v>
      </c>
      <c r="J129" s="31" t="inlineStr">
        <is>
          <t>533252</t>
        </is>
      </c>
    </row>
    <row r="130">
      <c r="A130" s="31" t="inlineStr">
        <is>
          <t>DEEPAKNTR</t>
        </is>
      </c>
      <c r="B130" s="31" t="inlineStr">
        <is>
          <t>Deepak Nitrite Limited</t>
        </is>
      </c>
      <c r="C130" s="31" t="inlineStr">
        <is>
          <t>chemicals</t>
        </is>
      </c>
      <c r="D130" s="31" t="inlineStr">
        <is>
          <t>chemicals</t>
        </is>
      </c>
      <c r="E130" s="31" t="inlineStr">
        <is>
          <t>largecap</t>
        </is>
      </c>
      <c r="F130" s="31" t="n">
        <v>22768.09</v>
      </c>
      <c r="G130" s="31" t="n">
        <v>1697</v>
      </c>
      <c r="H130" s="31" t="n">
        <v>1.66</v>
      </c>
      <c r="I130" s="31" t="n">
        <v>450134</v>
      </c>
      <c r="J130" s="31" t="inlineStr">
        <is>
          <t>506401</t>
        </is>
      </c>
    </row>
    <row r="131">
      <c r="A131" s="31" t="inlineStr">
        <is>
          <t>BUTTERFLY</t>
        </is>
      </c>
      <c r="B131" s="31" t="inlineStr">
        <is>
          <t>Butterfly Gandhimathi Appliances Limited</t>
        </is>
      </c>
      <c r="C131" s="31" t="inlineStr">
        <is>
          <t>consumer discretionary</t>
        </is>
      </c>
      <c r="D131" s="31" t="inlineStr">
        <is>
          <t>domestic appliances</t>
        </is>
      </c>
      <c r="E131" s="31" t="inlineStr">
        <is>
          <t>smallcap</t>
        </is>
      </c>
      <c r="F131" s="31" t="n">
        <v>1352.41</v>
      </c>
      <c r="G131" s="31" t="n">
        <v>768.95</v>
      </c>
      <c r="H131" s="31" t="n">
        <v>1.66</v>
      </c>
      <c r="I131" s="31" t="n">
        <v>55058</v>
      </c>
      <c r="J131" s="31" t="inlineStr">
        <is>
          <t>517421</t>
        </is>
      </c>
    </row>
    <row r="132">
      <c r="A132" s="31" t="inlineStr">
        <is>
          <t>LLOYDSENGG</t>
        </is>
      </c>
      <c r="B132" s="31" t="inlineStr">
        <is>
          <t>Lloyds Engineering Works Ltd</t>
        </is>
      </c>
      <c r="C132" s="31" t="inlineStr">
        <is>
          <t>industrials</t>
        </is>
      </c>
      <c r="D132" s="31" t="inlineStr">
        <is>
          <t>engineering</t>
        </is>
      </c>
      <c r="E132" s="31" t="inlineStr">
        <is>
          <t>midcap</t>
        </is>
      </c>
      <c r="F132" s="31" t="n">
        <v>12971.84</v>
      </c>
      <c r="G132" s="31" t="n">
        <v>89.06</v>
      </c>
      <c r="H132" s="31" t="n">
        <v>1.63</v>
      </c>
      <c r="I132" s="31" t="n">
        <v>9579948</v>
      </c>
      <c r="J132" s="31" t="inlineStr">
        <is>
          <t>539992</t>
        </is>
      </c>
    </row>
    <row r="133">
      <c r="A133" s="31" t="inlineStr">
        <is>
          <t>SILVERTUC</t>
        </is>
      </c>
      <c r="B133" s="31" t="inlineStr">
        <is>
          <t>Silver Touch Technologies Ltd</t>
        </is>
      </c>
      <c r="C133" s="31" t="inlineStr">
        <is>
          <t>i.t</t>
        </is>
      </c>
      <c r="D133" s="31" t="inlineStr">
        <is>
          <t>computers - software - medium / small</t>
        </is>
      </c>
      <c r="E133" s="31" t="inlineStr">
        <is>
          <t>smallcap</t>
        </is>
      </c>
      <c r="F133" s="31" t="n">
        <v>2474.57</v>
      </c>
      <c r="G133" s="31" t="n">
        <v>198.26</v>
      </c>
      <c r="H133" s="31" t="n">
        <v>1.6</v>
      </c>
      <c r="I133" s="31" t="n">
        <v>611343</v>
      </c>
      <c r="J133" s="31" t="inlineStr">
        <is>
          <t>535031</t>
        </is>
      </c>
    </row>
    <row r="134">
      <c r="A134" s="31" t="inlineStr">
        <is>
          <t>JKPAPER</t>
        </is>
      </c>
      <c r="B134" s="31" t="inlineStr">
        <is>
          <t>Jk Paper Limited</t>
        </is>
      </c>
      <c r="C134" s="31" t="inlineStr">
        <is>
          <t>building materials</t>
        </is>
      </c>
      <c r="D134" s="31" t="inlineStr">
        <is>
          <t>paper</t>
        </is>
      </c>
      <c r="E134" s="31" t="inlineStr">
        <is>
          <t>midcap</t>
        </is>
      </c>
      <c r="F134" s="31" t="n">
        <v>6689.76</v>
      </c>
      <c r="G134" s="31" t="n">
        <v>374.8</v>
      </c>
      <c r="H134" s="31" t="n">
        <v>1.59</v>
      </c>
      <c r="I134" s="31" t="n">
        <v>455147</v>
      </c>
      <c r="J134" s="31" t="inlineStr">
        <is>
          <t>532162</t>
        </is>
      </c>
    </row>
    <row r="135">
      <c r="A135" s="31" t="inlineStr">
        <is>
          <t>RAIN</t>
        </is>
      </c>
      <c r="B135" s="31" t="inlineStr">
        <is>
          <t>Rain Industries Limited</t>
        </is>
      </c>
      <c r="C135" s="31" t="inlineStr">
        <is>
          <t>miscellaneous</t>
        </is>
      </c>
      <c r="D135" s="31" t="inlineStr">
        <is>
          <t>miscellaneous</t>
        </is>
      </c>
      <c r="E135" s="31" t="inlineStr">
        <is>
          <t>midcap</t>
        </is>
      </c>
      <c r="F135" s="31" t="n">
        <v>6910.56</v>
      </c>
      <c r="G135" s="31" t="n">
        <v>208.71</v>
      </c>
      <c r="H135" s="31" t="n">
        <v>1.58</v>
      </c>
      <c r="I135" s="31" t="n">
        <v>3236497</v>
      </c>
      <c r="J135" s="31" t="inlineStr">
        <is>
          <t>500339</t>
        </is>
      </c>
    </row>
    <row r="136">
      <c r="A136" s="31" t="inlineStr">
        <is>
          <t>GRAVITA</t>
        </is>
      </c>
      <c r="B136" s="31" t="inlineStr">
        <is>
          <t>Gravita India Limited</t>
        </is>
      </c>
      <c r="C136" s="31" t="inlineStr">
        <is>
          <t>metals &amp; mining</t>
        </is>
      </c>
      <c r="D136" s="31" t="inlineStr">
        <is>
          <t>mining / minerals / metals</t>
        </is>
      </c>
      <c r="E136" s="31" t="inlineStr">
        <is>
          <t>midcap</t>
        </is>
      </c>
      <c r="F136" s="31" t="n">
        <v>13373.35</v>
      </c>
      <c r="G136" s="31" t="n">
        <v>1840.2</v>
      </c>
      <c r="H136" s="31" t="n">
        <v>1.56</v>
      </c>
      <c r="I136" s="31" t="n">
        <v>221066</v>
      </c>
      <c r="J136" s="31" t="inlineStr">
        <is>
          <t>533282</t>
        </is>
      </c>
    </row>
    <row r="137">
      <c r="A137" s="31" t="inlineStr">
        <is>
          <t>DCBBANK</t>
        </is>
      </c>
      <c r="B137" s="31" t="inlineStr">
        <is>
          <t>Dcb Bank Limited</t>
        </is>
      </c>
      <c r="C137" s="31" t="inlineStr">
        <is>
          <t>bank</t>
        </is>
      </c>
      <c r="D137" s="31" t="inlineStr">
        <is>
          <t>banks - private sector</t>
        </is>
      </c>
      <c r="E137" s="31" t="inlineStr">
        <is>
          <t>midcap</t>
        </is>
      </c>
      <c r="F137" s="31" t="n">
        <v>6031.8</v>
      </c>
      <c r="G137" s="31" t="n">
        <v>190.3</v>
      </c>
      <c r="H137" s="31" t="n">
        <v>1.56</v>
      </c>
      <c r="I137" s="31" t="n">
        <v>1119487</v>
      </c>
      <c r="J137" s="31" t="inlineStr">
        <is>
          <t>532772</t>
        </is>
      </c>
    </row>
    <row r="138">
      <c r="A138" s="31" t="inlineStr">
        <is>
          <t>PICCADIL</t>
        </is>
      </c>
      <c r="B138" s="31" t="inlineStr">
        <is>
          <t>Piccadily Agro Industries Ltd</t>
        </is>
      </c>
      <c r="C138" s="31" t="inlineStr">
        <is>
          <t>fmcg</t>
        </is>
      </c>
      <c r="D138" s="31" t="inlineStr">
        <is>
          <t>breweries &amp; distilleries</t>
        </is>
      </c>
      <c r="E138" s="31" t="inlineStr">
        <is>
          <t>midcap</t>
        </is>
      </c>
      <c r="F138" s="31" t="n">
        <v>7063.14</v>
      </c>
      <c r="G138" s="31" t="n">
        <v>727.65</v>
      </c>
      <c r="H138" s="31" t="n">
        <v>1.55</v>
      </c>
      <c r="I138" s="31" t="n">
        <v>212269</v>
      </c>
      <c r="J138" s="31" t="inlineStr">
        <is>
          <t>530305</t>
        </is>
      </c>
    </row>
    <row r="139">
      <c r="A139" s="31" t="inlineStr">
        <is>
          <t>BAJAJ-AUTO</t>
        </is>
      </c>
      <c r="B139" s="31" t="inlineStr">
        <is>
          <t>Bajaj Auto Limited</t>
        </is>
      </c>
      <c r="C139" s="31" t="inlineStr">
        <is>
          <t>auto</t>
        </is>
      </c>
      <c r="D139" s="31" t="inlineStr">
        <is>
          <t>automobiles - scooters and 3 - wheelers</t>
        </is>
      </c>
      <c r="E139" s="31" t="inlineStr">
        <is>
          <t>largecap</t>
        </is>
      </c>
      <c r="F139" s="31" t="n">
        <v>284137.5</v>
      </c>
      <c r="G139" s="31" t="n">
        <v>10323</v>
      </c>
      <c r="H139" s="31" t="n">
        <v>1.54</v>
      </c>
      <c r="I139" s="31" t="n">
        <v>451480</v>
      </c>
      <c r="J139" s="31" t="inlineStr">
        <is>
          <t>532977</t>
        </is>
      </c>
    </row>
    <row r="140">
      <c r="A140" s="31" t="inlineStr">
        <is>
          <t>HOMEFIRST</t>
        </is>
      </c>
      <c r="B140" s="31" t="inlineStr">
        <is>
          <t>Home First Finance Company India Ltd</t>
        </is>
      </c>
      <c r="C140" s="31" t="inlineStr">
        <is>
          <t>financials</t>
        </is>
      </c>
      <c r="D140" s="31" t="inlineStr">
        <is>
          <t>finance - housing</t>
        </is>
      </c>
      <c r="E140" s="31" t="inlineStr">
        <is>
          <t>midcap</t>
        </is>
      </c>
      <c r="F140" s="31" t="n">
        <v>12760.36</v>
      </c>
      <c r="G140" s="31" t="n">
        <v>1241.8</v>
      </c>
      <c r="H140" s="31" t="n">
        <v>1.53</v>
      </c>
      <c r="I140" s="31" t="n">
        <v>107072</v>
      </c>
      <c r="J140" s="31" t="inlineStr">
        <is>
          <t>543259</t>
        </is>
      </c>
    </row>
    <row r="141">
      <c r="A141" s="31" t="inlineStr">
        <is>
          <t>5PAISA</t>
        </is>
      </c>
      <c r="B141" s="31" t="inlineStr">
        <is>
          <t>5Paisa Capital Ltd</t>
        </is>
      </c>
      <c r="C141" s="31" t="inlineStr">
        <is>
          <t>financials</t>
        </is>
      </c>
      <c r="D141" s="31" t="inlineStr">
        <is>
          <t>finance &amp; investments</t>
        </is>
      </c>
      <c r="E141" s="31" t="inlineStr">
        <is>
          <t>smallcap</t>
        </is>
      </c>
      <c r="F141" s="31" t="n">
        <v>1804.73</v>
      </c>
      <c r="G141" s="31" t="n">
        <v>390.85</v>
      </c>
      <c r="H141" s="31" t="n">
        <v>1.53</v>
      </c>
      <c r="I141" s="31" t="n">
        <v>114226</v>
      </c>
      <c r="J141" s="31" t="inlineStr">
        <is>
          <t>540776</t>
        </is>
      </c>
    </row>
    <row r="142">
      <c r="A142" s="31" t="inlineStr">
        <is>
          <t>HSCL</t>
        </is>
      </c>
      <c r="B142" s="31" t="inlineStr">
        <is>
          <t>Himadri Speciality Chemical Limited</t>
        </is>
      </c>
      <c r="C142" s="31" t="inlineStr">
        <is>
          <t>chemicals</t>
        </is>
      </c>
      <c r="D142" s="31" t="inlineStr">
        <is>
          <t>chemicals</t>
        </is>
      </c>
      <c r="E142" s="31" t="inlineStr">
        <is>
          <t>largecap</t>
        </is>
      </c>
      <c r="F142" s="31" t="n">
        <v>33874.92</v>
      </c>
      <c r="G142" s="31" t="n">
        <v>681.55</v>
      </c>
      <c r="H142" s="31" t="n">
        <v>1.51</v>
      </c>
      <c r="I142" s="31" t="n">
        <v>6529064</v>
      </c>
      <c r="J142" s="31" t="inlineStr">
        <is>
          <t>500184</t>
        </is>
      </c>
    </row>
    <row r="143">
      <c r="A143" s="31" t="inlineStr">
        <is>
          <t>ASKAUTOLTD</t>
        </is>
      </c>
      <c r="B143" s="31" t="inlineStr">
        <is>
          <t>ASK Automotive Ltd</t>
        </is>
      </c>
      <c r="C143" s="31" t="inlineStr">
        <is>
          <t>auto</t>
        </is>
      </c>
      <c r="D143" s="31" t="inlineStr">
        <is>
          <t>auto ancillaries</t>
        </is>
      </c>
      <c r="E143" s="31" t="inlineStr">
        <is>
          <t>midcap</t>
        </is>
      </c>
      <c r="F143" s="31" t="n">
        <v>9182.9</v>
      </c>
      <c r="G143" s="31" t="n">
        <v>472.85</v>
      </c>
      <c r="H143" s="31" t="n">
        <v>1.51</v>
      </c>
      <c r="I143" s="31" t="n">
        <v>94363</v>
      </c>
      <c r="J143" s="31" t="inlineStr">
        <is>
          <t>544022</t>
        </is>
      </c>
    </row>
    <row r="144">
      <c r="A144" s="31" t="inlineStr">
        <is>
          <t>NH</t>
        </is>
      </c>
      <c r="B144" s="31" t="inlineStr">
        <is>
          <t>Narayana Hrudayalaya Ltd.</t>
        </is>
      </c>
      <c r="C144" s="31" t="inlineStr">
        <is>
          <t>healthcare</t>
        </is>
      </c>
      <c r="D144" s="31" t="inlineStr">
        <is>
          <t>healthcare</t>
        </is>
      </c>
      <c r="E144" s="31" t="inlineStr">
        <is>
          <t>largecap</t>
        </is>
      </c>
      <c r="F144" s="31" t="n">
        <v>41019.3</v>
      </c>
      <c r="G144" s="31" t="n">
        <v>2037.5</v>
      </c>
      <c r="H144" s="31" t="n">
        <v>1.51</v>
      </c>
      <c r="I144" s="31" t="n">
        <v>120756</v>
      </c>
      <c r="J144" s="31" t="inlineStr">
        <is>
          <t>539551</t>
        </is>
      </c>
    </row>
    <row r="145">
      <c r="A145" s="31" t="inlineStr">
        <is>
          <t>MAHASTEEL</t>
        </is>
      </c>
      <c r="B145" s="31" t="inlineStr">
        <is>
          <t>Mahamaya Steel Industries Limited</t>
        </is>
      </c>
      <c r="C145" s="31" t="inlineStr">
        <is>
          <t>metals &amp; mining</t>
        </is>
      </c>
      <c r="D145" s="31" t="inlineStr">
        <is>
          <t>steel - medium / small</t>
        </is>
      </c>
      <c r="E145" s="31" t="inlineStr">
        <is>
          <t>smallcap</t>
        </is>
      </c>
      <c r="F145" s="31" t="n">
        <v>1408.84</v>
      </c>
      <c r="G145" s="31" t="n">
        <v>870</v>
      </c>
      <c r="H145" s="31" t="n">
        <v>1.49</v>
      </c>
      <c r="I145" s="31" t="n">
        <v>6530</v>
      </c>
      <c r="J145" s="31" t="inlineStr">
        <is>
          <t>513554</t>
        </is>
      </c>
    </row>
    <row r="146">
      <c r="A146" s="31" t="inlineStr">
        <is>
          <t>SAREGAMA</t>
        </is>
      </c>
      <c r="B146" s="31" t="inlineStr">
        <is>
          <t>Saregama India Limited</t>
        </is>
      </c>
      <c r="C146" s="31" t="inlineStr">
        <is>
          <t>media</t>
        </is>
      </c>
      <c r="D146" s="31" t="inlineStr">
        <is>
          <t>entertainment / electronic media software</t>
        </is>
      </c>
      <c r="E146" s="31" t="inlineStr">
        <is>
          <t>midcap</t>
        </is>
      </c>
      <c r="F146" s="31" t="n">
        <v>9322.34</v>
      </c>
      <c r="G146" s="31" t="n">
        <v>490.6</v>
      </c>
      <c r="H146" s="31" t="n">
        <v>1.47</v>
      </c>
      <c r="I146" s="31" t="n">
        <v>693716</v>
      </c>
      <c r="J146" s="31" t="inlineStr">
        <is>
          <t>532163</t>
        </is>
      </c>
    </row>
    <row r="147">
      <c r="A147" s="31" t="inlineStr">
        <is>
          <t>EPL</t>
        </is>
      </c>
      <c r="B147" s="31" t="inlineStr">
        <is>
          <t>EPL Ltd</t>
        </is>
      </c>
      <c r="C147" s="31" t="inlineStr">
        <is>
          <t>industrials</t>
        </is>
      </c>
      <c r="D147" s="31" t="inlineStr">
        <is>
          <t>packaging</t>
        </is>
      </c>
      <c r="E147" s="31" t="inlineStr">
        <is>
          <t>midcap</t>
        </is>
      </c>
      <c r="F147" s="31" t="n">
        <v>7518.78</v>
      </c>
      <c r="G147" s="31" t="n">
        <v>238.23</v>
      </c>
      <c r="H147" s="31" t="n">
        <v>1.47</v>
      </c>
      <c r="I147" s="31" t="n">
        <v>358407</v>
      </c>
      <c r="J147" s="31" t="inlineStr">
        <is>
          <t>500135</t>
        </is>
      </c>
    </row>
    <row r="148">
      <c r="A148" s="31" t="inlineStr">
        <is>
          <t>BAJFINANCE</t>
        </is>
      </c>
      <c r="B148" s="31" t="inlineStr">
        <is>
          <t>Bajaj Finance Limited</t>
        </is>
      </c>
      <c r="C148" s="31" t="inlineStr">
        <is>
          <t>financials</t>
        </is>
      </c>
      <c r="D148" s="31" t="inlineStr">
        <is>
          <t>finance &amp; investments</t>
        </is>
      </c>
      <c r="E148" s="31" t="inlineStr">
        <is>
          <t>largecap</t>
        </is>
      </c>
      <c r="F148" s="31" t="n">
        <v>626355.02</v>
      </c>
      <c r="G148" s="31" t="n">
        <v>1021.3</v>
      </c>
      <c r="H148" s="31" t="n">
        <v>1.46</v>
      </c>
      <c r="I148" s="31" t="n">
        <v>5538356</v>
      </c>
      <c r="J148" s="31" t="inlineStr">
        <is>
          <t>500034</t>
        </is>
      </c>
    </row>
    <row r="149">
      <c r="A149" s="31" t="inlineStr">
        <is>
          <t>KKCL</t>
        </is>
      </c>
      <c r="B149" s="31" t="inlineStr">
        <is>
          <t>Kewal Kiran Clothing Limited</t>
        </is>
      </c>
      <c r="C149" s="31" t="inlineStr">
        <is>
          <t>consumer discretionary</t>
        </is>
      </c>
      <c r="D149" s="31" t="inlineStr">
        <is>
          <t>textiles - products</t>
        </is>
      </c>
      <c r="E149" s="31" t="inlineStr">
        <is>
          <t>smallcap</t>
        </is>
      </c>
      <c r="F149" s="31" t="n">
        <v>3043.67</v>
      </c>
      <c r="G149" s="31" t="n">
        <v>501</v>
      </c>
      <c r="H149" s="31" t="n">
        <v>1.44</v>
      </c>
      <c r="I149" s="31" t="n">
        <v>40243</v>
      </c>
      <c r="J149" s="31" t="inlineStr">
        <is>
          <t>532732</t>
        </is>
      </c>
    </row>
    <row r="150">
      <c r="A150" s="31" t="inlineStr">
        <is>
          <t>AIAENG</t>
        </is>
      </c>
      <c r="B150" s="31" t="inlineStr">
        <is>
          <t>Aia Engineering Limited</t>
        </is>
      </c>
      <c r="C150" s="31" t="inlineStr">
        <is>
          <t>industrials</t>
        </is>
      </c>
      <c r="D150" s="31" t="inlineStr">
        <is>
          <t>castings &amp; forgings</t>
        </is>
      </c>
      <c r="E150" s="31" t="inlineStr">
        <is>
          <t>largecap</t>
        </is>
      </c>
      <c r="F150" s="31" t="n">
        <v>44420.5</v>
      </c>
      <c r="G150" s="31" t="n">
        <v>4828.5</v>
      </c>
      <c r="H150" s="31" t="n">
        <v>1.44</v>
      </c>
      <c r="I150" s="31" t="n">
        <v>166288</v>
      </c>
      <c r="J150" s="31" t="inlineStr">
        <is>
          <t>532683</t>
        </is>
      </c>
    </row>
    <row r="151">
      <c r="A151" s="31" t="inlineStr">
        <is>
          <t>NYKAA</t>
        </is>
      </c>
      <c r="B151" s="31" t="inlineStr">
        <is>
          <t>FSN E-Commerce Ventures Ltd</t>
        </is>
      </c>
      <c r="C151" s="31" t="inlineStr">
        <is>
          <t>i.t</t>
        </is>
      </c>
      <c r="D151" s="31" t="inlineStr">
        <is>
          <t>trading</t>
        </is>
      </c>
      <c r="E151" s="31" t="inlineStr">
        <is>
          <t>largecap</t>
        </is>
      </c>
      <c r="F151" s="31" t="n">
        <v>92897.41</v>
      </c>
      <c r="G151" s="31" t="n">
        <v>329.1</v>
      </c>
      <c r="H151" s="31" t="n">
        <v>1.43</v>
      </c>
      <c r="I151" s="31" t="n">
        <v>5131827</v>
      </c>
      <c r="J151" s="31" t="inlineStr">
        <is>
          <t>543384</t>
        </is>
      </c>
    </row>
    <row r="152">
      <c r="A152" s="31" t="inlineStr">
        <is>
          <t>SBILIFE</t>
        </is>
      </c>
      <c r="B152" s="31" t="inlineStr">
        <is>
          <t>SBI Life Insurance Company Ltd</t>
        </is>
      </c>
      <c r="C152" s="31" t="inlineStr">
        <is>
          <t>financials</t>
        </is>
      </c>
      <c r="D152" s="31" t="inlineStr">
        <is>
          <t>finance &amp; investments</t>
        </is>
      </c>
      <c r="E152" s="31" t="inlineStr">
        <is>
          <t>largecap</t>
        </is>
      </c>
      <c r="F152" s="31" t="n">
        <v>184599.04</v>
      </c>
      <c r="G152" s="31" t="n">
        <v>1866.4</v>
      </c>
      <c r="H152" s="31" t="n">
        <v>1.42</v>
      </c>
      <c r="I152" s="31" t="n">
        <v>895879</v>
      </c>
      <c r="J152" s="31" t="inlineStr">
        <is>
          <t>540719</t>
        </is>
      </c>
    </row>
    <row r="153">
      <c r="A153" s="31" t="inlineStr">
        <is>
          <t>MUNJALAU</t>
        </is>
      </c>
      <c r="B153" s="31" t="inlineStr">
        <is>
          <t>Munjal Auto Industries Limited</t>
        </is>
      </c>
      <c r="C153" s="31" t="inlineStr">
        <is>
          <t>auto</t>
        </is>
      </c>
      <c r="D153" s="31" t="inlineStr">
        <is>
          <t>auto ancillaries</t>
        </is>
      </c>
      <c r="E153" s="31" t="inlineStr">
        <is>
          <t>smallcap</t>
        </is>
      </c>
      <c r="F153" s="31" t="n">
        <v>1041.3</v>
      </c>
      <c r="G153" s="31" t="n">
        <v>105.6</v>
      </c>
      <c r="H153" s="31" t="n">
        <v>1.41</v>
      </c>
      <c r="I153" s="31" t="n">
        <v>950022</v>
      </c>
      <c r="J153" s="31" t="inlineStr">
        <is>
          <t>520059</t>
        </is>
      </c>
    </row>
    <row r="154">
      <c r="A154" s="31" t="inlineStr">
        <is>
          <t>ASTERDM</t>
        </is>
      </c>
      <c r="B154" s="31" t="inlineStr">
        <is>
          <t>Aster DM Healthcare Ltd</t>
        </is>
      </c>
      <c r="C154" s="31" t="inlineStr">
        <is>
          <t>healthcare</t>
        </is>
      </c>
      <c r="D154" s="31" t="inlineStr">
        <is>
          <t>healthcare</t>
        </is>
      </c>
      <c r="E154" s="31" t="inlineStr">
        <is>
          <t>largecap</t>
        </is>
      </c>
      <c r="F154" s="31" t="n">
        <v>42133.6</v>
      </c>
      <c r="G154" s="31" t="n">
        <v>824.6</v>
      </c>
      <c r="H154" s="31" t="n">
        <v>1.4</v>
      </c>
      <c r="I154" s="31" t="n">
        <v>470328</v>
      </c>
      <c r="J154" s="31" t="inlineStr">
        <is>
          <t>540975</t>
        </is>
      </c>
    </row>
    <row r="155">
      <c r="A155" s="31" t="inlineStr">
        <is>
          <t>DIVGIITTS</t>
        </is>
      </c>
      <c r="B155" s="31" t="inlineStr">
        <is>
          <t>Divgi Torqtransfer Systems Ltd</t>
        </is>
      </c>
      <c r="C155" s="31" t="inlineStr">
        <is>
          <t>auto</t>
        </is>
      </c>
      <c r="D155" s="31" t="inlineStr">
        <is>
          <t>auto ancillaries</t>
        </is>
      </c>
      <c r="E155" s="31" t="inlineStr">
        <is>
          <t>smallcap</t>
        </is>
      </c>
      <c r="F155" s="31" t="n">
        <v>2904.77</v>
      </c>
      <c r="G155" s="31" t="n">
        <v>962.95</v>
      </c>
      <c r="H155" s="31" t="n">
        <v>1.38</v>
      </c>
      <c r="I155" s="31" t="n">
        <v>106492</v>
      </c>
      <c r="J155" s="31" t="inlineStr">
        <is>
          <t>543812</t>
        </is>
      </c>
    </row>
    <row r="156">
      <c r="A156" s="31" t="inlineStr">
        <is>
          <t>SAKAR</t>
        </is>
      </c>
      <c r="B156" s="31" t="inlineStr">
        <is>
          <t>Sakar Healthcare Ltd</t>
        </is>
      </c>
      <c r="C156" s="31" t="inlineStr">
        <is>
          <t>healthcare</t>
        </is>
      </c>
      <c r="D156" s="31" t="inlineStr">
        <is>
          <t>pharmaceuticals - indian - bulk drugs &amp; formln</t>
        </is>
      </c>
      <c r="E156" s="31" t="inlineStr">
        <is>
          <t>smallcap</t>
        </is>
      </c>
      <c r="F156" s="31" t="n">
        <v>2012.39</v>
      </c>
      <c r="G156" s="31" t="n">
        <v>916.95</v>
      </c>
      <c r="H156" s="31" t="n">
        <v>1.38</v>
      </c>
      <c r="I156" s="31" t="n">
        <v>156950</v>
      </c>
      <c r="J156" s="31" t="inlineStr">
        <is>
          <t>538377</t>
        </is>
      </c>
    </row>
    <row r="157">
      <c r="A157" s="31" t="inlineStr">
        <is>
          <t>MENONBE</t>
        </is>
      </c>
      <c r="B157" s="31" t="inlineStr">
        <is>
          <t>Menon Bearings Limited</t>
        </is>
      </c>
      <c r="C157" s="31" t="inlineStr">
        <is>
          <t>auto</t>
        </is>
      </c>
      <c r="D157" s="31" t="inlineStr">
        <is>
          <t>auto ancillaries</t>
        </is>
      </c>
      <c r="E157" s="31" t="inlineStr">
        <is>
          <t>smallcap</t>
        </is>
      </c>
      <c r="F157" s="31" t="n">
        <v>1001.27</v>
      </c>
      <c r="G157" s="31" t="n">
        <v>181.12</v>
      </c>
      <c r="H157" s="31" t="n">
        <v>1.37</v>
      </c>
      <c r="I157" s="31" t="n">
        <v>37789</v>
      </c>
      <c r="J157" s="31" t="inlineStr">
        <is>
          <t>523828</t>
        </is>
      </c>
    </row>
    <row r="158">
      <c r="A158" s="31" t="inlineStr">
        <is>
          <t>VOLTAS</t>
        </is>
      </c>
      <c r="B158" s="31" t="inlineStr">
        <is>
          <t>Voltas Limited</t>
        </is>
      </c>
      <c r="C158" s="31" t="inlineStr">
        <is>
          <t>consumer discretionary</t>
        </is>
      </c>
      <c r="D158" s="31" t="inlineStr">
        <is>
          <t>air-conditioners</t>
        </is>
      </c>
      <c r="E158" s="31" t="inlineStr">
        <is>
          <t>largecap</t>
        </is>
      </c>
      <c r="F158" s="31" t="n">
        <v>44963.93</v>
      </c>
      <c r="G158" s="31" t="n">
        <v>1377.4</v>
      </c>
      <c r="H158" s="31" t="n">
        <v>1.36</v>
      </c>
      <c r="I158" s="31" t="n">
        <v>671247</v>
      </c>
      <c r="J158" s="31" t="inlineStr">
        <is>
          <t>500575</t>
        </is>
      </c>
    </row>
    <row r="159">
      <c r="A159" s="31" t="inlineStr">
        <is>
          <t>NGLFINE</t>
        </is>
      </c>
      <c r="B159" s="31" t="inlineStr">
        <is>
          <t>NGL Fine Chem Ltd</t>
        </is>
      </c>
      <c r="C159" s="31" t="inlineStr">
        <is>
          <t>healthcare</t>
        </is>
      </c>
      <c r="D159" s="31" t="inlineStr">
        <is>
          <t>pharmaceuticals - indian - bulk drugs</t>
        </is>
      </c>
      <c r="E159" s="31" t="inlineStr">
        <is>
          <t>smallcap</t>
        </is>
      </c>
      <c r="F159" s="31" t="n">
        <v>1934.22</v>
      </c>
      <c r="G159" s="31" t="n">
        <v>3173</v>
      </c>
      <c r="H159" s="31" t="n">
        <v>1.35</v>
      </c>
      <c r="I159" s="31" t="n">
        <v>4197</v>
      </c>
      <c r="J159" s="31" t="inlineStr">
        <is>
          <t>524774</t>
        </is>
      </c>
    </row>
    <row r="160">
      <c r="A160" s="31" t="inlineStr">
        <is>
          <t>AJANTPHARM</t>
        </is>
      </c>
      <c r="B160" s="31" t="inlineStr">
        <is>
          <t>Ajanta Pharma Limited</t>
        </is>
      </c>
      <c r="C160" s="31" t="inlineStr">
        <is>
          <t>healthcare</t>
        </is>
      </c>
      <c r="D160" s="31" t="inlineStr">
        <is>
          <t>pharmaceuticals - indian - formulations</t>
        </is>
      </c>
      <c r="E160" s="31" t="inlineStr">
        <is>
          <t>largecap</t>
        </is>
      </c>
      <c r="F160" s="31" t="n">
        <v>42588.06</v>
      </c>
      <c r="G160" s="31" t="n">
        <v>3454.9</v>
      </c>
      <c r="H160" s="31" t="n">
        <v>1.35</v>
      </c>
      <c r="I160" s="31" t="n">
        <v>49219</v>
      </c>
      <c r="J160" s="31" t="inlineStr">
        <is>
          <t>532331</t>
        </is>
      </c>
    </row>
    <row r="161">
      <c r="A161" s="31" t="inlineStr">
        <is>
          <t>INDHOTEL</t>
        </is>
      </c>
      <c r="B161" s="31" t="inlineStr">
        <is>
          <t>The Indian Hotels Company Limited</t>
        </is>
      </c>
      <c r="C161" s="31" t="inlineStr">
        <is>
          <t>services</t>
        </is>
      </c>
      <c r="D161" s="31" t="inlineStr">
        <is>
          <t>hotels</t>
        </is>
      </c>
      <c r="E161" s="31" t="inlineStr">
        <is>
          <t>largecap</t>
        </is>
      </c>
      <c r="F161" s="31" t="n">
        <v>104380.29</v>
      </c>
      <c r="G161" s="31" t="n">
        <v>743.2</v>
      </c>
      <c r="H161" s="31" t="n">
        <v>1.35</v>
      </c>
      <c r="I161" s="31" t="n">
        <v>1514875</v>
      </c>
      <c r="J161" s="31" t="inlineStr">
        <is>
          <t>500850</t>
        </is>
      </c>
    </row>
    <row r="162">
      <c r="A162" s="31" t="inlineStr">
        <is>
          <t>POONAWALLA</t>
        </is>
      </c>
      <c r="B162" s="31" t="inlineStr">
        <is>
          <t>Poonawalla Fincorp Ltd</t>
        </is>
      </c>
      <c r="C162" s="31" t="inlineStr">
        <is>
          <t>financials</t>
        </is>
      </c>
      <c r="D162" s="31" t="inlineStr">
        <is>
          <t>finance &amp; investments</t>
        </is>
      </c>
      <c r="E162" s="31" t="inlineStr">
        <is>
          <t>largecap</t>
        </is>
      </c>
      <c r="F162" s="31" t="n">
        <v>41317.4</v>
      </c>
      <c r="G162" s="31" t="n">
        <v>475.55</v>
      </c>
      <c r="H162" s="31" t="n">
        <v>1.34</v>
      </c>
      <c r="I162" s="31" t="n">
        <v>866281</v>
      </c>
      <c r="J162" s="31" t="inlineStr">
        <is>
          <t>524000</t>
        </is>
      </c>
    </row>
    <row r="163">
      <c r="A163" s="31" t="inlineStr">
        <is>
          <t>KABRAEXTRU</t>
        </is>
      </c>
      <c r="B163" s="31" t="inlineStr">
        <is>
          <t>Kabra Extrusion Technik Limited</t>
        </is>
      </c>
      <c r="C163" s="31" t="inlineStr">
        <is>
          <t>industrials</t>
        </is>
      </c>
      <c r="D163" s="31" t="inlineStr">
        <is>
          <t>engineering</t>
        </is>
      </c>
      <c r="E163" s="31" t="inlineStr">
        <is>
          <t>smallcap</t>
        </is>
      </c>
      <c r="F163" s="31" t="n">
        <v>1111.26</v>
      </c>
      <c r="G163" s="31" t="n">
        <v>322</v>
      </c>
      <c r="H163" s="31" t="n">
        <v>1.34</v>
      </c>
      <c r="I163" s="31" t="n">
        <v>135484</v>
      </c>
      <c r="J163" s="31" t="inlineStr">
        <is>
          <t>524109</t>
        </is>
      </c>
    </row>
    <row r="164">
      <c r="A164" s="31" t="inlineStr">
        <is>
          <t>MMFL</t>
        </is>
      </c>
      <c r="B164" s="31" t="inlineStr">
        <is>
          <t>Mm Forgings Limited</t>
        </is>
      </c>
      <c r="C164" s="31" t="inlineStr">
        <is>
          <t>industrials</t>
        </is>
      </c>
      <c r="D164" s="31" t="inlineStr">
        <is>
          <t>castings &amp; forgings</t>
        </is>
      </c>
      <c r="E164" s="31" t="inlineStr">
        <is>
          <t>smallcap</t>
        </is>
      </c>
      <c r="F164" s="31" t="n">
        <v>2492.78</v>
      </c>
      <c r="G164" s="31" t="n">
        <v>523.2</v>
      </c>
      <c r="H164" s="31" t="n">
        <v>1.34</v>
      </c>
      <c r="I164" s="31" t="n">
        <v>83844</v>
      </c>
      <c r="J164" s="31" t="inlineStr">
        <is>
          <t>522241</t>
        </is>
      </c>
    </row>
    <row r="165">
      <c r="A165" s="31" t="inlineStr">
        <is>
          <t>HAPPYFORGE</t>
        </is>
      </c>
      <c r="B165" s="31" t="inlineStr">
        <is>
          <t>Happy Forgings Ltd</t>
        </is>
      </c>
      <c r="C165" s="31" t="inlineStr">
        <is>
          <t>industrials</t>
        </is>
      </c>
      <c r="D165" s="31" t="inlineStr">
        <is>
          <t>castings &amp; forgings</t>
        </is>
      </c>
      <c r="E165" s="31" t="inlineStr">
        <is>
          <t>midcap</t>
        </is>
      </c>
      <c r="F165" s="31" t="n">
        <v>15024.15</v>
      </c>
      <c r="G165" s="31" t="n">
        <v>1613</v>
      </c>
      <c r="H165" s="31" t="n">
        <v>1.33</v>
      </c>
      <c r="I165" s="31" t="n">
        <v>76418</v>
      </c>
      <c r="J165" s="31" t="inlineStr">
        <is>
          <t>544057</t>
        </is>
      </c>
    </row>
    <row r="166">
      <c r="A166" s="31" t="inlineStr">
        <is>
          <t>CUPID</t>
        </is>
      </c>
      <c r="B166" s="31" t="inlineStr">
        <is>
          <t>Cupid Limited</t>
        </is>
      </c>
      <c r="C166" s="31" t="inlineStr">
        <is>
          <t>fmcg</t>
        </is>
      </c>
      <c r="D166" s="31" t="inlineStr">
        <is>
          <t>personal care - indian</t>
        </is>
      </c>
      <c r="E166" s="31" t="inlineStr">
        <is>
          <t>largecap</t>
        </is>
      </c>
      <c r="F166" s="31" t="n">
        <v>29148.21</v>
      </c>
      <c r="G166" s="31" t="n">
        <v>219.66</v>
      </c>
      <c r="H166" s="31" t="n">
        <v>1.33</v>
      </c>
      <c r="I166" s="31" t="n">
        <v>45303841</v>
      </c>
      <c r="J166" s="31" t="inlineStr">
        <is>
          <t>530843</t>
        </is>
      </c>
    </row>
    <row r="167">
      <c r="A167" s="31" t="inlineStr">
        <is>
          <t>SPARC</t>
        </is>
      </c>
      <c r="B167" s="31" t="inlineStr">
        <is>
          <t>Sun Pharma Advanced Research Company Limited</t>
        </is>
      </c>
      <c r="C167" s="31" t="inlineStr">
        <is>
          <t>healthcare</t>
        </is>
      </c>
      <c r="D167" s="31" t="inlineStr">
        <is>
          <t>miscellaneous</t>
        </is>
      </c>
      <c r="E167" s="31" t="inlineStr">
        <is>
          <t>midcap</t>
        </is>
      </c>
      <c r="F167" s="31" t="n">
        <v>8042.62</v>
      </c>
      <c r="G167" s="31" t="n">
        <v>251.04</v>
      </c>
      <c r="H167" s="31" t="n">
        <v>1.3</v>
      </c>
      <c r="I167" s="31" t="n">
        <v>1481285</v>
      </c>
      <c r="J167" s="31" t="inlineStr">
        <is>
          <t>532872</t>
        </is>
      </c>
    </row>
    <row r="168">
      <c r="A168" s="31" t="inlineStr">
        <is>
          <t>NAVNETEDUL</t>
        </is>
      </c>
      <c r="B168" s="31" t="inlineStr">
        <is>
          <t>Navneet Education Limited</t>
        </is>
      </c>
      <c r="C168" s="31" t="inlineStr">
        <is>
          <t>miscellaneous</t>
        </is>
      </c>
      <c r="D168" s="31" t="inlineStr">
        <is>
          <t>printing &amp; stationery</t>
        </is>
      </c>
      <c r="E168" s="31" t="inlineStr">
        <is>
          <t>smallcap</t>
        </is>
      </c>
      <c r="F168" s="31" t="n">
        <v>3285.46</v>
      </c>
      <c r="G168" s="31" t="n">
        <v>150.45</v>
      </c>
      <c r="H168" s="31" t="n">
        <v>1.3</v>
      </c>
      <c r="I168" s="31" t="n">
        <v>282672</v>
      </c>
      <c r="J168" s="31" t="inlineStr">
        <is>
          <t>508989</t>
        </is>
      </c>
    </row>
    <row r="169">
      <c r="A169" s="31" t="inlineStr">
        <is>
          <t>SGIL</t>
        </is>
      </c>
      <c r="B169" s="31" t="inlineStr">
        <is>
          <t>Synergy Green Industries Ltd</t>
        </is>
      </c>
      <c r="C169" s="31" t="inlineStr">
        <is>
          <t>industrials</t>
        </is>
      </c>
      <c r="D169" s="31" t="inlineStr">
        <is>
          <t>castings &amp; forgings</t>
        </is>
      </c>
      <c r="E169" s="31" t="inlineStr">
        <is>
          <t>smallcap</t>
        </is>
      </c>
      <c r="F169" s="31" t="n">
        <v>925.27</v>
      </c>
      <c r="G169" s="31" t="n">
        <v>603</v>
      </c>
      <c r="H169" s="31" t="n">
        <v>1.29</v>
      </c>
      <c r="I169" s="31" t="n">
        <v>10039</v>
      </c>
      <c r="J169" s="31" t="inlineStr">
        <is>
          <t>541929</t>
        </is>
      </c>
    </row>
    <row r="170">
      <c r="A170" s="31" t="inlineStr">
        <is>
          <t>ABCAPITAL</t>
        </is>
      </c>
      <c r="B170" s="31" t="inlineStr">
        <is>
          <t>Aditya Birla Capital Ltd</t>
        </is>
      </c>
      <c r="C170" s="31" t="inlineStr">
        <is>
          <t>financials</t>
        </is>
      </c>
      <c r="D170" s="31" t="inlineStr">
        <is>
          <t>finance &amp; investments</t>
        </is>
      </c>
      <c r="E170" s="31" t="inlineStr">
        <is>
          <t>largecap</t>
        </is>
      </c>
      <c r="F170" s="31" t="n">
        <v>109163.19</v>
      </c>
      <c r="G170" s="31" t="n">
        <v>404.3</v>
      </c>
      <c r="H170" s="31" t="n">
        <v>1.26</v>
      </c>
      <c r="I170" s="31" t="n">
        <v>1844455</v>
      </c>
      <c r="J170" s="31" t="inlineStr">
        <is>
          <t>540691</t>
        </is>
      </c>
    </row>
    <row r="171">
      <c r="A171" s="31" t="inlineStr">
        <is>
          <t>INDUSINDBK</t>
        </is>
      </c>
      <c r="B171" s="31" t="inlineStr">
        <is>
          <t>Indusind Bank Limited</t>
        </is>
      </c>
      <c r="C171" s="31" t="inlineStr">
        <is>
          <t>bank</t>
        </is>
      </c>
      <c r="D171" s="31" t="inlineStr">
        <is>
          <t>banks - private sector</t>
        </is>
      </c>
      <c r="E171" s="31" t="inlineStr">
        <is>
          <t>largecap</t>
        </is>
      </c>
      <c r="F171" s="31" t="n">
        <v>77704.14999999999</v>
      </c>
      <c r="G171" s="31" t="n">
        <v>1009.7</v>
      </c>
      <c r="H171" s="31" t="n">
        <v>1.24</v>
      </c>
      <c r="I171" s="31" t="n">
        <v>1491258</v>
      </c>
      <c r="J171" s="31" t="inlineStr">
        <is>
          <t>532187</t>
        </is>
      </c>
    </row>
    <row r="172">
      <c r="A172" s="31" t="inlineStr">
        <is>
          <t>AMBIKCO</t>
        </is>
      </c>
      <c r="B172" s="31" t="inlineStr">
        <is>
          <t>Ambika Cotton Mills Limited</t>
        </is>
      </c>
      <c r="C172" s="31" t="inlineStr">
        <is>
          <t>textiles</t>
        </is>
      </c>
      <c r="D172" s="31" t="inlineStr">
        <is>
          <t>textiles - cotton/blended</t>
        </is>
      </c>
      <c r="E172" s="31" t="inlineStr">
        <is>
          <t>smallcap</t>
        </is>
      </c>
      <c r="F172" s="31" t="n">
        <v>990.14</v>
      </c>
      <c r="G172" s="31" t="n">
        <v>1750.8</v>
      </c>
      <c r="H172" s="31" t="n">
        <v>1.23</v>
      </c>
      <c r="I172" s="31" t="n">
        <v>7910</v>
      </c>
      <c r="J172" s="31" t="inlineStr">
        <is>
          <t>531978</t>
        </is>
      </c>
    </row>
    <row r="173">
      <c r="A173" s="31" t="inlineStr">
        <is>
          <t>SUPRAJIT</t>
        </is>
      </c>
      <c r="B173" s="31" t="inlineStr">
        <is>
          <t>Suprajit Engineering Limited</t>
        </is>
      </c>
      <c r="C173" s="31" t="inlineStr">
        <is>
          <t>auto</t>
        </is>
      </c>
      <c r="D173" s="31" t="inlineStr">
        <is>
          <t>auto ancillaries</t>
        </is>
      </c>
      <c r="E173" s="31" t="inlineStr">
        <is>
          <t>midcap</t>
        </is>
      </c>
      <c r="F173" s="31" t="n">
        <v>6691.89</v>
      </c>
      <c r="G173" s="31" t="n">
        <v>493.7</v>
      </c>
      <c r="H173" s="31" t="n">
        <v>1.2</v>
      </c>
      <c r="I173" s="31" t="n">
        <v>113180</v>
      </c>
      <c r="J173" s="31" t="inlineStr">
        <is>
          <t>532509</t>
        </is>
      </c>
    </row>
    <row r="174">
      <c r="A174" s="31" t="inlineStr">
        <is>
          <t>AJAXENGG</t>
        </is>
      </c>
      <c r="B174" s="31" t="inlineStr">
        <is>
          <t>Ajax Engineering Ltd</t>
        </is>
      </c>
      <c r="C174" s="31" t="inlineStr">
        <is>
          <t>industrials</t>
        </is>
      </c>
      <c r="D174" s="31" t="inlineStr">
        <is>
          <t>engineering</t>
        </is>
      </c>
      <c r="E174" s="31" t="inlineStr">
        <is>
          <t>midcap</t>
        </is>
      </c>
      <c r="F174" s="31" t="n">
        <v>6955.36</v>
      </c>
      <c r="G174" s="31" t="n">
        <v>615.2</v>
      </c>
      <c r="H174" s="31" t="n">
        <v>1.19</v>
      </c>
      <c r="I174" s="31" t="n">
        <v>129522</v>
      </c>
      <c r="J174" s="31" t="inlineStr">
        <is>
          <t>544356</t>
        </is>
      </c>
    </row>
    <row r="175">
      <c r="A175" s="31" t="inlineStr">
        <is>
          <t>RAINBOW</t>
        </is>
      </c>
      <c r="B175" s="31" t="inlineStr">
        <is>
          <t>Rainbow Childrens Medicare Ltd</t>
        </is>
      </c>
      <c r="C175" s="31" t="inlineStr">
        <is>
          <t>healthcare</t>
        </is>
      </c>
      <c r="D175" s="31" t="inlineStr">
        <is>
          <t>healthcare</t>
        </is>
      </c>
      <c r="E175" s="31" t="inlineStr">
        <is>
          <t>midcap</t>
        </is>
      </c>
      <c r="F175" s="31" t="n">
        <v>15072.39</v>
      </c>
      <c r="G175" s="31" t="n">
        <v>1501.6</v>
      </c>
      <c r="H175" s="31" t="n">
        <v>1.18</v>
      </c>
      <c r="I175" s="31" t="n">
        <v>71630</v>
      </c>
      <c r="J175" s="31" t="inlineStr">
        <is>
          <t>543524</t>
        </is>
      </c>
    </row>
    <row r="176">
      <c r="A176" s="31" t="inlineStr">
        <is>
          <t>DIVISLAB</t>
        </is>
      </c>
      <c r="B176" s="31" t="inlineStr">
        <is>
          <t>Divi's Laboratories Limited</t>
        </is>
      </c>
      <c r="C176" s="31" t="inlineStr">
        <is>
          <t>healthcare</t>
        </is>
      </c>
      <c r="D176" s="31" t="inlineStr">
        <is>
          <t>pharmaceuticals - indian - bulk drugs</t>
        </is>
      </c>
      <c r="E176" s="31" t="inlineStr">
        <is>
          <t>largecap</t>
        </is>
      </c>
      <c r="F176" s="31" t="n">
        <v>190832.09</v>
      </c>
      <c r="G176" s="31" t="n">
        <v>7273</v>
      </c>
      <c r="H176" s="31" t="n">
        <v>1.18</v>
      </c>
      <c r="I176" s="31" t="n">
        <v>726485</v>
      </c>
      <c r="J176" s="31" t="inlineStr">
        <is>
          <t>532488</t>
        </is>
      </c>
    </row>
    <row r="177">
      <c r="A177" s="31" t="inlineStr">
        <is>
          <t>WELENT</t>
        </is>
      </c>
      <c r="B177" s="31" t="inlineStr">
        <is>
          <t>Welspun Enterprises Limited</t>
        </is>
      </c>
      <c r="C177" s="31" t="inlineStr">
        <is>
          <t>realty</t>
        </is>
      </c>
      <c r="D177" s="31" t="inlineStr">
        <is>
          <t>construction</t>
        </is>
      </c>
      <c r="E177" s="31" t="inlineStr">
        <is>
          <t>midcap</t>
        </is>
      </c>
      <c r="F177" s="31" t="n">
        <v>8563.66</v>
      </c>
      <c r="G177" s="31" t="n">
        <v>625.85</v>
      </c>
      <c r="H177" s="31" t="n">
        <v>1.16</v>
      </c>
      <c r="I177" s="31" t="n">
        <v>219569</v>
      </c>
      <c r="J177" s="31" t="inlineStr">
        <is>
          <t>532553</t>
        </is>
      </c>
    </row>
    <row r="178">
      <c r="A178" s="31" t="inlineStr">
        <is>
          <t>MEDANTA</t>
        </is>
      </c>
      <c r="B178" s="31" t="inlineStr">
        <is>
          <t>Global Health Ltd</t>
        </is>
      </c>
      <c r="C178" s="31" t="inlineStr">
        <is>
          <t>healthcare</t>
        </is>
      </c>
      <c r="D178" s="31" t="inlineStr">
        <is>
          <t>healthcare</t>
        </is>
      </c>
      <c r="E178" s="31" t="inlineStr">
        <is>
          <t>largecap</t>
        </is>
      </c>
      <c r="F178" s="31" t="n">
        <v>35504.52</v>
      </c>
      <c r="G178" s="31" t="n">
        <v>1336.1</v>
      </c>
      <c r="H178" s="31" t="n">
        <v>1.15</v>
      </c>
      <c r="I178" s="31" t="n">
        <v>99783</v>
      </c>
      <c r="J178" s="31" t="inlineStr">
        <is>
          <t>543654</t>
        </is>
      </c>
    </row>
    <row r="179">
      <c r="A179" s="31" t="inlineStr">
        <is>
          <t>BLSE</t>
        </is>
      </c>
      <c r="B179" s="31" t="inlineStr">
        <is>
          <t>BLS E-Services Ltd</t>
        </is>
      </c>
      <c r="C179" s="31" t="inlineStr">
        <is>
          <t>i.t</t>
        </is>
      </c>
      <c r="D179" s="31" t="inlineStr">
        <is>
          <t>computers - software - medium / small</t>
        </is>
      </c>
      <c r="E179" s="31" t="inlineStr">
        <is>
          <t>smallcap</t>
        </is>
      </c>
      <c r="F179" s="31" t="n">
        <v>2464.85</v>
      </c>
      <c r="G179" s="31" t="n">
        <v>274.37</v>
      </c>
      <c r="H179" s="31" t="n">
        <v>1.14</v>
      </c>
      <c r="I179" s="31" t="n">
        <v>1102620</v>
      </c>
      <c r="J179" s="31" t="inlineStr">
        <is>
          <t>544107</t>
        </is>
      </c>
    </row>
    <row r="180">
      <c r="A180" s="31" t="inlineStr">
        <is>
          <t>PSPPROJECT</t>
        </is>
      </c>
      <c r="B180" s="31" t="inlineStr">
        <is>
          <t>PSP Projects Ltd</t>
        </is>
      </c>
      <c r="C180" s="31" t="inlineStr">
        <is>
          <t>realty</t>
        </is>
      </c>
      <c r="D180" s="31" t="inlineStr">
        <is>
          <t>construction</t>
        </is>
      </c>
      <c r="E180" s="31" t="inlineStr">
        <is>
          <t>smallcap</t>
        </is>
      </c>
      <c r="F180" s="31" t="n">
        <v>4239.29</v>
      </c>
      <c r="G180" s="31" t="n">
        <v>1081.4</v>
      </c>
      <c r="H180" s="31" t="n">
        <v>1.12</v>
      </c>
      <c r="I180" s="31" t="n">
        <v>170522</v>
      </c>
      <c r="J180" s="31" t="inlineStr">
        <is>
          <t>540544</t>
        </is>
      </c>
    </row>
    <row r="181">
      <c r="A181" s="31" t="inlineStr">
        <is>
          <t>ALKEM</t>
        </is>
      </c>
      <c r="B181" s="31" t="inlineStr">
        <is>
          <t>Alkem Laboratories Limited</t>
        </is>
      </c>
      <c r="C181" s="31" t="inlineStr">
        <is>
          <t>healthcare</t>
        </is>
      </c>
      <c r="D181" s="31" t="inlineStr">
        <is>
          <t>pharmaceuticals - indian - bulk drugs &amp; formln</t>
        </is>
      </c>
      <c r="E181" s="31" t="inlineStr">
        <is>
          <t>largecap</t>
        </is>
      </c>
      <c r="F181" s="31" t="n">
        <v>66974.33</v>
      </c>
      <c r="G181" s="31" t="n">
        <v>5664</v>
      </c>
      <c r="H181" s="31" t="n">
        <v>1.12</v>
      </c>
      <c r="I181" s="31" t="n">
        <v>213216</v>
      </c>
      <c r="J181" s="31" t="inlineStr">
        <is>
          <t>539523</t>
        </is>
      </c>
    </row>
    <row r="182">
      <c r="A182" s="31" t="inlineStr">
        <is>
          <t>CANFINHOME</t>
        </is>
      </c>
      <c r="B182" s="31" t="inlineStr">
        <is>
          <t>Can Fin Homes Limited</t>
        </is>
      </c>
      <c r="C182" s="31" t="inlineStr">
        <is>
          <t>financials</t>
        </is>
      </c>
      <c r="D182" s="31" t="inlineStr">
        <is>
          <t>finance - housing</t>
        </is>
      </c>
      <c r="E182" s="31" t="inlineStr">
        <is>
          <t>midcap</t>
        </is>
      </c>
      <c r="F182" s="31" t="n">
        <v>11957.91</v>
      </c>
      <c r="G182" s="31" t="n">
        <v>908</v>
      </c>
      <c r="H182" s="31" t="n">
        <v>1.11</v>
      </c>
      <c r="I182" s="31" t="n">
        <v>143755</v>
      </c>
      <c r="J182" s="31" t="inlineStr">
        <is>
          <t>511196</t>
        </is>
      </c>
    </row>
    <row r="183">
      <c r="A183" s="31" t="inlineStr">
        <is>
          <t>JLHL</t>
        </is>
      </c>
      <c r="B183" s="31" t="inlineStr">
        <is>
          <t>Jupiter Life Line Hospitals Ltd</t>
        </is>
      </c>
      <c r="C183" s="31" t="inlineStr">
        <is>
          <t>healthcare</t>
        </is>
      </c>
      <c r="D183" s="31" t="inlineStr">
        <is>
          <t>healthcare</t>
        </is>
      </c>
      <c r="E183" s="31" t="inlineStr">
        <is>
          <t>midcap</t>
        </is>
      </c>
      <c r="F183" s="31" t="n">
        <v>9726.719999999999</v>
      </c>
      <c r="G183" s="31" t="n">
        <v>1500</v>
      </c>
      <c r="H183" s="31" t="n">
        <v>1.11</v>
      </c>
      <c r="I183" s="31" t="n">
        <v>49583</v>
      </c>
      <c r="J183" s="31" t="inlineStr">
        <is>
          <t>543980</t>
        </is>
      </c>
    </row>
    <row r="184">
      <c r="A184" s="31" t="inlineStr">
        <is>
          <t>CYIENTDLM</t>
        </is>
      </c>
      <c r="B184" s="31" t="inlineStr">
        <is>
          <t>Cyient DLM Ltd</t>
        </is>
      </c>
      <c r="C184" s="31" t="inlineStr">
        <is>
          <t>consumer discretionary</t>
        </is>
      </c>
      <c r="D184" s="31" t="inlineStr">
        <is>
          <t>electronics - components</t>
        </is>
      </c>
      <c r="E184" s="31" t="inlineStr">
        <is>
          <t>smallcap</t>
        </is>
      </c>
      <c r="F184" s="31" t="n">
        <v>4227.34</v>
      </c>
      <c r="G184" s="31" t="n">
        <v>538.5</v>
      </c>
      <c r="H184" s="31" t="n">
        <v>1.1</v>
      </c>
      <c r="I184" s="31" t="n">
        <v>195366</v>
      </c>
      <c r="J184" s="31" t="inlineStr">
        <is>
          <t>543933</t>
        </is>
      </c>
    </row>
    <row r="185">
      <c r="A185" s="31" t="inlineStr">
        <is>
          <t>HESTERBIO</t>
        </is>
      </c>
      <c r="B185" s="31" t="inlineStr">
        <is>
          <t>Hester Biosciences Limited</t>
        </is>
      </c>
      <c r="C185" s="31" t="inlineStr">
        <is>
          <t>healthcare</t>
        </is>
      </c>
      <c r="D185" s="31" t="inlineStr">
        <is>
          <t>pharmaceuticals - indian - formulations</t>
        </is>
      </c>
      <c r="E185" s="31" t="inlineStr">
        <is>
          <t>smallcap</t>
        </is>
      </c>
      <c r="F185" s="31" t="n">
        <v>2030.42</v>
      </c>
      <c r="G185" s="31" t="n">
        <v>2412.2</v>
      </c>
      <c r="H185" s="31" t="n">
        <v>1.06</v>
      </c>
      <c r="I185" s="31" t="n">
        <v>96836</v>
      </c>
      <c r="J185" s="31" t="inlineStr">
        <is>
          <t>524669</t>
        </is>
      </c>
    </row>
    <row r="186">
      <c r="A186" s="31" t="inlineStr">
        <is>
          <t>NAHARSPING</t>
        </is>
      </c>
      <c r="B186" s="31" t="inlineStr">
        <is>
          <t>Nahar Spinning Mills Limited</t>
        </is>
      </c>
      <c r="C186" s="31" t="inlineStr">
        <is>
          <t>textiles</t>
        </is>
      </c>
      <c r="D186" s="31" t="inlineStr">
        <is>
          <t>textiles - cotton/blended</t>
        </is>
      </c>
      <c r="E186" s="31" t="inlineStr">
        <is>
          <t>smallcap</t>
        </is>
      </c>
      <c r="F186" s="31" t="n">
        <v>988.1900000000001</v>
      </c>
      <c r="G186" s="31" t="n">
        <v>276.9</v>
      </c>
      <c r="H186" s="31" t="n">
        <v>1.06</v>
      </c>
      <c r="I186" s="31" t="n">
        <v>12284</v>
      </c>
      <c r="J186" s="31" t="inlineStr">
        <is>
          <t>500296</t>
        </is>
      </c>
    </row>
    <row r="187">
      <c r="A187" s="31" t="inlineStr">
        <is>
          <t>HDBFS</t>
        </is>
      </c>
      <c r="B187" s="31" t="inlineStr">
        <is>
          <t>HDB Financial Services Ltd</t>
        </is>
      </c>
      <c r="C187" s="31" t="inlineStr">
        <is>
          <t>financials</t>
        </is>
      </c>
      <c r="D187" s="31" t="inlineStr">
        <is>
          <t>finance &amp; investments</t>
        </is>
      </c>
      <c r="E187" s="31" t="inlineStr">
        <is>
          <t>largecap</t>
        </is>
      </c>
      <c r="F187" s="31" t="n">
        <v>61768.04</v>
      </c>
      <c r="G187" s="31" t="n">
        <v>751.7</v>
      </c>
      <c r="H187" s="31" t="n">
        <v>1.05</v>
      </c>
      <c r="I187" s="31" t="n">
        <v>406830</v>
      </c>
      <c r="J187" s="31" t="inlineStr">
        <is>
          <t>544429</t>
        </is>
      </c>
    </row>
    <row r="188">
      <c r="A188" s="31" t="inlineStr">
        <is>
          <t>SURYODAY</t>
        </is>
      </c>
      <c r="B188" s="31" t="inlineStr">
        <is>
          <t>Suryoday Small Finance Bank Ltd</t>
        </is>
      </c>
      <c r="C188" s="31" t="inlineStr">
        <is>
          <t>bank</t>
        </is>
      </c>
      <c r="D188" s="31" t="inlineStr">
        <is>
          <t>banks - private sector</t>
        </is>
      </c>
      <c r="E188" s="31" t="inlineStr">
        <is>
          <t>smallcap</t>
        </is>
      </c>
      <c r="F188" s="31" t="n">
        <v>1990.49</v>
      </c>
      <c r="G188" s="31" t="n">
        <v>189.21</v>
      </c>
      <c r="H188" s="31" t="n">
        <v>1.04</v>
      </c>
      <c r="I188" s="31" t="n">
        <v>365858</v>
      </c>
      <c r="J188" s="31" t="inlineStr">
        <is>
          <t>543279</t>
        </is>
      </c>
    </row>
    <row r="189">
      <c r="A189" s="31" t="inlineStr">
        <is>
          <t>VENUSPIPES</t>
        </is>
      </c>
      <c r="B189" s="31" t="inlineStr">
        <is>
          <t>Venus Pipes &amp; Tubes Ltd</t>
        </is>
      </c>
      <c r="C189" s="31" t="inlineStr">
        <is>
          <t>metals &amp; mining</t>
        </is>
      </c>
      <c r="D189" s="31" t="inlineStr">
        <is>
          <t>steel - medium / small</t>
        </is>
      </c>
      <c r="E189" s="31" t="inlineStr">
        <is>
          <t>smallcap</t>
        </is>
      </c>
      <c r="F189" s="31" t="n">
        <v>3668.62</v>
      </c>
      <c r="G189" s="31" t="n">
        <v>1789</v>
      </c>
      <c r="H189" s="31" t="n">
        <v>1.02</v>
      </c>
      <c r="I189" s="31" t="n">
        <v>67834</v>
      </c>
      <c r="J189" s="31" t="inlineStr">
        <is>
          <t>543528</t>
        </is>
      </c>
    </row>
    <row r="190">
      <c r="A190" s="31" t="inlineStr">
        <is>
          <t>LICI</t>
        </is>
      </c>
      <c r="B190" s="31" t="inlineStr">
        <is>
          <t>Life Insurance Corporation of India Ltd</t>
        </is>
      </c>
      <c r="C190" s="31" t="inlineStr">
        <is>
          <t>financials</t>
        </is>
      </c>
      <c r="D190" s="31" t="inlineStr">
        <is>
          <t>finance &amp; investments</t>
        </is>
      </c>
      <c r="E190" s="31" t="inlineStr">
        <is>
          <t>largecap</t>
        </is>
      </c>
      <c r="F190" s="31" t="n">
        <v>550780.8</v>
      </c>
      <c r="G190" s="31" t="n">
        <v>439.75</v>
      </c>
      <c r="H190" s="31" t="n">
        <v>1</v>
      </c>
      <c r="I190" s="31" t="n">
        <v>3963214</v>
      </c>
      <c r="J190" s="31" t="inlineStr">
        <is>
          <t>543526</t>
        </is>
      </c>
    </row>
    <row r="191">
      <c r="A191" s="31" t="inlineStr">
        <is>
          <t>UNIONBANK</t>
        </is>
      </c>
      <c r="B191" s="31" t="inlineStr">
        <is>
          <t>Union Bank Of India Ltd</t>
        </is>
      </c>
      <c r="C191" s="31" t="inlineStr">
        <is>
          <t>bank</t>
        </is>
      </c>
      <c r="D191" s="31" t="inlineStr">
        <is>
          <t>banks - public sector</t>
        </is>
      </c>
      <c r="E191" s="31" t="inlineStr">
        <is>
          <t>largecap</t>
        </is>
      </c>
      <c r="F191" s="31" t="n">
        <v>130282.75</v>
      </c>
      <c r="G191" s="31" t="n">
        <v>172.38</v>
      </c>
      <c r="H191" s="31" t="n">
        <v>1</v>
      </c>
      <c r="I191" s="31" t="n">
        <v>60853488</v>
      </c>
      <c r="J191" s="31" t="inlineStr">
        <is>
          <t>532477</t>
        </is>
      </c>
    </row>
    <row r="192">
      <c r="A192" s="31" t="inlineStr">
        <is>
          <t>RML</t>
        </is>
      </c>
      <c r="B192" s="31" t="inlineStr">
        <is>
          <t>Rane (madras) Limited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smallcap</t>
        </is>
      </c>
      <c r="F192" s="31" t="n">
        <v>3423.96</v>
      </c>
      <c r="G192" s="31" t="n">
        <v>1251.3</v>
      </c>
      <c r="H192" s="31" t="n">
        <v>1</v>
      </c>
      <c r="I192" s="31" t="n">
        <v>18788</v>
      </c>
      <c r="J192" s="31" t="inlineStr">
        <is>
          <t>532661</t>
        </is>
      </c>
    </row>
    <row r="193">
      <c r="A193" s="31" t="inlineStr">
        <is>
          <t>KAMDHENU</t>
        </is>
      </c>
      <c r="B193" s="31" t="inlineStr">
        <is>
          <t>Kamdhenu Limited</t>
        </is>
      </c>
      <c r="C193" s="31" t="inlineStr">
        <is>
          <t>metals &amp; mining</t>
        </is>
      </c>
      <c r="D193" s="31" t="inlineStr">
        <is>
          <t>steel - medium / small</t>
        </is>
      </c>
      <c r="E193" s="31" t="inlineStr">
        <is>
          <t>smallcap</t>
        </is>
      </c>
      <c r="F193" s="31" t="n">
        <v>886.8</v>
      </c>
      <c r="G193" s="31" t="n">
        <v>31.77</v>
      </c>
      <c r="H193" s="31" t="n">
        <v>0.99</v>
      </c>
      <c r="I193" s="31" t="n">
        <v>874338</v>
      </c>
      <c r="J193" s="31" t="inlineStr">
        <is>
          <t>532741</t>
        </is>
      </c>
    </row>
    <row r="194">
      <c r="A194" s="31" t="inlineStr">
        <is>
          <t>TECHM</t>
        </is>
      </c>
      <c r="B194" s="31" t="inlineStr">
        <is>
          <t>Tech Mahindra Limited</t>
        </is>
      </c>
      <c r="C194" s="31" t="inlineStr">
        <is>
          <t>i.t</t>
        </is>
      </c>
      <c r="D194" s="31" t="inlineStr">
        <is>
          <t>computers - software - large</t>
        </is>
      </c>
      <c r="E194" s="31" t="inlineStr">
        <is>
          <t>largecap</t>
        </is>
      </c>
      <c r="F194" s="31" t="n">
        <v>145437.84</v>
      </c>
      <c r="G194" s="31" t="n">
        <v>1498.7</v>
      </c>
      <c r="H194" s="31" t="n">
        <v>0.97</v>
      </c>
      <c r="I194" s="31" t="n">
        <v>1834309</v>
      </c>
      <c r="J194" s="31" t="inlineStr">
        <is>
          <t>532755</t>
        </is>
      </c>
    </row>
    <row r="195">
      <c r="A195" s="31" t="inlineStr">
        <is>
          <t>SIS</t>
        </is>
      </c>
      <c r="B195" s="31" t="inlineStr">
        <is>
          <t>Security &amp; Intelligence Services India</t>
        </is>
      </c>
      <c r="C195" s="31" t="inlineStr">
        <is>
          <t>miscellaneous</t>
        </is>
      </c>
      <c r="D195" s="31" t="inlineStr">
        <is>
          <t>miscellaneous</t>
        </is>
      </c>
      <c r="E195" s="31" t="inlineStr">
        <is>
          <t>midcap</t>
        </is>
      </c>
      <c r="F195" s="31" t="n">
        <v>6139.69</v>
      </c>
      <c r="G195" s="31" t="n">
        <v>438.8</v>
      </c>
      <c r="H195" s="31" t="n">
        <v>0.97</v>
      </c>
      <c r="I195" s="31" t="n">
        <v>164646</v>
      </c>
      <c r="J195" s="31" t="inlineStr">
        <is>
          <t>540673</t>
        </is>
      </c>
    </row>
    <row r="196">
      <c r="A196" s="31" t="inlineStr">
        <is>
          <t>LUPIN</t>
        </is>
      </c>
      <c r="B196" s="31" t="inlineStr">
        <is>
          <t>Lupin Limited</t>
        </is>
      </c>
      <c r="C196" s="31" t="inlineStr">
        <is>
          <t>healthcare</t>
        </is>
      </c>
      <c r="D196" s="31" t="inlineStr">
        <is>
          <t>pharmaceuticals - indian - bulk drugs &amp; formln</t>
        </is>
      </c>
      <c r="E196" s="31" t="inlineStr">
        <is>
          <t>largecap</t>
        </is>
      </c>
      <c r="F196" s="31" t="n">
        <v>112886.67</v>
      </c>
      <c r="G196" s="31" t="n">
        <v>2493</v>
      </c>
      <c r="H196" s="31" t="n">
        <v>0.96</v>
      </c>
      <c r="I196" s="31" t="n">
        <v>821069</v>
      </c>
      <c r="J196" s="31" t="inlineStr">
        <is>
          <t>500257</t>
        </is>
      </c>
    </row>
    <row r="197">
      <c r="A197" s="31" t="inlineStr">
        <is>
          <t>RADICO</t>
        </is>
      </c>
      <c r="B197" s="31" t="inlineStr">
        <is>
          <t>Radico Khaitan Limited</t>
        </is>
      </c>
      <c r="C197" s="31" t="inlineStr">
        <is>
          <t>fmcg</t>
        </is>
      </c>
      <c r="D197" s="31" t="inlineStr">
        <is>
          <t>breweries &amp; distilleries</t>
        </is>
      </c>
      <c r="E197" s="31" t="inlineStr">
        <is>
          <t>largecap</t>
        </is>
      </c>
      <c r="F197" s="31" t="n">
        <v>54244.73</v>
      </c>
      <c r="G197" s="31" t="n">
        <v>4090</v>
      </c>
      <c r="H197" s="31" t="n">
        <v>0.96</v>
      </c>
      <c r="I197" s="31" t="n">
        <v>253491</v>
      </c>
      <c r="J197" s="31" t="inlineStr">
        <is>
          <t>532497</t>
        </is>
      </c>
    </row>
    <row r="198">
      <c r="A198" s="31" t="inlineStr">
        <is>
          <t>PNBHOUSING</t>
        </is>
      </c>
      <c r="B198" s="31" t="inlineStr">
        <is>
          <t>Pnb Housing Finance Limited</t>
        </is>
      </c>
      <c r="C198" s="31" t="inlineStr">
        <is>
          <t>financials</t>
        </is>
      </c>
      <c r="D198" s="31" t="inlineStr">
        <is>
          <t>finance - housing</t>
        </is>
      </c>
      <c r="E198" s="31" t="inlineStr">
        <is>
          <t>largecap</t>
        </is>
      </c>
      <c r="F198" s="31" t="n">
        <v>28538.71</v>
      </c>
      <c r="G198" s="31" t="n">
        <v>1105.9</v>
      </c>
      <c r="H198" s="31" t="n">
        <v>0.95</v>
      </c>
      <c r="I198" s="31" t="n">
        <v>509486</v>
      </c>
      <c r="J198" s="31" t="inlineStr">
        <is>
          <t>540173</t>
        </is>
      </c>
    </row>
    <row r="199">
      <c r="A199" s="31" t="inlineStr">
        <is>
          <t>RGL</t>
        </is>
      </c>
      <c r="B199" s="31" t="inlineStr">
        <is>
          <t>Renaissance Global Ltd</t>
        </is>
      </c>
      <c r="C199" s="31" t="inlineStr">
        <is>
          <t>consumer discretionary</t>
        </is>
      </c>
      <c r="D199" s="31" t="inlineStr">
        <is>
          <t>diamond cutting / jewellery</t>
        </is>
      </c>
      <c r="E199" s="31" t="inlineStr">
        <is>
          <t>smallcap</t>
        </is>
      </c>
      <c r="F199" s="31" t="n">
        <v>1276.85</v>
      </c>
      <c r="G199" s="31" t="n">
        <v>120.09</v>
      </c>
      <c r="H199" s="31" t="n">
        <v>0.9399999999999999</v>
      </c>
      <c r="I199" s="31" t="n">
        <v>124870</v>
      </c>
      <c r="J199" s="31" t="inlineStr">
        <is>
          <t>532923</t>
        </is>
      </c>
    </row>
    <row r="200">
      <c r="A200" s="31" t="inlineStr">
        <is>
          <t>ALIVUS</t>
        </is>
      </c>
      <c r="B200" s="31" t="inlineStr">
        <is>
          <t>Alivus Life Sciences Ltd</t>
        </is>
      </c>
      <c r="C200" s="31" t="inlineStr">
        <is>
          <t>healthcare</t>
        </is>
      </c>
      <c r="D200" s="31" t="inlineStr">
        <is>
          <t>pharmaceuticals - indian - bulk drugs &amp; formln</t>
        </is>
      </c>
      <c r="E200" s="31" t="inlineStr">
        <is>
          <t>midcap</t>
        </is>
      </c>
      <c r="F200" s="31" t="n">
        <v>14252.14</v>
      </c>
      <c r="G200" s="31" t="n">
        <v>1172</v>
      </c>
      <c r="H200" s="31" t="n">
        <v>0.93</v>
      </c>
      <c r="I200" s="31" t="n">
        <v>46130</v>
      </c>
      <c r="J200" s="31" t="inlineStr">
        <is>
          <t>543322</t>
        </is>
      </c>
    </row>
    <row r="201">
      <c r="A201" s="31" t="inlineStr">
        <is>
          <t>SJS</t>
        </is>
      </c>
      <c r="B201" s="31" t="inlineStr">
        <is>
          <t>S J S Enterprises Ltd</t>
        </is>
      </c>
      <c r="C201" s="31" t="inlineStr">
        <is>
          <t>auto</t>
        </is>
      </c>
      <c r="D201" s="31" t="inlineStr">
        <is>
          <t>plastics products</t>
        </is>
      </c>
      <c r="E201" s="31" t="inlineStr">
        <is>
          <t>midcap</t>
        </is>
      </c>
      <c r="F201" s="31" t="n">
        <v>6908.74</v>
      </c>
      <c r="G201" s="31" t="n">
        <v>2179</v>
      </c>
      <c r="H201" s="31" t="n">
        <v>0.92</v>
      </c>
      <c r="I201" s="31" t="n">
        <v>22179</v>
      </c>
      <c r="J201" s="31" t="inlineStr">
        <is>
          <t>543387</t>
        </is>
      </c>
    </row>
    <row r="202">
      <c r="A202" s="31" t="inlineStr">
        <is>
          <t>HTMEDIA</t>
        </is>
      </c>
      <c r="B202" s="31" t="inlineStr">
        <is>
          <t>Ht Media Limited</t>
        </is>
      </c>
      <c r="C202" s="31" t="inlineStr">
        <is>
          <t>media</t>
        </is>
      </c>
      <c r="D202" s="31" t="inlineStr">
        <is>
          <t>entertainment / electronic media software</t>
        </is>
      </c>
      <c r="E202" s="31" t="inlineStr">
        <is>
          <t>smallcap</t>
        </is>
      </c>
      <c r="F202" s="31" t="n">
        <v>632.21</v>
      </c>
      <c r="G202" s="31" t="n">
        <v>27.41</v>
      </c>
      <c r="H202" s="31" t="n">
        <v>0.92</v>
      </c>
      <c r="I202" s="31" t="n">
        <v>349213</v>
      </c>
      <c r="J202" s="31" t="inlineStr">
        <is>
          <t>532662</t>
        </is>
      </c>
    </row>
    <row r="203">
      <c r="A203" s="31" t="inlineStr">
        <is>
          <t>TORNTPHARM</t>
        </is>
      </c>
      <c r="B203" s="31" t="inlineStr">
        <is>
          <t>Torrent Pharmaceuticals Limited</t>
        </is>
      </c>
      <c r="C203" s="31" t="inlineStr">
        <is>
          <t>healthcare</t>
        </is>
      </c>
      <c r="D203" s="31" t="inlineStr">
        <is>
          <t>pharmaceuticals - indian - formulations</t>
        </is>
      </c>
      <c r="E203" s="31" t="inlineStr">
        <is>
          <t>largecap</t>
        </is>
      </c>
      <c r="F203" s="31" t="n">
        <v>168325.84</v>
      </c>
      <c r="G203" s="31" t="n">
        <v>5017.8</v>
      </c>
      <c r="H203" s="31" t="n">
        <v>0.89</v>
      </c>
      <c r="I203" s="31" t="n">
        <v>778853</v>
      </c>
      <c r="J203" s="31" t="inlineStr">
        <is>
          <t>500420</t>
        </is>
      </c>
    </row>
    <row r="204">
      <c r="A204" s="31" t="inlineStr">
        <is>
          <t>SUMICHEM</t>
        </is>
      </c>
      <c r="B204" s="31" t="inlineStr">
        <is>
          <t>Sumitomo Chemical India Ltd</t>
        </is>
      </c>
      <c r="C204" s="31" t="inlineStr">
        <is>
          <t>chemicals</t>
        </is>
      </c>
      <c r="D204" s="31" t="inlineStr">
        <is>
          <t>pesticides / agrochemicals - indian</t>
        </is>
      </c>
      <c r="E204" s="31" t="inlineStr">
        <is>
          <t>largecap</t>
        </is>
      </c>
      <c r="F204" s="31" t="n">
        <v>26714.28</v>
      </c>
      <c r="G204" s="31" t="n">
        <v>539.9</v>
      </c>
      <c r="H204" s="31" t="n">
        <v>0.88</v>
      </c>
      <c r="I204" s="31" t="n">
        <v>686147</v>
      </c>
      <c r="J204" s="31" t="inlineStr">
        <is>
          <t>542920</t>
        </is>
      </c>
    </row>
    <row r="205">
      <c r="A205" s="31" t="inlineStr">
        <is>
          <t>GANDHITUBE</t>
        </is>
      </c>
      <c r="B205" s="31" t="inlineStr">
        <is>
          <t>Gandhi Special Tubes Limited</t>
        </is>
      </c>
      <c r="C205" s="31" t="inlineStr">
        <is>
          <t>metals &amp; mining</t>
        </is>
      </c>
      <c r="D205" s="31" t="inlineStr">
        <is>
          <t>steel - medium / small</t>
        </is>
      </c>
      <c r="E205" s="31" t="inlineStr">
        <is>
          <t>smallcap</t>
        </is>
      </c>
      <c r="F205" s="31" t="n">
        <v>1052.85</v>
      </c>
      <c r="G205" s="31" t="n">
        <v>874</v>
      </c>
      <c r="H205" s="31" t="n">
        <v>0.88</v>
      </c>
      <c r="I205" s="31" t="n">
        <v>4552</v>
      </c>
      <c r="J205" s="31" t="inlineStr">
        <is>
          <t>513108</t>
        </is>
      </c>
    </row>
    <row r="206">
      <c r="A206" s="31" t="inlineStr">
        <is>
          <t>CHOICEIN</t>
        </is>
      </c>
      <c r="B206" s="31" t="inlineStr">
        <is>
          <t>Choice International Ltd</t>
        </is>
      </c>
      <c r="C206" s="31" t="inlineStr">
        <is>
          <t>financials</t>
        </is>
      </c>
      <c r="D206" s="31" t="inlineStr">
        <is>
          <t>finance &amp; investments</t>
        </is>
      </c>
      <c r="E206" s="31" t="inlineStr">
        <is>
          <t>midcap</t>
        </is>
      </c>
      <c r="F206" s="31" t="n">
        <v>18062.72</v>
      </c>
      <c r="G206" s="31" t="n">
        <v>817.65</v>
      </c>
      <c r="H206" s="31" t="n">
        <v>0.84</v>
      </c>
      <c r="I206" s="31" t="n">
        <v>586930</v>
      </c>
      <c r="J206" s="31" t="inlineStr">
        <is>
          <t>531358</t>
        </is>
      </c>
    </row>
    <row r="207">
      <c r="A207" s="31" t="inlineStr">
        <is>
          <t>APOLLOPIPE</t>
        </is>
      </c>
      <c r="B207" s="31" t="inlineStr">
        <is>
          <t>Apollo Pipes Ltd</t>
        </is>
      </c>
      <c r="C207" s="31" t="inlineStr">
        <is>
          <t>plastic products</t>
        </is>
      </c>
      <c r="D207" s="31" t="inlineStr">
        <is>
          <t>plastics products</t>
        </is>
      </c>
      <c r="E207" s="31" t="inlineStr">
        <is>
          <t>smallcap</t>
        </is>
      </c>
      <c r="F207" s="31" t="n">
        <v>2241.39</v>
      </c>
      <c r="G207" s="31" t="n">
        <v>513.05</v>
      </c>
      <c r="H207" s="31" t="n">
        <v>0.83</v>
      </c>
      <c r="I207" s="31" t="n">
        <v>85572</v>
      </c>
      <c r="J207" s="31" t="inlineStr">
        <is>
          <t>531761</t>
        </is>
      </c>
    </row>
    <row r="208">
      <c r="A208" s="31" t="inlineStr">
        <is>
          <t>CENTUM</t>
        </is>
      </c>
      <c r="B208" s="31" t="inlineStr">
        <is>
          <t>Centum Electronics Limited</t>
        </is>
      </c>
      <c r="C208" s="31" t="inlineStr">
        <is>
          <t>consumer discretionary</t>
        </is>
      </c>
      <c r="D208" s="31" t="inlineStr">
        <is>
          <t>electronics - components</t>
        </is>
      </c>
      <c r="E208" s="31" t="inlineStr">
        <is>
          <t>midcap</t>
        </is>
      </c>
      <c r="F208" s="31" t="n">
        <v>5340.07</v>
      </c>
      <c r="G208" s="31" t="n">
        <v>3652.5</v>
      </c>
      <c r="H208" s="31" t="n">
        <v>0.83</v>
      </c>
      <c r="I208" s="31" t="n">
        <v>31869</v>
      </c>
      <c r="J208" s="31" t="inlineStr">
        <is>
          <t>517544</t>
        </is>
      </c>
    </row>
    <row r="209">
      <c r="A209" s="31" t="inlineStr">
        <is>
          <t>WELSPUNLIV</t>
        </is>
      </c>
      <c r="B209" s="31" t="inlineStr">
        <is>
          <t>Welspun Living Ltd</t>
        </is>
      </c>
      <c r="C209" s="31" t="inlineStr">
        <is>
          <t>textiles</t>
        </is>
      </c>
      <c r="D209" s="31" t="inlineStr">
        <is>
          <t>textiles - products</t>
        </is>
      </c>
      <c r="E209" s="31" t="inlineStr">
        <is>
          <t>midcap</t>
        </is>
      </c>
      <c r="F209" s="31" t="n">
        <v>15781.9</v>
      </c>
      <c r="G209" s="31" t="n">
        <v>165.89</v>
      </c>
      <c r="H209" s="31" t="n">
        <v>0.82</v>
      </c>
      <c r="I209" s="31" t="n">
        <v>2417648</v>
      </c>
      <c r="J209" s="31" t="inlineStr">
        <is>
          <t>514162</t>
        </is>
      </c>
    </row>
    <row r="210">
      <c r="A210" s="31" t="inlineStr">
        <is>
          <t>AMBER</t>
        </is>
      </c>
      <c r="B210" s="31" t="inlineStr">
        <is>
          <t>Amber Enterprises India Ltd</t>
        </is>
      </c>
      <c r="C210" s="31" t="inlineStr">
        <is>
          <t>consumer discretionary</t>
        </is>
      </c>
      <c r="D210" s="31" t="inlineStr">
        <is>
          <t>air-conditioners</t>
        </is>
      </c>
      <c r="E210" s="31" t="inlineStr">
        <is>
          <t>largecap</t>
        </is>
      </c>
      <c r="F210" s="31" t="n">
        <v>27401.99</v>
      </c>
      <c r="G210" s="31" t="n">
        <v>7850.5</v>
      </c>
      <c r="H210" s="31" t="n">
        <v>0.82</v>
      </c>
      <c r="I210" s="31" t="n">
        <v>173196</v>
      </c>
      <c r="J210" s="31" t="inlineStr">
        <is>
          <t>540902</t>
        </is>
      </c>
    </row>
    <row r="211">
      <c r="A211" s="31" t="inlineStr">
        <is>
          <t>TBZ</t>
        </is>
      </c>
      <c r="B211" s="31" t="inlineStr">
        <is>
          <t>Tribhovandas Bhimji Zaveri Limited</t>
        </is>
      </c>
      <c r="C211" s="31" t="inlineStr">
        <is>
          <t>consumer discretionary</t>
        </is>
      </c>
      <c r="D211" s="31" t="inlineStr">
        <is>
          <t>diamond cutting / jewellery</t>
        </is>
      </c>
      <c r="E211" s="31" t="inlineStr">
        <is>
          <t>smallcap</t>
        </is>
      </c>
      <c r="F211" s="31" t="n">
        <v>1734.8</v>
      </c>
      <c r="G211" s="31" t="n">
        <v>262.09</v>
      </c>
      <c r="H211" s="31" t="n">
        <v>0.82</v>
      </c>
      <c r="I211" s="31" t="n">
        <v>8587085</v>
      </c>
      <c r="J211" s="31" t="inlineStr">
        <is>
          <t>534369</t>
        </is>
      </c>
    </row>
    <row r="212">
      <c r="A212" s="31" t="inlineStr">
        <is>
          <t>CDSL</t>
        </is>
      </c>
      <c r="B212" s="31" t="inlineStr">
        <is>
          <t>Central Depository Services Ltd</t>
        </is>
      </c>
      <c r="C212" s="31" t="inlineStr">
        <is>
          <t>financials</t>
        </is>
      </c>
      <c r="D212" s="31" t="inlineStr">
        <is>
          <t>miscellaneous</t>
        </is>
      </c>
      <c r="E212" s="31" t="inlineStr">
        <is>
          <t>largecap</t>
        </is>
      </c>
      <c r="F212" s="31" t="n">
        <v>29855.65</v>
      </c>
      <c r="G212" s="31" t="n">
        <v>1440.1</v>
      </c>
      <c r="H212" s="31" t="n">
        <v>0.8100000000000001</v>
      </c>
      <c r="I212" s="31" t="n">
        <v>1647962</v>
      </c>
      <c r="J212" s="31" t="n"/>
    </row>
    <row r="213">
      <c r="A213" s="31" t="inlineStr">
        <is>
          <t>SMCGLOBAL</t>
        </is>
      </c>
      <c r="B213" s="31" t="inlineStr">
        <is>
          <t>SMC Global Securities Ltd</t>
        </is>
      </c>
      <c r="C213" s="31" t="inlineStr">
        <is>
          <t>financials</t>
        </is>
      </c>
      <c r="D213" s="31" t="inlineStr">
        <is>
          <t>finance &amp; investments</t>
        </is>
      </c>
      <c r="E213" s="31" t="inlineStr">
        <is>
          <t>smallcap</t>
        </is>
      </c>
      <c r="F213" s="31" t="n">
        <v>1663.68</v>
      </c>
      <c r="G213" s="31" t="n">
        <v>80.09</v>
      </c>
      <c r="H213" s="31" t="n">
        <v>0.8100000000000001</v>
      </c>
      <c r="I213" s="31" t="n">
        <v>592151</v>
      </c>
      <c r="J213" s="31" t="inlineStr">
        <is>
          <t>543263</t>
        </is>
      </c>
    </row>
    <row r="214">
      <c r="A214" s="31" t="inlineStr">
        <is>
          <t>QUESS</t>
        </is>
      </c>
      <c r="B214" s="31" t="inlineStr">
        <is>
          <t>Quess Corp Limited</t>
        </is>
      </c>
      <c r="C214" s="31" t="inlineStr">
        <is>
          <t>miscellaneous</t>
        </is>
      </c>
      <c r="D214" s="31" t="inlineStr">
        <is>
          <t>diversified - large</t>
        </is>
      </c>
      <c r="E214" s="31" t="inlineStr">
        <is>
          <t>smallcap</t>
        </is>
      </c>
      <c r="F214" s="31" t="n">
        <v>4368.69</v>
      </c>
      <c r="G214" s="31" t="n">
        <v>294.9</v>
      </c>
      <c r="H214" s="31" t="n">
        <v>0.8</v>
      </c>
      <c r="I214" s="31" t="n">
        <v>262390</v>
      </c>
      <c r="J214" s="31" t="inlineStr">
        <is>
          <t>539978</t>
        </is>
      </c>
    </row>
    <row r="215">
      <c r="A215" s="31" t="inlineStr">
        <is>
          <t>NINSYS</t>
        </is>
      </c>
      <c r="B215" s="31" t="inlineStr">
        <is>
          <t>NINtec Systems Ltd</t>
        </is>
      </c>
      <c r="C215" s="31" t="inlineStr">
        <is>
          <t>i.t</t>
        </is>
      </c>
      <c r="D215" s="31" t="inlineStr">
        <is>
          <t>computers - software - medium / small</t>
        </is>
      </c>
      <c r="E215" s="31" t="inlineStr">
        <is>
          <t>smallcap</t>
        </is>
      </c>
      <c r="F215" s="31" t="n">
        <v>1613.42</v>
      </c>
      <c r="G215" s="31" t="n">
        <v>875.5</v>
      </c>
      <c r="H215" s="31" t="n">
        <v>0.8</v>
      </c>
      <c r="I215" s="31" t="n">
        <v>3859</v>
      </c>
      <c r="J215" s="31" t="inlineStr">
        <is>
          <t>539843</t>
        </is>
      </c>
    </row>
    <row r="216">
      <c r="A216" s="31" t="inlineStr">
        <is>
          <t>SUMEETINDS</t>
        </is>
      </c>
      <c r="B216" s="31" t="inlineStr">
        <is>
          <t>Sumeet Industries Limited</t>
        </is>
      </c>
      <c r="C216" s="31" t="inlineStr">
        <is>
          <t>textiles</t>
        </is>
      </c>
      <c r="D216" s="31" t="inlineStr">
        <is>
          <t>textiles - manmade</t>
        </is>
      </c>
      <c r="E216" s="31" t="inlineStr">
        <is>
          <t>smallcap</t>
        </is>
      </c>
      <c r="F216" s="31" t="n">
        <v>1722.14</v>
      </c>
      <c r="G216" s="31" t="n">
        <v>32.98</v>
      </c>
      <c r="H216" s="31" t="n">
        <v>0.79</v>
      </c>
      <c r="I216" s="31" t="n">
        <v>7941798</v>
      </c>
      <c r="J216" s="31" t="inlineStr">
        <is>
          <t>514211</t>
        </is>
      </c>
    </row>
    <row r="217">
      <c r="A217" s="31" t="inlineStr">
        <is>
          <t>VAIBHAVGBL</t>
        </is>
      </c>
      <c r="B217" s="31" t="inlineStr">
        <is>
          <t>Vaibhav Global Limited</t>
        </is>
      </c>
      <c r="C217" s="31" t="inlineStr">
        <is>
          <t>consumer discretionary</t>
        </is>
      </c>
      <c r="D217" s="31" t="inlineStr">
        <is>
          <t>diamond cutting / jewellery</t>
        </is>
      </c>
      <c r="E217" s="31" t="inlineStr">
        <is>
          <t>smallcap</t>
        </is>
      </c>
      <c r="F217" s="31" t="n">
        <v>4196.24</v>
      </c>
      <c r="G217" s="31" t="n">
        <v>253.13</v>
      </c>
      <c r="H217" s="31" t="n">
        <v>0.78</v>
      </c>
      <c r="I217" s="31" t="n">
        <v>393132</v>
      </c>
      <c r="J217" s="31" t="inlineStr">
        <is>
          <t>532156</t>
        </is>
      </c>
    </row>
    <row r="218">
      <c r="A218" s="31" t="inlineStr">
        <is>
          <t>SUYOG</t>
        </is>
      </c>
      <c r="B218" s="31" t="inlineStr">
        <is>
          <t>Suyog Telematics Ltd</t>
        </is>
      </c>
      <c r="C218" s="31" t="inlineStr">
        <is>
          <t>telecom</t>
        </is>
      </c>
      <c r="D218" s="31" t="inlineStr">
        <is>
          <t>transmisson line towers / equipment</t>
        </is>
      </c>
      <c r="E218" s="31" t="inlineStr">
        <is>
          <t>smallcap</t>
        </is>
      </c>
      <c r="F218" s="31" t="n">
        <v>1016.17</v>
      </c>
      <c r="G218" s="31" t="n">
        <v>874</v>
      </c>
      <c r="H218" s="31" t="n">
        <v>0.78</v>
      </c>
      <c r="I218" s="31" t="n">
        <v>19132</v>
      </c>
      <c r="J218" s="31" t="inlineStr">
        <is>
          <t>537259</t>
        </is>
      </c>
    </row>
    <row r="219">
      <c r="A219" s="31" t="inlineStr">
        <is>
          <t>RELTD</t>
        </is>
      </c>
      <c r="B219" s="31" t="inlineStr">
        <is>
          <t>Ravindra Energy Ltd</t>
        </is>
      </c>
      <c r="C219" s="31" t="inlineStr">
        <is>
          <t>industrials</t>
        </is>
      </c>
      <c r="D219" s="31" t="inlineStr">
        <is>
          <t>electric equipment</t>
        </is>
      </c>
      <c r="E219" s="31" t="inlineStr">
        <is>
          <t>smallcap</t>
        </is>
      </c>
      <c r="F219" s="31" t="n">
        <v>3446.82</v>
      </c>
      <c r="G219" s="31" t="n">
        <v>174.94</v>
      </c>
      <c r="H219" s="31" t="n">
        <v>0.77</v>
      </c>
      <c r="I219" s="31" t="n">
        <v>464932</v>
      </c>
      <c r="J219" s="31" t="inlineStr">
        <is>
          <t>504341</t>
        </is>
      </c>
    </row>
    <row r="220">
      <c r="A220" s="31" t="inlineStr">
        <is>
          <t>IKIO</t>
        </is>
      </c>
      <c r="B220" s="31" t="inlineStr">
        <is>
          <t>IKIO Lighting Ltd</t>
        </is>
      </c>
      <c r="C220" s="31" t="inlineStr">
        <is>
          <t>consumer discretionary</t>
        </is>
      </c>
      <c r="D220" s="31" t="inlineStr">
        <is>
          <t>electric equipment</t>
        </is>
      </c>
      <c r="E220" s="31" t="inlineStr">
        <is>
          <t>smallcap</t>
        </is>
      </c>
      <c r="F220" s="31" t="n">
        <v>1654.12</v>
      </c>
      <c r="G220" s="31" t="n">
        <v>215.66</v>
      </c>
      <c r="H220" s="31" t="n">
        <v>0.76</v>
      </c>
      <c r="I220" s="31" t="n">
        <v>1152551</v>
      </c>
      <c r="J220" s="31" t="inlineStr">
        <is>
          <t>543923</t>
        </is>
      </c>
    </row>
    <row r="221">
      <c r="A221" s="31" t="inlineStr">
        <is>
          <t>PRIVISCL</t>
        </is>
      </c>
      <c r="B221" s="31" t="inlineStr">
        <is>
          <t>Privi Speciality Chemicals Ltd</t>
        </is>
      </c>
      <c r="C221" s="31" t="inlineStr">
        <is>
          <t>chemicals</t>
        </is>
      </c>
      <c r="D221" s="31" t="inlineStr">
        <is>
          <t>chemicals</t>
        </is>
      </c>
      <c r="E221" s="31" t="inlineStr">
        <is>
          <t>midcap</t>
        </is>
      </c>
      <c r="F221" s="31" t="n">
        <v>14382.89</v>
      </c>
      <c r="G221" s="31" t="n">
        <v>3710</v>
      </c>
      <c r="H221" s="31" t="n">
        <v>0.76</v>
      </c>
      <c r="I221" s="31" t="n">
        <v>24017</v>
      </c>
      <c r="J221" s="31" t="inlineStr">
        <is>
          <t>530117</t>
        </is>
      </c>
    </row>
    <row r="222">
      <c r="A222" s="31" t="inlineStr">
        <is>
          <t>TIRUPATIFL</t>
        </is>
      </c>
      <c r="B222" s="31" t="inlineStr">
        <is>
          <t>Tirupati Forge Ltd</t>
        </is>
      </c>
      <c r="C222" s="31" t="inlineStr">
        <is>
          <t>industrials</t>
        </is>
      </c>
      <c r="D222" s="31" t="inlineStr">
        <is>
          <t>castings &amp; forgings</t>
        </is>
      </c>
      <c r="E222" s="31" t="inlineStr">
        <is>
          <t>smallcap</t>
        </is>
      </c>
      <c r="F222" s="31" t="n">
        <v>883.53</v>
      </c>
      <c r="G222" s="31" t="n">
        <v>68.90000000000001</v>
      </c>
      <c r="H222" s="31" t="n">
        <v>0.75</v>
      </c>
      <c r="I222" s="31" t="n">
        <v>521087</v>
      </c>
      <c r="J222" s="31" t="inlineStr">
        <is>
          <t>535021</t>
        </is>
      </c>
    </row>
    <row r="223">
      <c r="A223" s="31" t="inlineStr">
        <is>
          <t>FDC</t>
        </is>
      </c>
      <c r="B223" s="31" t="inlineStr">
        <is>
          <t>Fdc Limited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midcap</t>
        </is>
      </c>
      <c r="F223" s="31" t="n">
        <v>6864.89</v>
      </c>
      <c r="G223" s="31" t="n">
        <v>424.8</v>
      </c>
      <c r="H223" s="31" t="n">
        <v>0.75</v>
      </c>
      <c r="I223" s="31" t="n">
        <v>52937</v>
      </c>
      <c r="J223" s="31" t="inlineStr">
        <is>
          <t>531599</t>
        </is>
      </c>
    </row>
    <row r="224">
      <c r="A224" s="31" t="inlineStr">
        <is>
          <t>AKUMS</t>
        </is>
      </c>
      <c r="B224" s="31" t="inlineStr">
        <is>
          <t>Akums Drugs &amp; Pharmaceuticals Ltd</t>
        </is>
      </c>
      <c r="C224" s="31" t="inlineStr">
        <is>
          <t>healthcare</t>
        </is>
      </c>
      <c r="D224" s="31" t="inlineStr">
        <is>
          <t>pharmaceuticals - indian - bulk drugs &amp; formln</t>
        </is>
      </c>
      <c r="E224" s="31" t="inlineStr">
        <is>
          <t>midcap</t>
        </is>
      </c>
      <c r="F224" s="31" t="n">
        <v>10812.18</v>
      </c>
      <c r="G224" s="31" t="n">
        <v>692.1</v>
      </c>
      <c r="H224" s="31" t="n">
        <v>0.75</v>
      </c>
      <c r="I224" s="31" t="n">
        <v>291139</v>
      </c>
      <c r="J224" s="31" t="inlineStr">
        <is>
          <t>544222</t>
        </is>
      </c>
    </row>
    <row r="225">
      <c r="A225" s="31" t="inlineStr">
        <is>
          <t>JBCHEPHARM</t>
        </is>
      </c>
      <c r="B225" s="31" t="inlineStr">
        <is>
          <t>Jb Chemicals &amp; Pharmaceuticals Limited</t>
        </is>
      </c>
      <c r="C225" s="31" t="inlineStr">
        <is>
          <t>healthcare</t>
        </is>
      </c>
      <c r="D225" s="31" t="inlineStr">
        <is>
          <t>pharmaceuticals - indian - bulk drugs &amp; formln</t>
        </is>
      </c>
      <c r="E225" s="31" t="inlineStr">
        <is>
          <t>largecap</t>
        </is>
      </c>
      <c r="F225" s="31" t="n">
        <v>39940.58</v>
      </c>
      <c r="G225" s="31" t="n">
        <v>2506</v>
      </c>
      <c r="H225" s="31" t="n">
        <v>0.74</v>
      </c>
      <c r="I225" s="31" t="n">
        <v>717650</v>
      </c>
      <c r="J225" s="31" t="inlineStr">
        <is>
          <t>506943</t>
        </is>
      </c>
    </row>
    <row r="226">
      <c r="A226" s="31" t="inlineStr">
        <is>
          <t>NITINSPIN</t>
        </is>
      </c>
      <c r="B226" s="31" t="inlineStr">
        <is>
          <t>Nitin Spinners Limited</t>
        </is>
      </c>
      <c r="C226" s="31" t="inlineStr">
        <is>
          <t>textiles</t>
        </is>
      </c>
      <c r="D226" s="31" t="inlineStr">
        <is>
          <t>textiles - cotton/blended</t>
        </is>
      </c>
      <c r="E226" s="31" t="inlineStr">
        <is>
          <t>smallcap</t>
        </is>
      </c>
      <c r="F226" s="31" t="n">
        <v>3118.52</v>
      </c>
      <c r="G226" s="31" t="n">
        <v>558.8</v>
      </c>
      <c r="H226" s="31" t="n">
        <v>0.74</v>
      </c>
      <c r="I226" s="31" t="n">
        <v>126814</v>
      </c>
      <c r="J226" s="31" t="inlineStr">
        <is>
          <t>532698</t>
        </is>
      </c>
    </row>
    <row r="227">
      <c r="A227" s="31" t="inlineStr">
        <is>
          <t>SPECTRUM</t>
        </is>
      </c>
      <c r="B227" s="31" t="inlineStr">
        <is>
          <t>Spectrum Electrical Industries Ltd</t>
        </is>
      </c>
      <c r="C227" s="31" t="inlineStr">
        <is>
          <t>industrials</t>
        </is>
      </c>
      <c r="D227" s="31" t="inlineStr">
        <is>
          <t>electric equipment</t>
        </is>
      </c>
      <c r="E227" s="31" t="inlineStr">
        <is>
          <t>smallcap</t>
        </is>
      </c>
      <c r="F227" s="31" t="n">
        <v>3162.25</v>
      </c>
      <c r="G227" s="31" t="n">
        <v>2027</v>
      </c>
      <c r="H227" s="31" t="n">
        <v>0.73</v>
      </c>
      <c r="I227" s="31" t="n">
        <v>10749</v>
      </c>
      <c r="J227" s="31" t="inlineStr">
        <is>
          <t>535112</t>
        </is>
      </c>
    </row>
    <row r="228">
      <c r="A228" s="31" t="inlineStr">
        <is>
          <t>SANGAMIND</t>
        </is>
      </c>
      <c r="B228" s="31" t="inlineStr">
        <is>
          <t>Sangam (india) Limited</t>
        </is>
      </c>
      <c r="C228" s="31" t="inlineStr">
        <is>
          <t>textiles</t>
        </is>
      </c>
      <c r="D228" s="31" t="inlineStr">
        <is>
          <t>textiles - spinning - synthetic / blended</t>
        </is>
      </c>
      <c r="E228" s="31" t="inlineStr">
        <is>
          <t>smallcap</t>
        </is>
      </c>
      <c r="F228" s="31" t="n">
        <v>3140.16</v>
      </c>
      <c r="G228" s="31" t="n">
        <v>629.4</v>
      </c>
      <c r="H228" s="31" t="n">
        <v>0.71</v>
      </c>
      <c r="I228" s="31" t="n">
        <v>169527</v>
      </c>
      <c r="J228" s="31" t="inlineStr">
        <is>
          <t>514234</t>
        </is>
      </c>
    </row>
    <row r="229">
      <c r="A229" s="31" t="inlineStr">
        <is>
          <t>DIACABS</t>
        </is>
      </c>
      <c r="B229" s="31" t="inlineStr">
        <is>
          <t>Diamond Power Infrastructure Ltd</t>
        </is>
      </c>
      <c r="C229" s="31" t="inlineStr">
        <is>
          <t>industrials</t>
        </is>
      </c>
      <c r="D229" s="31" t="inlineStr">
        <is>
          <t>cables - power</t>
        </is>
      </c>
      <c r="E229" s="31" t="inlineStr">
        <is>
          <t>midcap</t>
        </is>
      </c>
      <c r="F229" s="31" t="n">
        <v>11855.27</v>
      </c>
      <c r="G229" s="31" t="n">
        <v>226.49</v>
      </c>
      <c r="H229" s="31" t="n">
        <v>0.68</v>
      </c>
      <c r="I229" s="31" t="n">
        <v>2465448</v>
      </c>
      <c r="J229" s="31" t="inlineStr">
        <is>
          <t>522163</t>
        </is>
      </c>
    </row>
    <row r="230">
      <c r="A230" s="31" t="inlineStr">
        <is>
          <t>ARE&amp;M</t>
        </is>
      </c>
      <c r="B230" s="31" t="inlineStr">
        <is>
          <t>Amara Raja Energy &amp; Mobility Ltd</t>
        </is>
      </c>
      <c r="C230" s="31" t="inlineStr">
        <is>
          <t>auto</t>
        </is>
      </c>
      <c r="D230" s="31" t="inlineStr">
        <is>
          <t>auto ancillaries</t>
        </is>
      </c>
      <c r="E230" s="31" t="inlineStr">
        <is>
          <t>midcap</t>
        </is>
      </c>
      <c r="F230" s="31" t="n">
        <v>16378.94</v>
      </c>
      <c r="G230" s="31" t="n">
        <v>900.85</v>
      </c>
      <c r="H230" s="31" t="n">
        <v>0.66</v>
      </c>
      <c r="I230" s="31" t="n">
        <v>720244</v>
      </c>
      <c r="J230" s="31" t="inlineStr">
        <is>
          <t>500008</t>
        </is>
      </c>
    </row>
    <row r="231">
      <c r="A231" s="31" t="inlineStr">
        <is>
          <t>INNOVACAP</t>
        </is>
      </c>
      <c r="B231" s="31" t="inlineStr">
        <is>
          <t>Innova Captab Ltd</t>
        </is>
      </c>
      <c r="C231" s="31" t="inlineStr">
        <is>
          <t>healthcare</t>
        </is>
      </c>
      <c r="D231" s="31" t="inlineStr">
        <is>
          <t>pharmaceuticals - indian - bulk drugs &amp; formln</t>
        </is>
      </c>
      <c r="E231" s="31" t="inlineStr">
        <is>
          <t>midcap</t>
        </is>
      </c>
      <c r="F231" s="31" t="n">
        <v>5685.58</v>
      </c>
      <c r="G231" s="31" t="n">
        <v>1000</v>
      </c>
      <c r="H231" s="31" t="n">
        <v>0.65</v>
      </c>
      <c r="I231" s="31" t="n">
        <v>70271</v>
      </c>
      <c r="J231" s="31" t="inlineStr">
        <is>
          <t>544067</t>
        </is>
      </c>
    </row>
    <row r="232">
      <c r="A232" s="31" t="inlineStr">
        <is>
          <t>RUBYMILLS</t>
        </is>
      </c>
      <c r="B232" s="31" t="inlineStr">
        <is>
          <t>The Ruby Mills Limited</t>
        </is>
      </c>
      <c r="C232" s="31" t="inlineStr">
        <is>
          <t>textiles</t>
        </is>
      </c>
      <c r="D232" s="31" t="inlineStr">
        <is>
          <t>textiles - composite</t>
        </is>
      </c>
      <c r="E232" s="31" t="inlineStr">
        <is>
          <t>smallcap</t>
        </is>
      </c>
      <c r="F232" s="31" t="n">
        <v>1280.58</v>
      </c>
      <c r="G232" s="31" t="n">
        <v>385.35</v>
      </c>
      <c r="H232" s="31" t="n">
        <v>0.63</v>
      </c>
      <c r="I232" s="31" t="n">
        <v>19612</v>
      </c>
      <c r="J232" s="31" t="inlineStr">
        <is>
          <t>503169</t>
        </is>
      </c>
    </row>
    <row r="233">
      <c r="A233" s="31" t="inlineStr">
        <is>
          <t>AGARWALEYE</t>
        </is>
      </c>
      <c r="B233" s="31" t="inlineStr">
        <is>
          <t>Dr Agarwals Health Care Ltd</t>
        </is>
      </c>
      <c r="C233" s="31" t="inlineStr">
        <is>
          <t>healthcare</t>
        </is>
      </c>
      <c r="D233" s="31" t="inlineStr">
        <is>
          <t>healthcare</t>
        </is>
      </c>
      <c r="E233" s="31" t="inlineStr">
        <is>
          <t>midcap</t>
        </is>
      </c>
      <c r="F233" s="31" t="n">
        <v>15554.36</v>
      </c>
      <c r="G233" s="31" t="n">
        <v>493.75</v>
      </c>
      <c r="H233" s="31" t="n">
        <v>0.62</v>
      </c>
      <c r="I233" s="31" t="n">
        <v>57651</v>
      </c>
      <c r="J233" s="31" t="inlineStr">
        <is>
          <t>544350</t>
        </is>
      </c>
    </row>
    <row r="234">
      <c r="A234" s="31" t="inlineStr">
        <is>
          <t>NEULANDLAB</t>
        </is>
      </c>
      <c r="B234" s="31" t="inlineStr">
        <is>
          <t>Neuland Laboratories Limited</t>
        </is>
      </c>
      <c r="C234" s="31" t="inlineStr">
        <is>
          <t>healthcare</t>
        </is>
      </c>
      <c r="D234" s="31" t="inlineStr">
        <is>
          <t>pharmaceuticals - indian - bulk drugs</t>
        </is>
      </c>
      <c r="E234" s="31" t="inlineStr">
        <is>
          <t>largecap</t>
        </is>
      </c>
      <c r="F234" s="31" t="n">
        <v>24375.51</v>
      </c>
      <c r="G234" s="31" t="n">
        <v>19114</v>
      </c>
      <c r="H234" s="31" t="n">
        <v>0.61</v>
      </c>
      <c r="I234" s="31" t="n">
        <v>21190</v>
      </c>
      <c r="J234" s="31" t="inlineStr">
        <is>
          <t>524558</t>
        </is>
      </c>
    </row>
    <row r="235">
      <c r="A235" s="31" t="inlineStr">
        <is>
          <t>ICICIBANK</t>
        </is>
      </c>
      <c r="B235" s="31" t="inlineStr">
        <is>
          <t>Icici Bank Limited</t>
        </is>
      </c>
      <c r="C235" s="31" t="inlineStr">
        <is>
          <t>bank</t>
        </is>
      </c>
      <c r="D235" s="31" t="inlineStr">
        <is>
          <t>banks - private sector</t>
        </is>
      </c>
      <c r="E235" s="31" t="inlineStr">
        <is>
          <t>largecap</t>
        </is>
      </c>
      <c r="F235" s="31" t="n">
        <v>1007929.05</v>
      </c>
      <c r="G235" s="31" t="n">
        <v>1416.2</v>
      </c>
      <c r="H235" s="31" t="n">
        <v>0.6</v>
      </c>
      <c r="I235" s="31" t="n">
        <v>12966173</v>
      </c>
      <c r="J235" s="31" t="inlineStr">
        <is>
          <t>532174</t>
        </is>
      </c>
    </row>
    <row r="236">
      <c r="A236" s="31" t="inlineStr">
        <is>
          <t>WSTCSTPAPR</t>
        </is>
      </c>
      <c r="B236" s="31" t="inlineStr">
        <is>
          <t>West Coast Paper Mills Limited</t>
        </is>
      </c>
      <c r="C236" s="31" t="inlineStr">
        <is>
          <t>building materials</t>
        </is>
      </c>
      <c r="D236" s="31" t="inlineStr">
        <is>
          <t>paper</t>
        </is>
      </c>
      <c r="E236" s="31" t="inlineStr">
        <is>
          <t>smallcap</t>
        </is>
      </c>
      <c r="F236" s="31" t="n">
        <v>3490.68</v>
      </c>
      <c r="G236" s="31" t="n">
        <v>531.5</v>
      </c>
      <c r="H236" s="31" t="n">
        <v>0.57</v>
      </c>
      <c r="I236" s="31" t="n">
        <v>121650</v>
      </c>
      <c r="J236" s="31" t="inlineStr">
        <is>
          <t>500444</t>
        </is>
      </c>
    </row>
    <row r="237">
      <c r="A237" s="31" t="inlineStr">
        <is>
          <t>UJJIVANSFB</t>
        </is>
      </c>
      <c r="B237" s="31" t="inlineStr">
        <is>
          <t>Ujjivan Small Finance Bank Ltd</t>
        </is>
      </c>
      <c r="C237" s="31" t="inlineStr">
        <is>
          <t>bank</t>
        </is>
      </c>
      <c r="D237" s="31" t="inlineStr">
        <is>
          <t>banks - private sector</t>
        </is>
      </c>
      <c r="E237" s="31" t="inlineStr">
        <is>
          <t>midcap</t>
        </is>
      </c>
      <c r="F237" s="31" t="n">
        <v>12671.4</v>
      </c>
      <c r="G237" s="31" t="n">
        <v>65.51000000000001</v>
      </c>
      <c r="H237" s="31" t="n">
        <v>0.57</v>
      </c>
      <c r="I237" s="31" t="n">
        <v>14595855</v>
      </c>
      <c r="J237" s="31" t="inlineStr">
        <is>
          <t>542904</t>
        </is>
      </c>
    </row>
    <row r="238">
      <c r="A238" s="31" t="inlineStr">
        <is>
          <t>VIYASH</t>
        </is>
      </c>
      <c r="B238" s="31" t="inlineStr">
        <is>
          <t>Viyash Scientific Ltd</t>
        </is>
      </c>
      <c r="C238" s="31" t="inlineStr">
        <is>
          <t>healthcare</t>
        </is>
      </c>
      <c r="D238" s="31" t="inlineStr">
        <is>
          <t>pharmaceuticals - indian - bulk drugs &amp; formln</t>
        </is>
      </c>
      <c r="E238" s="31" t="inlineStr">
        <is>
          <t>midcap</t>
        </is>
      </c>
      <c r="F238" s="31" t="n">
        <v>12183.77</v>
      </c>
      <c r="G238" s="31" t="n">
        <v>280.45</v>
      </c>
      <c r="H238" s="31" t="n">
        <v>0.5600000000000001</v>
      </c>
      <c r="I238" s="31" t="n">
        <v>927429</v>
      </c>
      <c r="J238" s="31" t="inlineStr">
        <is>
          <t>512529</t>
        </is>
      </c>
    </row>
    <row r="239">
      <c r="A239" s="31" t="inlineStr">
        <is>
          <t>VIJAYA</t>
        </is>
      </c>
      <c r="B239" s="31" t="inlineStr">
        <is>
          <t>Vijaya Diagnostic Centre Ltd</t>
        </is>
      </c>
      <c r="C239" s="31" t="inlineStr">
        <is>
          <t>healthcare</t>
        </is>
      </c>
      <c r="D239" s="31" t="inlineStr">
        <is>
          <t>healthcare</t>
        </is>
      </c>
      <c r="E239" s="31" t="inlineStr">
        <is>
          <t>midcap</t>
        </is>
      </c>
      <c r="F239" s="31" t="n">
        <v>14226.5</v>
      </c>
      <c r="G239" s="31" t="n">
        <v>1390</v>
      </c>
      <c r="H239" s="31" t="n">
        <v>0.54</v>
      </c>
      <c r="I239" s="31" t="n">
        <v>115636</v>
      </c>
      <c r="J239" s="31" t="inlineStr">
        <is>
          <t>543350</t>
        </is>
      </c>
    </row>
    <row r="240">
      <c r="A240" s="31" t="inlineStr">
        <is>
          <t>GEOJITFSL</t>
        </is>
      </c>
      <c r="B240" s="31" t="inlineStr">
        <is>
          <t>Geojit Financial Services Ltd</t>
        </is>
      </c>
      <c r="C240" s="31" t="inlineStr">
        <is>
          <t>financials</t>
        </is>
      </c>
      <c r="D240" s="31" t="inlineStr">
        <is>
          <t>finance &amp; investments</t>
        </is>
      </c>
      <c r="E240" s="31" t="inlineStr">
        <is>
          <t>smallcap</t>
        </is>
      </c>
      <c r="F240" s="31" t="n">
        <v>2253.35</v>
      </c>
      <c r="G240" s="31" t="n">
        <v>81.15000000000001</v>
      </c>
      <c r="H240" s="31" t="n">
        <v>0.52</v>
      </c>
      <c r="I240" s="31" t="n">
        <v>425793</v>
      </c>
      <c r="J240" s="31" t="inlineStr">
        <is>
          <t>532285</t>
        </is>
      </c>
    </row>
    <row r="241">
      <c r="A241" s="31" t="inlineStr">
        <is>
          <t>SANSERA</t>
        </is>
      </c>
      <c r="B241" s="31" t="inlineStr">
        <is>
          <t>Sansera Engineering Ltd</t>
        </is>
      </c>
      <c r="C241" s="31" t="inlineStr">
        <is>
          <t>auto</t>
        </is>
      </c>
      <c r="D241" s="31" t="inlineStr">
        <is>
          <t>auto ancillaries</t>
        </is>
      </c>
      <c r="E241" s="31" t="inlineStr">
        <is>
          <t>largecap</t>
        </is>
      </c>
      <c r="F241" s="31" t="n">
        <v>20210.02</v>
      </c>
      <c r="G241" s="31" t="n">
        <v>3254.8</v>
      </c>
      <c r="H241" s="31" t="n">
        <v>0.5</v>
      </c>
      <c r="I241" s="31" t="n">
        <v>130799</v>
      </c>
      <c r="J241" s="31" t="inlineStr">
        <is>
          <t>543358</t>
        </is>
      </c>
    </row>
    <row r="242">
      <c r="A242" s="31" t="inlineStr">
        <is>
          <t>MANKIND</t>
        </is>
      </c>
      <c r="B242" s="31" t="inlineStr">
        <is>
          <t>Mankind Pharma Ltd</t>
        </is>
      </c>
      <c r="C242" s="31" t="inlineStr">
        <is>
          <t>healthcare</t>
        </is>
      </c>
      <c r="D242" s="31" t="inlineStr">
        <is>
          <t>pharmaceuticals - indian - bulk drugs &amp; formln</t>
        </is>
      </c>
      <c r="E242" s="31" t="inlineStr">
        <is>
          <t>largecap</t>
        </is>
      </c>
      <c r="F242" s="31" t="n">
        <v>104490.98</v>
      </c>
      <c r="G242" s="31" t="n">
        <v>2543.1</v>
      </c>
      <c r="H242" s="31" t="n">
        <v>0.47</v>
      </c>
      <c r="I242" s="31" t="n">
        <v>1273198</v>
      </c>
      <c r="J242" s="31" t="inlineStr">
        <is>
          <t>543904</t>
        </is>
      </c>
    </row>
    <row r="243">
      <c r="A243" s="31" t="inlineStr">
        <is>
          <t>CAPITALSFB</t>
        </is>
      </c>
      <c r="B243" s="31" t="inlineStr">
        <is>
          <t>Capital Small Finance Bank Ltd</t>
        </is>
      </c>
      <c r="C243" s="31" t="inlineStr">
        <is>
          <t>bank</t>
        </is>
      </c>
      <c r="D243" s="31" t="inlineStr">
        <is>
          <t>banks - private sector</t>
        </is>
      </c>
      <c r="E243" s="31" t="inlineStr">
        <is>
          <t>smallcap</t>
        </is>
      </c>
      <c r="F243" s="31" t="n">
        <v>1348.5</v>
      </c>
      <c r="G243" s="31" t="n">
        <v>298</v>
      </c>
      <c r="H243" s="31" t="n">
        <v>0.47</v>
      </c>
      <c r="I243" s="31" t="n">
        <v>35843</v>
      </c>
      <c r="J243" s="31" t="n"/>
    </row>
    <row r="244">
      <c r="A244" s="31" t="inlineStr">
        <is>
          <t>AEGISVOPAK</t>
        </is>
      </c>
      <c r="B244" s="31" t="inlineStr">
        <is>
          <t>Aegis Vopak Terminals Ltd</t>
        </is>
      </c>
      <c r="C244" s="31" t="inlineStr">
        <is>
          <t>transportation</t>
        </is>
      </c>
      <c r="D244" s="31" t="inlineStr">
        <is>
          <t>miscellaneous</t>
        </is>
      </c>
      <c r="E244" s="31" t="inlineStr">
        <is>
          <t>largecap</t>
        </is>
      </c>
      <c r="F244" s="31" t="n">
        <v>31094.67</v>
      </c>
      <c r="G244" s="31" t="n">
        <v>281.95</v>
      </c>
      <c r="H244" s="31" t="n">
        <v>0.47</v>
      </c>
      <c r="I244" s="31" t="n">
        <v>1967832</v>
      </c>
      <c r="J244" s="31" t="inlineStr">
        <is>
          <t>544407</t>
        </is>
      </c>
    </row>
    <row r="245">
      <c r="A245" s="31" t="inlineStr">
        <is>
          <t>SUNPHARMA</t>
        </is>
      </c>
      <c r="B245" s="31" t="inlineStr">
        <is>
          <t>Sun Pharmaceuticals Industries Limited</t>
        </is>
      </c>
      <c r="C245" s="31" t="inlineStr">
        <is>
          <t>healthcare</t>
        </is>
      </c>
      <c r="D245" s="31" t="inlineStr">
        <is>
          <t>pharmaceuticals - indian - bulk drugs &amp; formln</t>
        </is>
      </c>
      <c r="E245" s="31" t="inlineStr">
        <is>
          <t>largecap</t>
        </is>
      </c>
      <c r="F245" s="31" t="n">
        <v>466094.81</v>
      </c>
      <c r="G245" s="31" t="n">
        <v>1951.5</v>
      </c>
      <c r="H245" s="31" t="n">
        <v>0.46</v>
      </c>
      <c r="I245" s="31" t="n">
        <v>2283524</v>
      </c>
      <c r="J245" s="31" t="inlineStr">
        <is>
          <t>524715</t>
        </is>
      </c>
    </row>
    <row r="246">
      <c r="A246" s="31" t="inlineStr">
        <is>
          <t>VSSL</t>
        </is>
      </c>
      <c r="B246" s="31" t="inlineStr">
        <is>
          <t>Vardhman Special Steels Limited</t>
        </is>
      </c>
      <c r="C246" s="31" t="inlineStr">
        <is>
          <t>metals &amp; mining</t>
        </is>
      </c>
      <c r="D246" s="31" t="inlineStr">
        <is>
          <t>steel - medium / small</t>
        </is>
      </c>
      <c r="E246" s="31" t="inlineStr">
        <is>
          <t>smallcap</t>
        </is>
      </c>
      <c r="F246" s="31" t="n">
        <v>2858.03</v>
      </c>
      <c r="G246" s="31" t="n">
        <v>296.9</v>
      </c>
      <c r="H246" s="31" t="n">
        <v>0.44</v>
      </c>
      <c r="I246" s="31" t="n">
        <v>48029</v>
      </c>
      <c r="J246" s="31" t="inlineStr">
        <is>
          <t>534392</t>
        </is>
      </c>
    </row>
    <row r="247">
      <c r="A247" s="31" t="inlineStr">
        <is>
          <t>BLUESTARCO</t>
        </is>
      </c>
      <c r="B247" s="31" t="inlineStr">
        <is>
          <t>Blue Star Limited</t>
        </is>
      </c>
      <c r="C247" s="31" t="inlineStr">
        <is>
          <t>consumer discretionary</t>
        </is>
      </c>
      <c r="D247" s="31" t="inlineStr">
        <is>
          <t>air-conditioners</t>
        </is>
      </c>
      <c r="E247" s="31" t="inlineStr">
        <is>
          <t>largecap</t>
        </is>
      </c>
      <c r="F247" s="31" t="n">
        <v>35904.45</v>
      </c>
      <c r="G247" s="31" t="n">
        <v>1753.9</v>
      </c>
      <c r="H247" s="31" t="n">
        <v>0.44</v>
      </c>
      <c r="I247" s="31" t="n">
        <v>247095</v>
      </c>
      <c r="J247" s="31" t="inlineStr">
        <is>
          <t>500067</t>
        </is>
      </c>
    </row>
    <row r="248">
      <c r="A248" s="31" t="inlineStr">
        <is>
          <t>NAVINFLUOR</t>
        </is>
      </c>
      <c r="B248" s="31" t="inlineStr">
        <is>
          <t>Navin Fluorine International Limited</t>
        </is>
      </c>
      <c r="C248" s="31" t="inlineStr">
        <is>
          <t>chemicals</t>
        </is>
      </c>
      <c r="D248" s="31" t="inlineStr">
        <is>
          <t>chemicals</t>
        </is>
      </c>
      <c r="E248" s="31" t="inlineStr">
        <is>
          <t>largecap</t>
        </is>
      </c>
      <c r="F248" s="31" t="n">
        <v>38877.17</v>
      </c>
      <c r="G248" s="31" t="n">
        <v>7618</v>
      </c>
      <c r="H248" s="31" t="n">
        <v>0.42</v>
      </c>
      <c r="I248" s="31" t="n">
        <v>87658</v>
      </c>
      <c r="J248" s="31" t="inlineStr">
        <is>
          <t>532504</t>
        </is>
      </c>
    </row>
    <row r="249">
      <c r="A249" s="31" t="inlineStr">
        <is>
          <t>GRANULES</t>
        </is>
      </c>
      <c r="B249" s="31" t="inlineStr">
        <is>
          <t>Granules India Limited</t>
        </is>
      </c>
      <c r="C249" s="31" t="inlineStr">
        <is>
          <t>healthcare</t>
        </is>
      </c>
      <c r="D249" s="31" t="inlineStr">
        <is>
          <t>pharmaceuticals - indian - bulk drugs &amp; formln</t>
        </is>
      </c>
      <c r="E249" s="31" t="inlineStr">
        <is>
          <t>largecap</t>
        </is>
      </c>
      <c r="F249" s="31" t="n">
        <v>22180.3</v>
      </c>
      <c r="G249" s="31" t="n">
        <v>898.6</v>
      </c>
      <c r="H249" s="31" t="n">
        <v>0.39</v>
      </c>
      <c r="I249" s="31" t="n">
        <v>710981</v>
      </c>
      <c r="J249" s="31" t="inlineStr">
        <is>
          <t>532482</t>
        </is>
      </c>
    </row>
    <row r="250">
      <c r="A250" s="31" t="inlineStr">
        <is>
          <t>IIFL</t>
        </is>
      </c>
      <c r="B250" s="31" t="inlineStr">
        <is>
          <t>IIFL Finance Ltd</t>
        </is>
      </c>
      <c r="C250" s="31" t="inlineStr">
        <is>
          <t>financials</t>
        </is>
      </c>
      <c r="D250" s="31" t="inlineStr">
        <is>
          <t>finance &amp; investments</t>
        </is>
      </c>
      <c r="E250" s="31" t="inlineStr">
        <is>
          <t>largecap</t>
        </is>
      </c>
      <c r="F250" s="31" t="n">
        <v>23029.43</v>
      </c>
      <c r="G250" s="31" t="n">
        <v>543.6</v>
      </c>
      <c r="H250" s="31" t="n">
        <v>0.39</v>
      </c>
      <c r="I250" s="31" t="n">
        <v>1333344</v>
      </c>
      <c r="J250" s="31" t="inlineStr">
        <is>
          <t>532636</t>
        </is>
      </c>
    </row>
    <row r="251">
      <c r="A251" s="31" t="inlineStr">
        <is>
          <t>APOLLOHOSP</t>
        </is>
      </c>
      <c r="B251" s="31" t="inlineStr">
        <is>
          <t>Apollo Hospitals Enterprise Limited</t>
        </is>
      </c>
      <c r="C251" s="31" t="inlineStr">
        <is>
          <t>healthcare</t>
        </is>
      </c>
      <c r="D251" s="31" t="inlineStr">
        <is>
          <t>healthcare</t>
        </is>
      </c>
      <c r="E251" s="31" t="inlineStr">
        <is>
          <t>largecap</t>
        </is>
      </c>
      <c r="F251" s="31" t="n">
        <v>127975.53</v>
      </c>
      <c r="G251" s="31" t="n">
        <v>8934</v>
      </c>
      <c r="H251" s="31" t="n">
        <v>0.38</v>
      </c>
      <c r="I251" s="31" t="n">
        <v>501848</v>
      </c>
      <c r="J251" s="31" t="inlineStr">
        <is>
          <t>508869</t>
        </is>
      </c>
    </row>
    <row r="252">
      <c r="A252" s="31" t="inlineStr">
        <is>
          <t>RAMCOIND</t>
        </is>
      </c>
      <c r="B252" s="31" t="inlineStr">
        <is>
          <t>Ramco Industries Limited</t>
        </is>
      </c>
      <c r="C252" s="31" t="inlineStr">
        <is>
          <t>building materials</t>
        </is>
      </c>
      <c r="D252" s="31" t="inlineStr">
        <is>
          <t>cement products</t>
        </is>
      </c>
      <c r="E252" s="31" t="inlineStr">
        <is>
          <t>smallcap</t>
        </is>
      </c>
      <c r="F252" s="31" t="n">
        <v>3173.62</v>
      </c>
      <c r="G252" s="31" t="n">
        <v>366.85</v>
      </c>
      <c r="H252" s="31" t="n">
        <v>0.38</v>
      </c>
      <c r="I252" s="31" t="n">
        <v>173909</v>
      </c>
      <c r="J252" s="31" t="inlineStr">
        <is>
          <t>532369</t>
        </is>
      </c>
    </row>
    <row r="253">
      <c r="A253" s="31" t="inlineStr">
        <is>
          <t>SWANDEF</t>
        </is>
      </c>
      <c r="B253" s="31" t="inlineStr">
        <is>
          <t>Swan Defence and Heavy Industries Ltd</t>
        </is>
      </c>
      <c r="C253" s="31" t="inlineStr">
        <is>
          <t>transportation</t>
        </is>
      </c>
      <c r="D253" s="31" t="inlineStr">
        <is>
          <t>miscellaneous</t>
        </is>
      </c>
      <c r="E253" s="31" t="inlineStr">
        <is>
          <t>midcap</t>
        </is>
      </c>
      <c r="F253" s="31" t="n">
        <v>11630.11</v>
      </c>
      <c r="G253" s="31" t="n">
        <v>2215.5</v>
      </c>
      <c r="H253" s="31" t="n">
        <v>0.36</v>
      </c>
      <c r="I253" s="31" t="n">
        <v>5081</v>
      </c>
      <c r="J253" s="31" t="inlineStr">
        <is>
          <t>533107</t>
        </is>
      </c>
    </row>
    <row r="254">
      <c r="A254" s="31" t="inlineStr">
        <is>
          <t>PNGJL</t>
        </is>
      </c>
      <c r="B254" s="31" t="inlineStr">
        <is>
          <t>P N Gadgil Jewellers Ltd</t>
        </is>
      </c>
      <c r="C254" s="31" t="inlineStr">
        <is>
          <t>consumer discretionary</t>
        </is>
      </c>
      <c r="D254" s="31" t="inlineStr">
        <is>
          <t>diamond cutting / jewellery</t>
        </is>
      </c>
      <c r="E254" s="31" t="inlineStr">
        <is>
          <t>midcap</t>
        </is>
      </c>
      <c r="F254" s="31" t="n">
        <v>8051.58</v>
      </c>
      <c r="G254" s="31" t="n">
        <v>595.45</v>
      </c>
      <c r="H254" s="31" t="n">
        <v>0.36</v>
      </c>
      <c r="I254" s="31" t="n">
        <v>269264</v>
      </c>
      <c r="J254" s="31" t="n"/>
    </row>
    <row r="255">
      <c r="A255" s="31" t="inlineStr">
        <is>
          <t>CGCL</t>
        </is>
      </c>
      <c r="B255" s="31" t="inlineStr">
        <is>
          <t>Capri Global Capital Limited</t>
        </is>
      </c>
      <c r="C255" s="31" t="inlineStr">
        <is>
          <t>financials</t>
        </is>
      </c>
      <c r="D255" s="31" t="inlineStr">
        <is>
          <t>finance &amp; investments</t>
        </is>
      </c>
      <c r="E255" s="31" t="inlineStr">
        <is>
          <t>largecap</t>
        </is>
      </c>
      <c r="F255" s="31" t="n">
        <v>24758.15</v>
      </c>
      <c r="G255" s="31" t="n">
        <v>258.21</v>
      </c>
      <c r="H255" s="31" t="n">
        <v>0.35</v>
      </c>
      <c r="I255" s="31" t="n">
        <v>1962357</v>
      </c>
      <c r="J255" s="31" t="inlineStr">
        <is>
          <t>531595</t>
        </is>
      </c>
    </row>
    <row r="256">
      <c r="A256" s="31" t="inlineStr">
        <is>
          <t>UNIMECH</t>
        </is>
      </c>
      <c r="B256" s="31" t="inlineStr">
        <is>
          <t>Unimech Aerospace and Manufacturing Ltd</t>
        </is>
      </c>
      <c r="C256" s="31" t="inlineStr">
        <is>
          <t>aerospace &amp; defence</t>
        </is>
      </c>
      <c r="D256" s="31" t="inlineStr">
        <is>
          <t>engineering</t>
        </is>
      </c>
      <c r="E256" s="31" t="inlineStr">
        <is>
          <t>midcap</t>
        </is>
      </c>
      <c r="F256" s="31" t="n">
        <v>6115.03</v>
      </c>
      <c r="G256" s="31" t="n">
        <v>1206.5</v>
      </c>
      <c r="H256" s="31" t="n">
        <v>0.34</v>
      </c>
      <c r="I256" s="31" t="n">
        <v>78420</v>
      </c>
      <c r="J256" s="31" t="inlineStr">
        <is>
          <t>544322</t>
        </is>
      </c>
    </row>
    <row r="257">
      <c r="A257" s="31" t="inlineStr">
        <is>
          <t>KAPSTON</t>
        </is>
      </c>
      <c r="B257" s="31" t="inlineStr">
        <is>
          <t>Kapston Services Ltd</t>
        </is>
      </c>
      <c r="C257" s="31" t="inlineStr">
        <is>
          <t>miscellaneous</t>
        </is>
      </c>
      <c r="D257" s="31" t="inlineStr">
        <is>
          <t>miscellaneous</t>
        </is>
      </c>
      <c r="E257" s="31" t="inlineStr">
        <is>
          <t>smallcap</t>
        </is>
      </c>
      <c r="F257" s="31" t="n">
        <v>1260.35</v>
      </c>
      <c r="G257" s="31" t="n">
        <v>415.55</v>
      </c>
      <c r="H257" s="31" t="n">
        <v>0.34</v>
      </c>
      <c r="I257" s="31" t="n">
        <v>18728</v>
      </c>
      <c r="J257" s="31" t="inlineStr">
        <is>
          <t>535064</t>
        </is>
      </c>
    </row>
    <row r="258">
      <c r="A258" s="31" t="inlineStr">
        <is>
          <t>POLYPLEX</t>
        </is>
      </c>
      <c r="B258" s="31" t="inlineStr">
        <is>
          <t>Polyplex Corporation Limited</t>
        </is>
      </c>
      <c r="C258" s="31" t="inlineStr">
        <is>
          <t>industrials</t>
        </is>
      </c>
      <c r="D258" s="31" t="inlineStr">
        <is>
          <t>packaging</t>
        </is>
      </c>
      <c r="E258" s="31" t="inlineStr">
        <is>
          <t>smallcap</t>
        </is>
      </c>
      <c r="F258" s="31" t="n">
        <v>3336.08</v>
      </c>
      <c r="G258" s="31" t="n">
        <v>1066.05</v>
      </c>
      <c r="H258" s="31" t="n">
        <v>0.32</v>
      </c>
      <c r="I258" s="31" t="n">
        <v>55073</v>
      </c>
      <c r="J258" s="31" t="inlineStr">
        <is>
          <t>524051</t>
        </is>
      </c>
    </row>
    <row r="259">
      <c r="A259" s="31" t="inlineStr">
        <is>
          <t>TATATECH</t>
        </is>
      </c>
      <c r="B259" s="31" t="inlineStr">
        <is>
          <t>Tata Technologies Ltd</t>
        </is>
      </c>
      <c r="C259" s="31" t="inlineStr">
        <is>
          <t>i.t</t>
        </is>
      </c>
      <c r="D259" s="31" t="inlineStr">
        <is>
          <t>computers - software - medium / small</t>
        </is>
      </c>
      <c r="E259" s="31" t="inlineStr">
        <is>
          <t>largecap</t>
        </is>
      </c>
      <c r="F259" s="31" t="n">
        <v>30714.37</v>
      </c>
      <c r="G259" s="31" t="n">
        <v>758.95</v>
      </c>
      <c r="H259" s="31" t="n">
        <v>0.32</v>
      </c>
      <c r="I259" s="31" t="n">
        <v>814299</v>
      </c>
      <c r="J259" s="31" t="inlineStr">
        <is>
          <t>544028</t>
        </is>
      </c>
    </row>
    <row r="260">
      <c r="A260" s="31" t="inlineStr">
        <is>
          <t>CEMPRO</t>
        </is>
      </c>
      <c r="B260" s="31" t="inlineStr">
        <is>
          <t>Cemindia Projects Ltd</t>
        </is>
      </c>
      <c r="C260" s="31" t="inlineStr">
        <is>
          <t>realty</t>
        </is>
      </c>
      <c r="D260" s="31" t="inlineStr">
        <is>
          <t>construction</t>
        </is>
      </c>
      <c r="E260" s="31" t="inlineStr">
        <is>
          <t>largecap</t>
        </is>
      </c>
      <c r="F260" s="31" t="n">
        <v>27427.61</v>
      </c>
      <c r="G260" s="31" t="n">
        <v>1601.4</v>
      </c>
      <c r="H260" s="31" t="n">
        <v>0.3</v>
      </c>
      <c r="I260" s="31" t="n">
        <v>674649</v>
      </c>
      <c r="J260" s="31" t="inlineStr">
        <is>
          <t>509496</t>
        </is>
      </c>
    </row>
    <row r="261">
      <c r="A261" s="31" t="inlineStr">
        <is>
          <t>BHARTIHEXA</t>
        </is>
      </c>
      <c r="B261" s="31" t="inlineStr">
        <is>
          <t>Bharti Hexacom Ltd</t>
        </is>
      </c>
      <c r="C261" s="31" t="inlineStr">
        <is>
          <t>telecom-service</t>
        </is>
      </c>
      <c r="D261" s="31" t="inlineStr">
        <is>
          <t>telecommunications - service provider</t>
        </is>
      </c>
      <c r="E261" s="31" t="inlineStr">
        <is>
          <t>largecap</t>
        </is>
      </c>
      <c r="F261" s="31" t="n">
        <v>81090</v>
      </c>
      <c r="G261" s="31" t="n">
        <v>1626.7</v>
      </c>
      <c r="H261" s="31" t="n">
        <v>0.3</v>
      </c>
      <c r="I261" s="31" t="n">
        <v>219805</v>
      </c>
      <c r="J261" s="31" t="inlineStr">
        <is>
          <t>544162</t>
        </is>
      </c>
    </row>
    <row r="262">
      <c r="A262" s="31" t="inlineStr">
        <is>
          <t>NAM-INDIA</t>
        </is>
      </c>
      <c r="B262" s="31" t="inlineStr">
        <is>
          <t>Nippon Life India Asset Management Ltd</t>
        </is>
      </c>
      <c r="C262" s="31" t="inlineStr">
        <is>
          <t>financials</t>
        </is>
      </c>
      <c r="D262" s="31" t="inlineStr">
        <is>
          <t>finance &amp; investments</t>
        </is>
      </c>
      <c r="E262" s="31" t="inlineStr">
        <is>
          <t>largecap</t>
        </is>
      </c>
      <c r="F262" s="31" t="n">
        <v>76108.09</v>
      </c>
      <c r="G262" s="31" t="n">
        <v>1196.3</v>
      </c>
      <c r="H262" s="31" t="n">
        <v>0.3</v>
      </c>
      <c r="I262" s="31" t="n">
        <v>691097</v>
      </c>
      <c r="J262" s="31" t="inlineStr">
        <is>
          <t>540767</t>
        </is>
      </c>
    </row>
    <row r="263">
      <c r="A263" s="31" t="inlineStr">
        <is>
          <t>KTKBANK</t>
        </is>
      </c>
      <c r="B263" s="31" t="inlineStr">
        <is>
          <t>The Karnataka Bank Limited</t>
        </is>
      </c>
      <c r="C263" s="31" t="inlineStr">
        <is>
          <t>bank</t>
        </is>
      </c>
      <c r="D263" s="31" t="inlineStr">
        <is>
          <t>banks - private sector</t>
        </is>
      </c>
      <c r="E263" s="31" t="inlineStr">
        <is>
          <t>midcap</t>
        </is>
      </c>
      <c r="F263" s="31" t="n">
        <v>10366.72</v>
      </c>
      <c r="G263" s="31" t="n">
        <v>274.95</v>
      </c>
      <c r="H263" s="31" t="n">
        <v>0.29</v>
      </c>
      <c r="I263" s="31" t="n">
        <v>1376627</v>
      </c>
      <c r="J263" s="31" t="inlineStr">
        <is>
          <t>532652</t>
        </is>
      </c>
    </row>
    <row r="264">
      <c r="A264" s="31" t="inlineStr">
        <is>
          <t>NRL</t>
        </is>
      </c>
      <c r="B264" s="31" t="inlineStr">
        <is>
          <t>Nupur Recyclers Ltd</t>
        </is>
      </c>
      <c r="C264" s="31" t="inlineStr">
        <is>
          <t>services</t>
        </is>
      </c>
      <c r="D264" s="31" t="inlineStr">
        <is>
          <t>trading</t>
        </is>
      </c>
      <c r="E264" s="31" t="inlineStr">
        <is>
          <t>smallcap</t>
        </is>
      </c>
      <c r="F264" s="31" t="n">
        <v>757.55</v>
      </c>
      <c r="G264" s="31" t="n">
        <v>110</v>
      </c>
      <c r="H264" s="31" t="n">
        <v>0.29</v>
      </c>
      <c r="I264" s="31" t="n">
        <v>151243</v>
      </c>
      <c r="J264" s="31" t="inlineStr">
        <is>
          <t>535413</t>
        </is>
      </c>
    </row>
    <row r="265">
      <c r="A265" s="31" t="inlineStr">
        <is>
          <t>PRICOLLTD</t>
        </is>
      </c>
      <c r="B265" s="31" t="inlineStr">
        <is>
          <t>Pricol Ltd.</t>
        </is>
      </c>
      <c r="C265" s="31" t="inlineStr">
        <is>
          <t>auto</t>
        </is>
      </c>
      <c r="D265" s="31" t="inlineStr">
        <is>
          <t>auto ancillaries</t>
        </is>
      </c>
      <c r="E265" s="31" t="inlineStr">
        <is>
          <t>midcap</t>
        </is>
      </c>
      <c r="F265" s="31" t="n">
        <v>7515.21</v>
      </c>
      <c r="G265" s="31" t="n">
        <v>618.35</v>
      </c>
      <c r="H265" s="31" t="n">
        <v>0.28</v>
      </c>
      <c r="I265" s="31" t="n">
        <v>287696</v>
      </c>
      <c r="J265" s="31" t="inlineStr">
        <is>
          <t>540293</t>
        </is>
      </c>
    </row>
    <row r="266">
      <c r="A266" s="31" t="inlineStr">
        <is>
          <t>BHARATSE</t>
        </is>
      </c>
      <c r="B266" s="31" t="inlineStr">
        <is>
          <t>Bharat Seats Ltd</t>
        </is>
      </c>
      <c r="C266" s="31" t="inlineStr">
        <is>
          <t>auto</t>
        </is>
      </c>
      <c r="D266" s="31" t="inlineStr">
        <is>
          <t>auto ancillaries</t>
        </is>
      </c>
      <c r="E266" s="31" t="inlineStr">
        <is>
          <t>smallcap</t>
        </is>
      </c>
      <c r="F266" s="31" t="n">
        <v>1526.48</v>
      </c>
      <c r="G266" s="31" t="n">
        <v>243.7</v>
      </c>
      <c r="H266" s="31" t="n">
        <v>0.26</v>
      </c>
      <c r="I266" s="31" t="n">
        <v>352273</v>
      </c>
      <c r="J266" s="31" t="inlineStr">
        <is>
          <t>523229</t>
        </is>
      </c>
    </row>
    <row r="267">
      <c r="A267" s="31" t="inlineStr">
        <is>
          <t>IDFCFIRSTB</t>
        </is>
      </c>
      <c r="B267" s="31" t="inlineStr">
        <is>
          <t>IDFC First Bank Ltd</t>
        </is>
      </c>
      <c r="C267" s="31" t="inlineStr">
        <is>
          <t>bank</t>
        </is>
      </c>
      <c r="D267" s="31" t="inlineStr">
        <is>
          <t>banks - private sector</t>
        </is>
      </c>
      <c r="E267" s="31" t="inlineStr">
        <is>
          <t>largecap</t>
        </is>
      </c>
      <c r="F267" s="31" t="n">
        <v>68185.67</v>
      </c>
      <c r="G267" s="31" t="n">
        <v>79.47</v>
      </c>
      <c r="H267" s="31" t="n">
        <v>0.25</v>
      </c>
      <c r="I267" s="31" t="n">
        <v>9685189</v>
      </c>
      <c r="J267" s="31" t="inlineStr">
        <is>
          <t>539437</t>
        </is>
      </c>
    </row>
    <row r="268">
      <c r="A268" s="31" t="inlineStr">
        <is>
          <t>SPANDANA</t>
        </is>
      </c>
      <c r="B268" s="31" t="inlineStr">
        <is>
          <t>Spandana Sphoorty Financial Ltd</t>
        </is>
      </c>
      <c r="C268" s="31" t="inlineStr">
        <is>
          <t>financials</t>
        </is>
      </c>
      <c r="D268" s="31" t="inlineStr">
        <is>
          <t>finance &amp; investments</t>
        </is>
      </c>
      <c r="E268" s="31" t="inlineStr">
        <is>
          <t>smallcap</t>
        </is>
      </c>
      <c r="F268" s="31" t="n">
        <v>2686.22</v>
      </c>
      <c r="G268" s="31" t="n">
        <v>303.8</v>
      </c>
      <c r="H268" s="31" t="n">
        <v>0.25</v>
      </c>
      <c r="I268" s="31" t="n">
        <v>248890</v>
      </c>
      <c r="J268" s="31" t="inlineStr">
        <is>
          <t>542759</t>
        </is>
      </c>
    </row>
    <row r="269">
      <c r="A269" s="31" t="inlineStr">
        <is>
          <t>ICEMAKE</t>
        </is>
      </c>
      <c r="B269" s="31" t="inlineStr">
        <is>
          <t>ICE Make Refrigeration Ltd</t>
        </is>
      </c>
      <c r="C269" s="31" t="inlineStr">
        <is>
          <t>industrials</t>
        </is>
      </c>
      <c r="D269" s="31" t="inlineStr">
        <is>
          <t>engineering</t>
        </is>
      </c>
      <c r="E269" s="31" t="inlineStr">
        <is>
          <t>smallcap</t>
        </is>
      </c>
      <c r="F269" s="31" t="n">
        <v>1240.68</v>
      </c>
      <c r="G269" s="31" t="n">
        <v>788.15</v>
      </c>
      <c r="H269" s="31" t="n">
        <v>0.24</v>
      </c>
      <c r="I269" s="31" t="n">
        <v>24631</v>
      </c>
      <c r="J269" s="31" t="inlineStr">
        <is>
          <t>535034</t>
        </is>
      </c>
    </row>
    <row r="270">
      <c r="A270" s="31" t="inlineStr">
        <is>
          <t>SUNDRMFAST</t>
        </is>
      </c>
      <c r="B270" s="31" t="inlineStr">
        <is>
          <t>Sundram Fasteners Limited</t>
        </is>
      </c>
      <c r="C270" s="31" t="inlineStr">
        <is>
          <t>auto</t>
        </is>
      </c>
      <c r="D270" s="31" t="inlineStr">
        <is>
          <t>auto ancillaries</t>
        </is>
      </c>
      <c r="E270" s="31" t="inlineStr">
        <is>
          <t>largecap</t>
        </is>
      </c>
      <c r="F270" s="31" t="n">
        <v>20167.07</v>
      </c>
      <c r="G270" s="31" t="n">
        <v>962</v>
      </c>
      <c r="H270" s="31" t="n">
        <v>0.23</v>
      </c>
      <c r="I270" s="31" t="n">
        <v>38659</v>
      </c>
      <c r="J270" s="31" t="inlineStr">
        <is>
          <t>500403</t>
        </is>
      </c>
    </row>
    <row r="271">
      <c r="A271" s="31" t="inlineStr">
        <is>
          <t>HNDFDS</t>
        </is>
      </c>
      <c r="B271" s="31" t="inlineStr">
        <is>
          <t>Hindustan Foods Ltd</t>
        </is>
      </c>
      <c r="C271" s="31" t="inlineStr">
        <is>
          <t>fmcg</t>
        </is>
      </c>
      <c r="D271" s="31" t="inlineStr">
        <is>
          <t>diversified - large</t>
        </is>
      </c>
      <c r="E271" s="31" t="inlineStr">
        <is>
          <t>midcap</t>
        </is>
      </c>
      <c r="F271" s="31" t="n">
        <v>6664.69</v>
      </c>
      <c r="G271" s="31" t="n">
        <v>559</v>
      </c>
      <c r="H271" s="31" t="n">
        <v>0.22</v>
      </c>
      <c r="I271" s="31" t="n">
        <v>65046</v>
      </c>
      <c r="J271" s="31" t="inlineStr">
        <is>
          <t>519126</t>
        </is>
      </c>
    </row>
    <row r="272">
      <c r="A272" s="31" t="inlineStr">
        <is>
          <t>KAJARIACER</t>
        </is>
      </c>
      <c r="B272" s="31" t="inlineStr">
        <is>
          <t>Kajaria Ceramics Limited</t>
        </is>
      </c>
      <c r="C272" s="31" t="inlineStr">
        <is>
          <t>building materials</t>
        </is>
      </c>
      <c r="D272" s="31" t="inlineStr">
        <is>
          <t>ceramics - tiles / sanitaryware</t>
        </is>
      </c>
      <c r="E272" s="31" t="inlineStr">
        <is>
          <t>midcap</t>
        </is>
      </c>
      <c r="F272" s="31" t="n">
        <v>19662.16</v>
      </c>
      <c r="G272" s="31" t="n">
        <v>1237</v>
      </c>
      <c r="H272" s="31" t="n">
        <v>0.2</v>
      </c>
      <c r="I272" s="31" t="n">
        <v>512686</v>
      </c>
      <c r="J272" s="31" t="inlineStr">
        <is>
          <t>500233</t>
        </is>
      </c>
    </row>
    <row r="273">
      <c r="A273" s="31" t="inlineStr">
        <is>
          <t>MAHLIFE</t>
        </is>
      </c>
      <c r="B273" s="31" t="inlineStr">
        <is>
          <t>Mahindra Lifespace Developers Limited</t>
        </is>
      </c>
      <c r="C273" s="31" t="inlineStr">
        <is>
          <t>realty</t>
        </is>
      </c>
      <c r="D273" s="31" t="inlineStr">
        <is>
          <t>construction</t>
        </is>
      </c>
      <c r="E273" s="31" t="inlineStr">
        <is>
          <t>midcap</t>
        </is>
      </c>
      <c r="F273" s="31" t="n">
        <v>7944.88</v>
      </c>
      <c r="G273" s="31" t="n">
        <v>373</v>
      </c>
      <c r="H273" s="31" t="n">
        <v>0.16</v>
      </c>
      <c r="I273" s="31" t="n">
        <v>73012</v>
      </c>
      <c r="J273" s="31" t="inlineStr">
        <is>
          <t>532313</t>
        </is>
      </c>
    </row>
    <row r="274">
      <c r="A274" s="31" t="inlineStr">
        <is>
          <t>TTKPRESTIG</t>
        </is>
      </c>
      <c r="B274" s="31" t="inlineStr">
        <is>
          <t>Ttk Prestige Limited</t>
        </is>
      </c>
      <c r="C274" s="31" t="inlineStr">
        <is>
          <t>consumer discretionary</t>
        </is>
      </c>
      <c r="D274" s="31" t="inlineStr">
        <is>
          <t>domestic appliances</t>
        </is>
      </c>
      <c r="E274" s="31" t="inlineStr">
        <is>
          <t>midcap</t>
        </is>
      </c>
      <c r="F274" s="31" t="n">
        <v>9103.129999999999</v>
      </c>
      <c r="G274" s="31" t="n">
        <v>665.75</v>
      </c>
      <c r="H274" s="31" t="n">
        <v>0.16</v>
      </c>
      <c r="I274" s="31" t="n">
        <v>63083</v>
      </c>
      <c r="J274" s="31" t="inlineStr">
        <is>
          <t>517506</t>
        </is>
      </c>
    </row>
    <row r="275">
      <c r="A275" s="31" t="inlineStr">
        <is>
          <t>INDIASHLTR</t>
        </is>
      </c>
      <c r="B275" s="31" t="inlineStr">
        <is>
          <t>India Shelter Finance Corporation Ltd</t>
        </is>
      </c>
      <c r="C275" s="31" t="inlineStr">
        <is>
          <t>financials</t>
        </is>
      </c>
      <c r="D275" s="31" t="inlineStr">
        <is>
          <t>finance - housing</t>
        </is>
      </c>
      <c r="E275" s="31" t="inlineStr">
        <is>
          <t>midcap</t>
        </is>
      </c>
      <c r="F275" s="31" t="n">
        <v>8874.15</v>
      </c>
      <c r="G275" s="31" t="n">
        <v>817.1</v>
      </c>
      <c r="H275" s="31" t="n">
        <v>0.14</v>
      </c>
      <c r="I275" s="31" t="n">
        <v>87261</v>
      </c>
      <c r="J275" s="31" t="inlineStr">
        <is>
          <t>544044</t>
        </is>
      </c>
    </row>
    <row r="276">
      <c r="A276" s="31" t="inlineStr">
        <is>
          <t>KRYSTAL</t>
        </is>
      </c>
      <c r="B276" s="31" t="inlineStr">
        <is>
          <t>Krystal Integrated Services Ltd</t>
        </is>
      </c>
      <c r="C276" s="31" t="inlineStr">
        <is>
          <t>miscellaneous</t>
        </is>
      </c>
      <c r="D276" s="31" t="inlineStr">
        <is>
          <t>miscellaneous</t>
        </is>
      </c>
      <c r="E276" s="31" t="inlineStr">
        <is>
          <t>smallcap</t>
        </is>
      </c>
      <c r="F276" s="31" t="n">
        <v>838.6</v>
      </c>
      <c r="G276" s="31" t="n">
        <v>601</v>
      </c>
      <c r="H276" s="31" t="n">
        <v>0.13</v>
      </c>
      <c r="I276" s="31" t="n">
        <v>4994</v>
      </c>
      <c r="J276" s="31" t="inlineStr">
        <is>
          <t>544149</t>
        </is>
      </c>
    </row>
    <row r="277">
      <c r="A277" s="31" t="inlineStr">
        <is>
          <t>RPEL</t>
        </is>
      </c>
      <c r="B277" s="31" t="inlineStr">
        <is>
          <t>Raghav Productivity Enhancers Ltd</t>
        </is>
      </c>
      <c r="C277" s="31" t="inlineStr">
        <is>
          <t>building materials</t>
        </is>
      </c>
      <c r="D277" s="31" t="inlineStr">
        <is>
          <t>refractories / intermediates</t>
        </is>
      </c>
      <c r="E277" s="31" t="inlineStr">
        <is>
          <t>midcap</t>
        </is>
      </c>
      <c r="F277" s="31" t="n">
        <v>5801.32</v>
      </c>
      <c r="G277" s="31" t="n">
        <v>1265</v>
      </c>
      <c r="H277" s="31" t="n">
        <v>0.13</v>
      </c>
      <c r="I277" s="31" t="n">
        <v>40472</v>
      </c>
      <c r="J277" s="31" t="inlineStr">
        <is>
          <t>539837</t>
        </is>
      </c>
    </row>
    <row r="278">
      <c r="A278" s="31" t="inlineStr">
        <is>
          <t>TITAN</t>
        </is>
      </c>
      <c r="B278" s="31" t="inlineStr">
        <is>
          <t>Titan Company Limited</t>
        </is>
      </c>
      <c r="C278" s="31" t="inlineStr">
        <is>
          <t>consumer discretionary</t>
        </is>
      </c>
      <c r="D278" s="31" t="inlineStr">
        <is>
          <t>diamond cutting / jewellery</t>
        </is>
      </c>
      <c r="E278" s="31" t="inlineStr">
        <is>
          <t>largecap</t>
        </is>
      </c>
      <c r="F278" s="31" t="n">
        <v>406046.76</v>
      </c>
      <c r="G278" s="31" t="n">
        <v>4579.4</v>
      </c>
      <c r="H278" s="31" t="n">
        <v>0.12</v>
      </c>
      <c r="I278" s="31" t="n">
        <v>619452</v>
      </c>
      <c r="J278" s="31" t="inlineStr">
        <is>
          <t>500114</t>
        </is>
      </c>
    </row>
    <row r="279">
      <c r="A279" s="31" t="inlineStr">
        <is>
          <t>TVSMOTOR</t>
        </is>
      </c>
      <c r="B279" s="31" t="inlineStr">
        <is>
          <t>Tvs Motor Company Limited</t>
        </is>
      </c>
      <c r="C279" s="31" t="inlineStr">
        <is>
          <t>auto</t>
        </is>
      </c>
      <c r="D279" s="31" t="inlineStr">
        <is>
          <t>automobiles - motorcycles / mopeds</t>
        </is>
      </c>
      <c r="E279" s="31" t="inlineStr">
        <is>
          <t>largecap</t>
        </is>
      </c>
      <c r="F279" s="31" t="n">
        <v>171430.43</v>
      </c>
      <c r="G279" s="31" t="n">
        <v>3612.3</v>
      </c>
      <c r="H279" s="31" t="n">
        <v>0.11</v>
      </c>
      <c r="I279" s="31" t="n">
        <v>709493</v>
      </c>
      <c r="J279" s="31" t="inlineStr">
        <is>
          <t>532343</t>
        </is>
      </c>
    </row>
    <row r="280">
      <c r="A280" s="31" t="inlineStr">
        <is>
          <t>KERNEX</t>
        </is>
      </c>
      <c r="B280" s="31" t="inlineStr">
        <is>
          <t>Kernex Microsystems (india) Limited</t>
        </is>
      </c>
      <c r="C280" s="31" t="inlineStr">
        <is>
          <t>consumer discretionary</t>
        </is>
      </c>
      <c r="D280" s="31" t="inlineStr">
        <is>
          <t>electronics - components</t>
        </is>
      </c>
      <c r="E280" s="31" t="inlineStr">
        <is>
          <t>smallcap</t>
        </is>
      </c>
      <c r="F280" s="31" t="n">
        <v>3684.6</v>
      </c>
      <c r="G280" s="31" t="n">
        <v>2195.1</v>
      </c>
      <c r="H280" s="31" t="n">
        <v>0.1</v>
      </c>
      <c r="I280" s="31" t="n">
        <v>79203</v>
      </c>
      <c r="J280" s="31" t="inlineStr">
        <is>
          <t>532686</t>
        </is>
      </c>
    </row>
    <row r="281">
      <c r="A281" s="31" t="inlineStr">
        <is>
          <t>ARVIND</t>
        </is>
      </c>
      <c r="B281" s="31" t="inlineStr">
        <is>
          <t>Arvind Limited</t>
        </is>
      </c>
      <c r="C281" s="31" t="inlineStr">
        <is>
          <t>textiles</t>
        </is>
      </c>
      <c r="D281" s="31" t="inlineStr">
        <is>
          <t>textiles - cotton/blended</t>
        </is>
      </c>
      <c r="E281" s="31" t="inlineStr">
        <is>
          <t>midcap</t>
        </is>
      </c>
      <c r="F281" s="31" t="n">
        <v>14165.99</v>
      </c>
      <c r="G281" s="31" t="n">
        <v>541</v>
      </c>
      <c r="H281" s="31" t="n">
        <v>0.1</v>
      </c>
      <c r="I281" s="31" t="n">
        <v>350328</v>
      </c>
      <c r="J281" s="31" t="inlineStr">
        <is>
          <t>500101</t>
        </is>
      </c>
    </row>
    <row r="282">
      <c r="A282" s="31" t="inlineStr">
        <is>
          <t>BEPL</t>
        </is>
      </c>
      <c r="B282" s="31" t="inlineStr">
        <is>
          <t>Bhansali Engineering Polymers Limited</t>
        </is>
      </c>
      <c r="C282" s="31" t="inlineStr">
        <is>
          <t>energy</t>
        </is>
      </c>
      <c r="D282" s="31" t="inlineStr">
        <is>
          <t>petrochemicals</t>
        </is>
      </c>
      <c r="E282" s="31" t="inlineStr">
        <is>
          <t>smallcap</t>
        </is>
      </c>
      <c r="F282" s="31" t="n">
        <v>2657.81</v>
      </c>
      <c r="G282" s="31" t="n">
        <v>106.88</v>
      </c>
      <c r="H282" s="31" t="n">
        <v>0.07000000000000001</v>
      </c>
      <c r="I282" s="31" t="n">
        <v>769719</v>
      </c>
      <c r="J282" s="31" t="inlineStr">
        <is>
          <t>500052</t>
        </is>
      </c>
    </row>
    <row r="283">
      <c r="A283" s="31" t="inlineStr">
        <is>
          <t>BOSCHLTD</t>
        </is>
      </c>
      <c r="B283" s="31" t="inlineStr">
        <is>
          <t>Bosch Limited</t>
        </is>
      </c>
      <c r="C283" s="31" t="inlineStr">
        <is>
          <t>auto</t>
        </is>
      </c>
      <c r="D283" s="31" t="inlineStr">
        <is>
          <t>auto ancillaries</t>
        </is>
      </c>
      <c r="E283" s="31" t="inlineStr">
        <is>
          <t>largecap</t>
        </is>
      </c>
      <c r="F283" s="31" t="n">
        <v>122280.63</v>
      </c>
      <c r="G283" s="31" t="n">
        <v>41485</v>
      </c>
      <c r="H283" s="31" t="n">
        <v>0.06</v>
      </c>
      <c r="I283" s="31" t="n">
        <v>17566</v>
      </c>
      <c r="J283" s="31" t="inlineStr">
        <is>
          <t>500530</t>
        </is>
      </c>
    </row>
    <row r="284">
      <c r="A284" s="31" t="inlineStr">
        <is>
          <t>ANANDRATHI</t>
        </is>
      </c>
      <c r="B284" s="31" t="inlineStr">
        <is>
          <t>Anand Rathi Wealth Ltd</t>
        </is>
      </c>
      <c r="C284" s="31" t="inlineStr">
        <is>
          <t>financials</t>
        </is>
      </c>
      <c r="D284" s="31" t="inlineStr">
        <is>
          <t>finance &amp; investments</t>
        </is>
      </c>
      <c r="E284" s="31" t="inlineStr">
        <is>
          <t>largecap</t>
        </is>
      </c>
      <c r="F284" s="31" t="n">
        <v>34549.87</v>
      </c>
      <c r="G284" s="31" t="n">
        <v>2081.8</v>
      </c>
      <c r="H284" s="31" t="n">
        <v>0.05</v>
      </c>
      <c r="I284" s="31" t="n">
        <v>234923</v>
      </c>
      <c r="J284" s="31" t="inlineStr">
        <is>
          <t>543415</t>
        </is>
      </c>
    </row>
    <row r="285">
      <c r="A285" s="31" t="inlineStr">
        <is>
          <t>MOTILALOFS</t>
        </is>
      </c>
      <c r="B285" s="31" t="inlineStr">
        <is>
          <t>Motilal Oswal Financial Services Limited</t>
        </is>
      </c>
      <c r="C285" s="31" t="inlineStr">
        <is>
          <t>financials</t>
        </is>
      </c>
      <c r="D285" s="31" t="inlineStr">
        <is>
          <t>finance &amp; investments</t>
        </is>
      </c>
      <c r="E285" s="31" t="inlineStr">
        <is>
          <t>largecap</t>
        </is>
      </c>
      <c r="F285" s="31" t="n">
        <v>58199.87</v>
      </c>
      <c r="G285" s="31" t="n">
        <v>967.45</v>
      </c>
      <c r="H285" s="31" t="n">
        <v>0.05</v>
      </c>
      <c r="I285" s="31" t="n">
        <v>471746</v>
      </c>
      <c r="J285" s="31" t="inlineStr">
        <is>
          <t>532892</t>
        </is>
      </c>
    </row>
    <row r="286">
      <c r="A286" s="31" t="inlineStr">
        <is>
          <t>SONACOMS</t>
        </is>
      </c>
      <c r="B286" s="31" t="inlineStr">
        <is>
          <t>Sona BLW Precision Forgings Ltd</t>
        </is>
      </c>
      <c r="C286" s="31" t="inlineStr">
        <is>
          <t>auto</t>
        </is>
      </c>
      <c r="D286" s="31" t="inlineStr">
        <is>
          <t>auto ancillaries</t>
        </is>
      </c>
      <c r="E286" s="31" t="inlineStr">
        <is>
          <t>largecap</t>
        </is>
      </c>
      <c r="F286" s="31" t="n">
        <v>41464.75</v>
      </c>
      <c r="G286" s="31" t="n">
        <v>667.05</v>
      </c>
      <c r="H286" s="31" t="n">
        <v>0.04</v>
      </c>
      <c r="I286" s="31" t="n">
        <v>2257584</v>
      </c>
      <c r="J286" s="31" t="inlineStr">
        <is>
          <t>543300</t>
        </is>
      </c>
    </row>
    <row r="287">
      <c r="A287" s="31" t="inlineStr">
        <is>
          <t>TEXINFRA</t>
        </is>
      </c>
      <c r="B287" s="31" t="inlineStr">
        <is>
          <t>Texmaco Infrastructure &amp; Holdings Limited</t>
        </is>
      </c>
      <c r="C287" s="31" t="inlineStr">
        <is>
          <t>realty</t>
        </is>
      </c>
      <c r="D287" s="31" t="inlineStr">
        <is>
          <t>construction</t>
        </is>
      </c>
      <c r="E287" s="31" t="inlineStr">
        <is>
          <t>smallcap</t>
        </is>
      </c>
      <c r="F287" s="31" t="n">
        <v>1454.06</v>
      </c>
      <c r="G287" s="31" t="n">
        <v>114.15</v>
      </c>
      <c r="H287" s="31" t="n">
        <v>0.04</v>
      </c>
      <c r="I287" s="31" t="n">
        <v>74557</v>
      </c>
      <c r="J287" s="31" t="inlineStr">
        <is>
          <t>505400</t>
        </is>
      </c>
    </row>
    <row r="288">
      <c r="A288" s="31" t="inlineStr">
        <is>
          <t>ZYDUSWELL</t>
        </is>
      </c>
      <c r="B288" s="31" t="inlineStr">
        <is>
          <t>Zydus Wellness Limited</t>
        </is>
      </c>
      <c r="C288" s="31" t="inlineStr">
        <is>
          <t>fmcg</t>
        </is>
      </c>
      <c r="D288" s="31" t="inlineStr">
        <is>
          <t>food - processing - indian</t>
        </is>
      </c>
      <c r="E288" s="31" t="inlineStr">
        <is>
          <t>midcap</t>
        </is>
      </c>
      <c r="F288" s="31" t="n">
        <v>18322.88</v>
      </c>
      <c r="G288" s="31" t="n">
        <v>576.05</v>
      </c>
      <c r="H288" s="31" t="n">
        <v>0.03</v>
      </c>
      <c r="I288" s="31" t="n">
        <v>126185</v>
      </c>
      <c r="J288" s="31" t="inlineStr">
        <is>
          <t>531335</t>
        </is>
      </c>
    </row>
    <row r="289">
      <c r="A289" s="31" t="inlineStr">
        <is>
          <t>FEDERALBNK</t>
        </is>
      </c>
      <c r="B289" s="31" t="inlineStr">
        <is>
          <t>The Federal Bank  Limited</t>
        </is>
      </c>
      <c r="C289" s="31" t="inlineStr">
        <is>
          <t>bank</t>
        </is>
      </c>
      <c r="D289" s="31" t="inlineStr">
        <is>
          <t>banks - private sector</t>
        </is>
      </c>
      <c r="E289" s="31" t="inlineStr">
        <is>
          <t>largecap</t>
        </is>
      </c>
      <c r="F289" s="31" t="n">
        <v>80705.25</v>
      </c>
      <c r="G289" s="31" t="n">
        <v>327.55</v>
      </c>
      <c r="H289" s="31" t="n">
        <v>0.02</v>
      </c>
      <c r="I289" s="31" t="n">
        <v>2909042</v>
      </c>
      <c r="J289" s="31" t="inlineStr">
        <is>
          <t>500469</t>
        </is>
      </c>
    </row>
    <row r="290">
      <c r="A290" s="31" t="inlineStr">
        <is>
          <t>JAYAGROGN</t>
        </is>
      </c>
      <c r="B290" s="31" t="inlineStr">
        <is>
          <t>Jayant Agro Organics Limited</t>
        </is>
      </c>
      <c r="C290" s="31" t="inlineStr">
        <is>
          <t>chemicals</t>
        </is>
      </c>
      <c r="D290" s="31" t="inlineStr">
        <is>
          <t>chemicals</t>
        </is>
      </c>
      <c r="E290" s="31" t="inlineStr">
        <is>
          <t>smallcap</t>
        </is>
      </c>
      <c r="F290" s="31" t="n">
        <v>666.1799999999999</v>
      </c>
      <c r="G290" s="31" t="n">
        <v>222.11</v>
      </c>
      <c r="H290" s="31" t="n">
        <v>0.02</v>
      </c>
      <c r="I290" s="31" t="n">
        <v>5018</v>
      </c>
      <c r="J290" s="31" t="inlineStr">
        <is>
          <t>524330</t>
        </is>
      </c>
    </row>
    <row r="291">
      <c r="A291" s="31" t="inlineStr">
        <is>
          <t>ORBTEXP</t>
        </is>
      </c>
      <c r="B291" s="31" t="inlineStr">
        <is>
          <t>Orbit Exports Limited</t>
        </is>
      </c>
      <c r="C291" s="31" t="inlineStr">
        <is>
          <t>textiles</t>
        </is>
      </c>
      <c r="D291" s="31" t="inlineStr">
        <is>
          <t>textiles - processing</t>
        </is>
      </c>
      <c r="E291" s="31" t="inlineStr">
        <is>
          <t>smallcap</t>
        </is>
      </c>
      <c r="F291" s="31" t="n">
        <v>628.92</v>
      </c>
      <c r="G291" s="31" t="n">
        <v>237.23</v>
      </c>
      <c r="H291" s="31" t="n">
        <v>0</v>
      </c>
      <c r="I291" s="31" t="n">
        <v>4884</v>
      </c>
      <c r="J291" s="31" t="inlineStr">
        <is>
          <t>512626</t>
        </is>
      </c>
    </row>
    <row r="292">
      <c r="A292" s="31" t="inlineStr">
        <is>
          <t>HINDCOMPOS</t>
        </is>
      </c>
      <c r="B292" s="31" t="inlineStr">
        <is>
          <t>Hindustan Composites Limited</t>
        </is>
      </c>
      <c r="C292" s="31" t="inlineStr">
        <is>
          <t>auto</t>
        </is>
      </c>
      <c r="D292" s="31" t="inlineStr">
        <is>
          <t>auto ancillaries</t>
        </is>
      </c>
      <c r="E292" s="31" t="inlineStr">
        <is>
          <t>smallcap</t>
        </is>
      </c>
      <c r="F292" s="31" t="n">
        <v>662.91</v>
      </c>
      <c r="G292" s="31" t="n">
        <v>448.85</v>
      </c>
      <c r="H292" s="31" t="n">
        <v>0</v>
      </c>
      <c r="I292" s="31" t="n">
        <v>4476</v>
      </c>
      <c r="J292" s="31" t="inlineStr">
        <is>
          <t>509635</t>
        </is>
      </c>
    </row>
    <row r="293">
      <c r="A293" s="31" t="inlineStr">
        <is>
          <t>TINNARUBR</t>
        </is>
      </c>
      <c r="B293" s="31" t="inlineStr">
        <is>
          <t>Tinna Rubber &amp; Infrastructure Ltd</t>
        </is>
      </c>
      <c r="C293" s="31" t="inlineStr">
        <is>
          <t>fmcg</t>
        </is>
      </c>
      <c r="D293" s="31" t="inlineStr">
        <is>
          <t>miscellaneous</t>
        </is>
      </c>
      <c r="E293" s="31" t="inlineStr">
        <is>
          <t>smallcap</t>
        </is>
      </c>
      <c r="F293" s="31" t="n">
        <v>1767.71</v>
      </c>
      <c r="G293" s="31" t="n">
        <v>981.1</v>
      </c>
      <c r="H293" s="31" t="n">
        <v>-0.01</v>
      </c>
      <c r="I293" s="31" t="n">
        <v>21302</v>
      </c>
      <c r="J293" s="31" t="inlineStr">
        <is>
          <t>530475</t>
        </is>
      </c>
    </row>
    <row r="294">
      <c r="A294" s="31" t="inlineStr">
        <is>
          <t>CIPLA</t>
        </is>
      </c>
      <c r="B294" s="31" t="inlineStr">
        <is>
          <t>Cipla Limited</t>
        </is>
      </c>
      <c r="C294" s="31" t="inlineStr">
        <is>
          <t>healthcare</t>
        </is>
      </c>
      <c r="D294" s="31" t="inlineStr">
        <is>
          <t>pharmaceuticals - indian - bulk drugs &amp; formln</t>
        </is>
      </c>
      <c r="E294" s="31" t="inlineStr">
        <is>
          <t>largecap</t>
        </is>
      </c>
      <c r="F294" s="31" t="n">
        <v>116167.22</v>
      </c>
      <c r="G294" s="31" t="n">
        <v>1438</v>
      </c>
      <c r="H294" s="31" t="n">
        <v>-0.01</v>
      </c>
      <c r="I294" s="31" t="n">
        <v>924453</v>
      </c>
      <c r="J294" s="31" t="inlineStr">
        <is>
          <t>500087</t>
        </is>
      </c>
    </row>
    <row r="295">
      <c r="A295" s="31" t="inlineStr">
        <is>
          <t>INDIANHUME</t>
        </is>
      </c>
      <c r="B295" s="31" t="inlineStr">
        <is>
          <t>Indian Hume Pipe Company Limited</t>
        </is>
      </c>
      <c r="C295" s="31" t="inlineStr">
        <is>
          <t>realty</t>
        </is>
      </c>
      <c r="D295" s="31" t="inlineStr">
        <is>
          <t>construction</t>
        </is>
      </c>
      <c r="E295" s="31" t="inlineStr">
        <is>
          <t>smallcap</t>
        </is>
      </c>
      <c r="F295" s="31" t="n">
        <v>2183.13</v>
      </c>
      <c r="G295" s="31" t="n">
        <v>414.3</v>
      </c>
      <c r="H295" s="31" t="n">
        <v>-0.02</v>
      </c>
      <c r="I295" s="31" t="n">
        <v>340577</v>
      </c>
      <c r="J295" s="31" t="inlineStr">
        <is>
          <t>504741</t>
        </is>
      </c>
    </row>
    <row r="296">
      <c r="A296" s="31" t="inlineStr">
        <is>
          <t>SOBHA</t>
        </is>
      </c>
      <c r="B296" s="31" t="inlineStr">
        <is>
          <t>Sobha Limited</t>
        </is>
      </c>
      <c r="C296" s="31" t="inlineStr">
        <is>
          <t>realty</t>
        </is>
      </c>
      <c r="D296" s="31" t="inlineStr">
        <is>
          <t>construction</t>
        </is>
      </c>
      <c r="E296" s="31" t="inlineStr">
        <is>
          <t>midcap</t>
        </is>
      </c>
      <c r="F296" s="31" t="n">
        <v>15942.54</v>
      </c>
      <c r="G296" s="31" t="n">
        <v>1490.1</v>
      </c>
      <c r="H296" s="31" t="n">
        <v>-0.03</v>
      </c>
      <c r="I296" s="31" t="n">
        <v>108153</v>
      </c>
      <c r="J296" s="31" t="inlineStr">
        <is>
          <t>532784</t>
        </is>
      </c>
    </row>
    <row r="297">
      <c r="A297" s="31" t="inlineStr">
        <is>
          <t>MANBA</t>
        </is>
      </c>
      <c r="B297" s="31" t="inlineStr">
        <is>
          <t>Manba Finance Ltd</t>
        </is>
      </c>
      <c r="C297" s="31" t="inlineStr">
        <is>
          <t>financials</t>
        </is>
      </c>
      <c r="D297" s="31" t="inlineStr">
        <is>
          <t>finance &amp; investments</t>
        </is>
      </c>
      <c r="E297" s="31" t="inlineStr">
        <is>
          <t>smallcap</t>
        </is>
      </c>
      <c r="F297" s="31" t="n">
        <v>678.48</v>
      </c>
      <c r="G297" s="31" t="n">
        <v>135</v>
      </c>
      <c r="H297" s="31" t="n">
        <v>-0.04</v>
      </c>
      <c r="I297" s="31" t="n">
        <v>64022</v>
      </c>
      <c r="J297" s="31" t="inlineStr">
        <is>
          <t>544262</t>
        </is>
      </c>
    </row>
    <row r="298">
      <c r="A298" s="31" t="inlineStr">
        <is>
          <t>RAMRAT</t>
        </is>
      </c>
      <c r="B298" s="31" t="inlineStr">
        <is>
          <t>Ram Ratna Wires Ltd</t>
        </is>
      </c>
      <c r="C298" s="31" t="inlineStr">
        <is>
          <t>metals &amp; mining</t>
        </is>
      </c>
      <c r="D298" s="31" t="inlineStr">
        <is>
          <t>mining / minerals / metals</t>
        </is>
      </c>
      <c r="E298" s="31" t="inlineStr">
        <is>
          <t>smallcap</t>
        </is>
      </c>
      <c r="F298" s="31" t="n">
        <v>3913.19</v>
      </c>
      <c r="G298" s="31" t="n">
        <v>419</v>
      </c>
      <c r="H298" s="31" t="n">
        <v>-0.05</v>
      </c>
      <c r="I298" s="31" t="n">
        <v>37218</v>
      </c>
      <c r="J298" s="31" t="inlineStr">
        <is>
          <t>522281</t>
        </is>
      </c>
    </row>
    <row r="299">
      <c r="A299" s="31" t="inlineStr">
        <is>
          <t>EQUITASBNK</t>
        </is>
      </c>
      <c r="B299" s="31" t="inlineStr">
        <is>
          <t>Equitas Small Finance Bank Ltd</t>
        </is>
      </c>
      <c r="C299" s="31" t="inlineStr">
        <is>
          <t>bank</t>
        </is>
      </c>
      <c r="D299" s="31" t="inlineStr">
        <is>
          <t>banks - private sector</t>
        </is>
      </c>
      <c r="E299" s="31" t="inlineStr">
        <is>
          <t>midcap</t>
        </is>
      </c>
      <c r="F299" s="31" t="n">
        <v>9121.5</v>
      </c>
      <c r="G299" s="31" t="n">
        <v>79.89</v>
      </c>
      <c r="H299" s="31" t="n">
        <v>-0.06</v>
      </c>
      <c r="I299" s="31" t="n">
        <v>5774356</v>
      </c>
      <c r="J299" s="31" t="inlineStr">
        <is>
          <t>543243</t>
        </is>
      </c>
    </row>
    <row r="300">
      <c r="A300" s="31" t="inlineStr">
        <is>
          <t>STARHEALTH</t>
        </is>
      </c>
      <c r="B300" s="31" t="inlineStr">
        <is>
          <t>Star Health &amp; Allied Insurance Company Ltd</t>
        </is>
      </c>
      <c r="C300" s="31" t="inlineStr">
        <is>
          <t>financials</t>
        </is>
      </c>
      <c r="D300" s="31" t="inlineStr">
        <is>
          <t>finance &amp; investments</t>
        </is>
      </c>
      <c r="E300" s="31" t="inlineStr">
        <is>
          <t>largecap</t>
        </is>
      </c>
      <c r="F300" s="31" t="n">
        <v>35148.28</v>
      </c>
      <c r="G300" s="31" t="n">
        <v>597</v>
      </c>
      <c r="H300" s="31" t="n">
        <v>-0.06</v>
      </c>
      <c r="I300" s="31" t="n">
        <v>199393</v>
      </c>
      <c r="J300" s="31" t="inlineStr">
        <is>
          <t>543412</t>
        </is>
      </c>
    </row>
    <row r="301">
      <c r="A301" s="31" t="inlineStr">
        <is>
          <t>EXIDEIND</t>
        </is>
      </c>
      <c r="B301" s="31" t="inlineStr">
        <is>
          <t>Exide Industries Limited</t>
        </is>
      </c>
      <c r="C301" s="31" t="inlineStr">
        <is>
          <t>auto</t>
        </is>
      </c>
      <c r="D301" s="31" t="inlineStr">
        <is>
          <t>auto ancillaries</t>
        </is>
      </c>
      <c r="E301" s="31" t="inlineStr">
        <is>
          <t>largecap</t>
        </is>
      </c>
      <c r="F301" s="31" t="n">
        <v>35653.25</v>
      </c>
      <c r="G301" s="31" t="n">
        <v>419.2</v>
      </c>
      <c r="H301" s="31" t="n">
        <v>-0.06</v>
      </c>
      <c r="I301" s="31" t="n">
        <v>1659682</v>
      </c>
      <c r="J301" s="31" t="inlineStr">
        <is>
          <t>500086</t>
        </is>
      </c>
    </row>
    <row r="302">
      <c r="A302" s="31" t="inlineStr">
        <is>
          <t>SUBEXLTD</t>
        </is>
      </c>
      <c r="B302" s="31" t="inlineStr">
        <is>
          <t>Subex Ltd</t>
        </is>
      </c>
      <c r="C302" s="31" t="inlineStr">
        <is>
          <t>i.t</t>
        </is>
      </c>
      <c r="D302" s="31" t="inlineStr">
        <is>
          <t>computers - software - medium / small</t>
        </is>
      </c>
      <c r="E302" s="31" t="inlineStr">
        <is>
          <t>smallcap</t>
        </is>
      </c>
      <c r="F302" s="31" t="n">
        <v>750.84</v>
      </c>
      <c r="G302" s="31" t="n">
        <v>13.35</v>
      </c>
      <c r="H302" s="31" t="n">
        <v>-0.07000000000000001</v>
      </c>
      <c r="I302" s="31" t="n">
        <v>1060701</v>
      </c>
      <c r="J302" s="31" t="inlineStr">
        <is>
          <t>532348</t>
        </is>
      </c>
    </row>
    <row r="303">
      <c r="A303" s="31" t="inlineStr">
        <is>
          <t>BALAMINES</t>
        </is>
      </c>
      <c r="B303" s="31" t="inlineStr">
        <is>
          <t>Balaji Amines Limited</t>
        </is>
      </c>
      <c r="C303" s="31" t="inlineStr">
        <is>
          <t>chemicals</t>
        </is>
      </c>
      <c r="D303" s="31" t="inlineStr">
        <is>
          <t>chemicals</t>
        </is>
      </c>
      <c r="E303" s="31" t="inlineStr">
        <is>
          <t>midcap</t>
        </is>
      </c>
      <c r="F303" s="31" t="n">
        <v>7489.49</v>
      </c>
      <c r="G303" s="31" t="n">
        <v>2309</v>
      </c>
      <c r="H303" s="31" t="n">
        <v>-0.11</v>
      </c>
      <c r="I303" s="31" t="n">
        <v>150648</v>
      </c>
      <c r="J303" s="31" t="inlineStr">
        <is>
          <t>530999</t>
        </is>
      </c>
    </row>
    <row r="304">
      <c r="A304" s="31" t="inlineStr">
        <is>
          <t>MGEL</t>
        </is>
      </c>
      <c r="B304" s="31" t="inlineStr">
        <is>
          <t>Mangalam Global Enterprise Ltd</t>
        </is>
      </c>
      <c r="C304" s="31" t="inlineStr">
        <is>
          <t>services</t>
        </is>
      </c>
      <c r="D304" s="31" t="inlineStr">
        <is>
          <t>trading</t>
        </is>
      </c>
      <c r="E304" s="31" t="inlineStr">
        <is>
          <t>smallcap</t>
        </is>
      </c>
      <c r="F304" s="31" t="n">
        <v>544.1</v>
      </c>
      <c r="G304" s="31" t="n">
        <v>16.49</v>
      </c>
      <c r="H304" s="31" t="n">
        <v>-0.12</v>
      </c>
      <c r="I304" s="31" t="n">
        <v>115611</v>
      </c>
      <c r="J304" s="31" t="inlineStr">
        <is>
          <t>535349</t>
        </is>
      </c>
    </row>
    <row r="305">
      <c r="A305" s="31" t="inlineStr">
        <is>
          <t>GODREJPROP</t>
        </is>
      </c>
      <c r="B305" s="31" t="inlineStr">
        <is>
          <t>Godrej Properties Limited</t>
        </is>
      </c>
      <c r="C305" s="31" t="inlineStr">
        <is>
          <t>realty</t>
        </is>
      </c>
      <c r="D305" s="31" t="inlineStr">
        <is>
          <t>construction</t>
        </is>
      </c>
      <c r="E305" s="31" t="inlineStr">
        <is>
          <t>largecap</t>
        </is>
      </c>
      <c r="F305" s="31" t="n">
        <v>63476.22</v>
      </c>
      <c r="G305" s="31" t="n">
        <v>2104.4</v>
      </c>
      <c r="H305" s="31" t="n">
        <v>-0.14</v>
      </c>
      <c r="I305" s="31" t="n">
        <v>623143</v>
      </c>
      <c r="J305" s="31" t="inlineStr">
        <is>
          <t>533150</t>
        </is>
      </c>
    </row>
    <row r="306">
      <c r="A306" s="31" t="inlineStr">
        <is>
          <t>REDINGTON</t>
        </is>
      </c>
      <c r="B306" s="31" t="inlineStr">
        <is>
          <t>Redington (india) Limited</t>
        </is>
      </c>
      <c r="C306" s="31" t="inlineStr">
        <is>
          <t>services</t>
        </is>
      </c>
      <c r="D306" s="31" t="inlineStr">
        <is>
          <t>trading</t>
        </is>
      </c>
      <c r="E306" s="31" t="inlineStr">
        <is>
          <t>largecap</t>
        </is>
      </c>
      <c r="F306" s="31" t="n">
        <v>22100.76</v>
      </c>
      <c r="G306" s="31" t="n">
        <v>282.3</v>
      </c>
      <c r="H306" s="31" t="n">
        <v>-0.14</v>
      </c>
      <c r="I306" s="31" t="n">
        <v>2010638</v>
      </c>
      <c r="J306" s="31" t="inlineStr">
        <is>
          <t>532805</t>
        </is>
      </c>
    </row>
    <row r="307">
      <c r="A307" s="31" t="inlineStr">
        <is>
          <t>RAMCOSYS</t>
        </is>
      </c>
      <c r="B307" s="31" t="inlineStr">
        <is>
          <t>Ramco Systems Limited</t>
        </is>
      </c>
      <c r="C307" s="31" t="inlineStr">
        <is>
          <t>i.t</t>
        </is>
      </c>
      <c r="D307" s="31" t="inlineStr">
        <is>
          <t>computers - software - medium / small</t>
        </is>
      </c>
      <c r="E307" s="31" t="inlineStr">
        <is>
          <t>smallcap</t>
        </is>
      </c>
      <c r="F307" s="31" t="n">
        <v>3055.24</v>
      </c>
      <c r="G307" s="31" t="n">
        <v>815.45</v>
      </c>
      <c r="H307" s="31" t="n">
        <v>-0.15</v>
      </c>
      <c r="I307" s="31" t="n">
        <v>1269976</v>
      </c>
      <c r="J307" s="31" t="inlineStr">
        <is>
          <t>532370</t>
        </is>
      </c>
    </row>
    <row r="308">
      <c r="A308" s="31" t="inlineStr">
        <is>
          <t>IKS</t>
        </is>
      </c>
      <c r="B308" s="31" t="inlineStr">
        <is>
          <t>Inventurus Knowledge Solutions Ltd</t>
        </is>
      </c>
      <c r="C308" s="31" t="inlineStr">
        <is>
          <t>i.t</t>
        </is>
      </c>
      <c r="D308" s="31" t="inlineStr">
        <is>
          <t>computers - software - medium / small</t>
        </is>
      </c>
      <c r="E308" s="31" t="inlineStr">
        <is>
          <t>largecap</t>
        </is>
      </c>
      <c r="F308" s="31" t="n">
        <v>32245.46</v>
      </c>
      <c r="G308" s="31" t="n">
        <v>1876.3</v>
      </c>
      <c r="H308" s="31" t="n">
        <v>-0.16</v>
      </c>
      <c r="I308" s="31" t="n">
        <v>75935</v>
      </c>
      <c r="J308" s="31" t="inlineStr">
        <is>
          <t>544309</t>
        </is>
      </c>
    </row>
    <row r="309">
      <c r="A309" s="31" t="inlineStr">
        <is>
          <t>ASAHIINDIA</t>
        </is>
      </c>
      <c r="B309" s="31" t="inlineStr">
        <is>
          <t>Asahi India Glass Limited</t>
        </is>
      </c>
      <c r="C309" s="31" t="inlineStr">
        <is>
          <t>building materials</t>
        </is>
      </c>
      <c r="D309" s="31" t="inlineStr">
        <is>
          <t>glass &amp; glass products</t>
        </is>
      </c>
      <c r="E309" s="31" t="inlineStr">
        <is>
          <t>largecap</t>
        </is>
      </c>
      <c r="F309" s="31" t="n">
        <v>23532.33</v>
      </c>
      <c r="G309" s="31" t="n">
        <v>921.4</v>
      </c>
      <c r="H309" s="31" t="n">
        <v>-0.18</v>
      </c>
      <c r="I309" s="31" t="n">
        <v>191478</v>
      </c>
      <c r="J309" s="31" t="inlineStr">
        <is>
          <t>515030</t>
        </is>
      </c>
    </row>
    <row r="310">
      <c r="A310" s="31" t="inlineStr">
        <is>
          <t>OFSS</t>
        </is>
      </c>
      <c r="B310" s="31" t="inlineStr">
        <is>
          <t>Oracle Financial Services Software Limited</t>
        </is>
      </c>
      <c r="C310" s="31" t="inlineStr">
        <is>
          <t>i.t</t>
        </is>
      </c>
      <c r="D310" s="31" t="inlineStr">
        <is>
          <t>computers - software - large</t>
        </is>
      </c>
      <c r="E310" s="31" t="inlineStr">
        <is>
          <t>largecap</t>
        </is>
      </c>
      <c r="F310" s="31" t="n">
        <v>101404.21</v>
      </c>
      <c r="G310" s="31" t="n">
        <v>11625</v>
      </c>
      <c r="H310" s="31" t="n">
        <v>-0.18</v>
      </c>
      <c r="I310" s="31" t="n">
        <v>247577</v>
      </c>
      <c r="J310" s="31" t="inlineStr">
        <is>
          <t>532466</t>
        </is>
      </c>
    </row>
    <row r="311">
      <c r="A311" s="31" t="inlineStr">
        <is>
          <t>WELCORP</t>
        </is>
      </c>
      <c r="B311" s="31" t="inlineStr">
        <is>
          <t>Welspun Corp Limited</t>
        </is>
      </c>
      <c r="C311" s="31" t="inlineStr">
        <is>
          <t>industrials</t>
        </is>
      </c>
      <c r="D311" s="31" t="inlineStr">
        <is>
          <t>steel - large</t>
        </is>
      </c>
      <c r="E311" s="31" t="inlineStr">
        <is>
          <t>largecap</t>
        </is>
      </c>
      <c r="F311" s="31" t="n">
        <v>44406.52</v>
      </c>
      <c r="G311" s="31" t="n">
        <v>1680.1</v>
      </c>
      <c r="H311" s="31" t="n">
        <v>-0.2</v>
      </c>
      <c r="I311" s="31" t="n">
        <v>1407360</v>
      </c>
      <c r="J311" s="31" t="inlineStr">
        <is>
          <t>532144</t>
        </is>
      </c>
    </row>
    <row r="312">
      <c r="A312" s="31" t="inlineStr">
        <is>
          <t>JSFB</t>
        </is>
      </c>
      <c r="B312" s="31" t="inlineStr">
        <is>
          <t>Jana Small Finance Bank Ltd</t>
        </is>
      </c>
      <c r="C312" s="31" t="inlineStr">
        <is>
          <t>bank</t>
        </is>
      </c>
      <c r="D312" s="31" t="inlineStr">
        <is>
          <t>banks - private sector</t>
        </is>
      </c>
      <c r="E312" s="31" t="inlineStr">
        <is>
          <t>midcap</t>
        </is>
      </c>
      <c r="F312" s="31" t="n">
        <v>5161.18</v>
      </c>
      <c r="G312" s="31" t="n">
        <v>488.9</v>
      </c>
      <c r="H312" s="31" t="n">
        <v>-0.21</v>
      </c>
      <c r="I312" s="31" t="n">
        <v>1196637</v>
      </c>
      <c r="J312" s="31" t="n"/>
    </row>
    <row r="313">
      <c r="A313" s="31" t="inlineStr">
        <is>
          <t>SHYAMMETL</t>
        </is>
      </c>
      <c r="B313" s="31" t="inlineStr">
        <is>
          <t>Shyam Metalics &amp; Energy Ltd</t>
        </is>
      </c>
      <c r="C313" s="31" t="inlineStr">
        <is>
          <t>metals &amp; mining</t>
        </is>
      </c>
      <c r="D313" s="31" t="inlineStr">
        <is>
          <t>steel - large</t>
        </is>
      </c>
      <c r="E313" s="31" t="inlineStr">
        <is>
          <t>largecap</t>
        </is>
      </c>
      <c r="F313" s="31" t="n">
        <v>28916.66</v>
      </c>
      <c r="G313" s="31" t="n">
        <v>1033.75</v>
      </c>
      <c r="H313" s="31" t="n">
        <v>-0.21</v>
      </c>
      <c r="I313" s="31" t="n">
        <v>602620</v>
      </c>
      <c r="J313" s="31" t="inlineStr">
        <is>
          <t>543299</t>
        </is>
      </c>
    </row>
    <row r="314">
      <c r="A314" s="31" t="inlineStr">
        <is>
          <t>KIRLOSBROS</t>
        </is>
      </c>
      <c r="B314" s="31" t="inlineStr">
        <is>
          <t>Kirloskar Brothers Limited</t>
        </is>
      </c>
      <c r="C314" s="31" t="inlineStr">
        <is>
          <t>industrials</t>
        </is>
      </c>
      <c r="D314" s="31" t="inlineStr">
        <is>
          <t>pumps</t>
        </is>
      </c>
      <c r="E314" s="31" t="inlineStr">
        <is>
          <t>midcap</t>
        </is>
      </c>
      <c r="F314" s="31" t="n">
        <v>15325.13</v>
      </c>
      <c r="G314" s="31" t="n">
        <v>1925</v>
      </c>
      <c r="H314" s="31" t="n">
        <v>-0.25</v>
      </c>
      <c r="I314" s="31" t="n">
        <v>323114</v>
      </c>
      <c r="J314" s="31" t="inlineStr">
        <is>
          <t>500241</t>
        </is>
      </c>
    </row>
    <row r="315">
      <c r="A315" s="31" t="inlineStr">
        <is>
          <t>RPTECH</t>
        </is>
      </c>
      <c r="B315" s="31" t="inlineStr">
        <is>
          <t>Rashi Peripherals Ltd</t>
        </is>
      </c>
      <c r="C315" s="31" t="inlineStr">
        <is>
          <t>services</t>
        </is>
      </c>
      <c r="D315" s="31" t="inlineStr">
        <is>
          <t>trading</t>
        </is>
      </c>
      <c r="E315" s="31" t="inlineStr">
        <is>
          <t>midcap</t>
        </is>
      </c>
      <c r="F315" s="31" t="n">
        <v>5125.02</v>
      </c>
      <c r="G315" s="31" t="n">
        <v>775.75</v>
      </c>
      <c r="H315" s="31" t="n">
        <v>-0.25</v>
      </c>
      <c r="I315" s="31" t="n">
        <v>523307</v>
      </c>
      <c r="J315" s="31" t="n"/>
    </row>
    <row r="316">
      <c r="A316" s="31" t="inlineStr">
        <is>
          <t>RANEHOLDIN</t>
        </is>
      </c>
      <c r="B316" s="31" t="inlineStr">
        <is>
          <t>Rane Holdings Limited</t>
        </is>
      </c>
      <c r="C316" s="31" t="inlineStr">
        <is>
          <t>financials</t>
        </is>
      </c>
      <c r="D316" s="31" t="inlineStr">
        <is>
          <t>finance &amp; investments</t>
        </is>
      </c>
      <c r="E316" s="31" t="inlineStr">
        <is>
          <t>smallcap</t>
        </is>
      </c>
      <c r="F316" s="31" t="n">
        <v>2503.61</v>
      </c>
      <c r="G316" s="31" t="n">
        <v>1748.6</v>
      </c>
      <c r="H316" s="31" t="n">
        <v>-0.28</v>
      </c>
      <c r="I316" s="31" t="n">
        <v>9456</v>
      </c>
      <c r="J316" s="31" t="inlineStr">
        <is>
          <t>505800</t>
        </is>
      </c>
    </row>
    <row r="317">
      <c r="A317" s="31" t="inlineStr">
        <is>
          <t>PANSARI</t>
        </is>
      </c>
      <c r="B317" s="31" t="inlineStr">
        <is>
          <t>Pansari Developers Ltd</t>
        </is>
      </c>
      <c r="C317" s="31" t="inlineStr">
        <is>
          <t>realty</t>
        </is>
      </c>
      <c r="D317" s="31" t="inlineStr">
        <is>
          <t>construction</t>
        </is>
      </c>
      <c r="E317" s="31" t="inlineStr">
        <is>
          <t>smallcap</t>
        </is>
      </c>
      <c r="F317" s="31" t="n">
        <v>634.02</v>
      </c>
      <c r="G317" s="31" t="n">
        <v>362.4</v>
      </c>
      <c r="H317" s="31" t="n">
        <v>-0.28</v>
      </c>
      <c r="I317" s="31" t="n">
        <v>7105</v>
      </c>
      <c r="J317" s="31" t="inlineStr">
        <is>
          <t>538381</t>
        </is>
      </c>
    </row>
    <row r="318">
      <c r="A318" s="31" t="inlineStr">
        <is>
          <t>HITECHCORP</t>
        </is>
      </c>
      <c r="B318" s="31" t="inlineStr">
        <is>
          <t>Hitech Corporation</t>
        </is>
      </c>
      <c r="C318" s="31" t="inlineStr">
        <is>
          <t>industrials</t>
        </is>
      </c>
      <c r="D318" s="31" t="inlineStr">
        <is>
          <t>packaging</t>
        </is>
      </c>
      <c r="E318" s="31" t="inlineStr">
        <is>
          <t>smallcap</t>
        </is>
      </c>
      <c r="F318" s="31" t="n">
        <v>547.9</v>
      </c>
      <c r="G318" s="31" t="n">
        <v>318.1</v>
      </c>
      <c r="H318" s="31" t="n">
        <v>-0.28</v>
      </c>
      <c r="I318" s="31" t="n">
        <v>10995</v>
      </c>
      <c r="J318" s="31" t="inlineStr">
        <is>
          <t>526217</t>
        </is>
      </c>
    </row>
    <row r="319">
      <c r="A319" s="31" t="inlineStr">
        <is>
          <t>CCAVENUE</t>
        </is>
      </c>
      <c r="B319" s="31" t="inlineStr">
        <is>
          <t>AvenuesAI Ltd</t>
        </is>
      </c>
      <c r="C319" s="31" t="inlineStr">
        <is>
          <t>i.t</t>
        </is>
      </c>
      <c r="D319" s="31" t="inlineStr">
        <is>
          <t>miscellaneous</t>
        </is>
      </c>
      <c r="E319" s="31" t="inlineStr">
        <is>
          <t>midcap</t>
        </is>
      </c>
      <c r="F319" s="31" t="n">
        <v>6230.62</v>
      </c>
      <c r="G319" s="31" t="n">
        <v>17.77</v>
      </c>
      <c r="H319" s="31" t="n">
        <v>-0.28</v>
      </c>
      <c r="I319" s="31" t="n">
        <v>10803786</v>
      </c>
      <c r="J319" s="31" t="inlineStr">
        <is>
          <t>539807</t>
        </is>
      </c>
    </row>
    <row r="320">
      <c r="A320" s="31" t="inlineStr">
        <is>
          <t>DDEVPLSTIK</t>
        </is>
      </c>
      <c r="B320" s="31" t="inlineStr">
        <is>
          <t>DDev Plastiks Industries Ltd</t>
        </is>
      </c>
      <c r="C320" s="31" t="inlineStr">
        <is>
          <t>chemicals</t>
        </is>
      </c>
      <c r="D320" s="31" t="inlineStr">
        <is>
          <t>chemicals</t>
        </is>
      </c>
      <c r="E320" s="31" t="inlineStr">
        <is>
          <t>smallcap</t>
        </is>
      </c>
      <c r="F320" s="31" t="n">
        <v>3023.59</v>
      </c>
      <c r="G320" s="31" t="n">
        <v>291.35</v>
      </c>
      <c r="H320" s="31" t="n">
        <v>-0.29</v>
      </c>
      <c r="I320" s="31" t="n">
        <v>97352</v>
      </c>
      <c r="J320" s="31" t="inlineStr">
        <is>
          <t>543547</t>
        </is>
      </c>
    </row>
    <row r="321">
      <c r="A321" s="31" t="inlineStr">
        <is>
          <t>VENKEYS</t>
        </is>
      </c>
      <c r="B321" s="31" t="inlineStr">
        <is>
          <t>Venky's (india) Limited</t>
        </is>
      </c>
      <c r="C321" s="31" t="inlineStr">
        <is>
          <t>fmcg</t>
        </is>
      </c>
      <c r="D321" s="31" t="inlineStr">
        <is>
          <t>miscellaneous</t>
        </is>
      </c>
      <c r="E321" s="31" t="inlineStr">
        <is>
          <t>smallcap</t>
        </is>
      </c>
      <c r="F321" s="31" t="n">
        <v>2116.48</v>
      </c>
      <c r="G321" s="31" t="n">
        <v>1498.1</v>
      </c>
      <c r="H321" s="31" t="n">
        <v>-0.29</v>
      </c>
      <c r="I321" s="31" t="n">
        <v>25114</v>
      </c>
      <c r="J321" s="31" t="inlineStr">
        <is>
          <t>523261</t>
        </is>
      </c>
    </row>
    <row r="322">
      <c r="A322" s="31" t="inlineStr">
        <is>
          <t>SHRIPISTON</t>
        </is>
      </c>
      <c r="B322" s="31" t="inlineStr">
        <is>
          <t>Shriram Pistons &amp; Rings Limited</t>
        </is>
      </c>
      <c r="C322" s="31" t="inlineStr">
        <is>
          <t>auto</t>
        </is>
      </c>
      <c r="D322" s="31" t="inlineStr">
        <is>
          <t>auto ancillaries</t>
        </is>
      </c>
      <c r="E322" s="31" t="inlineStr">
        <is>
          <t>midcap</t>
        </is>
      </c>
      <c r="F322" s="31" t="n">
        <v>18449.39</v>
      </c>
      <c r="G322" s="31" t="n">
        <v>4175.6</v>
      </c>
      <c r="H322" s="31" t="n">
        <v>-0.3</v>
      </c>
      <c r="I322" s="31" t="n">
        <v>26881</v>
      </c>
      <c r="J322" s="31" t="n"/>
    </row>
    <row r="323">
      <c r="A323" s="31" t="inlineStr">
        <is>
          <t>PHOENIXLTD</t>
        </is>
      </c>
      <c r="B323" s="31" t="inlineStr">
        <is>
          <t>The Phoenix Mills Limited</t>
        </is>
      </c>
      <c r="C323" s="31" t="inlineStr">
        <is>
          <t>realty</t>
        </is>
      </c>
      <c r="D323" s="31" t="inlineStr">
        <is>
          <t>construction</t>
        </is>
      </c>
      <c r="E323" s="31" t="inlineStr">
        <is>
          <t>largecap</t>
        </is>
      </c>
      <c r="F323" s="31" t="n">
        <v>76265.59</v>
      </c>
      <c r="G323" s="31" t="n">
        <v>2126.1</v>
      </c>
      <c r="H323" s="31" t="n">
        <v>-0.3</v>
      </c>
      <c r="I323" s="31" t="n">
        <v>342573</v>
      </c>
      <c r="J323" s="31" t="inlineStr">
        <is>
          <t>503100</t>
        </is>
      </c>
    </row>
    <row r="324">
      <c r="A324" s="31" t="inlineStr">
        <is>
          <t>SBC</t>
        </is>
      </c>
      <c r="B324" s="31" t="inlineStr">
        <is>
          <t>SBC Exports Ltd</t>
        </is>
      </c>
      <c r="C324" s="31" t="inlineStr">
        <is>
          <t>textiles</t>
        </is>
      </c>
      <c r="D324" s="31" t="inlineStr">
        <is>
          <t>textiles - products</t>
        </is>
      </c>
      <c r="E324" s="31" t="inlineStr">
        <is>
          <t>smallcap</t>
        </is>
      </c>
      <c r="F324" s="31" t="n">
        <v>2013.81</v>
      </c>
      <c r="G324" s="31" t="n">
        <v>42.16</v>
      </c>
      <c r="H324" s="31" t="n">
        <v>-0.31</v>
      </c>
      <c r="I324" s="31" t="n">
        <v>9625766</v>
      </c>
      <c r="J324" s="31" t="inlineStr">
        <is>
          <t>542725</t>
        </is>
      </c>
    </row>
    <row r="325">
      <c r="A325" s="31" t="inlineStr">
        <is>
          <t>MAHLOG</t>
        </is>
      </c>
      <c r="B325" s="31" t="inlineStr">
        <is>
          <t>Mahindra Logistics Ltd</t>
        </is>
      </c>
      <c r="C325" s="31" t="inlineStr">
        <is>
          <t>transportation</t>
        </is>
      </c>
      <c r="D325" s="31" t="inlineStr">
        <is>
          <t>miscellaneous</t>
        </is>
      </c>
      <c r="E325" s="31" t="inlineStr">
        <is>
          <t>smallcap</t>
        </is>
      </c>
      <c r="F325" s="31" t="n">
        <v>3906.39</v>
      </c>
      <c r="G325" s="31" t="n">
        <v>392.45</v>
      </c>
      <c r="H325" s="31" t="n">
        <v>-0.32</v>
      </c>
      <c r="I325" s="31" t="n">
        <v>100559</v>
      </c>
      <c r="J325" s="31" t="inlineStr">
        <is>
          <t>540768</t>
        </is>
      </c>
    </row>
    <row r="326">
      <c r="A326" s="31" t="inlineStr">
        <is>
          <t>GLENMARK</t>
        </is>
      </c>
      <c r="B326" s="31" t="inlineStr">
        <is>
          <t>Glenmark Pharmaceuticals Limited</t>
        </is>
      </c>
      <c r="C326" s="31" t="inlineStr">
        <is>
          <t>healthcare</t>
        </is>
      </c>
      <c r="D326" s="31" t="inlineStr">
        <is>
          <t>pharmaceuticals - indian - bulk drugs &amp; formln</t>
        </is>
      </c>
      <c r="E326" s="31" t="inlineStr">
        <is>
          <t>largecap</t>
        </is>
      </c>
      <c r="F326" s="31" t="n">
        <v>65050.11</v>
      </c>
      <c r="G326" s="31" t="n">
        <v>2297.4</v>
      </c>
      <c r="H326" s="31" t="n">
        <v>-0.33</v>
      </c>
      <c r="I326" s="31" t="n">
        <v>491365</v>
      </c>
      <c r="J326" s="31" t="inlineStr">
        <is>
          <t>532296</t>
        </is>
      </c>
    </row>
    <row r="327">
      <c r="A327" s="31" t="inlineStr">
        <is>
          <t>MACPOWER</t>
        </is>
      </c>
      <c r="B327" s="31" t="inlineStr">
        <is>
          <t>Macpower CNC Machines Ltd</t>
        </is>
      </c>
      <c r="C327" s="31" t="inlineStr">
        <is>
          <t>industrials</t>
        </is>
      </c>
      <c r="D327" s="31" t="inlineStr">
        <is>
          <t>engineering</t>
        </is>
      </c>
      <c r="E327" s="31" t="inlineStr">
        <is>
          <t>smallcap</t>
        </is>
      </c>
      <c r="F327" s="31" t="n">
        <v>1326.85</v>
      </c>
      <c r="G327" s="31" t="n">
        <v>1321.8</v>
      </c>
      <c r="H327" s="31" t="n">
        <v>-0.34</v>
      </c>
      <c r="I327" s="31" t="n">
        <v>10443</v>
      </c>
      <c r="J327" s="31" t="inlineStr">
        <is>
          <t>535057</t>
        </is>
      </c>
    </row>
    <row r="328">
      <c r="A328" s="31" t="inlineStr">
        <is>
          <t>CCL</t>
        </is>
      </c>
      <c r="B328" s="31" t="inlineStr">
        <is>
          <t>Ccl Products (india) Limited</t>
        </is>
      </c>
      <c r="C328" s="31" t="inlineStr">
        <is>
          <t>fmcg</t>
        </is>
      </c>
      <c r="D328" s="31" t="inlineStr">
        <is>
          <t>tea</t>
        </is>
      </c>
      <c r="E328" s="31" t="inlineStr">
        <is>
          <t>midcap</t>
        </is>
      </c>
      <c r="F328" s="31" t="n">
        <v>16417.26</v>
      </c>
      <c r="G328" s="31" t="n">
        <v>1225.3</v>
      </c>
      <c r="H328" s="31" t="n">
        <v>-0.34</v>
      </c>
      <c r="I328" s="31" t="n">
        <v>145875</v>
      </c>
      <c r="J328" s="31" t="inlineStr">
        <is>
          <t>519600</t>
        </is>
      </c>
    </row>
    <row r="329">
      <c r="A329" s="31" t="inlineStr">
        <is>
          <t>CAPLIPOINT</t>
        </is>
      </c>
      <c r="B329" s="31" t="inlineStr">
        <is>
          <t>Caplin Point Laboratories Limited</t>
        </is>
      </c>
      <c r="C329" s="31" t="inlineStr">
        <is>
          <t>healthcare</t>
        </is>
      </c>
      <c r="D329" s="31" t="inlineStr">
        <is>
          <t>pharmaceuticals - indian - formulations</t>
        </is>
      </c>
      <c r="E329" s="31" t="inlineStr">
        <is>
          <t>largecap</t>
        </is>
      </c>
      <c r="F329" s="31" t="n">
        <v>20206.95</v>
      </c>
      <c r="G329" s="31" t="n">
        <v>2648.1</v>
      </c>
      <c r="H329" s="31" t="n">
        <v>-0.39</v>
      </c>
      <c r="I329" s="31" t="n">
        <v>93051</v>
      </c>
      <c r="J329" s="31" t="inlineStr">
        <is>
          <t>524742</t>
        </is>
      </c>
    </row>
    <row r="330">
      <c r="A330" s="31" t="inlineStr">
        <is>
          <t>GOODLUCK</t>
        </is>
      </c>
      <c r="B330" s="31" t="inlineStr">
        <is>
          <t>Goodluck India Limited</t>
        </is>
      </c>
      <c r="C330" s="31" t="inlineStr">
        <is>
          <t>metals &amp; mining</t>
        </is>
      </c>
      <c r="D330" s="31" t="inlineStr">
        <is>
          <t>steel - medium / small</t>
        </is>
      </c>
      <c r="E330" s="31" t="inlineStr">
        <is>
          <t>midcap</t>
        </is>
      </c>
      <c r="F330" s="31" t="n">
        <v>5250.02</v>
      </c>
      <c r="G330" s="31" t="n">
        <v>1573</v>
      </c>
      <c r="H330" s="31" t="n">
        <v>-0.41</v>
      </c>
      <c r="I330" s="31" t="n">
        <v>72062</v>
      </c>
      <c r="J330" s="31" t="inlineStr">
        <is>
          <t>530655</t>
        </is>
      </c>
    </row>
    <row r="331">
      <c r="A331" s="31" t="inlineStr">
        <is>
          <t>LAURUSLABS</t>
        </is>
      </c>
      <c r="B331" s="31" t="inlineStr">
        <is>
          <t>Laurus Labs Limited</t>
        </is>
      </c>
      <c r="C331" s="31" t="inlineStr">
        <is>
          <t>healthcare</t>
        </is>
      </c>
      <c r="D331" s="31" t="inlineStr">
        <is>
          <t>pharmaceuticals - indian - bulk drugs &amp; formln</t>
        </is>
      </c>
      <c r="E331" s="31" t="inlineStr">
        <is>
          <t>largecap</t>
        </is>
      </c>
      <c r="F331" s="31" t="n">
        <v>84255.42</v>
      </c>
      <c r="G331" s="31" t="n">
        <v>1554.3</v>
      </c>
      <c r="H331" s="31" t="n">
        <v>-0.41</v>
      </c>
      <c r="I331" s="31" t="n">
        <v>1430478</v>
      </c>
      <c r="J331" s="31" t="inlineStr">
        <is>
          <t>540222</t>
        </is>
      </c>
    </row>
    <row r="332">
      <c r="A332" s="31" t="inlineStr">
        <is>
          <t>SAILIFE</t>
        </is>
      </c>
      <c r="B332" s="31" t="inlineStr">
        <is>
          <t>Sai Life Sciences Ltd</t>
        </is>
      </c>
      <c r="C332" s="31" t="inlineStr">
        <is>
          <t>healthcare</t>
        </is>
      </c>
      <c r="D332" s="31" t="inlineStr">
        <is>
          <t>pharmaceuticals - indian - bulk drugs &amp; formln</t>
        </is>
      </c>
      <c r="E332" s="31" t="inlineStr">
        <is>
          <t>largecap</t>
        </is>
      </c>
      <c r="F332" s="31" t="n">
        <v>26870.55</v>
      </c>
      <c r="G332" s="31" t="n">
        <v>1263.2</v>
      </c>
      <c r="H332" s="31" t="n">
        <v>-0.44</v>
      </c>
      <c r="I332" s="31" t="n">
        <v>161992</v>
      </c>
      <c r="J332" s="31" t="inlineStr">
        <is>
          <t>544306</t>
        </is>
      </c>
    </row>
    <row r="333">
      <c r="A333" s="31" t="inlineStr">
        <is>
          <t>PRESTIGE</t>
        </is>
      </c>
      <c r="B333" s="31" t="inlineStr">
        <is>
          <t>Prestige Estates Projects Limited</t>
        </is>
      </c>
      <c r="C333" s="31" t="inlineStr">
        <is>
          <t>realty</t>
        </is>
      </c>
      <c r="D333" s="31" t="inlineStr">
        <is>
          <t>construction</t>
        </is>
      </c>
      <c r="E333" s="31" t="inlineStr">
        <is>
          <t>largecap</t>
        </is>
      </c>
      <c r="F333" s="31" t="n">
        <v>72948.47</v>
      </c>
      <c r="G333" s="31" t="n">
        <v>1686</v>
      </c>
      <c r="H333" s="31" t="n">
        <v>-0.45</v>
      </c>
      <c r="I333" s="31" t="n">
        <v>335239</v>
      </c>
      <c r="J333" s="31" t="inlineStr">
        <is>
          <t>533274</t>
        </is>
      </c>
    </row>
    <row r="334">
      <c r="A334" s="31" t="inlineStr">
        <is>
          <t>MARICO</t>
        </is>
      </c>
      <c r="B334" s="31" t="inlineStr">
        <is>
          <t>Marico Limited</t>
        </is>
      </c>
      <c r="C334" s="31" t="inlineStr">
        <is>
          <t>fmcg</t>
        </is>
      </c>
      <c r="D334" s="31" t="inlineStr">
        <is>
          <t>solvent extraction</t>
        </is>
      </c>
      <c r="E334" s="31" t="inlineStr">
        <is>
          <t>largecap</t>
        </is>
      </c>
      <c r="F334" s="31" t="n">
        <v>110115.48</v>
      </c>
      <c r="G334" s="31" t="n">
        <v>844.45</v>
      </c>
      <c r="H334" s="31" t="n">
        <v>-0.45</v>
      </c>
      <c r="I334" s="31" t="n">
        <v>1449908</v>
      </c>
      <c r="J334" s="31" t="inlineStr">
        <is>
          <t>531642</t>
        </is>
      </c>
    </row>
    <row r="335">
      <c r="A335" s="31" t="inlineStr">
        <is>
          <t>AVADHSUGAR</t>
        </is>
      </c>
      <c r="B335" s="31" t="inlineStr">
        <is>
          <t>Avadh Sugar &amp; Energy</t>
        </is>
      </c>
      <c r="C335" s="31" t="inlineStr">
        <is>
          <t>fmcg</t>
        </is>
      </c>
      <c r="D335" s="31" t="inlineStr">
        <is>
          <t>sugar</t>
        </is>
      </c>
      <c r="E335" s="31" t="inlineStr">
        <is>
          <t>smallcap</t>
        </is>
      </c>
      <c r="F335" s="31" t="n">
        <v>1079.59</v>
      </c>
      <c r="G335" s="31" t="n">
        <v>536.8</v>
      </c>
      <c r="H335" s="31" t="n">
        <v>-0.46</v>
      </c>
      <c r="I335" s="31" t="n">
        <v>30116</v>
      </c>
      <c r="J335" s="31" t="inlineStr">
        <is>
          <t>540649</t>
        </is>
      </c>
    </row>
    <row r="336">
      <c r="A336" s="31" t="inlineStr">
        <is>
          <t>CUB</t>
        </is>
      </c>
      <c r="B336" s="31" t="inlineStr">
        <is>
          <t>City Union Bank Limited</t>
        </is>
      </c>
      <c r="C336" s="31" t="inlineStr">
        <is>
          <t>bank</t>
        </is>
      </c>
      <c r="D336" s="31" t="inlineStr">
        <is>
          <t>banks - private sector</t>
        </is>
      </c>
      <c r="E336" s="31" t="inlineStr">
        <is>
          <t>midcap</t>
        </is>
      </c>
      <c r="F336" s="31" t="n">
        <v>16443.64</v>
      </c>
      <c r="G336" s="31" t="n">
        <v>220.21</v>
      </c>
      <c r="H336" s="31" t="n">
        <v>-0.49</v>
      </c>
      <c r="I336" s="31" t="n">
        <v>2595607</v>
      </c>
      <c r="J336" s="31" t="inlineStr">
        <is>
          <t>532210</t>
        </is>
      </c>
    </row>
    <row r="337">
      <c r="A337" s="31" t="inlineStr">
        <is>
          <t>MIRZAINT</t>
        </is>
      </c>
      <c r="B337" s="31" t="inlineStr">
        <is>
          <t>Mirza International Limited</t>
        </is>
      </c>
      <c r="C337" s="31" t="inlineStr">
        <is>
          <t>consumer discretionary</t>
        </is>
      </c>
      <c r="D337" s="31" t="inlineStr">
        <is>
          <t>leather / leather products</t>
        </is>
      </c>
      <c r="E337" s="31" t="inlineStr">
        <is>
          <t>smallcap</t>
        </is>
      </c>
      <c r="F337" s="31" t="n">
        <v>519.78</v>
      </c>
      <c r="G337" s="31" t="n">
        <v>37.42</v>
      </c>
      <c r="H337" s="31" t="n">
        <v>-0.51</v>
      </c>
      <c r="I337" s="31" t="n">
        <v>272759</v>
      </c>
      <c r="J337" s="31" t="inlineStr">
        <is>
          <t>526642</t>
        </is>
      </c>
    </row>
    <row r="338">
      <c r="A338" s="31" t="inlineStr">
        <is>
          <t>VISAKAIND</t>
        </is>
      </c>
      <c r="B338" s="31" t="inlineStr">
        <is>
          <t>Visaka Industries Limited</t>
        </is>
      </c>
      <c r="C338" s="31" t="inlineStr">
        <is>
          <t>building materials</t>
        </is>
      </c>
      <c r="D338" s="31" t="inlineStr">
        <is>
          <t>cement products</t>
        </is>
      </c>
      <c r="E338" s="31" t="inlineStr">
        <is>
          <t>smallcap</t>
        </is>
      </c>
      <c r="F338" s="31" t="n">
        <v>725.89</v>
      </c>
      <c r="G338" s="31" t="n">
        <v>83.56999999999999</v>
      </c>
      <c r="H338" s="31" t="n">
        <v>-0.52</v>
      </c>
      <c r="I338" s="31" t="n">
        <v>301047</v>
      </c>
      <c r="J338" s="31" t="inlineStr">
        <is>
          <t>509055</t>
        </is>
      </c>
    </row>
    <row r="339">
      <c r="A339" s="31" t="inlineStr">
        <is>
          <t>SPORTKING</t>
        </is>
      </c>
      <c r="B339" s="31" t="inlineStr">
        <is>
          <t>Sportking India Ltd</t>
        </is>
      </c>
      <c r="C339" s="31" t="inlineStr">
        <is>
          <t>textiles</t>
        </is>
      </c>
      <c r="D339" s="31" t="inlineStr">
        <is>
          <t>textiles - spinning - synthetic / blended</t>
        </is>
      </c>
      <c r="E339" s="31" t="inlineStr">
        <is>
          <t>smallcap</t>
        </is>
      </c>
      <c r="F339" s="31" t="n">
        <v>2501.41</v>
      </c>
      <c r="G339" s="31" t="n">
        <v>195.8</v>
      </c>
      <c r="H339" s="31" t="n">
        <v>-0.53</v>
      </c>
      <c r="I339" s="31" t="n">
        <v>426737</v>
      </c>
      <c r="J339" s="31" t="inlineStr">
        <is>
          <t>539221</t>
        </is>
      </c>
    </row>
    <row r="340">
      <c r="A340" s="31" t="inlineStr">
        <is>
          <t>XPROINDIA</t>
        </is>
      </c>
      <c r="B340" s="31" t="inlineStr">
        <is>
          <t>Xpro India Limited</t>
        </is>
      </c>
      <c r="C340" s="31" t="inlineStr">
        <is>
          <t>industrials</t>
        </is>
      </c>
      <c r="D340" s="31" t="inlineStr">
        <is>
          <t>packaging</t>
        </is>
      </c>
      <c r="E340" s="31" t="inlineStr">
        <is>
          <t>smallcap</t>
        </is>
      </c>
      <c r="F340" s="31" t="n">
        <v>3287.03</v>
      </c>
      <c r="G340" s="31" t="n">
        <v>1393</v>
      </c>
      <c r="H340" s="31" t="n">
        <v>-0.54</v>
      </c>
      <c r="I340" s="31" t="n">
        <v>22780</v>
      </c>
      <c r="J340" s="31" t="inlineStr">
        <is>
          <t>590013</t>
        </is>
      </c>
    </row>
    <row r="341">
      <c r="A341" s="31" t="inlineStr">
        <is>
          <t>NORTHARC</t>
        </is>
      </c>
      <c r="B341" s="31" t="inlineStr">
        <is>
          <t>Northern ARC Capital Ltd</t>
        </is>
      </c>
      <c r="C341" s="31" t="inlineStr">
        <is>
          <t>financials</t>
        </is>
      </c>
      <c r="D341" s="31" t="inlineStr">
        <is>
          <t>finance &amp; investments</t>
        </is>
      </c>
      <c r="E341" s="31" t="inlineStr">
        <is>
          <t>midcap</t>
        </is>
      </c>
      <c r="F341" s="31" t="n">
        <v>5152.53</v>
      </c>
      <c r="G341" s="31" t="n">
        <v>317.1</v>
      </c>
      <c r="H341" s="31" t="n">
        <v>-0.5600000000000001</v>
      </c>
      <c r="I341" s="31" t="n">
        <v>714812</v>
      </c>
      <c r="J341" s="31" t="n"/>
    </row>
    <row r="342">
      <c r="A342" s="31" t="inlineStr">
        <is>
          <t>PAISALO</t>
        </is>
      </c>
      <c r="B342" s="31" t="inlineStr">
        <is>
          <t>Paisalo Digital Ltd</t>
        </is>
      </c>
      <c r="C342" s="31" t="inlineStr">
        <is>
          <t>financials</t>
        </is>
      </c>
      <c r="D342" s="31" t="inlineStr">
        <is>
          <t>finance &amp; investments</t>
        </is>
      </c>
      <c r="E342" s="31" t="inlineStr">
        <is>
          <t>midcap</t>
        </is>
      </c>
      <c r="F342" s="31" t="n">
        <v>6589.49</v>
      </c>
      <c r="G342" s="31" t="n">
        <v>72.03</v>
      </c>
      <c r="H342" s="31" t="n">
        <v>-0.58</v>
      </c>
      <c r="I342" s="31" t="n">
        <v>25924110</v>
      </c>
      <c r="J342" s="31" t="inlineStr">
        <is>
          <t>532900</t>
        </is>
      </c>
    </row>
    <row r="343">
      <c r="A343" s="31" t="inlineStr">
        <is>
          <t>BIOCON</t>
        </is>
      </c>
      <c r="B343" s="31" t="inlineStr">
        <is>
          <t>Biocon Limited</t>
        </is>
      </c>
      <c r="C343" s="31" t="inlineStr">
        <is>
          <t>healthcare</t>
        </is>
      </c>
      <c r="D343" s="31" t="inlineStr">
        <is>
          <t>pharmaceuticals - indian - bulk drugs &amp; formln</t>
        </is>
      </c>
      <c r="E343" s="31" t="inlineStr">
        <is>
          <t>largecap</t>
        </is>
      </c>
      <c r="F343" s="31" t="n">
        <v>71266.52</v>
      </c>
      <c r="G343" s="31" t="n">
        <v>434.6</v>
      </c>
      <c r="H343" s="31" t="n">
        <v>-0.62</v>
      </c>
      <c r="I343" s="31" t="n">
        <v>10227722</v>
      </c>
      <c r="J343" s="31" t="inlineStr">
        <is>
          <t>532523</t>
        </is>
      </c>
    </row>
    <row r="344">
      <c r="A344" s="31" t="inlineStr">
        <is>
          <t>TVSSCS</t>
        </is>
      </c>
      <c r="B344" s="31" t="inlineStr">
        <is>
          <t>TVS Supply Chain Solutions Ltd</t>
        </is>
      </c>
      <c r="C344" s="31" t="inlineStr">
        <is>
          <t>transportation</t>
        </is>
      </c>
      <c r="D344" s="31" t="inlineStr">
        <is>
          <t>miscellaneous</t>
        </is>
      </c>
      <c r="E344" s="31" t="inlineStr">
        <is>
          <t>midcap</t>
        </is>
      </c>
      <c r="F344" s="31" t="n">
        <v>6153.58</v>
      </c>
      <c r="G344" s="31" t="n">
        <v>138.59</v>
      </c>
      <c r="H344" s="31" t="n">
        <v>-0.64</v>
      </c>
      <c r="I344" s="31" t="n">
        <v>278444</v>
      </c>
      <c r="J344" s="31" t="inlineStr">
        <is>
          <t>543965</t>
        </is>
      </c>
    </row>
    <row r="345">
      <c r="A345" s="31" t="inlineStr">
        <is>
          <t>SIGNPOST</t>
        </is>
      </c>
      <c r="B345" s="31" t="inlineStr">
        <is>
          <t>Signpost India Ltd</t>
        </is>
      </c>
      <c r="C345" s="31" t="inlineStr">
        <is>
          <t>miscellaneous</t>
        </is>
      </c>
      <c r="D345" s="31" t="inlineStr">
        <is>
          <t>miscellaneous</t>
        </is>
      </c>
      <c r="E345" s="31" t="inlineStr">
        <is>
          <t>smallcap</t>
        </is>
      </c>
      <c r="F345" s="31" t="n">
        <v>1721.36</v>
      </c>
      <c r="G345" s="31" t="n">
        <v>320</v>
      </c>
      <c r="H345" s="31" t="n">
        <v>-0.64</v>
      </c>
      <c r="I345" s="31" t="n">
        <v>124640</v>
      </c>
      <c r="J345" s="31" t="n"/>
    </row>
    <row r="346">
      <c r="A346" s="31" t="inlineStr">
        <is>
          <t>GRWRHITECH</t>
        </is>
      </c>
      <c r="B346" s="31" t="inlineStr">
        <is>
          <t>Garware Hi Tech Films Ltd</t>
        </is>
      </c>
      <c r="C346" s="31" t="inlineStr">
        <is>
          <t>industrials</t>
        </is>
      </c>
      <c r="D346" s="31" t="inlineStr">
        <is>
          <t>packaging</t>
        </is>
      </c>
      <c r="E346" s="31" t="inlineStr">
        <is>
          <t>midcap</t>
        </is>
      </c>
      <c r="F346" s="31" t="n">
        <v>16348.64</v>
      </c>
      <c r="G346" s="31" t="n">
        <v>6991</v>
      </c>
      <c r="H346" s="31" t="n">
        <v>-0.65</v>
      </c>
      <c r="I346" s="31" t="n">
        <v>24145</v>
      </c>
      <c r="J346" s="31" t="inlineStr">
        <is>
          <t>500655</t>
        </is>
      </c>
    </row>
    <row r="347">
      <c r="A347" s="31" t="inlineStr">
        <is>
          <t>GUFICBIO</t>
        </is>
      </c>
      <c r="B347" s="31" t="inlineStr">
        <is>
          <t>Gufic Biosciences Limited</t>
        </is>
      </c>
      <c r="C347" s="31" t="inlineStr">
        <is>
          <t>healthcare</t>
        </is>
      </c>
      <c r="D347" s="31" t="inlineStr">
        <is>
          <t>pharmaceuticals - indian - bulk drugs &amp; formln</t>
        </is>
      </c>
      <c r="E347" s="31" t="inlineStr">
        <is>
          <t>smallcap</t>
        </is>
      </c>
      <c r="F347" s="31" t="n">
        <v>4004.28</v>
      </c>
      <c r="G347" s="31" t="n">
        <v>396.6</v>
      </c>
      <c r="H347" s="31" t="n">
        <v>-0.68</v>
      </c>
      <c r="I347" s="31" t="n">
        <v>78004</v>
      </c>
      <c r="J347" s="31" t="inlineStr">
        <is>
          <t>509079</t>
        </is>
      </c>
    </row>
    <row r="348">
      <c r="A348" s="31" t="inlineStr">
        <is>
          <t>KANORICHEM</t>
        </is>
      </c>
      <c r="B348" s="31" t="inlineStr">
        <is>
          <t>Kanoria Chemicals &amp; Industries Limited</t>
        </is>
      </c>
      <c r="C348" s="31" t="inlineStr">
        <is>
          <t>chemicals</t>
        </is>
      </c>
      <c r="D348" s="31" t="inlineStr">
        <is>
          <t>chemicals</t>
        </is>
      </c>
      <c r="E348" s="31" t="inlineStr">
        <is>
          <t>smallcap</t>
        </is>
      </c>
      <c r="F348" s="31" t="n">
        <v>579.5</v>
      </c>
      <c r="G348" s="31" t="n">
        <v>131.7</v>
      </c>
      <c r="H348" s="31" t="n">
        <v>-0.7</v>
      </c>
      <c r="I348" s="31" t="n">
        <v>14939</v>
      </c>
      <c r="J348" s="31" t="inlineStr">
        <is>
          <t>506525</t>
        </is>
      </c>
    </row>
    <row r="349">
      <c r="A349" s="31" t="inlineStr">
        <is>
          <t>AVL</t>
        </is>
      </c>
      <c r="B349" s="31" t="inlineStr">
        <is>
          <t>Aditya Vision Ltd</t>
        </is>
      </c>
      <c r="C349" s="31" t="inlineStr">
        <is>
          <t>consumer discretionary</t>
        </is>
      </c>
      <c r="D349" s="31" t="inlineStr">
        <is>
          <t>trading</t>
        </is>
      </c>
      <c r="E349" s="31" t="inlineStr">
        <is>
          <t>midcap</t>
        </is>
      </c>
      <c r="F349" s="31" t="n">
        <v>8206.08</v>
      </c>
      <c r="G349" s="31" t="n">
        <v>630.9</v>
      </c>
      <c r="H349" s="31" t="n">
        <v>-0.72</v>
      </c>
      <c r="I349" s="31" t="n">
        <v>73380</v>
      </c>
      <c r="J349" s="31" t="inlineStr">
        <is>
          <t>540205</t>
        </is>
      </c>
    </row>
    <row r="350">
      <c r="A350" s="31" t="inlineStr">
        <is>
          <t>ADANIENSOL</t>
        </is>
      </c>
      <c r="B350" s="31" t="inlineStr">
        <is>
          <t>Adani Energy Solutions Ltd</t>
        </is>
      </c>
      <c r="C350" s="31" t="inlineStr">
        <is>
          <t>power &amp; utilities</t>
        </is>
      </c>
      <c r="D350" s="31" t="inlineStr">
        <is>
          <t>power generation and supply</t>
        </is>
      </c>
      <c r="E350" s="31" t="inlineStr">
        <is>
          <t>largecap</t>
        </is>
      </c>
      <c r="F350" s="31" t="n">
        <v>203052.81</v>
      </c>
      <c r="G350" s="31" t="n">
        <v>1678</v>
      </c>
      <c r="H350" s="31" t="n">
        <v>-0.73</v>
      </c>
      <c r="I350" s="31" t="n">
        <v>1169342</v>
      </c>
      <c r="J350" s="31" t="inlineStr">
        <is>
          <t>539254</t>
        </is>
      </c>
    </row>
    <row r="351">
      <c r="A351" s="31" t="inlineStr">
        <is>
          <t>PGHL</t>
        </is>
      </c>
      <c r="B351" s="31" t="inlineStr">
        <is>
          <t>Procter &amp; Gamble Health Ltd</t>
        </is>
      </c>
      <c r="C351" s="31" t="inlineStr">
        <is>
          <t>healthcare</t>
        </is>
      </c>
      <c r="D351" s="31" t="inlineStr">
        <is>
          <t>pharmaceuticals - multinational</t>
        </is>
      </c>
      <c r="E351" s="31" t="inlineStr">
        <is>
          <t>midcap</t>
        </is>
      </c>
      <c r="F351" s="31" t="n">
        <v>11484.28</v>
      </c>
      <c r="G351" s="31" t="n">
        <v>6867</v>
      </c>
      <c r="H351" s="31" t="n">
        <v>-0.74</v>
      </c>
      <c r="I351" s="31" t="n">
        <v>22532</v>
      </c>
      <c r="J351" s="31" t="inlineStr">
        <is>
          <t>500126</t>
        </is>
      </c>
    </row>
    <row r="352">
      <c r="A352" s="31" t="inlineStr">
        <is>
          <t>ETHOSLTD</t>
        </is>
      </c>
      <c r="B352" s="31" t="inlineStr">
        <is>
          <t>Ethos Ltd</t>
        </is>
      </c>
      <c r="C352" s="31" t="inlineStr">
        <is>
          <t>consumer discretionary</t>
        </is>
      </c>
      <c r="D352" s="31" t="inlineStr">
        <is>
          <t>trading</t>
        </is>
      </c>
      <c r="E352" s="31" t="inlineStr">
        <is>
          <t>midcap</t>
        </is>
      </c>
      <c r="F352" s="31" t="n">
        <v>7079.28</v>
      </c>
      <c r="G352" s="31" t="n">
        <v>2625.8</v>
      </c>
      <c r="H352" s="31" t="n">
        <v>-0.75</v>
      </c>
      <c r="I352" s="31" t="n">
        <v>35409</v>
      </c>
      <c r="J352" s="31" t="inlineStr">
        <is>
          <t>543532</t>
        </is>
      </c>
    </row>
    <row r="353">
      <c r="A353" s="31" t="inlineStr">
        <is>
          <t>NUVAMA</t>
        </is>
      </c>
      <c r="B353" s="31" t="inlineStr">
        <is>
          <t>Nuvama Wealth Management Ltd</t>
        </is>
      </c>
      <c r="C353" s="31" t="inlineStr">
        <is>
          <t>financials</t>
        </is>
      </c>
      <c r="D353" s="31" t="inlineStr">
        <is>
          <t>finance &amp; investments</t>
        </is>
      </c>
      <c r="E353" s="31" t="inlineStr">
        <is>
          <t>largecap</t>
        </is>
      </c>
      <c r="F353" s="31" t="n">
        <v>35205.01</v>
      </c>
      <c r="G353" s="31" t="n">
        <v>1919.3</v>
      </c>
      <c r="H353" s="31" t="n">
        <v>-0.75</v>
      </c>
      <c r="I353" s="31" t="n">
        <v>251998</v>
      </c>
      <c r="J353" s="31" t="inlineStr">
        <is>
          <t>543988</t>
        </is>
      </c>
    </row>
    <row r="354">
      <c r="A354" s="31" t="inlineStr">
        <is>
          <t>HONASA</t>
        </is>
      </c>
      <c r="B354" s="31" t="inlineStr">
        <is>
          <t>Honasa Consumer Ltd</t>
        </is>
      </c>
      <c r="C354" s="31" t="inlineStr">
        <is>
          <t>services</t>
        </is>
      </c>
      <c r="D354" s="31" t="inlineStr">
        <is>
          <t>trading</t>
        </is>
      </c>
      <c r="E354" s="31" t="inlineStr">
        <is>
          <t>midcap</t>
        </is>
      </c>
      <c r="F354" s="31" t="n">
        <v>15435.54</v>
      </c>
      <c r="G354" s="31" t="n">
        <v>470.75</v>
      </c>
      <c r="H354" s="31" t="n">
        <v>-0.77</v>
      </c>
      <c r="I354" s="31" t="n">
        <v>635093</v>
      </c>
      <c r="J354" s="31" t="inlineStr">
        <is>
          <t>544014</t>
        </is>
      </c>
    </row>
    <row r="355">
      <c r="A355" s="31" t="inlineStr">
        <is>
          <t>STOVEKRAFT</t>
        </is>
      </c>
      <c r="B355" s="31" t="inlineStr">
        <is>
          <t>Stove Kraft Ltd</t>
        </is>
      </c>
      <c r="C355" s="31" t="inlineStr">
        <is>
          <t>consumer discretionary</t>
        </is>
      </c>
      <c r="D355" s="31" t="inlineStr">
        <is>
          <t>domestic appliances</t>
        </is>
      </c>
      <c r="E355" s="31" t="inlineStr">
        <is>
          <t>smallcap</t>
        </is>
      </c>
      <c r="F355" s="31" t="n">
        <v>2556.05</v>
      </c>
      <c r="G355" s="31" t="n">
        <v>765.75</v>
      </c>
      <c r="H355" s="31" t="n">
        <v>-0.82</v>
      </c>
      <c r="I355" s="31" t="n">
        <v>158590</v>
      </c>
      <c r="J355" s="31" t="inlineStr">
        <is>
          <t>543260</t>
        </is>
      </c>
    </row>
    <row r="356">
      <c r="A356" s="31" t="inlineStr">
        <is>
          <t>FUSION</t>
        </is>
      </c>
      <c r="B356" s="31" t="inlineStr">
        <is>
          <t>Fusion Micro Finance Ltd</t>
        </is>
      </c>
      <c r="C356" s="31" t="inlineStr">
        <is>
          <t>financials</t>
        </is>
      </c>
      <c r="D356" s="31" t="inlineStr">
        <is>
          <t>finance &amp; investments</t>
        </is>
      </c>
      <c r="E356" s="31" t="inlineStr">
        <is>
          <t>smallcap</t>
        </is>
      </c>
      <c r="F356" s="31" t="n">
        <v>3729.35</v>
      </c>
      <c r="G356" s="31" t="n">
        <v>228.12</v>
      </c>
      <c r="H356" s="31" t="n">
        <v>-0.86</v>
      </c>
      <c r="I356" s="31" t="n">
        <v>508782</v>
      </c>
      <c r="J356" s="31" t="inlineStr">
        <is>
          <t>543652</t>
        </is>
      </c>
    </row>
    <row r="357">
      <c r="A357" s="31" t="inlineStr">
        <is>
          <t>VARROC</t>
        </is>
      </c>
      <c r="B357" s="31" t="inlineStr">
        <is>
          <t>Varroc Engineering Ltd</t>
        </is>
      </c>
      <c r="C357" s="31" t="inlineStr">
        <is>
          <t>auto</t>
        </is>
      </c>
      <c r="D357" s="31" t="inlineStr">
        <is>
          <t>auto ancillaries</t>
        </is>
      </c>
      <c r="E357" s="31" t="inlineStr">
        <is>
          <t>midcap</t>
        </is>
      </c>
      <c r="F357" s="31" t="n">
        <v>10186.27</v>
      </c>
      <c r="G357" s="31" t="n">
        <v>660.55</v>
      </c>
      <c r="H357" s="31" t="n">
        <v>-0.92</v>
      </c>
      <c r="I357" s="31" t="n">
        <v>110560</v>
      </c>
      <c r="J357" s="31" t="inlineStr">
        <is>
          <t>541578</t>
        </is>
      </c>
    </row>
    <row r="358">
      <c r="A358" s="31" t="inlineStr">
        <is>
          <t>MONARCH</t>
        </is>
      </c>
      <c r="B358" s="31" t="inlineStr">
        <is>
          <t>Monarch Networth Capital Ltd</t>
        </is>
      </c>
      <c r="C358" s="31" t="inlineStr">
        <is>
          <t>financials</t>
        </is>
      </c>
      <c r="D358" s="31" t="inlineStr">
        <is>
          <t>finance &amp; investments</t>
        </is>
      </c>
      <c r="E358" s="31" t="inlineStr">
        <is>
          <t>smallcap</t>
        </is>
      </c>
      <c r="F358" s="31" t="n">
        <v>2856.43</v>
      </c>
      <c r="G358" s="31" t="n">
        <v>357</v>
      </c>
      <c r="H358" s="31" t="n">
        <v>-0.93</v>
      </c>
      <c r="I358" s="31" t="n">
        <v>44260</v>
      </c>
      <c r="J358" s="31" t="inlineStr">
        <is>
          <t>511551</t>
        </is>
      </c>
    </row>
    <row r="359">
      <c r="A359" s="31" t="inlineStr">
        <is>
          <t>WABAG</t>
        </is>
      </c>
      <c r="B359" s="31" t="inlineStr">
        <is>
          <t>Va Tech Wabag Limited</t>
        </is>
      </c>
      <c r="C359" s="31" t="inlineStr">
        <is>
          <t>realty</t>
        </is>
      </c>
      <c r="D359" s="31" t="inlineStr">
        <is>
          <t>engineering - turnkey services</t>
        </is>
      </c>
      <c r="E359" s="31" t="inlineStr">
        <is>
          <t>midcap</t>
        </is>
      </c>
      <c r="F359" s="31" t="n">
        <v>13209.63</v>
      </c>
      <c r="G359" s="31" t="n">
        <v>2100.3</v>
      </c>
      <c r="H359" s="31" t="n">
        <v>-0.93</v>
      </c>
      <c r="I359" s="31" t="n">
        <v>698954</v>
      </c>
      <c r="J359" s="31" t="inlineStr">
        <is>
          <t>533269</t>
        </is>
      </c>
    </row>
    <row r="360">
      <c r="A360" s="31" t="inlineStr">
        <is>
          <t>GLAND</t>
        </is>
      </c>
      <c r="B360" s="31" t="inlineStr">
        <is>
          <t>Gland Pharma Ltd</t>
        </is>
      </c>
      <c r="C360" s="31" t="inlineStr">
        <is>
          <t>healthcare</t>
        </is>
      </c>
      <c r="D360" s="31" t="inlineStr">
        <is>
          <t>pharmaceuticals - indian - formulations</t>
        </is>
      </c>
      <c r="E360" s="31" t="inlineStr">
        <is>
          <t>largecap</t>
        </is>
      </c>
      <c r="F360" s="31" t="n">
        <v>40996.34</v>
      </c>
      <c r="G360" s="31" t="n">
        <v>2465.1</v>
      </c>
      <c r="H360" s="31" t="n">
        <v>-0.93</v>
      </c>
      <c r="I360" s="31" t="n">
        <v>325216</v>
      </c>
      <c r="J360" s="31" t="inlineStr">
        <is>
          <t>543245</t>
        </is>
      </c>
    </row>
    <row r="361">
      <c r="A361" s="31" t="inlineStr">
        <is>
          <t>ENTERO</t>
        </is>
      </c>
      <c r="B361" s="31" t="inlineStr">
        <is>
          <t>Entero Healthcare Solutions Ltd</t>
        </is>
      </c>
      <c r="C361" s="31" t="inlineStr">
        <is>
          <t>healthcare</t>
        </is>
      </c>
      <c r="D361" s="31" t="inlineStr">
        <is>
          <t>trading</t>
        </is>
      </c>
      <c r="E361" s="31" t="inlineStr">
        <is>
          <t>midcap</t>
        </is>
      </c>
      <c r="F361" s="31" t="n">
        <v>5402.32</v>
      </c>
      <c r="G361" s="31" t="n">
        <v>1230</v>
      </c>
      <c r="H361" s="31" t="n">
        <v>-0.93</v>
      </c>
      <c r="I361" s="31" t="n">
        <v>51750</v>
      </c>
      <c r="J361" s="31" t="inlineStr">
        <is>
          <t>544122</t>
        </is>
      </c>
    </row>
    <row r="362">
      <c r="A362" s="31" t="inlineStr">
        <is>
          <t>PREMIERENE</t>
        </is>
      </c>
      <c r="B362" s="31" t="inlineStr">
        <is>
          <t>Premier Energies Ltd</t>
        </is>
      </c>
      <c r="C362" s="31" t="inlineStr">
        <is>
          <t>services</t>
        </is>
      </c>
      <c r="D362" s="31" t="inlineStr">
        <is>
          <t>trading</t>
        </is>
      </c>
      <c r="E362" s="31" t="inlineStr">
        <is>
          <t>largecap</t>
        </is>
      </c>
      <c r="F362" s="31" t="n">
        <v>49870.15</v>
      </c>
      <c r="G362" s="31" t="n">
        <v>1090.7</v>
      </c>
      <c r="H362" s="31" t="n">
        <v>-0.93</v>
      </c>
      <c r="I362" s="31" t="n">
        <v>922554</v>
      </c>
      <c r="J362" s="31" t="n"/>
    </row>
    <row r="363">
      <c r="A363" s="31" t="inlineStr">
        <is>
          <t>BHARTIARTL</t>
        </is>
      </c>
      <c r="B363" s="31" t="inlineStr">
        <is>
          <t>Bharti Airtel Limited</t>
        </is>
      </c>
      <c r="C363" s="31" t="inlineStr">
        <is>
          <t>telecom-service</t>
        </is>
      </c>
      <c r="D363" s="31" t="inlineStr">
        <is>
          <t>telecommunications - service provider</t>
        </is>
      </c>
      <c r="E363" s="31" t="inlineStr">
        <is>
          <t>largecap</t>
        </is>
      </c>
      <c r="F363" s="31" t="n">
        <v>1208599.53</v>
      </c>
      <c r="G363" s="31" t="n">
        <v>1918.3</v>
      </c>
      <c r="H363" s="31" t="n">
        <v>-0.9399999999999999</v>
      </c>
      <c r="I363" s="31" t="n">
        <v>5763165</v>
      </c>
      <c r="J363" s="31" t="inlineStr">
        <is>
          <t>532454</t>
        </is>
      </c>
    </row>
    <row r="364">
      <c r="A364" s="31" t="inlineStr">
        <is>
          <t>PAYTM</t>
        </is>
      </c>
      <c r="B364" s="31" t="inlineStr">
        <is>
          <t>One 97 Communications Ltd</t>
        </is>
      </c>
      <c r="C364" s="31" t="inlineStr">
        <is>
          <t>i.t</t>
        </is>
      </c>
      <c r="D364" s="31" t="inlineStr">
        <is>
          <t>miscellaneous</t>
        </is>
      </c>
      <c r="E364" s="31" t="inlineStr">
        <is>
          <t>largecap</t>
        </is>
      </c>
      <c r="F364" s="31" t="n">
        <v>88415.91</v>
      </c>
      <c r="G364" s="31" t="n">
        <v>1368</v>
      </c>
      <c r="H364" s="31" t="n">
        <v>-0.97</v>
      </c>
      <c r="I364" s="31" t="n">
        <v>2680362</v>
      </c>
      <c r="J364" s="31" t="inlineStr">
        <is>
          <t>543396</t>
        </is>
      </c>
    </row>
    <row r="365">
      <c r="A365" s="31" t="inlineStr">
        <is>
          <t>GNA</t>
        </is>
      </c>
      <c r="B365" s="31" t="inlineStr">
        <is>
          <t>Gna Axles Limited</t>
        </is>
      </c>
      <c r="C365" s="31" t="inlineStr">
        <is>
          <t>auto</t>
        </is>
      </c>
      <c r="D365" s="31" t="inlineStr">
        <is>
          <t>auto ancillaries</t>
        </is>
      </c>
      <c r="E365" s="31" t="inlineStr">
        <is>
          <t>smallcap</t>
        </is>
      </c>
      <c r="F365" s="31" t="n">
        <v>2385.66</v>
      </c>
      <c r="G365" s="31" t="n">
        <v>549.9</v>
      </c>
      <c r="H365" s="31" t="n">
        <v>-1.04</v>
      </c>
      <c r="I365" s="31" t="n">
        <v>733686</v>
      </c>
      <c r="J365" s="31" t="inlineStr">
        <is>
          <t>540124</t>
        </is>
      </c>
    </row>
    <row r="366">
      <c r="A366" s="31" t="inlineStr">
        <is>
          <t>UFBL</t>
        </is>
      </c>
      <c r="B366" s="31" t="inlineStr">
        <is>
          <t>United Foodbrands Ltd</t>
        </is>
      </c>
      <c r="C366" s="31" t="inlineStr">
        <is>
          <t>consumer discretionary</t>
        </is>
      </c>
      <c r="D366" s="31" t="inlineStr">
        <is>
          <t>hotels</t>
        </is>
      </c>
      <c r="E366" s="31" t="inlineStr">
        <is>
          <t>smallcap</t>
        </is>
      </c>
      <c r="F366" s="31" t="n">
        <v>2892.2</v>
      </c>
      <c r="G366" s="31" t="n">
        <v>732.05</v>
      </c>
      <c r="H366" s="31" t="n">
        <v>-1.07</v>
      </c>
      <c r="I366" s="31" t="n">
        <v>39841</v>
      </c>
      <c r="J366" s="31" t="inlineStr">
        <is>
          <t>543283</t>
        </is>
      </c>
    </row>
    <row r="367">
      <c r="A367" s="31" t="inlineStr">
        <is>
          <t>BALRAMCHIN</t>
        </is>
      </c>
      <c r="B367" s="31" t="inlineStr">
        <is>
          <t>Balrampur Chini Mills Limited</t>
        </is>
      </c>
      <c r="C367" s="31" t="inlineStr">
        <is>
          <t>fmcg</t>
        </is>
      </c>
      <c r="D367" s="31" t="inlineStr">
        <is>
          <t>sugar</t>
        </is>
      </c>
      <c r="E367" s="31" t="inlineStr">
        <is>
          <t>midcap</t>
        </is>
      </c>
      <c r="F367" s="31" t="n">
        <v>12597.86</v>
      </c>
      <c r="G367" s="31" t="n">
        <v>589.85</v>
      </c>
      <c r="H367" s="31" t="n">
        <v>-1.08</v>
      </c>
      <c r="I367" s="31" t="n">
        <v>420894</v>
      </c>
      <c r="J367" s="31" t="inlineStr">
        <is>
          <t>500038</t>
        </is>
      </c>
    </row>
    <row r="368">
      <c r="A368" s="31" t="inlineStr">
        <is>
          <t>LALPATHLAB</t>
        </is>
      </c>
      <c r="B368" s="31" t="inlineStr">
        <is>
          <t>Dr. Lal Path Labs Ltd.</t>
        </is>
      </c>
      <c r="C368" s="31" t="inlineStr">
        <is>
          <t>healthcare</t>
        </is>
      </c>
      <c r="D368" s="31" t="inlineStr">
        <is>
          <t>healthcare</t>
        </is>
      </c>
      <c r="E368" s="31" t="inlineStr">
        <is>
          <t>largecap</t>
        </is>
      </c>
      <c r="F368" s="31" t="n">
        <v>29231.65</v>
      </c>
      <c r="G368" s="31" t="n">
        <v>1725</v>
      </c>
      <c r="H368" s="31" t="n">
        <v>-1.12</v>
      </c>
      <c r="I368" s="31" t="n">
        <v>309040</v>
      </c>
      <c r="J368" s="31" t="inlineStr">
        <is>
          <t>539524</t>
        </is>
      </c>
    </row>
    <row r="369">
      <c r="A369" s="31" t="inlineStr">
        <is>
          <t>GOKEX</t>
        </is>
      </c>
      <c r="B369" s="31" t="inlineStr">
        <is>
          <t>Gokaldas Exports Limited</t>
        </is>
      </c>
      <c r="C369" s="31" t="inlineStr">
        <is>
          <t>consumer discretionary</t>
        </is>
      </c>
      <c r="D369" s="31" t="inlineStr">
        <is>
          <t>textiles - products</t>
        </is>
      </c>
      <c r="E369" s="31" t="inlineStr">
        <is>
          <t>midcap</t>
        </is>
      </c>
      <c r="F369" s="31" t="n">
        <v>6165.59</v>
      </c>
      <c r="G369" s="31" t="n">
        <v>831.9</v>
      </c>
      <c r="H369" s="31" t="n">
        <v>-1.17</v>
      </c>
      <c r="I369" s="31" t="n">
        <v>572116</v>
      </c>
      <c r="J369" s="31" t="inlineStr">
        <is>
          <t>532630</t>
        </is>
      </c>
    </row>
    <row r="370">
      <c r="A370" s="31" t="inlineStr">
        <is>
          <t>ADANIENT</t>
        </is>
      </c>
      <c r="B370" s="31" t="inlineStr">
        <is>
          <t>Adani Enterprises Limited</t>
        </is>
      </c>
      <c r="C370" s="31" t="inlineStr">
        <is>
          <t>services</t>
        </is>
      </c>
      <c r="D370" s="31" t="inlineStr">
        <is>
          <t>trading</t>
        </is>
      </c>
      <c r="E370" s="31" t="inlineStr">
        <is>
          <t>largecap</t>
        </is>
      </c>
      <c r="F370" s="31" t="n">
        <v>415097.03</v>
      </c>
      <c r="G370" s="31" t="n">
        <v>3150.6</v>
      </c>
      <c r="H370" s="31" t="n">
        <v>-1.2</v>
      </c>
      <c r="I370" s="31" t="n">
        <v>1035416</v>
      </c>
      <c r="J370" s="31" t="inlineStr">
        <is>
          <t>512599</t>
        </is>
      </c>
    </row>
    <row r="371">
      <c r="A371" s="31" t="inlineStr">
        <is>
          <t>SYRMA</t>
        </is>
      </c>
      <c r="B371" s="31" t="inlineStr">
        <is>
          <t>Syrma SGS Technology Ltd</t>
        </is>
      </c>
      <c r="C371" s="31" t="inlineStr">
        <is>
          <t>consumer discretionary</t>
        </is>
      </c>
      <c r="D371" s="31" t="inlineStr">
        <is>
          <t>electronics - components</t>
        </is>
      </c>
      <c r="E371" s="31" t="inlineStr">
        <is>
          <t>largecap</t>
        </is>
      </c>
      <c r="F371" s="31" t="n">
        <v>27416.64</v>
      </c>
      <c r="G371" s="31" t="n">
        <v>1404.6</v>
      </c>
      <c r="H371" s="31" t="n">
        <v>-1.21</v>
      </c>
      <c r="I371" s="31" t="n">
        <v>629646</v>
      </c>
      <c r="J371" s="31" t="inlineStr">
        <is>
          <t>543573</t>
        </is>
      </c>
    </row>
    <row r="372">
      <c r="A372" s="31" t="inlineStr">
        <is>
          <t>SENCO</t>
        </is>
      </c>
      <c r="B372" s="31" t="inlineStr">
        <is>
          <t>Senco Gold Ltd</t>
        </is>
      </c>
      <c r="C372" s="31" t="inlineStr">
        <is>
          <t>consumer discretionary</t>
        </is>
      </c>
      <c r="D372" s="31" t="inlineStr">
        <is>
          <t>diamond cutting / jewellery</t>
        </is>
      </c>
      <c r="E372" s="31" t="inlineStr">
        <is>
          <t>midcap</t>
        </is>
      </c>
      <c r="F372" s="31" t="n">
        <v>6189.44</v>
      </c>
      <c r="G372" s="31" t="n">
        <v>373.2</v>
      </c>
      <c r="H372" s="31" t="n">
        <v>-1.23</v>
      </c>
      <c r="I372" s="31" t="n">
        <v>1164496</v>
      </c>
      <c r="J372" s="31" t="inlineStr">
        <is>
          <t>543936</t>
        </is>
      </c>
    </row>
    <row r="373">
      <c r="A373" s="31" t="inlineStr">
        <is>
          <t>OMAXE</t>
        </is>
      </c>
      <c r="B373" s="31" t="inlineStr">
        <is>
          <t>Omaxe Limited</t>
        </is>
      </c>
      <c r="C373" s="31" t="inlineStr">
        <is>
          <t>realty</t>
        </is>
      </c>
      <c r="D373" s="31" t="inlineStr">
        <is>
          <t>construction</t>
        </is>
      </c>
      <c r="E373" s="31" t="inlineStr">
        <is>
          <t>smallcap</t>
        </is>
      </c>
      <c r="F373" s="31" t="n">
        <v>1783.65</v>
      </c>
      <c r="G373" s="31" t="n">
        <v>96.31999999999999</v>
      </c>
      <c r="H373" s="31" t="n">
        <v>-1.23</v>
      </c>
      <c r="I373" s="31" t="n">
        <v>1924874</v>
      </c>
      <c r="J373" s="31" t="inlineStr">
        <is>
          <t>532880</t>
        </is>
      </c>
    </row>
    <row r="374">
      <c r="A374" s="31" t="inlineStr">
        <is>
          <t>KSL</t>
        </is>
      </c>
      <c r="B374" s="31" t="inlineStr">
        <is>
          <t>Kalyani Steels Limited</t>
        </is>
      </c>
      <c r="C374" s="31" t="inlineStr">
        <is>
          <t>metals &amp; mining</t>
        </is>
      </c>
      <c r="D374" s="31" t="inlineStr">
        <is>
          <t>steel - medium / small</t>
        </is>
      </c>
      <c r="E374" s="31" t="inlineStr">
        <is>
          <t>smallcap</t>
        </is>
      </c>
      <c r="F374" s="31" t="n">
        <v>4042.93</v>
      </c>
      <c r="G374" s="31" t="n">
        <v>914.8</v>
      </c>
      <c r="H374" s="31" t="n">
        <v>-1.23</v>
      </c>
      <c r="I374" s="31" t="n">
        <v>64152</v>
      </c>
      <c r="J374" s="31" t="inlineStr">
        <is>
          <t>500235</t>
        </is>
      </c>
    </row>
    <row r="375">
      <c r="A375" s="31" t="inlineStr">
        <is>
          <t>KDDL</t>
        </is>
      </c>
      <c r="B375" s="31" t="inlineStr">
        <is>
          <t>Kddl Limited</t>
        </is>
      </c>
      <c r="C375" s="31" t="inlineStr">
        <is>
          <t>consumer discretionary</t>
        </is>
      </c>
      <c r="D375" s="31" t="inlineStr">
        <is>
          <t>miscellaneous</t>
        </is>
      </c>
      <c r="E375" s="31" t="inlineStr">
        <is>
          <t>smallcap</t>
        </is>
      </c>
      <c r="F375" s="31" t="n">
        <v>4016.45</v>
      </c>
      <c r="G375" s="31" t="n">
        <v>3225</v>
      </c>
      <c r="H375" s="31" t="n">
        <v>-1.24</v>
      </c>
      <c r="I375" s="31" t="n">
        <v>14524</v>
      </c>
      <c r="J375" s="31" t="inlineStr">
        <is>
          <t>532054</t>
        </is>
      </c>
    </row>
    <row r="376">
      <c r="A376" s="31" t="inlineStr">
        <is>
          <t>CONSOFINVT</t>
        </is>
      </c>
      <c r="B376" s="31" t="inlineStr">
        <is>
          <t>Consolidated Finvest &amp; Holdings Limited</t>
        </is>
      </c>
      <c r="C376" s="31" t="inlineStr">
        <is>
          <t>financials</t>
        </is>
      </c>
      <c r="D376" s="31" t="inlineStr">
        <is>
          <t>finance &amp; investments</t>
        </is>
      </c>
      <c r="E376" s="31" t="inlineStr">
        <is>
          <t>smallcap</t>
        </is>
      </c>
      <c r="F376" s="31" t="n">
        <v>897.12</v>
      </c>
      <c r="G376" s="31" t="n">
        <v>274</v>
      </c>
      <c r="H376" s="31" t="n">
        <v>-1.27</v>
      </c>
      <c r="I376" s="31" t="n">
        <v>13665</v>
      </c>
      <c r="J376" s="31" t="inlineStr">
        <is>
          <t>500226</t>
        </is>
      </c>
    </row>
    <row r="377">
      <c r="A377" s="31" t="inlineStr">
        <is>
          <t>BLISSGVS</t>
        </is>
      </c>
      <c r="B377" s="31" t="inlineStr">
        <is>
          <t>Bliss Gvs Pharma Limited</t>
        </is>
      </c>
      <c r="C377" s="31" t="inlineStr">
        <is>
          <t>healthcare</t>
        </is>
      </c>
      <c r="D377" s="31" t="inlineStr">
        <is>
          <t>pharmaceuticals - indian - formulations</t>
        </is>
      </c>
      <c r="E377" s="31" t="inlineStr">
        <is>
          <t>midcap</t>
        </is>
      </c>
      <c r="F377" s="31" t="n">
        <v>5512.66</v>
      </c>
      <c r="G377" s="31" t="n">
        <v>514.5</v>
      </c>
      <c r="H377" s="31" t="n">
        <v>-1.27</v>
      </c>
      <c r="I377" s="31" t="n">
        <v>118120</v>
      </c>
      <c r="J377" s="31" t="inlineStr">
        <is>
          <t>506197</t>
        </is>
      </c>
    </row>
    <row r="378">
      <c r="A378" s="31" t="inlineStr">
        <is>
          <t>STYLAMIND</t>
        </is>
      </c>
      <c r="B378" s="31" t="inlineStr">
        <is>
          <t>Stylam Industries Ltd</t>
        </is>
      </c>
      <c r="C378" s="31" t="inlineStr">
        <is>
          <t>building materials</t>
        </is>
      </c>
      <c r="D378" s="31" t="inlineStr">
        <is>
          <t>miscellaneous</t>
        </is>
      </c>
      <c r="E378" s="31" t="inlineStr">
        <is>
          <t>midcap</t>
        </is>
      </c>
      <c r="F378" s="31" t="n">
        <v>5603.54</v>
      </c>
      <c r="G378" s="31" t="n">
        <v>3263.2</v>
      </c>
      <c r="H378" s="31" t="n">
        <v>-1.3</v>
      </c>
      <c r="I378" s="31" t="n">
        <v>42254</v>
      </c>
      <c r="J378" s="31" t="inlineStr">
        <is>
          <t>526951</t>
        </is>
      </c>
    </row>
    <row r="379">
      <c r="A379" s="31" t="inlineStr">
        <is>
          <t>HEALTHX</t>
        </is>
      </c>
      <c r="B379" s="31" t="inlineStr">
        <is>
          <t>Health X Platform Ltd</t>
        </is>
      </c>
      <c r="C379" s="31" t="inlineStr">
        <is>
          <t>financials</t>
        </is>
      </c>
      <c r="D379" s="31" t="inlineStr">
        <is>
          <t>finance &amp; investments</t>
        </is>
      </c>
      <c r="E379" s="31" t="inlineStr">
        <is>
          <t>smallcap</t>
        </is>
      </c>
      <c r="F379" s="31" t="n">
        <v>1063.58</v>
      </c>
      <c r="G379" s="31" t="n">
        <v>330</v>
      </c>
      <c r="H379" s="31" t="n">
        <v>-1.3</v>
      </c>
      <c r="I379" s="31" t="n">
        <v>11275</v>
      </c>
      <c r="J379" s="31" t="inlineStr">
        <is>
          <t>533259</t>
        </is>
      </c>
    </row>
    <row r="380">
      <c r="A380" s="31" t="inlineStr">
        <is>
          <t>RISHABH</t>
        </is>
      </c>
      <c r="B380" s="31" t="inlineStr">
        <is>
          <t>Rishabh Instruments Ltd</t>
        </is>
      </c>
      <c r="C380" s="31" t="inlineStr">
        <is>
          <t>industrials</t>
        </is>
      </c>
      <c r="D380" s="31" t="inlineStr">
        <is>
          <t>electric equipment</t>
        </is>
      </c>
      <c r="E380" s="31" t="inlineStr">
        <is>
          <t>smallcap</t>
        </is>
      </c>
      <c r="F380" s="31" t="n">
        <v>2517.63</v>
      </c>
      <c r="G380" s="31" t="n">
        <v>644.5</v>
      </c>
      <c r="H380" s="31" t="n">
        <v>-1.32</v>
      </c>
      <c r="I380" s="31" t="n">
        <v>217976</v>
      </c>
      <c r="J380" s="31" t="inlineStr">
        <is>
          <t>543977</t>
        </is>
      </c>
    </row>
    <row r="381">
      <c r="A381" s="31" t="inlineStr">
        <is>
          <t>DIAMONDYD</t>
        </is>
      </c>
      <c r="B381" s="31" t="inlineStr">
        <is>
          <t>Prataap Snacks Ltd</t>
        </is>
      </c>
      <c r="C381" s="31" t="inlineStr">
        <is>
          <t>fmcg</t>
        </is>
      </c>
      <c r="D381" s="31" t="inlineStr">
        <is>
          <t>food - processing - indian</t>
        </is>
      </c>
      <c r="E381" s="31" t="inlineStr">
        <is>
          <t>smallcap</t>
        </is>
      </c>
      <c r="F381" s="31" t="n">
        <v>2858.39</v>
      </c>
      <c r="G381" s="31" t="n">
        <v>1180</v>
      </c>
      <c r="H381" s="31" t="n">
        <v>-1.32</v>
      </c>
      <c r="I381" s="31" t="n">
        <v>8882</v>
      </c>
      <c r="J381" s="31" t="inlineStr">
        <is>
          <t>540724</t>
        </is>
      </c>
    </row>
    <row r="382">
      <c r="A382" s="31" t="inlineStr">
        <is>
          <t>INDSWFTLAB</t>
        </is>
      </c>
      <c r="B382" s="31" t="inlineStr">
        <is>
          <t>Ind-swift Laboratories Limited</t>
        </is>
      </c>
      <c r="C382" s="31" t="inlineStr">
        <is>
          <t>healthcare</t>
        </is>
      </c>
      <c r="D382" s="31" t="inlineStr">
        <is>
          <t>pharmaceuticals - indian - bulk drugs &amp; formln</t>
        </is>
      </c>
      <c r="E382" s="31" t="inlineStr">
        <is>
          <t>smallcap</t>
        </is>
      </c>
      <c r="F382" s="31" t="n">
        <v>1996.03</v>
      </c>
      <c r="G382" s="31" t="n">
        <v>226.82</v>
      </c>
      <c r="H382" s="31" t="n">
        <v>-1.32</v>
      </c>
      <c r="I382" s="31" t="n">
        <v>619285</v>
      </c>
      <c r="J382" s="31" t="inlineStr">
        <is>
          <t>532305</t>
        </is>
      </c>
    </row>
    <row r="383">
      <c r="A383" s="31" t="inlineStr">
        <is>
          <t>SAMBHV</t>
        </is>
      </c>
      <c r="B383" s="31" t="inlineStr">
        <is>
          <t>Sambhv Steel Tubes Ltd</t>
        </is>
      </c>
      <c r="C383" s="31" t="inlineStr">
        <is>
          <t>metals &amp; mining</t>
        </is>
      </c>
      <c r="D383" s="31" t="inlineStr">
        <is>
          <t>steel - medium / small</t>
        </is>
      </c>
      <c r="E383" s="31" t="inlineStr">
        <is>
          <t>smallcap</t>
        </is>
      </c>
      <c r="F383" s="31" t="n">
        <v>3601.18</v>
      </c>
      <c r="G383" s="31" t="n">
        <v>120.54</v>
      </c>
      <c r="H383" s="31" t="n">
        <v>-1.37</v>
      </c>
      <c r="I383" s="31" t="n">
        <v>3302608</v>
      </c>
      <c r="J383" s="31" t="inlineStr">
        <is>
          <t>544430</t>
        </is>
      </c>
    </row>
    <row r="384">
      <c r="A384" s="31" t="inlineStr">
        <is>
          <t>GMRAIRPORT</t>
        </is>
      </c>
      <c r="B384" s="31" t="inlineStr">
        <is>
          <t>GMR Airports Ltd</t>
        </is>
      </c>
      <c r="C384" s="31" t="inlineStr">
        <is>
          <t>miscellaneous</t>
        </is>
      </c>
      <c r="D384" s="31" t="inlineStr">
        <is>
          <t>miscellaneous</t>
        </is>
      </c>
      <c r="E384" s="31" t="inlineStr">
        <is>
          <t>largecap</t>
        </is>
      </c>
      <c r="F384" s="31" t="n">
        <v>119717.67</v>
      </c>
      <c r="G384" s="31" t="n">
        <v>111.82</v>
      </c>
      <c r="H384" s="31" t="n">
        <v>-1.38</v>
      </c>
      <c r="I384" s="31" t="n">
        <v>17318524</v>
      </c>
      <c r="J384" s="31" t="inlineStr">
        <is>
          <t>532754</t>
        </is>
      </c>
    </row>
    <row r="385">
      <c r="A385" s="31" t="inlineStr">
        <is>
          <t>GANESHHOU</t>
        </is>
      </c>
      <c r="B385" s="31" t="inlineStr">
        <is>
          <t>Ganesh Housing Ltd</t>
        </is>
      </c>
      <c r="C385" s="31" t="inlineStr">
        <is>
          <t>realty</t>
        </is>
      </c>
      <c r="D385" s="31" t="inlineStr">
        <is>
          <t>construction</t>
        </is>
      </c>
      <c r="E385" s="31" t="inlineStr">
        <is>
          <t>midcap</t>
        </is>
      </c>
      <c r="F385" s="31" t="n">
        <v>7148.78</v>
      </c>
      <c r="G385" s="31" t="n">
        <v>845</v>
      </c>
      <c r="H385" s="31" t="n">
        <v>-1.43</v>
      </c>
      <c r="I385" s="31" t="n">
        <v>21992</v>
      </c>
      <c r="J385" s="31" t="inlineStr">
        <is>
          <t>526367</t>
        </is>
      </c>
    </row>
    <row r="386">
      <c r="A386" s="31" t="inlineStr">
        <is>
          <t>OBEROIRLTY</t>
        </is>
      </c>
      <c r="B386" s="31" t="inlineStr">
        <is>
          <t>Oberoi Realty Limited</t>
        </is>
      </c>
      <c r="C386" s="31" t="inlineStr">
        <is>
          <t>realty</t>
        </is>
      </c>
      <c r="D386" s="31" t="inlineStr">
        <is>
          <t>construction</t>
        </is>
      </c>
      <c r="E386" s="31" t="inlineStr">
        <is>
          <t>largecap</t>
        </is>
      </c>
      <c r="F386" s="31" t="n">
        <v>69684.37</v>
      </c>
      <c r="G386" s="31" t="n">
        <v>1887.7</v>
      </c>
      <c r="H386" s="31" t="n">
        <v>-1.5</v>
      </c>
      <c r="I386" s="31" t="n">
        <v>297998</v>
      </c>
      <c r="J386" s="31" t="inlineStr">
        <is>
          <t>533273</t>
        </is>
      </c>
    </row>
    <row r="387">
      <c r="A387" s="31" t="inlineStr">
        <is>
          <t>EIFFL</t>
        </is>
      </c>
      <c r="B387" s="31" t="inlineStr">
        <is>
          <t>Euro India Fresh Foods Ltd</t>
        </is>
      </c>
      <c r="C387" s="31" t="inlineStr">
        <is>
          <t>fmcg</t>
        </is>
      </c>
      <c r="D387" s="31" t="inlineStr">
        <is>
          <t>food - processing - indian</t>
        </is>
      </c>
      <c r="E387" s="31" t="inlineStr">
        <is>
          <t>smallcap</t>
        </is>
      </c>
      <c r="F387" s="31" t="n">
        <v>829.0599999999999</v>
      </c>
      <c r="G387" s="31" t="n">
        <v>329.2</v>
      </c>
      <c r="H387" s="31" t="n">
        <v>-1.53</v>
      </c>
      <c r="I387" s="31" t="n">
        <v>3775</v>
      </c>
      <c r="J387" s="31" t="inlineStr">
        <is>
          <t>538412</t>
        </is>
      </c>
    </row>
    <row r="388">
      <c r="A388" s="31" t="inlineStr">
        <is>
          <t>PLASTIBLEN</t>
        </is>
      </c>
      <c r="B388" s="31" t="inlineStr">
        <is>
          <t>Plastiblends India Limited</t>
        </is>
      </c>
      <c r="C388" s="31" t="inlineStr">
        <is>
          <t>chemicals</t>
        </is>
      </c>
      <c r="D388" s="31" t="inlineStr">
        <is>
          <t>chemicals</t>
        </is>
      </c>
      <c r="E388" s="31" t="inlineStr">
        <is>
          <t>smallcap</t>
        </is>
      </c>
      <c r="F388" s="31" t="n">
        <v>519.3200000000001</v>
      </c>
      <c r="G388" s="31" t="n">
        <v>196.77</v>
      </c>
      <c r="H388" s="31" t="n">
        <v>-1.53</v>
      </c>
      <c r="I388" s="31" t="n">
        <v>171534</v>
      </c>
      <c r="J388" s="31" t="inlineStr">
        <is>
          <t>523648</t>
        </is>
      </c>
    </row>
    <row r="389">
      <c r="A389" s="31" t="inlineStr">
        <is>
          <t>3MINDIA</t>
        </is>
      </c>
      <c r="B389" s="31" t="inlineStr">
        <is>
          <t>3m India Limited</t>
        </is>
      </c>
      <c r="C389" s="31" t="inlineStr">
        <is>
          <t>miscellaneous</t>
        </is>
      </c>
      <c r="D389" s="31" t="inlineStr">
        <is>
          <t>diversified - large</t>
        </is>
      </c>
      <c r="E389" s="31" t="inlineStr">
        <is>
          <t>largecap</t>
        </is>
      </c>
      <c r="F389" s="31" t="n">
        <v>41162.57</v>
      </c>
      <c r="G389" s="31" t="n">
        <v>35975</v>
      </c>
      <c r="H389" s="31" t="n">
        <v>-1.55</v>
      </c>
      <c r="I389" s="31" t="n">
        <v>9149</v>
      </c>
      <c r="J389" s="31" t="inlineStr">
        <is>
          <t>523395</t>
        </is>
      </c>
    </row>
    <row r="390">
      <c r="A390" s="31" t="inlineStr">
        <is>
          <t>THELEELA</t>
        </is>
      </c>
      <c r="B390" s="31" t="inlineStr">
        <is>
          <t>Leela Palaces Hotels &amp; Resorts Ltd</t>
        </is>
      </c>
      <c r="C390" s="31" t="inlineStr">
        <is>
          <t>services</t>
        </is>
      </c>
      <c r="D390" s="31" t="inlineStr">
        <is>
          <t>hotels</t>
        </is>
      </c>
      <c r="E390" s="31" t="inlineStr">
        <is>
          <t>midcap</t>
        </is>
      </c>
      <c r="F390" s="31" t="n">
        <v>16484.16</v>
      </c>
      <c r="G390" s="31" t="n">
        <v>485.85</v>
      </c>
      <c r="H390" s="31" t="n">
        <v>-1.57</v>
      </c>
      <c r="I390" s="31" t="n">
        <v>329881</v>
      </c>
      <c r="J390" s="31" t="inlineStr">
        <is>
          <t>544408</t>
        </is>
      </c>
    </row>
    <row r="391">
      <c r="A391" s="31" t="inlineStr">
        <is>
          <t>RAYMOND</t>
        </is>
      </c>
      <c r="B391" s="31" t="inlineStr">
        <is>
          <t>Raymond Limited</t>
        </is>
      </c>
      <c r="C391" s="31" t="inlineStr">
        <is>
          <t>transportation</t>
        </is>
      </c>
      <c r="D391" s="31" t="inlineStr">
        <is>
          <t>transport - airlines</t>
        </is>
      </c>
      <c r="E391" s="31" t="inlineStr">
        <is>
          <t>smallcap</t>
        </is>
      </c>
      <c r="F391" s="31" t="n">
        <v>4121.58</v>
      </c>
      <c r="G391" s="31" t="n">
        <v>609.3</v>
      </c>
      <c r="H391" s="31" t="n">
        <v>-1.58</v>
      </c>
      <c r="I391" s="31" t="n">
        <v>467835</v>
      </c>
      <c r="J391" s="31" t="inlineStr">
        <is>
          <t>500330</t>
        </is>
      </c>
    </row>
    <row r="392">
      <c r="A392" s="31" t="inlineStr">
        <is>
          <t>KOPRAN</t>
        </is>
      </c>
      <c r="B392" s="31" t="inlineStr">
        <is>
          <t>Kopran Limited</t>
        </is>
      </c>
      <c r="C392" s="31" t="inlineStr">
        <is>
          <t>healthcare</t>
        </is>
      </c>
      <c r="D392" s="31" t="inlineStr">
        <is>
          <t>pharmaceuticals - indian - bulk drugs &amp; formln</t>
        </is>
      </c>
      <c r="E392" s="31" t="inlineStr">
        <is>
          <t>smallcap</t>
        </is>
      </c>
      <c r="F392" s="31" t="n">
        <v>1000.86</v>
      </c>
      <c r="G392" s="31" t="n">
        <v>204</v>
      </c>
      <c r="H392" s="31" t="n">
        <v>-1.58</v>
      </c>
      <c r="I392" s="31" t="n">
        <v>100346</v>
      </c>
      <c r="J392" s="31" t="inlineStr">
        <is>
          <t>524280</t>
        </is>
      </c>
    </row>
    <row r="393">
      <c r="A393" s="31" t="inlineStr">
        <is>
          <t>AZAD</t>
        </is>
      </c>
      <c r="B393" s="31" t="inlineStr">
        <is>
          <t>Azad Engineering Ltd</t>
        </is>
      </c>
      <c r="C393" s="31" t="inlineStr">
        <is>
          <t>aerospace &amp; defence</t>
        </is>
      </c>
      <c r="D393" s="31" t="inlineStr">
        <is>
          <t>engineering</t>
        </is>
      </c>
      <c r="E393" s="31" t="inlineStr">
        <is>
          <t>midcap</t>
        </is>
      </c>
      <c r="F393" s="31" t="n">
        <v>15451.83</v>
      </c>
      <c r="G393" s="31" t="n">
        <v>2351.8</v>
      </c>
      <c r="H393" s="31" t="n">
        <v>-1.71</v>
      </c>
      <c r="I393" s="31" t="n">
        <v>465080</v>
      </c>
      <c r="J393" s="31" t="inlineStr">
        <is>
          <t>544061</t>
        </is>
      </c>
    </row>
    <row r="394">
      <c r="A394" s="31" t="inlineStr">
        <is>
          <t>DALMIASUG</t>
        </is>
      </c>
      <c r="B394" s="31" t="inlineStr">
        <is>
          <t>Dalmia Bharat Sugar And Industries Limited</t>
        </is>
      </c>
      <c r="C394" s="31" t="inlineStr">
        <is>
          <t>fmcg</t>
        </is>
      </c>
      <c r="D394" s="31" t="inlineStr">
        <is>
          <t>sugar</t>
        </is>
      </c>
      <c r="E394" s="31" t="inlineStr">
        <is>
          <t>smallcap</t>
        </is>
      </c>
      <c r="F394" s="31" t="n">
        <v>2946.19</v>
      </c>
      <c r="G394" s="31" t="n">
        <v>357.5</v>
      </c>
      <c r="H394" s="31" t="n">
        <v>-1.79</v>
      </c>
      <c r="I394" s="31" t="n">
        <v>80681</v>
      </c>
      <c r="J394" s="31" t="inlineStr">
        <is>
          <t>500097</t>
        </is>
      </c>
    </row>
    <row r="395">
      <c r="A395" s="31" t="inlineStr">
        <is>
          <t>PANACHE</t>
        </is>
      </c>
      <c r="B395" s="31" t="inlineStr">
        <is>
          <t>Panache Digilife Ltd</t>
        </is>
      </c>
      <c r="C395" s="31" t="inlineStr">
        <is>
          <t>i.t</t>
        </is>
      </c>
      <c r="D395" s="31" t="inlineStr">
        <is>
          <t>computers - hardware</t>
        </is>
      </c>
      <c r="E395" s="31" t="inlineStr">
        <is>
          <t>smallcap</t>
        </is>
      </c>
      <c r="F395" s="31" t="n">
        <v>717.35</v>
      </c>
      <c r="G395" s="31" t="n">
        <v>439.95</v>
      </c>
      <c r="H395" s="31" t="n">
        <v>-1.79</v>
      </c>
      <c r="I395" s="31" t="n">
        <v>15244</v>
      </c>
      <c r="J395" s="31" t="inlineStr">
        <is>
          <t>538424</t>
        </is>
      </c>
    </row>
    <row r="396">
      <c r="A396" s="31" t="inlineStr">
        <is>
          <t>SHAREINDIA</t>
        </is>
      </c>
      <c r="B396" s="31" t="inlineStr">
        <is>
          <t>Share India Securities Ltd</t>
        </is>
      </c>
      <c r="C396" s="31" t="inlineStr">
        <is>
          <t>financials</t>
        </is>
      </c>
      <c r="D396" s="31" t="inlineStr">
        <is>
          <t>finance &amp; investments</t>
        </is>
      </c>
      <c r="E396" s="31" t="inlineStr">
        <is>
          <t>smallcap</t>
        </is>
      </c>
      <c r="F396" s="31" t="n">
        <v>3889.84</v>
      </c>
      <c r="G396" s="31" t="n">
        <v>174.51</v>
      </c>
      <c r="H396" s="31" t="n">
        <v>-1.83</v>
      </c>
      <c r="I396" s="31" t="n">
        <v>1352405</v>
      </c>
      <c r="J396" s="31" t="inlineStr">
        <is>
          <t>540725</t>
        </is>
      </c>
    </row>
    <row r="397">
      <c r="A397" s="31" t="inlineStr">
        <is>
          <t>TATVA</t>
        </is>
      </c>
      <c r="B397" s="31" t="inlineStr">
        <is>
          <t>Tatva Chintan Pharma Chem Ltd</t>
        </is>
      </c>
      <c r="C397" s="31" t="inlineStr">
        <is>
          <t>chemicals</t>
        </is>
      </c>
      <c r="D397" s="31" t="inlineStr">
        <is>
          <t>chemicals</t>
        </is>
      </c>
      <c r="E397" s="31" t="inlineStr">
        <is>
          <t>smallcap</t>
        </is>
      </c>
      <c r="F397" s="31" t="n">
        <v>3303.19</v>
      </c>
      <c r="G397" s="31" t="n">
        <v>1385.4</v>
      </c>
      <c r="H397" s="31" t="n">
        <v>-1.89</v>
      </c>
      <c r="I397" s="31" t="n">
        <v>60769</v>
      </c>
      <c r="J397" s="31" t="inlineStr">
        <is>
          <t>543321</t>
        </is>
      </c>
    </row>
    <row r="398">
      <c r="A398" s="31" t="inlineStr">
        <is>
          <t>GREAVESCOT</t>
        </is>
      </c>
      <c r="B398" s="31" t="inlineStr">
        <is>
          <t>Greaves Cotton Limited</t>
        </is>
      </c>
      <c r="C398" s="31" t="inlineStr">
        <is>
          <t>industrials</t>
        </is>
      </c>
      <c r="D398" s="31" t="inlineStr">
        <is>
          <t>engines</t>
        </is>
      </c>
      <c r="E398" s="31" t="inlineStr">
        <is>
          <t>midcap</t>
        </is>
      </c>
      <c r="F398" s="31" t="n">
        <v>6117.52</v>
      </c>
      <c r="G398" s="31" t="n">
        <v>257.68</v>
      </c>
      <c r="H398" s="31" t="n">
        <v>-1.9</v>
      </c>
      <c r="I398" s="31" t="n">
        <v>2006139</v>
      </c>
      <c r="J398" s="31" t="inlineStr">
        <is>
          <t>501455</t>
        </is>
      </c>
    </row>
    <row r="399">
      <c r="A399" s="31" t="inlineStr">
        <is>
          <t>CANTABIL</t>
        </is>
      </c>
      <c r="B399" s="31" t="inlineStr">
        <is>
          <t>Cantabil Retail India Limited</t>
        </is>
      </c>
      <c r="C399" s="31" t="inlineStr">
        <is>
          <t>textiles</t>
        </is>
      </c>
      <c r="D399" s="31" t="inlineStr">
        <is>
          <t>textiles - products</t>
        </is>
      </c>
      <c r="E399" s="31" t="inlineStr">
        <is>
          <t>smallcap</t>
        </is>
      </c>
      <c r="F399" s="31" t="n">
        <v>2195.67</v>
      </c>
      <c r="G399" s="31" t="n">
        <v>257.52</v>
      </c>
      <c r="H399" s="31" t="n">
        <v>-1.9</v>
      </c>
      <c r="I399" s="31" t="n">
        <v>166797</v>
      </c>
      <c r="J399" s="31" t="inlineStr">
        <is>
          <t>533267</t>
        </is>
      </c>
    </row>
    <row r="400">
      <c r="A400" s="31" t="inlineStr">
        <is>
          <t>RBZJEWEL</t>
        </is>
      </c>
      <c r="B400" s="31" t="inlineStr">
        <is>
          <t>RBZ Jewellers Ltd</t>
        </is>
      </c>
      <c r="C400" s="31" t="inlineStr">
        <is>
          <t>consumer discretionary</t>
        </is>
      </c>
      <c r="D400" s="31" t="inlineStr">
        <is>
          <t>diamond cutting / jewellery</t>
        </is>
      </c>
      <c r="E400" s="31" t="inlineStr">
        <is>
          <t>smallcap</t>
        </is>
      </c>
      <c r="F400" s="31" t="n">
        <v>615.2</v>
      </c>
      <c r="G400" s="31" t="n">
        <v>150.8</v>
      </c>
      <c r="H400" s="31" t="n">
        <v>-1.95</v>
      </c>
      <c r="I400" s="31" t="n">
        <v>167747</v>
      </c>
      <c r="J400" s="31" t="inlineStr">
        <is>
          <t>544060</t>
        </is>
      </c>
    </row>
    <row r="401">
      <c r="A401" s="31" t="inlineStr">
        <is>
          <t>COMSYN</t>
        </is>
      </c>
      <c r="B401" s="31" t="inlineStr">
        <is>
          <t>Commercial Syn Bags Ltd</t>
        </is>
      </c>
      <c r="C401" s="31" t="inlineStr">
        <is>
          <t>industrials</t>
        </is>
      </c>
      <c r="D401" s="31" t="inlineStr">
        <is>
          <t>packaging</t>
        </is>
      </c>
      <c r="E401" s="31" t="inlineStr">
        <is>
          <t>smallcap</t>
        </is>
      </c>
      <c r="F401" s="31" t="n">
        <v>783.23</v>
      </c>
      <c r="G401" s="31" t="n">
        <v>190.31</v>
      </c>
      <c r="H401" s="31" t="n">
        <v>-1.98</v>
      </c>
      <c r="I401" s="31" t="n">
        <v>308323</v>
      </c>
      <c r="J401" s="31" t="inlineStr">
        <is>
          <t>539986</t>
        </is>
      </c>
    </row>
    <row r="402">
      <c r="A402" s="31" t="inlineStr">
        <is>
          <t>PDSL</t>
        </is>
      </c>
      <c r="B402" s="31" t="inlineStr">
        <is>
          <t>PDS Ltd</t>
        </is>
      </c>
      <c r="C402" s="31" t="inlineStr">
        <is>
          <t>textiles</t>
        </is>
      </c>
      <c r="D402" s="31" t="inlineStr">
        <is>
          <t>trading</t>
        </is>
      </c>
      <c r="E402" s="31" t="inlineStr">
        <is>
          <t>midcap</t>
        </is>
      </c>
      <c r="F402" s="31" t="n">
        <v>5406.63</v>
      </c>
      <c r="G402" s="31" t="n">
        <v>374.5</v>
      </c>
      <c r="H402" s="31" t="n">
        <v>-2.03</v>
      </c>
      <c r="I402" s="31" t="n">
        <v>1713238</v>
      </c>
      <c r="J402" s="31" t="inlineStr">
        <is>
          <t>538730</t>
        </is>
      </c>
    </row>
    <row r="403">
      <c r="A403" s="31" t="inlineStr">
        <is>
          <t>MOREPENLAB</t>
        </is>
      </c>
      <c r="B403" s="31" t="inlineStr">
        <is>
          <t>Morepen Laboratories Limited</t>
        </is>
      </c>
      <c r="C403" s="31" t="inlineStr">
        <is>
          <t>healthcare</t>
        </is>
      </c>
      <c r="D403" s="31" t="inlineStr">
        <is>
          <t>pharmaceuticals - indian - bulk drugs &amp; formln</t>
        </is>
      </c>
      <c r="E403" s="31" t="inlineStr">
        <is>
          <t>smallcap</t>
        </is>
      </c>
      <c r="F403" s="31" t="n">
        <v>3428</v>
      </c>
      <c r="G403" s="31" t="n">
        <v>61.24</v>
      </c>
      <c r="H403" s="31" t="n">
        <v>-2.11</v>
      </c>
      <c r="I403" s="31" t="n">
        <v>10976687</v>
      </c>
      <c r="J403" s="31" t="inlineStr">
        <is>
          <t>500288</t>
        </is>
      </c>
    </row>
    <row r="404">
      <c r="A404" s="31" t="inlineStr">
        <is>
          <t>KICL</t>
        </is>
      </c>
      <c r="B404" s="31" t="inlineStr">
        <is>
          <t>Kalyani Investment Company Limited</t>
        </is>
      </c>
      <c r="C404" s="31" t="inlineStr">
        <is>
          <t>financials</t>
        </is>
      </c>
      <c r="D404" s="31" t="inlineStr">
        <is>
          <t>finance &amp; investments</t>
        </is>
      </c>
      <c r="E404" s="31" t="inlineStr">
        <is>
          <t>smallcap</t>
        </is>
      </c>
      <c r="F404" s="31" t="n">
        <v>2432.35</v>
      </c>
      <c r="G404" s="31" t="n">
        <v>5450.5</v>
      </c>
      <c r="H404" s="31" t="n">
        <v>-2.18</v>
      </c>
      <c r="I404" s="31" t="n">
        <v>1668</v>
      </c>
      <c r="J404" s="31" t="inlineStr">
        <is>
          <t>533302</t>
        </is>
      </c>
    </row>
    <row r="405">
      <c r="A405" s="31" t="inlineStr">
        <is>
          <t>BORORENEW</t>
        </is>
      </c>
      <c r="B405" s="31" t="inlineStr">
        <is>
          <t>Borosil Renewables Ltd</t>
        </is>
      </c>
      <c r="C405" s="31" t="inlineStr">
        <is>
          <t>building materials</t>
        </is>
      </c>
      <c r="D405" s="31" t="inlineStr">
        <is>
          <t>glass &amp; glass products</t>
        </is>
      </c>
      <c r="E405" s="31" t="inlineStr">
        <is>
          <t>midcap</t>
        </is>
      </c>
      <c r="F405" s="31" t="n">
        <v>8896.379999999999</v>
      </c>
      <c r="G405" s="31" t="n">
        <v>620.5</v>
      </c>
      <c r="H405" s="31" t="n">
        <v>-2.22</v>
      </c>
      <c r="I405" s="31" t="n">
        <v>873416</v>
      </c>
      <c r="J405" s="31" t="inlineStr">
        <is>
          <t>502219</t>
        </is>
      </c>
    </row>
    <row r="406">
      <c r="A406" s="31" t="inlineStr">
        <is>
          <t>JASH</t>
        </is>
      </c>
      <c r="B406" s="31" t="inlineStr">
        <is>
          <t>Jash Engineering Ltd</t>
        </is>
      </c>
      <c r="C406" s="31" t="inlineStr">
        <is>
          <t>industrials</t>
        </is>
      </c>
      <c r="D406" s="31" t="inlineStr">
        <is>
          <t>engineering</t>
        </is>
      </c>
      <c r="E406" s="31" t="inlineStr">
        <is>
          <t>smallcap</t>
        </is>
      </c>
      <c r="F406" s="31" t="n">
        <v>3364.43</v>
      </c>
      <c r="G406" s="31" t="n">
        <v>520.3</v>
      </c>
      <c r="H406" s="31" t="n">
        <v>-2.27</v>
      </c>
      <c r="I406" s="31" t="n">
        <v>96346</v>
      </c>
      <c r="J406" s="31" t="inlineStr">
        <is>
          <t>535019</t>
        </is>
      </c>
    </row>
    <row r="407">
      <c r="A407" s="31" t="inlineStr">
        <is>
          <t>SATIN</t>
        </is>
      </c>
      <c r="B407" s="31" t="inlineStr">
        <is>
          <t>Satin Creditcare Network Limited</t>
        </is>
      </c>
      <c r="C407" s="31" t="inlineStr">
        <is>
          <t>financials</t>
        </is>
      </c>
      <c r="D407" s="31" t="inlineStr">
        <is>
          <t>finance &amp; investments</t>
        </is>
      </c>
      <c r="E407" s="31" t="inlineStr">
        <is>
          <t>smallcap</t>
        </is>
      </c>
      <c r="F407" s="31" t="n">
        <v>2923.72</v>
      </c>
      <c r="G407" s="31" t="n">
        <v>258.57</v>
      </c>
      <c r="H407" s="31" t="n">
        <v>-2.3</v>
      </c>
      <c r="I407" s="31" t="n">
        <v>360147</v>
      </c>
      <c r="J407" s="31" t="inlineStr">
        <is>
          <t>539404</t>
        </is>
      </c>
    </row>
    <row r="408">
      <c r="A408" s="31" t="inlineStr">
        <is>
          <t>TRIVENI</t>
        </is>
      </c>
      <c r="B408" s="31" t="inlineStr">
        <is>
          <t>Triveni Engineering &amp; Industries Limited</t>
        </is>
      </c>
      <c r="C408" s="31" t="inlineStr">
        <is>
          <t>fmcg</t>
        </is>
      </c>
      <c r="D408" s="31" t="inlineStr">
        <is>
          <t>sugar</t>
        </is>
      </c>
      <c r="E408" s="31" t="inlineStr">
        <is>
          <t>midcap</t>
        </is>
      </c>
      <c r="F408" s="31" t="n">
        <v>10337.46</v>
      </c>
      <c r="G408" s="31" t="n">
        <v>461.3</v>
      </c>
      <c r="H408" s="31" t="n">
        <v>-2.32</v>
      </c>
      <c r="I408" s="31" t="n">
        <v>377213</v>
      </c>
      <c r="J408" s="31" t="inlineStr">
        <is>
          <t>532356</t>
        </is>
      </c>
    </row>
    <row r="409">
      <c r="A409" s="31" t="inlineStr">
        <is>
          <t>SIGMAADV</t>
        </is>
      </c>
      <c r="B409" s="31" t="inlineStr">
        <is>
          <t>Sigma Advanced System Ltd</t>
        </is>
      </c>
      <c r="C409" s="31" t="inlineStr">
        <is>
          <t>aerospace &amp; defence</t>
        </is>
      </c>
      <c r="D409" s="31" t="inlineStr">
        <is>
          <t>electronics - components</t>
        </is>
      </c>
      <c r="E409" s="31" t="inlineStr">
        <is>
          <t>midcap</t>
        </is>
      </c>
      <c r="F409" s="31" t="n">
        <v>10109.99</v>
      </c>
      <c r="G409" s="31" t="n">
        <v>559.85</v>
      </c>
      <c r="H409" s="31" t="n">
        <v>-2.41</v>
      </c>
      <c r="I409" s="31" t="n">
        <v>456036</v>
      </c>
      <c r="J409" s="31" t="inlineStr">
        <is>
          <t>532408</t>
        </is>
      </c>
    </row>
    <row r="410">
      <c r="A410" s="31" t="inlineStr">
        <is>
          <t>BFINVEST</t>
        </is>
      </c>
      <c r="B410" s="31" t="inlineStr">
        <is>
          <t>Bf Investment Limited</t>
        </is>
      </c>
      <c r="C410" s="31" t="inlineStr">
        <is>
          <t>financials</t>
        </is>
      </c>
      <c r="D410" s="31" t="inlineStr">
        <is>
          <t>finance &amp; investments</t>
        </is>
      </c>
      <c r="E410" s="31" t="inlineStr">
        <is>
          <t>smallcap</t>
        </is>
      </c>
      <c r="F410" s="31" t="n">
        <v>1839.88</v>
      </c>
      <c r="G410" s="31" t="n">
        <v>476.5</v>
      </c>
      <c r="H410" s="31" t="n">
        <v>-2.45</v>
      </c>
      <c r="I410" s="31" t="n">
        <v>192998</v>
      </c>
      <c r="J410" s="31" t="inlineStr">
        <is>
          <t>533303</t>
        </is>
      </c>
    </row>
    <row r="411">
      <c r="A411" s="31" t="inlineStr">
        <is>
          <t>VENUSREM</t>
        </is>
      </c>
      <c r="B411" s="31" t="inlineStr">
        <is>
          <t>Venus Remedies Limited</t>
        </is>
      </c>
      <c r="C411" s="31" t="inlineStr">
        <is>
          <t>healthcare</t>
        </is>
      </c>
      <c r="D411" s="31" t="inlineStr">
        <is>
          <t>pharmaceuticals - indian - formulations</t>
        </is>
      </c>
      <c r="E411" s="31" t="inlineStr">
        <is>
          <t>smallcap</t>
        </is>
      </c>
      <c r="F411" s="31" t="n">
        <v>2533.85</v>
      </c>
      <c r="G411" s="31" t="n">
        <v>1843.8</v>
      </c>
      <c r="H411" s="31" t="n">
        <v>-2.73</v>
      </c>
      <c r="I411" s="31" t="n">
        <v>44249</v>
      </c>
      <c r="J411" s="31" t="inlineStr">
        <is>
          <t>526953</t>
        </is>
      </c>
    </row>
    <row r="412">
      <c r="A412" s="31" t="inlineStr">
        <is>
          <t>JSWINFRA</t>
        </is>
      </c>
      <c r="B412" s="31" t="inlineStr">
        <is>
          <t>JSW Infrastructure Ltd</t>
        </is>
      </c>
      <c r="C412" s="31" t="inlineStr">
        <is>
          <t>transportation</t>
        </is>
      </c>
      <c r="D412" s="31" t="inlineStr">
        <is>
          <t>miscellaneous</t>
        </is>
      </c>
      <c r="E412" s="31" t="inlineStr">
        <is>
          <t>largecap</t>
        </is>
      </c>
      <c r="F412" s="31" t="n">
        <v>80909.3</v>
      </c>
      <c r="G412" s="31" t="n">
        <v>337.35</v>
      </c>
      <c r="H412" s="31" t="n">
        <v>-2.85</v>
      </c>
      <c r="I412" s="31" t="n">
        <v>1617037</v>
      </c>
      <c r="J412" s="31" t="inlineStr">
        <is>
          <t>543994</t>
        </is>
      </c>
    </row>
    <row r="413">
      <c r="A413" s="31" t="inlineStr">
        <is>
          <t>CARTRADE</t>
        </is>
      </c>
      <c r="B413" s="31" t="inlineStr">
        <is>
          <t>Cartrade Tech Ltd</t>
        </is>
      </c>
      <c r="C413" s="31" t="inlineStr">
        <is>
          <t>consumer discretionary</t>
        </is>
      </c>
      <c r="D413" s="31" t="inlineStr">
        <is>
          <t>miscellaneous</t>
        </is>
      </c>
      <c r="E413" s="31" t="inlineStr">
        <is>
          <t>midcap</t>
        </is>
      </c>
      <c r="F413" s="31" t="n">
        <v>13860.69</v>
      </c>
      <c r="G413" s="31" t="n">
        <v>2808.2</v>
      </c>
      <c r="H413" s="31" t="n">
        <v>-3</v>
      </c>
      <c r="I413" s="31" t="n">
        <v>449888</v>
      </c>
      <c r="J413" s="31" t="inlineStr">
        <is>
          <t>543333</t>
        </is>
      </c>
    </row>
    <row r="414">
      <c r="A414" s="31" t="inlineStr">
        <is>
          <t>INDNIPPON</t>
        </is>
      </c>
      <c r="B414" s="31" t="inlineStr">
        <is>
          <t>India Nippon Electricals Limited</t>
        </is>
      </c>
      <c r="C414" s="31" t="inlineStr">
        <is>
          <t>auto</t>
        </is>
      </c>
      <c r="D414" s="31" t="inlineStr">
        <is>
          <t>auto ancillaries</t>
        </is>
      </c>
      <c r="E414" s="31" t="inlineStr">
        <is>
          <t>smallcap</t>
        </is>
      </c>
      <c r="F414" s="31" t="n">
        <v>2736.29</v>
      </c>
      <c r="G414" s="31" t="n">
        <v>1173</v>
      </c>
      <c r="H414" s="31" t="n">
        <v>-3.03</v>
      </c>
      <c r="I414" s="31" t="n">
        <v>43674</v>
      </c>
      <c r="J414" s="31" t="inlineStr">
        <is>
          <t>532240</t>
        </is>
      </c>
    </row>
    <row r="415">
      <c r="A415" s="31" t="inlineStr">
        <is>
          <t>YASHO</t>
        </is>
      </c>
      <c r="B415" s="31" t="inlineStr">
        <is>
          <t>Yasho Industries Ltd</t>
        </is>
      </c>
      <c r="C415" s="31" t="inlineStr">
        <is>
          <t>chemicals</t>
        </is>
      </c>
      <c r="D415" s="31" t="inlineStr">
        <is>
          <t>chemicals</t>
        </is>
      </c>
      <c r="E415" s="31" t="inlineStr">
        <is>
          <t>smallcap</t>
        </is>
      </c>
      <c r="F415" s="31" t="n">
        <v>3726.85</v>
      </c>
      <c r="G415" s="31" t="n">
        <v>2996.5</v>
      </c>
      <c r="H415" s="31" t="n">
        <v>-3.06</v>
      </c>
      <c r="I415" s="31" t="n">
        <v>12971</v>
      </c>
      <c r="J415" s="31" t="inlineStr">
        <is>
          <t>541167</t>
        </is>
      </c>
    </row>
    <row r="416">
      <c r="A416" s="31" t="inlineStr">
        <is>
          <t>ADANIGREEN</t>
        </is>
      </c>
      <c r="B416" s="31" t="inlineStr">
        <is>
          <t>Adani Green Energy Ltd</t>
        </is>
      </c>
      <c r="C416" s="31" t="inlineStr">
        <is>
          <t>power &amp; utilities</t>
        </is>
      </c>
      <c r="D416" s="31" t="inlineStr">
        <is>
          <t>power generation and supply</t>
        </is>
      </c>
      <c r="E416" s="31" t="inlineStr">
        <is>
          <t>largecap</t>
        </is>
      </c>
      <c r="F416" s="31" t="n">
        <v>264289.41</v>
      </c>
      <c r="G416" s="31" t="n">
        <v>1555.4</v>
      </c>
      <c r="H416" s="31" t="n">
        <v>-3.06</v>
      </c>
      <c r="I416" s="31" t="n">
        <v>2364593</v>
      </c>
      <c r="J416" s="31" t="inlineStr">
        <is>
          <t>541450</t>
        </is>
      </c>
    </row>
    <row r="417">
      <c r="A417" s="31" t="inlineStr">
        <is>
          <t>VADILALIND</t>
        </is>
      </c>
      <c r="B417" s="31" t="inlineStr">
        <is>
          <t>Vadilal Industries Limited</t>
        </is>
      </c>
      <c r="C417" s="31" t="inlineStr">
        <is>
          <t>fmcg</t>
        </is>
      </c>
      <c r="D417" s="31" t="inlineStr">
        <is>
          <t>food - processing - indian</t>
        </is>
      </c>
      <c r="E417" s="31" t="inlineStr">
        <is>
          <t>smallcap</t>
        </is>
      </c>
      <c r="F417" s="31" t="n">
        <v>4892.4</v>
      </c>
      <c r="G417" s="31" t="n">
        <v>6590.5</v>
      </c>
      <c r="H417" s="31" t="n">
        <v>-3.17</v>
      </c>
      <c r="I417" s="31" t="n">
        <v>39152</v>
      </c>
      <c r="J417" s="31" t="inlineStr">
        <is>
          <t>519156</t>
        </is>
      </c>
    </row>
    <row r="418">
      <c r="A418" s="31" t="inlineStr">
        <is>
          <t>SFL</t>
        </is>
      </c>
      <c r="B418" s="31" t="inlineStr">
        <is>
          <t>Sheela Foam Limited</t>
        </is>
      </c>
      <c r="C418" s="31" t="inlineStr">
        <is>
          <t>consumer discretionary</t>
        </is>
      </c>
      <c r="D418" s="31" t="inlineStr">
        <is>
          <t>miscellaneous</t>
        </is>
      </c>
      <c r="E418" s="31" t="inlineStr">
        <is>
          <t>midcap</t>
        </is>
      </c>
      <c r="F418" s="31" t="n">
        <v>8794.16</v>
      </c>
      <c r="G418" s="31" t="n">
        <v>782.85</v>
      </c>
      <c r="H418" s="31" t="n">
        <v>-3.23</v>
      </c>
      <c r="I418" s="31" t="n">
        <v>172508</v>
      </c>
      <c r="J418" s="31" t="inlineStr">
        <is>
          <t>540203</t>
        </is>
      </c>
    </row>
    <row r="419">
      <c r="A419" s="31" t="inlineStr">
        <is>
          <t>NOVARTIND</t>
        </is>
      </c>
      <c r="B419" s="31" t="inlineStr">
        <is>
          <t>Novartis India Ltd</t>
        </is>
      </c>
      <c r="C419" s="31" t="inlineStr">
        <is>
          <t>healthcare</t>
        </is>
      </c>
      <c r="D419" s="31" t="inlineStr">
        <is>
          <t>pharmaceuticals - multinational</t>
        </is>
      </c>
      <c r="E419" s="31" t="inlineStr">
        <is>
          <t>smallcap</t>
        </is>
      </c>
      <c r="F419" s="31" t="n">
        <v>3993.98</v>
      </c>
      <c r="G419" s="31" t="n">
        <v>1565</v>
      </c>
      <c r="H419" s="31" t="n">
        <v>-3.25</v>
      </c>
      <c r="I419" s="31" t="n">
        <v>52799</v>
      </c>
      <c r="J419" s="31" t="inlineStr">
        <is>
          <t>500672</t>
        </is>
      </c>
    </row>
    <row r="420">
      <c r="A420" s="31" t="inlineStr">
        <is>
          <t>INDOTECH</t>
        </is>
      </c>
      <c r="B420" s="31" t="inlineStr">
        <is>
          <t>Indo Tech Transformers Limited</t>
        </is>
      </c>
      <c r="C420" s="31" t="inlineStr">
        <is>
          <t>industrials</t>
        </is>
      </c>
      <c r="D420" s="31" t="inlineStr">
        <is>
          <t>electric equipment</t>
        </is>
      </c>
      <c r="E420" s="31" t="inlineStr">
        <is>
          <t>smallcap</t>
        </is>
      </c>
      <c r="F420" s="31" t="n">
        <v>3687.9</v>
      </c>
      <c r="G420" s="31" t="n">
        <v>3359.8</v>
      </c>
      <c r="H420" s="31" t="n">
        <v>-3.25</v>
      </c>
      <c r="I420" s="31" t="n">
        <v>11322</v>
      </c>
      <c r="J420" s="31" t="inlineStr">
        <is>
          <t>532717</t>
        </is>
      </c>
    </row>
    <row r="421">
      <c r="A421" s="31" t="inlineStr">
        <is>
          <t>JINDRILL</t>
        </is>
      </c>
      <c r="B421" s="31" t="inlineStr">
        <is>
          <t>Jindal Drilling And Industries Limited</t>
        </is>
      </c>
      <c r="C421" s="31" t="inlineStr">
        <is>
          <t>energy</t>
        </is>
      </c>
      <c r="D421" s="31" t="inlineStr">
        <is>
          <t>oil drilling / allied services</t>
        </is>
      </c>
      <c r="E421" s="31" t="inlineStr">
        <is>
          <t>smallcap</t>
        </is>
      </c>
      <c r="F421" s="31" t="n">
        <v>1814.8</v>
      </c>
      <c r="G421" s="31" t="n">
        <v>604.95</v>
      </c>
      <c r="H421" s="31" t="n">
        <v>-3.39</v>
      </c>
      <c r="I421" s="31" t="n">
        <v>289144</v>
      </c>
      <c r="J421" s="31" t="inlineStr">
        <is>
          <t>511034</t>
        </is>
      </c>
    </row>
    <row r="422">
      <c r="A422" s="31" t="inlineStr">
        <is>
          <t>OMAXAUTO</t>
        </is>
      </c>
      <c r="B422" s="31" t="inlineStr">
        <is>
          <t>Omax Autos Limited</t>
        </is>
      </c>
      <c r="C422" s="31" t="inlineStr">
        <is>
          <t>auto</t>
        </is>
      </c>
      <c r="D422" s="31" t="inlineStr">
        <is>
          <t>auto ancillaries</t>
        </is>
      </c>
      <c r="E422" s="31" t="inlineStr">
        <is>
          <t>smallcap</t>
        </is>
      </c>
      <c r="F422" s="31" t="n">
        <v>532.52</v>
      </c>
      <c r="G422" s="31" t="n">
        <v>239.85</v>
      </c>
      <c r="H422" s="31" t="n">
        <v>-3.67</v>
      </c>
      <c r="I422" s="31" t="n">
        <v>27963</v>
      </c>
      <c r="J422" s="31" t="inlineStr">
        <is>
          <t>520021</t>
        </is>
      </c>
    </row>
    <row r="423">
      <c r="A423" s="31" t="inlineStr">
        <is>
          <t>MANCREDIT</t>
        </is>
      </c>
      <c r="B423" s="31" t="inlineStr">
        <is>
          <t>Mangal Credit &amp; Fincorp Ltd</t>
        </is>
      </c>
      <c r="C423" s="31" t="inlineStr">
        <is>
          <t>financials</t>
        </is>
      </c>
      <c r="D423" s="31" t="inlineStr">
        <is>
          <t>finance &amp; investments</t>
        </is>
      </c>
      <c r="E423" s="31" t="inlineStr">
        <is>
          <t>smallcap</t>
        </is>
      </c>
      <c r="F423" s="31" t="n">
        <v>510.96</v>
      </c>
      <c r="G423" s="31" t="n">
        <v>233.01</v>
      </c>
      <c r="H423" s="31" t="n">
        <v>-3.71</v>
      </c>
      <c r="I423" s="31" t="n">
        <v>204807</v>
      </c>
      <c r="J423" s="31" t="inlineStr">
        <is>
          <t>505850</t>
        </is>
      </c>
    </row>
    <row r="424">
      <c r="A424" s="31" t="inlineStr">
        <is>
          <t>SPAL</t>
        </is>
      </c>
      <c r="B424" s="31" t="inlineStr">
        <is>
          <t>S. P. Apparels Limited</t>
        </is>
      </c>
      <c r="C424" s="31" t="inlineStr">
        <is>
          <t>consumer discretionary</t>
        </is>
      </c>
      <c r="D424" s="31" t="inlineStr">
        <is>
          <t>textiles - products</t>
        </is>
      </c>
      <c r="E424" s="31" t="inlineStr">
        <is>
          <t>smallcap</t>
        </is>
      </c>
      <c r="F424" s="31" t="n">
        <v>2819.58</v>
      </c>
      <c r="G424" s="31" t="n">
        <v>1076.7</v>
      </c>
      <c r="H424" s="31" t="n">
        <v>-4</v>
      </c>
      <c r="I424" s="31" t="n">
        <v>151754</v>
      </c>
      <c r="J424" s="31" t="inlineStr">
        <is>
          <t>540048</t>
        </is>
      </c>
    </row>
    <row r="425">
      <c r="A425" s="31" t="inlineStr">
        <is>
          <t>IOLCP</t>
        </is>
      </c>
      <c r="B425" s="31" t="inlineStr">
        <is>
          <t>Iol Chemicals And Pharmaceuticals Limited</t>
        </is>
      </c>
      <c r="C425" s="31" t="inlineStr">
        <is>
          <t>healthcare</t>
        </is>
      </c>
      <c r="D425" s="31" t="inlineStr">
        <is>
          <t>pharmaceuticals - indian - bulk drugs &amp; formln</t>
        </is>
      </c>
      <c r="E425" s="31" t="inlineStr">
        <is>
          <t>midcap</t>
        </is>
      </c>
      <c r="F425" s="31" t="n">
        <v>5100.92</v>
      </c>
      <c r="G425" s="31" t="n">
        <v>165.7</v>
      </c>
      <c r="H425" s="31" t="n">
        <v>-4.65</v>
      </c>
      <c r="I425" s="31" t="n">
        <v>6221833</v>
      </c>
      <c r="J425" s="31" t="inlineStr">
        <is>
          <t>524164</t>
        </is>
      </c>
    </row>
    <row r="426">
      <c r="A426" s="31" t="inlineStr">
        <is>
          <t>JAYBARMARU</t>
        </is>
      </c>
      <c r="B426" s="31" t="inlineStr">
        <is>
          <t>Jay Bharat Maruti Limited</t>
        </is>
      </c>
      <c r="C426" s="31" t="inlineStr">
        <is>
          <t>auto</t>
        </is>
      </c>
      <c r="D426" s="31" t="inlineStr">
        <is>
          <t>auto ancillaries</t>
        </is>
      </c>
      <c r="E426" s="31" t="inlineStr">
        <is>
          <t>smallcap</t>
        </is>
      </c>
      <c r="F426" s="31" t="n">
        <v>2156.12</v>
      </c>
      <c r="G426" s="31" t="n">
        <v>189.23</v>
      </c>
      <c r="H426" s="31" t="n">
        <v>-5</v>
      </c>
      <c r="I426" s="31" t="n">
        <v>1062389</v>
      </c>
      <c r="J426" s="31" t="inlineStr">
        <is>
          <t>520066</t>
        </is>
      </c>
    </row>
    <row r="427">
      <c r="A427" s="31" t="inlineStr">
        <is>
          <t>SKMEGGPROD</t>
        </is>
      </c>
      <c r="B427" s="31" t="inlineStr">
        <is>
          <t>Skm Egg Products Export (india) Limited</t>
        </is>
      </c>
      <c r="C427" s="31" t="inlineStr">
        <is>
          <t>fmcg</t>
        </is>
      </c>
      <c r="D427" s="31" t="inlineStr">
        <is>
          <t>food - processing - indian</t>
        </is>
      </c>
      <c r="E427" s="31" t="inlineStr">
        <is>
          <t>smallcap</t>
        </is>
      </c>
      <c r="F427" s="31" t="n">
        <v>1854.95</v>
      </c>
      <c r="G427" s="31" t="n">
        <v>334.25</v>
      </c>
      <c r="H427" s="31" t="n">
        <v>-5.11</v>
      </c>
      <c r="I427" s="31" t="n">
        <v>750665</v>
      </c>
      <c r="J427" s="31" t="inlineStr">
        <is>
          <t>532143</t>
        </is>
      </c>
    </row>
    <row r="428">
      <c r="A428" s="31" t="inlineStr">
        <is>
          <t>INDOBORAX</t>
        </is>
      </c>
      <c r="B428" s="31" t="inlineStr">
        <is>
          <t>Indo Borax &amp; Chemicals Ltd</t>
        </is>
      </c>
      <c r="C428" s="31" t="inlineStr">
        <is>
          <t>chemicals</t>
        </is>
      </c>
      <c r="D428" s="31" t="inlineStr">
        <is>
          <t>chemicals</t>
        </is>
      </c>
      <c r="E428" s="31" t="inlineStr">
        <is>
          <t>smallcap</t>
        </is>
      </c>
      <c r="F428" s="31" t="n">
        <v>1561.82</v>
      </c>
      <c r="G428" s="31" t="n">
        <v>450.65</v>
      </c>
      <c r="H428" s="31" t="n">
        <v>-7.41</v>
      </c>
      <c r="I428" s="31" t="n">
        <v>651508</v>
      </c>
      <c r="J428" s="31" t="inlineStr">
        <is>
          <t>524342</t>
        </is>
      </c>
    </row>
  </sheetData>
  <autoFilter ref="A1:J4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TMB</t>
        </is>
      </c>
      <c r="E2" s="31" t="inlineStr">
        <is>
          <t>Tamilnad Mercantile Bank Ltd</t>
        </is>
      </c>
      <c r="F2" s="31" t="inlineStr">
        <is>
          <t>Banks - Private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16</v>
      </c>
      <c r="K2" s="31" t="n">
        <v>22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MENONBE</t>
        </is>
      </c>
      <c r="E3" s="31" t="inlineStr">
        <is>
          <t>Menon Bearings Limited</t>
        </is>
      </c>
      <c r="F3" s="31" t="inlineStr">
        <is>
          <t>Auto Ancillaries - Bearings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15</v>
      </c>
      <c r="K3" s="31" t="n">
        <v>22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GRANULES</t>
        </is>
      </c>
      <c r="E4" s="31" t="inlineStr">
        <is>
          <t>Granules India Limited</t>
        </is>
      </c>
      <c r="F4" s="31" t="inlineStr">
        <is>
          <t>Pharma - API &amp; CRAMS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18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ATHERENERG</t>
        </is>
      </c>
      <c r="E5" s="31" t="inlineStr">
        <is>
          <t>Ather Energy Ltd</t>
        </is>
      </c>
      <c r="F5" s="31" t="inlineStr">
        <is>
          <t>Auto - 2 &amp; 3 Wheelers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17</v>
      </c>
      <c r="K5" s="31" t="n">
        <v>23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RATEGAIN</t>
        </is>
      </c>
      <c r="E6" s="31" t="inlineStr">
        <is>
          <t>Rategain Travel Technologies Ltd</t>
        </is>
      </c>
      <c r="F6" s="31" t="inlineStr">
        <is>
          <t>IT Product Companies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16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SENORES</t>
        </is>
      </c>
      <c r="E7" s="31" t="inlineStr">
        <is>
          <t>Senores Pharmaceuticals Ltd</t>
        </is>
      </c>
      <c r="F7" s="31" t="inlineStr">
        <is>
          <t>unknown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0</v>
      </c>
      <c r="K7" s="31" t="n">
        <v>27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RPGLIFE</t>
        </is>
      </c>
      <c r="E8" s="31" t="inlineStr">
        <is>
          <t>Rpg Life Sciences Limited</t>
        </is>
      </c>
      <c r="F8" s="31" t="inlineStr">
        <is>
          <t>Pharma - Formulators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16</v>
      </c>
      <c r="K8" s="31" t="n">
        <v>20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LLOYDSME</t>
        </is>
      </c>
      <c r="E9" s="31" t="inlineStr">
        <is>
          <t>Lloyds Metals &amp; Energy Ltd</t>
        </is>
      </c>
      <c r="F9" s="31" t="inlineStr">
        <is>
          <t>Mining/Minerals - Iron Ore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18</v>
      </c>
      <c r="K9" s="31" t="n">
        <v>11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SATIN</t>
        </is>
      </c>
      <c r="E10" s="31" t="inlineStr">
        <is>
          <t>Satin Creditcare Network Limited</t>
        </is>
      </c>
      <c r="F10" s="31" t="inlineStr">
        <is>
          <t>Finance &amp; Investments - Microfinance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20</v>
      </c>
      <c r="K10" s="31" t="n">
        <v>27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INDOBORAX</t>
        </is>
      </c>
      <c r="E11" s="31" t="inlineStr">
        <is>
          <t>Indo Borax &amp; Chemicals Ltd</t>
        </is>
      </c>
      <c r="F11" s="31" t="inlineStr">
        <is>
          <t>Chemicals - Inorganic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17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PAISALO</t>
        </is>
      </c>
      <c r="E12" s="31" t="inlineStr">
        <is>
          <t>Paisalo Digital Ltd</t>
        </is>
      </c>
      <c r="F12" s="31" t="inlineStr">
        <is>
          <t>Finance - Capital Markets - Brokers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19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INDIAGLYCO</t>
        </is>
      </c>
      <c r="E13" s="31" t="inlineStr">
        <is>
          <t>India Glycols Limited</t>
        </is>
      </c>
      <c r="F13" s="31" t="inlineStr">
        <is>
          <t>Alcoholic Beverages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16</v>
      </c>
      <c r="K13" s="31" t="n">
        <v>11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IOLCP</t>
        </is>
      </c>
      <c r="E14" s="31" t="inlineStr">
        <is>
          <t>Iol Chemicals And Pharmaceuticals Limited</t>
        </is>
      </c>
      <c r="F14" s="31" t="inlineStr">
        <is>
          <t>Pharma - API &amp; CRAMS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21</v>
      </c>
      <c r="K14" s="31" t="n">
        <v>28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UJJIVANSFB</t>
        </is>
      </c>
      <c r="E15" s="31" t="inlineStr">
        <is>
          <t>Ujjivan Small Finance Bank Ltd</t>
        </is>
      </c>
      <c r="F15" s="31" t="inlineStr">
        <is>
          <t>Banks - Small Finance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21</v>
      </c>
      <c r="K15" s="31" t="n">
        <v>18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FEDFINA</t>
        </is>
      </c>
      <c r="E16" s="31" t="inlineStr">
        <is>
          <t>Fedbank Financial Services Ltd</t>
        </is>
      </c>
      <c r="F16" s="31" t="inlineStr">
        <is>
          <t>Finance &amp; Investments - Gold Loan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7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IBULLSLTD</t>
        </is>
      </c>
      <c r="E17" s="31" t="inlineStr">
        <is>
          <t>Indiabulls Limited</t>
        </is>
      </c>
      <c r="F17" s="31" t="inlineStr">
        <is>
          <t>Diversified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20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AEGISLOG</t>
        </is>
      </c>
      <c r="E18" s="31" t="inlineStr">
        <is>
          <t>Aegis Logistics Ltd</t>
        </is>
      </c>
      <c r="F18" s="31" t="inlineStr">
        <is>
          <t>Logistics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16</v>
      </c>
      <c r="K18" s="31" t="n">
        <v>29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PGIL</t>
        </is>
      </c>
      <c r="E19" s="31" t="inlineStr">
        <is>
          <t>Pearl Global Industries Limited</t>
        </is>
      </c>
      <c r="F19" s="31" t="inlineStr">
        <is>
          <t>unknown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0</v>
      </c>
      <c r="K19" s="31" t="n">
        <v>25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SURYODAY</t>
        </is>
      </c>
      <c r="E20" s="31" t="inlineStr">
        <is>
          <t>Suryoday Small Finance Bank Ltd</t>
        </is>
      </c>
      <c r="F20" s="31" t="inlineStr">
        <is>
          <t>Banks - Small Finance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19</v>
      </c>
      <c r="K20" s="31" t="n">
        <v>28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GODREJIND</t>
        </is>
      </c>
      <c r="E21" s="31" t="inlineStr">
        <is>
          <t>Godrej Industries Limited</t>
        </is>
      </c>
      <c r="F21" s="31" t="inlineStr">
        <is>
          <t>Finance - Holding Company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18</v>
      </c>
      <c r="K21" s="31" t="n">
        <v>20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SAKAR</t>
        </is>
      </c>
      <c r="E22" s="31" t="inlineStr">
        <is>
          <t>Sakar Healthcare Ltd</t>
        </is>
      </c>
      <c r="F22" s="31" t="inlineStr">
        <is>
          <t>Hospitals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18</v>
      </c>
      <c r="K22" s="31" t="n">
        <v>25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SKMEGGPROD</t>
        </is>
      </c>
      <c r="E23" s="31" t="inlineStr">
        <is>
          <t>Skm Egg Products Export (india) Limited</t>
        </is>
      </c>
      <c r="F23" s="31" t="inlineStr">
        <is>
          <t>FMCG - Animal/Polutry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19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RADICO</t>
        </is>
      </c>
      <c r="E24" s="31" t="inlineStr">
        <is>
          <t>Radico Khaitan Limited</t>
        </is>
      </c>
      <c r="F24" s="31" t="inlineStr">
        <is>
          <t>Alcoholic Beverages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16</v>
      </c>
      <c r="K24" s="31" t="n">
        <v>28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RISHABH</t>
        </is>
      </c>
      <c r="E25" s="31" t="inlineStr">
        <is>
          <t>Rishabh Instruments Ltd</t>
        </is>
      </c>
      <c r="F25" s="31" t="inlineStr">
        <is>
          <t>Capital Goods - Electric General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16</v>
      </c>
      <c r="K25" s="31" t="n">
        <v>27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RPTECH</t>
        </is>
      </c>
      <c r="E26" s="31" t="inlineStr">
        <is>
          <t>Rashi Peripherals Ltd</t>
        </is>
      </c>
      <c r="F26" s="31" t="inlineStr">
        <is>
          <t>Trading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CUPID</t>
        </is>
      </c>
      <c r="E27" s="31" t="inlineStr">
        <is>
          <t>Cupid Limited</t>
        </is>
      </c>
      <c r="F27" s="31" t="inlineStr">
        <is>
          <t>Contraceptives/Protectives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22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PGHL</t>
        </is>
      </c>
      <c r="E28" s="31" t="inlineStr">
        <is>
          <t>Procter &amp; Gamble Health Ltd</t>
        </is>
      </c>
      <c r="F28" s="31" t="inlineStr">
        <is>
          <t>Pharma - MNC bulk Drugs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16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BLISSGVS</t>
        </is>
      </c>
      <c r="E29" s="31" t="inlineStr">
        <is>
          <t>Bliss Gvs Pharma Limited</t>
        </is>
      </c>
      <c r="F29" s="31" t="inlineStr">
        <is>
          <t>Pharma - Formulators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16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ACUTAAS</t>
        </is>
      </c>
      <c r="E30" s="31" t="inlineStr">
        <is>
          <t>Acutaas Chemicals Ltd</t>
        </is>
      </c>
      <c r="F30" s="31" t="inlineStr">
        <is>
          <t>Pharma - API &amp; CRAMS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20</v>
      </c>
      <c r="K30" s="31" t="n">
        <v>28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VENUSREM</t>
        </is>
      </c>
      <c r="E31" s="31" t="inlineStr">
        <is>
          <t>Venus Remedies Limited</t>
        </is>
      </c>
      <c r="F31" s="31" t="inlineStr">
        <is>
          <t>Pharmaceuticals - I V Fluids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16</v>
      </c>
      <c r="K31" s="31" t="n">
        <v>26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FILATEX</t>
        </is>
      </c>
      <c r="E32" s="31" t="inlineStr">
        <is>
          <t>Filatex India Limited</t>
        </is>
      </c>
      <c r="F32" s="31" t="inlineStr">
        <is>
          <t>Textiles - Manmade Fibre - PFY/PSF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20</v>
      </c>
      <c r="K32" s="31" t="n">
        <v>18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ASTERDM</t>
        </is>
      </c>
      <c r="E33" s="31" t="inlineStr">
        <is>
          <t>Aster DM Healthcare Ltd</t>
        </is>
      </c>
      <c r="F33" s="31" t="inlineStr">
        <is>
          <t>Hospitals</t>
        </is>
      </c>
      <c r="G33" s="31" t="n">
        <v>2</v>
      </c>
      <c r="H33" s="31" t="inlineStr">
        <is>
          <t>52W Breakout</t>
        </is>
      </c>
      <c r="I33" s="31" t="inlineStr">
        <is>
          <t>Yes</t>
        </is>
      </c>
      <c r="J33" s="31" t="n">
        <v>11</v>
      </c>
      <c r="K33" s="31" t="n">
        <v>22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THANGAMAYL</t>
        </is>
      </c>
      <c r="E34" s="31" t="inlineStr">
        <is>
          <t>Thangamayil Jewellery Limited</t>
        </is>
      </c>
      <c r="F34" s="31" t="inlineStr">
        <is>
          <t>Diamond, Gems &amp; Jewellery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22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VADILALIND</t>
        </is>
      </c>
      <c r="E35" s="31" t="inlineStr">
        <is>
          <t>Vadilal Industries Limited</t>
        </is>
      </c>
      <c r="F35" s="31" t="inlineStr">
        <is>
          <t>FMCG - Dairy Products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J&amp;KBANK</t>
        </is>
      </c>
      <c r="E36" s="31" t="inlineStr">
        <is>
          <t>The Jammu &amp; Kashmir Bank Limited</t>
        </is>
      </c>
      <c r="F36" s="31" t="inlineStr">
        <is>
          <t>Banks - Private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17</v>
      </c>
      <c r="K36" s="31" t="n">
        <v>29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NAM-INDIA</t>
        </is>
      </c>
      <c r="E37" s="31" t="inlineStr">
        <is>
          <t>Nippon Life India Asset Management Ltd</t>
        </is>
      </c>
      <c r="F37" s="31" t="inlineStr">
        <is>
          <t>Finance - AMC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17</v>
      </c>
      <c r="K37" s="31" t="n">
        <v>22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INDOTECH</t>
        </is>
      </c>
      <c r="E38" s="31" t="inlineStr">
        <is>
          <t>Indo Tech Transformers Limited</t>
        </is>
      </c>
      <c r="F38" s="31" t="inlineStr">
        <is>
          <t>Capital Goods - Transformers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17</v>
      </c>
      <c r="K38" s="31" t="n">
        <v>23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GNA</t>
        </is>
      </c>
      <c r="E39" s="31" t="inlineStr">
        <is>
          <t>Gna Axles Limited</t>
        </is>
      </c>
      <c r="F39" s="31" t="inlineStr">
        <is>
          <t>Auto &amp; Auto Ancl - CV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16</v>
      </c>
      <c r="K39" s="31" t="n">
        <v>21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GHCLTEXTIL</t>
        </is>
      </c>
      <c r="E40" s="31" t="inlineStr">
        <is>
          <t>GHCL Textiles Ltd</t>
        </is>
      </c>
      <c r="F40" s="31" t="inlineStr">
        <is>
          <t>Textiles - General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18</v>
      </c>
      <c r="K40" s="31" t="n">
        <v>17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CEMPRO</t>
        </is>
      </c>
      <c r="E41" s="31" t="inlineStr">
        <is>
          <t>Cemindia Projects Ltd</t>
        </is>
      </c>
      <c r="F41" s="31" t="inlineStr">
        <is>
          <t>Infra - Construction &amp; Contracting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20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HAPPYFORGE</t>
        </is>
      </c>
      <c r="E42" s="31" t="inlineStr">
        <is>
          <t>Happy Forgings Ltd</t>
        </is>
      </c>
      <c r="F42" s="31" t="inlineStr">
        <is>
          <t>Castings, Forgings &amp; Fastners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13</v>
      </c>
      <c r="K42" s="31" t="n">
        <v>21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MARKSANS</t>
        </is>
      </c>
      <c r="E43" s="31" t="inlineStr">
        <is>
          <t>Marksans Pharma Limited</t>
        </is>
      </c>
      <c r="F43" s="31" t="inlineStr">
        <is>
          <t>Pharma - Formulators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16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SPANDANA</t>
        </is>
      </c>
      <c r="E44" s="31" t="inlineStr">
        <is>
          <t>Spandana Sphoorty Financial Ltd</t>
        </is>
      </c>
      <c r="F44" s="31" t="inlineStr">
        <is>
          <t>Finance &amp; Investments - Microfinance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16</v>
      </c>
      <c r="K44" s="31" t="n">
        <v>17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CGCL</t>
        </is>
      </c>
      <c r="E45" s="31" t="inlineStr">
        <is>
          <t>Capri Global Capital Limited</t>
        </is>
      </c>
      <c r="F45" s="31" t="inlineStr">
        <is>
          <t>Finance &amp; Investments - Gold Loan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24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HESTERBIO</t>
        </is>
      </c>
      <c r="E46" s="31" t="inlineStr">
        <is>
          <t>Hester Biosciences Limited</t>
        </is>
      </c>
      <c r="F46" s="31" t="inlineStr">
        <is>
          <t>Pharma - Animal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17</v>
      </c>
      <c r="K46" s="31" t="n">
        <v>27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INDNIPPON</t>
        </is>
      </c>
      <c r="E47" s="31" t="inlineStr">
        <is>
          <t>India Nippon Electricals Limited</t>
        </is>
      </c>
      <c r="F47" s="31" t="inlineStr">
        <is>
          <t>Auto Ancillaries - Engine Parts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25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PSPPROJECT</t>
        </is>
      </c>
      <c r="E48" s="31" t="inlineStr">
        <is>
          <t>PSP Projects Ltd</t>
        </is>
      </c>
      <c r="F48" s="31" t="inlineStr">
        <is>
          <t>Construction &amp; Contracting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16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SHILPAMED</t>
        </is>
      </c>
      <c r="E49" s="31" t="inlineStr">
        <is>
          <t>Shilpa Medicare Limited</t>
        </is>
      </c>
      <c r="F49" s="31" t="inlineStr">
        <is>
          <t>Pharma - API &amp; CRAMS</t>
        </is>
      </c>
      <c r="G49" s="31" t="n">
        <v>2</v>
      </c>
      <c r="H49" s="31" t="inlineStr">
        <is>
          <t>52W Breakout</t>
        </is>
      </c>
      <c r="I49" s="31" t="inlineStr">
        <is>
          <t>Yes</t>
        </is>
      </c>
      <c r="J49" s="31" t="n">
        <v>15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SIGNPOST</t>
        </is>
      </c>
      <c r="E50" s="31" t="inlineStr">
        <is>
          <t>Signpost India Ltd</t>
        </is>
      </c>
      <c r="F50" s="31" t="inlineStr">
        <is>
          <t>Advertisement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19</v>
      </c>
      <c r="K50" s="31" t="n">
        <v>11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SPORTKING</t>
        </is>
      </c>
      <c r="E51" s="31" t="inlineStr">
        <is>
          <t>Sportking India Ltd</t>
        </is>
      </c>
      <c r="F51" s="31" t="inlineStr">
        <is>
          <t>Textiles - Spinning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16</v>
      </c>
      <c r="K51" s="31" t="n">
        <v>21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KMEW</t>
        </is>
      </c>
      <c r="E52" s="31" t="inlineStr">
        <is>
          <t>Knowledge Marine &amp; Engineering Works Ltd</t>
        </is>
      </c>
      <c r="F52" s="31" t="inlineStr">
        <is>
          <t>Shipping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19</v>
      </c>
      <c r="K52" s="31" t="n">
        <v>21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MUTHOOTMF</t>
        </is>
      </c>
      <c r="E53" s="31" t="inlineStr">
        <is>
          <t>Muthoot Microfin Ltd</t>
        </is>
      </c>
      <c r="F53" s="31" t="inlineStr">
        <is>
          <t>Finance &amp; Investments - Microfinance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24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TFCILTD</t>
        </is>
      </c>
      <c r="E54" s="31" t="inlineStr">
        <is>
          <t>Tourism Finance Corporation Of India Limited</t>
        </is>
      </c>
      <c r="F54" s="31" t="inlineStr">
        <is>
          <t>Finance - PSU Lending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13</v>
      </c>
      <c r="K54" s="31" t="n">
        <v>14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JAYBARMARU</t>
        </is>
      </c>
      <c r="E55" s="31" t="inlineStr">
        <is>
          <t>Jay Bharat Maruti Limited</t>
        </is>
      </c>
      <c r="F55" s="31" t="inlineStr">
        <is>
          <t>Auto Ancillaries - Diversified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17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SANGAMIND</t>
        </is>
      </c>
      <c r="E56" s="31" t="inlineStr">
        <is>
          <t>Sangam (india) Limited</t>
        </is>
      </c>
      <c r="F56" s="31" t="inlineStr">
        <is>
          <t>Textiles - Spinning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19</v>
      </c>
      <c r="K56" s="31" t="n">
        <v>28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SIGMAADV</t>
        </is>
      </c>
      <c r="E57" s="31" t="inlineStr">
        <is>
          <t>Sigma Advanced System Ltd</t>
        </is>
      </c>
      <c r="F57" s="31" t="inlineStr">
        <is>
          <t>Aerospace &amp; Defence - Equipments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SPECTRUM</t>
        </is>
      </c>
      <c r="E58" s="31" t="inlineStr">
        <is>
          <t>Spectrum Electrical Industries Ltd</t>
        </is>
      </c>
      <c r="F58" s="31" t="inlineStr">
        <is>
          <t>Capital Goods - Electric General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18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WELCORP</t>
        </is>
      </c>
      <c r="E59" s="31" t="inlineStr">
        <is>
          <t>Welspun Corp Limited</t>
        </is>
      </c>
      <c r="F59" s="31" t="inlineStr">
        <is>
          <t>DI Pipes/Saw Pipes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20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NOVARTIND</t>
        </is>
      </c>
      <c r="E60" s="31" t="inlineStr">
        <is>
          <t>Novartis India Ltd</t>
        </is>
      </c>
      <c r="F60" s="31" t="inlineStr">
        <is>
          <t>Pharma - MNC bulk Drugs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26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PICCADIL</t>
        </is>
      </c>
      <c r="E61" s="31" t="inlineStr">
        <is>
          <t>Piccadily Agro Industries Ltd</t>
        </is>
      </c>
      <c r="F61" s="31" t="inlineStr">
        <is>
          <t>Alcoholic Beverages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17</v>
      </c>
      <c r="K61" s="31" t="n">
        <v>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AEGISVOPAK</t>
        </is>
      </c>
      <c r="E62" s="31" t="inlineStr">
        <is>
          <t>Aegis Vopak Terminals Ltd</t>
        </is>
      </c>
      <c r="F62" s="31" t="inlineStr">
        <is>
          <t>Miscellaneous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19</v>
      </c>
      <c r="K62" s="31" t="n">
        <v>11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RPEL</t>
        </is>
      </c>
      <c r="E63" s="31" t="inlineStr">
        <is>
          <t>Raghav Productivity Enhancers Ltd</t>
        </is>
      </c>
      <c r="F63" s="31" t="inlineStr">
        <is>
          <t>Steel Products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17</v>
      </c>
      <c r="K63" s="31" t="n">
        <v>30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GREAVESCOT</t>
        </is>
      </c>
      <c r="E64" s="31" t="inlineStr">
        <is>
          <t>Greaves Cotton Limited</t>
        </is>
      </c>
      <c r="F64" s="31" t="inlineStr">
        <is>
          <t>Engines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17</v>
      </c>
      <c r="K64" s="31" t="n">
        <v>19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KABRAEXTRU</t>
        </is>
      </c>
      <c r="E65" s="31" t="inlineStr">
        <is>
          <t>Kabra Extrusion Technik Limited</t>
        </is>
      </c>
      <c r="F65" s="31" t="inlineStr">
        <is>
          <t>Capital Goods - Engineering Heavy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16</v>
      </c>
      <c r="K65" s="31" t="n">
        <v>12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SKYGOLD</t>
        </is>
      </c>
      <c r="E66" s="31" t="inlineStr">
        <is>
          <t>Sky Gold Ltd</t>
        </is>
      </c>
      <c r="F66" s="31" t="inlineStr">
        <is>
          <t>Diamond, Gems &amp; Jewellery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24</v>
      </c>
      <c r="K66" s="31" t="n">
        <v>19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IPCALAB</t>
        </is>
      </c>
      <c r="E67" s="31" t="inlineStr">
        <is>
          <t>Ipca Laboratories Limited</t>
        </is>
      </c>
      <c r="F67" s="31" t="inlineStr">
        <is>
          <t>Pharma - Formulators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11</v>
      </c>
      <c r="K67" s="31" t="n">
        <v>23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HFCL</t>
        </is>
      </c>
      <c r="E68" s="31" t="inlineStr">
        <is>
          <t>HFCL Ltd</t>
        </is>
      </c>
      <c r="F68" s="31" t="inlineStr">
        <is>
          <t>Telecom Services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20</v>
      </c>
      <c r="K68" s="31" t="n">
        <v>29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CCAVENUE</t>
        </is>
      </c>
      <c r="E69" s="31" t="inlineStr">
        <is>
          <t>AvenuesAI Ltd</t>
        </is>
      </c>
      <c r="F69" s="31" t="inlineStr">
        <is>
          <t>IT - Software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16</v>
      </c>
      <c r="K69" s="31" t="n">
        <v>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IKS</t>
        </is>
      </c>
      <c r="E70" s="31" t="inlineStr">
        <is>
          <t>Inventurus Knowledge Solutions Ltd</t>
        </is>
      </c>
      <c r="F70" s="31" t="inlineStr">
        <is>
          <t>IT Enabled Services/Business Process Outsourcing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17</v>
      </c>
      <c r="K70" s="31" t="n">
        <v>21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LLOYDSENT</t>
        </is>
      </c>
      <c r="E71" s="31" t="inlineStr">
        <is>
          <t>Lloyds Enterprises Ltd</t>
        </is>
      </c>
      <c r="F71" s="31" t="inlineStr">
        <is>
          <t>Trading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17</v>
      </c>
      <c r="K71" s="31" t="n">
        <v>8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JNKINDIA</t>
        </is>
      </c>
      <c r="E72" s="31" t="inlineStr">
        <is>
          <t>JNK India Ltd</t>
        </is>
      </c>
      <c r="F72" s="31" t="inlineStr">
        <is>
          <t>Capital Goods - Engineering Heavy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29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SUNPHARMA</t>
        </is>
      </c>
      <c r="E73" s="31" t="inlineStr">
        <is>
          <t>Sun Pharmaceuticals Industries Limited</t>
        </is>
      </c>
      <c r="F73" s="31" t="inlineStr">
        <is>
          <t>Pharma - Formulators</t>
        </is>
      </c>
      <c r="G73" s="31" t="n">
        <v>2</v>
      </c>
      <c r="H73" s="31" t="inlineStr">
        <is>
          <t>52W Breakout</t>
        </is>
      </c>
      <c r="I73" s="31" t="inlineStr">
        <is>
          <t>Yes</t>
        </is>
      </c>
      <c r="J73" s="31" t="n">
        <v>10</v>
      </c>
      <c r="K73" s="31" t="n">
        <v>20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OBEROIRLTY</t>
        </is>
      </c>
      <c r="E74" s="31" t="inlineStr">
        <is>
          <t>Oberoi Realty Limited</t>
        </is>
      </c>
      <c r="F74" s="31" t="inlineStr">
        <is>
          <t>Realty - Regional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19</v>
      </c>
      <c r="K74" s="31" t="n">
        <v>22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DIACABS</t>
        </is>
      </c>
      <c r="E75" s="31" t="inlineStr">
        <is>
          <t>Diamond Power Infrastructure Ltd</t>
        </is>
      </c>
      <c r="F75" s="31" t="inlineStr">
        <is>
          <t>Cables - Power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16</v>
      </c>
      <c r="K75" s="31" t="n">
        <v>27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IKIO</t>
        </is>
      </c>
      <c r="E76" s="31" t="inlineStr">
        <is>
          <t>IKIO Lighting Ltd</t>
        </is>
      </c>
      <c r="F76" s="31" t="inlineStr">
        <is>
          <t>Capital Goods - Electric General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17</v>
      </c>
      <c r="K76" s="31" t="n">
        <v>6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AURUM</t>
        </is>
      </c>
      <c r="E77" s="31" t="inlineStr">
        <is>
          <t>Aurum Proptech Ltd</t>
        </is>
      </c>
      <c r="F77" s="31" t="inlineStr">
        <is>
          <t>IT Enabled Services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21</v>
      </c>
      <c r="K77" s="31" t="n">
        <v>27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CHOICEIN</t>
        </is>
      </c>
      <c r="E78" s="31" t="inlineStr">
        <is>
          <t>Choice International Ltd</t>
        </is>
      </c>
      <c r="F78" s="31" t="inlineStr">
        <is>
          <t>Finance - Capital Markets - Brokers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18</v>
      </c>
      <c r="K78" s="31" t="n">
        <v>22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CHOLAFIN</t>
        </is>
      </c>
      <c r="E79" s="31" t="inlineStr">
        <is>
          <t>Cholamandalam Investment And Finance Company Limited</t>
        </is>
      </c>
      <c r="F79" s="31" t="inlineStr">
        <is>
          <t>Conglomerate Backed NBFC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16</v>
      </c>
      <c r="K79" s="31" t="n">
        <v>23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BLSE</t>
        </is>
      </c>
      <c r="E80" s="31" t="inlineStr">
        <is>
          <t>BLS E-Services Ltd</t>
        </is>
      </c>
      <c r="F80" s="31" t="inlineStr">
        <is>
          <t>IT - Software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18</v>
      </c>
      <c r="K80" s="31" t="n">
        <v>30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TBZ</t>
        </is>
      </c>
      <c r="E81" s="31" t="inlineStr">
        <is>
          <t>Tribhovandas Bhimji Zaveri Limited</t>
        </is>
      </c>
      <c r="F81" s="31" t="inlineStr">
        <is>
          <t>Diamond, Gems &amp; Jewellery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24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JBCHEPHARM</t>
        </is>
      </c>
      <c r="E82" s="31" t="inlineStr">
        <is>
          <t>Jb Chemicals &amp; Pharmaceuticals Limited</t>
        </is>
      </c>
      <c r="F82" s="31" t="inlineStr">
        <is>
          <t>Pharma - Formulators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11</v>
      </c>
      <c r="K82" s="31" t="n">
        <v>26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AJANTPHARM</t>
        </is>
      </c>
      <c r="E83" s="31" t="inlineStr">
        <is>
          <t>Ajanta Pharma Limited</t>
        </is>
      </c>
      <c r="F83" s="31" t="inlineStr">
        <is>
          <t>Pharma - Formulators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9</v>
      </c>
      <c r="K83" s="31" t="n">
        <v>21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RML</t>
        </is>
      </c>
      <c r="E84" s="31" t="inlineStr">
        <is>
          <t>Rane (madras) Limited</t>
        </is>
      </c>
      <c r="F84" s="31" t="inlineStr">
        <is>
          <t>Auto Ancillaries - Gears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16</v>
      </c>
      <c r="K84" s="31" t="n">
        <v>28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SSWL</t>
        </is>
      </c>
      <c r="E85" s="31" t="inlineStr">
        <is>
          <t>Steel Strips Wheels Limited</t>
        </is>
      </c>
      <c r="F85" s="31" t="inlineStr">
        <is>
          <t>Auto Ancillaries - Wheels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24</v>
      </c>
      <c r="K85" s="31" t="n">
        <v>29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APOLLOHOSP</t>
        </is>
      </c>
      <c r="E86" s="31" t="inlineStr">
        <is>
          <t>Apollo Hospitals Enterprise Limited</t>
        </is>
      </c>
      <c r="F86" s="31" t="inlineStr">
        <is>
          <t>Hospitals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8</v>
      </c>
      <c r="K86" s="31" t="n">
        <v>30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GANDHAR</t>
        </is>
      </c>
      <c r="E87" s="31" t="inlineStr">
        <is>
          <t>Gandhar Oil Refinery (India) Ltd</t>
        </is>
      </c>
      <c r="F87" s="31" t="inlineStr">
        <is>
          <t>Refineries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15</v>
      </c>
      <c r="K87" s="31" t="n">
        <v>24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HIRECT</t>
        </is>
      </c>
      <c r="E88" s="31" t="inlineStr">
        <is>
          <t>Hind Rectifiers Limited</t>
        </is>
      </c>
      <c r="F88" s="31" t="inlineStr">
        <is>
          <t>Electronics - Equipment/Components</t>
        </is>
      </c>
      <c r="G88" s="31" t="n">
        <v>2</v>
      </c>
      <c r="H88" s="31" t="inlineStr">
        <is>
          <t>52W Breakout</t>
        </is>
      </c>
      <c r="I88" s="31" t="inlineStr">
        <is>
          <t>Yes</t>
        </is>
      </c>
      <c r="J88" s="31" t="n">
        <v>11</v>
      </c>
      <c r="K88" s="31" t="n">
        <v>19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SHYAMMETL</t>
        </is>
      </c>
      <c r="E89" s="31" t="inlineStr">
        <is>
          <t>Shyam Metalics &amp; Energy Ltd</t>
        </is>
      </c>
      <c r="F89" s="31" t="inlineStr">
        <is>
          <t>Steel Products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17</v>
      </c>
      <c r="K89" s="31" t="n">
        <v>15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DIVISLAB</t>
        </is>
      </c>
      <c r="E90" s="31" t="inlineStr">
        <is>
          <t>Divi's Laboratories Limited</t>
        </is>
      </c>
      <c r="F90" s="31" t="inlineStr">
        <is>
          <t>Pharma - API &amp; CRAMS</t>
        </is>
      </c>
      <c r="G90" s="31" t="n">
        <v>2</v>
      </c>
      <c r="H90" s="31" t="inlineStr">
        <is>
          <t>52W Breakout</t>
        </is>
      </c>
      <c r="I90" s="31" t="inlineStr">
        <is>
          <t>Yes</t>
        </is>
      </c>
      <c r="J90" s="31" t="n">
        <v>9</v>
      </c>
      <c r="K90" s="31" t="n">
        <v>12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AZAD</t>
        </is>
      </c>
      <c r="E91" s="31" t="inlineStr">
        <is>
          <t>Azad Engineering Ltd</t>
        </is>
      </c>
      <c r="F91" s="31" t="inlineStr">
        <is>
          <t>Aerospace &amp; Defence - Equipments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18</v>
      </c>
      <c r="K91" s="31" t="n">
        <v>15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KALYANKJIL</t>
        </is>
      </c>
      <c r="E92" s="31" t="inlineStr">
        <is>
          <t>Kalyan Jewellers India Ltd</t>
        </is>
      </c>
      <c r="F92" s="31" t="inlineStr">
        <is>
          <t>Diamond, Gems &amp; Jewellery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18</v>
      </c>
      <c r="K92" s="31" t="n">
        <v>3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TORNTPHARM</t>
        </is>
      </c>
      <c r="E93" s="31" t="inlineStr">
        <is>
          <t>Torrent Pharmaceuticals Limited</t>
        </is>
      </c>
      <c r="F93" s="31" t="inlineStr">
        <is>
          <t>Pharma - Formulators</t>
        </is>
      </c>
      <c r="G93" s="31" t="n">
        <v>2</v>
      </c>
      <c r="H93" s="31" t="inlineStr">
        <is>
          <t>52W Breakout</t>
        </is>
      </c>
      <c r="I93" s="31" t="inlineStr">
        <is>
          <t>Yes</t>
        </is>
      </c>
      <c r="J93" s="31" t="n">
        <v>6</v>
      </c>
      <c r="K93" s="31" t="n">
        <v>22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KAPSTON</t>
        </is>
      </c>
      <c r="E94" s="31" t="inlineStr">
        <is>
          <t>Kapston Services Ltd</t>
        </is>
      </c>
      <c r="F94" s="31" t="inlineStr">
        <is>
          <t>Services - Others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19</v>
      </c>
      <c r="K94" s="31" t="n">
        <v>23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SILVERTUC</t>
        </is>
      </c>
      <c r="E95" s="31" t="inlineStr">
        <is>
          <t>Silver Touch Technologies Ltd</t>
        </is>
      </c>
      <c r="F95" s="31" t="inlineStr">
        <is>
          <t>IT - Software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16</v>
      </c>
      <c r="K95" s="31" t="n">
        <v>20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JUBLPHARMA</t>
        </is>
      </c>
      <c r="E96" s="31" t="inlineStr">
        <is>
          <t>Jubilant Pharmova Ltd</t>
        </is>
      </c>
      <c r="F96" s="31" t="inlineStr">
        <is>
          <t>Pharma - API &amp; CRAMS</t>
        </is>
      </c>
      <c r="G96" s="31" t="n">
        <v>2</v>
      </c>
      <c r="H96" s="31" t="inlineStr">
        <is>
          <t>EMA Crossover</t>
        </is>
      </c>
      <c r="I96" s="31" t="inlineStr">
        <is>
          <t>Yes</t>
        </is>
      </c>
      <c r="J96" s="31" t="n">
        <v>6</v>
      </c>
      <c r="K96" s="31" t="n">
        <v>1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SBILIFE</t>
        </is>
      </c>
      <c r="E97" s="31" t="inlineStr">
        <is>
          <t>SBI Life Insurance Company Ltd</t>
        </is>
      </c>
      <c r="F97" s="31" t="inlineStr">
        <is>
          <t>Finance - Insurance</t>
        </is>
      </c>
      <c r="G97" s="31" t="n">
        <v>2</v>
      </c>
      <c r="H97" s="31" t="inlineStr">
        <is>
          <t>EMA Crossover</t>
        </is>
      </c>
      <c r="I97" s="31" t="inlineStr">
        <is>
          <t>Yes</t>
        </is>
      </c>
      <c r="J97" s="31" t="n">
        <v>4</v>
      </c>
      <c r="K97" s="31" t="n">
        <v>1</v>
      </c>
    </row>
  </sheetData>
  <autoFilter ref="A1:K97"/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6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IF(B2=0,"",RANK(B2,$B$2:$B$362,0))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OMAXAUTO</t>
        </is>
      </c>
      <c r="D2" s="31" t="inlineStr">
        <is>
          <t>Omax Autos Limited</t>
        </is>
      </c>
      <c r="E2" s="31" t="inlineStr">
        <is>
          <t>auto</t>
        </is>
      </c>
      <c r="F2" s="31" t="inlineStr">
        <is>
          <t>auto ancillaries</t>
        </is>
      </c>
      <c r="G2" s="31" t="inlineStr">
        <is>
          <t>smallcap</t>
        </is>
      </c>
      <c r="H2" s="32" t="n">
        <v>532.52</v>
      </c>
      <c r="I2" s="32" t="n">
        <v>239.85</v>
      </c>
      <c r="J2" s="32" t="n">
        <v>-3.67</v>
      </c>
      <c r="K2" s="32" t="n">
        <v>27963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70.06999999999999</v>
      </c>
      <c r="P2" s="32" t="n">
        <v>56.73</v>
      </c>
      <c r="Q2" s="32" t="n">
        <v>176.86</v>
      </c>
      <c r="R2" s="31" t="inlineStr">
        <is>
          <t>Near 52W High Breakout</t>
        </is>
      </c>
      <c r="S2" s="31" t="inlineStr">
        <is>
          <t>Nifty Auto</t>
        </is>
      </c>
      <c r="T2" s="32" t="n">
        <v>11.51</v>
      </c>
      <c r="U2" s="32" t="n">
        <v>118.26</v>
      </c>
      <c r="V2" s="32" t="n">
        <v>95.73</v>
      </c>
      <c r="W2" s="32" t="n">
        <v>44.48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IF(B3=0,"",RANK(B3,$B$2:$B$362,0))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CONFIPET</t>
        </is>
      </c>
      <c r="D3" s="31" t="inlineStr">
        <is>
          <t>Confidence Petroleum India Ltd</t>
        </is>
      </c>
      <c r="E3" s="31" t="inlineStr">
        <is>
          <t>miscellaneous</t>
        </is>
      </c>
      <c r="F3" s="31" t="inlineStr">
        <is>
          <t>miscellaneous</t>
        </is>
      </c>
      <c r="G3" s="31" t="inlineStr">
        <is>
          <t>smallcap</t>
        </is>
      </c>
      <c r="H3" s="32" t="n">
        <v>2445.96</v>
      </c>
      <c r="I3" s="32" t="n">
        <v>75.34999999999999</v>
      </c>
      <c r="J3" s="32" t="n">
        <v>2.35</v>
      </c>
      <c r="K3" s="32" t="n">
        <v>1231433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70.73</v>
      </c>
      <c r="P3" s="32" t="n">
        <v>64.5</v>
      </c>
      <c r="Q3" s="32" t="n">
        <v>52.68</v>
      </c>
      <c r="R3" s="31" t="inlineStr">
        <is>
          <t>Near 52W High Breakout</t>
        </is>
      </c>
      <c r="S3" s="31" t="inlineStr">
        <is>
          <t>Nifty 50</t>
        </is>
      </c>
      <c r="T3" s="32" t="n">
        <v>-3.56</v>
      </c>
      <c r="U3" s="32" t="n">
        <v>36.99</v>
      </c>
      <c r="V3" s="32" t="n">
        <v>42.06</v>
      </c>
      <c r="W3" s="32" t="n">
        <v>19.67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IF(B4=0,"",RANK(B4,$B$2:$B$362,0))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INDOBORAX</t>
        </is>
      </c>
      <c r="D4" s="31" t="inlineStr">
        <is>
          <t>Indo Borax &amp; Chemicals Ltd</t>
        </is>
      </c>
      <c r="E4" s="31" t="inlineStr">
        <is>
          <t>chemicals</t>
        </is>
      </c>
      <c r="F4" s="31" t="inlineStr">
        <is>
          <t>chemicals</t>
        </is>
      </c>
      <c r="G4" s="31" t="inlineStr">
        <is>
          <t>smallcap</t>
        </is>
      </c>
      <c r="H4" s="32" t="n">
        <v>1561.82</v>
      </c>
      <c r="I4" s="32" t="n">
        <v>450.65</v>
      </c>
      <c r="J4" s="32" t="n">
        <v>-7.41</v>
      </c>
      <c r="K4" s="32" t="n">
        <v>651508</v>
      </c>
      <c r="L4" s="31" t="n">
        <v>90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85.33</v>
      </c>
      <c r="P4" s="32" t="n">
        <v>67.29000000000001</v>
      </c>
      <c r="Q4" s="32" t="n">
        <v>352.07</v>
      </c>
      <c r="R4" s="31" t="inlineStr">
        <is>
          <t>Near 52W High Breakout</t>
        </is>
      </c>
      <c r="S4" s="31" t="inlineStr">
        <is>
          <t>Nifty 50</t>
        </is>
      </c>
      <c r="T4" s="32" t="n">
        <v>-3.56</v>
      </c>
      <c r="U4" s="32" t="n">
        <v>83.53</v>
      </c>
      <c r="V4" s="32" t="n">
        <v>90.31999999999999</v>
      </c>
      <c r="W4" s="32" t="n">
        <v>31.67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IF(B5=0,"",RANK(B5,$B$2:$B$362,0))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INDIAGLYCO</t>
        </is>
      </c>
      <c r="D5" s="31" t="inlineStr">
        <is>
          <t>India Glycols Limited</t>
        </is>
      </c>
      <c r="E5" s="31" t="inlineStr">
        <is>
          <t>fmcg</t>
        </is>
      </c>
      <c r="F5" s="31" t="inlineStr">
        <is>
          <t>breweries &amp; distilleries</t>
        </is>
      </c>
      <c r="G5" s="31" t="inlineStr">
        <is>
          <t>midcap</t>
        </is>
      </c>
      <c r="H5" s="32" t="n">
        <v>7390.71</v>
      </c>
      <c r="I5" s="32" t="n">
        <v>1137.35</v>
      </c>
      <c r="J5" s="32" t="n">
        <v>3.15</v>
      </c>
      <c r="K5" s="32" t="n">
        <v>708876</v>
      </c>
      <c r="L5" s="31" t="n">
        <v>42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63.97</v>
      </c>
      <c r="P5" s="32" t="n">
        <v>21.1</v>
      </c>
      <c r="Q5" s="32" t="n">
        <v>900.35</v>
      </c>
      <c r="R5" s="31" t="inlineStr">
        <is>
          <t>Volume Spike &amp; Near 52W High Breakout</t>
        </is>
      </c>
      <c r="S5" s="31" t="inlineStr">
        <is>
          <t>Nifty FMCG</t>
        </is>
      </c>
      <c r="T5" s="32" t="n">
        <v>-14.55</v>
      </c>
      <c r="U5" s="32" t="n">
        <v>20.13</v>
      </c>
      <c r="V5" s="32" t="n">
        <v>40.58</v>
      </c>
      <c r="W5" s="32" t="n">
        <v>7.32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IF(B6=0,"",RANK(B6,$B$2:$B$362,0))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IOLCP</t>
        </is>
      </c>
      <c r="D6" s="31" t="inlineStr">
        <is>
          <t>Iol Chemicals And Pharmaceuticals Limited</t>
        </is>
      </c>
      <c r="E6" s="31" t="inlineStr">
        <is>
          <t>healthcare</t>
        </is>
      </c>
      <c r="F6" s="31" t="inlineStr">
        <is>
          <t>pharmaceuticals - indian - bulk drugs &amp; formln</t>
        </is>
      </c>
      <c r="G6" s="31" t="inlineStr">
        <is>
          <t>midcap</t>
        </is>
      </c>
      <c r="H6" s="32" t="n">
        <v>5100.92</v>
      </c>
      <c r="I6" s="32" t="n">
        <v>165.7</v>
      </c>
      <c r="J6" s="32" t="n">
        <v>-4.65</v>
      </c>
      <c r="K6" s="32" t="n">
        <v>6221833</v>
      </c>
      <c r="L6" s="31" t="n">
        <v>93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81.34999999999999</v>
      </c>
      <c r="P6" s="32" t="n">
        <v>63.83</v>
      </c>
      <c r="Q6" s="32" t="n">
        <v>130.26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15.1</v>
      </c>
      <c r="U6" s="32" t="n">
        <v>82.95</v>
      </c>
      <c r="V6" s="32" t="n">
        <v>58.95</v>
      </c>
      <c r="W6" s="32" t="n">
        <v>34.04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IF(B7=0,"",RANK(B7,$B$2:$B$362,0))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AEGISLOG</t>
        </is>
      </c>
      <c r="D7" s="31" t="inlineStr">
        <is>
          <t>Aegis Logistics Ltd</t>
        </is>
      </c>
      <c r="E7" s="31" t="inlineStr">
        <is>
          <t>services</t>
        </is>
      </c>
      <c r="F7" s="31" t="inlineStr">
        <is>
          <t>trading</t>
        </is>
      </c>
      <c r="G7" s="31" t="inlineStr">
        <is>
          <t>largecap</t>
        </is>
      </c>
      <c r="H7" s="32" t="n">
        <v>42909.75</v>
      </c>
      <c r="I7" s="32" t="n">
        <v>1321.1</v>
      </c>
      <c r="J7" s="32" t="n">
        <v>8.07</v>
      </c>
      <c r="K7" s="32" t="n">
        <v>2961979</v>
      </c>
      <c r="L7" s="31" t="n">
        <v>94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79.45</v>
      </c>
      <c r="P7" s="32" t="n">
        <v>40.58</v>
      </c>
      <c r="Q7" s="32" t="n">
        <v>1000.63</v>
      </c>
      <c r="R7" s="31" t="inlineStr">
        <is>
          <t>Near 52W High Breakout</t>
        </is>
      </c>
      <c r="S7" s="31" t="inlineStr">
        <is>
          <t>Nifty 50</t>
        </is>
      </c>
      <c r="T7" s="32" t="n">
        <v>-3.56</v>
      </c>
      <c r="U7" s="32" t="n">
        <v>79.2</v>
      </c>
      <c r="V7" s="32" t="n">
        <v>85.81999999999999</v>
      </c>
      <c r="W7" s="32" t="n">
        <v>34.26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IF(B8=0,"",RANK(B8,$B$2:$B$362,0))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PRECOT</t>
        </is>
      </c>
      <c r="D8" s="31" t="inlineStr">
        <is>
          <t>Precot Meridian Limited</t>
        </is>
      </c>
      <c r="E8" s="31" t="inlineStr">
        <is>
          <t>textiles</t>
        </is>
      </c>
      <c r="F8" s="31" t="inlineStr">
        <is>
          <t>textiles - cotton/blended</t>
        </is>
      </c>
      <c r="G8" s="31" t="inlineStr">
        <is>
          <t>smallcap</t>
        </is>
      </c>
      <c r="H8" s="32" t="n">
        <v>954</v>
      </c>
      <c r="I8" s="32" t="n">
        <v>821.4</v>
      </c>
      <c r="J8" s="32" t="n">
        <v>3.32</v>
      </c>
      <c r="K8" s="32" t="n">
        <v>3371</v>
      </c>
      <c r="L8" s="31" t="n">
        <v>82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69.87</v>
      </c>
      <c r="P8" s="32" t="n">
        <v>43.84</v>
      </c>
      <c r="Q8" s="32" t="n">
        <v>585.67</v>
      </c>
      <c r="R8" s="31" t="inlineStr">
        <is>
          <t>Near 52W High Breakout</t>
        </is>
      </c>
      <c r="S8" s="31" t="inlineStr">
        <is>
          <t>Nifty 50</t>
        </is>
      </c>
      <c r="T8" s="32" t="n">
        <v>-3.56</v>
      </c>
      <c r="U8" s="32" t="n">
        <v>33.03</v>
      </c>
      <c r="V8" s="32" t="n">
        <v>37.94</v>
      </c>
      <c r="W8" s="32" t="n">
        <v>21.25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IF(B9=0,"",RANK(B9,$B$2:$B$362,0))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IBULLSLTD</t>
        </is>
      </c>
      <c r="D9" s="31" t="inlineStr">
        <is>
          <t>Indiabulls Limited</t>
        </is>
      </c>
      <c r="E9" s="31" t="inlineStr">
        <is>
          <t>miscellaneous</t>
        </is>
      </c>
      <c r="F9" s="31" t="inlineStr">
        <is>
          <t>diversified - medium / small</t>
        </is>
      </c>
      <c r="G9" s="31" t="inlineStr">
        <is>
          <t>midcap</t>
        </is>
      </c>
      <c r="H9" s="32" t="n">
        <v>7182.34</v>
      </c>
      <c r="I9" s="32" t="n">
        <v>31.59</v>
      </c>
      <c r="J9" s="32" t="n">
        <v>2.23</v>
      </c>
      <c r="K9" s="32" t="n">
        <v>4921383</v>
      </c>
      <c r="L9" s="31" t="n">
        <v>94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80.55</v>
      </c>
      <c r="P9" s="32" t="n">
        <v>44.18</v>
      </c>
      <c r="Q9" s="32" t="n">
        <v>23.59</v>
      </c>
      <c r="R9" s="31" t="inlineStr">
        <is>
          <t>Near 52W High Breakout</t>
        </is>
      </c>
      <c r="S9" s="31" t="inlineStr">
        <is>
          <t>Nifty 50</t>
        </is>
      </c>
      <c r="T9" s="32" t="n">
        <v>-3.56</v>
      </c>
      <c r="U9" s="32" t="n">
        <v>102.63</v>
      </c>
      <c r="V9" s="32" t="n">
        <v>110.12</v>
      </c>
      <c r="W9" s="32" t="n">
        <v>36.36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IF(B10=0,"",RANK(B10,$B$2:$B$362,0))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PGIL</t>
        </is>
      </c>
      <c r="D10" s="31" t="inlineStr">
        <is>
          <t>Pearl Global Industries Limited</t>
        </is>
      </c>
      <c r="E10" s="31" t="inlineStr">
        <is>
          <t>consumer discretionary</t>
        </is>
      </c>
      <c r="F10" s="31" t="inlineStr">
        <is>
          <t>textiles - products</t>
        </is>
      </c>
      <c r="G10" s="31" t="inlineStr">
        <is>
          <t>midcap</t>
        </is>
      </c>
      <c r="H10" s="32" t="n">
        <v>9216.74</v>
      </c>
      <c r="I10" s="32" t="n">
        <v>2040</v>
      </c>
      <c r="J10" s="32" t="n">
        <v>2.14</v>
      </c>
      <c r="K10" s="32" t="n">
        <v>147440</v>
      </c>
      <c r="L10" s="31" t="n">
        <v>57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67.3</v>
      </c>
      <c r="P10" s="32" t="n">
        <v>43.59</v>
      </c>
      <c r="Q10" s="32" t="n">
        <v>1583.99</v>
      </c>
      <c r="R10" s="31" t="inlineStr">
        <is>
          <t>Near 52W High Breakout</t>
        </is>
      </c>
      <c r="S10" s="31" t="inlineStr">
        <is>
          <t>Nifty 50</t>
        </is>
      </c>
      <c r="T10" s="32" t="n">
        <v>-3.56</v>
      </c>
      <c r="U10" s="32" t="n">
        <v>31.43</v>
      </c>
      <c r="V10" s="32" t="n">
        <v>36.29</v>
      </c>
      <c r="W10" s="32" t="n">
        <v>11.37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Between 1.5 to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IF(B11=0,"",RANK(B11,$B$2:$B$362,0))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SAKAR</t>
        </is>
      </c>
      <c r="D11" s="31" t="inlineStr">
        <is>
          <t>Sakar Healthcare Ltd</t>
        </is>
      </c>
      <c r="E11" s="31" t="inlineStr">
        <is>
          <t>healthcare</t>
        </is>
      </c>
      <c r="F11" s="31" t="inlineStr">
        <is>
          <t>pharmaceuticals - indian - bulk drugs &amp; formln</t>
        </is>
      </c>
      <c r="G11" s="31" t="inlineStr">
        <is>
          <t>smallcap</t>
        </is>
      </c>
      <c r="H11" s="32" t="n">
        <v>2012.39</v>
      </c>
      <c r="I11" s="32" t="n">
        <v>916.95</v>
      </c>
      <c r="J11" s="32" t="n">
        <v>1.38</v>
      </c>
      <c r="K11" s="32" t="n">
        <v>156950</v>
      </c>
      <c r="L11" s="31" t="n">
        <v>93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76.89</v>
      </c>
      <c r="P11" s="32" t="n">
        <v>56.2</v>
      </c>
      <c r="Q11" s="32" t="n">
        <v>660.46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15.1</v>
      </c>
      <c r="U11" s="32" t="n">
        <v>159.47</v>
      </c>
      <c r="V11" s="32" t="n">
        <v>125.43</v>
      </c>
      <c r="W11" s="32" t="n">
        <v>34.03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IF(B12=0,"",RANK(B12,$B$2:$B$362,0))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RADICO</t>
        </is>
      </c>
      <c r="D12" s="31" t="inlineStr">
        <is>
          <t>Radico Khaitan Limited</t>
        </is>
      </c>
      <c r="E12" s="31" t="inlineStr">
        <is>
          <t>fmcg</t>
        </is>
      </c>
      <c r="F12" s="31" t="inlineStr">
        <is>
          <t>breweries &amp; distilleries</t>
        </is>
      </c>
      <c r="G12" s="31" t="inlineStr">
        <is>
          <t>largecap</t>
        </is>
      </c>
      <c r="H12" s="32" t="n">
        <v>54244.73</v>
      </c>
      <c r="I12" s="32" t="n">
        <v>4090</v>
      </c>
      <c r="J12" s="32" t="n">
        <v>0.96</v>
      </c>
      <c r="K12" s="32" t="n">
        <v>253491</v>
      </c>
      <c r="L12" s="31" t="n">
        <v>70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79.81</v>
      </c>
      <c r="P12" s="32" t="n">
        <v>52.26</v>
      </c>
      <c r="Q12" s="32" t="n">
        <v>3459.06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-14.55</v>
      </c>
      <c r="U12" s="32" t="n">
        <v>50.68</v>
      </c>
      <c r="V12" s="32" t="n">
        <v>76.33</v>
      </c>
      <c r="W12" s="32" t="n">
        <v>14.89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IF(B13=0,"",RANK(B13,$B$2:$B$362,0))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TINNARUBR</t>
        </is>
      </c>
      <c r="D13" s="31" t="inlineStr">
        <is>
          <t>Tinna Rubber &amp; Infrastructure Ltd</t>
        </is>
      </c>
      <c r="E13" s="31" t="inlineStr">
        <is>
          <t>fmcg</t>
        </is>
      </c>
      <c r="F13" s="31" t="inlineStr">
        <is>
          <t>miscellaneous</t>
        </is>
      </c>
      <c r="G13" s="31" t="inlineStr">
        <is>
          <t>smallcap</t>
        </is>
      </c>
      <c r="H13" s="32" t="n">
        <v>1767.71</v>
      </c>
      <c r="I13" s="32" t="n">
        <v>981.1</v>
      </c>
      <c r="J13" s="32" t="n">
        <v>-0.01</v>
      </c>
      <c r="K13" s="32" t="n">
        <v>21302</v>
      </c>
      <c r="L13" s="31" t="n">
        <v>48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65.45</v>
      </c>
      <c r="P13" s="32" t="n">
        <v>26.88</v>
      </c>
      <c r="Q13" s="32" t="n">
        <v>725.73</v>
      </c>
      <c r="R13" s="31" t="inlineStr">
        <is>
          <t>Near 52W High Breakout</t>
        </is>
      </c>
      <c r="S13" s="31" t="inlineStr">
        <is>
          <t>Nifty FMCG</t>
        </is>
      </c>
      <c r="T13" s="32" t="n">
        <v>-14.55</v>
      </c>
      <c r="U13" s="32" t="n">
        <v>-0.27</v>
      </c>
      <c r="V13" s="32" t="n">
        <v>16.71</v>
      </c>
      <c r="W13" s="32" t="n">
        <v>8.960000000000001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IF(B14=0,"",RANK(B14,$B$2:$B$362,0))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GLAND</t>
        </is>
      </c>
      <c r="D14" s="31" t="inlineStr">
        <is>
          <t>Gland Pharma Ltd</t>
        </is>
      </c>
      <c r="E14" s="31" t="inlineStr">
        <is>
          <t>healthcare</t>
        </is>
      </c>
      <c r="F14" s="31" t="inlineStr">
        <is>
          <t>pharmaceuticals - indian - formulations</t>
        </is>
      </c>
      <c r="G14" s="31" t="inlineStr">
        <is>
          <t>largecap</t>
        </is>
      </c>
      <c r="H14" s="32" t="n">
        <v>40996.34</v>
      </c>
      <c r="I14" s="32" t="n">
        <v>2465.1</v>
      </c>
      <c r="J14" s="32" t="n">
        <v>-0.93</v>
      </c>
      <c r="K14" s="32" t="n">
        <v>325216</v>
      </c>
      <c r="L14" s="31" t="n">
        <v>65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71.52</v>
      </c>
      <c r="P14" s="32" t="n">
        <v>48.61</v>
      </c>
      <c r="Q14" s="32" t="n">
        <v>2011.44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15.1</v>
      </c>
      <c r="U14" s="32" t="n">
        <v>24.38</v>
      </c>
      <c r="V14" s="32" t="n">
        <v>8.07</v>
      </c>
      <c r="W14" s="32" t="n">
        <v>13.1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IF(B15=0,"",RANK(B15,$B$2:$B$362,0))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SKMEGGPROD</t>
        </is>
      </c>
      <c r="D15" s="31" t="inlineStr">
        <is>
          <t>Skm Egg Products Export (india) Limited</t>
        </is>
      </c>
      <c r="E15" s="31" t="inlineStr">
        <is>
          <t>fmcg</t>
        </is>
      </c>
      <c r="F15" s="31" t="inlineStr">
        <is>
          <t>food - processing - indian</t>
        </is>
      </c>
      <c r="G15" s="31" t="inlineStr">
        <is>
          <t>smallcap</t>
        </is>
      </c>
      <c r="H15" s="32" t="n">
        <v>1854.95</v>
      </c>
      <c r="I15" s="32" t="n">
        <v>334.25</v>
      </c>
      <c r="J15" s="32" t="n">
        <v>-5.11</v>
      </c>
      <c r="K15" s="32" t="n">
        <v>750665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81.48999999999999</v>
      </c>
      <c r="P15" s="32" t="n">
        <v>40.24</v>
      </c>
      <c r="Q15" s="32" t="n">
        <v>242.22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-14.55</v>
      </c>
      <c r="U15" s="32" t="n">
        <v>128.63</v>
      </c>
      <c r="V15" s="32" t="n">
        <v>167.56</v>
      </c>
      <c r="W15" s="32" t="n">
        <v>39.14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IF(B16=0,"",RANK(B16,$B$2:$B$362,0))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PREMIERPOL</t>
        </is>
      </c>
      <c r="D16" s="31" t="inlineStr">
        <is>
          <t>Premier Polyfilm Limited</t>
        </is>
      </c>
      <c r="E16" s="31" t="inlineStr">
        <is>
          <t>plastic products</t>
        </is>
      </c>
      <c r="F16" s="31" t="inlineStr">
        <is>
          <t>plastics products</t>
        </is>
      </c>
      <c r="G16" s="31" t="inlineStr">
        <is>
          <t>smallcap</t>
        </is>
      </c>
      <c r="H16" s="32" t="n">
        <v>664.17</v>
      </c>
      <c r="I16" s="32" t="n">
        <v>67.2</v>
      </c>
      <c r="J16" s="32" t="n">
        <v>5.98</v>
      </c>
      <c r="K16" s="32" t="n">
        <v>415390</v>
      </c>
      <c r="L16" s="31" t="n">
        <v>54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62.62</v>
      </c>
      <c r="P16" s="32" t="n">
        <v>43.42</v>
      </c>
      <c r="Q16" s="32" t="n">
        <v>47.55</v>
      </c>
      <c r="R16" s="31" t="inlineStr">
        <is>
          <t>Near 52W High Breakout</t>
        </is>
      </c>
      <c r="S16" s="31" t="inlineStr">
        <is>
          <t>Nifty 50</t>
        </is>
      </c>
      <c r="T16" s="32" t="n">
        <v>-3.56</v>
      </c>
      <c r="U16" s="32" t="n">
        <v>23.38</v>
      </c>
      <c r="V16" s="32" t="n">
        <v>27.93</v>
      </c>
      <c r="W16" s="32" t="n">
        <v>10.5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IF(B17=0,"",RANK(B17,$B$2:$B$362,0))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UNIPARTS</t>
        </is>
      </c>
      <c r="D17" s="31" t="inlineStr">
        <is>
          <t>Uniparts India Ltd</t>
        </is>
      </c>
      <c r="E17" s="31" t="inlineStr">
        <is>
          <t>industrials</t>
        </is>
      </c>
      <c r="F17" s="31" t="inlineStr">
        <is>
          <t>engineering</t>
        </is>
      </c>
      <c r="G17" s="31" t="inlineStr">
        <is>
          <t>smallcap</t>
        </is>
      </c>
      <c r="H17" s="32" t="n">
        <v>3064.09</v>
      </c>
      <c r="I17" s="32" t="n">
        <v>695.05</v>
      </c>
      <c r="J17" s="32" t="n">
        <v>2.4</v>
      </c>
      <c r="K17" s="32" t="n">
        <v>268125</v>
      </c>
      <c r="L17" s="31" t="n">
        <v>85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72.41</v>
      </c>
      <c r="P17" s="32" t="n">
        <v>52.95</v>
      </c>
      <c r="Q17" s="32" t="n">
        <v>553.63</v>
      </c>
      <c r="R17" s="31" t="inlineStr">
        <is>
          <t>Near 52W High Breakout</t>
        </is>
      </c>
      <c r="S17" s="31" t="inlineStr">
        <is>
          <t>Nifty 50</t>
        </is>
      </c>
      <c r="T17" s="32" t="n">
        <v>-3.56</v>
      </c>
      <c r="U17" s="32" t="n">
        <v>95.34</v>
      </c>
      <c r="V17" s="32" t="n">
        <v>102.56</v>
      </c>
      <c r="W17" s="32" t="n">
        <v>23.02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IF(B18=0,"",RANK(B18,$B$2:$B$362,0))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MENONBE</t>
        </is>
      </c>
      <c r="D18" s="31" t="inlineStr">
        <is>
          <t>Menon Bearings Limited</t>
        </is>
      </c>
      <c r="E18" s="31" t="inlineStr">
        <is>
          <t>auto</t>
        </is>
      </c>
      <c r="F18" s="31" t="inlineStr">
        <is>
          <t>auto ancillaries</t>
        </is>
      </c>
      <c r="G18" s="31" t="inlineStr">
        <is>
          <t>smallcap</t>
        </is>
      </c>
      <c r="H18" s="32" t="n">
        <v>1001.27</v>
      </c>
      <c r="I18" s="32" t="n">
        <v>181.12</v>
      </c>
      <c r="J18" s="32" t="n">
        <v>1.37</v>
      </c>
      <c r="K18" s="32" t="n">
        <v>37789</v>
      </c>
      <c r="L18" s="31" t="n">
        <v>76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69.40000000000001</v>
      </c>
      <c r="P18" s="32" t="n">
        <v>42.02</v>
      </c>
      <c r="Q18" s="32" t="n">
        <v>133.78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11.51</v>
      </c>
      <c r="U18" s="32" t="n">
        <v>44.73</v>
      </c>
      <c r="V18" s="32" t="n">
        <v>29.79</v>
      </c>
      <c r="W18" s="32" t="n">
        <v>17.8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IF(B19=0,"",RANK(B19,$B$2:$B$362,0))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RPTECH</t>
        </is>
      </c>
      <c r="D19" s="31" t="inlineStr">
        <is>
          <t>Rashi Peripherals Ltd</t>
        </is>
      </c>
      <c r="E19" s="31" t="inlineStr">
        <is>
          <t>services</t>
        </is>
      </c>
      <c r="F19" s="31" t="inlineStr">
        <is>
          <t>trading</t>
        </is>
      </c>
      <c r="G19" s="31" t="inlineStr">
        <is>
          <t>midcap</t>
        </is>
      </c>
      <c r="H19" s="32" t="n">
        <v>5125.02</v>
      </c>
      <c r="I19" s="32" t="n">
        <v>775.75</v>
      </c>
      <c r="J19" s="32" t="n">
        <v>-0.25</v>
      </c>
      <c r="K19" s="32" t="n">
        <v>523307</v>
      </c>
      <c r="L19" s="31" t="n">
        <v>94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83.61</v>
      </c>
      <c r="P19" s="32" t="n">
        <v>71.59</v>
      </c>
      <c r="Q19" s="32" t="n">
        <v>606.72</v>
      </c>
      <c r="R19" s="31" t="inlineStr">
        <is>
          <t>Near 52W High Breakout</t>
        </is>
      </c>
      <c r="S19" s="31" t="inlineStr">
        <is>
          <t>Nifty 50</t>
        </is>
      </c>
      <c r="T19" s="32" t="n">
        <v>-3.56</v>
      </c>
      <c r="U19" s="32" t="n">
        <v>145.97</v>
      </c>
      <c r="V19" s="32" t="n">
        <v>155.06</v>
      </c>
      <c r="W19" s="32" t="n">
        <v>36.08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Less than 50%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IF(B20=0,"",RANK(B20,$B$2:$B$362,0))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KANORICHEM</t>
        </is>
      </c>
      <c r="D20" s="31" t="inlineStr">
        <is>
          <t>Kanoria Chemicals &amp; Industries Limited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579.5</v>
      </c>
      <c r="I20" s="32" t="n">
        <v>131.7</v>
      </c>
      <c r="J20" s="32" t="n">
        <v>-0.7</v>
      </c>
      <c r="K20" s="32" t="n">
        <v>14939</v>
      </c>
      <c r="L20" s="31" t="n">
        <v>86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70.89</v>
      </c>
      <c r="P20" s="32" t="n">
        <v>41.16</v>
      </c>
      <c r="Q20" s="32" t="n">
        <v>100.84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-3.56</v>
      </c>
      <c r="U20" s="32" t="n">
        <v>43.24</v>
      </c>
      <c r="V20" s="32" t="n">
        <v>48.54</v>
      </c>
      <c r="W20" s="32" t="n">
        <v>24.28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IF(B21=0,"",RANK(B21,$B$2:$B$362,0))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SYRMA</t>
        </is>
      </c>
      <c r="D21" s="31" t="inlineStr">
        <is>
          <t>Syrma SGS Technology Ltd</t>
        </is>
      </c>
      <c r="E21" s="31" t="inlineStr">
        <is>
          <t>consumer discretionary</t>
        </is>
      </c>
      <c r="F21" s="31" t="inlineStr">
        <is>
          <t>electronics - components</t>
        </is>
      </c>
      <c r="G21" s="31" t="inlineStr">
        <is>
          <t>largecap</t>
        </is>
      </c>
      <c r="H21" s="32" t="n">
        <v>27416.64</v>
      </c>
      <c r="I21" s="32" t="n">
        <v>1404.6</v>
      </c>
      <c r="J21" s="32" t="n">
        <v>-1.21</v>
      </c>
      <c r="K21" s="32" t="n">
        <v>629646</v>
      </c>
      <c r="L21" s="31" t="n">
        <v>87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71.54000000000001</v>
      </c>
      <c r="P21" s="32" t="n">
        <v>55.55</v>
      </c>
      <c r="Q21" s="32" t="n">
        <v>1151.11</v>
      </c>
      <c r="R21" s="31" t="inlineStr">
        <is>
          <t>Near 52W High Breakout</t>
        </is>
      </c>
      <c r="S21" s="31" t="inlineStr">
        <is>
          <t>Nifty 50</t>
        </is>
      </c>
      <c r="T21" s="32" t="n">
        <v>-3.56</v>
      </c>
      <c r="U21" s="32" t="n">
        <v>99.56</v>
      </c>
      <c r="V21" s="32" t="n">
        <v>106.94</v>
      </c>
      <c r="W21" s="32" t="n">
        <v>25.43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IF(B22=0,"",RANK(B22,$B$2:$B$362,0))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RISHABH</t>
        </is>
      </c>
      <c r="D22" s="31" t="inlineStr">
        <is>
          <t>Rishabh Instruments Ltd</t>
        </is>
      </c>
      <c r="E22" s="31" t="inlineStr">
        <is>
          <t>industrials</t>
        </is>
      </c>
      <c r="F22" s="31" t="inlineStr">
        <is>
          <t>electric equipment</t>
        </is>
      </c>
      <c r="G22" s="31" t="inlineStr">
        <is>
          <t>smallcap</t>
        </is>
      </c>
      <c r="H22" s="32" t="n">
        <v>2517.63</v>
      </c>
      <c r="I22" s="32" t="n">
        <v>644.5</v>
      </c>
      <c r="J22" s="32" t="n">
        <v>-1.32</v>
      </c>
      <c r="K22" s="32" t="n">
        <v>217976</v>
      </c>
      <c r="L22" s="31" t="n">
        <v>87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69.72</v>
      </c>
      <c r="P22" s="32" t="n">
        <v>41.41</v>
      </c>
      <c r="Q22" s="32" t="n">
        <v>487.63</v>
      </c>
      <c r="R22" s="31" t="inlineStr">
        <is>
          <t>Near 52W High Breakout</t>
        </is>
      </c>
      <c r="S22" s="31" t="inlineStr">
        <is>
          <t>Nifty 50</t>
        </is>
      </c>
      <c r="T22" s="32" t="n">
        <v>-3.56</v>
      </c>
      <c r="U22" s="32" t="n">
        <v>114.94</v>
      </c>
      <c r="V22" s="32" t="n">
        <v>122.88</v>
      </c>
      <c r="W22" s="32" t="n">
        <v>25.68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IF(B23=0,"",RANK(B23,$B$2:$B$362,0))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ACUTAAS</t>
        </is>
      </c>
      <c r="D23" s="31" t="inlineStr">
        <is>
          <t>Acutaas Chemicals Ltd</t>
        </is>
      </c>
      <c r="E23" s="31" t="inlineStr">
        <is>
          <t>healthcare</t>
        </is>
      </c>
      <c r="F23" s="31" t="inlineStr">
        <is>
          <t>pharmaceuticals - indian - bulk drugs</t>
        </is>
      </c>
      <c r="G23" s="31" t="inlineStr">
        <is>
          <t>largecap</t>
        </is>
      </c>
      <c r="H23" s="32" t="n">
        <v>28324.95</v>
      </c>
      <c r="I23" s="32" t="n">
        <v>3546.9</v>
      </c>
      <c r="J23" s="32" t="n">
        <v>2.52</v>
      </c>
      <c r="K23" s="32" t="n">
        <v>191332</v>
      </c>
      <c r="L23" s="31" t="n">
        <v>94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70.59</v>
      </c>
      <c r="P23" s="32" t="n">
        <v>68.48999999999999</v>
      </c>
      <c r="Q23" s="32" t="n">
        <v>2887.01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15.1</v>
      </c>
      <c r="U23" s="32" t="n">
        <v>195.09</v>
      </c>
      <c r="V23" s="32" t="n">
        <v>156.38</v>
      </c>
      <c r="W23" s="32" t="n">
        <v>35.91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IF(B24=0,"",RANK(B24,$B$2:$B$362,0))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ASTERDM</t>
        </is>
      </c>
      <c r="D24" s="31" t="inlineStr">
        <is>
          <t>Aster DM Healthcare Ltd</t>
        </is>
      </c>
      <c r="E24" s="31" t="inlineStr">
        <is>
          <t>healthcare</t>
        </is>
      </c>
      <c r="F24" s="31" t="inlineStr">
        <is>
          <t>healthcare</t>
        </is>
      </c>
      <c r="G24" s="31" t="inlineStr">
        <is>
          <t>largecap</t>
        </is>
      </c>
      <c r="H24" s="32" t="n">
        <v>42133.6</v>
      </c>
      <c r="I24" s="32" t="n">
        <v>824.6</v>
      </c>
      <c r="J24" s="32" t="n">
        <v>1.4</v>
      </c>
      <c r="K24" s="32" t="n">
        <v>470328</v>
      </c>
      <c r="L24" s="31" t="n">
        <v>59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68.23</v>
      </c>
      <c r="P24" s="32" t="n">
        <v>47.7</v>
      </c>
      <c r="Q24" s="32" t="n">
        <v>676.11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15.1</v>
      </c>
      <c r="U24" s="32" t="n">
        <v>39.51</v>
      </c>
      <c r="V24" s="32" t="n">
        <v>21.21</v>
      </c>
      <c r="W24" s="32" t="n">
        <v>11.72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Between 1.5 to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IF(B25=0,"",RANK(B25,$B$2:$B$362,0))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CUPID</t>
        </is>
      </c>
      <c r="D25" s="31" t="inlineStr">
        <is>
          <t>Cupid Limited</t>
        </is>
      </c>
      <c r="E25" s="31" t="inlineStr">
        <is>
          <t>fmcg</t>
        </is>
      </c>
      <c r="F25" s="31" t="inlineStr">
        <is>
          <t>personal care - indian</t>
        </is>
      </c>
      <c r="G25" s="31" t="inlineStr">
        <is>
          <t>largecap</t>
        </is>
      </c>
      <c r="H25" s="32" t="n">
        <v>29148.21</v>
      </c>
      <c r="I25" s="32" t="n">
        <v>219.66</v>
      </c>
      <c r="J25" s="32" t="n">
        <v>1.33</v>
      </c>
      <c r="K25" s="32" t="n">
        <v>45303841</v>
      </c>
      <c r="L25" s="31" t="n">
        <v>99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89.33</v>
      </c>
      <c r="P25" s="32" t="n">
        <v>63.35</v>
      </c>
      <c r="Q25" s="32" t="n">
        <v>172.41</v>
      </c>
      <c r="R25" s="31" t="inlineStr">
        <is>
          <t>Near 52W High Breakout</t>
        </is>
      </c>
      <c r="S25" s="31" t="inlineStr">
        <is>
          <t>Nifty FMCG</t>
        </is>
      </c>
      <c r="T25" s="32" t="n">
        <v>-14.55</v>
      </c>
      <c r="U25" s="32" t="n">
        <v>648.3099999999999</v>
      </c>
      <c r="V25" s="32" t="n">
        <v>775.71</v>
      </c>
      <c r="W25" s="32" t="n">
        <v>78.40000000000001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IF(B26=0,"",RANK(B26,$B$2:$B$362,0))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GRANULES</t>
        </is>
      </c>
      <c r="D26" s="31" t="inlineStr">
        <is>
          <t>Granules India Limited</t>
        </is>
      </c>
      <c r="E26" s="31" t="inlineStr">
        <is>
          <t>healthcare</t>
        </is>
      </c>
      <c r="F26" s="31" t="inlineStr">
        <is>
          <t>pharmaceuticals - indian - bulk drugs &amp; formln</t>
        </is>
      </c>
      <c r="G26" s="31" t="inlineStr">
        <is>
          <t>largecap</t>
        </is>
      </c>
      <c r="H26" s="32" t="n">
        <v>22180.3</v>
      </c>
      <c r="I26" s="32" t="n">
        <v>898.6</v>
      </c>
      <c r="J26" s="32" t="n">
        <v>0.39</v>
      </c>
      <c r="K26" s="32" t="n">
        <v>710981</v>
      </c>
      <c r="L26" s="31" t="n">
        <v>81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78.87</v>
      </c>
      <c r="P26" s="32" t="n">
        <v>47.72</v>
      </c>
      <c r="Q26" s="32" t="n">
        <v>758.92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15.1</v>
      </c>
      <c r="U26" s="32" t="n">
        <v>81.56</v>
      </c>
      <c r="V26" s="32" t="n">
        <v>57.74</v>
      </c>
      <c r="W26" s="32" t="n">
        <v>20.78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IF(B27=0,"",RANK(B27,$B$2:$B$362,0))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CCL</t>
        </is>
      </c>
      <c r="D27" s="31" t="inlineStr">
        <is>
          <t>Ccl Products (india) Limited</t>
        </is>
      </c>
      <c r="E27" s="31" t="inlineStr">
        <is>
          <t>fmcg</t>
        </is>
      </c>
      <c r="F27" s="31" t="inlineStr">
        <is>
          <t>tea</t>
        </is>
      </c>
      <c r="G27" s="31" t="inlineStr">
        <is>
          <t>midcap</t>
        </is>
      </c>
      <c r="H27" s="32" t="n">
        <v>16417.26</v>
      </c>
      <c r="I27" s="32" t="n">
        <v>1225.3</v>
      </c>
      <c r="J27" s="32" t="n">
        <v>-0.34</v>
      </c>
      <c r="K27" s="32" t="n">
        <v>145875</v>
      </c>
      <c r="L27" s="31" t="n">
        <v>52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71.84</v>
      </c>
      <c r="P27" s="32" t="n">
        <v>46.59</v>
      </c>
      <c r="Q27" s="32" t="n">
        <v>995.62</v>
      </c>
      <c r="R27" s="31" t="inlineStr">
        <is>
          <t>Near 52W High Breakout</t>
        </is>
      </c>
      <c r="S27" s="31" t="inlineStr">
        <is>
          <t>Nifty FMCG</t>
        </is>
      </c>
      <c r="T27" s="32" t="n">
        <v>-14.55</v>
      </c>
      <c r="U27" s="32" t="n">
        <v>41.52</v>
      </c>
      <c r="V27" s="32" t="n">
        <v>65.61</v>
      </c>
      <c r="W27" s="32" t="n">
        <v>9.93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Between 12 to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IF(B28=0,"",RANK(B28,$B$2:$B$362,0))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PGHL</t>
        </is>
      </c>
      <c r="D28" s="31" t="inlineStr">
        <is>
          <t>Procter &amp; Gamble Health Ltd</t>
        </is>
      </c>
      <c r="E28" s="31" t="inlineStr">
        <is>
          <t>healthcare</t>
        </is>
      </c>
      <c r="F28" s="31" t="inlineStr">
        <is>
          <t>pharmaceuticals - multinational</t>
        </is>
      </c>
      <c r="G28" s="31" t="inlineStr">
        <is>
          <t>midcap</t>
        </is>
      </c>
      <c r="H28" s="32" t="n">
        <v>11484.28</v>
      </c>
      <c r="I28" s="32" t="n">
        <v>6867</v>
      </c>
      <c r="J28" s="32" t="n">
        <v>-0.74</v>
      </c>
      <c r="K28" s="32" t="n">
        <v>22532</v>
      </c>
      <c r="L28" s="31" t="n">
        <v>63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82.23999999999999</v>
      </c>
      <c r="P28" s="32" t="n">
        <v>61.03</v>
      </c>
      <c r="Q28" s="32" t="n">
        <v>5884.17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15.1</v>
      </c>
      <c r="U28" s="32" t="n">
        <v>21.52</v>
      </c>
      <c r="V28" s="32" t="n">
        <v>5.58</v>
      </c>
      <c r="W28" s="32" t="n">
        <v>12.59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IF(B29=0,"",RANK(B29,$B$2:$B$362,0))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BLISSGVS</t>
        </is>
      </c>
      <c r="D29" s="31" t="inlineStr">
        <is>
          <t>Bliss Gvs Pharma Limited</t>
        </is>
      </c>
      <c r="E29" s="31" t="inlineStr">
        <is>
          <t>healthcare</t>
        </is>
      </c>
      <c r="F29" s="31" t="inlineStr">
        <is>
          <t>pharmaceuticals - indian - formulations</t>
        </is>
      </c>
      <c r="G29" s="31" t="inlineStr">
        <is>
          <t>midcap</t>
        </is>
      </c>
      <c r="H29" s="32" t="n">
        <v>5512.66</v>
      </c>
      <c r="I29" s="32" t="n">
        <v>514.5</v>
      </c>
      <c r="J29" s="32" t="n">
        <v>-1.27</v>
      </c>
      <c r="K29" s="32" t="n">
        <v>118120</v>
      </c>
      <c r="L29" s="31" t="n">
        <v>97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88.08</v>
      </c>
      <c r="P29" s="32" t="n">
        <v>74.76000000000001</v>
      </c>
      <c r="Q29" s="32" t="n">
        <v>403.9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15.1</v>
      </c>
      <c r="U29" s="32" t="n">
        <v>222.43</v>
      </c>
      <c r="V29" s="32" t="n">
        <v>180.14</v>
      </c>
      <c r="W29" s="32" t="n">
        <v>51.54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IF(B30=0,"",RANK(B30,$B$2:$B$362,0))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VENUSREM</t>
        </is>
      </c>
      <c r="D30" s="31" t="inlineStr">
        <is>
          <t>Venus Remedies Limited</t>
        </is>
      </c>
      <c r="E30" s="31" t="inlineStr">
        <is>
          <t>healthcare</t>
        </is>
      </c>
      <c r="F30" s="31" t="inlineStr">
        <is>
          <t>pharmaceuticals - indian - formulations</t>
        </is>
      </c>
      <c r="G30" s="31" t="inlineStr">
        <is>
          <t>smallcap</t>
        </is>
      </c>
      <c r="H30" s="32" t="n">
        <v>2533.85</v>
      </c>
      <c r="I30" s="32" t="n">
        <v>1843.8</v>
      </c>
      <c r="J30" s="32" t="n">
        <v>-2.73</v>
      </c>
      <c r="K30" s="32" t="n">
        <v>44249</v>
      </c>
      <c r="L30" s="31" t="n">
        <v>97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72.61</v>
      </c>
      <c r="P30" s="32" t="n">
        <v>59.94</v>
      </c>
      <c r="Q30" s="32" t="n">
        <v>1413.7</v>
      </c>
      <c r="R30" s="31" t="inlineStr">
        <is>
          <t>Earnings / Momentum Support</t>
        </is>
      </c>
      <c r="S30" s="31" t="inlineStr">
        <is>
          <t>Nifty Pharma</t>
        </is>
      </c>
      <c r="T30" s="32" t="n">
        <v>15.1</v>
      </c>
      <c r="U30" s="32" t="n">
        <v>233.66</v>
      </c>
      <c r="V30" s="32" t="n">
        <v>189.89</v>
      </c>
      <c r="W30" s="32" t="n">
        <v>48.3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IF(B31=0,"",RANK(B31,$B$2:$B$362,0))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FILATEX</t>
        </is>
      </c>
      <c r="D31" s="31" t="inlineStr">
        <is>
          <t>Filatex India Limited</t>
        </is>
      </c>
      <c r="E31" s="31" t="inlineStr">
        <is>
          <t>textiles</t>
        </is>
      </c>
      <c r="F31" s="31" t="inlineStr">
        <is>
          <t>textiles - manmade</t>
        </is>
      </c>
      <c r="G31" s="31" t="inlineStr">
        <is>
          <t>smallcap</t>
        </is>
      </c>
      <c r="H31" s="32" t="n">
        <v>2739.4</v>
      </c>
      <c r="I31" s="32" t="n">
        <v>70.34</v>
      </c>
      <c r="J31" s="32" t="n">
        <v>14.02</v>
      </c>
      <c r="K31" s="32" t="n">
        <v>32639659</v>
      </c>
      <c r="L31" s="31" t="n">
        <v>76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74.98</v>
      </c>
      <c r="P31" s="32" t="n">
        <v>20.74</v>
      </c>
      <c r="Q31" s="32" t="n">
        <v>54.16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-3.56</v>
      </c>
      <c r="U31" s="32" t="n">
        <v>20.07</v>
      </c>
      <c r="V31" s="32" t="n">
        <v>24.51</v>
      </c>
      <c r="W31" s="32" t="n">
        <v>17.71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Between 12 to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IF(B32=0,"",RANK(B32,$B$2:$B$362,0))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ATHERENERG</t>
        </is>
      </c>
      <c r="D32" s="31" t="inlineStr">
        <is>
          <t>Ather Energy Ltd</t>
        </is>
      </c>
      <c r="E32" s="31" t="inlineStr">
        <is>
          <t>auto</t>
        </is>
      </c>
      <c r="F32" s="31" t="inlineStr">
        <is>
          <t>automobiles - scooters and 3 - wheelers</t>
        </is>
      </c>
      <c r="G32" s="31" t="inlineStr">
        <is>
          <t>largecap</t>
        </is>
      </c>
      <c r="H32" s="32" t="n">
        <v>46043.48</v>
      </c>
      <c r="I32" s="32" t="n">
        <v>1296.4</v>
      </c>
      <c r="J32" s="32" t="n">
        <v>7.87</v>
      </c>
      <c r="K32" s="32" t="n">
        <v>17106822</v>
      </c>
      <c r="L32" s="31" t="n">
        <v>97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79.95</v>
      </c>
      <c r="P32" s="32" t="n">
        <v>54.62</v>
      </c>
      <c r="Q32" s="32" t="n">
        <v>1004.24</v>
      </c>
      <c r="R32" s="31" t="inlineStr">
        <is>
          <t>Near 52W High Breakout</t>
        </is>
      </c>
      <c r="S32" s="31" t="inlineStr">
        <is>
          <t>Nifty Auto</t>
        </is>
      </c>
      <c r="T32" s="32" t="n">
        <v>11.51</v>
      </c>
      <c r="U32" s="32" t="n">
        <v>279.84</v>
      </c>
      <c r="V32" s="32" t="n">
        <v>240.63</v>
      </c>
      <c r="W32" s="32" t="n">
        <v>46.92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Negative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IF(B33=0,"",RANK(B33,$B$2:$B$362,0))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CENTENKA</t>
        </is>
      </c>
      <c r="D33" s="31" t="inlineStr">
        <is>
          <t>Century Enka Limited</t>
        </is>
      </c>
      <c r="E33" s="31" t="inlineStr">
        <is>
          <t>textiles</t>
        </is>
      </c>
      <c r="F33" s="31" t="inlineStr">
        <is>
          <t>textiles - manmade</t>
        </is>
      </c>
      <c r="G33" s="31" t="inlineStr">
        <is>
          <t>smallcap</t>
        </is>
      </c>
      <c r="H33" s="32" t="n">
        <v>1157.54</v>
      </c>
      <c r="I33" s="32" t="n">
        <v>549.85</v>
      </c>
      <c r="J33" s="32" t="n">
        <v>3.79</v>
      </c>
      <c r="K33" s="32" t="n">
        <v>1825914</v>
      </c>
      <c r="L33" s="31" t="n">
        <v>42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63.81</v>
      </c>
      <c r="P33" s="32" t="n">
        <v>48.37</v>
      </c>
      <c r="Q33" s="32" t="n">
        <v>417.73</v>
      </c>
      <c r="R33" s="31" t="inlineStr">
        <is>
          <t>Volume Spike &amp; Near 52W High Breakout</t>
        </is>
      </c>
      <c r="S33" s="31" t="inlineStr">
        <is>
          <t>Nifty 50</t>
        </is>
      </c>
      <c r="T33" s="32" t="n">
        <v>-3.56</v>
      </c>
      <c r="U33" s="32" t="n">
        <v>8.880000000000001</v>
      </c>
      <c r="V33" s="32" t="n">
        <v>12.9</v>
      </c>
      <c r="W33" s="32" t="n">
        <v>7.54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IF(B34=0,"",RANK(B34,$B$2:$B$362,0))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BLUSPRING</t>
        </is>
      </c>
      <c r="D34" s="31" t="inlineStr">
        <is>
          <t>Bluspring Enterprises Ltd</t>
        </is>
      </c>
      <c r="E34" s="31" t="inlineStr">
        <is>
          <t>miscellaneous</t>
        </is>
      </c>
      <c r="F34" s="31" t="inlineStr">
        <is>
          <t>diversified - large</t>
        </is>
      </c>
      <c r="G34" s="31" t="inlineStr">
        <is>
          <t>smallcap</t>
        </is>
      </c>
      <c r="H34" s="32" t="n">
        <v>1687.58</v>
      </c>
      <c r="I34" s="32" t="n">
        <v>116.67</v>
      </c>
      <c r="J34" s="32" t="n">
        <v>3.1</v>
      </c>
      <c r="K34" s="32" t="n">
        <v>715678</v>
      </c>
      <c r="L34" s="31" t="n">
        <v>86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70.58</v>
      </c>
      <c r="P34" s="32" t="n">
        <v>48.63</v>
      </c>
      <c r="Q34" s="32" t="n">
        <v>86.39</v>
      </c>
      <c r="R34" s="31" t="inlineStr">
        <is>
          <t>Earnings / Momentum Support</t>
        </is>
      </c>
      <c r="S34" s="31" t="inlineStr">
        <is>
          <t>Nifty 50</t>
        </is>
      </c>
      <c r="T34" s="32" t="n">
        <v>-3.56</v>
      </c>
      <c r="U34" s="32" t="n">
        <v>33.78</v>
      </c>
      <c r="V34" s="32" t="n">
        <v>38.72</v>
      </c>
      <c r="W34" s="32" t="n">
        <v>24.84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IF(B35=0,"",RANK(B35,$B$2:$B$362,0))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CARYSIL</t>
        </is>
      </c>
      <c r="D35" s="31" t="inlineStr">
        <is>
          <t>Carysil Ltd</t>
        </is>
      </c>
      <c r="E35" s="31" t="inlineStr">
        <is>
          <t>consumer discretionary</t>
        </is>
      </c>
      <c r="F35" s="31" t="inlineStr">
        <is>
          <t>domestic appliances</t>
        </is>
      </c>
      <c r="G35" s="31" t="inlineStr">
        <is>
          <t>smallcap</t>
        </is>
      </c>
      <c r="H35" s="32" t="n">
        <v>3320.96</v>
      </c>
      <c r="I35" s="32" t="n">
        <v>1200</v>
      </c>
      <c r="J35" s="32" t="n">
        <v>2.77</v>
      </c>
      <c r="K35" s="32" t="n">
        <v>1241146</v>
      </c>
      <c r="L35" s="31" t="n">
        <v>69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70.19</v>
      </c>
      <c r="P35" s="32" t="n">
        <v>31.29</v>
      </c>
      <c r="Q35" s="32" t="n">
        <v>903.97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-3.56</v>
      </c>
      <c r="U35" s="32" t="n">
        <v>37.78</v>
      </c>
      <c r="V35" s="32" t="n">
        <v>42.87</v>
      </c>
      <c r="W35" s="32" t="n">
        <v>14.54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IF(B36=0,"",RANK(B36,$B$2:$B$362,0))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THANGAMAYL</t>
        </is>
      </c>
      <c r="D36" s="31" t="inlineStr">
        <is>
          <t>Thangamayil Jewellery Limited</t>
        </is>
      </c>
      <c r="E36" s="31" t="inlineStr">
        <is>
          <t>consumer discretionary</t>
        </is>
      </c>
      <c r="F36" s="31" t="inlineStr">
        <is>
          <t>diamond cutting / jewellery</t>
        </is>
      </c>
      <c r="G36" s="31" t="inlineStr">
        <is>
          <t>largecap</t>
        </is>
      </c>
      <c r="H36" s="32" t="n">
        <v>20075.88</v>
      </c>
      <c r="I36" s="32" t="n">
        <v>6617</v>
      </c>
      <c r="J36" s="32" t="n">
        <v>2.45</v>
      </c>
      <c r="K36" s="32" t="n">
        <v>227756</v>
      </c>
      <c r="L36" s="31" t="n">
        <v>96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78.3</v>
      </c>
      <c r="P36" s="32" t="n">
        <v>47.66</v>
      </c>
      <c r="Q36" s="32" t="n">
        <v>4948.8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-3.56</v>
      </c>
      <c r="U36" s="32" t="n">
        <v>252.31</v>
      </c>
      <c r="V36" s="32" t="n">
        <v>265.33</v>
      </c>
      <c r="W36" s="32" t="n">
        <v>44.49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IF(B37=0,"",RANK(B37,$B$2:$B$362,0))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RACLGEAR</t>
        </is>
      </c>
      <c r="D37" s="31" t="inlineStr">
        <is>
          <t>RACL Geartech Ltd</t>
        </is>
      </c>
      <c r="E37" s="31" t="inlineStr">
        <is>
          <t>auto</t>
        </is>
      </c>
      <c r="F37" s="31" t="inlineStr">
        <is>
          <t>auto ancillaries</t>
        </is>
      </c>
      <c r="G37" s="31" t="inlineStr">
        <is>
          <t>smallcap</t>
        </is>
      </c>
      <c r="H37" s="32" t="n">
        <v>1566.28</v>
      </c>
      <c r="I37" s="32" t="n">
        <v>1354.4</v>
      </c>
      <c r="J37" s="32" t="n">
        <v>1.93</v>
      </c>
      <c r="K37" s="32" t="n">
        <v>87299</v>
      </c>
      <c r="L37" s="31" t="n">
        <v>48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55.33</v>
      </c>
      <c r="P37" s="32" t="n">
        <v>50.17</v>
      </c>
      <c r="Q37" s="32" t="n">
        <v>952.09</v>
      </c>
      <c r="R37" s="31" t="inlineStr">
        <is>
          <t>Earnings / Momentum Support</t>
        </is>
      </c>
      <c r="S37" s="31" t="inlineStr">
        <is>
          <t>Nifty Auto</t>
        </is>
      </c>
      <c r="T37" s="32" t="n">
        <v>11.51</v>
      </c>
      <c r="U37" s="32" t="n">
        <v>48.9</v>
      </c>
      <c r="V37" s="32" t="n">
        <v>33.53</v>
      </c>
      <c r="W37" s="32" t="n">
        <v>9.02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IF(B38=0,"",RANK(B38,$B$2:$B$362,0))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BUTTERFLY</t>
        </is>
      </c>
      <c r="D38" s="31" t="inlineStr">
        <is>
          <t>Butterfly Gandhimathi Appliances Limited</t>
        </is>
      </c>
      <c r="E38" s="31" t="inlineStr">
        <is>
          <t>consumer discretionary</t>
        </is>
      </c>
      <c r="F38" s="31" t="inlineStr">
        <is>
          <t>domestic appliances</t>
        </is>
      </c>
      <c r="G38" s="31" t="inlineStr">
        <is>
          <t>smallcap</t>
        </is>
      </c>
      <c r="H38" s="32" t="n">
        <v>1352.41</v>
      </c>
      <c r="I38" s="32" t="n">
        <v>768.95</v>
      </c>
      <c r="J38" s="32" t="n">
        <v>1.66</v>
      </c>
      <c r="K38" s="32" t="n">
        <v>55058</v>
      </c>
      <c r="L38" s="31" t="n">
        <v>34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67.16</v>
      </c>
      <c r="P38" s="32" t="n">
        <v>38.02</v>
      </c>
      <c r="Q38" s="32" t="n">
        <v>594.88</v>
      </c>
      <c r="R38" s="31" t="inlineStr">
        <is>
          <t>Near 52W High Breakout</t>
        </is>
      </c>
      <c r="S38" s="31" t="inlineStr">
        <is>
          <t>Nifty 50</t>
        </is>
      </c>
      <c r="T38" s="32" t="n">
        <v>-3.56</v>
      </c>
      <c r="U38" s="32" t="n">
        <v>3</v>
      </c>
      <c r="V38" s="32" t="n">
        <v>6.8</v>
      </c>
      <c r="W38" s="32" t="n">
        <v>5.91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IF(B39=0,"",RANK(B39,$B$2:$B$362,0))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AMBIKCO</t>
        </is>
      </c>
      <c r="D39" s="31" t="inlineStr">
        <is>
          <t>Ambika Cotton Mills Limited</t>
        </is>
      </c>
      <c r="E39" s="31" t="inlineStr">
        <is>
          <t>textiles</t>
        </is>
      </c>
      <c r="F39" s="31" t="inlineStr">
        <is>
          <t>textiles - cotton/blended</t>
        </is>
      </c>
      <c r="G39" s="31" t="inlineStr">
        <is>
          <t>smallcap</t>
        </is>
      </c>
      <c r="H39" s="32" t="n">
        <v>990.14</v>
      </c>
      <c r="I39" s="32" t="n">
        <v>1750.8</v>
      </c>
      <c r="J39" s="32" t="n">
        <v>1.23</v>
      </c>
      <c r="K39" s="32" t="n">
        <v>7910</v>
      </c>
      <c r="L39" s="31" t="n">
        <v>42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70.34999999999999</v>
      </c>
      <c r="P39" s="32" t="n">
        <v>33.63</v>
      </c>
      <c r="Q39" s="32" t="n">
        <v>1407.58</v>
      </c>
      <c r="R39" s="31" t="inlineStr">
        <is>
          <t>Near 52W High Breakout</t>
        </is>
      </c>
      <c r="S39" s="31" t="inlineStr">
        <is>
          <t>Nifty 50</t>
        </is>
      </c>
      <c r="T39" s="32" t="n">
        <v>-3.56</v>
      </c>
      <c r="U39" s="32" t="n">
        <v>10.9</v>
      </c>
      <c r="V39" s="32" t="n">
        <v>15</v>
      </c>
      <c r="W39" s="32" t="n">
        <v>7.58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IF(B40=0,"",RANK(B40,$B$2:$B$362,0))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SIS</t>
        </is>
      </c>
      <c r="D40" s="31" t="inlineStr">
        <is>
          <t>Security &amp; Intelligence Services India</t>
        </is>
      </c>
      <c r="E40" s="31" t="inlineStr">
        <is>
          <t>miscellaneous</t>
        </is>
      </c>
      <c r="F40" s="31" t="inlineStr">
        <is>
          <t>miscellaneous</t>
        </is>
      </c>
      <c r="G40" s="31" t="inlineStr">
        <is>
          <t>midcap</t>
        </is>
      </c>
      <c r="H40" s="32" t="n">
        <v>6139.69</v>
      </c>
      <c r="I40" s="32" t="n">
        <v>438.8</v>
      </c>
      <c r="J40" s="32" t="n">
        <v>0.97</v>
      </c>
      <c r="K40" s="32" t="n">
        <v>164646</v>
      </c>
      <c r="L40" s="31" t="n">
        <v>58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74.90000000000001</v>
      </c>
      <c r="P40" s="32" t="n">
        <v>52.61</v>
      </c>
      <c r="Q40" s="32" t="n">
        <v>350.22</v>
      </c>
      <c r="R40" s="31" t="inlineStr">
        <is>
          <t>Near 52W High Breakout</t>
        </is>
      </c>
      <c r="S40" s="31" t="inlineStr">
        <is>
          <t>Nifty 50</t>
        </is>
      </c>
      <c r="T40" s="32" t="n">
        <v>-3.56</v>
      </c>
      <c r="U40" s="32" t="n">
        <v>17.44</v>
      </c>
      <c r="V40" s="32" t="n">
        <v>21.78</v>
      </c>
      <c r="W40" s="32" t="n">
        <v>11.54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IF(B41=0,"",RANK(B41,$B$2:$B$362,0))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QUESS</t>
        </is>
      </c>
      <c r="D41" s="31" t="inlineStr">
        <is>
          <t>Quess Corp Limited</t>
        </is>
      </c>
      <c r="E41" s="31" t="inlineStr">
        <is>
          <t>miscellaneous</t>
        </is>
      </c>
      <c r="F41" s="31" t="inlineStr">
        <is>
          <t>diversified - large</t>
        </is>
      </c>
      <c r="G41" s="31" t="inlineStr">
        <is>
          <t>smallcap</t>
        </is>
      </c>
      <c r="H41" s="32" t="n">
        <v>4368.69</v>
      </c>
      <c r="I41" s="32" t="n">
        <v>294.9</v>
      </c>
      <c r="J41" s="32" t="n">
        <v>0.8</v>
      </c>
      <c r="K41" s="32" t="n">
        <v>262390</v>
      </c>
      <c r="L41" s="31" t="n">
        <v>63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72.97</v>
      </c>
      <c r="P41" s="32" t="n">
        <v>35.02</v>
      </c>
      <c r="Q41" s="32" t="n">
        <v>231.47</v>
      </c>
      <c r="R41" s="31" t="inlineStr">
        <is>
          <t>Near 52W High Breakout</t>
        </is>
      </c>
      <c r="S41" s="31" t="inlineStr">
        <is>
          <t>Nifty 50</t>
        </is>
      </c>
      <c r="T41" s="32" t="n">
        <v>-3.56</v>
      </c>
      <c r="U41" s="32" t="n">
        <v>-0.62</v>
      </c>
      <c r="V41" s="32" t="n">
        <v>3.06</v>
      </c>
      <c r="W41" s="32" t="n">
        <v>12.75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IF(B42=0,"",RANK(B42,$B$2:$B$362,0))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HITECHCORP</t>
        </is>
      </c>
      <c r="D42" s="31" t="inlineStr">
        <is>
          <t>Hitech Corporation</t>
        </is>
      </c>
      <c r="E42" s="31" t="inlineStr">
        <is>
          <t>industrials</t>
        </is>
      </c>
      <c r="F42" s="31" t="inlineStr">
        <is>
          <t>packaging</t>
        </is>
      </c>
      <c r="G42" s="31" t="inlineStr">
        <is>
          <t>smallcap</t>
        </is>
      </c>
      <c r="H42" s="32" t="n">
        <v>547.9</v>
      </c>
      <c r="I42" s="32" t="n">
        <v>318.1</v>
      </c>
      <c r="J42" s="32" t="n">
        <v>-0.28</v>
      </c>
      <c r="K42" s="32" t="n">
        <v>10995</v>
      </c>
      <c r="L42" s="31" t="n">
        <v>96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79.52</v>
      </c>
      <c r="P42" s="32" t="n">
        <v>45.36</v>
      </c>
      <c r="Q42" s="32" t="n">
        <v>248.8</v>
      </c>
      <c r="R42" s="31" t="inlineStr">
        <is>
          <t>Near 52W High Breakout</t>
        </is>
      </c>
      <c r="S42" s="31" t="inlineStr">
        <is>
          <t>Nifty 50</t>
        </is>
      </c>
      <c r="T42" s="32" t="n">
        <v>-3.56</v>
      </c>
      <c r="U42" s="32" t="n">
        <v>51.05</v>
      </c>
      <c r="V42" s="32" t="n">
        <v>56.63</v>
      </c>
      <c r="W42" s="32" t="n">
        <v>41.11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IF(B43=0,"",RANK(B43,$B$2:$B$362,0))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GRWRHITECH</t>
        </is>
      </c>
      <c r="D43" s="31" t="inlineStr">
        <is>
          <t>Garware Hi Tech Films Ltd</t>
        </is>
      </c>
      <c r="E43" s="31" t="inlineStr">
        <is>
          <t>industrials</t>
        </is>
      </c>
      <c r="F43" s="31" t="inlineStr">
        <is>
          <t>packaging</t>
        </is>
      </c>
      <c r="G43" s="31" t="inlineStr">
        <is>
          <t>midcap</t>
        </is>
      </c>
      <c r="H43" s="32" t="n">
        <v>16348.64</v>
      </c>
      <c r="I43" s="32" t="n">
        <v>6991</v>
      </c>
      <c r="J43" s="32" t="n">
        <v>-0.65</v>
      </c>
      <c r="K43" s="32" t="n">
        <v>24145</v>
      </c>
      <c r="L43" s="31" t="n">
        <v>91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77.94</v>
      </c>
      <c r="P43" s="32" t="n">
        <v>48.41</v>
      </c>
      <c r="Q43" s="32" t="n">
        <v>5391.66</v>
      </c>
      <c r="R43" s="31" t="inlineStr">
        <is>
          <t>Near 52W High Breakout</t>
        </is>
      </c>
      <c r="S43" s="31" t="inlineStr">
        <is>
          <t>Nifty 50</t>
        </is>
      </c>
      <c r="T43" s="32" t="n">
        <v>-3.56</v>
      </c>
      <c r="U43" s="32" t="n">
        <v>89.26000000000001</v>
      </c>
      <c r="V43" s="32" t="n">
        <v>96.25</v>
      </c>
      <c r="W43" s="32" t="n">
        <v>33.18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IF(B44=0,"",RANK(B44,$B$2:$B$362,0))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PLASTIBLEN</t>
        </is>
      </c>
      <c r="D44" s="31" t="inlineStr">
        <is>
          <t>Plastiblends India Limited</t>
        </is>
      </c>
      <c r="E44" s="31" t="inlineStr">
        <is>
          <t>chemicals</t>
        </is>
      </c>
      <c r="F44" s="31" t="inlineStr">
        <is>
          <t>chemicals</t>
        </is>
      </c>
      <c r="G44" s="31" t="inlineStr">
        <is>
          <t>smallcap</t>
        </is>
      </c>
      <c r="H44" s="32" t="n">
        <v>519.3200000000001</v>
      </c>
      <c r="I44" s="32" t="n">
        <v>196.77</v>
      </c>
      <c r="J44" s="32" t="n">
        <v>-1.53</v>
      </c>
      <c r="K44" s="32" t="n">
        <v>171534</v>
      </c>
      <c r="L44" s="31" t="n">
        <v>36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70.09</v>
      </c>
      <c r="P44" s="32" t="n">
        <v>20.9</v>
      </c>
      <c r="Q44" s="32" t="n">
        <v>153.99</v>
      </c>
      <c r="R44" s="31" t="inlineStr">
        <is>
          <t>Volume Spike &amp; Near 52W High Breakout</t>
        </is>
      </c>
      <c r="S44" s="31" t="inlineStr">
        <is>
          <t>Nifty 50</t>
        </is>
      </c>
      <c r="T44" s="32" t="n">
        <v>-3.56</v>
      </c>
      <c r="U44" s="32" t="n">
        <v>-1.81</v>
      </c>
      <c r="V44" s="32" t="n">
        <v>1.82</v>
      </c>
      <c r="W44" s="32" t="n">
        <v>6.28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IF(B45=0,"",RANK(B45,$B$2:$B$362,0))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SUVEN</t>
        </is>
      </c>
      <c r="D45" s="31" t="inlineStr">
        <is>
          <t>Suven Life Sciences Limited</t>
        </is>
      </c>
      <c r="E45" s="31" t="inlineStr">
        <is>
          <t>healthcare</t>
        </is>
      </c>
      <c r="F45" s="31" t="inlineStr">
        <is>
          <t>miscellaneous</t>
        </is>
      </c>
      <c r="G45" s="31" t="inlineStr">
        <is>
          <t>midcap</t>
        </is>
      </c>
      <c r="H45" s="32" t="n">
        <v>9182.75</v>
      </c>
      <c r="I45" s="32" t="n">
        <v>356.1</v>
      </c>
      <c r="J45" s="32" t="n">
        <v>2.27</v>
      </c>
      <c r="K45" s="32" t="n">
        <v>709341</v>
      </c>
      <c r="L45" s="31" t="n">
        <v>89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76.88</v>
      </c>
      <c r="P45" s="32" t="n">
        <v>45.32</v>
      </c>
      <c r="Q45" s="32" t="n">
        <v>257.76</v>
      </c>
      <c r="R45" s="31" t="inlineStr">
        <is>
          <t>Near 52W High Breakout</t>
        </is>
      </c>
      <c r="S45" s="31" t="inlineStr">
        <is>
          <t>Nifty Pharma</t>
        </is>
      </c>
      <c r="T45" s="32" t="n">
        <v>15.1</v>
      </c>
      <c r="U45" s="32" t="n">
        <v>22.36</v>
      </c>
      <c r="V45" s="32" t="n">
        <v>6.31</v>
      </c>
      <c r="W45" s="32" t="n">
        <v>27.59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IF(B46=0,"",RANK(B46,$B$2:$B$362,0))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METROPOLIS</t>
        </is>
      </c>
      <c r="D46" s="31" t="inlineStr">
        <is>
          <t>Metropolis Healthcare Ltd</t>
        </is>
      </c>
      <c r="E46" s="31" t="inlineStr">
        <is>
          <t>healthcare</t>
        </is>
      </c>
      <c r="F46" s="31" t="inlineStr">
        <is>
          <t>healthcare</t>
        </is>
      </c>
      <c r="G46" s="31" t="inlineStr">
        <is>
          <t>midcap</t>
        </is>
      </c>
      <c r="H46" s="32" t="n">
        <v>11593.77</v>
      </c>
      <c r="I46" s="32" t="n">
        <v>571.65</v>
      </c>
      <c r="J46" s="32" t="n">
        <v>2.23</v>
      </c>
      <c r="K46" s="32" t="n">
        <v>702141</v>
      </c>
      <c r="L46" s="31" t="n">
        <v>45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64.77</v>
      </c>
      <c r="P46" s="32" t="n">
        <v>36.62</v>
      </c>
      <c r="Q46" s="32" t="n">
        <v>454.44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15.1</v>
      </c>
      <c r="U46" s="32" t="n">
        <v>18.42</v>
      </c>
      <c r="V46" s="32" t="n">
        <v>2.89</v>
      </c>
      <c r="W46" s="32" t="n">
        <v>8.07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IF(B47=0,"",RANK(B47,$B$2:$B$362,0))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NINSYS</t>
        </is>
      </c>
      <c r="D47" s="31" t="inlineStr">
        <is>
          <t>NINtec Systems Ltd</t>
        </is>
      </c>
      <c r="E47" s="31" t="inlineStr">
        <is>
          <t>i.t</t>
        </is>
      </c>
      <c r="F47" s="31" t="inlineStr">
        <is>
          <t>computers - software - medium / small</t>
        </is>
      </c>
      <c r="G47" s="31" t="inlineStr">
        <is>
          <t>smallcap</t>
        </is>
      </c>
      <c r="H47" s="32" t="n">
        <v>1613.42</v>
      </c>
      <c r="I47" s="32" t="n">
        <v>875.5</v>
      </c>
      <c r="J47" s="32" t="n">
        <v>0.8</v>
      </c>
      <c r="K47" s="32" t="n">
        <v>3859</v>
      </c>
      <c r="L47" s="31" t="n">
        <v>95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85.03</v>
      </c>
      <c r="P47" s="32" t="n">
        <v>66.42</v>
      </c>
      <c r="Q47" s="32" t="n">
        <v>681.92</v>
      </c>
      <c r="R47" s="31" t="inlineStr">
        <is>
          <t>Near 52W High Breakout</t>
        </is>
      </c>
      <c r="S47" s="31" t="inlineStr">
        <is>
          <t>Nifty IT</t>
        </is>
      </c>
      <c r="T47" s="32" t="n">
        <v>-23.18</v>
      </c>
      <c r="U47" s="32" t="n">
        <v>91.76000000000001</v>
      </c>
      <c r="V47" s="32" t="n">
        <v>149.63</v>
      </c>
      <c r="W47" s="32" t="n">
        <v>36.93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Between 12 to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IF(B48=0,"",RANK(B48,$B$2:$B$362,0))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NEULANDLAB</t>
        </is>
      </c>
      <c r="D48" s="31" t="inlineStr">
        <is>
          <t>Neuland Laboratories Limited</t>
        </is>
      </c>
      <c r="E48" s="31" t="inlineStr">
        <is>
          <t>healthcare</t>
        </is>
      </c>
      <c r="F48" s="31" t="inlineStr">
        <is>
          <t>pharmaceuticals - indian - bulk drugs</t>
        </is>
      </c>
      <c r="G48" s="31" t="inlineStr">
        <is>
          <t>largecap</t>
        </is>
      </c>
      <c r="H48" s="32" t="n">
        <v>24375.51</v>
      </c>
      <c r="I48" s="32" t="n">
        <v>19114</v>
      </c>
      <c r="J48" s="32" t="n">
        <v>0.61</v>
      </c>
      <c r="K48" s="32" t="n">
        <v>21190</v>
      </c>
      <c r="L48" s="31" t="n">
        <v>60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67.89</v>
      </c>
      <c r="P48" s="32" t="n">
        <v>41.75</v>
      </c>
      <c r="Q48" s="32" t="n">
        <v>15647.93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15.1</v>
      </c>
      <c r="U48" s="32" t="n">
        <v>34.01</v>
      </c>
      <c r="V48" s="32" t="n">
        <v>16.43</v>
      </c>
      <c r="W48" s="32" t="n">
        <v>11.84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IF(B49=0,"",RANK(B49,$B$2:$B$362,0))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VIJAYA</t>
        </is>
      </c>
      <c r="D49" s="31" t="inlineStr">
        <is>
          <t>Vijaya Diagnostic Centre Ltd</t>
        </is>
      </c>
      <c r="E49" s="31" t="inlineStr">
        <is>
          <t>healthcare</t>
        </is>
      </c>
      <c r="F49" s="31" t="inlineStr">
        <is>
          <t>healthcare</t>
        </is>
      </c>
      <c r="G49" s="31" t="inlineStr">
        <is>
          <t>midcap</t>
        </is>
      </c>
      <c r="H49" s="32" t="n">
        <v>14226.5</v>
      </c>
      <c r="I49" s="32" t="n">
        <v>1390</v>
      </c>
      <c r="J49" s="32" t="n">
        <v>0.54</v>
      </c>
      <c r="K49" s="32" t="n">
        <v>115636</v>
      </c>
      <c r="L49" s="31" t="n">
        <v>68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67.98</v>
      </c>
      <c r="P49" s="32" t="n">
        <v>46.73</v>
      </c>
      <c r="Q49" s="32" t="n">
        <v>1099.25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15.1</v>
      </c>
      <c r="U49" s="32" t="n">
        <v>35.41</v>
      </c>
      <c r="V49" s="32" t="n">
        <v>17.65</v>
      </c>
      <c r="W49" s="32" t="n">
        <v>14.3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IF(B50=0,"",RANK(B50,$B$2:$B$362,0))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RAMCOSYS</t>
        </is>
      </c>
      <c r="D50" s="31" t="inlineStr">
        <is>
          <t>Ramco Systems Limited</t>
        </is>
      </c>
      <c r="E50" s="31" t="inlineStr">
        <is>
          <t>i.t</t>
        </is>
      </c>
      <c r="F50" s="31" t="inlineStr">
        <is>
          <t>computers - software - medium / small</t>
        </is>
      </c>
      <c r="G50" s="31" t="inlineStr">
        <is>
          <t>smallcap</t>
        </is>
      </c>
      <c r="H50" s="32" t="n">
        <v>3055.24</v>
      </c>
      <c r="I50" s="32" t="n">
        <v>815.45</v>
      </c>
      <c r="J50" s="32" t="n">
        <v>-0.15</v>
      </c>
      <c r="K50" s="32" t="n">
        <v>1269976</v>
      </c>
      <c r="L50" s="31" t="n">
        <v>95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76.48999999999999</v>
      </c>
      <c r="P50" s="32" t="n">
        <v>27.02</v>
      </c>
      <c r="Q50" s="32" t="n">
        <v>561.9299999999999</v>
      </c>
      <c r="R50" s="31" t="inlineStr">
        <is>
          <t>Near 52W High Breakout</t>
        </is>
      </c>
      <c r="S50" s="31" t="inlineStr">
        <is>
          <t>Nifty IT</t>
        </is>
      </c>
      <c r="T50" s="32" t="n">
        <v>-23.18</v>
      </c>
      <c r="U50" s="32" t="n">
        <v>106</v>
      </c>
      <c r="V50" s="32" t="n">
        <v>168.16</v>
      </c>
      <c r="W50" s="32" t="n">
        <v>38.55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IF(B51=0,"",RANK(B51,$B$2:$B$362,0))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KOPRAN</t>
        </is>
      </c>
      <c r="D51" s="31" t="inlineStr">
        <is>
          <t>Kopran Limited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smallcap</t>
        </is>
      </c>
      <c r="H51" s="32" t="n">
        <v>1000.86</v>
      </c>
      <c r="I51" s="32" t="n">
        <v>204</v>
      </c>
      <c r="J51" s="32" t="n">
        <v>-1.58</v>
      </c>
      <c r="K51" s="32" t="n">
        <v>100346</v>
      </c>
      <c r="L51" s="31" t="n">
        <v>51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65.27</v>
      </c>
      <c r="P51" s="32" t="n">
        <v>35.38</v>
      </c>
      <c r="Q51" s="32" t="n">
        <v>147.59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15.1</v>
      </c>
      <c r="U51" s="32" t="n">
        <v>16.62</v>
      </c>
      <c r="V51" s="32" t="n">
        <v>1.32</v>
      </c>
      <c r="W51" s="32" t="n">
        <v>9.640000000000001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IF(B52=0,"",RANK(B52,$B$2:$B$362,0))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VADILALIND</t>
        </is>
      </c>
      <c r="D52" s="31" t="inlineStr">
        <is>
          <t>Vadilal Industries Limited</t>
        </is>
      </c>
      <c r="E52" s="31" t="inlineStr">
        <is>
          <t>fmcg</t>
        </is>
      </c>
      <c r="F52" s="31" t="inlineStr">
        <is>
          <t>food - processing - indian</t>
        </is>
      </c>
      <c r="G52" s="31" t="inlineStr">
        <is>
          <t>smallcap</t>
        </is>
      </c>
      <c r="H52" s="32" t="n">
        <v>4892.4</v>
      </c>
      <c r="I52" s="32" t="n">
        <v>6590.5</v>
      </c>
      <c r="J52" s="32" t="n">
        <v>-3.17</v>
      </c>
      <c r="K52" s="32" t="n">
        <v>39152</v>
      </c>
      <c r="L52" s="31" t="n">
        <v>71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</v>
      </c>
      <c r="P52" s="32" t="n">
        <v>25.82</v>
      </c>
      <c r="Q52" s="32" t="n">
        <v>5237.7</v>
      </c>
      <c r="R52" s="31" t="inlineStr">
        <is>
          <t>Near 52W High Breakout</t>
        </is>
      </c>
      <c r="S52" s="31" t="inlineStr">
        <is>
          <t>Nifty FMCG</t>
        </is>
      </c>
      <c r="T52" s="32" t="n">
        <v>-14.55</v>
      </c>
      <c r="U52" s="32" t="n">
        <v>25.37</v>
      </c>
      <c r="V52" s="32" t="n">
        <v>46.71</v>
      </c>
      <c r="W52" s="32" t="n">
        <v>15.32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IF(B53=0,"",RANK(B53,$B$2:$B$362,0))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GHCLTEXTIL</t>
        </is>
      </c>
      <c r="D53" s="31" t="inlineStr">
        <is>
          <t>GHCL Textiles Ltd</t>
        </is>
      </c>
      <c r="E53" s="31" t="inlineStr">
        <is>
          <t>textiles</t>
        </is>
      </c>
      <c r="F53" s="31" t="inlineStr">
        <is>
          <t>textiles - spinning - synthetic / blended</t>
        </is>
      </c>
      <c r="G53" s="31" t="inlineStr">
        <is>
          <t>smallcap</t>
        </is>
      </c>
      <c r="H53" s="32" t="n">
        <v>1032.04</v>
      </c>
      <c r="I53" s="32" t="n">
        <v>112.95</v>
      </c>
      <c r="J53" s="32" t="n">
        <v>4.61</v>
      </c>
      <c r="K53" s="32" t="n">
        <v>1435772</v>
      </c>
      <c r="L53" s="31" t="n">
        <v>54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70.25</v>
      </c>
      <c r="P53" s="32" t="n">
        <v>23.61</v>
      </c>
      <c r="Q53" s="32" t="n">
        <v>86.09</v>
      </c>
      <c r="R53" s="31" t="inlineStr">
        <is>
          <t>Near 52W High Breakout</t>
        </is>
      </c>
      <c r="S53" s="31" t="inlineStr">
        <is>
          <t>Nifty 50</t>
        </is>
      </c>
      <c r="T53" s="32" t="n">
        <v>-3.56</v>
      </c>
      <c r="U53" s="32" t="n">
        <v>21.03</v>
      </c>
      <c r="V53" s="32" t="n">
        <v>25.51</v>
      </c>
      <c r="W53" s="32" t="n">
        <v>10.58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IF(B54=0,"",RANK(B54,$B$2:$B$362,0))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BHEL</t>
        </is>
      </c>
      <c r="D54" s="31" t="inlineStr">
        <is>
          <t>Bharat Heavy Electricals Limited</t>
        </is>
      </c>
      <c r="E54" s="31" t="inlineStr">
        <is>
          <t>industrials</t>
        </is>
      </c>
      <c r="F54" s="31" t="inlineStr">
        <is>
          <t>electric equipment</t>
        </is>
      </c>
      <c r="G54" s="31" t="inlineStr">
        <is>
          <t>largecap</t>
        </is>
      </c>
      <c r="H54" s="32" t="n">
        <v>140640.54</v>
      </c>
      <c r="I54" s="32" t="n">
        <v>417.95</v>
      </c>
      <c r="J54" s="32" t="n">
        <v>3.48</v>
      </c>
      <c r="K54" s="32" t="n">
        <v>19808847</v>
      </c>
      <c r="L54" s="31" t="n">
        <v>77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67.06</v>
      </c>
      <c r="P54" s="32" t="n">
        <v>46.22</v>
      </c>
      <c r="Q54" s="32" t="n">
        <v>333.83</v>
      </c>
      <c r="R54" s="31" t="inlineStr">
        <is>
          <t>Near 52W High Breakout</t>
        </is>
      </c>
      <c r="S54" s="31" t="inlineStr">
        <is>
          <t>Nifty 500</t>
        </is>
      </c>
      <c r="T54" s="32" t="n">
        <v>-0.05</v>
      </c>
      <c r="U54" s="32" t="n">
        <v>67.2</v>
      </c>
      <c r="V54" s="32" t="n">
        <v>67.28</v>
      </c>
      <c r="W54" s="32" t="n">
        <v>18.08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IF(B55=0,"",RANK(B55,$B$2:$B$362,0))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HAPPYFORGE</t>
        </is>
      </c>
      <c r="D55" s="31" t="inlineStr">
        <is>
          <t>Happy Forgings Ltd</t>
        </is>
      </c>
      <c r="E55" s="31" t="inlineStr">
        <is>
          <t>industrials</t>
        </is>
      </c>
      <c r="F55" s="31" t="inlineStr">
        <is>
          <t>castings &amp; forgings</t>
        </is>
      </c>
      <c r="G55" s="31" t="inlineStr">
        <is>
          <t>midcap</t>
        </is>
      </c>
      <c r="H55" s="32" t="n">
        <v>15024.15</v>
      </c>
      <c r="I55" s="32" t="n">
        <v>1613</v>
      </c>
      <c r="J55" s="32" t="n">
        <v>1.33</v>
      </c>
      <c r="K55" s="32" t="n">
        <v>76418</v>
      </c>
      <c r="L55" s="31" t="n">
        <v>73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72.61</v>
      </c>
      <c r="P55" s="32" t="n">
        <v>43.75</v>
      </c>
      <c r="Q55" s="32" t="n">
        <v>1302.44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1.31</v>
      </c>
      <c r="U55" s="32" t="n">
        <v>72.55</v>
      </c>
      <c r="V55" s="32" t="n">
        <v>70.31999999999999</v>
      </c>
      <c r="W55" s="32" t="n">
        <v>16.12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IF(B56=0,"",RANK(B56,$B$2:$B$362,0))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CEMPRO</t>
        </is>
      </c>
      <c r="D56" s="31" t="inlineStr">
        <is>
          <t>Cemindia Projects Ltd</t>
        </is>
      </c>
      <c r="E56" s="31" t="inlineStr">
        <is>
          <t>realty</t>
        </is>
      </c>
      <c r="F56" s="31" t="inlineStr">
        <is>
          <t>construction</t>
        </is>
      </c>
      <c r="G56" s="31" t="inlineStr">
        <is>
          <t>largecap</t>
        </is>
      </c>
      <c r="H56" s="32" t="n">
        <v>27427.61</v>
      </c>
      <c r="I56" s="32" t="n">
        <v>1601.4</v>
      </c>
      <c r="J56" s="32" t="n">
        <v>0.3</v>
      </c>
      <c r="K56" s="32" t="n">
        <v>674649</v>
      </c>
      <c r="L56" s="31" t="n">
        <v>98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84.22</v>
      </c>
      <c r="P56" s="32" t="n">
        <v>51.36</v>
      </c>
      <c r="Q56" s="32" t="n">
        <v>1261.83</v>
      </c>
      <c r="R56" s="31" t="inlineStr">
        <is>
          <t>Near 52W High Breakout</t>
        </is>
      </c>
      <c r="S56" s="31" t="inlineStr">
        <is>
          <t>Nifty Realty</t>
        </is>
      </c>
      <c r="T56" s="32" t="n">
        <v>-8.48</v>
      </c>
      <c r="U56" s="32" t="n">
        <v>99.18000000000001</v>
      </c>
      <c r="V56" s="32" t="n">
        <v>117.63</v>
      </c>
      <c r="W56" s="32" t="n">
        <v>54.91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IF(B57=0,"",RANK(B57,$B$2:$B$362,0))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BHARATSE</t>
        </is>
      </c>
      <c r="D57" s="31" t="inlineStr">
        <is>
          <t>Bharat Seats Ltd</t>
        </is>
      </c>
      <c r="E57" s="31" t="inlineStr">
        <is>
          <t>auto</t>
        </is>
      </c>
      <c r="F57" s="31" t="inlineStr">
        <is>
          <t>auto ancillaries</t>
        </is>
      </c>
      <c r="G57" s="31" t="inlineStr">
        <is>
          <t>smallcap</t>
        </is>
      </c>
      <c r="H57" s="32" t="n">
        <v>1526.48</v>
      </c>
      <c r="I57" s="32" t="n">
        <v>243.7</v>
      </c>
      <c r="J57" s="32" t="n">
        <v>0.26</v>
      </c>
      <c r="K57" s="32" t="n">
        <v>352273</v>
      </c>
      <c r="L57" s="31" t="n">
        <v>89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68.45</v>
      </c>
      <c r="P57" s="32" t="n">
        <v>28.73</v>
      </c>
      <c r="Q57" s="32" t="n">
        <v>169.54</v>
      </c>
      <c r="R57" s="31" t="inlineStr">
        <is>
          <t>Near 52W High Breakout</t>
        </is>
      </c>
      <c r="S57" s="31" t="inlineStr">
        <is>
          <t>Nifty Auto</t>
        </is>
      </c>
      <c r="T57" s="32" t="n">
        <v>11.51</v>
      </c>
      <c r="U57" s="32" t="n">
        <v>124.79</v>
      </c>
      <c r="V57" s="32" t="n">
        <v>101.59</v>
      </c>
      <c r="W57" s="32" t="n">
        <v>30.84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Between 12 to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IF(B58=0,"",RANK(B58,$B$2:$B$362,0))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ARVIND</t>
        </is>
      </c>
      <c r="D58" s="31" t="inlineStr">
        <is>
          <t>Arvind Limited</t>
        </is>
      </c>
      <c r="E58" s="31" t="inlineStr">
        <is>
          <t>textiles</t>
        </is>
      </c>
      <c r="F58" s="31" t="inlineStr">
        <is>
          <t>textiles - cotton/blended</t>
        </is>
      </c>
      <c r="G58" s="31" t="inlineStr">
        <is>
          <t>midcap</t>
        </is>
      </c>
      <c r="H58" s="32" t="n">
        <v>14165.99</v>
      </c>
      <c r="I58" s="32" t="n">
        <v>541</v>
      </c>
      <c r="J58" s="32" t="n">
        <v>0.1</v>
      </c>
      <c r="K58" s="32" t="n">
        <v>350328</v>
      </c>
      <c r="L58" s="31" t="n">
        <v>79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71.45</v>
      </c>
      <c r="P58" s="32" t="n">
        <v>56.11</v>
      </c>
      <c r="Q58" s="32" t="n">
        <v>455.54</v>
      </c>
      <c r="R58" s="31" t="inlineStr">
        <is>
          <t>Near 52W High Breakout</t>
        </is>
      </c>
      <c r="S58" s="31" t="inlineStr">
        <is>
          <t>Nifty 50</t>
        </is>
      </c>
      <c r="T58" s="32" t="n">
        <v>-3.56</v>
      </c>
      <c r="U58" s="32" t="n">
        <v>59.9</v>
      </c>
      <c r="V58" s="32" t="n">
        <v>65.81</v>
      </c>
      <c r="W58" s="32" t="n">
        <v>19.46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IF(B59=0,"",RANK(B59,$B$2:$B$362,0))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STOVEKRAFT</t>
        </is>
      </c>
      <c r="D59" s="31" t="inlineStr">
        <is>
          <t>Stove Kraft Ltd</t>
        </is>
      </c>
      <c r="E59" s="31" t="inlineStr">
        <is>
          <t>consumer discretionary</t>
        </is>
      </c>
      <c r="F59" s="31" t="inlineStr">
        <is>
          <t>domestic appliances</t>
        </is>
      </c>
      <c r="G59" s="31" t="inlineStr">
        <is>
          <t>smallcap</t>
        </is>
      </c>
      <c r="H59" s="32" t="n">
        <v>2556.05</v>
      </c>
      <c r="I59" s="32" t="n">
        <v>765.75</v>
      </c>
      <c r="J59" s="32" t="n">
        <v>-0.82</v>
      </c>
      <c r="K59" s="32" t="n">
        <v>158590</v>
      </c>
      <c r="L59" s="31" t="n">
        <v>68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70.31</v>
      </c>
      <c r="P59" s="32" t="n">
        <v>40.65</v>
      </c>
      <c r="Q59" s="32" t="n">
        <v>627.1</v>
      </c>
      <c r="R59" s="31" t="inlineStr">
        <is>
          <t>Near 52W High Breakout</t>
        </is>
      </c>
      <c r="S59" s="31" t="inlineStr">
        <is>
          <t>Nifty 50</t>
        </is>
      </c>
      <c r="T59" s="32" t="n">
        <v>-3.56</v>
      </c>
      <c r="U59" s="32" t="n">
        <v>24.92</v>
      </c>
      <c r="V59" s="32" t="n">
        <v>29.54</v>
      </c>
      <c r="W59" s="32" t="n">
        <v>14.17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IF(B60=0,"",RANK(B60,$B$2:$B$362,0))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GNA</t>
        </is>
      </c>
      <c r="D60" s="31" t="inlineStr">
        <is>
          <t>Gna Axles Limited</t>
        </is>
      </c>
      <c r="E60" s="31" t="inlineStr">
        <is>
          <t>auto</t>
        </is>
      </c>
      <c r="F60" s="31" t="inlineStr">
        <is>
          <t>auto ancillaries</t>
        </is>
      </c>
      <c r="G60" s="31" t="inlineStr">
        <is>
          <t>smallcap</t>
        </is>
      </c>
      <c r="H60" s="32" t="n">
        <v>2385.66</v>
      </c>
      <c r="I60" s="32" t="n">
        <v>549.9</v>
      </c>
      <c r="J60" s="32" t="n">
        <v>-1.04</v>
      </c>
      <c r="K60" s="32" t="n">
        <v>733686</v>
      </c>
      <c r="L60" s="31" t="n">
        <v>74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75.63</v>
      </c>
      <c r="P60" s="32" t="n">
        <v>23.3</v>
      </c>
      <c r="Q60" s="32" t="n">
        <v>414.11</v>
      </c>
      <c r="R60" s="31" t="inlineStr">
        <is>
          <t>Volume Spike &amp; Near 52W High Breakout</t>
        </is>
      </c>
      <c r="S60" s="31" t="inlineStr">
        <is>
          <t>Nifty Auto</t>
        </is>
      </c>
      <c r="T60" s="32" t="n">
        <v>11.51</v>
      </c>
      <c r="U60" s="32" t="n">
        <v>63.59</v>
      </c>
      <c r="V60" s="32" t="n">
        <v>46.7</v>
      </c>
      <c r="W60" s="32" t="n">
        <v>16.66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IF(B61=0,"",RANK(B61,$B$2:$B$362,0))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INDOTECH</t>
        </is>
      </c>
      <c r="D61" s="31" t="inlineStr">
        <is>
          <t>Indo Tech Transformers Limited</t>
        </is>
      </c>
      <c r="E61" s="31" t="inlineStr">
        <is>
          <t>industrials</t>
        </is>
      </c>
      <c r="F61" s="31" t="inlineStr">
        <is>
          <t>electric equipment</t>
        </is>
      </c>
      <c r="G61" s="31" t="inlineStr">
        <is>
          <t>smallcap</t>
        </is>
      </c>
      <c r="H61" s="32" t="n">
        <v>3687.9</v>
      </c>
      <c r="I61" s="32" t="n">
        <v>3359.8</v>
      </c>
      <c r="J61" s="32" t="n">
        <v>-3.25</v>
      </c>
      <c r="K61" s="32" t="n">
        <v>11322</v>
      </c>
      <c r="L61" s="31" t="n">
        <v>92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74.83</v>
      </c>
      <c r="P61" s="32" t="n">
        <v>46.69</v>
      </c>
      <c r="Q61" s="32" t="n">
        <v>2440.63</v>
      </c>
      <c r="R61" s="31" t="inlineStr">
        <is>
          <t>Near 52W High Breakout</t>
        </is>
      </c>
      <c r="S61" s="31" t="inlineStr">
        <is>
          <t>Nifty 50</t>
        </is>
      </c>
      <c r="T61" s="32" t="n">
        <v>-3.56</v>
      </c>
      <c r="U61" s="32" t="n">
        <v>78.58</v>
      </c>
      <c r="V61" s="32" t="n">
        <v>85.18000000000001</v>
      </c>
      <c r="W61" s="32" t="n">
        <v>33.51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Between 12 to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IF(B62=0,"",RANK(B62,$B$2:$B$362,0))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SHILPAMED</t>
        </is>
      </c>
      <c r="D62" s="31" t="inlineStr">
        <is>
          <t>Shilpa Medicare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midcap</t>
        </is>
      </c>
      <c r="H62" s="32" t="n">
        <v>12209.19</v>
      </c>
      <c r="I62" s="32" t="n">
        <v>645.75</v>
      </c>
      <c r="J62" s="32" t="n">
        <v>3.44</v>
      </c>
      <c r="K62" s="32" t="n">
        <v>741076</v>
      </c>
      <c r="L62" s="31" t="n">
        <v>85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86.48</v>
      </c>
      <c r="P62" s="32" t="n">
        <v>65.23</v>
      </c>
      <c r="Q62" s="32" t="n">
        <v>514.09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15.1</v>
      </c>
      <c r="U62" s="32" t="n">
        <v>41.21</v>
      </c>
      <c r="V62" s="32" t="n">
        <v>22.69</v>
      </c>
      <c r="W62" s="32" t="n">
        <v>23.02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IF(B63=0,"",RANK(B63,$B$2:$B$362,0))</f>
        <v/>
      </c>
      <c r="B63" s="32">
        <f>SUM(N63,Y63,AA63,AC63,AE63,AG63,AI63,AK63,AM63,AO63,AQ63,AS63,AU63,AW63,AY63,BA63,BC63,BE63,BG63,BI63,BK63,BM63,BO63,BQ63,BS63,BU63,BW63,BY63,CA63,CC63,CE63)</f>
        <v/>
      </c>
      <c r="C63" s="33" t="inlineStr">
        <is>
          <t>MARKSANS</t>
        </is>
      </c>
      <c r="D63" s="33" t="inlineStr">
        <is>
          <t>Marksans Pharma Limited</t>
        </is>
      </c>
      <c r="E63" s="31" t="inlineStr">
        <is>
          <t>healthcare</t>
        </is>
      </c>
      <c r="F63" s="31" t="inlineStr">
        <is>
          <t>pharmaceuticals - indian - formulations</t>
        </is>
      </c>
      <c r="G63" s="31" t="inlineStr">
        <is>
          <t>midcap</t>
        </is>
      </c>
      <c r="H63" s="32" t="n">
        <v>12278.47</v>
      </c>
      <c r="I63" s="32" t="n">
        <v>275.75</v>
      </c>
      <c r="J63" s="32" t="n">
        <v>1.77</v>
      </c>
      <c r="K63" s="32" t="n">
        <v>1713863</v>
      </c>
      <c r="L63" s="31" t="n">
        <v>72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75.66</v>
      </c>
      <c r="P63" s="32" t="n">
        <v>47.29</v>
      </c>
      <c r="Q63" s="32" t="n">
        <v>216.03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15.1</v>
      </c>
      <c r="U63" s="32" t="n">
        <v>8.199999999999999</v>
      </c>
      <c r="V63" s="32" t="n">
        <v>-5.99</v>
      </c>
      <c r="W63" s="32" t="n">
        <v>15.7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IF(B64=0,"",RANK(B64,$B$2:$B$362,0))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HESTERBIO</t>
        </is>
      </c>
      <c r="D64" s="31" t="inlineStr">
        <is>
          <t>Hester Biosciences Limited</t>
        </is>
      </c>
      <c r="E64" s="31" t="inlineStr">
        <is>
          <t>healthcare</t>
        </is>
      </c>
      <c r="F64" s="31" t="inlineStr">
        <is>
          <t>pharmaceuticals - indian - formulations</t>
        </is>
      </c>
      <c r="G64" s="31" t="inlineStr">
        <is>
          <t>smallcap</t>
        </is>
      </c>
      <c r="H64" s="32" t="n">
        <v>2030.42</v>
      </c>
      <c r="I64" s="32" t="n">
        <v>2412.2</v>
      </c>
      <c r="J64" s="32" t="n">
        <v>1.06</v>
      </c>
      <c r="K64" s="32" t="n">
        <v>96836</v>
      </c>
      <c r="L64" s="31" t="n">
        <v>81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75.56</v>
      </c>
      <c r="P64" s="32" t="n">
        <v>45.92</v>
      </c>
      <c r="Q64" s="32" t="n">
        <v>1835.37</v>
      </c>
      <c r="R64" s="31" t="inlineStr">
        <is>
          <t>Volume Spike &amp; Near 52W High Breakout</t>
        </is>
      </c>
      <c r="S64" s="31" t="inlineStr">
        <is>
          <t>Nifty Pharma</t>
        </is>
      </c>
      <c r="T64" s="32" t="n">
        <v>15.1</v>
      </c>
      <c r="U64" s="32" t="n">
        <v>26.1</v>
      </c>
      <c r="V64" s="32" t="n">
        <v>9.56</v>
      </c>
      <c r="W64" s="32" t="n">
        <v>20.2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IF(B65=0,"",RANK(B65,$B$2:$B$362,0))</f>
        <v/>
      </c>
      <c r="B65" s="32">
        <f>SUM(N65,Y65,AA65,AC65,AE65,AG65,AI65,AK65,AM65,AO65,AQ65,AS65,AU65,AW65,AY65,BA65,BC65,BE65,BG65,BI65,BK65,BM65,BO65,BQ65,BS65,BU65,BW65,BY65,CA65,CC65,CE65)</f>
        <v/>
      </c>
      <c r="C65" s="33" t="inlineStr">
        <is>
          <t>INNOVACAP</t>
        </is>
      </c>
      <c r="D65" s="33" t="inlineStr">
        <is>
          <t>Innova Captab Ltd</t>
        </is>
      </c>
      <c r="E65" s="31" t="inlineStr">
        <is>
          <t>healthcare</t>
        </is>
      </c>
      <c r="F65" s="31" t="inlineStr">
        <is>
          <t>pharmaceuticals - indian - bulk drugs &amp; formln</t>
        </is>
      </c>
      <c r="G65" s="31" t="inlineStr">
        <is>
          <t>midcap</t>
        </is>
      </c>
      <c r="H65" s="32" t="n">
        <v>5685.58</v>
      </c>
      <c r="I65" s="32" t="n">
        <v>1000</v>
      </c>
      <c r="J65" s="32" t="n">
        <v>0.65</v>
      </c>
      <c r="K65" s="32" t="n">
        <v>70271</v>
      </c>
      <c r="L65" s="31" t="n">
        <v>53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74.39</v>
      </c>
      <c r="P65" s="32" t="n">
        <v>49.95</v>
      </c>
      <c r="Q65" s="32" t="n">
        <v>780.73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15.1</v>
      </c>
      <c r="U65" s="32" t="n">
        <v>10.33</v>
      </c>
      <c r="V65" s="32" t="n">
        <v>-4.14</v>
      </c>
      <c r="W65" s="32" t="n">
        <v>10.13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Between 50% to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IF(B66=0,"",RANK(B66,$B$2:$B$362,0))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SUBEXLTD</t>
        </is>
      </c>
      <c r="D66" s="31" t="inlineStr">
        <is>
          <t>Subex Ltd</t>
        </is>
      </c>
      <c r="E66" s="31" t="inlineStr">
        <is>
          <t>i.t</t>
        </is>
      </c>
      <c r="F66" s="31" t="inlineStr">
        <is>
          <t>computers - software - medium / small</t>
        </is>
      </c>
      <c r="G66" s="31" t="inlineStr">
        <is>
          <t>smallcap</t>
        </is>
      </c>
      <c r="H66" s="32" t="n">
        <v>750.84</v>
      </c>
      <c r="I66" s="32" t="n">
        <v>13.35</v>
      </c>
      <c r="J66" s="32" t="n">
        <v>-0.07000000000000001</v>
      </c>
      <c r="K66" s="32" t="n">
        <v>1060701</v>
      </c>
      <c r="L66" s="31" t="n">
        <v>45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64.17</v>
      </c>
      <c r="P66" s="32" t="n">
        <v>20.19</v>
      </c>
      <c r="Q66" s="32" t="n">
        <v>9.449999999999999</v>
      </c>
      <c r="R66" s="31" t="inlineStr">
        <is>
          <t>Near 52W High Breakout</t>
        </is>
      </c>
      <c r="S66" s="31" t="inlineStr">
        <is>
          <t>Nifty IT</t>
        </is>
      </c>
      <c r="T66" s="32" t="n">
        <v>-23.18</v>
      </c>
      <c r="U66" s="32" t="n">
        <v>-5.12</v>
      </c>
      <c r="V66" s="32" t="n">
        <v>23.51</v>
      </c>
      <c r="W66" s="32" t="n">
        <v>8.1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IF(B67=0,"",RANK(B67,$B$2:$B$362,0))</f>
        <v/>
      </c>
      <c r="B67" s="32">
        <f>SUM(N67,Y67,AA67,AC67,AE67,AG67,AI67,AK67,AM67,AO67,AQ67,AS67,AU67,AW67,AY67,BA67,BC67,BE67,BG67,BI67,BK67,BM67,BO67,BQ67,BS67,BU67,BW67,BY67,CA67,CC67,CE67)</f>
        <v/>
      </c>
      <c r="C67" s="33" t="inlineStr">
        <is>
          <t>GLENMARK</t>
        </is>
      </c>
      <c r="D67" s="33" t="inlineStr">
        <is>
          <t>Glenmark Pharmaceuticals Limited</t>
        </is>
      </c>
      <c r="E67" s="31" t="inlineStr">
        <is>
          <t>healthcare</t>
        </is>
      </c>
      <c r="F67" s="31" t="inlineStr">
        <is>
          <t>pharmaceuticals - indian - bulk drugs &amp; formln</t>
        </is>
      </c>
      <c r="G67" s="31" t="inlineStr">
        <is>
          <t>largecap</t>
        </is>
      </c>
      <c r="H67" s="32" t="n">
        <v>65050.11</v>
      </c>
      <c r="I67" s="32" t="n">
        <v>2297.4</v>
      </c>
      <c r="J67" s="32" t="n">
        <v>-0.33</v>
      </c>
      <c r="K67" s="32" t="n">
        <v>491365</v>
      </c>
      <c r="L67" s="31" t="n">
        <v>13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59.6</v>
      </c>
      <c r="P67" s="32" t="n">
        <v>25.13</v>
      </c>
      <c r="Q67" s="32" t="n">
        <v>2024.39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15.1</v>
      </c>
      <c r="U67" s="32" t="n">
        <v>3.48</v>
      </c>
      <c r="V67" s="32" t="n">
        <v>-10.09</v>
      </c>
      <c r="W67" s="32" t="n">
        <v>1.6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IF(B68=0,"",RANK(B68,$B$2:$B$362,0))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MARICO</t>
        </is>
      </c>
      <c r="D68" s="31" t="inlineStr">
        <is>
          <t>Marico Limited</t>
        </is>
      </c>
      <c r="E68" s="31" t="inlineStr">
        <is>
          <t>fmcg</t>
        </is>
      </c>
      <c r="F68" s="31" t="inlineStr">
        <is>
          <t>solvent extraction</t>
        </is>
      </c>
      <c r="G68" s="31" t="inlineStr">
        <is>
          <t>largecap</t>
        </is>
      </c>
      <c r="H68" s="32" t="n">
        <v>110115.48</v>
      </c>
      <c r="I68" s="32" t="n">
        <v>844.45</v>
      </c>
      <c r="J68" s="32" t="n">
        <v>-0.45</v>
      </c>
      <c r="K68" s="32" t="n">
        <v>1449908</v>
      </c>
      <c r="L68" s="31" t="n">
        <v>34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65</v>
      </c>
      <c r="P68" s="32" t="n">
        <v>25.93</v>
      </c>
      <c r="Q68" s="32" t="n">
        <v>757.62</v>
      </c>
      <c r="R68" s="31" t="inlineStr">
        <is>
          <t>Near 52W High Breakout</t>
        </is>
      </c>
      <c r="S68" s="31" t="inlineStr">
        <is>
          <t>Nifty FMCG</t>
        </is>
      </c>
      <c r="T68" s="32" t="n">
        <v>-14.55</v>
      </c>
      <c r="U68" s="32" t="n">
        <v>18.42</v>
      </c>
      <c r="V68" s="32" t="n">
        <v>38.58</v>
      </c>
      <c r="W68" s="32" t="n">
        <v>5.83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Between 12 to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IF(B69=0,"",RANK(B69,$B$2:$B$362,0))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OCCLLTD</t>
        </is>
      </c>
      <c r="D69" s="31" t="inlineStr">
        <is>
          <t>OCCL Ltd</t>
        </is>
      </c>
      <c r="E69" s="31" t="inlineStr">
        <is>
          <t>chemicals</t>
        </is>
      </c>
      <c r="F69" s="31" t="inlineStr">
        <is>
          <t>chemicals</t>
        </is>
      </c>
      <c r="G69" s="31" t="inlineStr">
        <is>
          <t>smallcap</t>
        </is>
      </c>
      <c r="H69" s="32" t="n">
        <v>656.85</v>
      </c>
      <c r="I69" s="32" t="n">
        <v>138.02</v>
      </c>
      <c r="J69" s="32" t="n">
        <v>4.96</v>
      </c>
      <c r="K69" s="32" t="n">
        <v>122925</v>
      </c>
      <c r="L69" s="31" t="n">
        <v>55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70.83</v>
      </c>
      <c r="P69" s="32" t="n">
        <v>24.82</v>
      </c>
      <c r="Q69" s="32" t="n">
        <v>100.22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-3.56</v>
      </c>
      <c r="U69" s="32" t="n">
        <v>-1.06</v>
      </c>
      <c r="V69" s="32" t="n">
        <v>2.6</v>
      </c>
      <c r="W69" s="32" t="n">
        <v>10.61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IF(B70=0,"",RANK(B70,$B$2:$B$362,0))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KMEW</t>
        </is>
      </c>
      <c r="D70" s="31" t="inlineStr">
        <is>
          <t>Knowledge Marine &amp; Engineering Works Ltd</t>
        </is>
      </c>
      <c r="E70" s="31" t="inlineStr">
        <is>
          <t>transportation</t>
        </is>
      </c>
      <c r="F70" s="31" t="inlineStr">
        <is>
          <t>miscellaneous</t>
        </is>
      </c>
      <c r="G70" s="31" t="inlineStr">
        <is>
          <t>midcap</t>
        </is>
      </c>
      <c r="H70" s="32" t="n">
        <v>5724.57</v>
      </c>
      <c r="I70" s="32" t="n">
        <v>2448.5</v>
      </c>
      <c r="J70" s="32" t="n">
        <v>4.55</v>
      </c>
      <c r="K70" s="32" t="n">
        <v>216652</v>
      </c>
      <c r="L70" s="31" t="n">
        <v>90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71.47</v>
      </c>
      <c r="P70" s="32" t="n">
        <v>44.1</v>
      </c>
      <c r="Q70" s="32" t="n">
        <v>1747.15</v>
      </c>
      <c r="R70" s="31" t="inlineStr">
        <is>
          <t>Near 52W High Breakout</t>
        </is>
      </c>
      <c r="S70" s="31" t="inlineStr">
        <is>
          <t>Nifty 50</t>
        </is>
      </c>
      <c r="T70" s="32" t="n">
        <v>-3.56</v>
      </c>
      <c r="U70" s="32" t="n">
        <v>168.23</v>
      </c>
      <c r="V70" s="32" t="n">
        <v>178.14</v>
      </c>
      <c r="W70" s="32" t="n">
        <v>32.4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IF(B71=0,"",RANK(B71,$B$2:$B$362,0))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ADOR</t>
        </is>
      </c>
      <c r="D71" s="31" t="inlineStr">
        <is>
          <t>Ador Welding Ltd</t>
        </is>
      </c>
      <c r="E71" s="31" t="inlineStr">
        <is>
          <t>industrials</t>
        </is>
      </c>
      <c r="F71" s="31" t="inlineStr">
        <is>
          <t>electrodes - welding equipment</t>
        </is>
      </c>
      <c r="G71" s="31" t="inlineStr">
        <is>
          <t>smallcap</t>
        </is>
      </c>
      <c r="H71" s="32" t="n">
        <v>2290.38</v>
      </c>
      <c r="I71" s="32" t="n">
        <v>1362.3</v>
      </c>
      <c r="J71" s="32" t="n">
        <v>3.51</v>
      </c>
      <c r="K71" s="32" t="n">
        <v>119870</v>
      </c>
      <c r="L71" s="31" t="n">
        <v>62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75.84</v>
      </c>
      <c r="P71" s="32" t="n">
        <v>33.45</v>
      </c>
      <c r="Q71" s="32" t="n">
        <v>1103.04</v>
      </c>
      <c r="R71" s="31" t="inlineStr">
        <is>
          <t>Near 52W High Breakout</t>
        </is>
      </c>
      <c r="S71" s="31" t="inlineStr">
        <is>
          <t>Nifty 50</t>
        </is>
      </c>
      <c r="T71" s="32" t="n">
        <v>-3.56</v>
      </c>
      <c r="U71" s="32" t="n">
        <v>22.54</v>
      </c>
      <c r="V71" s="32" t="n">
        <v>27.07</v>
      </c>
      <c r="W71" s="32" t="n">
        <v>12.42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IF(B72=0,"",RANK(B72,$B$2:$B$362,0))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VISHNU</t>
        </is>
      </c>
      <c r="D72" s="31" t="inlineStr">
        <is>
          <t>Vishnu Chemicals Limited</t>
        </is>
      </c>
      <c r="E72" s="31" t="inlineStr">
        <is>
          <t>chemicals</t>
        </is>
      </c>
      <c r="F72" s="31" t="inlineStr">
        <is>
          <t>chemicals</t>
        </is>
      </c>
      <c r="G72" s="31" t="inlineStr">
        <is>
          <t>smallcap</t>
        </is>
      </c>
      <c r="H72" s="32" t="n">
        <v>4120.71</v>
      </c>
      <c r="I72" s="32" t="n">
        <v>625.6</v>
      </c>
      <c r="J72" s="32" t="n">
        <v>2.2</v>
      </c>
      <c r="K72" s="32" t="n">
        <v>143038</v>
      </c>
      <c r="L72" s="31" t="n">
        <v>36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62.98</v>
      </c>
      <c r="P72" s="32" t="n">
        <v>48.98</v>
      </c>
      <c r="Q72" s="32" t="n">
        <v>494.47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-3.56</v>
      </c>
      <c r="U72" s="32" t="n">
        <v>24.97</v>
      </c>
      <c r="V72" s="32" t="n">
        <v>29.59</v>
      </c>
      <c r="W72" s="32" t="n">
        <v>6.33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IF(B73=0,"",RANK(B73,$B$2:$B$362,0))</f>
        <v/>
      </c>
      <c r="B73" s="32">
        <f>SUM(N73,Y73,AA73,AC73,AE73,AG73,AI73,AK73,AM73,AO73,AQ73,AS73,AU73,AW73,AY73,BA73,BC73,BE73,BG73,BI73,BK73,BM73,BO73,BQ73,BS73,BU73,BW73,BY73,CA73,CC73,CE73)</f>
        <v/>
      </c>
      <c r="C73" s="33" t="inlineStr">
        <is>
          <t>GREENPLY</t>
        </is>
      </c>
      <c r="D73" s="33" t="inlineStr">
        <is>
          <t>Greenply Industries Limited</t>
        </is>
      </c>
      <c r="E73" s="31" t="inlineStr">
        <is>
          <t>building materials</t>
        </is>
      </c>
      <c r="F73" s="31" t="inlineStr">
        <is>
          <t>miscellaneous</t>
        </is>
      </c>
      <c r="G73" s="31" t="inlineStr">
        <is>
          <t>smallcap</t>
        </is>
      </c>
      <c r="H73" s="32" t="n">
        <v>3899.44</v>
      </c>
      <c r="I73" s="32" t="n">
        <v>318.75</v>
      </c>
      <c r="J73" s="32" t="n">
        <v>2.1</v>
      </c>
      <c r="K73" s="32" t="n">
        <v>76044</v>
      </c>
      <c r="L73" s="31" t="n">
        <v>43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67.81</v>
      </c>
      <c r="P73" s="32" t="n">
        <v>28.22</v>
      </c>
      <c r="Q73" s="32" t="n">
        <v>246.85</v>
      </c>
      <c r="R73" s="31" t="inlineStr">
        <is>
          <t>Near 52W High Breakout</t>
        </is>
      </c>
      <c r="S73" s="31" t="inlineStr">
        <is>
          <t>Nifty Infra</t>
        </is>
      </c>
      <c r="T73" s="32" t="n">
        <v>1.31</v>
      </c>
      <c r="U73" s="32" t="n">
        <v>-3.96</v>
      </c>
      <c r="V73" s="32" t="n">
        <v>-5.2</v>
      </c>
      <c r="W73" s="32" t="n">
        <v>7.73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IF(B74=0,"",RANK(B74,$B$2:$B$362,0))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RAIN</t>
        </is>
      </c>
      <c r="D74" s="31" t="inlineStr">
        <is>
          <t>Rain Industries Limited</t>
        </is>
      </c>
      <c r="E74" s="31" t="inlineStr">
        <is>
          <t>miscellaneous</t>
        </is>
      </c>
      <c r="F74" s="31" t="inlineStr">
        <is>
          <t>miscellaneous</t>
        </is>
      </c>
      <c r="G74" s="31" t="inlineStr">
        <is>
          <t>midcap</t>
        </is>
      </c>
      <c r="H74" s="32" t="n">
        <v>6910.56</v>
      </c>
      <c r="I74" s="32" t="n">
        <v>208.71</v>
      </c>
      <c r="J74" s="32" t="n">
        <v>1.58</v>
      </c>
      <c r="K74" s="32" t="n">
        <v>3236497</v>
      </c>
      <c r="L74" s="31" t="n">
        <v>82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72.03</v>
      </c>
      <c r="P74" s="32" t="n">
        <v>36.87</v>
      </c>
      <c r="Q74" s="32" t="n">
        <v>156.85</v>
      </c>
      <c r="R74" s="31" t="inlineStr">
        <is>
          <t>Near 52W High Breakout</t>
        </is>
      </c>
      <c r="S74" s="31" t="inlineStr">
        <is>
          <t>Nifty 50</t>
        </is>
      </c>
      <c r="T74" s="32" t="n">
        <v>-3.56</v>
      </c>
      <c r="U74" s="32" t="n">
        <v>39.99</v>
      </c>
      <c r="V74" s="32" t="n">
        <v>45.17</v>
      </c>
      <c r="W74" s="32" t="n">
        <v>21.1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More than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IF(B75=0,"",RANK(B75,$B$2:$B$362,0))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AIAENG</t>
        </is>
      </c>
      <c r="D75" s="31" t="inlineStr">
        <is>
          <t>Aia Engineering Limited</t>
        </is>
      </c>
      <c r="E75" s="31" t="inlineStr">
        <is>
          <t>industrials</t>
        </is>
      </c>
      <c r="F75" s="31" t="inlineStr">
        <is>
          <t>castings &amp; forgings</t>
        </is>
      </c>
      <c r="G75" s="31" t="inlineStr">
        <is>
          <t>largecap</t>
        </is>
      </c>
      <c r="H75" s="32" t="n">
        <v>44420.5</v>
      </c>
      <c r="I75" s="32" t="n">
        <v>4828.5</v>
      </c>
      <c r="J75" s="32" t="n">
        <v>1.44</v>
      </c>
      <c r="K75" s="32" t="n">
        <v>166288</v>
      </c>
      <c r="L75" s="31" t="n">
        <v>62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67.12</v>
      </c>
      <c r="P75" s="32" t="n">
        <v>30.52</v>
      </c>
      <c r="Q75" s="32" t="n">
        <v>3900.01</v>
      </c>
      <c r="R75" s="31" t="inlineStr">
        <is>
          <t>Near 52W High Breakout</t>
        </is>
      </c>
      <c r="S75" s="31" t="inlineStr">
        <is>
          <t>Nifty 50</t>
        </is>
      </c>
      <c r="T75" s="32" t="n">
        <v>-3.56</v>
      </c>
      <c r="U75" s="32" t="n">
        <v>44.11</v>
      </c>
      <c r="V75" s="32" t="n">
        <v>49.44</v>
      </c>
      <c r="W75" s="32" t="n">
        <v>12.45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IF(B76=0,"",RANK(B76,$B$2:$B$362,0))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PSPPROJECT</t>
        </is>
      </c>
      <c r="D76" s="31" t="inlineStr">
        <is>
          <t>PSP Projects Ltd</t>
        </is>
      </c>
      <c r="E76" s="31" t="inlineStr">
        <is>
          <t>realty</t>
        </is>
      </c>
      <c r="F76" s="31" t="inlineStr">
        <is>
          <t>construction</t>
        </is>
      </c>
      <c r="G76" s="31" t="inlineStr">
        <is>
          <t>smallcap</t>
        </is>
      </c>
      <c r="H76" s="32" t="n">
        <v>4239.29</v>
      </c>
      <c r="I76" s="32" t="n">
        <v>1081.4</v>
      </c>
      <c r="J76" s="32" t="n">
        <v>1.12</v>
      </c>
      <c r="K76" s="32" t="n">
        <v>170522</v>
      </c>
      <c r="L76" s="31" t="n">
        <v>75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73.36</v>
      </c>
      <c r="P76" s="32" t="n">
        <v>28.06</v>
      </c>
      <c r="Q76" s="32" t="n">
        <v>834.6799999999999</v>
      </c>
      <c r="R76" s="31" t="inlineStr">
        <is>
          <t>Near 52W High Breakout</t>
        </is>
      </c>
      <c r="S76" s="31" t="inlineStr">
        <is>
          <t>Nifty Realty</t>
        </is>
      </c>
      <c r="T76" s="32" t="n">
        <v>-8.48</v>
      </c>
      <c r="U76" s="32" t="n">
        <v>32.27</v>
      </c>
      <c r="V76" s="32" t="n">
        <v>44.51</v>
      </c>
      <c r="W76" s="32" t="n">
        <v>17.43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IF(B77=0,"",RANK(B77,$B$2:$B$362,0))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PRIVISCL</t>
        </is>
      </c>
      <c r="D77" s="31" t="inlineStr">
        <is>
          <t>Privi Speciality Chemicals Ltd</t>
        </is>
      </c>
      <c r="E77" s="31" t="inlineStr">
        <is>
          <t>chemicals</t>
        </is>
      </c>
      <c r="F77" s="31" t="inlineStr">
        <is>
          <t>chemicals</t>
        </is>
      </c>
      <c r="G77" s="31" t="inlineStr">
        <is>
          <t>midcap</t>
        </is>
      </c>
      <c r="H77" s="32" t="n">
        <v>14382.89</v>
      </c>
      <c r="I77" s="32" t="n">
        <v>3710</v>
      </c>
      <c r="J77" s="32" t="n">
        <v>0.76</v>
      </c>
      <c r="K77" s="32" t="n">
        <v>24017</v>
      </c>
      <c r="L77" s="31" t="n">
        <v>62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66.8</v>
      </c>
      <c r="P77" s="32" t="n">
        <v>26.66</v>
      </c>
      <c r="Q77" s="32" t="n">
        <v>3038.07</v>
      </c>
      <c r="R77" s="31" t="inlineStr">
        <is>
          <t>Near 52W High Breakout</t>
        </is>
      </c>
      <c r="S77" s="31" t="inlineStr">
        <is>
          <t>Nifty 50</t>
        </is>
      </c>
      <c r="T77" s="32" t="n">
        <v>-3.56</v>
      </c>
      <c r="U77" s="32" t="n">
        <v>51.04</v>
      </c>
      <c r="V77" s="32" t="n">
        <v>56.62</v>
      </c>
      <c r="W77" s="32" t="n">
        <v>12.49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IF(B78=0,"",RANK(B78,$B$2:$B$362,0))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RUBYMILLS</t>
        </is>
      </c>
      <c r="D78" s="31" t="inlineStr">
        <is>
          <t>The Ruby Mills Limited</t>
        </is>
      </c>
      <c r="E78" s="31" t="inlineStr">
        <is>
          <t>textiles</t>
        </is>
      </c>
      <c r="F78" s="31" t="inlineStr">
        <is>
          <t>textiles - composite</t>
        </is>
      </c>
      <c r="G78" s="31" t="inlineStr">
        <is>
          <t>smallcap</t>
        </is>
      </c>
      <c r="H78" s="32" t="n">
        <v>1280.58</v>
      </c>
      <c r="I78" s="32" t="n">
        <v>385.35</v>
      </c>
      <c r="J78" s="32" t="n">
        <v>0.63</v>
      </c>
      <c r="K78" s="32" t="n">
        <v>19612</v>
      </c>
      <c r="L78" s="31" t="n">
        <v>86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79.14</v>
      </c>
      <c r="P78" s="32" t="n">
        <v>50.14</v>
      </c>
      <c r="Q78" s="32" t="n">
        <v>293.18</v>
      </c>
      <c r="R78" s="31" t="inlineStr">
        <is>
          <t>Near 52W High Breakout</t>
        </is>
      </c>
      <c r="S78" s="31" t="inlineStr">
        <is>
          <t>Nifty 50</t>
        </is>
      </c>
      <c r="T78" s="32" t="n">
        <v>-3.56</v>
      </c>
      <c r="U78" s="32" t="n">
        <v>56.2</v>
      </c>
      <c r="V78" s="32" t="n">
        <v>61.97</v>
      </c>
      <c r="W78" s="32" t="n">
        <v>24.18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IF(B79=0,"",RANK(B79,$B$2:$B$362,0))</f>
        <v/>
      </c>
      <c r="B79" s="32">
        <f>SUM(N79,Y79,AA79,AC79,AE79,AG79,AI79,AK79,AM79,AO79,AQ79,AS79,AU79,AW79,AY79,BA79,BC79,BE79,BG79,BI79,BK79,BM79,BO79,BQ79,BS79,BU79,BW79,BY79,CA79,CC79,CE79)</f>
        <v/>
      </c>
      <c r="C79" s="33" t="inlineStr">
        <is>
          <t>WSTCSTPAPR</t>
        </is>
      </c>
      <c r="D79" s="33" t="inlineStr">
        <is>
          <t>West Coast Paper Mills Limited</t>
        </is>
      </c>
      <c r="E79" s="31" t="inlineStr">
        <is>
          <t>building materials</t>
        </is>
      </c>
      <c r="F79" s="31" t="inlineStr">
        <is>
          <t>paper</t>
        </is>
      </c>
      <c r="G79" s="31" t="inlineStr">
        <is>
          <t>smallcap</t>
        </is>
      </c>
      <c r="H79" s="32" t="n">
        <v>3490.68</v>
      </c>
      <c r="I79" s="32" t="n">
        <v>531.5</v>
      </c>
      <c r="J79" s="32" t="n">
        <v>0.57</v>
      </c>
      <c r="K79" s="32" t="n">
        <v>121650</v>
      </c>
      <c r="L79" s="31" t="n">
        <v>13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60.48</v>
      </c>
      <c r="P79" s="32" t="n">
        <v>37.45</v>
      </c>
      <c r="Q79" s="32" t="n">
        <v>419.98</v>
      </c>
      <c r="R79" s="31" t="inlineStr">
        <is>
          <t>Near 52W High Breakout</t>
        </is>
      </c>
      <c r="S79" s="31" t="inlineStr">
        <is>
          <t>Nifty Infra</t>
        </is>
      </c>
      <c r="T79" s="32" t="n">
        <v>1.31</v>
      </c>
      <c r="U79" s="32" t="n">
        <v>-4.14</v>
      </c>
      <c r="V79" s="32" t="n">
        <v>-5.38</v>
      </c>
      <c r="W79" s="32" t="n">
        <v>1.55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Between 12 to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IF(B80=0,"",RANK(B80,$B$2:$B$362,0))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SANSERA</t>
        </is>
      </c>
      <c r="D80" s="31" t="inlineStr">
        <is>
          <t>Sansera Engineering Ltd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largecap</t>
        </is>
      </c>
      <c r="H80" s="32" t="n">
        <v>20210.02</v>
      </c>
      <c r="I80" s="32" t="n">
        <v>3254.8</v>
      </c>
      <c r="J80" s="32" t="n">
        <v>0.5</v>
      </c>
      <c r="K80" s="32" t="n">
        <v>130799</v>
      </c>
      <c r="L80" s="31" t="n">
        <v>89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76.81</v>
      </c>
      <c r="P80" s="32" t="n">
        <v>49.84</v>
      </c>
      <c r="Q80" s="32" t="n">
        <v>2637.04</v>
      </c>
      <c r="R80" s="31" t="inlineStr">
        <is>
          <t>Near 52W High Breakout</t>
        </is>
      </c>
      <c r="S80" s="31" t="inlineStr">
        <is>
          <t>Nifty Auto</t>
        </is>
      </c>
      <c r="T80" s="32" t="n">
        <v>11.51</v>
      </c>
      <c r="U80" s="32" t="n">
        <v>140.31</v>
      </c>
      <c r="V80" s="32" t="n">
        <v>115.5</v>
      </c>
      <c r="W80" s="32" t="n">
        <v>27.41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Between 50% to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IF(B81=0,"",RANK(B81,$B$2:$B$362,0))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NRL</t>
        </is>
      </c>
      <c r="D81" s="31" t="inlineStr">
        <is>
          <t>Nupur Recyclers Ltd</t>
        </is>
      </c>
      <c r="E81" s="31" t="inlineStr">
        <is>
          <t>services</t>
        </is>
      </c>
      <c r="F81" s="31" t="inlineStr">
        <is>
          <t>trading</t>
        </is>
      </c>
      <c r="G81" s="31" t="inlineStr">
        <is>
          <t>smallcap</t>
        </is>
      </c>
      <c r="H81" s="32" t="n">
        <v>757.55</v>
      </c>
      <c r="I81" s="32" t="n">
        <v>110</v>
      </c>
      <c r="J81" s="32" t="n">
        <v>0.29</v>
      </c>
      <c r="K81" s="32" t="n">
        <v>151243</v>
      </c>
      <c r="L81" s="31" t="n">
        <v>91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86.02</v>
      </c>
      <c r="P81" s="32" t="n">
        <v>36.11</v>
      </c>
      <c r="Q81" s="32" t="n">
        <v>88.23</v>
      </c>
      <c r="R81" s="31" t="inlineStr">
        <is>
          <t>Near 52W High Breakout</t>
        </is>
      </c>
      <c r="S81" s="31" t="inlineStr">
        <is>
          <t>Nifty 50</t>
        </is>
      </c>
      <c r="T81" s="32" t="n">
        <v>-3.56</v>
      </c>
      <c r="U81" s="32" t="n">
        <v>42.02</v>
      </c>
      <c r="V81" s="32" t="n">
        <v>47.27</v>
      </c>
      <c r="W81" s="32" t="n">
        <v>33.24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IF(B82=0,"",RANK(B82,$B$2:$B$362,0))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SPORTKING</t>
        </is>
      </c>
      <c r="D82" s="31" t="inlineStr">
        <is>
          <t>Sportking India Ltd</t>
        </is>
      </c>
      <c r="E82" s="31" t="inlineStr">
        <is>
          <t>textiles</t>
        </is>
      </c>
      <c r="F82" s="31" t="inlineStr">
        <is>
          <t>textiles - spinning - synthetic / blended</t>
        </is>
      </c>
      <c r="G82" s="31" t="inlineStr">
        <is>
          <t>smallcap</t>
        </is>
      </c>
      <c r="H82" s="32" t="n">
        <v>2501.41</v>
      </c>
      <c r="I82" s="32" t="n">
        <v>195.8</v>
      </c>
      <c r="J82" s="32" t="n">
        <v>-0.53</v>
      </c>
      <c r="K82" s="32" t="n">
        <v>426737</v>
      </c>
      <c r="L82" s="31" t="n">
        <v>82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81.11</v>
      </c>
      <c r="P82" s="32" t="n">
        <v>66.34999999999999</v>
      </c>
      <c r="Q82" s="32" t="n">
        <v>144.85</v>
      </c>
      <c r="R82" s="31" t="inlineStr">
        <is>
          <t>Volume Spike &amp; Near 52W High Breakout</t>
        </is>
      </c>
      <c r="S82" s="31" t="inlineStr">
        <is>
          <t>Nifty 50</t>
        </is>
      </c>
      <c r="T82" s="32" t="n">
        <v>-3.56</v>
      </c>
      <c r="U82" s="32" t="n">
        <v>48.54</v>
      </c>
      <c r="V82" s="32" t="n">
        <v>54.03</v>
      </c>
      <c r="W82" s="32" t="n">
        <v>21.25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IF(B83=0,"",RANK(B83,$B$2:$B$362,0))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SIGNPOST</t>
        </is>
      </c>
      <c r="D83" s="31" t="inlineStr">
        <is>
          <t>Signpost India Ltd</t>
        </is>
      </c>
      <c r="E83" s="31" t="inlineStr">
        <is>
          <t>miscellaneous</t>
        </is>
      </c>
      <c r="F83" s="31" t="inlineStr">
        <is>
          <t>miscellaneous</t>
        </is>
      </c>
      <c r="G83" s="31" t="inlineStr">
        <is>
          <t>smallcap</t>
        </is>
      </c>
      <c r="H83" s="32" t="n">
        <v>1721.36</v>
      </c>
      <c r="I83" s="32" t="n">
        <v>320</v>
      </c>
      <c r="J83" s="32" t="n">
        <v>-0.64</v>
      </c>
      <c r="K83" s="32" t="n">
        <v>124640</v>
      </c>
      <c r="L83" s="31" t="n">
        <v>64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66.48999999999999</v>
      </c>
      <c r="P83" s="32" t="n">
        <v>31.84</v>
      </c>
      <c r="Q83" s="32" t="n">
        <v>224.04</v>
      </c>
      <c r="R83" s="31" t="inlineStr">
        <is>
          <t>Near 52W High Breakout</t>
        </is>
      </c>
      <c r="S83" s="31" t="inlineStr">
        <is>
          <t>Nifty 50</t>
        </is>
      </c>
      <c r="T83" s="32" t="n">
        <v>-3.56</v>
      </c>
      <c r="U83" s="32" t="n">
        <v>35.41</v>
      </c>
      <c r="V83" s="32" t="n">
        <v>40.41</v>
      </c>
      <c r="W83" s="32" t="n">
        <v>13.01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IF(B84=0,"",RANK(B84,$B$2:$B$362,0))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UFBL</t>
        </is>
      </c>
      <c r="D84" s="31" t="inlineStr">
        <is>
          <t>United Foodbrands Ltd</t>
        </is>
      </c>
      <c r="E84" s="31" t="inlineStr">
        <is>
          <t>consumer discretionary</t>
        </is>
      </c>
      <c r="F84" s="31" t="inlineStr">
        <is>
          <t>hotels</t>
        </is>
      </c>
      <c r="G84" s="31" t="inlineStr">
        <is>
          <t>smallcap</t>
        </is>
      </c>
      <c r="H84" s="32" t="n">
        <v>2892.2</v>
      </c>
      <c r="I84" s="32" t="n">
        <v>732.05</v>
      </c>
      <c r="J84" s="32" t="n">
        <v>-1.07</v>
      </c>
      <c r="K84" s="32" t="n">
        <v>39841</v>
      </c>
      <c r="L84" s="31" t="n">
        <v>98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84.05</v>
      </c>
      <c r="P84" s="32" t="n">
        <v>54.43</v>
      </c>
      <c r="Q84" s="32" t="n">
        <v>574.85</v>
      </c>
      <c r="R84" s="31" t="inlineStr">
        <is>
          <t>Near 52W High Breakout</t>
        </is>
      </c>
      <c r="S84" s="31" t="inlineStr">
        <is>
          <t>Nifty 50</t>
        </is>
      </c>
      <c r="T84" s="32" t="n">
        <v>-3.56</v>
      </c>
      <c r="U84" s="32" t="n">
        <v>129.39</v>
      </c>
      <c r="V84" s="32" t="n">
        <v>137.87</v>
      </c>
      <c r="W84" s="32" t="n">
        <v>55.9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IF(B85=0,"",RANK(B85,$B$2:$B$362,0))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GMRAIRPORT</t>
        </is>
      </c>
      <c r="D85" s="31" t="inlineStr">
        <is>
          <t>GMR Airports Ltd</t>
        </is>
      </c>
      <c r="E85" s="31" t="inlineStr">
        <is>
          <t>miscellaneous</t>
        </is>
      </c>
      <c r="F85" s="31" t="inlineStr">
        <is>
          <t>miscellaneous</t>
        </is>
      </c>
      <c r="G85" s="31" t="inlineStr">
        <is>
          <t>largecap</t>
        </is>
      </c>
      <c r="H85" s="32" t="n">
        <v>119717.67</v>
      </c>
      <c r="I85" s="32" t="n">
        <v>111.82</v>
      </c>
      <c r="J85" s="32" t="n">
        <v>-1.38</v>
      </c>
      <c r="K85" s="32" t="n">
        <v>17318524</v>
      </c>
      <c r="L85" s="31" t="n">
        <v>38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65.31</v>
      </c>
      <c r="P85" s="32" t="n">
        <v>20.84</v>
      </c>
      <c r="Q85" s="32" t="n">
        <v>94.39</v>
      </c>
      <c r="R85" s="31" t="inlineStr">
        <is>
          <t>Near 52W High Breakout</t>
        </is>
      </c>
      <c r="S85" s="31" t="inlineStr">
        <is>
          <t>Nifty 50</t>
        </is>
      </c>
      <c r="T85" s="32" t="n">
        <v>-3.56</v>
      </c>
      <c r="U85" s="32" t="n">
        <v>18.55</v>
      </c>
      <c r="V85" s="32" t="n">
        <v>22.94</v>
      </c>
      <c r="W85" s="32" t="n">
        <v>6.85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IF(B86=0,"",RANK(B86,$B$2:$B$362,0))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CARTRADE</t>
        </is>
      </c>
      <c r="D86" s="31" t="inlineStr">
        <is>
          <t>Cartrade Tech Ltd</t>
        </is>
      </c>
      <c r="E86" s="31" t="inlineStr">
        <is>
          <t>consumer discretionary</t>
        </is>
      </c>
      <c r="F86" s="31" t="inlineStr">
        <is>
          <t>miscellaneous</t>
        </is>
      </c>
      <c r="G86" s="31" t="inlineStr">
        <is>
          <t>midcap</t>
        </is>
      </c>
      <c r="H86" s="32" t="n">
        <v>13860.69</v>
      </c>
      <c r="I86" s="32" t="n">
        <v>2808.2</v>
      </c>
      <c r="J86" s="32" t="n">
        <v>-3</v>
      </c>
      <c r="K86" s="32" t="n">
        <v>449888</v>
      </c>
      <c r="L86" s="31" t="n">
        <v>83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66.91</v>
      </c>
      <c r="P86" s="32" t="n">
        <v>26.55</v>
      </c>
      <c r="Q86" s="32" t="n">
        <v>2021.1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-3.56</v>
      </c>
      <c r="U86" s="32" t="n">
        <v>47.97</v>
      </c>
      <c r="V86" s="32" t="n">
        <v>53.44</v>
      </c>
      <c r="W86" s="32" t="n">
        <v>22.13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IF(B87=0,"",RANK(B87,$B$2:$B$362,0))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INDNIPPON</t>
        </is>
      </c>
      <c r="D87" s="31" t="inlineStr">
        <is>
          <t>India Nippon Electricals Limited</t>
        </is>
      </c>
      <c r="E87" s="31" t="inlineStr">
        <is>
          <t>auto</t>
        </is>
      </c>
      <c r="F87" s="31" t="inlineStr">
        <is>
          <t>auto ancillaries</t>
        </is>
      </c>
      <c r="G87" s="31" t="inlineStr">
        <is>
          <t>smallcap</t>
        </is>
      </c>
      <c r="H87" s="32" t="n">
        <v>2736.29</v>
      </c>
      <c r="I87" s="32" t="n">
        <v>1173</v>
      </c>
      <c r="J87" s="32" t="n">
        <v>-3.03</v>
      </c>
      <c r="K87" s="32" t="n">
        <v>43674</v>
      </c>
      <c r="L87" s="31" t="n">
        <v>83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76.29000000000001</v>
      </c>
      <c r="P87" s="32" t="n">
        <v>27.86</v>
      </c>
      <c r="Q87" s="32" t="n">
        <v>940.84</v>
      </c>
      <c r="R87" s="31" t="inlineStr">
        <is>
          <t>Near 52W High Breakout</t>
        </is>
      </c>
      <c r="S87" s="31" t="inlineStr">
        <is>
          <t>Nifty Auto</t>
        </is>
      </c>
      <c r="T87" s="32" t="n">
        <v>11.51</v>
      </c>
      <c r="U87" s="32" t="n">
        <v>53.36</v>
      </c>
      <c r="V87" s="32" t="n">
        <v>37.53</v>
      </c>
      <c r="W87" s="32" t="n">
        <v>21.65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IF(B88=0,"",RANK(B88,$B$2:$B$362,0))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RATEGAIN</t>
        </is>
      </c>
      <c r="D88" s="31" t="inlineStr">
        <is>
          <t>Rategain Travel Technologies Ltd</t>
        </is>
      </c>
      <c r="E88" s="31" t="inlineStr">
        <is>
          <t>i.t</t>
        </is>
      </c>
      <c r="F88" s="31" t="inlineStr">
        <is>
          <t>computers - software - medium / small</t>
        </is>
      </c>
      <c r="G88" s="31" t="inlineStr">
        <is>
          <t>midcap</t>
        </is>
      </c>
      <c r="H88" s="32" t="n">
        <v>11252.3</v>
      </c>
      <c r="I88" s="32" t="n">
        <v>977.2</v>
      </c>
      <c r="J88" s="32" t="n">
        <v>2.62</v>
      </c>
      <c r="K88" s="32" t="n">
        <v>1234413</v>
      </c>
      <c r="L88" s="31" t="n">
        <v>91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79.98999999999999</v>
      </c>
      <c r="P88" s="32" t="n">
        <v>33.96</v>
      </c>
      <c r="Q88" s="32" t="n">
        <v>771.58</v>
      </c>
      <c r="R88" s="31" t="inlineStr">
        <is>
          <t>Near 52W High Breakout</t>
        </is>
      </c>
      <c r="S88" s="31" t="inlineStr">
        <is>
          <t>Nifty IT</t>
        </is>
      </c>
      <c r="T88" s="32" t="n">
        <v>-23.18</v>
      </c>
      <c r="U88" s="32" t="n">
        <v>109.79</v>
      </c>
      <c r="V88" s="32" t="n">
        <v>173.09</v>
      </c>
      <c r="W88" s="32" t="n">
        <v>32.91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Between 50% to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IF(B89=0,"",RANK(B89,$B$2:$B$362,0))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MANORAMA</t>
        </is>
      </c>
      <c r="D89" s="31" t="inlineStr">
        <is>
          <t>Manorama Industries Ltd</t>
        </is>
      </c>
      <c r="E89" s="31" t="inlineStr">
        <is>
          <t>fmcg</t>
        </is>
      </c>
      <c r="F89" s="31" t="inlineStr">
        <is>
          <t>food - processing - indian</t>
        </is>
      </c>
      <c r="G89" s="31" t="inlineStr">
        <is>
          <t>midcap</t>
        </is>
      </c>
      <c r="H89" s="32" t="n">
        <v>9419.620000000001</v>
      </c>
      <c r="I89" s="32" t="n">
        <v>1608.2</v>
      </c>
      <c r="J89" s="32" t="n">
        <v>1.94</v>
      </c>
      <c r="K89" s="32" t="n">
        <v>173360</v>
      </c>
      <c r="L89" s="31" t="n">
        <v>22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61.37</v>
      </c>
      <c r="P89" s="32" t="n">
        <v>11.33</v>
      </c>
      <c r="Q89" s="32" t="n">
        <v>1237.58</v>
      </c>
      <c r="R89" s="31" t="inlineStr">
        <is>
          <t>Near 52W High Breakout</t>
        </is>
      </c>
      <c r="S89" s="31" t="inlineStr">
        <is>
          <t>Nifty FMCG</t>
        </is>
      </c>
      <c r="T89" s="32" t="n">
        <v>-14.55</v>
      </c>
      <c r="U89" s="32" t="n">
        <v>3.12</v>
      </c>
      <c r="V89" s="32" t="n">
        <v>20.68</v>
      </c>
      <c r="W89" s="32" t="n">
        <v>3.86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IF(B90=0,"",RANK(B90,$B$2:$B$362,0))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SENORES</t>
        </is>
      </c>
      <c r="D90" s="31" t="inlineStr">
        <is>
          <t>Senores Pharmaceuticals Ltd</t>
        </is>
      </c>
      <c r="E90" s="31" t="inlineStr">
        <is>
          <t>healthcare</t>
        </is>
      </c>
      <c r="F90" s="31" t="inlineStr">
        <is>
          <t>pharmaceuticals - indian - formulations</t>
        </is>
      </c>
      <c r="G90" s="31" t="inlineStr">
        <is>
          <t>midcap</t>
        </is>
      </c>
      <c r="H90" s="32" t="n">
        <v>6686.06</v>
      </c>
      <c r="I90" s="32" t="n">
        <v>1480</v>
      </c>
      <c r="J90" s="32" t="n">
        <v>1.94</v>
      </c>
      <c r="K90" s="32" t="n">
        <v>174532</v>
      </c>
      <c r="L90" s="31" t="n">
        <v>92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80.01000000000001</v>
      </c>
      <c r="P90" s="32" t="n">
        <v>60.93</v>
      </c>
      <c r="Q90" s="32" t="n">
        <v>1159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15.1</v>
      </c>
      <c r="U90" s="32" t="n">
        <v>137.19</v>
      </c>
      <c r="V90" s="32" t="n">
        <v>106.08</v>
      </c>
      <c r="W90" s="32" t="n">
        <v>33.9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Less than 50%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IF(B91=0,"",RANK(B91,$B$2:$B$362,0))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NGLFINE</t>
        </is>
      </c>
      <c r="D91" s="31" t="inlineStr">
        <is>
          <t>NGL Fine Chem Ltd</t>
        </is>
      </c>
      <c r="E91" s="31" t="inlineStr">
        <is>
          <t>healthcare</t>
        </is>
      </c>
      <c r="F91" s="31" t="inlineStr">
        <is>
          <t>pharmaceuticals - indian - bulk drugs</t>
        </is>
      </c>
      <c r="G91" s="31" t="inlineStr">
        <is>
          <t>smallcap</t>
        </is>
      </c>
      <c r="H91" s="32" t="n">
        <v>1934.22</v>
      </c>
      <c r="I91" s="32" t="n">
        <v>3173</v>
      </c>
      <c r="J91" s="32" t="n">
        <v>1.35</v>
      </c>
      <c r="K91" s="32" t="n">
        <v>4197</v>
      </c>
      <c r="L91" s="31" t="n">
        <v>89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77.05</v>
      </c>
      <c r="P91" s="32" t="n">
        <v>68.28</v>
      </c>
      <c r="Q91" s="32" t="n">
        <v>2244.08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15.1</v>
      </c>
      <c r="U91" s="32" t="n">
        <v>130.45</v>
      </c>
      <c r="V91" s="32" t="n">
        <v>100.22</v>
      </c>
      <c r="W91" s="32" t="n">
        <v>28.49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IF(B92=0,"",RANK(B92,$B$2:$B$362,0))</f>
        <v/>
      </c>
      <c r="B92" s="32">
        <f>SUM(N92,Y92,AA92,AC92,AE92,AG92,AI92,AK92,AM92,AO92,AQ92,AS92,AU92,AW92,AY92,BA92,BC92,BE92,BG92,BI92,BK92,BM92,BO92,BQ92,BS92,BU92,BW92,BY92,CA92,CC92,CE92)</f>
        <v/>
      </c>
      <c r="C92" s="33" t="inlineStr">
        <is>
          <t>RAINBOW</t>
        </is>
      </c>
      <c r="D92" s="33" t="inlineStr">
        <is>
          <t>Rainbow Childrens Medicare Ltd</t>
        </is>
      </c>
      <c r="E92" s="31" t="inlineStr">
        <is>
          <t>healthcare</t>
        </is>
      </c>
      <c r="F92" s="31" t="inlineStr">
        <is>
          <t>healthcare</t>
        </is>
      </c>
      <c r="G92" s="31" t="inlineStr">
        <is>
          <t>midcap</t>
        </is>
      </c>
      <c r="H92" s="32" t="n">
        <v>15072.39</v>
      </c>
      <c r="I92" s="32" t="n">
        <v>1501.6</v>
      </c>
      <c r="J92" s="32" t="n">
        <v>1.18</v>
      </c>
      <c r="K92" s="32" t="n">
        <v>71630</v>
      </c>
      <c r="L92" s="31" t="n">
        <v>26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68.51000000000001</v>
      </c>
      <c r="P92" s="32" t="n">
        <v>31.12</v>
      </c>
      <c r="Q92" s="32" t="n">
        <v>1266.01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15.1</v>
      </c>
      <c r="U92" s="32" t="n">
        <v>-1.63</v>
      </c>
      <c r="V92" s="32" t="n">
        <v>-14.53</v>
      </c>
      <c r="W92" s="32" t="n">
        <v>4.28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IF(B93=0,"",RANK(B93,$B$2:$B$362,0))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LUPIN</t>
        </is>
      </c>
      <c r="D93" s="31" t="inlineStr">
        <is>
          <t>Lupin Limited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largecap</t>
        </is>
      </c>
      <c r="H93" s="32" t="n">
        <v>112886.67</v>
      </c>
      <c r="I93" s="32" t="n">
        <v>2493</v>
      </c>
      <c r="J93" s="32" t="n">
        <v>0.96</v>
      </c>
      <c r="K93" s="32" t="n">
        <v>821069</v>
      </c>
      <c r="L93" s="31" t="n">
        <v>39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70.73999999999999</v>
      </c>
      <c r="P93" s="32" t="n">
        <v>15.76</v>
      </c>
      <c r="Q93" s="32" t="n">
        <v>2211.74</v>
      </c>
      <c r="R93" s="31" t="inlineStr">
        <is>
          <t>Near 52W High Breakout</t>
        </is>
      </c>
      <c r="S93" s="31" t="inlineStr">
        <is>
          <t>Nifty Pharma</t>
        </is>
      </c>
      <c r="T93" s="32" t="n">
        <v>15.1</v>
      </c>
      <c r="U93" s="32" t="n">
        <v>29.83</v>
      </c>
      <c r="V93" s="32" t="n">
        <v>12.8</v>
      </c>
      <c r="W93" s="32" t="n">
        <v>6.89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IF(B94=0,"",RANK(B94,$B$2:$B$362,0))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VIYASH</t>
        </is>
      </c>
      <c r="D94" s="31" t="inlineStr">
        <is>
          <t>Viyash Scientific Ltd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midcap</t>
        </is>
      </c>
      <c r="H94" s="32" t="n">
        <v>12183.77</v>
      </c>
      <c r="I94" s="32" t="n">
        <v>280.45</v>
      </c>
      <c r="J94" s="32" t="n">
        <v>0.5600000000000001</v>
      </c>
      <c r="K94" s="32" t="n">
        <v>927429</v>
      </c>
      <c r="L94" s="31" t="n">
        <v>73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68</v>
      </c>
      <c r="P94" s="32" t="n">
        <v>44.72</v>
      </c>
      <c r="Q94" s="32" t="n">
        <v>228.73</v>
      </c>
      <c r="R94" s="31" t="inlineStr">
        <is>
          <t>Near 52W High Breakout</t>
        </is>
      </c>
      <c r="S94" s="31" t="inlineStr">
        <is>
          <t>Nifty Pharma</t>
        </is>
      </c>
      <c r="T94" s="32" t="n">
        <v>15.1</v>
      </c>
      <c r="U94" s="32" t="n">
        <v>49.29</v>
      </c>
      <c r="V94" s="32" t="n">
        <v>29.71</v>
      </c>
      <c r="W94" s="32" t="n">
        <v>16.06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Less than 50%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IF(B95=0,"",RANK(B95,$B$2:$B$362,0))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ZYDUSWELL</t>
        </is>
      </c>
      <c r="D95" s="31" t="inlineStr">
        <is>
          <t>Zydus Wellness Limited</t>
        </is>
      </c>
      <c r="E95" s="31" t="inlineStr">
        <is>
          <t>fmcg</t>
        </is>
      </c>
      <c r="F95" s="31" t="inlineStr">
        <is>
          <t>food - processing - indian</t>
        </is>
      </c>
      <c r="G95" s="31" t="inlineStr">
        <is>
          <t>midcap</t>
        </is>
      </c>
      <c r="H95" s="32" t="n">
        <v>18322.88</v>
      </c>
      <c r="I95" s="32" t="n">
        <v>576.05</v>
      </c>
      <c r="J95" s="32" t="n">
        <v>0.03</v>
      </c>
      <c r="K95" s="32" t="n">
        <v>126185</v>
      </c>
      <c r="L95" s="31" t="n">
        <v>52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68.22</v>
      </c>
      <c r="P95" s="32" t="n">
        <v>50.59</v>
      </c>
      <c r="Q95" s="32" t="n">
        <v>473.37</v>
      </c>
      <c r="R95" s="31" t="inlineStr">
        <is>
          <t>Near 52W High Breakout</t>
        </is>
      </c>
      <c r="S95" s="31" t="inlineStr">
        <is>
          <t>Nifty FMCG</t>
        </is>
      </c>
      <c r="T95" s="32" t="n">
        <v>-14.55</v>
      </c>
      <c r="U95" s="32" t="n">
        <v>37.55</v>
      </c>
      <c r="V95" s="32" t="n">
        <v>60.96</v>
      </c>
      <c r="W95" s="32" t="n">
        <v>9.949999999999999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Less than 50%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IF(B96=0,"",RANK(B96,$B$2:$B$362,0))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LAURUSLABS</t>
        </is>
      </c>
      <c r="D96" s="31" t="inlineStr">
        <is>
          <t>Laurus Labs Limited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largecap</t>
        </is>
      </c>
      <c r="H96" s="32" t="n">
        <v>84255.42</v>
      </c>
      <c r="I96" s="32" t="n">
        <v>1554.3</v>
      </c>
      <c r="J96" s="32" t="n">
        <v>-0.41</v>
      </c>
      <c r="K96" s="32" t="n">
        <v>1430478</v>
      </c>
      <c r="L96" s="31" t="n">
        <v>82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79.15000000000001</v>
      </c>
      <c r="P96" s="32" t="n">
        <v>51.85</v>
      </c>
      <c r="Q96" s="32" t="n">
        <v>1320.85</v>
      </c>
      <c r="R96" s="31" t="inlineStr">
        <is>
          <t>Near 52W High Breakout</t>
        </is>
      </c>
      <c r="S96" s="31" t="inlineStr">
        <is>
          <t>Nifty Pharma</t>
        </is>
      </c>
      <c r="T96" s="32" t="n">
        <v>15.1</v>
      </c>
      <c r="U96" s="32" t="n">
        <v>88.29000000000001</v>
      </c>
      <c r="V96" s="32" t="n">
        <v>63.59</v>
      </c>
      <c r="W96" s="32" t="n">
        <v>21.6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Between 12 to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IF(B97=0,"",RANK(B97,$B$2:$B$362,0))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DIAMONDYD</t>
        </is>
      </c>
      <c r="D97" s="31" t="inlineStr">
        <is>
          <t>Prataap Snacks Ltd</t>
        </is>
      </c>
      <c r="E97" s="31" t="inlineStr">
        <is>
          <t>fmcg</t>
        </is>
      </c>
      <c r="F97" s="31" t="inlineStr">
        <is>
          <t>food - processing - indian</t>
        </is>
      </c>
      <c r="G97" s="31" t="inlineStr">
        <is>
          <t>smallcap</t>
        </is>
      </c>
      <c r="H97" s="32" t="n">
        <v>2858.39</v>
      </c>
      <c r="I97" s="32" t="n">
        <v>1180</v>
      </c>
      <c r="J97" s="32" t="n">
        <v>-1.32</v>
      </c>
      <c r="K97" s="32" t="n">
        <v>8882</v>
      </c>
      <c r="L97" s="31" t="n">
        <v>40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62.4</v>
      </c>
      <c r="P97" s="32" t="n">
        <v>23.72</v>
      </c>
      <c r="Q97" s="32" t="n">
        <v>975.61</v>
      </c>
      <c r="R97" s="31" t="inlineStr">
        <is>
          <t>Near 52W High Breakout</t>
        </is>
      </c>
      <c r="S97" s="31" t="inlineStr">
        <is>
          <t>Nifty FMCG</t>
        </is>
      </c>
      <c r="T97" s="32" t="n">
        <v>-14.55</v>
      </c>
      <c r="U97" s="32" t="n">
        <v>11.23</v>
      </c>
      <c r="V97" s="32" t="n">
        <v>30.16</v>
      </c>
      <c r="W97" s="32" t="n">
        <v>7.13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Between 50% to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IF(B98=0,"",RANK(B98,$B$2:$B$362,0))</f>
        <v/>
      </c>
      <c r="B98" s="32">
        <f>SUM(N98,Y98,AA98,AC98,AE98,AG98,AI98,AK98,AM98,AO98,AQ98,AS98,AU98,AW98,AY98,BA98,BC98,BE98,BG98,BI98,BK98,BM98,BO98,BQ98,BS98,BU98,BW98,BY98,CA98,CC98,CE98)</f>
        <v/>
      </c>
      <c r="C98" s="33" t="inlineStr">
        <is>
          <t>ROLEXRINGS</t>
        </is>
      </c>
      <c r="D98" s="33" t="inlineStr">
        <is>
          <t>Rolex Rings Ltd</t>
        </is>
      </c>
      <c r="E98" s="31" t="inlineStr">
        <is>
          <t>auto</t>
        </is>
      </c>
      <c r="F98" s="31" t="inlineStr">
        <is>
          <t>auto ancillaries</t>
        </is>
      </c>
      <c r="G98" s="31" t="inlineStr">
        <is>
          <t>smallcap</t>
        </is>
      </c>
      <c r="H98" s="32" t="n">
        <v>3993.22</v>
      </c>
      <c r="I98" s="32" t="n">
        <v>155.3</v>
      </c>
      <c r="J98" s="32" t="n">
        <v>5.91</v>
      </c>
      <c r="K98" s="32" t="n">
        <v>9978759</v>
      </c>
      <c r="L98" s="31" t="n">
        <v>25</v>
      </c>
      <c r="M98" s="31" t="inlineStr">
        <is>
          <t>Underperforming</t>
        </is>
      </c>
      <c r="N98" s="32">
        <f>IF(M98="Underperforming",-5,IF(L98&gt;=95,15,IF(L98&gt;=90,10,IF(L98&gt;=80,5,0))))</f>
        <v/>
      </c>
      <c r="O98" s="32" t="n">
        <v>61.12</v>
      </c>
      <c r="P98" s="32" t="n">
        <v>34.24</v>
      </c>
      <c r="Q98" s="32" t="n">
        <v>119.99</v>
      </c>
      <c r="R98" s="31" t="inlineStr">
        <is>
          <t>Volume Spike &amp; Near 52W High Breakout</t>
        </is>
      </c>
      <c r="S98" s="31" t="inlineStr">
        <is>
          <t>Nifty Auto</t>
        </is>
      </c>
      <c r="T98" s="32" t="n">
        <v>11.51</v>
      </c>
      <c r="U98" s="32" t="n">
        <v>4.12</v>
      </c>
      <c r="V98" s="32" t="n">
        <v>-6.63</v>
      </c>
      <c r="W98" s="32" t="n">
        <v>4.24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IF(B99=0,"",RANK(B99,$B$2:$B$362,0))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NAVKARCORP</t>
        </is>
      </c>
      <c r="D99" s="33" t="inlineStr">
        <is>
          <t>Navkar Corporation Limited</t>
        </is>
      </c>
      <c r="E99" s="31" t="inlineStr">
        <is>
          <t>transportation</t>
        </is>
      </c>
      <c r="F99" s="31" t="inlineStr">
        <is>
          <t>miscellaneous</t>
        </is>
      </c>
      <c r="G99" s="31" t="inlineStr">
        <is>
          <t>smallcap</t>
        </is>
      </c>
      <c r="H99" s="32" t="n">
        <v>1651.95</v>
      </c>
      <c r="I99" s="32" t="n">
        <v>116.09</v>
      </c>
      <c r="J99" s="32" t="n">
        <v>5.78</v>
      </c>
      <c r="K99" s="32" t="n">
        <v>5167971</v>
      </c>
      <c r="L99" s="31" t="n">
        <v>5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63.11</v>
      </c>
      <c r="P99" s="32" t="n">
        <v>23.04</v>
      </c>
      <c r="Q99" s="32" t="n">
        <v>85.65000000000001</v>
      </c>
      <c r="R99" s="31" t="inlineStr">
        <is>
          <t>Volume Spike / Accumulation</t>
        </is>
      </c>
      <c r="S99" s="31" t="inlineStr">
        <is>
          <t>Nifty 50</t>
        </is>
      </c>
      <c r="T99" s="32" t="n">
        <v>-3.56</v>
      </c>
      <c r="U99" s="32" t="n">
        <v>-9.35</v>
      </c>
      <c r="V99" s="32" t="n">
        <v>-6</v>
      </c>
      <c r="W99" s="32" t="n">
        <v>-0.75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Between 50% to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IF(B100=0,"",RANK(B100,$B$2:$B$362,0))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CENTURYPLY</t>
        </is>
      </c>
      <c r="D100" s="31" t="inlineStr">
        <is>
          <t>Century Plyboards (india) Limited</t>
        </is>
      </c>
      <c r="E100" s="31" t="inlineStr">
        <is>
          <t>building materials</t>
        </is>
      </c>
      <c r="F100" s="31" t="inlineStr">
        <is>
          <t>miscellaneous</t>
        </is>
      </c>
      <c r="G100" s="31" t="inlineStr">
        <is>
          <t>midcap</t>
        </is>
      </c>
      <c r="H100" s="32" t="n">
        <v>17366.15</v>
      </c>
      <c r="I100" s="32" t="n">
        <v>795.6</v>
      </c>
      <c r="J100" s="32" t="n">
        <v>1.78</v>
      </c>
      <c r="K100" s="32" t="n">
        <v>151723</v>
      </c>
      <c r="L100" s="31" t="n">
        <v>18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56.75</v>
      </c>
      <c r="P100" s="32" t="n">
        <v>20.25</v>
      </c>
      <c r="Q100" s="32" t="n">
        <v>645.33</v>
      </c>
      <c r="R100" s="31" t="inlineStr">
        <is>
          <t>Earnings / Momentum Support</t>
        </is>
      </c>
      <c r="S100" s="31" t="inlineStr">
        <is>
          <t>Nifty Infra</t>
        </is>
      </c>
      <c r="T100" s="32" t="n">
        <v>1.31</v>
      </c>
      <c r="U100" s="32" t="n">
        <v>10.59</v>
      </c>
      <c r="V100" s="32" t="n">
        <v>9.15</v>
      </c>
      <c r="W100" s="32" t="n">
        <v>2.93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IF(B101=0,"",RANK(B101,$B$2:$B$362,0))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HSCL</t>
        </is>
      </c>
      <c r="D101" s="31" t="inlineStr">
        <is>
          <t>Himadri Speciality Chemical Limited</t>
        </is>
      </c>
      <c r="E101" s="31" t="inlineStr">
        <is>
          <t>chemicals</t>
        </is>
      </c>
      <c r="F101" s="31" t="inlineStr">
        <is>
          <t>chemicals</t>
        </is>
      </c>
      <c r="G101" s="31" t="inlineStr">
        <is>
          <t>largecap</t>
        </is>
      </c>
      <c r="H101" s="32" t="n">
        <v>33874.92</v>
      </c>
      <c r="I101" s="32" t="n">
        <v>681.55</v>
      </c>
      <c r="J101" s="32" t="n">
        <v>1.51</v>
      </c>
      <c r="K101" s="32" t="n">
        <v>6529064</v>
      </c>
      <c r="L101" s="31" t="n">
        <v>69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69.25</v>
      </c>
      <c r="P101" s="32" t="n">
        <v>38.5</v>
      </c>
      <c r="Q101" s="32" t="n">
        <v>525.73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-3.56</v>
      </c>
      <c r="U101" s="32" t="n">
        <v>32.79</v>
      </c>
      <c r="V101" s="32" t="n">
        <v>37.7</v>
      </c>
      <c r="W101" s="32" t="n">
        <v>14.67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Between 1.5 to 2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IF(B102=0,"",RANK(B102,$B$2:$B$362,0))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NAHARSPING</t>
        </is>
      </c>
      <c r="D102" s="31" t="inlineStr">
        <is>
          <t>Nahar Spinning Mills Limited</t>
        </is>
      </c>
      <c r="E102" s="31" t="inlineStr">
        <is>
          <t>textiles</t>
        </is>
      </c>
      <c r="F102" s="31" t="inlineStr">
        <is>
          <t>textiles - cotton/blended</t>
        </is>
      </c>
      <c r="G102" s="31" t="inlineStr">
        <is>
          <t>smallcap</t>
        </is>
      </c>
      <c r="H102" s="32" t="n">
        <v>988.1900000000001</v>
      </c>
      <c r="I102" s="32" t="n">
        <v>276.9</v>
      </c>
      <c r="J102" s="32" t="n">
        <v>1.06</v>
      </c>
      <c r="K102" s="32" t="n">
        <v>12284</v>
      </c>
      <c r="L102" s="31" t="n">
        <v>29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62.42</v>
      </c>
      <c r="P102" s="32" t="n">
        <v>21.75</v>
      </c>
      <c r="Q102" s="32" t="n">
        <v>217.68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-3.56</v>
      </c>
      <c r="U102" s="32" t="n">
        <v>4.39</v>
      </c>
      <c r="V102" s="32" t="n">
        <v>8.25</v>
      </c>
      <c r="W102" s="32" t="n">
        <v>5.11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Between 12 to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IF(B103=0,"",RANK(B103,$B$2:$B$362,0))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SPECTRUM</t>
        </is>
      </c>
      <c r="D103" s="31" t="inlineStr">
        <is>
          <t>Spectrum Electrical Industries Ltd</t>
        </is>
      </c>
      <c r="E103" s="31" t="inlineStr">
        <is>
          <t>industrials</t>
        </is>
      </c>
      <c r="F103" s="31" t="inlineStr">
        <is>
          <t>electric equipment</t>
        </is>
      </c>
      <c r="G103" s="31" t="inlineStr">
        <is>
          <t>smallcap</t>
        </is>
      </c>
      <c r="H103" s="32" t="n">
        <v>3162.25</v>
      </c>
      <c r="I103" s="32" t="n">
        <v>2027</v>
      </c>
      <c r="J103" s="32" t="n">
        <v>0.73</v>
      </c>
      <c r="K103" s="32" t="n">
        <v>10749</v>
      </c>
      <c r="L103" s="31" t="n">
        <v>84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69.14</v>
      </c>
      <c r="P103" s="32" t="n">
        <v>37.92</v>
      </c>
      <c r="Q103" s="32" t="n">
        <v>1393.79</v>
      </c>
      <c r="R103" s="31" t="inlineStr">
        <is>
          <t>Near 52W High Breakout</t>
        </is>
      </c>
      <c r="S103" s="31" t="inlineStr">
        <is>
          <t>Nifty Infra</t>
        </is>
      </c>
      <c r="T103" s="32" t="n">
        <v>1.31</v>
      </c>
      <c r="U103" s="32" t="n">
        <v>29.97</v>
      </c>
      <c r="V103" s="32" t="n">
        <v>28.28</v>
      </c>
      <c r="W103" s="32" t="n">
        <v>22.28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Between 0.7 to 1.2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IF(B104=0,"",RANK(B104,$B$2:$B$362,0))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SANGAMIND</t>
        </is>
      </c>
      <c r="D104" s="31" t="inlineStr">
        <is>
          <t>Sangam (india) Limited</t>
        </is>
      </c>
      <c r="E104" s="31" t="inlineStr">
        <is>
          <t>textiles</t>
        </is>
      </c>
      <c r="F104" s="31" t="inlineStr">
        <is>
          <t>textiles - spinning - synthetic / blended</t>
        </is>
      </c>
      <c r="G104" s="31" t="inlineStr">
        <is>
          <t>smallcap</t>
        </is>
      </c>
      <c r="H104" s="32" t="n">
        <v>3140.16</v>
      </c>
      <c r="I104" s="32" t="n">
        <v>629.4</v>
      </c>
      <c r="J104" s="32" t="n">
        <v>0.71</v>
      </c>
      <c r="K104" s="32" t="n">
        <v>169527</v>
      </c>
      <c r="L104" s="31" t="n">
        <v>70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78.66</v>
      </c>
      <c r="P104" s="32" t="n">
        <v>43.49</v>
      </c>
      <c r="Q104" s="32" t="n">
        <v>496.14</v>
      </c>
      <c r="R104" s="31" t="inlineStr">
        <is>
          <t>Volume Spike &amp; Near 52W High Breakout</t>
        </is>
      </c>
      <c r="S104" s="31" t="inlineStr">
        <is>
          <t>Nifty 50</t>
        </is>
      </c>
      <c r="T104" s="32" t="n">
        <v>-3.56</v>
      </c>
      <c r="U104" s="32" t="n">
        <v>36.07</v>
      </c>
      <c r="V104" s="32" t="n">
        <v>41.1</v>
      </c>
      <c r="W104" s="32" t="n">
        <v>14.95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Between 0.7 to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IF(B105=0,"",RANK(B105,$B$2:$B$362,0))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KAJARIACER</t>
        </is>
      </c>
      <c r="D105" s="31" t="inlineStr">
        <is>
          <t>Kajaria Ceramics Limited</t>
        </is>
      </c>
      <c r="E105" s="31" t="inlineStr">
        <is>
          <t>building materials</t>
        </is>
      </c>
      <c r="F105" s="31" t="inlineStr">
        <is>
          <t>ceramics - tiles / sanitaryware</t>
        </is>
      </c>
      <c r="G105" s="31" t="inlineStr">
        <is>
          <t>midcap</t>
        </is>
      </c>
      <c r="H105" s="32" t="n">
        <v>19662.16</v>
      </c>
      <c r="I105" s="32" t="n">
        <v>1237</v>
      </c>
      <c r="J105" s="32" t="n">
        <v>0.2</v>
      </c>
      <c r="K105" s="32" t="n">
        <v>512686</v>
      </c>
      <c r="L105" s="31" t="n">
        <v>15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66.34</v>
      </c>
      <c r="P105" s="32" t="n">
        <v>23.49</v>
      </c>
      <c r="Q105" s="32" t="n">
        <v>1023.47</v>
      </c>
      <c r="R105" s="31" t="inlineStr">
        <is>
          <t>Near 52W High Breakout</t>
        </is>
      </c>
      <c r="S105" s="31" t="inlineStr">
        <is>
          <t>Nifty Infra</t>
        </is>
      </c>
      <c r="T105" s="32" t="n">
        <v>1.31</v>
      </c>
      <c r="U105" s="32" t="n">
        <v>1.87</v>
      </c>
      <c r="V105" s="32" t="n">
        <v>0.55</v>
      </c>
      <c r="W105" s="32" t="n">
        <v>2.1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IF(B106=0,"",RANK(B106,$B$2:$B$362,0))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TTKPRESTIG</t>
        </is>
      </c>
      <c r="D106" s="31" t="inlineStr">
        <is>
          <t>Ttk Prestige Limited</t>
        </is>
      </c>
      <c r="E106" s="31" t="inlineStr">
        <is>
          <t>consumer discretionary</t>
        </is>
      </c>
      <c r="F106" s="31" t="inlineStr">
        <is>
          <t>domestic appliances</t>
        </is>
      </c>
      <c r="G106" s="31" t="inlineStr">
        <is>
          <t>midcap</t>
        </is>
      </c>
      <c r="H106" s="32" t="n">
        <v>9103.129999999999</v>
      </c>
      <c r="I106" s="32" t="n">
        <v>665.75</v>
      </c>
      <c r="J106" s="32" t="n">
        <v>0.16</v>
      </c>
      <c r="K106" s="32" t="n">
        <v>63083</v>
      </c>
      <c r="L106" s="31" t="n">
        <v>50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70.43000000000001</v>
      </c>
      <c r="P106" s="32" t="n">
        <v>34.36</v>
      </c>
      <c r="Q106" s="32" t="n">
        <v>530.63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-3.56</v>
      </c>
      <c r="U106" s="32" t="n">
        <v>6.12</v>
      </c>
      <c r="V106" s="32" t="n">
        <v>10.04</v>
      </c>
      <c r="W106" s="32" t="n">
        <v>9.619999999999999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IF(B107=0,"",RANK(B107,$B$2:$B$362,0))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3" t="inlineStr">
        <is>
          <t>HINDCOMPOS</t>
        </is>
      </c>
      <c r="D107" s="33" t="inlineStr">
        <is>
          <t>Hindustan Composites Limited</t>
        </is>
      </c>
      <c r="E107" s="31" t="inlineStr">
        <is>
          <t>auto</t>
        </is>
      </c>
      <c r="F107" s="31" t="inlineStr">
        <is>
          <t>auto ancillaries</t>
        </is>
      </c>
      <c r="G107" s="31" t="inlineStr">
        <is>
          <t>smallcap</t>
        </is>
      </c>
      <c r="H107" s="32" t="n">
        <v>662.91</v>
      </c>
      <c r="I107" s="32" t="n">
        <v>448.85</v>
      </c>
      <c r="J107" s="32" t="n">
        <v>0</v>
      </c>
      <c r="K107" s="32" t="n">
        <v>4476</v>
      </c>
      <c r="L107" s="31" t="n">
        <v>1</v>
      </c>
      <c r="M107" s="31" t="inlineStr">
        <is>
          <t>Underperforming</t>
        </is>
      </c>
      <c r="N107" s="32">
        <f>IF(M107="Underperforming",-5,IF(L107&gt;=95,15,IF(L107&gt;=90,10,IF(L107&gt;=80,5,0))))</f>
        <v/>
      </c>
      <c r="O107" s="32" t="n">
        <v>54.56</v>
      </c>
      <c r="P107" s="32" t="n">
        <v>26.25</v>
      </c>
      <c r="Q107" s="32" t="n">
        <v>366.14</v>
      </c>
      <c r="R107" s="31" t="inlineStr">
        <is>
          <t>Volume Spike / Accumulation</t>
        </is>
      </c>
      <c r="S107" s="31" t="inlineStr">
        <is>
          <t>Nifty Auto</t>
        </is>
      </c>
      <c r="T107" s="32" t="n">
        <v>11.51</v>
      </c>
      <c r="U107" s="32" t="n">
        <v>-8.09</v>
      </c>
      <c r="V107" s="32" t="n">
        <v>-17.57</v>
      </c>
      <c r="W107" s="32" t="n">
        <v>-3.09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Less than 50%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IF(B108=0,"",RANK(B108,$B$2:$B$362,0))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WELCORP</t>
        </is>
      </c>
      <c r="D108" s="31" t="inlineStr">
        <is>
          <t>Welspun Corp Limited</t>
        </is>
      </c>
      <c r="E108" s="31" t="inlineStr">
        <is>
          <t>industrials</t>
        </is>
      </c>
      <c r="F108" s="31" t="inlineStr">
        <is>
          <t>steel - large</t>
        </is>
      </c>
      <c r="G108" s="31" t="inlineStr">
        <is>
          <t>largecap</t>
        </is>
      </c>
      <c r="H108" s="32" t="n">
        <v>44406.52</v>
      </c>
      <c r="I108" s="32" t="n">
        <v>1680.1</v>
      </c>
      <c r="J108" s="32" t="n">
        <v>-0.2</v>
      </c>
      <c r="K108" s="32" t="n">
        <v>1407360</v>
      </c>
      <c r="L108" s="31" t="n">
        <v>89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88.12</v>
      </c>
      <c r="P108" s="32" t="n">
        <v>66.95999999999999</v>
      </c>
      <c r="Q108" s="32" t="n">
        <v>1390.69</v>
      </c>
      <c r="R108" s="31" t="inlineStr">
        <is>
          <t>Near 52W High Breakout</t>
        </is>
      </c>
      <c r="S108" s="31" t="inlineStr">
        <is>
          <t>Nifty Metal</t>
        </is>
      </c>
      <c r="T108" s="32" t="n">
        <v>32.55</v>
      </c>
      <c r="U108" s="32" t="n">
        <v>82.53</v>
      </c>
      <c r="V108" s="32" t="n">
        <v>37.71</v>
      </c>
      <c r="W108" s="32" t="n">
        <v>27.56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IF(B109=0,"",RANK(B109,$B$2:$B$362,0))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PANSARI</t>
        </is>
      </c>
      <c r="D109" s="31" t="inlineStr">
        <is>
          <t>Pansari Developers Ltd</t>
        </is>
      </c>
      <c r="E109" s="31" t="inlineStr">
        <is>
          <t>realty</t>
        </is>
      </c>
      <c r="F109" s="31" t="inlineStr">
        <is>
          <t>construction</t>
        </is>
      </c>
      <c r="G109" s="31" t="inlineStr">
        <is>
          <t>smallcap</t>
        </is>
      </c>
      <c r="H109" s="32" t="n">
        <v>634.02</v>
      </c>
      <c r="I109" s="32" t="n">
        <v>362.4</v>
      </c>
      <c r="J109" s="32" t="n">
        <v>-0.28</v>
      </c>
      <c r="K109" s="32" t="n">
        <v>7105</v>
      </c>
      <c r="L109" s="31" t="n">
        <v>66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63.62</v>
      </c>
      <c r="P109" s="32" t="n">
        <v>29.41</v>
      </c>
      <c r="Q109" s="32" t="n">
        <v>247.15</v>
      </c>
      <c r="R109" s="31" t="inlineStr">
        <is>
          <t>Near 52W High Breakout</t>
        </is>
      </c>
      <c r="S109" s="31" t="inlineStr">
        <is>
          <t>Nifty Realty</t>
        </is>
      </c>
      <c r="T109" s="32" t="n">
        <v>-8.48</v>
      </c>
      <c r="U109" s="32" t="n">
        <v>42.78</v>
      </c>
      <c r="V109" s="32" t="n">
        <v>56</v>
      </c>
      <c r="W109" s="32" t="n">
        <v>13.85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Negative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IF(B110=0,"",RANK(B110,$B$2:$B$362,0))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SHRIPISTON</t>
        </is>
      </c>
      <c r="D110" s="31" t="inlineStr">
        <is>
          <t>Shriram Pistons &amp; Rings Limited</t>
        </is>
      </c>
      <c r="E110" s="31" t="inlineStr">
        <is>
          <t>auto</t>
        </is>
      </c>
      <c r="F110" s="31" t="inlineStr">
        <is>
          <t>auto ancillaries</t>
        </is>
      </c>
      <c r="G110" s="31" t="inlineStr">
        <is>
          <t>midcap</t>
        </is>
      </c>
      <c r="H110" s="32" t="n">
        <v>18449.39</v>
      </c>
      <c r="I110" s="32" t="n">
        <v>4175.6</v>
      </c>
      <c r="J110" s="32" t="n">
        <v>-0.3</v>
      </c>
      <c r="K110" s="32" t="n">
        <v>26881</v>
      </c>
      <c r="L110" s="31" t="n">
        <v>67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69.56</v>
      </c>
      <c r="P110" s="32" t="n">
        <v>36.78</v>
      </c>
      <c r="Q110" s="32" t="n">
        <v>3344.45</v>
      </c>
      <c r="R110" s="31" t="inlineStr">
        <is>
          <t>Near 52W High Breakout</t>
        </is>
      </c>
      <c r="S110" s="31" t="inlineStr">
        <is>
          <t>Nifty Auto</t>
        </is>
      </c>
      <c r="T110" s="32" t="n">
        <v>11.51</v>
      </c>
      <c r="U110" s="32" t="n">
        <v>71.31</v>
      </c>
      <c r="V110" s="32" t="n">
        <v>53.62</v>
      </c>
      <c r="W110" s="32" t="n">
        <v>14.13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Less than 12%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IF(B111=0,"",RANK(B111,$B$2:$B$362,0))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PHOENIXLTD</t>
        </is>
      </c>
      <c r="D111" s="31" t="inlineStr">
        <is>
          <t>The Phoenix Mills Limited</t>
        </is>
      </c>
      <c r="E111" s="31" t="inlineStr">
        <is>
          <t>realty</t>
        </is>
      </c>
      <c r="F111" s="31" t="inlineStr">
        <is>
          <t>construction</t>
        </is>
      </c>
      <c r="G111" s="31" t="inlineStr">
        <is>
          <t>largecap</t>
        </is>
      </c>
      <c r="H111" s="32" t="n">
        <v>76265.59</v>
      </c>
      <c r="I111" s="32" t="n">
        <v>2126.1</v>
      </c>
      <c r="J111" s="32" t="n">
        <v>-0.3</v>
      </c>
      <c r="K111" s="32" t="n">
        <v>342573</v>
      </c>
      <c r="L111" s="31" t="n">
        <v>59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71.95</v>
      </c>
      <c r="P111" s="32" t="n">
        <v>14.27</v>
      </c>
      <c r="Q111" s="32" t="n">
        <v>1804.34</v>
      </c>
      <c r="R111" s="31" t="inlineStr">
        <is>
          <t>Near 52W High Breakout</t>
        </is>
      </c>
      <c r="S111" s="31" t="inlineStr">
        <is>
          <t>Nifty Realty</t>
        </is>
      </c>
      <c r="T111" s="32" t="n">
        <v>-8.48</v>
      </c>
      <c r="U111" s="32" t="n">
        <v>43.69</v>
      </c>
      <c r="V111" s="32" t="n">
        <v>57</v>
      </c>
      <c r="W111" s="32" t="n">
        <v>11.65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0 to 20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IF(B112=0,"",RANK(B112,$B$2:$B$362,0))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VARROC</t>
        </is>
      </c>
      <c r="D112" s="31" t="inlineStr">
        <is>
          <t>Varroc Engineering Ltd</t>
        </is>
      </c>
      <c r="E112" s="31" t="inlineStr">
        <is>
          <t>auto</t>
        </is>
      </c>
      <c r="F112" s="31" t="inlineStr">
        <is>
          <t>auto ancillaries</t>
        </is>
      </c>
      <c r="G112" s="31" t="inlineStr">
        <is>
          <t>midcap</t>
        </is>
      </c>
      <c r="H112" s="32" t="n">
        <v>10186.27</v>
      </c>
      <c r="I112" s="32" t="n">
        <v>660.55</v>
      </c>
      <c r="J112" s="32" t="n">
        <v>-0.92</v>
      </c>
      <c r="K112" s="32" t="n">
        <v>110560</v>
      </c>
      <c r="L112" s="31" t="n">
        <v>46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67.37</v>
      </c>
      <c r="P112" s="32" t="n">
        <v>25.36</v>
      </c>
      <c r="Q112" s="32" t="n">
        <v>540.1900000000001</v>
      </c>
      <c r="R112" s="31" t="inlineStr">
        <is>
          <t>Near 52W High Breakout</t>
        </is>
      </c>
      <c r="S112" s="31" t="inlineStr">
        <is>
          <t>Nifty Auto</t>
        </is>
      </c>
      <c r="T112" s="32" t="n">
        <v>11.51</v>
      </c>
      <c r="U112" s="32" t="n">
        <v>18.33</v>
      </c>
      <c r="V112" s="32" t="n">
        <v>6.11</v>
      </c>
      <c r="W112" s="32" t="n">
        <v>8.5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Between 50% to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IF(B113=0,"",RANK(B113,$B$2:$B$362,0))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WABAG</t>
        </is>
      </c>
      <c r="D113" s="31" t="inlineStr">
        <is>
          <t>Va Tech Wabag Limited</t>
        </is>
      </c>
      <c r="E113" s="31" t="inlineStr">
        <is>
          <t>realty</t>
        </is>
      </c>
      <c r="F113" s="31" t="inlineStr">
        <is>
          <t>engineering - turnkey services</t>
        </is>
      </c>
      <c r="G113" s="31" t="inlineStr">
        <is>
          <t>midcap</t>
        </is>
      </c>
      <c r="H113" s="32" t="n">
        <v>13209.63</v>
      </c>
      <c r="I113" s="32" t="n">
        <v>2100.3</v>
      </c>
      <c r="J113" s="32" t="n">
        <v>-0.93</v>
      </c>
      <c r="K113" s="32" t="n">
        <v>698954</v>
      </c>
      <c r="L113" s="31" t="n">
        <v>80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72.29000000000001</v>
      </c>
      <c r="P113" s="32" t="n">
        <v>28.4</v>
      </c>
      <c r="Q113" s="32" t="n">
        <v>1758.45</v>
      </c>
      <c r="R113" s="31" t="inlineStr">
        <is>
          <t>Earnings / Momentum Support</t>
        </is>
      </c>
      <c r="S113" s="31" t="inlineStr">
        <is>
          <t>Nifty Realty</t>
        </is>
      </c>
      <c r="T113" s="32" t="n">
        <v>-8.48</v>
      </c>
      <c r="U113" s="32" t="n">
        <v>41.71</v>
      </c>
      <c r="V113" s="32" t="n">
        <v>54.84</v>
      </c>
      <c r="W113" s="32" t="n">
        <v>19.69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Less than 50%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IF(B114=0,"",RANK(B114,$B$2:$B$362,0))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PREMIERENE</t>
        </is>
      </c>
      <c r="D114" s="31" t="inlineStr">
        <is>
          <t>Premier Energies Ltd</t>
        </is>
      </c>
      <c r="E114" s="31" t="inlineStr">
        <is>
          <t>services</t>
        </is>
      </c>
      <c r="F114" s="31" t="inlineStr">
        <is>
          <t>trading</t>
        </is>
      </c>
      <c r="G114" s="31" t="inlineStr">
        <is>
          <t>largecap</t>
        </is>
      </c>
      <c r="H114" s="32" t="n">
        <v>49870.15</v>
      </c>
      <c r="I114" s="32" t="n">
        <v>1090.7</v>
      </c>
      <c r="J114" s="32" t="n">
        <v>-0.93</v>
      </c>
      <c r="K114" s="32" t="n">
        <v>922554</v>
      </c>
      <c r="L114" s="31" t="n">
        <v>25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61.19</v>
      </c>
      <c r="P114" s="32" t="n">
        <v>21.59</v>
      </c>
      <c r="Q114" s="32" t="n">
        <v>899.01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-3.56</v>
      </c>
      <c r="U114" s="32" t="n">
        <v>3.2</v>
      </c>
      <c r="V114" s="32" t="n">
        <v>7.02</v>
      </c>
      <c r="W114" s="32" t="n">
        <v>4.21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Between 50% to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IF(B115=0,"",RANK(B115,$B$2:$B$362,0))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SIGMAADV</t>
        </is>
      </c>
      <c r="D115" s="31" t="inlineStr">
        <is>
          <t>Sigma Advanced System Ltd</t>
        </is>
      </c>
      <c r="E115" s="31" t="inlineStr">
        <is>
          <t>aerospace &amp; defence</t>
        </is>
      </c>
      <c r="F115" s="31" t="inlineStr">
        <is>
          <t>electronics - components</t>
        </is>
      </c>
      <c r="G115" s="31" t="inlineStr">
        <is>
          <t>midcap</t>
        </is>
      </c>
      <c r="H115" s="32" t="n">
        <v>10109.99</v>
      </c>
      <c r="I115" s="32" t="n">
        <v>559.85</v>
      </c>
      <c r="J115" s="32" t="n">
        <v>-2.41</v>
      </c>
      <c r="K115" s="32" t="n">
        <v>456036</v>
      </c>
      <c r="L115" s="31" t="n">
        <v>99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74.88</v>
      </c>
      <c r="P115" s="32" t="n">
        <v>64.05</v>
      </c>
      <c r="Q115" s="32" t="n">
        <v>458.63</v>
      </c>
      <c r="R115" s="31" t="inlineStr">
        <is>
          <t>Earnings / Momentum Support</t>
        </is>
      </c>
      <c r="S115" s="31" t="inlineStr">
        <is>
          <t>Nifty 50</t>
        </is>
      </c>
      <c r="T115" s="32" t="n">
        <v>-3.56</v>
      </c>
      <c r="U115" s="32" t="n">
        <v>420.4</v>
      </c>
      <c r="V115" s="32" t="n">
        <v>439.64</v>
      </c>
      <c r="W115" s="32" t="n">
        <v>88.02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Negative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Between 0.7 to 1.2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IF(B116=0,"",RANK(B116,$B$2:$B$362,0))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SFL</t>
        </is>
      </c>
      <c r="D116" s="31" t="inlineStr">
        <is>
          <t>Sheela Foam Limited</t>
        </is>
      </c>
      <c r="E116" s="31" t="inlineStr">
        <is>
          <t>consumer discretionary</t>
        </is>
      </c>
      <c r="F116" s="31" t="inlineStr">
        <is>
          <t>miscellaneous</t>
        </is>
      </c>
      <c r="G116" s="31" t="inlineStr">
        <is>
          <t>midcap</t>
        </is>
      </c>
      <c r="H116" s="32" t="n">
        <v>8794.16</v>
      </c>
      <c r="I116" s="32" t="n">
        <v>782.85</v>
      </c>
      <c r="J116" s="32" t="n">
        <v>-3.23</v>
      </c>
      <c r="K116" s="32" t="n">
        <v>172508</v>
      </c>
      <c r="L116" s="31" t="n">
        <v>65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72.90000000000001</v>
      </c>
      <c r="P116" s="32" t="n">
        <v>28.8</v>
      </c>
      <c r="Q116" s="32" t="n">
        <v>620.77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-3.56</v>
      </c>
      <c r="U116" s="32" t="n">
        <v>16.24</v>
      </c>
      <c r="V116" s="32" t="n">
        <v>20.53</v>
      </c>
      <c r="W116" s="32" t="n">
        <v>13.42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IF(B117=0,"",RANK(B117,$B$2:$B$362,0))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JAYBARMARU</t>
        </is>
      </c>
      <c r="D117" s="31" t="inlineStr">
        <is>
          <t>Jay Bharat Maruti Limited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smallcap</t>
        </is>
      </c>
      <c r="H117" s="32" t="n">
        <v>2156.12</v>
      </c>
      <c r="I117" s="32" t="n">
        <v>189.23</v>
      </c>
      <c r="J117" s="32" t="n">
        <v>-5</v>
      </c>
      <c r="K117" s="32" t="n">
        <v>1062389</v>
      </c>
      <c r="L117" s="31" t="n">
        <v>96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78.51000000000001</v>
      </c>
      <c r="P117" s="32" t="n">
        <v>38.85</v>
      </c>
      <c r="Q117" s="32" t="n">
        <v>141.64</v>
      </c>
      <c r="R117" s="31" t="inlineStr">
        <is>
          <t>Near 52W High Breakout</t>
        </is>
      </c>
      <c r="S117" s="31" t="inlineStr">
        <is>
          <t>Nifty Auto</t>
        </is>
      </c>
      <c r="T117" s="32" t="n">
        <v>11.51</v>
      </c>
      <c r="U117" s="32" t="n">
        <v>150.48</v>
      </c>
      <c r="V117" s="32" t="n">
        <v>124.62</v>
      </c>
      <c r="W117" s="32" t="n">
        <v>42.59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Between 50% to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IF(B118=0,"",RANK(B118,$B$2:$B$362,0))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ORCHPHARMA</t>
        </is>
      </c>
      <c r="D118" s="31" t="inlineStr">
        <is>
          <t>Orchid Pharma Ltd</t>
        </is>
      </c>
      <c r="E118" s="31" t="inlineStr">
        <is>
          <t>healthcare</t>
        </is>
      </c>
      <c r="F118" s="31" t="inlineStr">
        <is>
          <t>pharmaceuticals - indian - bulk drugs &amp; formln</t>
        </is>
      </c>
      <c r="G118" s="31" t="inlineStr">
        <is>
          <t>midcap</t>
        </is>
      </c>
      <c r="H118" s="32" t="n">
        <v>5340.47</v>
      </c>
      <c r="I118" s="32" t="n">
        <v>1101.4</v>
      </c>
      <c r="J118" s="32" t="n">
        <v>4.6</v>
      </c>
      <c r="K118" s="32" t="n">
        <v>320974</v>
      </c>
      <c r="L118" s="31" t="n">
        <v>91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78.47</v>
      </c>
      <c r="P118" s="32" t="n">
        <v>39.07</v>
      </c>
      <c r="Q118" s="32" t="n">
        <v>831.39</v>
      </c>
      <c r="R118" s="31" t="inlineStr">
        <is>
          <t>Near 52W High Breakout</t>
        </is>
      </c>
      <c r="S118" s="31" t="inlineStr">
        <is>
          <t>Nifty Pharma</t>
        </is>
      </c>
      <c r="T118" s="32" t="n">
        <v>15.1</v>
      </c>
      <c r="U118" s="32" t="n">
        <v>50.35</v>
      </c>
      <c r="V118" s="32" t="n">
        <v>30.63</v>
      </c>
      <c r="W118" s="32" t="n">
        <v>32.87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IF(B119=0,"",RANK(B119,$B$2:$B$362,0))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IPCALAB</t>
        </is>
      </c>
      <c r="D119" s="31" t="inlineStr">
        <is>
          <t>Ipca Laboratories Limited</t>
        </is>
      </c>
      <c r="E119" s="31" t="inlineStr">
        <is>
          <t>healthcare</t>
        </is>
      </c>
      <c r="F119" s="31" t="inlineStr">
        <is>
          <t>pharmaceuticals - indian - bulk drugs &amp; formln</t>
        </is>
      </c>
      <c r="G119" s="31" t="inlineStr">
        <is>
          <t>largecap</t>
        </is>
      </c>
      <c r="H119" s="32" t="n">
        <v>46691.72</v>
      </c>
      <c r="I119" s="32" t="n">
        <v>1878</v>
      </c>
      <c r="J119" s="32" t="n">
        <v>2.04</v>
      </c>
      <c r="K119" s="32" t="n">
        <v>291486</v>
      </c>
      <c r="L119" s="31" t="n">
        <v>58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70.61</v>
      </c>
      <c r="P119" s="32" t="n">
        <v>33.49</v>
      </c>
      <c r="Q119" s="32" t="n">
        <v>1550.81</v>
      </c>
      <c r="R119" s="31" t="inlineStr">
        <is>
          <t>Near 52W High Breakout</t>
        </is>
      </c>
      <c r="S119" s="31" t="inlineStr">
        <is>
          <t>Nifty Pharma</t>
        </is>
      </c>
      <c r="T119" s="32" t="n">
        <v>15.1</v>
      </c>
      <c r="U119" s="32" t="n">
        <v>27.85</v>
      </c>
      <c r="V119" s="32" t="n">
        <v>11.08</v>
      </c>
      <c r="W119" s="32" t="n">
        <v>11.6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Between 50% to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IF(B120=0,"",RANK(B120,$B$2:$B$362,0))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PICCADIL</t>
        </is>
      </c>
      <c r="D120" s="31" t="inlineStr">
        <is>
          <t>Piccadily Agro Industries Ltd</t>
        </is>
      </c>
      <c r="E120" s="31" t="inlineStr">
        <is>
          <t>fmcg</t>
        </is>
      </c>
      <c r="F120" s="31" t="inlineStr">
        <is>
          <t>breweries &amp; distilleries</t>
        </is>
      </c>
      <c r="G120" s="31" t="inlineStr">
        <is>
          <t>midcap</t>
        </is>
      </c>
      <c r="H120" s="32" t="n">
        <v>7063.14</v>
      </c>
      <c r="I120" s="32" t="n">
        <v>727.65</v>
      </c>
      <c r="J120" s="32" t="n">
        <v>1.55</v>
      </c>
      <c r="K120" s="32" t="n">
        <v>212269</v>
      </c>
      <c r="L120" s="31" t="n">
        <v>50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69.62</v>
      </c>
      <c r="P120" s="32" t="n">
        <v>38.05</v>
      </c>
      <c r="Q120" s="32" t="n">
        <v>576.55</v>
      </c>
      <c r="R120" s="31" t="inlineStr">
        <is>
          <t>Volume Spike &amp; Near 52W High Breakout</t>
        </is>
      </c>
      <c r="S120" s="31" t="inlineStr">
        <is>
          <t>Nifty FMCG</t>
        </is>
      </c>
      <c r="T120" s="32" t="n">
        <v>-14.55</v>
      </c>
      <c r="U120" s="32" t="n">
        <v>20.77</v>
      </c>
      <c r="V120" s="32" t="n">
        <v>41.33</v>
      </c>
      <c r="W120" s="32" t="n">
        <v>9.35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B2C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Between 50% to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IF(B121=0,"",RANK(B121,$B$2:$B$362,0))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SAREGAMA</t>
        </is>
      </c>
      <c r="D121" s="31" t="inlineStr">
        <is>
          <t>Saregama India Limited</t>
        </is>
      </c>
      <c r="E121" s="31" t="inlineStr">
        <is>
          <t>media</t>
        </is>
      </c>
      <c r="F121" s="31" t="inlineStr">
        <is>
          <t>entertainment / electronic media software</t>
        </is>
      </c>
      <c r="G121" s="31" t="inlineStr">
        <is>
          <t>midcap</t>
        </is>
      </c>
      <c r="H121" s="32" t="n">
        <v>9322.34</v>
      </c>
      <c r="I121" s="32" t="n">
        <v>490.6</v>
      </c>
      <c r="J121" s="32" t="n">
        <v>1.47</v>
      </c>
      <c r="K121" s="32" t="n">
        <v>693716</v>
      </c>
      <c r="L121" s="31" t="n">
        <v>52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69.27</v>
      </c>
      <c r="P121" s="32" t="n">
        <v>37.63</v>
      </c>
      <c r="Q121" s="32" t="n">
        <v>382.36</v>
      </c>
      <c r="R121" s="31" t="inlineStr">
        <is>
          <t>Near 52W High Breakout</t>
        </is>
      </c>
      <c r="S121" s="31" t="inlineStr">
        <is>
          <t>Nifty IT</t>
        </is>
      </c>
      <c r="T121" s="32" t="n">
        <v>-23.18</v>
      </c>
      <c r="U121" s="32" t="n">
        <v>-2.66</v>
      </c>
      <c r="V121" s="32" t="n">
        <v>26.71</v>
      </c>
      <c r="W121" s="32" t="n">
        <v>10.12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Between 1.5 to 2</t>
        </is>
      </c>
      <c r="BU121" s="31">
        <f>IF(BT121="Above 2",0,IF(BT121="Between 1.5 to 2",5,IF(BT121="Less than 1.5",10,0)))</f>
        <v/>
      </c>
      <c r="BV121" s="31" t="inlineStr">
        <is>
          <t>Less than 50%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IF(B122=0,"",RANK(B122,$B$2:$B$362,0))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SPARC</t>
        </is>
      </c>
      <c r="D122" s="31" t="inlineStr">
        <is>
          <t>Sun Pharma Advanced Research Company Limited</t>
        </is>
      </c>
      <c r="E122" s="31" t="inlineStr">
        <is>
          <t>healthcare</t>
        </is>
      </c>
      <c r="F122" s="31" t="inlineStr">
        <is>
          <t>miscellaneous</t>
        </is>
      </c>
      <c r="G122" s="31" t="inlineStr">
        <is>
          <t>midcap</t>
        </is>
      </c>
      <c r="H122" s="32" t="n">
        <v>8042.62</v>
      </c>
      <c r="I122" s="32" t="n">
        <v>251.04</v>
      </c>
      <c r="J122" s="32" t="n">
        <v>1.3</v>
      </c>
      <c r="K122" s="32" t="n">
        <v>1481285</v>
      </c>
      <c r="L122" s="31" t="n">
        <v>88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71.77</v>
      </c>
      <c r="P122" s="32" t="n">
        <v>64.08</v>
      </c>
      <c r="Q122" s="32" t="n">
        <v>189.39</v>
      </c>
      <c r="R122" s="31" t="inlineStr">
        <is>
          <t>Earnings / Momentum Support</t>
        </is>
      </c>
      <c r="S122" s="31" t="inlineStr">
        <is>
          <t>Nifty Pharma</t>
        </is>
      </c>
      <c r="T122" s="32" t="n">
        <v>15.1</v>
      </c>
      <c r="U122" s="32" t="n">
        <v>55.9</v>
      </c>
      <c r="V122" s="32" t="n">
        <v>35.45</v>
      </c>
      <c r="W122" s="32" t="n">
        <v>26.72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Negative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IF(B123=0,"",RANK(B123,$B$2:$B$362,0))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3" t="inlineStr">
        <is>
          <t>ALIVUS</t>
        </is>
      </c>
      <c r="D123" s="33" t="inlineStr">
        <is>
          <t>Alivus Life Sciences Ltd</t>
        </is>
      </c>
      <c r="E123" s="31" t="inlineStr">
        <is>
          <t>healthcare</t>
        </is>
      </c>
      <c r="F123" s="31" t="inlineStr">
        <is>
          <t>pharmaceuticals - indian - bulk drugs &amp; formln</t>
        </is>
      </c>
      <c r="G123" s="31" t="inlineStr">
        <is>
          <t>midcap</t>
        </is>
      </c>
      <c r="H123" s="32" t="n">
        <v>14252.14</v>
      </c>
      <c r="I123" s="32" t="n">
        <v>1172</v>
      </c>
      <c r="J123" s="32" t="n">
        <v>0.93</v>
      </c>
      <c r="K123" s="32" t="n">
        <v>46130</v>
      </c>
      <c r="L123" s="31" t="n">
        <v>27</v>
      </c>
      <c r="M123" s="31" t="inlineStr">
        <is>
          <t>Underperforming</t>
        </is>
      </c>
      <c r="N123" s="32">
        <f>IF(M123="Underperforming",-5,IF(L123&gt;=95,15,IF(L123&gt;=90,10,IF(L123&gt;=80,5,0))))</f>
        <v/>
      </c>
      <c r="O123" s="32" t="n">
        <v>70.48</v>
      </c>
      <c r="P123" s="32" t="n">
        <v>34.99</v>
      </c>
      <c r="Q123" s="32" t="n">
        <v>956.63</v>
      </c>
      <c r="R123" s="31" t="inlineStr">
        <is>
          <t>Near 52W High Breakout</t>
        </is>
      </c>
      <c r="S123" s="31" t="inlineStr">
        <is>
          <t>Nifty Pharma</t>
        </is>
      </c>
      <c r="T123" s="32" t="n">
        <v>15.1</v>
      </c>
      <c r="U123" s="32" t="n">
        <v>10.99</v>
      </c>
      <c r="V123" s="32" t="n">
        <v>-3.57</v>
      </c>
      <c r="W123" s="32" t="n">
        <v>4.59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Between 12 to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IF(B124=0,"",RANK(B124,$B$2:$B$362,0))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AKUMS</t>
        </is>
      </c>
      <c r="D124" s="31" t="inlineStr">
        <is>
          <t>Akums Drugs &amp; Pharmaceuticals Ltd</t>
        </is>
      </c>
      <c r="E124" s="31" t="inlineStr">
        <is>
          <t>healthcare</t>
        </is>
      </c>
      <c r="F124" s="31" t="inlineStr">
        <is>
          <t>pharmaceuticals - indian - bulk drugs &amp; formln</t>
        </is>
      </c>
      <c r="G124" s="31" t="inlineStr">
        <is>
          <t>midcap</t>
        </is>
      </c>
      <c r="H124" s="32" t="n">
        <v>10812.18</v>
      </c>
      <c r="I124" s="32" t="n">
        <v>692.1</v>
      </c>
      <c r="J124" s="32" t="n">
        <v>0.75</v>
      </c>
      <c r="K124" s="32" t="n">
        <v>291139</v>
      </c>
      <c r="L124" s="31" t="n">
        <v>58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74.62</v>
      </c>
      <c r="P124" s="32" t="n">
        <v>47.34</v>
      </c>
      <c r="Q124" s="32" t="n">
        <v>568.52</v>
      </c>
      <c r="R124" s="31" t="inlineStr">
        <is>
          <t>Near 52W High Breakout</t>
        </is>
      </c>
      <c r="S124" s="31" t="inlineStr">
        <is>
          <t>Nifty Pharma</t>
        </is>
      </c>
      <c r="T124" s="32" t="n">
        <v>15.1</v>
      </c>
      <c r="U124" s="32" t="n">
        <v>25.78</v>
      </c>
      <c r="V124" s="32" t="n">
        <v>9.279999999999999</v>
      </c>
      <c r="W124" s="32" t="n">
        <v>11.48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IF(B125=0,"",RANK(B125,$B$2:$B$362,0))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3" t="inlineStr">
        <is>
          <t>MANKIND</t>
        </is>
      </c>
      <c r="D125" s="33" t="inlineStr">
        <is>
          <t>Mankind Pharma Ltd</t>
        </is>
      </c>
      <c r="E125" s="31" t="inlineStr">
        <is>
          <t>healthcare</t>
        </is>
      </c>
      <c r="F125" s="31" t="inlineStr">
        <is>
          <t>pharmaceuticals - indian - bulk drugs &amp; formln</t>
        </is>
      </c>
      <c r="G125" s="31" t="inlineStr">
        <is>
          <t>largecap</t>
        </is>
      </c>
      <c r="H125" s="32" t="n">
        <v>104490.98</v>
      </c>
      <c r="I125" s="32" t="n">
        <v>2543.1</v>
      </c>
      <c r="J125" s="32" t="n">
        <v>0.47</v>
      </c>
      <c r="K125" s="32" t="n">
        <v>1273198</v>
      </c>
      <c r="L125" s="31" t="n">
        <v>21</v>
      </c>
      <c r="M125" s="31" t="inlineStr">
        <is>
          <t>Underperforming</t>
        </is>
      </c>
      <c r="N125" s="32">
        <f>IF(M125="Underperforming",-5,IF(L125&gt;=95,15,IF(L125&gt;=90,10,IF(L125&gt;=80,5,0))))</f>
        <v/>
      </c>
      <c r="O125" s="32" t="n">
        <v>64.06999999999999</v>
      </c>
      <c r="P125" s="32" t="n">
        <v>26.02</v>
      </c>
      <c r="Q125" s="32" t="n">
        <v>2129.73</v>
      </c>
      <c r="R125" s="31" t="inlineStr">
        <is>
          <t>Near 52W High Breakout</t>
        </is>
      </c>
      <c r="S125" s="31" t="inlineStr">
        <is>
          <t>Nifty Pharma</t>
        </is>
      </c>
      <c r="T125" s="32" t="n">
        <v>15.1</v>
      </c>
      <c r="U125" s="32" t="n">
        <v>-4.08</v>
      </c>
      <c r="V125" s="32" t="n">
        <v>-16.66</v>
      </c>
      <c r="W125" s="32" t="n">
        <v>3.66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Between 1.5 to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IF(B126=0,"",RANK(B126,$B$2:$B$362,0))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HNDFDS</t>
        </is>
      </c>
      <c r="D126" s="31" t="inlineStr">
        <is>
          <t>Hindustan Foods Ltd</t>
        </is>
      </c>
      <c r="E126" s="31" t="inlineStr">
        <is>
          <t>fmcg</t>
        </is>
      </c>
      <c r="F126" s="31" t="inlineStr">
        <is>
          <t>diversified - large</t>
        </is>
      </c>
      <c r="G126" s="31" t="inlineStr">
        <is>
          <t>midcap</t>
        </is>
      </c>
      <c r="H126" s="32" t="n">
        <v>6664.69</v>
      </c>
      <c r="I126" s="32" t="n">
        <v>559</v>
      </c>
      <c r="J126" s="32" t="n">
        <v>0.22</v>
      </c>
      <c r="K126" s="32" t="n">
        <v>65046</v>
      </c>
      <c r="L126" s="31" t="n">
        <v>14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59.92</v>
      </c>
      <c r="P126" s="32" t="n">
        <v>30.07</v>
      </c>
      <c r="Q126" s="32" t="n">
        <v>469.86</v>
      </c>
      <c r="R126" s="31" t="inlineStr">
        <is>
          <t>Near 52W High Breakout</t>
        </is>
      </c>
      <c r="S126" s="31" t="inlineStr">
        <is>
          <t>Nifty FMCG</t>
        </is>
      </c>
      <c r="T126" s="32" t="n">
        <v>-14.55</v>
      </c>
      <c r="U126" s="32" t="n">
        <v>-1.3</v>
      </c>
      <c r="V126" s="32" t="n">
        <v>15.5</v>
      </c>
      <c r="W126" s="32" t="n">
        <v>2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B2C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Less than 50%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Between 0.7 to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IF(B127=0,"",RANK(B127,$B$2:$B$362,0))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SAILIFE</t>
        </is>
      </c>
      <c r="D127" s="31" t="inlineStr">
        <is>
          <t>Sai Life Sciences Ltd</t>
        </is>
      </c>
      <c r="E127" s="31" t="inlineStr">
        <is>
          <t>healthcare</t>
        </is>
      </c>
      <c r="F127" s="31" t="inlineStr">
        <is>
          <t>pharmaceuticals - indian - bulk drugs &amp; formln</t>
        </is>
      </c>
      <c r="G127" s="31" t="inlineStr">
        <is>
          <t>largecap</t>
        </is>
      </c>
      <c r="H127" s="32" t="n">
        <v>26870.55</v>
      </c>
      <c r="I127" s="32" t="n">
        <v>1263.2</v>
      </c>
      <c r="J127" s="32" t="n">
        <v>-0.44</v>
      </c>
      <c r="K127" s="32" t="n">
        <v>161992</v>
      </c>
      <c r="L127" s="31" t="n">
        <v>72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74.48</v>
      </c>
      <c r="P127" s="32" t="n">
        <v>30.1</v>
      </c>
      <c r="Q127" s="32" t="n">
        <v>1037.56</v>
      </c>
      <c r="R127" s="31" t="inlineStr">
        <is>
          <t>Near 52W High Breakout</t>
        </is>
      </c>
      <c r="S127" s="31" t="inlineStr">
        <is>
          <t>Nifty Pharma</t>
        </is>
      </c>
      <c r="T127" s="32" t="n">
        <v>15.1</v>
      </c>
      <c r="U127" s="32" t="n">
        <v>54.96</v>
      </c>
      <c r="V127" s="32" t="n">
        <v>34.63</v>
      </c>
      <c r="W127" s="32" t="n">
        <v>15.7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IF(B128=0,"",RANK(B128,$B$2:$B$362,0))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NOVARTIND</t>
        </is>
      </c>
      <c r="D128" s="31" t="inlineStr">
        <is>
          <t>Novartis India Ltd</t>
        </is>
      </c>
      <c r="E128" s="31" t="inlineStr">
        <is>
          <t>healthcare</t>
        </is>
      </c>
      <c r="F128" s="31" t="inlineStr">
        <is>
          <t>pharmaceuticals - multinational</t>
        </is>
      </c>
      <c r="G128" s="31" t="inlineStr">
        <is>
          <t>smallcap</t>
        </is>
      </c>
      <c r="H128" s="32" t="n">
        <v>3993.98</v>
      </c>
      <c r="I128" s="32" t="n">
        <v>1565</v>
      </c>
      <c r="J128" s="32" t="n">
        <v>-3.25</v>
      </c>
      <c r="K128" s="32" t="n">
        <v>52799</v>
      </c>
      <c r="L128" s="31" t="n">
        <v>84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71.91</v>
      </c>
      <c r="P128" s="32" t="n">
        <v>68.53</v>
      </c>
      <c r="Q128" s="32" t="n">
        <v>1177.84</v>
      </c>
      <c r="R128" s="31" t="inlineStr">
        <is>
          <t>Volume Spike &amp; Near 52W High Breakout</t>
        </is>
      </c>
      <c r="S128" s="31" t="inlineStr">
        <is>
          <t>Nifty Pharma</t>
        </is>
      </c>
      <c r="T128" s="32" t="n">
        <v>15.1</v>
      </c>
      <c r="U128" s="32" t="n">
        <v>48.69</v>
      </c>
      <c r="V128" s="32" t="n">
        <v>29.19</v>
      </c>
      <c r="W128" s="32" t="n">
        <v>22.22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IF(B129=0,"",RANK(B129,$B$2:$B$362,0))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ITDC</t>
        </is>
      </c>
      <c r="D129" s="31" t="inlineStr">
        <is>
          <t>India Tourism Development Corporation Ltd</t>
        </is>
      </c>
      <c r="E129" s="31" t="inlineStr">
        <is>
          <t>services</t>
        </is>
      </c>
      <c r="F129" s="31" t="inlineStr">
        <is>
          <t>hotels</t>
        </is>
      </c>
      <c r="G129" s="31" t="inlineStr">
        <is>
          <t>midcap</t>
        </is>
      </c>
      <c r="H129" s="32" t="n">
        <v>5861.91</v>
      </c>
      <c r="I129" s="32" t="n">
        <v>793.9</v>
      </c>
      <c r="J129" s="32" t="n">
        <v>16.16</v>
      </c>
      <c r="K129" s="32" t="n">
        <v>16519795</v>
      </c>
      <c r="L129" s="31" t="n">
        <v>61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67.87</v>
      </c>
      <c r="P129" s="32" t="n">
        <v>34.03</v>
      </c>
      <c r="Q129" s="32" t="n">
        <v>560.03</v>
      </c>
      <c r="R129" s="31" t="inlineStr">
        <is>
          <t>Volume Spike &amp; Near 52W High Breakout</t>
        </is>
      </c>
      <c r="S129" s="31" t="inlineStr">
        <is>
          <t>Nifty 50</t>
        </is>
      </c>
      <c r="T129" s="32" t="n">
        <v>-3.56</v>
      </c>
      <c r="U129" s="32" t="n">
        <v>31.82</v>
      </c>
      <c r="V129" s="32" t="n">
        <v>36.69</v>
      </c>
      <c r="W129" s="32" t="n">
        <v>12.14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IF(B130=0,"",RANK(B130,$B$2:$B$362,0))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GABRIEL</t>
        </is>
      </c>
      <c r="D130" s="31" t="inlineStr">
        <is>
          <t>Gabriel India Limited</t>
        </is>
      </c>
      <c r="E130" s="31" t="inlineStr">
        <is>
          <t>auto</t>
        </is>
      </c>
      <c r="F130" s="31" t="inlineStr">
        <is>
          <t>auto ancillaries</t>
        </is>
      </c>
      <c r="G130" s="31" t="inlineStr">
        <is>
          <t>largecap</t>
        </is>
      </c>
      <c r="H130" s="32" t="n">
        <v>22128.94</v>
      </c>
      <c r="I130" s="32" t="n">
        <v>1354.5</v>
      </c>
      <c r="J130" s="32" t="n">
        <v>8.48</v>
      </c>
      <c r="K130" s="32" t="n">
        <v>2277605</v>
      </c>
      <c r="L130" s="31" t="n">
        <v>69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69.18000000000001</v>
      </c>
      <c r="P130" s="32" t="n">
        <v>25.52</v>
      </c>
      <c r="Q130" s="32" t="n">
        <v>1062.84</v>
      </c>
      <c r="R130" s="31" t="inlineStr">
        <is>
          <t>Near 52W High Breakout</t>
        </is>
      </c>
      <c r="S130" s="31" t="inlineStr">
        <is>
          <t>Nifty Auto</t>
        </is>
      </c>
      <c r="T130" s="32" t="n">
        <v>11.51</v>
      </c>
      <c r="U130" s="32" t="n">
        <v>33.96</v>
      </c>
      <c r="V130" s="32" t="n">
        <v>20.13</v>
      </c>
      <c r="W130" s="32" t="n">
        <v>14.78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IF(B131=0,"",RANK(B131,$B$2:$B$362,0))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HFCL</t>
        </is>
      </c>
      <c r="D131" s="31" t="inlineStr">
        <is>
          <t>HFCL Ltd</t>
        </is>
      </c>
      <c r="E131" s="31" t="inlineStr">
        <is>
          <t>telecom</t>
        </is>
      </c>
      <c r="F131" s="31" t="inlineStr">
        <is>
          <t>cables - telephone</t>
        </is>
      </c>
      <c r="G131" s="31" t="inlineStr">
        <is>
          <t>largecap</t>
        </is>
      </c>
      <c r="H131" s="32" t="n">
        <v>32568.16</v>
      </c>
      <c r="I131" s="32" t="n">
        <v>223.08</v>
      </c>
      <c r="J131" s="32" t="n">
        <v>4.84</v>
      </c>
      <c r="K131" s="32" t="n">
        <v>32151875</v>
      </c>
      <c r="L131" s="31" t="n">
        <v>98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86.08</v>
      </c>
      <c r="P131" s="32" t="n">
        <v>69.3</v>
      </c>
      <c r="Q131" s="32" t="n">
        <v>169.52</v>
      </c>
      <c r="R131" s="31" t="inlineStr">
        <is>
          <t>Near 52W High Breakout</t>
        </is>
      </c>
      <c r="S131" s="31" t="inlineStr">
        <is>
          <t>Nifty Infra</t>
        </is>
      </c>
      <c r="T131" s="32" t="n">
        <v>1.31</v>
      </c>
      <c r="U131" s="32" t="n">
        <v>173.91</v>
      </c>
      <c r="V131" s="32" t="n">
        <v>170.36</v>
      </c>
      <c r="W131" s="32" t="n">
        <v>58.08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Oligopoly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Negative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IF(B132=0,"",RANK(B132,$B$2:$B$362,0))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SETL</t>
        </is>
      </c>
      <c r="D132" s="31" t="inlineStr">
        <is>
          <t>Standard Enginnering Technology Ltd</t>
        </is>
      </c>
      <c r="E132" s="31" t="inlineStr">
        <is>
          <t>industrials</t>
        </is>
      </c>
      <c r="F132" s="31" t="inlineStr">
        <is>
          <t>engineering</t>
        </is>
      </c>
      <c r="G132" s="31" t="inlineStr">
        <is>
          <t>midcap</t>
        </is>
      </c>
      <c r="H132" s="32" t="n">
        <v>5463.08</v>
      </c>
      <c r="I132" s="32" t="n">
        <v>285.5</v>
      </c>
      <c r="J132" s="32" t="n">
        <v>4.25</v>
      </c>
      <c r="K132" s="32" t="n">
        <v>1174671</v>
      </c>
      <c r="L132" s="31" t="n">
        <v>95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84.06</v>
      </c>
      <c r="P132" s="32" t="n">
        <v>29.49</v>
      </c>
      <c r="Q132" s="32" t="n">
        <v>217.02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-3.56</v>
      </c>
      <c r="U132" s="32" t="n">
        <v>55.15</v>
      </c>
      <c r="V132" s="32" t="n">
        <v>60.88</v>
      </c>
      <c r="W132" s="32" t="n">
        <v>38.7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Less than 50%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IF(B133=0,"",RANK(B133,$B$2:$B$362,0))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AARTIIND</t>
        </is>
      </c>
      <c r="D133" s="31" t="inlineStr">
        <is>
          <t>Aarti Industries Limited</t>
        </is>
      </c>
      <c r="E133" s="31" t="inlineStr">
        <is>
          <t>chemicals</t>
        </is>
      </c>
      <c r="F133" s="31" t="inlineStr">
        <is>
          <t>chemicals</t>
        </is>
      </c>
      <c r="G133" s="31" t="inlineStr">
        <is>
          <t>midcap</t>
        </is>
      </c>
      <c r="H133" s="32" t="n">
        <v>17515.12</v>
      </c>
      <c r="I133" s="32" t="n">
        <v>500.7</v>
      </c>
      <c r="J133" s="32" t="n">
        <v>3.65</v>
      </c>
      <c r="K133" s="32" t="n">
        <v>4186386</v>
      </c>
      <c r="L133" s="31" t="n">
        <v>35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61.57</v>
      </c>
      <c r="P133" s="32" t="n">
        <v>24.82</v>
      </c>
      <c r="Q133" s="32" t="n">
        <v>400.32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-3.56</v>
      </c>
      <c r="U133" s="32" t="n">
        <v>12.4</v>
      </c>
      <c r="V133" s="32" t="n">
        <v>16.55</v>
      </c>
      <c r="W133" s="32" t="n">
        <v>6.04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Between 50% to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Between 0.7 to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IF(B134=0,"",RANK(B134,$B$2:$B$362,0))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RSWM</t>
        </is>
      </c>
      <c r="D134" s="31" t="inlineStr">
        <is>
          <t>Rswm Limited</t>
        </is>
      </c>
      <c r="E134" s="31" t="inlineStr">
        <is>
          <t>textiles</t>
        </is>
      </c>
      <c r="F134" s="31" t="inlineStr">
        <is>
          <t>textiles - cotton/blended</t>
        </is>
      </c>
      <c r="G134" s="31" t="inlineStr">
        <is>
          <t>smallcap</t>
        </is>
      </c>
      <c r="H134" s="32" t="n">
        <v>973.5</v>
      </c>
      <c r="I134" s="32" t="n">
        <v>213.28</v>
      </c>
      <c r="J134" s="32" t="n">
        <v>3.19</v>
      </c>
      <c r="K134" s="32" t="n">
        <v>73662</v>
      </c>
      <c r="L134" s="31" t="n">
        <v>62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67.59999999999999</v>
      </c>
      <c r="P134" s="32" t="n">
        <v>32.08</v>
      </c>
      <c r="Q134" s="32" t="n">
        <v>156.21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-3.56</v>
      </c>
      <c r="U134" s="32" t="n">
        <v>25.91</v>
      </c>
      <c r="V134" s="32" t="n">
        <v>30.56</v>
      </c>
      <c r="W134" s="32" t="n">
        <v>12.31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More than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IF(B135=0,"",RANK(B135,$B$2:$B$362,0))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AETHER</t>
        </is>
      </c>
      <c r="D135" s="31" t="inlineStr">
        <is>
          <t>Aether Industries Ltd</t>
        </is>
      </c>
      <c r="E135" s="31" t="inlineStr">
        <is>
          <t>chemicals</t>
        </is>
      </c>
      <c r="F135" s="31" t="inlineStr">
        <is>
          <t>chemicals</t>
        </is>
      </c>
      <c r="G135" s="31" t="inlineStr">
        <is>
          <t>midcap</t>
        </is>
      </c>
      <c r="H135" s="32" t="n">
        <v>19104.57</v>
      </c>
      <c r="I135" s="32" t="n">
        <v>1477.2</v>
      </c>
      <c r="J135" s="32" t="n">
        <v>2.59</v>
      </c>
      <c r="K135" s="32" t="n">
        <v>174952</v>
      </c>
      <c r="L135" s="31" t="n">
        <v>78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73.59999999999999</v>
      </c>
      <c r="P135" s="32" t="n">
        <v>45.95</v>
      </c>
      <c r="Q135" s="32" t="n">
        <v>1181.92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-3.56</v>
      </c>
      <c r="U135" s="32" t="n">
        <v>79.58</v>
      </c>
      <c r="V135" s="32" t="n">
        <v>86.20999999999999</v>
      </c>
      <c r="W135" s="32" t="n">
        <v>18.59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IF(B136=0,"",RANK(B136,$B$2:$B$362,0))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KIRLOSENG</t>
        </is>
      </c>
      <c r="D136" s="31" t="inlineStr">
        <is>
          <t>Kirloskar Oil Engines Limited</t>
        </is>
      </c>
      <c r="E136" s="31" t="inlineStr">
        <is>
          <t>industrials</t>
        </is>
      </c>
      <c r="F136" s="31" t="inlineStr">
        <is>
          <t>engines</t>
        </is>
      </c>
      <c r="G136" s="31" t="inlineStr">
        <is>
          <t>largecap</t>
        </is>
      </c>
      <c r="H136" s="32" t="n">
        <v>34338.21</v>
      </c>
      <c r="I136" s="32" t="n">
        <v>2414.2</v>
      </c>
      <c r="J136" s="32" t="n">
        <v>2.2</v>
      </c>
      <c r="K136" s="32" t="n">
        <v>247981</v>
      </c>
      <c r="L136" s="31" t="n">
        <v>91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71.55</v>
      </c>
      <c r="P136" s="32" t="n">
        <v>50.57</v>
      </c>
      <c r="Q136" s="32" t="n">
        <v>1889.09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-3.56</v>
      </c>
      <c r="U136" s="32" t="n">
        <v>164.64</v>
      </c>
      <c r="V136" s="32" t="n">
        <v>174.42</v>
      </c>
      <c r="W136" s="32" t="n">
        <v>33.15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Between 50% to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More than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IF(B137=0,"",RANK(B137,$B$2:$B$362,0))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SKYGOLD</t>
        </is>
      </c>
      <c r="D137" s="31" t="inlineStr">
        <is>
          <t>Sky Gold Ltd</t>
        </is>
      </c>
      <c r="E137" s="31" t="inlineStr">
        <is>
          <t>consumer discretionary</t>
        </is>
      </c>
      <c r="F137" s="31" t="inlineStr">
        <is>
          <t>diamond cutting / jewellery</t>
        </is>
      </c>
      <c r="G137" s="31" t="inlineStr">
        <is>
          <t>midcap</t>
        </is>
      </c>
      <c r="H137" s="32" t="n">
        <v>9571.209999999999</v>
      </c>
      <c r="I137" s="32" t="n">
        <v>629.8</v>
      </c>
      <c r="J137" s="32" t="n">
        <v>1.91</v>
      </c>
      <c r="K137" s="32" t="n">
        <v>655199</v>
      </c>
      <c r="L137" s="31" t="n">
        <v>87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73.19</v>
      </c>
      <c r="P137" s="32" t="n">
        <v>53.34</v>
      </c>
      <c r="Q137" s="32" t="n">
        <v>466.23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-3.56</v>
      </c>
      <c r="U137" s="32" t="n">
        <v>92.66</v>
      </c>
      <c r="V137" s="32" t="n">
        <v>99.78</v>
      </c>
      <c r="W137" s="32" t="n">
        <v>25.44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Negative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IF(B138=0,"",RANK(B138,$B$2:$B$362,0))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ASTRAMICRO</t>
        </is>
      </c>
      <c r="D138" s="31" t="inlineStr">
        <is>
          <t>Astra Microwave Products Limited</t>
        </is>
      </c>
      <c r="E138" s="31" t="inlineStr">
        <is>
          <t>aerospace &amp; defence</t>
        </is>
      </c>
      <c r="F138" s="31" t="inlineStr">
        <is>
          <t>telecommunications - equipment</t>
        </is>
      </c>
      <c r="G138" s="31" t="inlineStr">
        <is>
          <t>midcap</t>
        </is>
      </c>
      <c r="H138" s="32" t="n">
        <v>16330.54</v>
      </c>
      <c r="I138" s="32" t="n">
        <v>1750.9</v>
      </c>
      <c r="J138" s="32" t="n">
        <v>1.8</v>
      </c>
      <c r="K138" s="32" t="n">
        <v>409532</v>
      </c>
      <c r="L138" s="31" t="n">
        <v>88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76.66</v>
      </c>
      <c r="P138" s="32" t="n">
        <v>50.99</v>
      </c>
      <c r="Q138" s="32" t="n">
        <v>1482.26</v>
      </c>
      <c r="R138" s="31" t="inlineStr">
        <is>
          <t>Earnings / Momentum Support</t>
        </is>
      </c>
      <c r="S138" s="31" t="inlineStr">
        <is>
          <t>Nifty 50</t>
        </is>
      </c>
      <c r="T138" s="32" t="n">
        <v>-3.56</v>
      </c>
      <c r="U138" s="32" t="n">
        <v>81.06999999999999</v>
      </c>
      <c r="V138" s="32" t="n">
        <v>87.76000000000001</v>
      </c>
      <c r="W138" s="32" t="n">
        <v>27.08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Oligopoly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Between 1.5 to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IF(B139=0,"",RANK(B139,$B$2:$B$362,0))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NYKAA</t>
        </is>
      </c>
      <c r="D139" s="31" t="inlineStr">
        <is>
          <t>FSN E-Commerce Ventures Ltd</t>
        </is>
      </c>
      <c r="E139" s="31" t="inlineStr">
        <is>
          <t>i.t</t>
        </is>
      </c>
      <c r="F139" s="31" t="inlineStr">
        <is>
          <t>trading</t>
        </is>
      </c>
      <c r="G139" s="31" t="inlineStr">
        <is>
          <t>largecap</t>
        </is>
      </c>
      <c r="H139" s="32" t="n">
        <v>92897.41</v>
      </c>
      <c r="I139" s="32" t="n">
        <v>329.1</v>
      </c>
      <c r="J139" s="32" t="n">
        <v>1.43</v>
      </c>
      <c r="K139" s="32" t="n">
        <v>5131827</v>
      </c>
      <c r="L139" s="31" t="n">
        <v>67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73.41</v>
      </c>
      <c r="P139" s="32" t="n">
        <v>33.42</v>
      </c>
      <c r="Q139" s="32" t="n">
        <v>279.62</v>
      </c>
      <c r="R139" s="31" t="inlineStr">
        <is>
          <t>Near 52W High Breakout</t>
        </is>
      </c>
      <c r="S139" s="31" t="inlineStr">
        <is>
          <t>Nifty IT</t>
        </is>
      </c>
      <c r="T139" s="32" t="n">
        <v>-23.18</v>
      </c>
      <c r="U139" s="32" t="n">
        <v>54.61</v>
      </c>
      <c r="V139" s="32" t="n">
        <v>101.26</v>
      </c>
      <c r="W139" s="32" t="n">
        <v>14.05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IF(B140=0,"",RANK(B140,$B$2:$B$362,0))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MUNJALAU</t>
        </is>
      </c>
      <c r="D140" s="31" t="inlineStr">
        <is>
          <t>Munjal Auto Industries Limited</t>
        </is>
      </c>
      <c r="E140" s="31" t="inlineStr">
        <is>
          <t>auto</t>
        </is>
      </c>
      <c r="F140" s="31" t="inlineStr">
        <is>
          <t>auto ancillaries</t>
        </is>
      </c>
      <c r="G140" s="31" t="inlineStr">
        <is>
          <t>smallcap</t>
        </is>
      </c>
      <c r="H140" s="32" t="n">
        <v>1041.3</v>
      </c>
      <c r="I140" s="32" t="n">
        <v>105.6</v>
      </c>
      <c r="J140" s="32" t="n">
        <v>1.41</v>
      </c>
      <c r="K140" s="32" t="n">
        <v>950022</v>
      </c>
      <c r="L140" s="31" t="n">
        <v>66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71.01000000000001</v>
      </c>
      <c r="P140" s="32" t="n">
        <v>35.92</v>
      </c>
      <c r="Q140" s="32" t="n">
        <v>78.59999999999999</v>
      </c>
      <c r="R140" s="31" t="inlineStr">
        <is>
          <t>Near 52W High Breakout</t>
        </is>
      </c>
      <c r="S140" s="31" t="inlineStr">
        <is>
          <t>Nifty Auto</t>
        </is>
      </c>
      <c r="T140" s="32" t="n">
        <v>11.51</v>
      </c>
      <c r="U140" s="32" t="n">
        <v>36.65</v>
      </c>
      <c r="V140" s="32" t="n">
        <v>22.55</v>
      </c>
      <c r="W140" s="32" t="n">
        <v>13.9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Less than 50%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IF(B141=0,"",RANK(B141,$B$2:$B$362,0))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KABRAEXTRU</t>
        </is>
      </c>
      <c r="D141" s="31" t="inlineStr">
        <is>
          <t>Kabra Extrusion Technik Limited</t>
        </is>
      </c>
      <c r="E141" s="31" t="inlineStr">
        <is>
          <t>industrials</t>
        </is>
      </c>
      <c r="F141" s="31" t="inlineStr">
        <is>
          <t>engineering</t>
        </is>
      </c>
      <c r="G141" s="31" t="inlineStr">
        <is>
          <t>smallcap</t>
        </is>
      </c>
      <c r="H141" s="32" t="n">
        <v>1111.26</v>
      </c>
      <c r="I141" s="32" t="n">
        <v>322</v>
      </c>
      <c r="J141" s="32" t="n">
        <v>1.34</v>
      </c>
      <c r="K141" s="32" t="n">
        <v>135484</v>
      </c>
      <c r="L141" s="31" t="n">
        <v>52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70.91</v>
      </c>
      <c r="P141" s="32" t="n">
        <v>16.65</v>
      </c>
      <c r="Q141" s="32" t="n">
        <v>239.07</v>
      </c>
      <c r="R141" s="31" t="inlineStr">
        <is>
          <t>Volume Spike &amp; Near 52W High Breakout</t>
        </is>
      </c>
      <c r="S141" s="31" t="inlineStr">
        <is>
          <t>Nifty Infra</t>
        </is>
      </c>
      <c r="T141" s="32" t="n">
        <v>1.31</v>
      </c>
      <c r="U141" s="32" t="n">
        <v>4.62</v>
      </c>
      <c r="V141" s="32" t="n">
        <v>3.26</v>
      </c>
      <c r="W141" s="32" t="n">
        <v>10.02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IF(B142=0,"",RANK(B142,$B$2:$B$362,0))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WELENT</t>
        </is>
      </c>
      <c r="D142" s="31" t="inlineStr">
        <is>
          <t>Welspun Enterprises Limited</t>
        </is>
      </c>
      <c r="E142" s="31" t="inlineStr">
        <is>
          <t>realty</t>
        </is>
      </c>
      <c r="F142" s="31" t="inlineStr">
        <is>
          <t>construction</t>
        </is>
      </c>
      <c r="G142" s="31" t="inlineStr">
        <is>
          <t>midcap</t>
        </is>
      </c>
      <c r="H142" s="32" t="n">
        <v>8563.66</v>
      </c>
      <c r="I142" s="32" t="n">
        <v>625.85</v>
      </c>
      <c r="J142" s="32" t="n">
        <v>1.16</v>
      </c>
      <c r="K142" s="32" t="n">
        <v>219569</v>
      </c>
      <c r="L142" s="31" t="n">
        <v>56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74.18000000000001</v>
      </c>
      <c r="P142" s="32" t="n">
        <v>17.94</v>
      </c>
      <c r="Q142" s="32" t="n">
        <v>506.8</v>
      </c>
      <c r="R142" s="31" t="inlineStr">
        <is>
          <t>Near 52W High Breakout</t>
        </is>
      </c>
      <c r="S142" s="31" t="inlineStr">
        <is>
          <t>Nifty Realty</t>
        </is>
      </c>
      <c r="T142" s="32" t="n">
        <v>-8.48</v>
      </c>
      <c r="U142" s="32" t="n">
        <v>20.81</v>
      </c>
      <c r="V142" s="32" t="n">
        <v>32</v>
      </c>
      <c r="W142" s="32" t="n">
        <v>10.93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Less than 50%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IF(B143=0,"",RANK(B143,$B$2:$B$362,0))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CENTUM</t>
        </is>
      </c>
      <c r="D143" s="31" t="inlineStr">
        <is>
          <t>Centum Electronics Limited</t>
        </is>
      </c>
      <c r="E143" s="31" t="inlineStr">
        <is>
          <t>consumer discretionary</t>
        </is>
      </c>
      <c r="F143" s="31" t="inlineStr">
        <is>
          <t>electronics - components</t>
        </is>
      </c>
      <c r="G143" s="31" t="inlineStr">
        <is>
          <t>midcap</t>
        </is>
      </c>
      <c r="H143" s="32" t="n">
        <v>5340.07</v>
      </c>
      <c r="I143" s="32" t="n">
        <v>3652.5</v>
      </c>
      <c r="J143" s="32" t="n">
        <v>0.83</v>
      </c>
      <c r="K143" s="32" t="n">
        <v>31869</v>
      </c>
      <c r="L143" s="31" t="n">
        <v>68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68.98</v>
      </c>
      <c r="P143" s="32" t="n">
        <v>61.25</v>
      </c>
      <c r="Q143" s="32" t="n">
        <v>2696.67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-3.56</v>
      </c>
      <c r="U143" s="32" t="n">
        <v>57.46</v>
      </c>
      <c r="V143" s="32" t="n">
        <v>63.28</v>
      </c>
      <c r="W143" s="32" t="n">
        <v>14.18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IF(B144=0,"",RANK(B144,$B$2:$B$362,0))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AEGISVOPAK</t>
        </is>
      </c>
      <c r="D144" s="31" t="inlineStr">
        <is>
          <t>Aegis Vopak Terminals Ltd</t>
        </is>
      </c>
      <c r="E144" s="31" t="inlineStr">
        <is>
          <t>transportation</t>
        </is>
      </c>
      <c r="F144" s="31" t="inlineStr">
        <is>
          <t>miscellaneous</t>
        </is>
      </c>
      <c r="G144" s="31" t="inlineStr">
        <is>
          <t>largecap</t>
        </is>
      </c>
      <c r="H144" s="32" t="n">
        <v>31094.67</v>
      </c>
      <c r="I144" s="32" t="n">
        <v>281.95</v>
      </c>
      <c r="J144" s="32" t="n">
        <v>0.47</v>
      </c>
      <c r="K144" s="32" t="n">
        <v>1967832</v>
      </c>
      <c r="L144" s="31" t="n">
        <v>50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64.76000000000001</v>
      </c>
      <c r="P144" s="32" t="n">
        <v>21.84</v>
      </c>
      <c r="Q144" s="32" t="n">
        <v>203.75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-3.56</v>
      </c>
      <c r="U144" s="32" t="n">
        <v>-3.06</v>
      </c>
      <c r="V144" s="32" t="n">
        <v>0.53</v>
      </c>
      <c r="W144" s="32" t="n">
        <v>9.449999999999999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IF(B145=0,"",RANK(B145,$B$2:$B$362,0))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RAMCOIND</t>
        </is>
      </c>
      <c r="D145" s="31" t="inlineStr">
        <is>
          <t>Ramco Industries Limited</t>
        </is>
      </c>
      <c r="E145" s="31" t="inlineStr">
        <is>
          <t>building materials</t>
        </is>
      </c>
      <c r="F145" s="31" t="inlineStr">
        <is>
          <t>cement products</t>
        </is>
      </c>
      <c r="G145" s="31" t="inlineStr">
        <is>
          <t>smallcap</t>
        </is>
      </c>
      <c r="H145" s="32" t="n">
        <v>3173.62</v>
      </c>
      <c r="I145" s="32" t="n">
        <v>366.85</v>
      </c>
      <c r="J145" s="32" t="n">
        <v>0.38</v>
      </c>
      <c r="K145" s="32" t="n">
        <v>173909</v>
      </c>
      <c r="L145" s="31" t="n">
        <v>61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67.40000000000001</v>
      </c>
      <c r="P145" s="32" t="n">
        <v>25.61</v>
      </c>
      <c r="Q145" s="32" t="n">
        <v>281.73</v>
      </c>
      <c r="R145" s="31" t="inlineStr">
        <is>
          <t>Earnings / Momentum Support</t>
        </is>
      </c>
      <c r="S145" s="31" t="inlineStr">
        <is>
          <t>Nifty Infra</t>
        </is>
      </c>
      <c r="T145" s="32" t="n">
        <v>1.31</v>
      </c>
      <c r="U145" s="32" t="n">
        <v>26.97</v>
      </c>
      <c r="V145" s="32" t="n">
        <v>25.33</v>
      </c>
      <c r="W145" s="32" t="n">
        <v>12.16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IF(B146=0,"",RANK(B146,$B$2:$B$362,0))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RPEL</t>
        </is>
      </c>
      <c r="D146" s="31" t="inlineStr">
        <is>
          <t>Raghav Productivity Enhancers Ltd</t>
        </is>
      </c>
      <c r="E146" s="31" t="inlineStr">
        <is>
          <t>building materials</t>
        </is>
      </c>
      <c r="F146" s="31" t="inlineStr">
        <is>
          <t>refractories / intermediates</t>
        </is>
      </c>
      <c r="G146" s="31" t="inlineStr">
        <is>
          <t>midcap</t>
        </is>
      </c>
      <c r="H146" s="32" t="n">
        <v>5801.32</v>
      </c>
      <c r="I146" s="32" t="n">
        <v>1265</v>
      </c>
      <c r="J146" s="32" t="n">
        <v>0.13</v>
      </c>
      <c r="K146" s="32" t="n">
        <v>40472</v>
      </c>
      <c r="L146" s="31" t="n">
        <v>90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75.17</v>
      </c>
      <c r="P146" s="32" t="n">
        <v>39.7</v>
      </c>
      <c r="Q146" s="32" t="n">
        <v>1012.75</v>
      </c>
      <c r="R146" s="31" t="inlineStr">
        <is>
          <t>Near 52W High Breakout</t>
        </is>
      </c>
      <c r="S146" s="31" t="inlineStr">
        <is>
          <t>Nifty Infra</t>
        </is>
      </c>
      <c r="T146" s="32" t="n">
        <v>1.31</v>
      </c>
      <c r="U146" s="32" t="n">
        <v>82.8</v>
      </c>
      <c r="V146" s="32" t="n">
        <v>80.43000000000001</v>
      </c>
      <c r="W146" s="32" t="n">
        <v>32.29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Less than 50%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IF(B147=0,"",RANK(B147,$B$2:$B$362,0))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JAYAGROGN</t>
        </is>
      </c>
      <c r="D147" s="31" t="inlineStr">
        <is>
          <t>Jayant Agro Organics Limited</t>
        </is>
      </c>
      <c r="E147" s="31" t="inlineStr">
        <is>
          <t>chemicals</t>
        </is>
      </c>
      <c r="F147" s="31" t="inlineStr">
        <is>
          <t>chemicals</t>
        </is>
      </c>
      <c r="G147" s="31" t="inlineStr">
        <is>
          <t>smallcap</t>
        </is>
      </c>
      <c r="H147" s="32" t="n">
        <v>666.1799999999999</v>
      </c>
      <c r="I147" s="32" t="n">
        <v>222.11</v>
      </c>
      <c r="J147" s="32" t="n">
        <v>0.02</v>
      </c>
      <c r="K147" s="32" t="n">
        <v>5018</v>
      </c>
      <c r="L147" s="31" t="n">
        <v>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56.56</v>
      </c>
      <c r="P147" s="32" t="n">
        <v>34.73</v>
      </c>
      <c r="Q147" s="32" t="n">
        <v>175.24</v>
      </c>
      <c r="R147" s="31" t="inlineStr">
        <is>
          <t>Earnings / Momentum Support</t>
        </is>
      </c>
      <c r="S147" s="31" t="inlineStr">
        <is>
          <t>Nifty IT</t>
        </is>
      </c>
      <c r="T147" s="32" t="n">
        <v>-23.18</v>
      </c>
      <c r="U147" s="32" t="n">
        <v>-15.48</v>
      </c>
      <c r="V147" s="32" t="n">
        <v>10.03</v>
      </c>
      <c r="W147" s="32" t="n">
        <v>-0.97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Less than 50%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IF(B148=0,"",RANK(B148,$B$2:$B$362,0))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HONASA</t>
        </is>
      </c>
      <c r="D148" s="31" t="inlineStr">
        <is>
          <t>Honasa Consumer Ltd</t>
        </is>
      </c>
      <c r="E148" s="31" t="inlineStr">
        <is>
          <t>services</t>
        </is>
      </c>
      <c r="F148" s="31" t="inlineStr">
        <is>
          <t>trading</t>
        </is>
      </c>
      <c r="G148" s="31" t="inlineStr">
        <is>
          <t>midcap</t>
        </is>
      </c>
      <c r="H148" s="32" t="n">
        <v>15435.54</v>
      </c>
      <c r="I148" s="32" t="n">
        <v>470.75</v>
      </c>
      <c r="J148" s="32" t="n">
        <v>-0.77</v>
      </c>
      <c r="K148" s="32" t="n">
        <v>635093</v>
      </c>
      <c r="L148" s="31" t="n">
        <v>78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82.13</v>
      </c>
      <c r="P148" s="32" t="n">
        <v>50.23</v>
      </c>
      <c r="Q148" s="32" t="n">
        <v>384.66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-3.56</v>
      </c>
      <c r="U148" s="32" t="n">
        <v>64.34</v>
      </c>
      <c r="V148" s="32" t="n">
        <v>70.41</v>
      </c>
      <c r="W148" s="32" t="n">
        <v>18.66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IF(B149=0,"",RANK(B149,$B$2:$B$362,0))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KDDL</t>
        </is>
      </c>
      <c r="D149" s="31" t="inlineStr">
        <is>
          <t>Kddl Limited</t>
        </is>
      </c>
      <c r="E149" s="31" t="inlineStr">
        <is>
          <t>consumer discretionary</t>
        </is>
      </c>
      <c r="F149" s="31" t="inlineStr">
        <is>
          <t>miscellaneous</t>
        </is>
      </c>
      <c r="G149" s="31" t="inlineStr">
        <is>
          <t>smallcap</t>
        </is>
      </c>
      <c r="H149" s="32" t="n">
        <v>4016.45</v>
      </c>
      <c r="I149" s="32" t="n">
        <v>3225</v>
      </c>
      <c r="J149" s="32" t="n">
        <v>-1.24</v>
      </c>
      <c r="K149" s="32" t="n">
        <v>14524</v>
      </c>
      <c r="L149" s="31" t="n">
        <v>58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68.03</v>
      </c>
      <c r="P149" s="32" t="n">
        <v>27.29</v>
      </c>
      <c r="Q149" s="32" t="n">
        <v>2456.86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-3.56</v>
      </c>
      <c r="U149" s="32" t="n">
        <v>18.87</v>
      </c>
      <c r="V149" s="32" t="n">
        <v>23.27</v>
      </c>
      <c r="W149" s="32" t="n">
        <v>11.39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Between 1.5 to 2</t>
        </is>
      </c>
      <c r="BU149" s="31">
        <f>IF(BT149="Above 2",0,IF(BT149="Between 1.5 to 2",5,IF(BT149="Less than 1.5",10,0)))</f>
        <v/>
      </c>
      <c r="BV149" s="31" t="inlineStr">
        <is>
          <t>Less than 50%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IF(B150=0,"",RANK(B150,$B$2:$B$362,0))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STYLAMIND</t>
        </is>
      </c>
      <c r="D150" s="31" t="inlineStr">
        <is>
          <t>Stylam Industries Ltd</t>
        </is>
      </c>
      <c r="E150" s="31" t="inlineStr">
        <is>
          <t>building materials</t>
        </is>
      </c>
      <c r="F150" s="31" t="inlineStr">
        <is>
          <t>miscellaneous</t>
        </is>
      </c>
      <c r="G150" s="31" t="inlineStr">
        <is>
          <t>midcap</t>
        </is>
      </c>
      <c r="H150" s="32" t="n">
        <v>5603.54</v>
      </c>
      <c r="I150" s="32" t="n">
        <v>3263.2</v>
      </c>
      <c r="J150" s="32" t="n">
        <v>-1.3</v>
      </c>
      <c r="K150" s="32" t="n">
        <v>42254</v>
      </c>
      <c r="L150" s="31" t="n">
        <v>85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82.18000000000001</v>
      </c>
      <c r="P150" s="32" t="n">
        <v>66.95999999999999</v>
      </c>
      <c r="Q150" s="32" t="n">
        <v>2778.91</v>
      </c>
      <c r="R150" s="31" t="inlineStr">
        <is>
          <t>Near 52W High Breakout</t>
        </is>
      </c>
      <c r="S150" s="31" t="inlineStr">
        <is>
          <t>Nifty Infra</t>
        </is>
      </c>
      <c r="T150" s="32" t="n">
        <v>1.31</v>
      </c>
      <c r="U150" s="32" t="n">
        <v>87.48999999999999</v>
      </c>
      <c r="V150" s="32" t="n">
        <v>85.06</v>
      </c>
      <c r="W150" s="32" t="n">
        <v>23.53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IF(B151=0,"",RANK(B151,$B$2:$B$362,0))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GREAVESCOT</t>
        </is>
      </c>
      <c r="D151" s="31" t="inlineStr">
        <is>
          <t>Greaves Cotton Limited</t>
        </is>
      </c>
      <c r="E151" s="31" t="inlineStr">
        <is>
          <t>industrials</t>
        </is>
      </c>
      <c r="F151" s="31" t="inlineStr">
        <is>
          <t>engines</t>
        </is>
      </c>
      <c r="G151" s="31" t="inlineStr">
        <is>
          <t>midcap</t>
        </is>
      </c>
      <c r="H151" s="32" t="n">
        <v>6117.52</v>
      </c>
      <c r="I151" s="32" t="n">
        <v>257.68</v>
      </c>
      <c r="J151" s="32" t="n">
        <v>-1.9</v>
      </c>
      <c r="K151" s="32" t="n">
        <v>2006139</v>
      </c>
      <c r="L151" s="31" t="n">
        <v>79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73.8</v>
      </c>
      <c r="P151" s="32" t="n">
        <v>24.48</v>
      </c>
      <c r="Q151" s="32" t="n">
        <v>205.53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-3.56</v>
      </c>
      <c r="U151" s="32" t="n">
        <v>25.71</v>
      </c>
      <c r="V151" s="32" t="n">
        <v>30.35</v>
      </c>
      <c r="W151" s="32" t="n">
        <v>19.4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IF(B152=0,"",RANK(B152,$B$2:$B$362,0))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RBZJEWEL</t>
        </is>
      </c>
      <c r="D152" s="31" t="inlineStr">
        <is>
          <t>RBZ Jewellers Ltd</t>
        </is>
      </c>
      <c r="E152" s="31" t="inlineStr">
        <is>
          <t>consumer discretionary</t>
        </is>
      </c>
      <c r="F152" s="31" t="inlineStr">
        <is>
          <t>diamond cutting / jewellery</t>
        </is>
      </c>
      <c r="G152" s="31" t="inlineStr">
        <is>
          <t>smallcap</t>
        </is>
      </c>
      <c r="H152" s="32" t="n">
        <v>615.2</v>
      </c>
      <c r="I152" s="32" t="n">
        <v>150.8</v>
      </c>
      <c r="J152" s="32" t="n">
        <v>-1.95</v>
      </c>
      <c r="K152" s="32" t="n">
        <v>167747</v>
      </c>
      <c r="L152" s="31" t="n">
        <v>11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57.22</v>
      </c>
      <c r="P152" s="32" t="n">
        <v>25.96</v>
      </c>
      <c r="Q152" s="32" t="n">
        <v>108.82</v>
      </c>
      <c r="R152" s="31" t="inlineStr">
        <is>
          <t>Volume Spike &amp; Near 52W High Breakout</t>
        </is>
      </c>
      <c r="S152" s="31" t="inlineStr">
        <is>
          <t>Nifty 50</t>
        </is>
      </c>
      <c r="T152" s="32" t="n">
        <v>-3.56</v>
      </c>
      <c r="U152" s="32" t="n">
        <v>3.95</v>
      </c>
      <c r="V152" s="32" t="n">
        <v>7.79</v>
      </c>
      <c r="W152" s="32" t="n">
        <v>0.89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Negative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IF(B153=0,"",RANK(B153,$B$2:$B$362,0))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COMSYN</t>
        </is>
      </c>
      <c r="D153" s="31" t="inlineStr">
        <is>
          <t>Commercial Syn Bags Ltd</t>
        </is>
      </c>
      <c r="E153" s="31" t="inlineStr">
        <is>
          <t>industrials</t>
        </is>
      </c>
      <c r="F153" s="31" t="inlineStr">
        <is>
          <t>packaging</t>
        </is>
      </c>
      <c r="G153" s="31" t="inlineStr">
        <is>
          <t>smallcap</t>
        </is>
      </c>
      <c r="H153" s="32" t="n">
        <v>783.23</v>
      </c>
      <c r="I153" s="32" t="n">
        <v>190.31</v>
      </c>
      <c r="J153" s="32" t="n">
        <v>-1.98</v>
      </c>
      <c r="K153" s="32" t="n">
        <v>308323</v>
      </c>
      <c r="L153" s="31" t="n">
        <v>60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66.05</v>
      </c>
      <c r="P153" s="32" t="n">
        <v>46.05</v>
      </c>
      <c r="Q153" s="32" t="n">
        <v>156.8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-3.56</v>
      </c>
      <c r="U153" s="32" t="n">
        <v>47.45</v>
      </c>
      <c r="V153" s="32" t="n">
        <v>52.9</v>
      </c>
      <c r="W153" s="32" t="n">
        <v>11.82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IF(B154=0,"",RANK(B154,$B$2:$B$362,0))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JSWINFRA</t>
        </is>
      </c>
      <c r="D154" s="31" t="inlineStr">
        <is>
          <t>JSW Infrastructure Ltd</t>
        </is>
      </c>
      <c r="E154" s="31" t="inlineStr">
        <is>
          <t>transportation</t>
        </is>
      </c>
      <c r="F154" s="31" t="inlineStr">
        <is>
          <t>miscellaneous</t>
        </is>
      </c>
      <c r="G154" s="31" t="inlineStr">
        <is>
          <t>largecap</t>
        </is>
      </c>
      <c r="H154" s="32" t="n">
        <v>80909.3</v>
      </c>
      <c r="I154" s="32" t="n">
        <v>337.35</v>
      </c>
      <c r="J154" s="32" t="n">
        <v>-2.85</v>
      </c>
      <c r="K154" s="32" t="n">
        <v>1617037</v>
      </c>
      <c r="L154" s="31" t="n">
        <v>41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71.54000000000001</v>
      </c>
      <c r="P154" s="32" t="n">
        <v>32.74</v>
      </c>
      <c r="Q154" s="32" t="n">
        <v>273.77</v>
      </c>
      <c r="R154" s="31" t="inlineStr">
        <is>
          <t>Near 52W High Breakout</t>
        </is>
      </c>
      <c r="S154" s="31" t="inlineStr">
        <is>
          <t>Nifty 500</t>
        </is>
      </c>
      <c r="T154" s="32" t="n">
        <v>-0.05</v>
      </c>
      <c r="U154" s="32" t="n">
        <v>9.880000000000001</v>
      </c>
      <c r="V154" s="32" t="n">
        <v>9.93</v>
      </c>
      <c r="W154" s="32" t="n">
        <v>7.28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IF(B155=0,"",RANK(B155,$B$2:$B$362,0))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YASHO</t>
        </is>
      </c>
      <c r="D155" s="31" t="inlineStr">
        <is>
          <t>Yasho Industries Ltd</t>
        </is>
      </c>
      <c r="E155" s="31" t="inlineStr">
        <is>
          <t>chemicals</t>
        </is>
      </c>
      <c r="F155" s="31" t="inlineStr">
        <is>
          <t>chemicals</t>
        </is>
      </c>
      <c r="G155" s="31" t="inlineStr">
        <is>
          <t>smallcap</t>
        </is>
      </c>
      <c r="H155" s="32" t="n">
        <v>3726.85</v>
      </c>
      <c r="I155" s="32" t="n">
        <v>2996.5</v>
      </c>
      <c r="J155" s="32" t="n">
        <v>-3.06</v>
      </c>
      <c r="K155" s="32" t="n">
        <v>12971</v>
      </c>
      <c r="L155" s="31" t="n">
        <v>93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82.52</v>
      </c>
      <c r="P155" s="32" t="n">
        <v>45.23</v>
      </c>
      <c r="Q155" s="32" t="n">
        <v>2269.82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-3.56</v>
      </c>
      <c r="U155" s="32" t="n">
        <v>50.59</v>
      </c>
      <c r="V155" s="32" t="n">
        <v>56.16</v>
      </c>
      <c r="W155" s="32" t="n">
        <v>34.16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IF(B156=0,"",RANK(B156,$B$2:$B$362,0))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AURUM</t>
        </is>
      </c>
      <c r="D156" s="31" t="inlineStr">
        <is>
          <t>Aurum Proptech Ltd</t>
        </is>
      </c>
      <c r="E156" s="31" t="inlineStr">
        <is>
          <t>i.t</t>
        </is>
      </c>
      <c r="F156" s="31" t="inlineStr">
        <is>
          <t>computers - software - medium / small</t>
        </is>
      </c>
      <c r="G156" s="31" t="inlineStr">
        <is>
          <t>smallcap</t>
        </is>
      </c>
      <c r="H156" s="32" t="n">
        <v>1837.04</v>
      </c>
      <c r="I156" s="32" t="n">
        <v>250.82</v>
      </c>
      <c r="J156" s="32" t="n">
        <v>4.67</v>
      </c>
      <c r="K156" s="32" t="n">
        <v>3194513</v>
      </c>
      <c r="L156" s="31" t="n">
        <v>68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75.81</v>
      </c>
      <c r="P156" s="32" t="n">
        <v>36.35</v>
      </c>
      <c r="Q156" s="32" t="n">
        <v>197.93</v>
      </c>
      <c r="R156" s="31" t="inlineStr">
        <is>
          <t>Volume Spike &amp; Near 52W High Breakout</t>
        </is>
      </c>
      <c r="S156" s="31" t="inlineStr">
        <is>
          <t>Nifty IT</t>
        </is>
      </c>
      <c r="T156" s="32" t="n">
        <v>-23.18</v>
      </c>
      <c r="U156" s="32" t="n">
        <v>26.33</v>
      </c>
      <c r="V156" s="32" t="n">
        <v>64.44</v>
      </c>
      <c r="W156" s="32" t="n">
        <v>14.42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Between 50% to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IF(B157=0,"",RANK(B157,$B$2:$B$362,0))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PIXTRANS</t>
        </is>
      </c>
      <c r="D157" s="31" t="inlineStr">
        <is>
          <t>Pix Transmission Ltd</t>
        </is>
      </c>
      <c r="E157" s="31" t="inlineStr">
        <is>
          <t>fmcg</t>
        </is>
      </c>
      <c r="F157" s="31" t="inlineStr">
        <is>
          <t>miscellaneous</t>
        </is>
      </c>
      <c r="G157" s="31" t="inlineStr">
        <is>
          <t>smallcap</t>
        </is>
      </c>
      <c r="H157" s="32" t="n">
        <v>2503.22</v>
      </c>
      <c r="I157" s="32" t="n">
        <v>1914</v>
      </c>
      <c r="J157" s="32" t="n">
        <v>4.18</v>
      </c>
      <c r="K157" s="32" t="n">
        <v>95300</v>
      </c>
      <c r="L157" s="31" t="n">
        <v>55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76.3</v>
      </c>
      <c r="P157" s="32" t="n">
        <v>38.96</v>
      </c>
      <c r="Q157" s="32" t="n">
        <v>1567.23</v>
      </c>
      <c r="R157" s="31" t="inlineStr">
        <is>
          <t>Near 52W High Breakout</t>
        </is>
      </c>
      <c r="S157" s="31" t="inlineStr">
        <is>
          <t>Nifty FMCG</t>
        </is>
      </c>
      <c r="T157" s="32" t="n">
        <v>-14.55</v>
      </c>
      <c r="U157" s="32" t="n">
        <v>25.24</v>
      </c>
      <c r="V157" s="32" t="n">
        <v>46.57</v>
      </c>
      <c r="W157" s="32" t="n">
        <v>10.69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B2C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IF(B158=0,"",RANK(B158,$B$2:$B$362,0))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WANBURY</t>
        </is>
      </c>
      <c r="D158" s="31" t="inlineStr">
        <is>
          <t>Wanbury Limited</t>
        </is>
      </c>
      <c r="E158" s="31" t="inlineStr">
        <is>
          <t>healthcare</t>
        </is>
      </c>
      <c r="F158" s="31" t="inlineStr">
        <is>
          <t>pharmaceuticals - indian - bulk drugs &amp; formln</t>
        </is>
      </c>
      <c r="G158" s="31" t="inlineStr">
        <is>
          <t>smallcap</t>
        </is>
      </c>
      <c r="H158" s="32" t="n">
        <v>1173.96</v>
      </c>
      <c r="I158" s="32" t="n">
        <v>344.75</v>
      </c>
      <c r="J158" s="32" t="n">
        <v>2.6</v>
      </c>
      <c r="K158" s="32" t="n">
        <v>2208326</v>
      </c>
      <c r="L158" s="31" t="n">
        <v>63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68.38</v>
      </c>
      <c r="P158" s="32" t="n">
        <v>16.8</v>
      </c>
      <c r="Q158" s="32" t="n">
        <v>245.48</v>
      </c>
      <c r="R158" s="31" t="inlineStr">
        <is>
          <t>Volume Spike &amp; Near 52W High Breakout</t>
        </is>
      </c>
      <c r="S158" s="31" t="inlineStr">
        <is>
          <t>Nifty Pharma</t>
        </is>
      </c>
      <c r="T158" s="32" t="n">
        <v>15.1</v>
      </c>
      <c r="U158" s="32" t="n">
        <v>25.75</v>
      </c>
      <c r="V158" s="32" t="n">
        <v>9.26</v>
      </c>
      <c r="W158" s="32" t="n">
        <v>12.7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IF(B159=0,"",RANK(B159,$B$2:$B$362,0))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HMVL</t>
        </is>
      </c>
      <c r="D159" s="31" t="inlineStr">
        <is>
          <t>Hindustan Media Ventures Limited</t>
        </is>
      </c>
      <c r="E159" s="31" t="inlineStr">
        <is>
          <t>media</t>
        </is>
      </c>
      <c r="F159" s="31" t="inlineStr">
        <is>
          <t>entertainment / electronic media software</t>
        </is>
      </c>
      <c r="G159" s="31" t="inlineStr">
        <is>
          <t>smallcap</t>
        </is>
      </c>
      <c r="H159" s="32" t="n">
        <v>661.35</v>
      </c>
      <c r="I159" s="32" t="n">
        <v>92</v>
      </c>
      <c r="J159" s="32" t="n">
        <v>2.48</v>
      </c>
      <c r="K159" s="32" t="n">
        <v>77758</v>
      </c>
      <c r="L159" s="31" t="n">
        <v>39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67.64</v>
      </c>
      <c r="P159" s="32" t="n">
        <v>28.11</v>
      </c>
      <c r="Q159" s="32" t="n">
        <v>70.13</v>
      </c>
      <c r="R159" s="31" t="inlineStr">
        <is>
          <t>Near 52W High Breakout</t>
        </is>
      </c>
      <c r="S159" s="31" t="inlineStr">
        <is>
          <t>Nifty IT</t>
        </is>
      </c>
      <c r="T159" s="32" t="n">
        <v>-23.18</v>
      </c>
      <c r="U159" s="32" t="n">
        <v>-0.68</v>
      </c>
      <c r="V159" s="32" t="n">
        <v>29.29</v>
      </c>
      <c r="W159" s="32" t="n">
        <v>6.99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Between 50% to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IF(B160=0,"",RANK(B160,$B$2:$B$362,0))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3" t="inlineStr">
        <is>
          <t>ARTEMISMED</t>
        </is>
      </c>
      <c r="D160" s="33" t="inlineStr">
        <is>
          <t>Artemis Medicare Services Ltd</t>
        </is>
      </c>
      <c r="E160" s="31" t="inlineStr">
        <is>
          <t>healthcare</t>
        </is>
      </c>
      <c r="F160" s="31" t="inlineStr">
        <is>
          <t>healthcare</t>
        </is>
      </c>
      <c r="G160" s="31" t="inlineStr">
        <is>
          <t>smallcap</t>
        </is>
      </c>
      <c r="H160" s="32" t="n">
        <v>4290.1</v>
      </c>
      <c r="I160" s="32" t="n">
        <v>276.2</v>
      </c>
      <c r="J160" s="32" t="n">
        <v>1.92</v>
      </c>
      <c r="K160" s="32" t="n">
        <v>147602</v>
      </c>
      <c r="L160" s="31" t="n">
        <v>37</v>
      </c>
      <c r="M160" s="31" t="inlineStr">
        <is>
          <t>Underperforming</t>
        </is>
      </c>
      <c r="N160" s="32">
        <f>IF(M160="Underperforming",-5,IF(L160&gt;=95,15,IF(L160&gt;=90,10,IF(L160&gt;=80,5,0))))</f>
        <v/>
      </c>
      <c r="O160" s="32" t="n">
        <v>60.63</v>
      </c>
      <c r="P160" s="32" t="n">
        <v>20.47</v>
      </c>
      <c r="Q160" s="32" t="n">
        <v>224.36</v>
      </c>
      <c r="R160" s="31" t="inlineStr">
        <is>
          <t>Near 52W High Breakout</t>
        </is>
      </c>
      <c r="S160" s="31" t="inlineStr">
        <is>
          <t>Nifty Pharma</t>
        </is>
      </c>
      <c r="T160" s="32" t="n">
        <v>15.1</v>
      </c>
      <c r="U160" s="32" t="n">
        <v>12.42</v>
      </c>
      <c r="V160" s="32" t="n">
        <v>-2.33</v>
      </c>
      <c r="W160" s="32" t="n">
        <v>6.38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IF(B161=0,"",RANK(B161,$B$2:$B$362,0))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HTMEDIA</t>
        </is>
      </c>
      <c r="D161" s="31" t="inlineStr">
        <is>
          <t>Ht Media Limited</t>
        </is>
      </c>
      <c r="E161" s="31" t="inlineStr">
        <is>
          <t>media</t>
        </is>
      </c>
      <c r="F161" s="31" t="inlineStr">
        <is>
          <t>entertainment / electronic media software</t>
        </is>
      </c>
      <c r="G161" s="31" t="inlineStr">
        <is>
          <t>smallcap</t>
        </is>
      </c>
      <c r="H161" s="32" t="n">
        <v>632.21</v>
      </c>
      <c r="I161" s="32" t="n">
        <v>27.41</v>
      </c>
      <c r="J161" s="32" t="n">
        <v>0.92</v>
      </c>
      <c r="K161" s="32" t="n">
        <v>349213</v>
      </c>
      <c r="L161" s="31" t="n">
        <v>39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68.58</v>
      </c>
      <c r="P161" s="32" t="n">
        <v>15.7</v>
      </c>
      <c r="Q161" s="32" t="n">
        <v>20.5</v>
      </c>
      <c r="R161" s="31" t="inlineStr">
        <is>
          <t>Volume Spike &amp; Near 52W High Breakout</t>
        </is>
      </c>
      <c r="S161" s="31" t="inlineStr">
        <is>
          <t>Nifty IT</t>
        </is>
      </c>
      <c r="T161" s="32" t="n">
        <v>-23.18</v>
      </c>
      <c r="U161" s="32" t="n">
        <v>17.19</v>
      </c>
      <c r="V161" s="32" t="n">
        <v>52.55</v>
      </c>
      <c r="W161" s="32" t="n">
        <v>7.02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IF(B162=0,"",RANK(B162,$B$2:$B$362,0))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SUNPHARMA</t>
        </is>
      </c>
      <c r="D162" s="31" t="inlineStr">
        <is>
          <t>Sun Pharmaceuticals Industries Limited</t>
        </is>
      </c>
      <c r="E162" s="31" t="inlineStr">
        <is>
          <t>healthcare</t>
        </is>
      </c>
      <c r="F162" s="31" t="inlineStr">
        <is>
          <t>pharmaceuticals - indian - bulk drugs &amp; formln</t>
        </is>
      </c>
      <c r="G162" s="31" t="inlineStr">
        <is>
          <t>largecap</t>
        </is>
      </c>
      <c r="H162" s="32" t="n">
        <v>466094.81</v>
      </c>
      <c r="I162" s="32" t="n">
        <v>1951.5</v>
      </c>
      <c r="J162" s="32" t="n">
        <v>0.46</v>
      </c>
      <c r="K162" s="32" t="n">
        <v>2283524</v>
      </c>
      <c r="L162" s="31" t="n">
        <v>38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66.38</v>
      </c>
      <c r="P162" s="32" t="n">
        <v>18.64</v>
      </c>
      <c r="Q162" s="32" t="n">
        <v>1723.77</v>
      </c>
      <c r="R162" s="31" t="inlineStr">
        <is>
          <t>Near 52W High Breakout</t>
        </is>
      </c>
      <c r="S162" s="31" t="inlineStr">
        <is>
          <t>Nifty Pharma</t>
        </is>
      </c>
      <c r="T162" s="32" t="n">
        <v>15.1</v>
      </c>
      <c r="U162" s="32" t="n">
        <v>16.28</v>
      </c>
      <c r="V162" s="32" t="n">
        <v>1.03</v>
      </c>
      <c r="W162" s="32" t="n">
        <v>6.63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IF(B163=0,"",RANK(B163,$B$2:$B$362,0))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TATATECH</t>
        </is>
      </c>
      <c r="D163" s="31" t="inlineStr">
        <is>
          <t>Tata Technologies Ltd</t>
        </is>
      </c>
      <c r="E163" s="31" t="inlineStr">
        <is>
          <t>i.t</t>
        </is>
      </c>
      <c r="F163" s="31" t="inlineStr">
        <is>
          <t>computers - software - medium / small</t>
        </is>
      </c>
      <c r="G163" s="31" t="inlineStr">
        <is>
          <t>largecap</t>
        </is>
      </c>
      <c r="H163" s="32" t="n">
        <v>30714.37</v>
      </c>
      <c r="I163" s="32" t="n">
        <v>758.95</v>
      </c>
      <c r="J163" s="32" t="n">
        <v>0.32</v>
      </c>
      <c r="K163" s="32" t="n">
        <v>814299</v>
      </c>
      <c r="L163" s="31" t="n">
        <v>47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67.17</v>
      </c>
      <c r="P163" s="32" t="n">
        <v>29.14</v>
      </c>
      <c r="Q163" s="32" t="n">
        <v>612.24</v>
      </c>
      <c r="R163" s="31" t="inlineStr">
        <is>
          <t>Near 52W High Breakout</t>
        </is>
      </c>
      <c r="S163" s="31" t="inlineStr">
        <is>
          <t>Nifty IT</t>
        </is>
      </c>
      <c r="T163" s="32" t="n">
        <v>-23.18</v>
      </c>
      <c r="U163" s="32" t="n">
        <v>8.16</v>
      </c>
      <c r="V163" s="32" t="n">
        <v>40.79</v>
      </c>
      <c r="W163" s="32" t="n">
        <v>8.65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IF(B164=0,"",RANK(B164,$B$2:$B$362,0))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IKS</t>
        </is>
      </c>
      <c r="D164" s="31" t="inlineStr">
        <is>
          <t>Inventurus Knowledge Solutions Ltd</t>
        </is>
      </c>
      <c r="E164" s="31" t="inlineStr">
        <is>
          <t>i.t</t>
        </is>
      </c>
      <c r="F164" s="31" t="inlineStr">
        <is>
          <t>computers - software - medium / small</t>
        </is>
      </c>
      <c r="G164" s="31" t="inlineStr">
        <is>
          <t>largecap</t>
        </is>
      </c>
      <c r="H164" s="32" t="n">
        <v>32245.46</v>
      </c>
      <c r="I164" s="32" t="n">
        <v>1876.3</v>
      </c>
      <c r="J164" s="32" t="n">
        <v>-0.16</v>
      </c>
      <c r="K164" s="32" t="n">
        <v>75935</v>
      </c>
      <c r="L164" s="31" t="n">
        <v>49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64.54000000000001</v>
      </c>
      <c r="P164" s="32" t="n">
        <v>11.43</v>
      </c>
      <c r="Q164" s="32" t="n">
        <v>1556.95</v>
      </c>
      <c r="R164" s="31" t="inlineStr">
        <is>
          <t>Near 52W High Breakout</t>
        </is>
      </c>
      <c r="S164" s="31" t="inlineStr">
        <is>
          <t>Nifty IT</t>
        </is>
      </c>
      <c r="T164" s="32" t="n">
        <v>-23.18</v>
      </c>
      <c r="U164" s="32" t="n">
        <v>18.13</v>
      </c>
      <c r="V164" s="32" t="n">
        <v>53.78</v>
      </c>
      <c r="W164" s="32" t="n">
        <v>9.24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IF(B165=0,"",RANK(B165,$B$2:$B$362,0))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CAPLIPOINT</t>
        </is>
      </c>
      <c r="D165" s="31" t="inlineStr">
        <is>
          <t>Caplin Point Laboratories Limited</t>
        </is>
      </c>
      <c r="E165" s="31" t="inlineStr">
        <is>
          <t>healthcare</t>
        </is>
      </c>
      <c r="F165" s="31" t="inlineStr">
        <is>
          <t>pharmaceuticals - indian - formulations</t>
        </is>
      </c>
      <c r="G165" s="31" t="inlineStr">
        <is>
          <t>largecap</t>
        </is>
      </c>
      <c r="H165" s="32" t="n">
        <v>20206.95</v>
      </c>
      <c r="I165" s="32" t="n">
        <v>2648.1</v>
      </c>
      <c r="J165" s="32" t="n">
        <v>-0.39</v>
      </c>
      <c r="K165" s="32" t="n">
        <v>93051</v>
      </c>
      <c r="L165" s="31" t="n">
        <v>73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81.81999999999999</v>
      </c>
      <c r="P165" s="32" t="n">
        <v>33.13</v>
      </c>
      <c r="Q165" s="32" t="n">
        <v>2189.32</v>
      </c>
      <c r="R165" s="31" t="inlineStr">
        <is>
          <t>Near 52W High Breakout</t>
        </is>
      </c>
      <c r="S165" s="31" t="inlineStr">
        <is>
          <t>Nifty Pharma</t>
        </is>
      </c>
      <c r="T165" s="32" t="n">
        <v>15.1</v>
      </c>
      <c r="U165" s="32" t="n">
        <v>26.32</v>
      </c>
      <c r="V165" s="32" t="n">
        <v>9.75</v>
      </c>
      <c r="W165" s="32" t="n">
        <v>16.63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Between 12 to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Between 1.5 to 2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IF(B166=0,"",RANK(B166,$B$2:$B$362,0))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BALRAMCHIN</t>
        </is>
      </c>
      <c r="D166" s="31" t="inlineStr">
        <is>
          <t>Balrampur Chini Mills Limited</t>
        </is>
      </c>
      <c r="E166" s="31" t="inlineStr">
        <is>
          <t>fmcg</t>
        </is>
      </c>
      <c r="F166" s="31" t="inlineStr">
        <is>
          <t>sugar</t>
        </is>
      </c>
      <c r="G166" s="31" t="inlineStr">
        <is>
          <t>midcap</t>
        </is>
      </c>
      <c r="H166" s="32" t="n">
        <v>12597.86</v>
      </c>
      <c r="I166" s="32" t="n">
        <v>589.85</v>
      </c>
      <c r="J166" s="32" t="n">
        <v>-1.08</v>
      </c>
      <c r="K166" s="32" t="n">
        <v>420894</v>
      </c>
      <c r="L166" s="31" t="n">
        <v>29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72.22</v>
      </c>
      <c r="P166" s="32" t="n">
        <v>31.52</v>
      </c>
      <c r="Q166" s="32" t="n">
        <v>484.13</v>
      </c>
      <c r="R166" s="31" t="inlineStr">
        <is>
          <t>Near 52W High Breakout</t>
        </is>
      </c>
      <c r="S166" s="31" t="inlineStr">
        <is>
          <t>Nifty FMCG</t>
        </is>
      </c>
      <c r="T166" s="32" t="n">
        <v>-14.55</v>
      </c>
      <c r="U166" s="32" t="n">
        <v>-3.79</v>
      </c>
      <c r="V166" s="32" t="n">
        <v>12.59</v>
      </c>
      <c r="W166" s="32" t="n">
        <v>4.94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B2C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IF(B167=0,"",RANK(B167,$B$2:$B$362,0))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LALPATHLAB</t>
        </is>
      </c>
      <c r="D167" s="31" t="inlineStr">
        <is>
          <t>Dr. Lal Path Labs Ltd.</t>
        </is>
      </c>
      <c r="E167" s="31" t="inlineStr">
        <is>
          <t>healthcare</t>
        </is>
      </c>
      <c r="F167" s="31" t="inlineStr">
        <is>
          <t>healthcare</t>
        </is>
      </c>
      <c r="G167" s="31" t="inlineStr">
        <is>
          <t>largecap</t>
        </is>
      </c>
      <c r="H167" s="32" t="n">
        <v>29231.65</v>
      </c>
      <c r="I167" s="32" t="n">
        <v>1725</v>
      </c>
      <c r="J167" s="32" t="n">
        <v>-1.12</v>
      </c>
      <c r="K167" s="32" t="n">
        <v>309040</v>
      </c>
      <c r="L167" s="31" t="n">
        <v>45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65.3</v>
      </c>
      <c r="P167" s="32" t="n">
        <v>31.27</v>
      </c>
      <c r="Q167" s="32" t="n">
        <v>1406.82</v>
      </c>
      <c r="R167" s="31" t="inlineStr">
        <is>
          <t>Near 52W High Breakout</t>
        </is>
      </c>
      <c r="S167" s="31" t="inlineStr">
        <is>
          <t>Nifty Pharma</t>
        </is>
      </c>
      <c r="T167" s="32" t="n">
        <v>15.1</v>
      </c>
      <c r="U167" s="32" t="n">
        <v>15.79</v>
      </c>
      <c r="V167" s="32" t="n">
        <v>0.61</v>
      </c>
      <c r="W167" s="32" t="n">
        <v>8.16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IF(B168=0,"",RANK(B168,$B$2:$B$362,0))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TRIVENI</t>
        </is>
      </c>
      <c r="D168" s="31" t="inlineStr">
        <is>
          <t>Triveni Engineering &amp; Industries Limited</t>
        </is>
      </c>
      <c r="E168" s="31" t="inlineStr">
        <is>
          <t>fmcg</t>
        </is>
      </c>
      <c r="F168" s="31" t="inlineStr">
        <is>
          <t>sugar</t>
        </is>
      </c>
      <c r="G168" s="31" t="inlineStr">
        <is>
          <t>midcap</t>
        </is>
      </c>
      <c r="H168" s="32" t="n">
        <v>10337.46</v>
      </c>
      <c r="I168" s="32" t="n">
        <v>461.3</v>
      </c>
      <c r="J168" s="32" t="n">
        <v>-2.32</v>
      </c>
      <c r="K168" s="32" t="n">
        <v>377213</v>
      </c>
      <c r="L168" s="31" t="n">
        <v>49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68.31999999999999</v>
      </c>
      <c r="P168" s="32" t="n">
        <v>23</v>
      </c>
      <c r="Q168" s="32" t="n">
        <v>368.42</v>
      </c>
      <c r="R168" s="31" t="inlineStr">
        <is>
          <t>Near 52W High Breakout</t>
        </is>
      </c>
      <c r="S168" s="31" t="inlineStr">
        <is>
          <t>Nifty FMCG</t>
        </is>
      </c>
      <c r="T168" s="32" t="n">
        <v>-14.55</v>
      </c>
      <c r="U168" s="32" t="n">
        <v>28.54</v>
      </c>
      <c r="V168" s="32" t="n">
        <v>50.42</v>
      </c>
      <c r="W168" s="32" t="n">
        <v>9.109999999999999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B2C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Less than 50%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IF(B169=0,"",RANK(B169,$B$2:$B$362,0))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JNKINDIA</t>
        </is>
      </c>
      <c r="D169" s="31" t="inlineStr">
        <is>
          <t>JNK India Ltd</t>
        </is>
      </c>
      <c r="E169" s="31" t="inlineStr">
        <is>
          <t>realty</t>
        </is>
      </c>
      <c r="F169" s="31" t="inlineStr">
        <is>
          <t>engineering - turnkey services</t>
        </is>
      </c>
      <c r="G169" s="31" t="inlineStr">
        <is>
          <t>smallcap</t>
        </is>
      </c>
      <c r="H169" s="32" t="n">
        <v>2963.88</v>
      </c>
      <c r="I169" s="32" t="n">
        <v>545.95</v>
      </c>
      <c r="J169" s="32" t="n">
        <v>3.07</v>
      </c>
      <c r="K169" s="32" t="n">
        <v>1174806</v>
      </c>
      <c r="L169" s="31" t="n">
        <v>90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76.93000000000001</v>
      </c>
      <c r="P169" s="32" t="n">
        <v>46.61</v>
      </c>
      <c r="Q169" s="32" t="n">
        <v>390.43</v>
      </c>
      <c r="R169" s="31" t="inlineStr">
        <is>
          <t>Near 52W High Breakout</t>
        </is>
      </c>
      <c r="S169" s="31" t="inlineStr">
        <is>
          <t>Nifty Realty</t>
        </is>
      </c>
      <c r="T169" s="32" t="n">
        <v>-8.48</v>
      </c>
      <c r="U169" s="32" t="n">
        <v>65.93000000000001</v>
      </c>
      <c r="V169" s="32" t="n">
        <v>81.29000000000001</v>
      </c>
      <c r="W169" s="32" t="n">
        <v>32.36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Negative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IF(B170=0,"",RANK(B170,$B$2:$B$362,0))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LLOYDSENT</t>
        </is>
      </c>
      <c r="D170" s="31" t="inlineStr">
        <is>
          <t>Lloyds Enterprises Ltd</t>
        </is>
      </c>
      <c r="E170" s="31" t="inlineStr">
        <is>
          <t>services</t>
        </is>
      </c>
      <c r="F170" s="31" t="inlineStr">
        <is>
          <t>trading</t>
        </is>
      </c>
      <c r="G170" s="31" t="inlineStr">
        <is>
          <t>midcap</t>
        </is>
      </c>
      <c r="H170" s="32" t="n">
        <v>11879.63</v>
      </c>
      <c r="I170" s="32" t="n">
        <v>79.70999999999999</v>
      </c>
      <c r="J170" s="32" t="n">
        <v>2.43</v>
      </c>
      <c r="K170" s="32" t="n">
        <v>13819866</v>
      </c>
      <c r="L170" s="31" t="n">
        <v>35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63.88</v>
      </c>
      <c r="P170" s="32" t="n">
        <v>31.69</v>
      </c>
      <c r="Q170" s="32" t="n">
        <v>59.14</v>
      </c>
      <c r="R170" s="31" t="inlineStr">
        <is>
          <t>Volume Spike &amp; Near 52W High Breakout</t>
        </is>
      </c>
      <c r="S170" s="31" t="inlineStr">
        <is>
          <t>Nifty 50</t>
        </is>
      </c>
      <c r="T170" s="32" t="n">
        <v>-3.56</v>
      </c>
      <c r="U170" s="32" t="n">
        <v>-0.89</v>
      </c>
      <c r="V170" s="32" t="n">
        <v>2.78</v>
      </c>
      <c r="W170" s="32" t="n">
        <v>6.09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Negative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IF(B171=0,"",RANK(B171,$B$2:$B$362,0))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MANGLMCEM</t>
        </is>
      </c>
      <c r="D171" s="31" t="inlineStr">
        <is>
          <t>Mangalam Cement Limited</t>
        </is>
      </c>
      <c r="E171" s="31" t="inlineStr">
        <is>
          <t>building materials</t>
        </is>
      </c>
      <c r="F171" s="31" t="inlineStr">
        <is>
          <t>cement - north india</t>
        </is>
      </c>
      <c r="G171" s="31" t="inlineStr">
        <is>
          <t>smallcap</t>
        </is>
      </c>
      <c r="H171" s="32" t="n">
        <v>2646.61</v>
      </c>
      <c r="I171" s="32" t="n">
        <v>984.55</v>
      </c>
      <c r="J171" s="32" t="n">
        <v>2.29</v>
      </c>
      <c r="K171" s="32" t="n">
        <v>144453</v>
      </c>
      <c r="L171" s="31" t="n">
        <v>44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66.88</v>
      </c>
      <c r="P171" s="32" t="n">
        <v>20.72</v>
      </c>
      <c r="Q171" s="32" t="n">
        <v>804.97</v>
      </c>
      <c r="R171" s="31" t="inlineStr">
        <is>
          <t>Near 52W High Breakout</t>
        </is>
      </c>
      <c r="S171" s="31" t="inlineStr">
        <is>
          <t>Nifty Infra</t>
        </is>
      </c>
      <c r="T171" s="32" t="n">
        <v>1.31</v>
      </c>
      <c r="U171" s="32" t="n">
        <v>34.47</v>
      </c>
      <c r="V171" s="32" t="n">
        <v>32.73</v>
      </c>
      <c r="W171" s="32" t="n">
        <v>7.87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Between 0.7 to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IF(B172=0,"",RANK(B172,$B$2:$B$362,0))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CHEVIOT</t>
        </is>
      </c>
      <c r="D172" s="31" t="inlineStr">
        <is>
          <t>Cheviot Company Ltd</t>
        </is>
      </c>
      <c r="E172" s="31" t="inlineStr">
        <is>
          <t>textiles</t>
        </is>
      </c>
      <c r="F172" s="31" t="inlineStr">
        <is>
          <t>textiles - jute - yarn / products</t>
        </is>
      </c>
      <c r="G172" s="31" t="inlineStr">
        <is>
          <t>smallcap</t>
        </is>
      </c>
      <c r="H172" s="32" t="n">
        <v>651.14</v>
      </c>
      <c r="I172" s="32" t="n">
        <v>1138.9</v>
      </c>
      <c r="J172" s="32" t="n">
        <v>2.18</v>
      </c>
      <c r="K172" s="32" t="n">
        <v>1185</v>
      </c>
      <c r="L172" s="31" t="n">
        <v>9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53.42</v>
      </c>
      <c r="P172" s="32" t="n">
        <v>20.79</v>
      </c>
      <c r="Q172" s="32" t="n">
        <v>1100.92</v>
      </c>
      <c r="R172" s="31" t="inlineStr">
        <is>
          <t>Earnings / Momentum Support</t>
        </is>
      </c>
      <c r="S172" s="31" t="inlineStr">
        <is>
          <t>Nifty IT</t>
        </is>
      </c>
      <c r="T172" s="32" t="n">
        <v>-23.18</v>
      </c>
      <c r="U172" s="32" t="n">
        <v>-3.44</v>
      </c>
      <c r="V172" s="32" t="n">
        <v>25.7</v>
      </c>
      <c r="W172" s="32" t="n">
        <v>0.41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IF(B173=0,"",RANK(B173,$B$2:$B$362,0))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SUPRAJIT</t>
        </is>
      </c>
      <c r="D173" s="33" t="inlineStr">
        <is>
          <t>Suprajit Engineering Limited</t>
        </is>
      </c>
      <c r="E173" s="31" t="inlineStr">
        <is>
          <t>auto</t>
        </is>
      </c>
      <c r="F173" s="31" t="inlineStr">
        <is>
          <t>auto ancillaries</t>
        </is>
      </c>
      <c r="G173" s="31" t="inlineStr">
        <is>
          <t>midcap</t>
        </is>
      </c>
      <c r="H173" s="32" t="n">
        <v>6691.89</v>
      </c>
      <c r="I173" s="32" t="n">
        <v>493.7</v>
      </c>
      <c r="J173" s="32" t="n">
        <v>1.2</v>
      </c>
      <c r="K173" s="32" t="n">
        <v>113180</v>
      </c>
      <c r="L173" s="31" t="n">
        <v>29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60.24</v>
      </c>
      <c r="P173" s="32" t="n">
        <v>33.5</v>
      </c>
      <c r="Q173" s="32" t="n">
        <v>410.83</v>
      </c>
      <c r="R173" s="31" t="inlineStr">
        <is>
          <t>Near 52W High Breakout</t>
        </is>
      </c>
      <c r="S173" s="31" t="inlineStr">
        <is>
          <t>Nifty Auto</t>
        </is>
      </c>
      <c r="T173" s="32" t="n">
        <v>11.51</v>
      </c>
      <c r="U173" s="32" t="n">
        <v>7.15</v>
      </c>
      <c r="V173" s="32" t="n">
        <v>-3.91</v>
      </c>
      <c r="W173" s="32" t="n">
        <v>5.03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Less than 50%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IF(B174=0,"",RANK(B174,$B$2:$B$362,0))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CYIENTDLM</t>
        </is>
      </c>
      <c r="D174" s="31" t="inlineStr">
        <is>
          <t>Cyient DLM Ltd</t>
        </is>
      </c>
      <c r="E174" s="31" t="inlineStr">
        <is>
          <t>consumer discretionary</t>
        </is>
      </c>
      <c r="F174" s="31" t="inlineStr">
        <is>
          <t>electronics - components</t>
        </is>
      </c>
      <c r="G174" s="31" t="inlineStr">
        <is>
          <t>smallcap</t>
        </is>
      </c>
      <c r="H174" s="32" t="n">
        <v>4227.34</v>
      </c>
      <c r="I174" s="32" t="n">
        <v>538.5</v>
      </c>
      <c r="J174" s="32" t="n">
        <v>1.1</v>
      </c>
      <c r="K174" s="32" t="n">
        <v>195366</v>
      </c>
      <c r="L174" s="31" t="n">
        <v>74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72.38</v>
      </c>
      <c r="P174" s="32" t="n">
        <v>42.96</v>
      </c>
      <c r="Q174" s="32" t="n">
        <v>419.11</v>
      </c>
      <c r="R174" s="31" t="inlineStr">
        <is>
          <t>Near 52W High Breakout</t>
        </is>
      </c>
      <c r="S174" s="31" t="inlineStr">
        <is>
          <t>Nifty Infra</t>
        </is>
      </c>
      <c r="T174" s="32" t="n">
        <v>1.31</v>
      </c>
      <c r="U174" s="32" t="n">
        <v>12.53</v>
      </c>
      <c r="V174" s="32" t="n">
        <v>11.07</v>
      </c>
      <c r="W174" s="32" t="n">
        <v>16.75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IF(B175=0,"",RANK(B175,$B$2:$B$362,0))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WELSPUNLIV</t>
        </is>
      </c>
      <c r="D175" s="31" t="inlineStr">
        <is>
          <t>Welspun Living Ltd</t>
        </is>
      </c>
      <c r="E175" s="31" t="inlineStr">
        <is>
          <t>textiles</t>
        </is>
      </c>
      <c r="F175" s="31" t="inlineStr">
        <is>
          <t>textiles - products</t>
        </is>
      </c>
      <c r="G175" s="31" t="inlineStr">
        <is>
          <t>midcap</t>
        </is>
      </c>
      <c r="H175" s="32" t="n">
        <v>15781.9</v>
      </c>
      <c r="I175" s="32" t="n">
        <v>165.89</v>
      </c>
      <c r="J175" s="32" t="n">
        <v>0.82</v>
      </c>
      <c r="K175" s="32" t="n">
        <v>2417648</v>
      </c>
      <c r="L175" s="31" t="n">
        <v>54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67.92</v>
      </c>
      <c r="P175" s="32" t="n">
        <v>27.88</v>
      </c>
      <c r="Q175" s="32" t="n">
        <v>134.8</v>
      </c>
      <c r="R175" s="31" t="inlineStr">
        <is>
          <t>Near 52W High Breakout</t>
        </is>
      </c>
      <c r="S175" s="31" t="inlineStr">
        <is>
          <t>Nifty 50</t>
        </is>
      </c>
      <c r="T175" s="32" t="n">
        <v>-3.56</v>
      </c>
      <c r="U175" s="32" t="n">
        <v>16.2</v>
      </c>
      <c r="V175" s="32" t="n">
        <v>20.49</v>
      </c>
      <c r="W175" s="32" t="n">
        <v>10.59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IF(B176=0,"",RANK(B176,$B$2:$B$362,0))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VAIBHAVGBL</t>
        </is>
      </c>
      <c r="D176" s="31" t="inlineStr">
        <is>
          <t>Vaibhav Global Limited</t>
        </is>
      </c>
      <c r="E176" s="31" t="inlineStr">
        <is>
          <t>consumer discretionary</t>
        </is>
      </c>
      <c r="F176" s="31" t="inlineStr">
        <is>
          <t>diamond cutting / jewellery</t>
        </is>
      </c>
      <c r="G176" s="31" t="inlineStr">
        <is>
          <t>smallcap</t>
        </is>
      </c>
      <c r="H176" s="32" t="n">
        <v>4196.24</v>
      </c>
      <c r="I176" s="32" t="n">
        <v>253.13</v>
      </c>
      <c r="J176" s="32" t="n">
        <v>0.78</v>
      </c>
      <c r="K176" s="32" t="n">
        <v>393132</v>
      </c>
      <c r="L176" s="31" t="n">
        <v>24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59.25</v>
      </c>
      <c r="P176" s="32" t="n">
        <v>17.99</v>
      </c>
      <c r="Q176" s="32" t="n">
        <v>198.86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-3.56</v>
      </c>
      <c r="U176" s="32" t="n">
        <v>5.38</v>
      </c>
      <c r="V176" s="32" t="n">
        <v>9.27</v>
      </c>
      <c r="W176" s="32" t="n">
        <v>4.12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IF(B177=0,"",RANK(B177,$B$2:$B$362,0))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IKIO</t>
        </is>
      </c>
      <c r="D177" s="31" t="inlineStr">
        <is>
          <t>IKIO Lighting Ltd</t>
        </is>
      </c>
      <c r="E177" s="31" t="inlineStr">
        <is>
          <t>consumer discretionary</t>
        </is>
      </c>
      <c r="F177" s="31" t="inlineStr">
        <is>
          <t>electric equipment</t>
        </is>
      </c>
      <c r="G177" s="31" t="inlineStr">
        <is>
          <t>smallcap</t>
        </is>
      </c>
      <c r="H177" s="32" t="n">
        <v>1654.12</v>
      </c>
      <c r="I177" s="32" t="n">
        <v>215.66</v>
      </c>
      <c r="J177" s="32" t="n">
        <v>0.76</v>
      </c>
      <c r="K177" s="32" t="n">
        <v>1152551</v>
      </c>
      <c r="L177" s="31" t="n">
        <v>63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68.56</v>
      </c>
      <c r="P177" s="32" t="n">
        <v>21.24</v>
      </c>
      <c r="Q177" s="32" t="n">
        <v>153.21</v>
      </c>
      <c r="R177" s="31" t="inlineStr">
        <is>
          <t>Earnings / Momentum Support</t>
        </is>
      </c>
      <c r="S177" s="31" t="inlineStr">
        <is>
          <t>Nifty 50</t>
        </is>
      </c>
      <c r="T177" s="32" t="n">
        <v>-3.56</v>
      </c>
      <c r="U177" s="32" t="n">
        <v>2.9</v>
      </c>
      <c r="V177" s="32" t="n">
        <v>6.7</v>
      </c>
      <c r="W177" s="32" t="n">
        <v>12.88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Less than 50%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IF(B178=0,"",RANK(B178,$B$2:$B$362,0))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NITINSPIN</t>
        </is>
      </c>
      <c r="D178" s="31" t="inlineStr">
        <is>
          <t>Nitin Spinners Limited</t>
        </is>
      </c>
      <c r="E178" s="31" t="inlineStr">
        <is>
          <t>textiles</t>
        </is>
      </c>
      <c r="F178" s="31" t="inlineStr">
        <is>
          <t>textiles - cotton/blended</t>
        </is>
      </c>
      <c r="G178" s="31" t="inlineStr">
        <is>
          <t>smallcap</t>
        </is>
      </c>
      <c r="H178" s="32" t="n">
        <v>3118.52</v>
      </c>
      <c r="I178" s="32" t="n">
        <v>558.8</v>
      </c>
      <c r="J178" s="32" t="n">
        <v>0.74</v>
      </c>
      <c r="K178" s="32" t="n">
        <v>126814</v>
      </c>
      <c r="L178" s="31" t="n">
        <v>71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71.70999999999999</v>
      </c>
      <c r="P178" s="32" t="n">
        <v>68.65000000000001</v>
      </c>
      <c r="Q178" s="32" t="n">
        <v>451</v>
      </c>
      <c r="R178" s="31" t="inlineStr">
        <is>
          <t>Near 52W High Breakout</t>
        </is>
      </c>
      <c r="S178" s="31" t="inlineStr">
        <is>
          <t>Nifty 50</t>
        </is>
      </c>
      <c r="T178" s="32" t="n">
        <v>-3.56</v>
      </c>
      <c r="U178" s="32" t="n">
        <v>43.96</v>
      </c>
      <c r="V178" s="32" t="n">
        <v>49.28</v>
      </c>
      <c r="W178" s="32" t="n">
        <v>15.48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IF(B179=0,"",RANK(B179,$B$2:$B$362,0))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DIACABS</t>
        </is>
      </c>
      <c r="D179" s="31" t="inlineStr">
        <is>
          <t>Diamond Power Infrastructure Ltd</t>
        </is>
      </c>
      <c r="E179" s="31" t="inlineStr">
        <is>
          <t>industrials</t>
        </is>
      </c>
      <c r="F179" s="31" t="inlineStr">
        <is>
          <t>cables - power</t>
        </is>
      </c>
      <c r="G179" s="31" t="inlineStr">
        <is>
          <t>midcap</t>
        </is>
      </c>
      <c r="H179" s="32" t="n">
        <v>11855.27</v>
      </c>
      <c r="I179" s="32" t="n">
        <v>226.49</v>
      </c>
      <c r="J179" s="32" t="n">
        <v>0.68</v>
      </c>
      <c r="K179" s="32" t="n">
        <v>2465448</v>
      </c>
      <c r="L179" s="31" t="n">
        <v>78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75</v>
      </c>
      <c r="P179" s="32" t="n">
        <v>49.92</v>
      </c>
      <c r="Q179" s="32" t="n">
        <v>171.49</v>
      </c>
      <c r="R179" s="31" t="inlineStr">
        <is>
          <t>Near 52W High Breakout</t>
        </is>
      </c>
      <c r="S179" s="31" t="inlineStr">
        <is>
          <t>Nifty Energy</t>
        </is>
      </c>
      <c r="T179" s="32" t="n">
        <v>8.69</v>
      </c>
      <c r="U179" s="32" t="n">
        <v>34.13</v>
      </c>
      <c r="V179" s="32" t="n">
        <v>23.4</v>
      </c>
      <c r="W179" s="32" t="n">
        <v>18.69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Negative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IF(B180=0,"",RANK(B180,$B$2:$B$362,0))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SWANDEF</t>
        </is>
      </c>
      <c r="D180" s="31" t="inlineStr">
        <is>
          <t>Swan Defence and Heavy Industries Ltd</t>
        </is>
      </c>
      <c r="E180" s="31" t="inlineStr">
        <is>
          <t>transportation</t>
        </is>
      </c>
      <c r="F180" s="31" t="inlineStr">
        <is>
          <t>miscellaneous</t>
        </is>
      </c>
      <c r="G180" s="31" t="inlineStr">
        <is>
          <t>midcap</t>
        </is>
      </c>
      <c r="H180" s="32" t="n">
        <v>11630.11</v>
      </c>
      <c r="I180" s="32" t="n">
        <v>2215.5</v>
      </c>
      <c r="J180" s="32" t="n">
        <v>0.36</v>
      </c>
      <c r="K180" s="32" t="n">
        <v>5081</v>
      </c>
      <c r="L180" s="31" t="n">
        <v>99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65.05</v>
      </c>
      <c r="P180" s="32" t="n">
        <v>46.09</v>
      </c>
      <c r="Q180" s="32" t="n">
        <v>1795.63</v>
      </c>
      <c r="R180" s="31" t="inlineStr">
        <is>
          <t>Earnings / Momentum Support</t>
        </is>
      </c>
      <c r="S180" s="31" t="inlineStr">
        <is>
          <t>Nifty 50</t>
        </is>
      </c>
      <c r="T180" s="32" t="n">
        <v>-3.56</v>
      </c>
      <c r="U180" s="32" t="n">
        <v>669.1900000000001</v>
      </c>
      <c r="V180" s="32" t="n">
        <v>697.62</v>
      </c>
      <c r="W180" s="32" t="n">
        <v>68.8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Negative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More than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IF(B181=0,"",RANK(B181,$B$2:$B$362,0))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UNIMECH</t>
        </is>
      </c>
      <c r="D181" s="31" t="inlineStr">
        <is>
          <t>Unimech Aerospace and Manufacturing Ltd</t>
        </is>
      </c>
      <c r="E181" s="31" t="inlineStr">
        <is>
          <t>aerospace &amp; defence</t>
        </is>
      </c>
      <c r="F181" s="31" t="inlineStr">
        <is>
          <t>engineering</t>
        </is>
      </c>
      <c r="G181" s="31" t="inlineStr">
        <is>
          <t>midcap</t>
        </is>
      </c>
      <c r="H181" s="32" t="n">
        <v>6115.03</v>
      </c>
      <c r="I181" s="32" t="n">
        <v>1206.5</v>
      </c>
      <c r="J181" s="32" t="n">
        <v>0.34</v>
      </c>
      <c r="K181" s="32" t="n">
        <v>78420</v>
      </c>
      <c r="L181" s="31" t="n">
        <v>35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64.84</v>
      </c>
      <c r="P181" s="32" t="n">
        <v>25.05</v>
      </c>
      <c r="Q181" s="32" t="n">
        <v>890.15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-3.56</v>
      </c>
      <c r="U181" s="32" t="n">
        <v>0.23</v>
      </c>
      <c r="V181" s="32" t="n">
        <v>3.94</v>
      </c>
      <c r="W181" s="32" t="n">
        <v>6.08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IF(B182=0,"",RANK(B182,$B$2:$B$362,0))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POLYPLEX</t>
        </is>
      </c>
      <c r="D182" s="33" t="inlineStr">
        <is>
          <t>Polyplex Corporation Limited</t>
        </is>
      </c>
      <c r="E182" s="31" t="inlineStr">
        <is>
          <t>industrials</t>
        </is>
      </c>
      <c r="F182" s="31" t="inlineStr">
        <is>
          <t>packaging</t>
        </is>
      </c>
      <c r="G182" s="31" t="inlineStr">
        <is>
          <t>smallcap</t>
        </is>
      </c>
      <c r="H182" s="32" t="n">
        <v>3336.08</v>
      </c>
      <c r="I182" s="32" t="n">
        <v>1066.05</v>
      </c>
      <c r="J182" s="32" t="n">
        <v>0.32</v>
      </c>
      <c r="K182" s="32" t="n">
        <v>55073</v>
      </c>
      <c r="L182" s="31" t="n">
        <v>22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66.72</v>
      </c>
      <c r="P182" s="32" t="n">
        <v>39.6</v>
      </c>
      <c r="Q182" s="32" t="n">
        <v>856.36</v>
      </c>
      <c r="R182" s="31" t="inlineStr">
        <is>
          <t>Near 52W High Breakout</t>
        </is>
      </c>
      <c r="S182" s="31" t="inlineStr">
        <is>
          <t>Nifty Infra</t>
        </is>
      </c>
      <c r="T182" s="32" t="n">
        <v>1.31</v>
      </c>
      <c r="U182" s="32" t="n">
        <v>-5.13</v>
      </c>
      <c r="V182" s="32" t="n">
        <v>-6.36</v>
      </c>
      <c r="W182" s="32" t="n">
        <v>3.87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IF(B183=0,"",RANK(B183,$B$2:$B$362,0))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KERNEX</t>
        </is>
      </c>
      <c r="D183" s="31" t="inlineStr">
        <is>
          <t>Kernex Microsystems (india) Limited</t>
        </is>
      </c>
      <c r="E183" s="31" t="inlineStr">
        <is>
          <t>consumer discretionary</t>
        </is>
      </c>
      <c r="F183" s="31" t="inlineStr">
        <is>
          <t>electronics - components</t>
        </is>
      </c>
      <c r="G183" s="31" t="inlineStr">
        <is>
          <t>smallcap</t>
        </is>
      </c>
      <c r="H183" s="32" t="n">
        <v>3684.6</v>
      </c>
      <c r="I183" s="32" t="n">
        <v>2195.1</v>
      </c>
      <c r="J183" s="32" t="n">
        <v>0.1</v>
      </c>
      <c r="K183" s="32" t="n">
        <v>79203</v>
      </c>
      <c r="L183" s="31" t="n">
        <v>94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70.08</v>
      </c>
      <c r="P183" s="32" t="n">
        <v>48.01</v>
      </c>
      <c r="Q183" s="32" t="n">
        <v>1756.38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-3.56</v>
      </c>
      <c r="U183" s="32" t="n">
        <v>94.36</v>
      </c>
      <c r="V183" s="32" t="n">
        <v>101.54</v>
      </c>
      <c r="W183" s="32" t="n">
        <v>36.04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Negative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IF(B184=0,"",RANK(B184,$B$2:$B$362,0))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BOSCHLTD</t>
        </is>
      </c>
      <c r="D184" s="33" t="inlineStr">
        <is>
          <t>Bosch Limited</t>
        </is>
      </c>
      <c r="E184" s="31" t="inlineStr">
        <is>
          <t>auto</t>
        </is>
      </c>
      <c r="F184" s="31" t="inlineStr">
        <is>
          <t>auto ancillaries</t>
        </is>
      </c>
      <c r="G184" s="31" t="inlineStr">
        <is>
          <t>largecap</t>
        </is>
      </c>
      <c r="H184" s="32" t="n">
        <v>122280.63</v>
      </c>
      <c r="I184" s="32" t="n">
        <v>41485</v>
      </c>
      <c r="J184" s="32" t="n">
        <v>0.06</v>
      </c>
      <c r="K184" s="32" t="n">
        <v>17566</v>
      </c>
      <c r="L184" s="31" t="n">
        <v>24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63.58</v>
      </c>
      <c r="P184" s="32" t="n">
        <v>25.99</v>
      </c>
      <c r="Q184" s="32" t="n">
        <v>35452.11</v>
      </c>
      <c r="R184" s="31" t="inlineStr">
        <is>
          <t>Near 52W High Breakout</t>
        </is>
      </c>
      <c r="S184" s="31" t="inlineStr">
        <is>
          <t>Nifty Auto</t>
        </is>
      </c>
      <c r="T184" s="32" t="n">
        <v>11.51</v>
      </c>
      <c r="U184" s="32" t="n">
        <v>9.82</v>
      </c>
      <c r="V184" s="32" t="n">
        <v>-1.51</v>
      </c>
      <c r="W184" s="32" t="n">
        <v>4.11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IF(B185=0,"",RANK(B185,$B$2:$B$362,0))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SONACOMS</t>
        </is>
      </c>
      <c r="D185" s="31" t="inlineStr">
        <is>
          <t>Sona BLW Precision Forgings Ltd</t>
        </is>
      </c>
      <c r="E185" s="31" t="inlineStr">
        <is>
          <t>auto</t>
        </is>
      </c>
      <c r="F185" s="31" t="inlineStr">
        <is>
          <t>auto ancillaries</t>
        </is>
      </c>
      <c r="G185" s="31" t="inlineStr">
        <is>
          <t>largecap</t>
        </is>
      </c>
      <c r="H185" s="32" t="n">
        <v>41464.75</v>
      </c>
      <c r="I185" s="32" t="n">
        <v>667.05</v>
      </c>
      <c r="J185" s="32" t="n">
        <v>0.04</v>
      </c>
      <c r="K185" s="32" t="n">
        <v>2257584</v>
      </c>
      <c r="L185" s="31" t="n">
        <v>53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71.03</v>
      </c>
      <c r="P185" s="32" t="n">
        <v>38.71</v>
      </c>
      <c r="Q185" s="32" t="n">
        <v>564.09</v>
      </c>
      <c r="R185" s="31" t="inlineStr">
        <is>
          <t>Near 52W High Breakout</t>
        </is>
      </c>
      <c r="S185" s="31" t="inlineStr">
        <is>
          <t>Nifty Auto</t>
        </is>
      </c>
      <c r="T185" s="32" t="n">
        <v>11.51</v>
      </c>
      <c r="U185" s="32" t="n">
        <v>40.35</v>
      </c>
      <c r="V185" s="32" t="n">
        <v>25.86</v>
      </c>
      <c r="W185" s="32" t="n">
        <v>10.28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Between 12 to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Between 50% to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IF(B186=0,"",RANK(B186,$B$2:$B$362,0))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EXIDEIND</t>
        </is>
      </c>
      <c r="D186" s="33" t="inlineStr">
        <is>
          <t>Exide Industries Limited</t>
        </is>
      </c>
      <c r="E186" s="31" t="inlineStr">
        <is>
          <t>auto</t>
        </is>
      </c>
      <c r="F186" s="31" t="inlineStr">
        <is>
          <t>auto ancillaries</t>
        </is>
      </c>
      <c r="G186" s="31" t="inlineStr">
        <is>
          <t>largecap</t>
        </is>
      </c>
      <c r="H186" s="32" t="n">
        <v>35653.25</v>
      </c>
      <c r="I186" s="32" t="n">
        <v>419.2</v>
      </c>
      <c r="J186" s="32" t="n">
        <v>-0.06</v>
      </c>
      <c r="K186" s="32" t="n">
        <v>1659682</v>
      </c>
      <c r="L186" s="31" t="n">
        <v>45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66.3</v>
      </c>
      <c r="P186" s="32" t="n">
        <v>31.08</v>
      </c>
      <c r="Q186" s="32" t="n">
        <v>351.44</v>
      </c>
      <c r="R186" s="31" t="inlineStr">
        <is>
          <t>Near 52W High Breakout</t>
        </is>
      </c>
      <c r="S186" s="31" t="inlineStr">
        <is>
          <t>Nifty Auto</t>
        </is>
      </c>
      <c r="T186" s="32" t="n">
        <v>11.51</v>
      </c>
      <c r="U186" s="32" t="n">
        <v>9.68</v>
      </c>
      <c r="V186" s="32" t="n">
        <v>-1.65</v>
      </c>
      <c r="W186" s="32" t="n">
        <v>8.279999999999999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IF(B187=0,"",RANK(B187,$B$2:$B$362,0))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CCAVENUE</t>
        </is>
      </c>
      <c r="D187" s="31" t="inlineStr">
        <is>
          <t>AvenuesAI Ltd</t>
        </is>
      </c>
      <c r="E187" s="31" t="inlineStr">
        <is>
          <t>i.t</t>
        </is>
      </c>
      <c r="F187" s="31" t="inlineStr">
        <is>
          <t>miscellaneous</t>
        </is>
      </c>
      <c r="G187" s="31" t="inlineStr">
        <is>
          <t>midcap</t>
        </is>
      </c>
      <c r="H187" s="32" t="n">
        <v>6230.62</v>
      </c>
      <c r="I187" s="32" t="n">
        <v>17.77</v>
      </c>
      <c r="J187" s="32" t="n">
        <v>-0.28</v>
      </c>
      <c r="K187" s="32" t="n">
        <v>10803786</v>
      </c>
      <c r="L187" s="31" t="n">
        <v>37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61.17</v>
      </c>
      <c r="P187" s="32" t="n">
        <v>16.59</v>
      </c>
      <c r="Q187" s="32" t="n">
        <v>13.82</v>
      </c>
      <c r="R187" s="31" t="inlineStr">
        <is>
          <t>Earnings / Momentum Support</t>
        </is>
      </c>
      <c r="S187" s="31" t="inlineStr">
        <is>
          <t>Nifty IT</t>
        </is>
      </c>
      <c r="T187" s="32" t="n">
        <v>-23.18</v>
      </c>
      <c r="U187" s="32" t="n">
        <v>11.69</v>
      </c>
      <c r="V187" s="32" t="n">
        <v>45.39</v>
      </c>
      <c r="W187" s="32" t="n">
        <v>6.52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IF(B188=0,"",RANK(B188,$B$2:$B$362,0))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VISAKAIND</t>
        </is>
      </c>
      <c r="D188" s="33" t="inlineStr">
        <is>
          <t>Visaka Industries Limited</t>
        </is>
      </c>
      <c r="E188" s="31" t="inlineStr">
        <is>
          <t>building materials</t>
        </is>
      </c>
      <c r="F188" s="31" t="inlineStr">
        <is>
          <t>cement products</t>
        </is>
      </c>
      <c r="G188" s="31" t="inlineStr">
        <is>
          <t>smallcap</t>
        </is>
      </c>
      <c r="H188" s="32" t="n">
        <v>725.89</v>
      </c>
      <c r="I188" s="32" t="n">
        <v>83.56999999999999</v>
      </c>
      <c r="J188" s="32" t="n">
        <v>-0.52</v>
      </c>
      <c r="K188" s="32" t="n">
        <v>301047</v>
      </c>
      <c r="L188" s="31" t="n">
        <v>41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70.62</v>
      </c>
      <c r="P188" s="32" t="n">
        <v>26.89</v>
      </c>
      <c r="Q188" s="32" t="n">
        <v>65.87</v>
      </c>
      <c r="R188" s="31" t="inlineStr">
        <is>
          <t>Earnings / Momentum Support</t>
        </is>
      </c>
      <c r="S188" s="31" t="inlineStr">
        <is>
          <t>Nifty Infra</t>
        </is>
      </c>
      <c r="T188" s="32" t="n">
        <v>1.31</v>
      </c>
      <c r="U188" s="32" t="n">
        <v>0.6899999999999999</v>
      </c>
      <c r="V188" s="32" t="n">
        <v>-0.61</v>
      </c>
      <c r="W188" s="32" t="n">
        <v>7.28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IF(B189=0,"",RANK(B189,$B$2:$B$362,0))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AVL</t>
        </is>
      </c>
      <c r="D189" s="31" t="inlineStr">
        <is>
          <t>Aditya Vision Ltd</t>
        </is>
      </c>
      <c r="E189" s="31" t="inlineStr">
        <is>
          <t>consumer discretionary</t>
        </is>
      </c>
      <c r="F189" s="31" t="inlineStr">
        <is>
          <t>trading</t>
        </is>
      </c>
      <c r="G189" s="31" t="inlineStr">
        <is>
          <t>midcap</t>
        </is>
      </c>
      <c r="H189" s="32" t="n">
        <v>8206.08</v>
      </c>
      <c r="I189" s="32" t="n">
        <v>630.9</v>
      </c>
      <c r="J189" s="32" t="n">
        <v>-0.72</v>
      </c>
      <c r="K189" s="32" t="n">
        <v>73380</v>
      </c>
      <c r="L189" s="31" t="n">
        <v>72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65.09999999999999</v>
      </c>
      <c r="P189" s="32" t="n">
        <v>37.46</v>
      </c>
      <c r="Q189" s="32" t="n">
        <v>523.51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-3.56</v>
      </c>
      <c r="U189" s="32" t="n">
        <v>63.89</v>
      </c>
      <c r="V189" s="32" t="n">
        <v>69.95</v>
      </c>
      <c r="W189" s="32" t="n">
        <v>15.97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Between 1.5 to 2</t>
        </is>
      </c>
      <c r="BU189" s="31">
        <f>IF(BT189="Above 2",0,IF(BT189="Between 1.5 to 2",5,IF(BT189="Less than 1.5",10,0)))</f>
        <v/>
      </c>
      <c r="BV189" s="31" t="inlineStr">
        <is>
          <t>Less than 50%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Between 0.7 to 1.2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IF(B190=0,"",RANK(B190,$B$2:$B$362,0))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ADANIENSOL</t>
        </is>
      </c>
      <c r="D190" s="31" t="inlineStr">
        <is>
          <t>Adani Energy Solutions Ltd</t>
        </is>
      </c>
      <c r="E190" s="31" t="inlineStr">
        <is>
          <t>power &amp; utilities</t>
        </is>
      </c>
      <c r="F190" s="31" t="inlineStr">
        <is>
          <t>power generation and supply</t>
        </is>
      </c>
      <c r="G190" s="31" t="inlineStr">
        <is>
          <t>largecap</t>
        </is>
      </c>
      <c r="H190" s="32" t="n">
        <v>203052.81</v>
      </c>
      <c r="I190" s="32" t="n">
        <v>1678</v>
      </c>
      <c r="J190" s="32" t="n">
        <v>-0.73</v>
      </c>
      <c r="K190" s="32" t="n">
        <v>1169342</v>
      </c>
      <c r="L190" s="31" t="n">
        <v>83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74.59999999999999</v>
      </c>
      <c r="P190" s="32" t="n">
        <v>51.79</v>
      </c>
      <c r="Q190" s="32" t="n">
        <v>1340.46</v>
      </c>
      <c r="R190" s="31" t="inlineStr">
        <is>
          <t>Near 52W High Breakout</t>
        </is>
      </c>
      <c r="S190" s="31" t="inlineStr">
        <is>
          <t>Nifty IT</t>
        </is>
      </c>
      <c r="T190" s="32" t="n">
        <v>-23.18</v>
      </c>
      <c r="U190" s="32" t="n">
        <v>93.02</v>
      </c>
      <c r="V190" s="32" t="n">
        <v>151.26</v>
      </c>
      <c r="W190" s="32" t="n">
        <v>21.94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More than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IF(B191=0,"",RANK(B191,$B$2:$B$362,0))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OBEROIRLTY</t>
        </is>
      </c>
      <c r="D191" s="31" t="inlineStr">
        <is>
          <t>Oberoi Realty Limited</t>
        </is>
      </c>
      <c r="E191" s="31" t="inlineStr">
        <is>
          <t>realty</t>
        </is>
      </c>
      <c r="F191" s="31" t="inlineStr">
        <is>
          <t>construction</t>
        </is>
      </c>
      <c r="G191" s="31" t="inlineStr">
        <is>
          <t>largecap</t>
        </is>
      </c>
      <c r="H191" s="32" t="n">
        <v>69684.37</v>
      </c>
      <c r="I191" s="32" t="n">
        <v>1887.7</v>
      </c>
      <c r="J191" s="32" t="n">
        <v>-1.5</v>
      </c>
      <c r="K191" s="32" t="n">
        <v>297998</v>
      </c>
      <c r="L191" s="31" t="n">
        <v>18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64.59</v>
      </c>
      <c r="P191" s="32" t="n">
        <v>16.31</v>
      </c>
      <c r="Q191" s="32" t="n">
        <v>1615.9</v>
      </c>
      <c r="R191" s="31" t="inlineStr">
        <is>
          <t>Near 52W High Breakout</t>
        </is>
      </c>
      <c r="S191" s="31" t="inlineStr">
        <is>
          <t>Nifty Realty</t>
        </is>
      </c>
      <c r="T191" s="32" t="n">
        <v>-8.48</v>
      </c>
      <c r="U191" s="32" t="n">
        <v>3.38</v>
      </c>
      <c r="V191" s="32" t="n">
        <v>12.95</v>
      </c>
      <c r="W191" s="32" t="n">
        <v>2.93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Less than 50%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IF(B192=0,"",RANK(B192,$B$2:$B$362,0))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PANACHE</t>
        </is>
      </c>
      <c r="D192" s="31" t="inlineStr">
        <is>
          <t>Panache Digilife Ltd</t>
        </is>
      </c>
      <c r="E192" s="31" t="inlineStr">
        <is>
          <t>i.t</t>
        </is>
      </c>
      <c r="F192" s="31" t="inlineStr">
        <is>
          <t>computers - hardware</t>
        </is>
      </c>
      <c r="G192" s="31" t="inlineStr">
        <is>
          <t>smallcap</t>
        </is>
      </c>
      <c r="H192" s="32" t="n">
        <v>717.35</v>
      </c>
      <c r="I192" s="32" t="n">
        <v>439.95</v>
      </c>
      <c r="J192" s="32" t="n">
        <v>-1.79</v>
      </c>
      <c r="K192" s="32" t="n">
        <v>15244</v>
      </c>
      <c r="L192" s="31" t="n">
        <v>85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64.5</v>
      </c>
      <c r="P192" s="32" t="n">
        <v>20.3</v>
      </c>
      <c r="Q192" s="32" t="n">
        <v>312.13</v>
      </c>
      <c r="R192" s="31" t="inlineStr">
        <is>
          <t>Near 52W High Breakout</t>
        </is>
      </c>
      <c r="S192" s="31" t="inlineStr">
        <is>
          <t>Nifty IT</t>
        </is>
      </c>
      <c r="T192" s="32" t="n">
        <v>-23.18</v>
      </c>
      <c r="U192" s="32" t="n">
        <v>71.58</v>
      </c>
      <c r="V192" s="32" t="n">
        <v>123.35</v>
      </c>
      <c r="W192" s="32" t="n">
        <v>23.64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Negative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IF(B193=0,"",RANK(B193,$B$2:$B$362,0))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BORORENEW</t>
        </is>
      </c>
      <c r="D193" s="31" t="inlineStr">
        <is>
          <t>Borosil Renewables Ltd</t>
        </is>
      </c>
      <c r="E193" s="31" t="inlineStr">
        <is>
          <t>building materials</t>
        </is>
      </c>
      <c r="F193" s="31" t="inlineStr">
        <is>
          <t>glass &amp; glass products</t>
        </is>
      </c>
      <c r="G193" s="31" t="inlineStr">
        <is>
          <t>midcap</t>
        </is>
      </c>
      <c r="H193" s="32" t="n">
        <v>8896.379999999999</v>
      </c>
      <c r="I193" s="32" t="n">
        <v>620.5</v>
      </c>
      <c r="J193" s="32" t="n">
        <v>-2.22</v>
      </c>
      <c r="K193" s="32" t="n">
        <v>873416</v>
      </c>
      <c r="L193" s="31" t="n">
        <v>39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62.6</v>
      </c>
      <c r="P193" s="32" t="n">
        <v>26.04</v>
      </c>
      <c r="Q193" s="32" t="n">
        <v>491.94</v>
      </c>
      <c r="R193" s="31" t="inlineStr">
        <is>
          <t>Earnings / Momentum Support</t>
        </is>
      </c>
      <c r="S193" s="31" t="inlineStr">
        <is>
          <t>Nifty Infra</t>
        </is>
      </c>
      <c r="T193" s="32" t="n">
        <v>1.31</v>
      </c>
      <c r="U193" s="32" t="n">
        <v>5.89</v>
      </c>
      <c r="V193" s="32" t="n">
        <v>4.52</v>
      </c>
      <c r="W193" s="32" t="n">
        <v>7.01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IF(B194=0,"",RANK(B194,$B$2:$B$362,0))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ADANIGREEN</t>
        </is>
      </c>
      <c r="D194" s="31" t="inlineStr">
        <is>
          <t>Adani Green Energy Ltd</t>
        </is>
      </c>
      <c r="E194" s="31" t="inlineStr">
        <is>
          <t>power &amp; utilities</t>
        </is>
      </c>
      <c r="F194" s="31" t="inlineStr">
        <is>
          <t>power generation and supply</t>
        </is>
      </c>
      <c r="G194" s="31" t="inlineStr">
        <is>
          <t>largecap</t>
        </is>
      </c>
      <c r="H194" s="32" t="n">
        <v>264289.41</v>
      </c>
      <c r="I194" s="32" t="n">
        <v>1555.4</v>
      </c>
      <c r="J194" s="32" t="n">
        <v>-3.06</v>
      </c>
      <c r="K194" s="32" t="n">
        <v>2364593</v>
      </c>
      <c r="L194" s="31" t="n">
        <v>76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73.89</v>
      </c>
      <c r="P194" s="32" t="n">
        <v>52.62</v>
      </c>
      <c r="Q194" s="32" t="n">
        <v>1247.35</v>
      </c>
      <c r="R194" s="31" t="inlineStr">
        <is>
          <t>Near 52W High Breakout</t>
        </is>
      </c>
      <c r="S194" s="31" t="inlineStr">
        <is>
          <t>Nifty IT</t>
        </is>
      </c>
      <c r="T194" s="32" t="n">
        <v>-23.18</v>
      </c>
      <c r="U194" s="32" t="n">
        <v>50.98</v>
      </c>
      <c r="V194" s="32" t="n">
        <v>96.54000000000001</v>
      </c>
      <c r="W194" s="32" t="n">
        <v>17.5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More than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IF(B195=0,"",RANK(B195,$B$2:$B$362,0))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AJANTPHARM</t>
        </is>
      </c>
      <c r="D195" s="31" t="inlineStr">
        <is>
          <t>Ajanta Pharma Limited</t>
        </is>
      </c>
      <c r="E195" s="31" t="inlineStr">
        <is>
          <t>healthcare</t>
        </is>
      </c>
      <c r="F195" s="31" t="inlineStr">
        <is>
          <t>pharmaceuticals - indian - formulations</t>
        </is>
      </c>
      <c r="G195" s="31" t="inlineStr">
        <is>
          <t>largecap</t>
        </is>
      </c>
      <c r="H195" s="32" t="n">
        <v>42588.06</v>
      </c>
      <c r="I195" s="32" t="n">
        <v>3454.9</v>
      </c>
      <c r="J195" s="32" t="n">
        <v>1.35</v>
      </c>
      <c r="K195" s="32" t="n">
        <v>49219</v>
      </c>
      <c r="L195" s="31" t="n">
        <v>53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70.25</v>
      </c>
      <c r="P195" s="32" t="n">
        <v>39.56</v>
      </c>
      <c r="Q195" s="32" t="n">
        <v>2879.04</v>
      </c>
      <c r="R195" s="31" t="inlineStr">
        <is>
          <t>Near 52W High Breakout</t>
        </is>
      </c>
      <c r="S195" s="31" t="inlineStr">
        <is>
          <t>Nifty Pharma</t>
        </is>
      </c>
      <c r="T195" s="32" t="n">
        <v>15.1</v>
      </c>
      <c r="U195" s="32" t="n">
        <v>25.97</v>
      </c>
      <c r="V195" s="32" t="n">
        <v>9.449999999999999</v>
      </c>
      <c r="W195" s="32" t="n">
        <v>10.16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Less than 50%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IF(B196=0,"",RANK(B196,$B$2:$B$362,0))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BLSE</t>
        </is>
      </c>
      <c r="D196" s="31" t="inlineStr">
        <is>
          <t>BLS E-Services Ltd</t>
        </is>
      </c>
      <c r="E196" s="31" t="inlineStr">
        <is>
          <t>i.t</t>
        </is>
      </c>
      <c r="F196" s="31" t="inlineStr">
        <is>
          <t>computers - software - medium / small</t>
        </is>
      </c>
      <c r="G196" s="31" t="inlineStr">
        <is>
          <t>smallcap</t>
        </is>
      </c>
      <c r="H196" s="32" t="n">
        <v>2464.85</v>
      </c>
      <c r="I196" s="32" t="n">
        <v>274.37</v>
      </c>
      <c r="J196" s="32" t="n">
        <v>1.14</v>
      </c>
      <c r="K196" s="32" t="n">
        <v>1102620</v>
      </c>
      <c r="L196" s="31" t="n">
        <v>83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77.25</v>
      </c>
      <c r="P196" s="32" t="n">
        <v>29.93</v>
      </c>
      <c r="Q196" s="32" t="n">
        <v>214.22</v>
      </c>
      <c r="R196" s="31" t="inlineStr">
        <is>
          <t>Near 52W High Breakout</t>
        </is>
      </c>
      <c r="S196" s="31" t="inlineStr">
        <is>
          <t>Nifty IT</t>
        </is>
      </c>
      <c r="T196" s="32" t="n">
        <v>-23.18</v>
      </c>
      <c r="U196" s="32" t="n">
        <v>49.07</v>
      </c>
      <c r="V196" s="32" t="n">
        <v>94.06</v>
      </c>
      <c r="W196" s="32" t="n">
        <v>21.65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Above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Between 50% to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IF(B197=0,"",RANK(B197,$B$2:$B$362,0))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JBCHEPHARM</t>
        </is>
      </c>
      <c r="D197" s="31" t="inlineStr">
        <is>
          <t>Jb Chemicals &amp; Pharmaceuticals Limited</t>
        </is>
      </c>
      <c r="E197" s="31" t="inlineStr">
        <is>
          <t>healthcare</t>
        </is>
      </c>
      <c r="F197" s="31" t="inlineStr">
        <is>
          <t>pharmaceuticals - indian - bulk drugs &amp; formln</t>
        </is>
      </c>
      <c r="G197" s="31" t="inlineStr">
        <is>
          <t>largecap</t>
        </is>
      </c>
      <c r="H197" s="32" t="n">
        <v>39940.58</v>
      </c>
      <c r="I197" s="32" t="n">
        <v>2506</v>
      </c>
      <c r="J197" s="32" t="n">
        <v>0.74</v>
      </c>
      <c r="K197" s="32" t="n">
        <v>717650</v>
      </c>
      <c r="L197" s="31" t="n">
        <v>69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78.34999999999999</v>
      </c>
      <c r="P197" s="32" t="n">
        <v>44.28</v>
      </c>
      <c r="Q197" s="32" t="n">
        <v>2172.34</v>
      </c>
      <c r="R197" s="31" t="inlineStr">
        <is>
          <t>Near 52W High Breakout</t>
        </is>
      </c>
      <c r="S197" s="31" t="inlineStr">
        <is>
          <t>Nifty Pharma</t>
        </is>
      </c>
      <c r="T197" s="32" t="n">
        <v>15.1</v>
      </c>
      <c r="U197" s="32" t="n">
        <v>53.75</v>
      </c>
      <c r="V197" s="32" t="n">
        <v>33.59</v>
      </c>
      <c r="W197" s="32" t="n">
        <v>14.55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Yes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Between 50% to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IF(B198=0,"",RANK(B198,$B$2:$B$362,0))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DALMIASUG</t>
        </is>
      </c>
      <c r="D198" s="31" t="inlineStr">
        <is>
          <t>Dalmia Bharat Sugar And Industries Limited</t>
        </is>
      </c>
      <c r="E198" s="31" t="inlineStr">
        <is>
          <t>fmcg</t>
        </is>
      </c>
      <c r="F198" s="31" t="inlineStr">
        <is>
          <t>sugar</t>
        </is>
      </c>
      <c r="G198" s="31" t="inlineStr">
        <is>
          <t>smallcap</t>
        </is>
      </c>
      <c r="H198" s="32" t="n">
        <v>2946.19</v>
      </c>
      <c r="I198" s="32" t="n">
        <v>357.5</v>
      </c>
      <c r="J198" s="32" t="n">
        <v>-1.79</v>
      </c>
      <c r="K198" s="32" t="n">
        <v>80681</v>
      </c>
      <c r="L198" s="31" t="n">
        <v>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55.77</v>
      </c>
      <c r="P198" s="32" t="n">
        <v>24.57</v>
      </c>
      <c r="Q198" s="32" t="n">
        <v>304.83</v>
      </c>
      <c r="R198" s="31" t="inlineStr">
        <is>
          <t>Earnings / Momentum Support</t>
        </is>
      </c>
      <c r="S198" s="31" t="inlineStr">
        <is>
          <t>Nifty FMCG</t>
        </is>
      </c>
      <c r="T198" s="32" t="n">
        <v>-14.55</v>
      </c>
      <c r="U198" s="32" t="n">
        <v>-8.1</v>
      </c>
      <c r="V198" s="32" t="n">
        <v>7.55</v>
      </c>
      <c r="W198" s="32" t="n">
        <v>-1.24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B2C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Between 50% to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IF(B199=0,"",RANK(B199,$B$2:$B$362,0))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INOXINDIA</t>
        </is>
      </c>
      <c r="D199" s="31" t="inlineStr">
        <is>
          <t>Inox India Ltd</t>
        </is>
      </c>
      <c r="E199" s="31" t="inlineStr">
        <is>
          <t>industrials</t>
        </is>
      </c>
      <c r="F199" s="31" t="inlineStr">
        <is>
          <t>packaging</t>
        </is>
      </c>
      <c r="G199" s="31" t="inlineStr">
        <is>
          <t>midcap</t>
        </is>
      </c>
      <c r="H199" s="32" t="n">
        <v>16807.58</v>
      </c>
      <c r="I199" s="32" t="n">
        <v>1964.4</v>
      </c>
      <c r="J199" s="32" t="n">
        <v>6.08</v>
      </c>
      <c r="K199" s="32" t="n">
        <v>446595</v>
      </c>
      <c r="L199" s="31" t="n">
        <v>75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80.5</v>
      </c>
      <c r="P199" s="32" t="n">
        <v>66.23999999999999</v>
      </c>
      <c r="Q199" s="32" t="n">
        <v>1509.75</v>
      </c>
      <c r="R199" s="31" t="inlineStr">
        <is>
          <t>Near 52W High Breakout</t>
        </is>
      </c>
      <c r="S199" s="31" t="inlineStr">
        <is>
          <t>Nifty 50</t>
        </is>
      </c>
      <c r="T199" s="32" t="n">
        <v>-3.56</v>
      </c>
      <c r="U199" s="32" t="n">
        <v>59.23</v>
      </c>
      <c r="V199" s="32" t="n">
        <v>65.11</v>
      </c>
      <c r="W199" s="32" t="n">
        <v>17.47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Between 12 to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Less than 50%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IF(B200=0,"",RANK(B200,$B$2:$B$362,0))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KRN</t>
        </is>
      </c>
      <c r="D200" s="31" t="inlineStr">
        <is>
          <t>KRN Heat Exchanger and Refrigeration Ltd</t>
        </is>
      </c>
      <c r="E200" s="31" t="inlineStr">
        <is>
          <t>industrials</t>
        </is>
      </c>
      <c r="F200" s="31" t="inlineStr">
        <is>
          <t>engineering</t>
        </is>
      </c>
      <c r="G200" s="31" t="inlineStr">
        <is>
          <t>midcap</t>
        </is>
      </c>
      <c r="H200" s="32" t="n">
        <v>8014.08</v>
      </c>
      <c r="I200" s="32" t="n">
        <v>1285.5</v>
      </c>
      <c r="J200" s="32" t="n">
        <v>5</v>
      </c>
      <c r="K200" s="32" t="n">
        <v>195887</v>
      </c>
      <c r="L200" s="31" t="n">
        <v>64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64.70999999999999</v>
      </c>
      <c r="P200" s="32" t="n">
        <v>38.07</v>
      </c>
      <c r="Q200" s="32" t="n">
        <v>915.02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-3.56</v>
      </c>
      <c r="U200" s="32" t="n">
        <v>51.22</v>
      </c>
      <c r="V200" s="32" t="n">
        <v>56.81</v>
      </c>
      <c r="W200" s="32" t="n">
        <v>13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Between 1.5 to 2</t>
        </is>
      </c>
      <c r="BU200" s="31">
        <f>IF(BT200="Above 2",0,IF(BT200="Between 1.5 to 2",5,IF(BT200="Less than 1.5",10,0)))</f>
        <v/>
      </c>
      <c r="BV200" s="31" t="inlineStr">
        <is>
          <t>Negative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IF(B201=0,"",RANK(B201,$B$2:$B$362,0))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SSWL</t>
        </is>
      </c>
      <c r="D201" s="33" t="inlineStr">
        <is>
          <t>Steel Strips Wheels Limited</t>
        </is>
      </c>
      <c r="E201" s="31" t="inlineStr">
        <is>
          <t>auto</t>
        </is>
      </c>
      <c r="F201" s="31" t="inlineStr">
        <is>
          <t>auto ancillaries</t>
        </is>
      </c>
      <c r="G201" s="31" t="inlineStr">
        <is>
          <t>smallcap</t>
        </is>
      </c>
      <c r="H201" s="32" t="n">
        <v>3936.43</v>
      </c>
      <c r="I201" s="32" t="n">
        <v>262.56</v>
      </c>
      <c r="J201" s="32" t="n">
        <v>4.84</v>
      </c>
      <c r="K201" s="32" t="n">
        <v>18950372</v>
      </c>
      <c r="L201" s="31" t="n">
        <v>30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67.05</v>
      </c>
      <c r="P201" s="32" t="n">
        <v>13.81</v>
      </c>
      <c r="Q201" s="32" t="n">
        <v>200.39</v>
      </c>
      <c r="R201" s="31" t="inlineStr">
        <is>
          <t>Volume Spike &amp; Near 52W High Breakout</t>
        </is>
      </c>
      <c r="S201" s="31" t="inlineStr">
        <is>
          <t>Nifty Auto</t>
        </is>
      </c>
      <c r="T201" s="32" t="n">
        <v>11.51</v>
      </c>
      <c r="U201" s="32" t="n">
        <v>3.08</v>
      </c>
      <c r="V201" s="32" t="n">
        <v>-7.56</v>
      </c>
      <c r="W201" s="32" t="n">
        <v>5.15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Between 50% to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IF(B202=0,"",RANK(B202,$B$2:$B$362,0))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OAL</t>
        </is>
      </c>
      <c r="D202" s="33" t="inlineStr">
        <is>
          <t>Oriental Aromatics Ltd</t>
        </is>
      </c>
      <c r="E202" s="31" t="inlineStr">
        <is>
          <t>chemicals</t>
        </is>
      </c>
      <c r="F202" s="31" t="inlineStr">
        <is>
          <t>chemicals</t>
        </is>
      </c>
      <c r="G202" s="31" t="inlineStr">
        <is>
          <t>smallcap</t>
        </is>
      </c>
      <c r="H202" s="32" t="n">
        <v>1186.79</v>
      </c>
      <c r="I202" s="32" t="n">
        <v>365</v>
      </c>
      <c r="J202" s="32" t="n">
        <v>3.5</v>
      </c>
      <c r="K202" s="32" t="n">
        <v>48916</v>
      </c>
      <c r="L202" s="31" t="n">
        <v>17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64</v>
      </c>
      <c r="P202" s="32" t="n">
        <v>23.8</v>
      </c>
      <c r="Q202" s="32" t="n">
        <v>270.29</v>
      </c>
      <c r="R202" s="31" t="inlineStr">
        <is>
          <t>Near 52W High Breakout</t>
        </is>
      </c>
      <c r="S202" s="31" t="inlineStr">
        <is>
          <t>Nifty 50</t>
        </is>
      </c>
      <c r="T202" s="32" t="n">
        <v>-3.56</v>
      </c>
      <c r="U202" s="32" t="n">
        <v>-9.98</v>
      </c>
      <c r="V202" s="32" t="n">
        <v>-6.65</v>
      </c>
      <c r="W202" s="32" t="n">
        <v>2.64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Less than 50%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IF(B203=0,"",RANK(B203,$B$2:$B$362,0))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NH</t>
        </is>
      </c>
      <c r="D203" s="33" t="inlineStr">
        <is>
          <t>Narayana Hrudayalaya Ltd.</t>
        </is>
      </c>
      <c r="E203" s="31" t="inlineStr">
        <is>
          <t>healthcare</t>
        </is>
      </c>
      <c r="F203" s="31" t="inlineStr">
        <is>
          <t>healthcare</t>
        </is>
      </c>
      <c r="G203" s="31" t="inlineStr">
        <is>
          <t>largecap</t>
        </is>
      </c>
      <c r="H203" s="32" t="n">
        <v>41019.3</v>
      </c>
      <c r="I203" s="32" t="n">
        <v>2037.5</v>
      </c>
      <c r="J203" s="32" t="n">
        <v>1.51</v>
      </c>
      <c r="K203" s="32" t="n">
        <v>120756</v>
      </c>
      <c r="L203" s="31" t="n">
        <v>21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64.06</v>
      </c>
      <c r="P203" s="32" t="n">
        <v>25.03</v>
      </c>
      <c r="Q203" s="32" t="n">
        <v>1707.96</v>
      </c>
      <c r="R203" s="31" t="inlineStr">
        <is>
          <t>Near 52W High Breakout</t>
        </is>
      </c>
      <c r="S203" s="31" t="inlineStr">
        <is>
          <t>Nifty Pharma</t>
        </is>
      </c>
      <c r="T203" s="32" t="n">
        <v>15.1</v>
      </c>
      <c r="U203" s="32" t="n">
        <v>4.63</v>
      </c>
      <c r="V203" s="32" t="n">
        <v>-9.09</v>
      </c>
      <c r="W203" s="32" t="n">
        <v>3.55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Shallow Cyclical (2 to 3 Years Growth)</t>
        </is>
      </c>
      <c r="AG203" s="31">
        <f>IF(AF203="Structural (10 Years Consistency)",10,IF(AF203="Shallow Cyclical (2 to 3 years growth)",5,0))</f>
        <v/>
      </c>
      <c r="AH203" s="31" t="inlineStr">
        <is>
          <t>Yes due to Product Mix change or Operating Leverage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B2C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Between 12 to 20%</t>
        </is>
      </c>
      <c r="BO203" s="31">
        <f>IF(BN203="More than 20%",10,IF(BN203="Between 12 to 20%",5,IF(BN203="Less than 12%",0,0)))</f>
        <v/>
      </c>
      <c r="BP203" s="31" t="inlineStr">
        <is>
          <t>Yes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IF(B204=0,"",RANK(B204,$B$2:$B$362,0))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KKCL</t>
        </is>
      </c>
      <c r="D204" s="33" t="inlineStr">
        <is>
          <t>Kewal Kiran Clothing Limited</t>
        </is>
      </c>
      <c r="E204" s="31" t="inlineStr">
        <is>
          <t>consumer discretionary</t>
        </is>
      </c>
      <c r="F204" s="31" t="inlineStr">
        <is>
          <t>textiles - products</t>
        </is>
      </c>
      <c r="G204" s="31" t="inlineStr">
        <is>
          <t>smallcap</t>
        </is>
      </c>
      <c r="H204" s="32" t="n">
        <v>3043.67</v>
      </c>
      <c r="I204" s="32" t="n">
        <v>501</v>
      </c>
      <c r="J204" s="32" t="n">
        <v>1.44</v>
      </c>
      <c r="K204" s="32" t="n">
        <v>40243</v>
      </c>
      <c r="L204" s="31" t="n">
        <v>5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55.77</v>
      </c>
      <c r="P204" s="32" t="n">
        <v>11.93</v>
      </c>
      <c r="Q204" s="32" t="n">
        <v>415.4</v>
      </c>
      <c r="R204" s="31" t="inlineStr">
        <is>
          <t>Earnings / Momentum Support</t>
        </is>
      </c>
      <c r="S204" s="31" t="inlineStr">
        <is>
          <t>Nifty 50</t>
        </is>
      </c>
      <c r="T204" s="32" t="n">
        <v>-3.56</v>
      </c>
      <c r="U204" s="32" t="n">
        <v>-8.98</v>
      </c>
      <c r="V204" s="32" t="n">
        <v>-5.62</v>
      </c>
      <c r="W204" s="32" t="n">
        <v>-0.8100000000000001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IF(B205=0,"",RANK(B205,$B$2:$B$362,0))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DIVGIITTS</t>
        </is>
      </c>
      <c r="D205" s="31" t="inlineStr">
        <is>
          <t>Divgi Torqtransfer Systems Ltd</t>
        </is>
      </c>
      <c r="E205" s="31" t="inlineStr">
        <is>
          <t>auto</t>
        </is>
      </c>
      <c r="F205" s="31" t="inlineStr">
        <is>
          <t>auto ancillaries</t>
        </is>
      </c>
      <c r="G205" s="31" t="inlineStr">
        <is>
          <t>smallcap</t>
        </is>
      </c>
      <c r="H205" s="32" t="n">
        <v>2904.77</v>
      </c>
      <c r="I205" s="32" t="n">
        <v>962.95</v>
      </c>
      <c r="J205" s="32" t="n">
        <v>1.38</v>
      </c>
      <c r="K205" s="32" t="n">
        <v>106492</v>
      </c>
      <c r="L205" s="31" t="n">
        <v>70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66.79000000000001</v>
      </c>
      <c r="P205" s="32" t="n">
        <v>39.88</v>
      </c>
      <c r="Q205" s="32" t="n">
        <v>768.46</v>
      </c>
      <c r="R205" s="31" t="inlineStr">
        <is>
          <t>Earnings / Momentum Support</t>
        </is>
      </c>
      <c r="S205" s="31" t="inlineStr">
        <is>
          <t>Nifty Auto</t>
        </is>
      </c>
      <c r="T205" s="32" t="n">
        <v>11.51</v>
      </c>
      <c r="U205" s="32" t="n">
        <v>53.96</v>
      </c>
      <c r="V205" s="32" t="n">
        <v>38.07</v>
      </c>
      <c r="W205" s="32" t="n">
        <v>14.89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Between 50% to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IF(B206=0,"",RANK(B206,$B$2:$B$362,0))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NAVNETEDUL</t>
        </is>
      </c>
      <c r="D206" s="31" t="inlineStr">
        <is>
          <t>Navneet Education Limited</t>
        </is>
      </c>
      <c r="E206" s="31" t="inlineStr">
        <is>
          <t>miscellaneous</t>
        </is>
      </c>
      <c r="F206" s="31" t="inlineStr">
        <is>
          <t>printing &amp; stationery</t>
        </is>
      </c>
      <c r="G206" s="31" t="inlineStr">
        <is>
          <t>smallcap</t>
        </is>
      </c>
      <c r="H206" s="32" t="n">
        <v>3285.46</v>
      </c>
      <c r="I206" s="32" t="n">
        <v>150.45</v>
      </c>
      <c r="J206" s="32" t="n">
        <v>1.3</v>
      </c>
      <c r="K206" s="32" t="n">
        <v>282672</v>
      </c>
      <c r="L206" s="31" t="n">
        <v>10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56.62</v>
      </c>
      <c r="P206" s="32" t="n">
        <v>28.4</v>
      </c>
      <c r="Q206" s="32" t="n">
        <v>127.58</v>
      </c>
      <c r="R206" s="31" t="inlineStr">
        <is>
          <t>Earnings / Momentum Support</t>
        </is>
      </c>
      <c r="S206" s="31" t="inlineStr">
        <is>
          <t>Nifty 50</t>
        </is>
      </c>
      <c r="T206" s="32" t="n">
        <v>-3.56</v>
      </c>
      <c r="U206" s="32" t="n">
        <v>6.45</v>
      </c>
      <c r="V206" s="32" t="n">
        <v>10.39</v>
      </c>
      <c r="W206" s="32" t="n">
        <v>0.66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IF(B207=0,"",RANK(B207,$B$2:$B$362,0))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RML</t>
        </is>
      </c>
      <c r="D207" s="31" t="inlineStr">
        <is>
          <t>Rane (madras) Limited</t>
        </is>
      </c>
      <c r="E207" s="31" t="inlineStr">
        <is>
          <t>auto</t>
        </is>
      </c>
      <c r="F207" s="31" t="inlineStr">
        <is>
          <t>auto ancillaries</t>
        </is>
      </c>
      <c r="G207" s="31" t="inlineStr">
        <is>
          <t>smallcap</t>
        </is>
      </c>
      <c r="H207" s="32" t="n">
        <v>3423.96</v>
      </c>
      <c r="I207" s="32" t="n">
        <v>1251.3</v>
      </c>
      <c r="J207" s="32" t="n">
        <v>1</v>
      </c>
      <c r="K207" s="32" t="n">
        <v>18788</v>
      </c>
      <c r="L207" s="31" t="n">
        <v>84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70.88</v>
      </c>
      <c r="P207" s="32" t="n">
        <v>35.96</v>
      </c>
      <c r="Q207" s="32" t="n">
        <v>1015.73</v>
      </c>
      <c r="R207" s="31" t="inlineStr">
        <is>
          <t>Near 52W High Breakout</t>
        </is>
      </c>
      <c r="S207" s="31" t="inlineStr">
        <is>
          <t>Nifty Auto</t>
        </is>
      </c>
      <c r="T207" s="32" t="n">
        <v>11.51</v>
      </c>
      <c r="U207" s="32" t="n">
        <v>42.34</v>
      </c>
      <c r="V207" s="32" t="n">
        <v>27.65</v>
      </c>
      <c r="W207" s="32" t="n">
        <v>22.55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IF(B208=0,"",RANK(B208,$B$2:$B$362,0))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SJS</t>
        </is>
      </c>
      <c r="D208" s="31" t="inlineStr">
        <is>
          <t>S J S Enterprises Ltd</t>
        </is>
      </c>
      <c r="E208" s="31" t="inlineStr">
        <is>
          <t>auto</t>
        </is>
      </c>
      <c r="F208" s="31" t="inlineStr">
        <is>
          <t>plastics products</t>
        </is>
      </c>
      <c r="G208" s="31" t="inlineStr">
        <is>
          <t>midcap</t>
        </is>
      </c>
      <c r="H208" s="32" t="n">
        <v>6908.74</v>
      </c>
      <c r="I208" s="32" t="n">
        <v>2179</v>
      </c>
      <c r="J208" s="32" t="n">
        <v>0.92</v>
      </c>
      <c r="K208" s="32" t="n">
        <v>22179</v>
      </c>
      <c r="L208" s="31" t="n">
        <v>77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63.49</v>
      </c>
      <c r="P208" s="32" t="n">
        <v>34.48</v>
      </c>
      <c r="Q208" s="32" t="n">
        <v>1762.25</v>
      </c>
      <c r="R208" s="31" t="inlineStr">
        <is>
          <t>Near 52W High Breakout</t>
        </is>
      </c>
      <c r="S208" s="31" t="inlineStr">
        <is>
          <t>Nifty Auto</t>
        </is>
      </c>
      <c r="T208" s="32" t="n">
        <v>11.51</v>
      </c>
      <c r="U208" s="32" t="n">
        <v>76.13</v>
      </c>
      <c r="V208" s="32" t="n">
        <v>57.95</v>
      </c>
      <c r="W208" s="32" t="n">
        <v>17.99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IF(B209=0,"",RANK(B209,$B$2:$B$362,0))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TBZ</t>
        </is>
      </c>
      <c r="D209" s="31" t="inlineStr">
        <is>
          <t>Tribhovandas Bhimji Zaveri Limited</t>
        </is>
      </c>
      <c r="E209" s="31" t="inlineStr">
        <is>
          <t>consumer discretionary</t>
        </is>
      </c>
      <c r="F209" s="31" t="inlineStr">
        <is>
          <t>diamond cutting / jewellery</t>
        </is>
      </c>
      <c r="G209" s="31" t="inlineStr">
        <is>
          <t>smallcap</t>
        </is>
      </c>
      <c r="H209" s="32" t="n">
        <v>1734.8</v>
      </c>
      <c r="I209" s="32" t="n">
        <v>262.09</v>
      </c>
      <c r="J209" s="32" t="n">
        <v>0.82</v>
      </c>
      <c r="K209" s="32" t="n">
        <v>8587085</v>
      </c>
      <c r="L209" s="31" t="n">
        <v>86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78.66</v>
      </c>
      <c r="P209" s="32" t="n">
        <v>24.04</v>
      </c>
      <c r="Q209" s="32" t="n">
        <v>196.65</v>
      </c>
      <c r="R209" s="31" t="inlineStr">
        <is>
          <t>Volume Spike &amp; Near 52W High Breakout</t>
        </is>
      </c>
      <c r="S209" s="31" t="inlineStr">
        <is>
          <t>Nifty 50</t>
        </is>
      </c>
      <c r="T209" s="32" t="n">
        <v>-3.56</v>
      </c>
      <c r="U209" s="32" t="n">
        <v>31.91</v>
      </c>
      <c r="V209" s="32" t="n">
        <v>36.78</v>
      </c>
      <c r="W209" s="32" t="n">
        <v>24.58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Less than 50% and Borrowings are increasing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Between 0.7 to 1.2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IF(B210=0,"",RANK(B210,$B$2:$B$362,0))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TIRUPATIFL</t>
        </is>
      </c>
      <c r="D210" s="31" t="inlineStr">
        <is>
          <t>Tirupati Forge Ltd</t>
        </is>
      </c>
      <c r="E210" s="31" t="inlineStr">
        <is>
          <t>industrials</t>
        </is>
      </c>
      <c r="F210" s="31" t="inlineStr">
        <is>
          <t>castings &amp; forgings</t>
        </is>
      </c>
      <c r="G210" s="31" t="inlineStr">
        <is>
          <t>smallcap</t>
        </is>
      </c>
      <c r="H210" s="32" t="n">
        <v>883.53</v>
      </c>
      <c r="I210" s="32" t="n">
        <v>68.90000000000001</v>
      </c>
      <c r="J210" s="32" t="n">
        <v>0.75</v>
      </c>
      <c r="K210" s="32" t="n">
        <v>521087</v>
      </c>
      <c r="L210" s="31" t="n">
        <v>83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78.55</v>
      </c>
      <c r="P210" s="32" t="n">
        <v>35.89</v>
      </c>
      <c r="Q210" s="32" t="n">
        <v>49.62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-3.56</v>
      </c>
      <c r="U210" s="32" t="n">
        <v>61.61</v>
      </c>
      <c r="V210" s="32" t="n">
        <v>67.58</v>
      </c>
      <c r="W210" s="32" t="n">
        <v>21.94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IF(B211=0,"",RANK(B211,$B$2:$B$362,0))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SUNDRMFAST</t>
        </is>
      </c>
      <c r="D211" s="33" t="inlineStr">
        <is>
          <t>Sundram Fasteners Limited</t>
        </is>
      </c>
      <c r="E211" s="31" t="inlineStr">
        <is>
          <t>auto</t>
        </is>
      </c>
      <c r="F211" s="31" t="inlineStr">
        <is>
          <t>auto ancillaries</t>
        </is>
      </c>
      <c r="G211" s="31" t="inlineStr">
        <is>
          <t>largecap</t>
        </is>
      </c>
      <c r="H211" s="32" t="n">
        <v>20167.07</v>
      </c>
      <c r="I211" s="32" t="n">
        <v>962</v>
      </c>
      <c r="J211" s="32" t="n">
        <v>0.23</v>
      </c>
      <c r="K211" s="32" t="n">
        <v>38659</v>
      </c>
      <c r="L211" s="31" t="n">
        <v>17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65.09</v>
      </c>
      <c r="P211" s="32" t="n">
        <v>12.5</v>
      </c>
      <c r="Q211" s="32" t="n">
        <v>807.95</v>
      </c>
      <c r="R211" s="31" t="inlineStr">
        <is>
          <t>Earnings / Momentum Support</t>
        </is>
      </c>
      <c r="S211" s="31" t="inlineStr">
        <is>
          <t>Nifty Auto</t>
        </is>
      </c>
      <c r="T211" s="32" t="n">
        <v>11.51</v>
      </c>
      <c r="U211" s="32" t="n">
        <v>-4.77</v>
      </c>
      <c r="V211" s="32" t="n">
        <v>-14.6</v>
      </c>
      <c r="W211" s="32" t="n">
        <v>2.71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IF(B212=0,"",RANK(B212,$B$2:$B$362,0))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ORBTEXP</t>
        </is>
      </c>
      <c r="D212" s="31" t="inlineStr">
        <is>
          <t>Orbit Exports Limited</t>
        </is>
      </c>
      <c r="E212" s="31" t="inlineStr">
        <is>
          <t>textiles</t>
        </is>
      </c>
      <c r="F212" s="31" t="inlineStr">
        <is>
          <t>textiles - processing</t>
        </is>
      </c>
      <c r="G212" s="31" t="inlineStr">
        <is>
          <t>smallcap</t>
        </is>
      </c>
      <c r="H212" s="32" t="n">
        <v>628.92</v>
      </c>
      <c r="I212" s="32" t="n">
        <v>237.23</v>
      </c>
      <c r="J212" s="32" t="n">
        <v>0</v>
      </c>
      <c r="K212" s="32" t="n">
        <v>4884</v>
      </c>
      <c r="L212" s="31" t="n">
        <v>61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70.47</v>
      </c>
      <c r="P212" s="32" t="n">
        <v>28.73</v>
      </c>
      <c r="Q212" s="32" t="n">
        <v>169.45</v>
      </c>
      <c r="R212" s="31" t="inlineStr">
        <is>
          <t>Earnings / Momentum Support</t>
        </is>
      </c>
      <c r="S212" s="31" t="inlineStr">
        <is>
          <t>Nifty 50</t>
        </is>
      </c>
      <c r="T212" s="32" t="n">
        <v>-3.56</v>
      </c>
      <c r="U212" s="32" t="n">
        <v>10.83</v>
      </c>
      <c r="V212" s="32" t="n">
        <v>14.92</v>
      </c>
      <c r="W212" s="32" t="n">
        <v>12.05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IF(B213=0,"",RANK(B213,$B$2:$B$362,0))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PDSL</t>
        </is>
      </c>
      <c r="D213" s="31" t="inlineStr">
        <is>
          <t>PDS Ltd</t>
        </is>
      </c>
      <c r="E213" s="31" t="inlineStr">
        <is>
          <t>textiles</t>
        </is>
      </c>
      <c r="F213" s="31" t="inlineStr">
        <is>
          <t>trading</t>
        </is>
      </c>
      <c r="G213" s="31" t="inlineStr">
        <is>
          <t>midcap</t>
        </is>
      </c>
      <c r="H213" s="32" t="n">
        <v>5406.63</v>
      </c>
      <c r="I213" s="32" t="n">
        <v>374.5</v>
      </c>
      <c r="J213" s="32" t="n">
        <v>-2.03</v>
      </c>
      <c r="K213" s="32" t="n">
        <v>1713238</v>
      </c>
      <c r="L213" s="31" t="n">
        <v>34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62.73</v>
      </c>
      <c r="P213" s="32" t="n">
        <v>19.54</v>
      </c>
      <c r="Q213" s="32" t="n">
        <v>271.22</v>
      </c>
      <c r="R213" s="31" t="inlineStr">
        <is>
          <t>Volume Spike &amp; Near 52W High Breakout</t>
        </is>
      </c>
      <c r="S213" s="31" t="inlineStr">
        <is>
          <t>Nifty 50</t>
        </is>
      </c>
      <c r="T213" s="32" t="n">
        <v>-3.56</v>
      </c>
      <c r="U213" s="32" t="n">
        <v>-2.32</v>
      </c>
      <c r="V213" s="32" t="n">
        <v>1.29</v>
      </c>
      <c r="W213" s="32" t="n">
        <v>5.9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IF(B214=0,"",RANK(B214,$B$2:$B$362,0))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SPAL</t>
        </is>
      </c>
      <c r="D214" s="31" t="inlineStr">
        <is>
          <t>S. P. Apparels Limited</t>
        </is>
      </c>
      <c r="E214" s="31" t="inlineStr">
        <is>
          <t>consumer discretionary</t>
        </is>
      </c>
      <c r="F214" s="31" t="inlineStr">
        <is>
          <t>textiles - products</t>
        </is>
      </c>
      <c r="G214" s="31" t="inlineStr">
        <is>
          <t>smallcap</t>
        </is>
      </c>
      <c r="H214" s="32" t="n">
        <v>2819.58</v>
      </c>
      <c r="I214" s="32" t="n">
        <v>1076.7</v>
      </c>
      <c r="J214" s="32" t="n">
        <v>-4</v>
      </c>
      <c r="K214" s="32" t="n">
        <v>151754</v>
      </c>
      <c r="L214" s="31" t="n">
        <v>72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70.06</v>
      </c>
      <c r="P214" s="32" t="n">
        <v>39.25</v>
      </c>
      <c r="Q214" s="32" t="n">
        <v>860.03</v>
      </c>
      <c r="R214" s="31" t="inlineStr">
        <is>
          <t>Earnings / Momentum Support</t>
        </is>
      </c>
      <c r="S214" s="31" t="inlineStr">
        <is>
          <t>Nifty 50</t>
        </is>
      </c>
      <c r="T214" s="32" t="n">
        <v>-3.56</v>
      </c>
      <c r="U214" s="32" t="n">
        <v>33.73</v>
      </c>
      <c r="V214" s="32" t="n">
        <v>38.68</v>
      </c>
      <c r="W214" s="32" t="n">
        <v>15.94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IF(B215=0,"",RANK(B215,$B$2:$B$362,0))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E2E</t>
        </is>
      </c>
      <c r="D215" s="31" t="inlineStr">
        <is>
          <t>E2E Networks Ltd</t>
        </is>
      </c>
      <c r="E215" s="31" t="inlineStr">
        <is>
          <t>i.t</t>
        </is>
      </c>
      <c r="F215" s="31" t="inlineStr">
        <is>
          <t>computers - software - medium / small</t>
        </is>
      </c>
      <c r="G215" s="31" t="inlineStr">
        <is>
          <t>smallcap</t>
        </is>
      </c>
      <c r="H215" s="32" t="n">
        <v>811.16</v>
      </c>
      <c r="I215" s="32" t="n">
        <v>410.9</v>
      </c>
      <c r="J215" s="32" t="n">
        <v>4.13</v>
      </c>
      <c r="K215" s="32" t="n">
        <v>2148304</v>
      </c>
      <c r="L215" s="31" t="n">
        <v>86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62.02</v>
      </c>
      <c r="P215" s="32" t="n">
        <v>41.62</v>
      </c>
      <c r="Q215" s="32" t="n">
        <v>320.52</v>
      </c>
      <c r="R215" s="31" t="inlineStr">
        <is>
          <t>Earnings / Momentum Support</t>
        </is>
      </c>
      <c r="S215" s="31" t="inlineStr">
        <is>
          <t>Nifty IT</t>
        </is>
      </c>
      <c r="T215" s="32" t="n">
        <v>-23.18</v>
      </c>
      <c r="U215" s="32" t="n">
        <v>70.11</v>
      </c>
      <c r="V215" s="32" t="n">
        <v>121.44</v>
      </c>
      <c r="W215" s="32" t="n">
        <v>24.36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IF(B216=0,"",RANK(B216,$B$2:$B$362,0))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APLLTD</t>
        </is>
      </c>
      <c r="D216" s="33" t="inlineStr">
        <is>
          <t>Alembic Pharmaceuticals Limited</t>
        </is>
      </c>
      <c r="E216" s="31" t="inlineStr">
        <is>
          <t>healthcare</t>
        </is>
      </c>
      <c r="F216" s="31" t="inlineStr">
        <is>
          <t>pharmaceuticals - indian - bulk drugs &amp; formln</t>
        </is>
      </c>
      <c r="G216" s="31" t="inlineStr">
        <is>
          <t>midcap</t>
        </is>
      </c>
      <c r="H216" s="32" t="n">
        <v>16140.78</v>
      </c>
      <c r="I216" s="32" t="n">
        <v>850.05</v>
      </c>
      <c r="J216" s="32" t="n">
        <v>3.52</v>
      </c>
      <c r="K216" s="32" t="n">
        <v>207604</v>
      </c>
      <c r="L216" s="31" t="n">
        <v>3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62.08</v>
      </c>
      <c r="P216" s="32" t="n">
        <v>10.4</v>
      </c>
      <c r="Q216" s="32" t="n">
        <v>700.87</v>
      </c>
      <c r="R216" s="31" t="inlineStr">
        <is>
          <t>Earnings / Momentum Support</t>
        </is>
      </c>
      <c r="S216" s="31" t="inlineStr">
        <is>
          <t>Nifty Pharma</t>
        </is>
      </c>
      <c r="T216" s="32" t="n">
        <v>15.1</v>
      </c>
      <c r="U216" s="32" t="n">
        <v>-16.67</v>
      </c>
      <c r="V216" s="32" t="n">
        <v>-27.6</v>
      </c>
      <c r="W216" s="32" t="n">
        <v>-1.5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Yes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IF(B217=0,"",RANK(B217,$B$2:$B$362,0))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ZYDUSLIFE</t>
        </is>
      </c>
      <c r="D217" s="31" t="inlineStr">
        <is>
          <t>Zydus Lifesciences Ltd</t>
        </is>
      </c>
      <c r="E217" s="31" t="inlineStr">
        <is>
          <t>healthcare</t>
        </is>
      </c>
      <c r="F217" s="31" t="inlineStr">
        <is>
          <t>pharmaceuticals - indian - bulk drugs &amp; formln</t>
        </is>
      </c>
      <c r="G217" s="31" t="inlineStr">
        <is>
          <t>largecap</t>
        </is>
      </c>
      <c r="H217" s="32" t="n">
        <v>113077.03</v>
      </c>
      <c r="I217" s="32" t="n">
        <v>1156.9</v>
      </c>
      <c r="J217" s="32" t="n">
        <v>2.06</v>
      </c>
      <c r="K217" s="32" t="n">
        <v>2033822</v>
      </c>
      <c r="L217" s="31" t="n">
        <v>47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72.81999999999999</v>
      </c>
      <c r="P217" s="32" t="n">
        <v>33.45</v>
      </c>
      <c r="Q217" s="32" t="n">
        <v>995.09</v>
      </c>
      <c r="R217" s="31" t="inlineStr">
        <is>
          <t>Near 52W High Breakout</t>
        </is>
      </c>
      <c r="S217" s="31" t="inlineStr">
        <is>
          <t>Nifty Pharma</t>
        </is>
      </c>
      <c r="T217" s="32" t="n">
        <v>15.1</v>
      </c>
      <c r="U217" s="32" t="n">
        <v>20.02</v>
      </c>
      <c r="V217" s="32" t="n">
        <v>4.28</v>
      </c>
      <c r="W217" s="32" t="n">
        <v>8.84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Less than 50%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IF(B218=0,"",RANK(B218,$B$2:$B$362,0))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APOLLOPIPE</t>
        </is>
      </c>
      <c r="D218" s="31" t="inlineStr">
        <is>
          <t>Apollo Pipes Ltd</t>
        </is>
      </c>
      <c r="E218" s="31" t="inlineStr">
        <is>
          <t>plastic products</t>
        </is>
      </c>
      <c r="F218" s="31" t="inlineStr">
        <is>
          <t>plastics products</t>
        </is>
      </c>
      <c r="G218" s="31" t="inlineStr">
        <is>
          <t>smallcap</t>
        </is>
      </c>
      <c r="H218" s="32" t="n">
        <v>2241.39</v>
      </c>
      <c r="I218" s="32" t="n">
        <v>513.05</v>
      </c>
      <c r="J218" s="32" t="n">
        <v>0.83</v>
      </c>
      <c r="K218" s="32" t="n">
        <v>85572</v>
      </c>
      <c r="L218" s="31" t="n">
        <v>50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67.45999999999999</v>
      </c>
      <c r="P218" s="32" t="n">
        <v>50.75</v>
      </c>
      <c r="Q218" s="32" t="n">
        <v>396.02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-3.56</v>
      </c>
      <c r="U218" s="32" t="n">
        <v>21.34</v>
      </c>
      <c r="V218" s="32" t="n">
        <v>25.83</v>
      </c>
      <c r="W218" s="32" t="n">
        <v>9.51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Oligopoly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B2C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Fully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Above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Yes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Between 1.5 to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IF(B219=0,"",RANK(B219,$B$2:$B$362,0))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FDC</t>
        </is>
      </c>
      <c r="D219" s="33" t="inlineStr">
        <is>
          <t>Fdc Limited</t>
        </is>
      </c>
      <c r="E219" s="31" t="inlineStr">
        <is>
          <t>healthcare</t>
        </is>
      </c>
      <c r="F219" s="31" t="inlineStr">
        <is>
          <t>pharmaceuticals - indian - bulk drugs &amp; formln</t>
        </is>
      </c>
      <c r="G219" s="31" t="inlineStr">
        <is>
          <t>midcap</t>
        </is>
      </c>
      <c r="H219" s="32" t="n">
        <v>6864.89</v>
      </c>
      <c r="I219" s="32" t="n">
        <v>424.8</v>
      </c>
      <c r="J219" s="32" t="n">
        <v>0.75</v>
      </c>
      <c r="K219" s="32" t="n">
        <v>52937</v>
      </c>
      <c r="L219" s="31" t="n">
        <v>13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59.98</v>
      </c>
      <c r="P219" s="32" t="n">
        <v>25.83</v>
      </c>
      <c r="Q219" s="32" t="n">
        <v>350.31</v>
      </c>
      <c r="R219" s="31" t="inlineStr">
        <is>
          <t>Earnings / Momentum Support</t>
        </is>
      </c>
      <c r="S219" s="31" t="inlineStr">
        <is>
          <t>Nifty Pharma</t>
        </is>
      </c>
      <c r="T219" s="32" t="n">
        <v>15.1</v>
      </c>
      <c r="U219" s="32" t="n">
        <v>-12.26</v>
      </c>
      <c r="V219" s="32" t="n">
        <v>-23.77</v>
      </c>
      <c r="W219" s="32" t="n">
        <v>1.66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Between 50% to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IF(B220=0,"",RANK(B220,$B$2:$B$362,0))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APOLLOHOSP</t>
        </is>
      </c>
      <c r="D220" s="31" t="inlineStr">
        <is>
          <t>Apollo Hospitals Enterprise Limited</t>
        </is>
      </c>
      <c r="E220" s="31" t="inlineStr">
        <is>
          <t>healthcare</t>
        </is>
      </c>
      <c r="F220" s="31" t="inlineStr">
        <is>
          <t>healthcare</t>
        </is>
      </c>
      <c r="G220" s="31" t="inlineStr">
        <is>
          <t>largecap</t>
        </is>
      </c>
      <c r="H220" s="32" t="n">
        <v>127975.53</v>
      </c>
      <c r="I220" s="32" t="n">
        <v>8934</v>
      </c>
      <c r="J220" s="32" t="n">
        <v>0.38</v>
      </c>
      <c r="K220" s="32" t="n">
        <v>501848</v>
      </c>
      <c r="L220" s="31" t="n">
        <v>43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71.59999999999999</v>
      </c>
      <c r="P220" s="32" t="n">
        <v>22.98</v>
      </c>
      <c r="Q220" s="32" t="n">
        <v>7927.08</v>
      </c>
      <c r="R220" s="31" t="inlineStr">
        <is>
          <t>Near 52W High Breakout</t>
        </is>
      </c>
      <c r="S220" s="31" t="inlineStr">
        <is>
          <t>Nifty Pharma</t>
        </is>
      </c>
      <c r="T220" s="32" t="n">
        <v>15.1</v>
      </c>
      <c r="U220" s="32" t="n">
        <v>22.64</v>
      </c>
      <c r="V220" s="32" t="n">
        <v>6.56</v>
      </c>
      <c r="W220" s="32" t="n">
        <v>7.71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B2C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Fully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Yes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Between 1.5 to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IF(B221=0,"",RANK(B221,$B$2:$B$362,0))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VENKEYS</t>
        </is>
      </c>
      <c r="D221" s="31" t="inlineStr">
        <is>
          <t>Venky's (india) Limited</t>
        </is>
      </c>
      <c r="E221" s="31" t="inlineStr">
        <is>
          <t>fmcg</t>
        </is>
      </c>
      <c r="F221" s="31" t="inlineStr">
        <is>
          <t>miscellaneous</t>
        </is>
      </c>
      <c r="G221" s="31" t="inlineStr">
        <is>
          <t>smallcap</t>
        </is>
      </c>
      <c r="H221" s="32" t="n">
        <v>2116.48</v>
      </c>
      <c r="I221" s="32" t="n">
        <v>1498.1</v>
      </c>
      <c r="J221" s="32" t="n">
        <v>-0.29</v>
      </c>
      <c r="K221" s="32" t="n">
        <v>25114</v>
      </c>
      <c r="L221" s="31" t="n">
        <v>2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53.25</v>
      </c>
      <c r="P221" s="32" t="n">
        <v>37.78</v>
      </c>
      <c r="Q221" s="32" t="n">
        <v>1306.47</v>
      </c>
      <c r="R221" s="31" t="inlineStr">
        <is>
          <t>Earnings / Momentum Support</t>
        </is>
      </c>
      <c r="S221" s="31" t="inlineStr">
        <is>
          <t>Nifty FMCG</t>
        </is>
      </c>
      <c r="T221" s="32" t="n">
        <v>-14.55</v>
      </c>
      <c r="U221" s="32" t="n">
        <v>-4.57</v>
      </c>
      <c r="V221" s="32" t="n">
        <v>11.68</v>
      </c>
      <c r="W221" s="32" t="n">
        <v>-1.95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B2C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1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IF(B222=0,"",RANK(B222,$B$2:$B$362,0))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BIOCON</t>
        </is>
      </c>
      <c r="D222" s="33" t="inlineStr">
        <is>
          <t>Biocon Limited</t>
        </is>
      </c>
      <c r="E222" s="31" t="inlineStr">
        <is>
          <t>healthcare</t>
        </is>
      </c>
      <c r="F222" s="31" t="inlineStr">
        <is>
          <t>pharmaceuticals - indian - bulk drugs &amp; formln</t>
        </is>
      </c>
      <c r="G222" s="31" t="inlineStr">
        <is>
          <t>largecap</t>
        </is>
      </c>
      <c r="H222" s="32" t="n">
        <v>71266.52</v>
      </c>
      <c r="I222" s="32" t="n">
        <v>434.6</v>
      </c>
      <c r="J222" s="32" t="n">
        <v>-0.62</v>
      </c>
      <c r="K222" s="32" t="n">
        <v>10227722</v>
      </c>
      <c r="L222" s="31" t="n">
        <v>38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64.22</v>
      </c>
      <c r="P222" s="32" t="n">
        <v>22.51</v>
      </c>
      <c r="Q222" s="32" t="n">
        <v>360.28</v>
      </c>
      <c r="R222" s="31" t="inlineStr">
        <is>
          <t>Volume Spike &amp; Near 52W High Breakout</t>
        </is>
      </c>
      <c r="S222" s="31" t="inlineStr">
        <is>
          <t>Nifty Pharma</t>
        </is>
      </c>
      <c r="T222" s="32" t="n">
        <v>15.1</v>
      </c>
      <c r="U222" s="32" t="n">
        <v>9.119999999999999</v>
      </c>
      <c r="V222" s="32" t="n">
        <v>-5.19</v>
      </c>
      <c r="W222" s="32" t="n">
        <v>6.64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Annuity, Lower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Between 50% to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IF(B223=0,"",RANK(B223,$B$2:$B$362,0))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GUFICBIO</t>
        </is>
      </c>
      <c r="D223" s="33" t="inlineStr">
        <is>
          <t>Gufic Biosciences Limited</t>
        </is>
      </c>
      <c r="E223" s="31" t="inlineStr">
        <is>
          <t>healthcare</t>
        </is>
      </c>
      <c r="F223" s="31" t="inlineStr">
        <is>
          <t>pharmaceuticals - indian - bulk drugs &amp; formln</t>
        </is>
      </c>
      <c r="G223" s="31" t="inlineStr">
        <is>
          <t>smallcap</t>
        </is>
      </c>
      <c r="H223" s="32" t="n">
        <v>4004.28</v>
      </c>
      <c r="I223" s="32" t="n">
        <v>396.6</v>
      </c>
      <c r="J223" s="32" t="n">
        <v>-0.68</v>
      </c>
      <c r="K223" s="32" t="n">
        <v>78004</v>
      </c>
      <c r="L223" s="31" t="n">
        <v>45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68.14</v>
      </c>
      <c r="P223" s="32" t="n">
        <v>34.67</v>
      </c>
      <c r="Q223" s="32" t="n">
        <v>304.68</v>
      </c>
      <c r="R223" s="31" t="inlineStr">
        <is>
          <t>Near 52W High Breakout</t>
        </is>
      </c>
      <c r="S223" s="31" t="inlineStr">
        <is>
          <t>Nifty Pharma</t>
        </is>
      </c>
      <c r="T223" s="32" t="n">
        <v>15.1</v>
      </c>
      <c r="U223" s="32" t="n">
        <v>3.2</v>
      </c>
      <c r="V223" s="32" t="n">
        <v>-10.34</v>
      </c>
      <c r="W223" s="32" t="n">
        <v>8.17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Less than 50%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IF(B224=0,"",RANK(B224,$B$2:$B$362,0))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HIRECT</t>
        </is>
      </c>
      <c r="D224" s="31" t="inlineStr">
        <is>
          <t>Hind Rectifiers Limited</t>
        </is>
      </c>
      <c r="E224" s="31" t="inlineStr">
        <is>
          <t>consumer discretionary</t>
        </is>
      </c>
      <c r="F224" s="31" t="inlineStr">
        <is>
          <t>electronics - components</t>
        </is>
      </c>
      <c r="G224" s="31" t="inlineStr">
        <is>
          <t>smallcap</t>
        </is>
      </c>
      <c r="H224" s="32" t="n">
        <v>3651.22</v>
      </c>
      <c r="I224" s="32" t="n">
        <v>1273.6</v>
      </c>
      <c r="J224" s="32" t="n">
        <v>19.88</v>
      </c>
      <c r="K224" s="32" t="n">
        <v>1163256</v>
      </c>
      <c r="L224" s="31" t="n">
        <v>85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75.27</v>
      </c>
      <c r="P224" s="32" t="n">
        <v>30.46</v>
      </c>
      <c r="Q224" s="32" t="n">
        <v>915.9299999999999</v>
      </c>
      <c r="R224" s="31" t="inlineStr">
        <is>
          <t>Near 52W High Breakout</t>
        </is>
      </c>
      <c r="S224" s="31" t="inlineStr">
        <is>
          <t>Nifty 50</t>
        </is>
      </c>
      <c r="T224" s="32" t="n">
        <v>-3.56</v>
      </c>
      <c r="U224" s="32" t="n">
        <v>91.59</v>
      </c>
      <c r="V224" s="32" t="n">
        <v>98.67</v>
      </c>
      <c r="W224" s="32" t="n">
        <v>23.96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Above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Between 0.7 to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IF(B225=0,"",RANK(B225,$B$2:$B$362,0))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NEOGEN</t>
        </is>
      </c>
      <c r="D225" s="31" t="inlineStr">
        <is>
          <t>Neogen Chemicals Ltd</t>
        </is>
      </c>
      <c r="E225" s="31" t="inlineStr">
        <is>
          <t>chemicals</t>
        </is>
      </c>
      <c r="F225" s="31" t="inlineStr">
        <is>
          <t>chemicals</t>
        </is>
      </c>
      <c r="G225" s="31" t="inlineStr">
        <is>
          <t>midcap</t>
        </is>
      </c>
      <c r="H225" s="32" t="n">
        <v>5879.39</v>
      </c>
      <c r="I225" s="32" t="n">
        <v>2272.2</v>
      </c>
      <c r="J225" s="32" t="n">
        <v>5.82</v>
      </c>
      <c r="K225" s="32" t="n">
        <v>266095</v>
      </c>
      <c r="L225" s="31" t="n">
        <v>80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73.03</v>
      </c>
      <c r="P225" s="32" t="n">
        <v>46.9</v>
      </c>
      <c r="Q225" s="32" t="n">
        <v>1733.86</v>
      </c>
      <c r="R225" s="31" t="inlineStr">
        <is>
          <t>Near 52W High Breakout</t>
        </is>
      </c>
      <c r="S225" s="31" t="inlineStr">
        <is>
          <t>Nifty 50</t>
        </is>
      </c>
      <c r="T225" s="32" t="n">
        <v>-3.56</v>
      </c>
      <c r="U225" s="32" t="n">
        <v>45.13</v>
      </c>
      <c r="V225" s="32" t="n">
        <v>50.5</v>
      </c>
      <c r="W225" s="32" t="n">
        <v>19.77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Negative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More than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IF(B226=0,"",RANK(B226,$B$2:$B$362,0))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IRISDOREME</t>
        </is>
      </c>
      <c r="D226" s="31" t="inlineStr">
        <is>
          <t>Iris Clothings Ltd</t>
        </is>
      </c>
      <c r="E226" s="31" t="inlineStr">
        <is>
          <t>consumer discretionary</t>
        </is>
      </c>
      <c r="F226" s="31" t="inlineStr">
        <is>
          <t>textiles - products</t>
        </is>
      </c>
      <c r="G226" s="31" t="inlineStr">
        <is>
          <t>smallcap</t>
        </is>
      </c>
      <c r="H226" s="32" t="n">
        <v>834.03</v>
      </c>
      <c r="I226" s="32" t="n">
        <v>45.52</v>
      </c>
      <c r="J226" s="32" t="n">
        <v>3.88</v>
      </c>
      <c r="K226" s="32" t="n">
        <v>1891747</v>
      </c>
      <c r="L226" s="31" t="n">
        <v>67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72.94</v>
      </c>
      <c r="P226" s="32" t="n">
        <v>24.24</v>
      </c>
      <c r="Q226" s="32" t="n">
        <v>33.31</v>
      </c>
      <c r="R226" s="31" t="inlineStr">
        <is>
          <t>Near 52W High Breakout</t>
        </is>
      </c>
      <c r="S226" s="31" t="inlineStr">
        <is>
          <t>Nifty 50</t>
        </is>
      </c>
      <c r="T226" s="32" t="n">
        <v>-3.56</v>
      </c>
      <c r="U226" s="32" t="n">
        <v>46.23</v>
      </c>
      <c r="V226" s="32" t="n">
        <v>51.63</v>
      </c>
      <c r="W226" s="32" t="n">
        <v>13.97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Negative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IF(B227=0,"",RANK(B227,$B$2:$B$362,0))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TPLPLASTEH</t>
        </is>
      </c>
      <c r="D227" s="31" t="inlineStr">
        <is>
          <t>Tpl Plastech Limited</t>
        </is>
      </c>
      <c r="E227" s="31" t="inlineStr">
        <is>
          <t>industrials</t>
        </is>
      </c>
      <c r="F227" s="31" t="inlineStr">
        <is>
          <t>packaging</t>
        </is>
      </c>
      <c r="G227" s="31" t="inlineStr">
        <is>
          <t>smallcap</t>
        </is>
      </c>
      <c r="H227" s="32" t="n">
        <v>627.92</v>
      </c>
      <c r="I227" s="32" t="n">
        <v>82.5</v>
      </c>
      <c r="J227" s="32" t="n">
        <v>2.48</v>
      </c>
      <c r="K227" s="32" t="n">
        <v>133718</v>
      </c>
      <c r="L227" s="31" t="n">
        <v>22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60.6</v>
      </c>
      <c r="P227" s="32" t="n">
        <v>18.83</v>
      </c>
      <c r="Q227" s="32" t="n">
        <v>64.54000000000001</v>
      </c>
      <c r="R227" s="31" t="inlineStr">
        <is>
          <t>Earnings / Momentum Support</t>
        </is>
      </c>
      <c r="S227" s="31" t="inlineStr">
        <is>
          <t>Nifty Infra</t>
        </is>
      </c>
      <c r="T227" s="32" t="n">
        <v>1.31</v>
      </c>
      <c r="U227" s="32" t="n">
        <v>2.69</v>
      </c>
      <c r="V227" s="32" t="n">
        <v>1.36</v>
      </c>
      <c r="W227" s="32" t="n">
        <v>3.72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Between 12 to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IF(B228=0,"",RANK(B228,$B$2:$B$362,0))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ARROWGREEN</t>
        </is>
      </c>
      <c r="D228" s="31" t="inlineStr">
        <is>
          <t>Arrow Greentech Limited</t>
        </is>
      </c>
      <c r="E228" s="31" t="inlineStr">
        <is>
          <t>plastic products</t>
        </is>
      </c>
      <c r="F228" s="31" t="inlineStr">
        <is>
          <t>plastics products</t>
        </is>
      </c>
      <c r="G228" s="31" t="inlineStr">
        <is>
          <t>smallcap</t>
        </is>
      </c>
      <c r="H228" s="32" t="n">
        <v>1015.87</v>
      </c>
      <c r="I228" s="32" t="n">
        <v>690</v>
      </c>
      <c r="J228" s="32" t="n">
        <v>2.48</v>
      </c>
      <c r="K228" s="32" t="n">
        <v>32379</v>
      </c>
      <c r="L228" s="31" t="n">
        <v>40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66.73999999999999</v>
      </c>
      <c r="P228" s="32" t="n">
        <v>24.87</v>
      </c>
      <c r="Q228" s="32" t="n">
        <v>491.5</v>
      </c>
      <c r="R228" s="31" t="inlineStr">
        <is>
          <t>Earnings / Momentum Support</t>
        </is>
      </c>
      <c r="S228" s="31" t="inlineStr">
        <is>
          <t>Nifty Infra</t>
        </is>
      </c>
      <c r="T228" s="32" t="n">
        <v>1.31</v>
      </c>
      <c r="U228" s="32" t="n">
        <v>5.08</v>
      </c>
      <c r="V228" s="32" t="n">
        <v>3.72</v>
      </c>
      <c r="W228" s="32" t="n">
        <v>7.16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Between 50% to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IF(B229=0,"",RANK(B229,$B$2:$B$362,0))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NAZARA</t>
        </is>
      </c>
      <c r="D229" s="31" t="inlineStr">
        <is>
          <t>Nazara Technologies Ltd</t>
        </is>
      </c>
      <c r="E229" s="31" t="inlineStr">
        <is>
          <t>i.t</t>
        </is>
      </c>
      <c r="F229" s="31" t="inlineStr">
        <is>
          <t>telecommunications - service provider</t>
        </is>
      </c>
      <c r="G229" s="31" t="inlineStr">
        <is>
          <t>midcap</t>
        </is>
      </c>
      <c r="H229" s="32" t="n">
        <v>11260.28</v>
      </c>
      <c r="I229" s="32" t="n">
        <v>310.1</v>
      </c>
      <c r="J229" s="32" t="n">
        <v>2.02</v>
      </c>
      <c r="K229" s="32" t="n">
        <v>5108077</v>
      </c>
      <c r="L229" s="31" t="n">
        <v>10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62.24</v>
      </c>
      <c r="P229" s="32" t="n">
        <v>13.28</v>
      </c>
      <c r="Q229" s="32" t="n">
        <v>245.6</v>
      </c>
      <c r="R229" s="31" t="inlineStr">
        <is>
          <t>Earnings / Momentum Support</t>
        </is>
      </c>
      <c r="S229" s="31" t="inlineStr">
        <is>
          <t>Nifty IT</t>
        </is>
      </c>
      <c r="T229" s="32" t="n">
        <v>-23.18</v>
      </c>
      <c r="U229" s="32" t="n">
        <v>-13.28</v>
      </c>
      <c r="V229" s="32" t="n">
        <v>12.88</v>
      </c>
      <c r="W229" s="32" t="n">
        <v>0.83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Oligopoly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Between 50% to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IF(B230=0,"",RANK(B230,$B$2:$B$362,0))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MBAPL</t>
        </is>
      </c>
      <c r="D230" s="31" t="inlineStr">
        <is>
          <t>Madhya Bharat Agro Products Ltd</t>
        </is>
      </c>
      <c r="E230" s="31" t="inlineStr">
        <is>
          <t>chemicals</t>
        </is>
      </c>
      <c r="F230" s="31" t="inlineStr">
        <is>
          <t>fertilizers</t>
        </is>
      </c>
      <c r="G230" s="31" t="inlineStr">
        <is>
          <t>smallcap</t>
        </is>
      </c>
      <c r="H230" s="32" t="n">
        <v>1086.57</v>
      </c>
      <c r="I230" s="32" t="n">
        <v>126.35</v>
      </c>
      <c r="J230" s="32" t="n">
        <v>1.9</v>
      </c>
      <c r="K230" s="32" t="n">
        <v>964378</v>
      </c>
      <c r="L230" s="31" t="n">
        <v>68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71.45</v>
      </c>
      <c r="P230" s="32" t="n">
        <v>55.13</v>
      </c>
      <c r="Q230" s="32" t="n">
        <v>101.83</v>
      </c>
      <c r="R230" s="31" t="inlineStr">
        <is>
          <t>Near 52W High Breakout</t>
        </is>
      </c>
      <c r="S230" s="31" t="inlineStr">
        <is>
          <t>Nifty 50</t>
        </is>
      </c>
      <c r="T230" s="32" t="n">
        <v>-3.56</v>
      </c>
      <c r="U230" s="32" t="n">
        <v>49.61</v>
      </c>
      <c r="V230" s="32" t="n">
        <v>55.14</v>
      </c>
      <c r="W230" s="32" t="n">
        <v>14.32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Negative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More than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IF(B231=0,"",RANK(B231,$B$2:$B$362,0))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JUSTDIAL</t>
        </is>
      </c>
      <c r="D231" s="31" t="inlineStr">
        <is>
          <t>Just Dial Limited</t>
        </is>
      </c>
      <c r="E231" s="31" t="inlineStr">
        <is>
          <t>i.t</t>
        </is>
      </c>
      <c r="F231" s="31" t="inlineStr">
        <is>
          <t>miscellaneous</t>
        </is>
      </c>
      <c r="G231" s="31" t="inlineStr">
        <is>
          <t>midcap</t>
        </is>
      </c>
      <c r="H231" s="32" t="n">
        <v>6719.8</v>
      </c>
      <c r="I231" s="32" t="n">
        <v>804.05</v>
      </c>
      <c r="J231" s="32" t="n">
        <v>1.76</v>
      </c>
      <c r="K231" s="32" t="n">
        <v>23598076</v>
      </c>
      <c r="L231" s="31" t="n">
        <v>51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75</v>
      </c>
      <c r="P231" s="32" t="n">
        <v>15.44</v>
      </c>
      <c r="Q231" s="32" t="n">
        <v>646.64</v>
      </c>
      <c r="R231" s="31" t="inlineStr">
        <is>
          <t>Volume Spike / Accumulation</t>
        </is>
      </c>
      <c r="S231" s="31" t="inlineStr">
        <is>
          <t>Nifty IT</t>
        </is>
      </c>
      <c r="T231" s="32" t="n">
        <v>-23.18</v>
      </c>
      <c r="U231" s="32" t="n">
        <v>-9.19</v>
      </c>
      <c r="V231" s="32" t="n">
        <v>18.21</v>
      </c>
      <c r="W231" s="32" t="n">
        <v>9.84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IF(B232=0,"",RANK(B232,$B$2:$B$362,0))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GANDHAR</t>
        </is>
      </c>
      <c r="D232" s="31" t="inlineStr">
        <is>
          <t>Gandhar Oil Refinery (India) Ltd</t>
        </is>
      </c>
      <c r="E232" s="31" t="inlineStr">
        <is>
          <t>energy</t>
        </is>
      </c>
      <c r="F232" s="31" t="inlineStr">
        <is>
          <t>refineries</t>
        </is>
      </c>
      <c r="G232" s="31" t="inlineStr">
        <is>
          <t>smallcap</t>
        </is>
      </c>
      <c r="H232" s="32" t="n">
        <v>1989.6</v>
      </c>
      <c r="I232" s="32" t="n">
        <v>206.82</v>
      </c>
      <c r="J232" s="32" t="n">
        <v>1.75</v>
      </c>
      <c r="K232" s="32" t="n">
        <v>601996</v>
      </c>
      <c r="L232" s="31" t="n">
        <v>67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72.52</v>
      </c>
      <c r="P232" s="32" t="n">
        <v>42.98</v>
      </c>
      <c r="Q232" s="32" t="n">
        <v>160.31</v>
      </c>
      <c r="R232" s="31" t="inlineStr">
        <is>
          <t>Near 52W High Breakout</t>
        </is>
      </c>
      <c r="S232" s="31" t="inlineStr">
        <is>
          <t>Nifty Energy</t>
        </is>
      </c>
      <c r="T232" s="32" t="n">
        <v>8.69</v>
      </c>
      <c r="U232" s="32" t="n">
        <v>23.44</v>
      </c>
      <c r="V232" s="32" t="n">
        <v>13.57</v>
      </c>
      <c r="W232" s="32" t="n">
        <v>14.1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Oligopoly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Between 50% to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IF(B233=0,"",RANK(B233,$B$2:$B$362,0))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LLOYDSENGG</t>
        </is>
      </c>
      <c r="D233" s="31" t="inlineStr">
        <is>
          <t>Lloyds Engineering Works Ltd</t>
        </is>
      </c>
      <c r="E233" s="31" t="inlineStr">
        <is>
          <t>industrials</t>
        </is>
      </c>
      <c r="F233" s="31" t="inlineStr">
        <is>
          <t>engineering</t>
        </is>
      </c>
      <c r="G233" s="31" t="inlineStr">
        <is>
          <t>midcap</t>
        </is>
      </c>
      <c r="H233" s="32" t="n">
        <v>12971.84</v>
      </c>
      <c r="I233" s="32" t="n">
        <v>89.06</v>
      </c>
      <c r="J233" s="32" t="n">
        <v>1.63</v>
      </c>
      <c r="K233" s="32" t="n">
        <v>9579948</v>
      </c>
      <c r="L233" s="31" t="n">
        <v>79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72.86</v>
      </c>
      <c r="P233" s="32" t="n">
        <v>37.47</v>
      </c>
      <c r="Q233" s="32" t="n">
        <v>67.58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-3.56</v>
      </c>
      <c r="U233" s="32" t="n">
        <v>18.28</v>
      </c>
      <c r="V233" s="32" t="n">
        <v>22.65</v>
      </c>
      <c r="W233" s="32" t="n">
        <v>18.79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Negative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IF(B234=0,"",RANK(B234,$B$2:$B$362,0))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BAJAJ-AUTO</t>
        </is>
      </c>
      <c r="D234" s="31" t="inlineStr">
        <is>
          <t>Bajaj Auto Limited</t>
        </is>
      </c>
      <c r="E234" s="31" t="inlineStr">
        <is>
          <t>auto</t>
        </is>
      </c>
      <c r="F234" s="31" t="inlineStr">
        <is>
          <t>automobiles - scooters and 3 - wheelers</t>
        </is>
      </c>
      <c r="G234" s="31" t="inlineStr">
        <is>
          <t>largecap</t>
        </is>
      </c>
      <c r="H234" s="32" t="n">
        <v>284137.5</v>
      </c>
      <c r="I234" s="32" t="n">
        <v>10323</v>
      </c>
      <c r="J234" s="32" t="n">
        <v>1.54</v>
      </c>
      <c r="K234" s="32" t="n">
        <v>451480</v>
      </c>
      <c r="L234" s="31" t="n">
        <v>35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60.06</v>
      </c>
      <c r="P234" s="32" t="n">
        <v>17.29</v>
      </c>
      <c r="Q234" s="32" t="n">
        <v>9096.42</v>
      </c>
      <c r="R234" s="31" t="inlineStr">
        <is>
          <t>Near 52W High Breakout</t>
        </is>
      </c>
      <c r="S234" s="31" t="inlineStr">
        <is>
          <t>Nifty Auto</t>
        </is>
      </c>
      <c r="T234" s="32" t="n">
        <v>11.51</v>
      </c>
      <c r="U234" s="32" t="n">
        <v>25.41</v>
      </c>
      <c r="V234" s="32" t="n">
        <v>12.46</v>
      </c>
      <c r="W234" s="32" t="n">
        <v>6.11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Less than 50%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IF(B235=0,"",RANK(B235,$B$2:$B$362,0))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ASKAUTOLTD</t>
        </is>
      </c>
      <c r="D235" s="33" t="inlineStr">
        <is>
          <t>ASK Automotive Ltd</t>
        </is>
      </c>
      <c r="E235" s="31" t="inlineStr">
        <is>
          <t>auto</t>
        </is>
      </c>
      <c r="F235" s="31" t="inlineStr">
        <is>
          <t>auto ancillaries</t>
        </is>
      </c>
      <c r="G235" s="31" t="inlineStr">
        <is>
          <t>midcap</t>
        </is>
      </c>
      <c r="H235" s="32" t="n">
        <v>9182.9</v>
      </c>
      <c r="I235" s="32" t="n">
        <v>472.85</v>
      </c>
      <c r="J235" s="32" t="n">
        <v>1.51</v>
      </c>
      <c r="K235" s="32" t="n">
        <v>94363</v>
      </c>
      <c r="L235" s="31" t="n">
        <v>6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56.22</v>
      </c>
      <c r="P235" s="32" t="n">
        <v>8.24</v>
      </c>
      <c r="Q235" s="32" t="n">
        <v>380.17</v>
      </c>
      <c r="R235" s="31" t="inlineStr">
        <is>
          <t>Earnings / Momentum Support</t>
        </is>
      </c>
      <c r="S235" s="31" t="inlineStr">
        <is>
          <t>Nifty Auto</t>
        </is>
      </c>
      <c r="T235" s="32" t="n">
        <v>11.51</v>
      </c>
      <c r="U235" s="32" t="n">
        <v>-9.98</v>
      </c>
      <c r="V235" s="32" t="n">
        <v>-19.28</v>
      </c>
      <c r="W235" s="32" t="n">
        <v>-0.27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Between 50% to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IF(B236=0,"",RANK(B236,$B$2:$B$362,0))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BEPL</t>
        </is>
      </c>
      <c r="D236" s="33" t="inlineStr">
        <is>
          <t>Bhansali Engineering Polymers Limited</t>
        </is>
      </c>
      <c r="E236" s="31" t="inlineStr">
        <is>
          <t>energy</t>
        </is>
      </c>
      <c r="F236" s="31" t="inlineStr">
        <is>
          <t>petrochemicals</t>
        </is>
      </c>
      <c r="G236" s="31" t="inlineStr">
        <is>
          <t>smallcap</t>
        </is>
      </c>
      <c r="H236" s="32" t="n">
        <v>2657.81</v>
      </c>
      <c r="I236" s="32" t="n">
        <v>106.88</v>
      </c>
      <c r="J236" s="32" t="n">
        <v>0.07000000000000001</v>
      </c>
      <c r="K236" s="32" t="n">
        <v>769719</v>
      </c>
      <c r="L236" s="31" t="n">
        <v>15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64.59</v>
      </c>
      <c r="P236" s="32" t="n">
        <v>36.99</v>
      </c>
      <c r="Q236" s="32" t="n">
        <v>84.95999999999999</v>
      </c>
      <c r="R236" s="31" t="inlineStr">
        <is>
          <t>Near 52W High Breakout</t>
        </is>
      </c>
      <c r="S236" s="31" t="inlineStr">
        <is>
          <t>Nifty Energy</t>
        </is>
      </c>
      <c r="T236" s="32" t="n">
        <v>8.69</v>
      </c>
      <c r="U236" s="32" t="n">
        <v>-3.56</v>
      </c>
      <c r="V236" s="32" t="n">
        <v>-11.27</v>
      </c>
      <c r="W236" s="32" t="n">
        <v>2.11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Oligopoly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IF(B237=0,"",RANK(B237,$B$2:$B$362,0))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INDIANHUME</t>
        </is>
      </c>
      <c r="D237" s="31" t="inlineStr">
        <is>
          <t>Indian Hume Pipe Company Limited</t>
        </is>
      </c>
      <c r="E237" s="31" t="inlineStr">
        <is>
          <t>realty</t>
        </is>
      </c>
      <c r="F237" s="31" t="inlineStr">
        <is>
          <t>construction</t>
        </is>
      </c>
      <c r="G237" s="31" t="inlineStr">
        <is>
          <t>smallcap</t>
        </is>
      </c>
      <c r="H237" s="32" t="n">
        <v>2183.13</v>
      </c>
      <c r="I237" s="32" t="n">
        <v>414.3</v>
      </c>
      <c r="J237" s="32" t="n">
        <v>-0.02</v>
      </c>
      <c r="K237" s="32" t="n">
        <v>340577</v>
      </c>
      <c r="L237" s="31" t="n">
        <v>29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67.75</v>
      </c>
      <c r="P237" s="32" t="n">
        <v>11.66</v>
      </c>
      <c r="Q237" s="32" t="n">
        <v>313.66</v>
      </c>
      <c r="R237" s="31" t="inlineStr">
        <is>
          <t>Volume Spike &amp; Near 52W High Breakout</t>
        </is>
      </c>
      <c r="S237" s="31" t="inlineStr">
        <is>
          <t>Nifty Realty</t>
        </is>
      </c>
      <c r="T237" s="32" t="n">
        <v>-8.48</v>
      </c>
      <c r="U237" s="32" t="n">
        <v>-6.88</v>
      </c>
      <c r="V237" s="32" t="n">
        <v>1.75</v>
      </c>
      <c r="W237" s="32" t="n">
        <v>4.97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IF(B238=0,"",RANK(B238,$B$2:$B$362,0))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MGEL</t>
        </is>
      </c>
      <c r="D238" s="33" t="inlineStr">
        <is>
          <t>Mangalam Global Enterprise Ltd</t>
        </is>
      </c>
      <c r="E238" s="31" t="inlineStr">
        <is>
          <t>services</t>
        </is>
      </c>
      <c r="F238" s="31" t="inlineStr">
        <is>
          <t>trading</t>
        </is>
      </c>
      <c r="G238" s="31" t="inlineStr">
        <is>
          <t>smallcap</t>
        </is>
      </c>
      <c r="H238" s="32" t="n">
        <v>544.1</v>
      </c>
      <c r="I238" s="32" t="n">
        <v>16.49</v>
      </c>
      <c r="J238" s="32" t="n">
        <v>-0.12</v>
      </c>
      <c r="K238" s="32" t="n">
        <v>115611</v>
      </c>
      <c r="L238" s="31" t="n">
        <v>34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63.34</v>
      </c>
      <c r="P238" s="32" t="n">
        <v>38.97</v>
      </c>
      <c r="Q238" s="32" t="n">
        <v>12.19</v>
      </c>
      <c r="R238" s="31" t="inlineStr">
        <is>
          <t>Earnings / Momentum Support</t>
        </is>
      </c>
      <c r="S238" s="31" t="inlineStr">
        <is>
          <t>Nifty 50</t>
        </is>
      </c>
      <c r="T238" s="32" t="n">
        <v>-3.56</v>
      </c>
      <c r="U238" s="32" t="n">
        <v>-4.29</v>
      </c>
      <c r="V238" s="32" t="n">
        <v>-0.76</v>
      </c>
      <c r="W238" s="32" t="n">
        <v>6.01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IF(B239=0,"",RANK(B239,$B$2:$B$362,0))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MIRZAINT</t>
        </is>
      </c>
      <c r="D239" s="31" t="inlineStr">
        <is>
          <t>Mirza International Limited</t>
        </is>
      </c>
      <c r="E239" s="31" t="inlineStr">
        <is>
          <t>consumer discretionary</t>
        </is>
      </c>
      <c r="F239" s="31" t="inlineStr">
        <is>
          <t>leather / leather products</t>
        </is>
      </c>
      <c r="G239" s="31" t="inlineStr">
        <is>
          <t>smallcap</t>
        </is>
      </c>
      <c r="H239" s="32" t="n">
        <v>519.78</v>
      </c>
      <c r="I239" s="32" t="n">
        <v>37.42</v>
      </c>
      <c r="J239" s="32" t="n">
        <v>-0.51</v>
      </c>
      <c r="K239" s="32" t="n">
        <v>272759</v>
      </c>
      <c r="L239" s="31" t="n">
        <v>33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56.73</v>
      </c>
      <c r="P239" s="32" t="n">
        <v>13.84</v>
      </c>
      <c r="Q239" s="32" t="n">
        <v>28.83</v>
      </c>
      <c r="R239" s="31" t="inlineStr">
        <is>
          <t>Earnings / Momentum Support</t>
        </is>
      </c>
      <c r="S239" s="31" t="inlineStr">
        <is>
          <t>Nifty 50</t>
        </is>
      </c>
      <c r="T239" s="32" t="n">
        <v>-3.56</v>
      </c>
      <c r="U239" s="32" t="n">
        <v>15.64</v>
      </c>
      <c r="V239" s="32" t="n">
        <v>19.91</v>
      </c>
      <c r="W239" s="32" t="n">
        <v>5.71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IF(B240=0,"",RANK(B240,$B$2:$B$362,0))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XPROINDIA</t>
        </is>
      </c>
      <c r="D240" s="31" t="inlineStr">
        <is>
          <t>Xpro India Limited</t>
        </is>
      </c>
      <c r="E240" s="31" t="inlineStr">
        <is>
          <t>industrials</t>
        </is>
      </c>
      <c r="F240" s="31" t="inlineStr">
        <is>
          <t>packaging</t>
        </is>
      </c>
      <c r="G240" s="31" t="inlineStr">
        <is>
          <t>smallcap</t>
        </is>
      </c>
      <c r="H240" s="32" t="n">
        <v>3287.03</v>
      </c>
      <c r="I240" s="32" t="n">
        <v>1393</v>
      </c>
      <c r="J240" s="32" t="n">
        <v>-0.54</v>
      </c>
      <c r="K240" s="32" t="n">
        <v>22780</v>
      </c>
      <c r="L240" s="31" t="n">
        <v>49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63.97</v>
      </c>
      <c r="P240" s="32" t="n">
        <v>38.45</v>
      </c>
      <c r="Q240" s="32" t="n">
        <v>1114.7</v>
      </c>
      <c r="R240" s="31" t="inlineStr">
        <is>
          <t>Earnings / Momentum Support</t>
        </is>
      </c>
      <c r="S240" s="31" t="inlineStr">
        <is>
          <t>Nifty 50</t>
        </is>
      </c>
      <c r="T240" s="32" t="n">
        <v>-3.56</v>
      </c>
      <c r="U240" s="32" t="n">
        <v>12.11</v>
      </c>
      <c r="V240" s="32" t="n">
        <v>16.25</v>
      </c>
      <c r="W240" s="32" t="n">
        <v>9.300000000000001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Between 1.5 to 2</t>
        </is>
      </c>
      <c r="BU240" s="31">
        <f>IF(BT240="Above 2",0,IF(BT240="Between 1.5 to 2",5,IF(BT240="Less than 1.5",10,0)))</f>
        <v/>
      </c>
      <c r="BV240" s="31" t="inlineStr">
        <is>
          <t>Less than 50%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IF(B241=0,"",RANK(B241,$B$2:$B$362,0))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ADANIENT</t>
        </is>
      </c>
      <c r="D241" s="31" t="inlineStr">
        <is>
          <t>Adani Enterprises Limited</t>
        </is>
      </c>
      <c r="E241" s="31" t="inlineStr">
        <is>
          <t>services</t>
        </is>
      </c>
      <c r="F241" s="31" t="inlineStr">
        <is>
          <t>trading</t>
        </is>
      </c>
      <c r="G241" s="31" t="inlineStr">
        <is>
          <t>largecap</t>
        </is>
      </c>
      <c r="H241" s="32" t="n">
        <v>415097.03</v>
      </c>
      <c r="I241" s="32" t="n">
        <v>3150.6</v>
      </c>
      <c r="J241" s="32" t="n">
        <v>-1.2</v>
      </c>
      <c r="K241" s="32" t="n">
        <v>1035416</v>
      </c>
      <c r="L241" s="31" t="n">
        <v>67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71.36</v>
      </c>
      <c r="P241" s="32" t="n">
        <v>36.82</v>
      </c>
      <c r="Q241" s="32" t="n">
        <v>2673.11</v>
      </c>
      <c r="R241" s="31" t="inlineStr">
        <is>
          <t>Near 52W High Breakout</t>
        </is>
      </c>
      <c r="S241" s="31" t="inlineStr">
        <is>
          <t>Nifty 50</t>
        </is>
      </c>
      <c r="T241" s="32" t="n">
        <v>-3.56</v>
      </c>
      <c r="U241" s="32" t="n">
        <v>21.41</v>
      </c>
      <c r="V241" s="32" t="n">
        <v>25.9</v>
      </c>
      <c r="W241" s="32" t="n">
        <v>13.97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Less than 50% and Borrowings are increasing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Between 0.7 to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IF(B242=0,"",RANK(B242,$B$2:$B$362,0))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3MINDIA</t>
        </is>
      </c>
      <c r="D242" s="31" t="inlineStr">
        <is>
          <t>3m India Limited</t>
        </is>
      </c>
      <c r="E242" s="31" t="inlineStr">
        <is>
          <t>miscellaneous</t>
        </is>
      </c>
      <c r="F242" s="31" t="inlineStr">
        <is>
          <t>diversified - large</t>
        </is>
      </c>
      <c r="G242" s="31" t="inlineStr">
        <is>
          <t>largecap</t>
        </is>
      </c>
      <c r="H242" s="32" t="n">
        <v>41162.57</v>
      </c>
      <c r="I242" s="32" t="n">
        <v>35975</v>
      </c>
      <c r="J242" s="32" t="n">
        <v>-1.55</v>
      </c>
      <c r="K242" s="32" t="n">
        <v>9149</v>
      </c>
      <c r="L242" s="31" t="n">
        <v>42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60.5</v>
      </c>
      <c r="P242" s="32" t="n">
        <v>10.56</v>
      </c>
      <c r="Q242" s="32" t="n">
        <v>29910.64</v>
      </c>
      <c r="R242" s="31" t="inlineStr">
        <is>
          <t>Near 52W High Breakout</t>
        </is>
      </c>
      <c r="S242" s="31" t="inlineStr">
        <is>
          <t>Nifty 50</t>
        </is>
      </c>
      <c r="T242" s="32" t="n">
        <v>-3.56</v>
      </c>
      <c r="U242" s="32" t="n">
        <v>22.23</v>
      </c>
      <c r="V242" s="32" t="n">
        <v>26.75</v>
      </c>
      <c r="W242" s="32" t="n">
        <v>7.54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Between 50% to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IF(B243=0,"",RANK(B243,$B$2:$B$362,0))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DIVISLAB</t>
        </is>
      </c>
      <c r="D243" s="33" t="inlineStr">
        <is>
          <t>Divi's Laboratories Limited</t>
        </is>
      </c>
      <c r="E243" s="31" t="inlineStr">
        <is>
          <t>healthcare</t>
        </is>
      </c>
      <c r="F243" s="31" t="inlineStr">
        <is>
          <t>pharmaceuticals - indian - bulk drugs</t>
        </is>
      </c>
      <c r="G243" s="31" t="inlineStr">
        <is>
          <t>largecap</t>
        </is>
      </c>
      <c r="H243" s="32" t="n">
        <v>190832.09</v>
      </c>
      <c r="I243" s="32" t="n">
        <v>7273</v>
      </c>
      <c r="J243" s="32" t="n">
        <v>1.18</v>
      </c>
      <c r="K243" s="32" t="n">
        <v>726485</v>
      </c>
      <c r="L243" s="31" t="n">
        <v>31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70.59999999999999</v>
      </c>
      <c r="P243" s="32" t="n">
        <v>18</v>
      </c>
      <c r="Q243" s="32" t="n">
        <v>6319.96</v>
      </c>
      <c r="R243" s="31" t="inlineStr">
        <is>
          <t>Near 52W High Breakout</t>
        </is>
      </c>
      <c r="S243" s="31" t="inlineStr">
        <is>
          <t>Nifty Pharma</t>
        </is>
      </c>
      <c r="T243" s="32" t="n">
        <v>15.1</v>
      </c>
      <c r="U243" s="32" t="n">
        <v>8.539999999999999</v>
      </c>
      <c r="V243" s="32" t="n">
        <v>-5.7</v>
      </c>
      <c r="W243" s="32" t="n">
        <v>5.28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Yes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Between 12 to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IF(B244=0,"",RANK(B244,$B$2:$B$362,0))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JLHL</t>
        </is>
      </c>
      <c r="D244" s="33" t="inlineStr">
        <is>
          <t>Jupiter Life Line Hospitals Ltd</t>
        </is>
      </c>
      <c r="E244" s="31" t="inlineStr">
        <is>
          <t>healthcare</t>
        </is>
      </c>
      <c r="F244" s="31" t="inlineStr">
        <is>
          <t>healthcare</t>
        </is>
      </c>
      <c r="G244" s="31" t="inlineStr">
        <is>
          <t>midcap</t>
        </is>
      </c>
      <c r="H244" s="32" t="n">
        <v>9726.719999999999</v>
      </c>
      <c r="I244" s="32" t="n">
        <v>1500</v>
      </c>
      <c r="J244" s="32" t="n">
        <v>1.11</v>
      </c>
      <c r="K244" s="32" t="n">
        <v>49583</v>
      </c>
      <c r="L244" s="31" t="n">
        <v>24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68.06999999999999</v>
      </c>
      <c r="P244" s="32" t="n">
        <v>21.19</v>
      </c>
      <c r="Q244" s="32" t="n">
        <v>1269.99</v>
      </c>
      <c r="R244" s="31" t="inlineStr">
        <is>
          <t>Earnings / Momentum Support</t>
        </is>
      </c>
      <c r="S244" s="31" t="inlineStr">
        <is>
          <t>Nifty Pharma</t>
        </is>
      </c>
      <c r="T244" s="32" t="n">
        <v>15.1</v>
      </c>
      <c r="U244" s="32" t="n">
        <v>0.73</v>
      </c>
      <c r="V244" s="32" t="n">
        <v>-12.48</v>
      </c>
      <c r="W244" s="32" t="n">
        <v>4.04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Between 12 to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IF(B245=0,"",RANK(B245,$B$2:$B$362,0))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AVADHSUGAR</t>
        </is>
      </c>
      <c r="D245" s="31" t="inlineStr">
        <is>
          <t>Avadh Sugar &amp; Energy</t>
        </is>
      </c>
      <c r="E245" s="31" t="inlineStr">
        <is>
          <t>fmcg</t>
        </is>
      </c>
      <c r="F245" s="31" t="inlineStr">
        <is>
          <t>sugar</t>
        </is>
      </c>
      <c r="G245" s="31" t="inlineStr">
        <is>
          <t>smallcap</t>
        </is>
      </c>
      <c r="H245" s="32" t="n">
        <v>1079.59</v>
      </c>
      <c r="I245" s="32" t="n">
        <v>536.8</v>
      </c>
      <c r="J245" s="32" t="n">
        <v>-0.46</v>
      </c>
      <c r="K245" s="32" t="n">
        <v>30116</v>
      </c>
      <c r="L245" s="31" t="n">
        <v>37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68.48999999999999</v>
      </c>
      <c r="P245" s="32" t="n">
        <v>34.35</v>
      </c>
      <c r="Q245" s="32" t="n">
        <v>406.36</v>
      </c>
      <c r="R245" s="31" t="inlineStr">
        <is>
          <t>Near 52W High Breakout</t>
        </is>
      </c>
      <c r="S245" s="31" t="inlineStr">
        <is>
          <t>Nifty FMCG</t>
        </is>
      </c>
      <c r="T245" s="32" t="n">
        <v>-14.55</v>
      </c>
      <c r="U245" s="32" t="n">
        <v>8.5</v>
      </c>
      <c r="V245" s="32" t="n">
        <v>26.97</v>
      </c>
      <c r="W245" s="32" t="n">
        <v>6.49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B2C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Between 50% to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More than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IF(B246=0,"",RANK(B246,$B$2:$B$362,0))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MOREPENLAB</t>
        </is>
      </c>
      <c r="D246" s="33" t="inlineStr">
        <is>
          <t>Morepen Laboratories Limited</t>
        </is>
      </c>
      <c r="E246" s="31" t="inlineStr">
        <is>
          <t>healthcare</t>
        </is>
      </c>
      <c r="F246" s="31" t="inlineStr">
        <is>
          <t>pharmaceuticals - indian - bulk drugs &amp; formln</t>
        </is>
      </c>
      <c r="G246" s="31" t="inlineStr">
        <is>
          <t>smallcap</t>
        </is>
      </c>
      <c r="H246" s="32" t="n">
        <v>3428</v>
      </c>
      <c r="I246" s="32" t="n">
        <v>61.24</v>
      </c>
      <c r="J246" s="32" t="n">
        <v>-2.11</v>
      </c>
      <c r="K246" s="32" t="n">
        <v>10976687</v>
      </c>
      <c r="L246" s="31" t="n">
        <v>60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74.81999999999999</v>
      </c>
      <c r="P246" s="32" t="n">
        <v>23.27</v>
      </c>
      <c r="Q246" s="32" t="n">
        <v>46.01</v>
      </c>
      <c r="R246" s="31" t="inlineStr">
        <is>
          <t>Near 52W High Breakout</t>
        </is>
      </c>
      <c r="S246" s="31" t="inlineStr">
        <is>
          <t>Nifty Pharma</t>
        </is>
      </c>
      <c r="T246" s="32" t="n">
        <v>15.1</v>
      </c>
      <c r="U246" s="32" t="n">
        <v>-1.64</v>
      </c>
      <c r="V246" s="32" t="n">
        <v>-14.55</v>
      </c>
      <c r="W246" s="32" t="n">
        <v>11.82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Less than 50%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IF(B247=0,"",RANK(B247,$B$2:$B$362,0))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GANESHBE</t>
        </is>
      </c>
      <c r="D247" s="31" t="inlineStr">
        <is>
          <t>Ganesh Benzoplast Ltd</t>
        </is>
      </c>
      <c r="E247" s="31" t="inlineStr">
        <is>
          <t>miscellaneous</t>
        </is>
      </c>
      <c r="F247" s="31" t="inlineStr">
        <is>
          <t>miscellaneous</t>
        </is>
      </c>
      <c r="G247" s="31" t="inlineStr">
        <is>
          <t>smallcap</t>
        </is>
      </c>
      <c r="H247" s="32" t="n">
        <v>694.99</v>
      </c>
      <c r="I247" s="32" t="n">
        <v>103.86</v>
      </c>
      <c r="J247" s="32" t="n">
        <v>7.58</v>
      </c>
      <c r="K247" s="32" t="n">
        <v>1313524</v>
      </c>
      <c r="L247" s="31" t="n">
        <v>19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57.75</v>
      </c>
      <c r="P247" s="32" t="n">
        <v>27.21</v>
      </c>
      <c r="Q247" s="32" t="n">
        <v>82.41</v>
      </c>
      <c r="R247" s="31" t="inlineStr">
        <is>
          <t>Earnings / Momentum Support</t>
        </is>
      </c>
      <c r="S247" s="31" t="inlineStr">
        <is>
          <t>Nifty 50</t>
        </is>
      </c>
      <c r="T247" s="32" t="n">
        <v>-3.56</v>
      </c>
      <c r="U247" s="32" t="n">
        <v>7.03</v>
      </c>
      <c r="V247" s="32" t="n">
        <v>10.98</v>
      </c>
      <c r="W247" s="32" t="n">
        <v>3.24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IF(B248=0,"",RANK(B248,$B$2:$B$362,0))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FMGOETZE</t>
        </is>
      </c>
      <c r="D248" s="33" t="inlineStr">
        <is>
          <t>Federal-mogul Goetze (india) Limited.</t>
        </is>
      </c>
      <c r="E248" s="31" t="inlineStr">
        <is>
          <t>auto</t>
        </is>
      </c>
      <c r="F248" s="31" t="inlineStr">
        <is>
          <t>auto ancillaries</t>
        </is>
      </c>
      <c r="G248" s="31" t="inlineStr">
        <is>
          <t>smallcap</t>
        </is>
      </c>
      <c r="H248" s="32" t="n">
        <v>2607.2</v>
      </c>
      <c r="I248" s="32" t="n">
        <v>490</v>
      </c>
      <c r="J248" s="32" t="n">
        <v>4.56</v>
      </c>
      <c r="K248" s="32" t="n">
        <v>308411</v>
      </c>
      <c r="L248" s="31" t="n">
        <v>5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59.32</v>
      </c>
      <c r="P248" s="32" t="n">
        <v>10.1</v>
      </c>
      <c r="Q248" s="32" t="n">
        <v>373.74</v>
      </c>
      <c r="R248" s="31" t="inlineStr">
        <is>
          <t>Volume Spike / Accumulation</t>
        </is>
      </c>
      <c r="S248" s="31" t="inlineStr">
        <is>
          <t>Nifty Auto</t>
        </is>
      </c>
      <c r="T248" s="32" t="n">
        <v>11.51</v>
      </c>
      <c r="U248" s="32" t="n">
        <v>-15.12</v>
      </c>
      <c r="V248" s="32" t="n">
        <v>-23.88</v>
      </c>
      <c r="W248" s="32" t="n">
        <v>-0.76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IF(B249=0,"",RANK(B249,$B$2:$B$362,0))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HONAUT</t>
        </is>
      </c>
      <c r="D249" s="33" t="inlineStr">
        <is>
          <t>Honeywell Automation India Limited</t>
        </is>
      </c>
      <c r="E249" s="31" t="inlineStr">
        <is>
          <t>consumer discretionary</t>
        </is>
      </c>
      <c r="F249" s="31" t="inlineStr">
        <is>
          <t>electronics - components</t>
        </is>
      </c>
      <c r="G249" s="31" t="inlineStr">
        <is>
          <t>largecap</t>
        </is>
      </c>
      <c r="H249" s="32" t="n">
        <v>33650.84</v>
      </c>
      <c r="I249" s="32" t="n">
        <v>39420</v>
      </c>
      <c r="J249" s="32" t="n">
        <v>3.57</v>
      </c>
      <c r="K249" s="32" t="n">
        <v>4488</v>
      </c>
      <c r="L249" s="31" t="n">
        <v>25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64.76000000000001</v>
      </c>
      <c r="P249" s="32" t="n">
        <v>19.1</v>
      </c>
      <c r="Q249" s="32" t="n">
        <v>32712.51</v>
      </c>
      <c r="R249" s="31" t="inlineStr">
        <is>
          <t>Near 52W High Breakout</t>
        </is>
      </c>
      <c r="S249" s="31" t="inlineStr">
        <is>
          <t>Nifty 500</t>
        </is>
      </c>
      <c r="T249" s="32" t="n">
        <v>-0.05</v>
      </c>
      <c r="U249" s="32" t="n">
        <v>-2.3</v>
      </c>
      <c r="V249" s="32" t="n">
        <v>-2.25</v>
      </c>
      <c r="W249" s="32" t="n">
        <v>4.2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Between 12 to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IF(B250=0,"",RANK(B250,$B$2:$B$362,0))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GALAPREC</t>
        </is>
      </c>
      <c r="D250" s="31" t="inlineStr">
        <is>
          <t>Gala Precision Engineering Ltd</t>
        </is>
      </c>
      <c r="E250" s="31" t="inlineStr">
        <is>
          <t>industrials</t>
        </is>
      </c>
      <c r="F250" s="31" t="inlineStr">
        <is>
          <t>fasteners</t>
        </is>
      </c>
      <c r="G250" s="31" t="inlineStr">
        <is>
          <t>smallcap</t>
        </is>
      </c>
      <c r="H250" s="32" t="n">
        <v>1453.02</v>
      </c>
      <c r="I250" s="32" t="n">
        <v>1173.2</v>
      </c>
      <c r="J250" s="32" t="n">
        <v>2.95</v>
      </c>
      <c r="K250" s="32" t="n">
        <v>90926</v>
      </c>
      <c r="L250" s="31" t="n">
        <v>77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77.69</v>
      </c>
      <c r="P250" s="32" t="n">
        <v>41.08</v>
      </c>
      <c r="Q250" s="32" t="n">
        <v>907.33</v>
      </c>
      <c r="R250" s="31" t="inlineStr">
        <is>
          <t>Near 52W High Breakout</t>
        </is>
      </c>
      <c r="S250" s="31" t="inlineStr">
        <is>
          <t>Nifty 50</t>
        </is>
      </c>
      <c r="T250" s="32" t="n">
        <v>-3.56</v>
      </c>
      <c r="U250" s="32" t="n">
        <v>34.62</v>
      </c>
      <c r="V250" s="32" t="n">
        <v>39.59</v>
      </c>
      <c r="W250" s="32" t="n">
        <v>17.81</v>
      </c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Above 40</t>
        </is>
      </c>
      <c r="AY250" s="31">
        <f>IF(AX250="Above 40",20,IF(AX250="20 to 40",10,IF(AX250="0 to 20",-5,0)))</f>
        <v/>
      </c>
      <c r="AZ250" s="31" t="inlineStr">
        <is>
          <t>Above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Less than 50%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IF(B251=0,"",RANK(B251,$B$2:$B$362,0))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CEATLTD</t>
        </is>
      </c>
      <c r="D251" s="33" t="inlineStr">
        <is>
          <t>Ceat Limited</t>
        </is>
      </c>
      <c r="E251" s="31" t="inlineStr">
        <is>
          <t>auto</t>
        </is>
      </c>
      <c r="F251" s="31" t="inlineStr">
        <is>
          <t>tyres</t>
        </is>
      </c>
      <c r="G251" s="31" t="inlineStr">
        <is>
          <t>midcap</t>
        </is>
      </c>
      <c r="H251" s="32" t="n">
        <v>15046.63</v>
      </c>
      <c r="I251" s="32" t="n">
        <v>3789.1</v>
      </c>
      <c r="J251" s="32" t="n">
        <v>1.86</v>
      </c>
      <c r="K251" s="32" t="n">
        <v>176263</v>
      </c>
      <c r="L251" s="31" t="n">
        <v>9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58.46</v>
      </c>
      <c r="P251" s="32" t="n">
        <v>9.32</v>
      </c>
      <c r="Q251" s="32" t="n">
        <v>3079.78</v>
      </c>
      <c r="R251" s="31" t="inlineStr">
        <is>
          <t>Earnings / Momentum Support</t>
        </is>
      </c>
      <c r="S251" s="31" t="inlineStr">
        <is>
          <t>Nifty Auto</t>
        </is>
      </c>
      <c r="T251" s="32" t="n">
        <v>11.51</v>
      </c>
      <c r="U251" s="32" t="n">
        <v>-0.06</v>
      </c>
      <c r="V251" s="32" t="n">
        <v>-10.38</v>
      </c>
      <c r="W251" s="32" t="n">
        <v>0.39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IF(B252=0,"",RANK(B252,$B$2:$B$362,0))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TVSSRICHAK</t>
        </is>
      </c>
      <c r="D252" s="31" t="inlineStr">
        <is>
          <t>Tvs Srichakra Limited</t>
        </is>
      </c>
      <c r="E252" s="31" t="inlineStr">
        <is>
          <t>auto</t>
        </is>
      </c>
      <c r="F252" s="31" t="inlineStr">
        <is>
          <t>tyres</t>
        </is>
      </c>
      <c r="G252" s="31" t="inlineStr">
        <is>
          <t>smallcap</t>
        </is>
      </c>
      <c r="H252" s="32" t="n">
        <v>3167.03</v>
      </c>
      <c r="I252" s="32" t="n">
        <v>4211.9</v>
      </c>
      <c r="J252" s="32" t="n">
        <v>1.83</v>
      </c>
      <c r="K252" s="32" t="n">
        <v>2756</v>
      </c>
      <c r="L252" s="31" t="n">
        <v>44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58.42</v>
      </c>
      <c r="P252" s="32" t="n">
        <v>16.05</v>
      </c>
      <c r="Q252" s="32" t="n">
        <v>3353.08</v>
      </c>
      <c r="R252" s="31" t="inlineStr">
        <is>
          <t>Earnings / Momentum Support</t>
        </is>
      </c>
      <c r="S252" s="31" t="inlineStr">
        <is>
          <t>Nifty Auto</t>
        </is>
      </c>
      <c r="T252" s="32" t="n">
        <v>11.51</v>
      </c>
      <c r="U252" s="32" t="n">
        <v>32.92</v>
      </c>
      <c r="V252" s="32" t="n">
        <v>19.2</v>
      </c>
      <c r="W252" s="32" t="n">
        <v>7.88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IF(B253=0,"",RANK(B253,$B$2:$B$362,0))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MUNJALSHOW</t>
        </is>
      </c>
      <c r="D253" s="33" t="inlineStr">
        <is>
          <t>Munjal Showa Limited</t>
        </is>
      </c>
      <c r="E253" s="31" t="inlineStr">
        <is>
          <t>auto</t>
        </is>
      </c>
      <c r="F253" s="31" t="inlineStr">
        <is>
          <t>auto ancillaries</t>
        </is>
      </c>
      <c r="G253" s="31" t="inlineStr">
        <is>
          <t>smallcap</t>
        </is>
      </c>
      <c r="H253" s="32" t="n">
        <v>534.53</v>
      </c>
      <c r="I253" s="32" t="n">
        <v>135.98</v>
      </c>
      <c r="J253" s="32" t="n">
        <v>1.74</v>
      </c>
      <c r="K253" s="32" t="n">
        <v>64393</v>
      </c>
      <c r="L253" s="31" t="n">
        <v>8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57.31</v>
      </c>
      <c r="P253" s="32" t="n">
        <v>25.4</v>
      </c>
      <c r="Q253" s="32" t="n">
        <v>115.51</v>
      </c>
      <c r="R253" s="31" t="inlineStr">
        <is>
          <t>Earnings / Momentum Support</t>
        </is>
      </c>
      <c r="S253" s="31" t="inlineStr">
        <is>
          <t>Nifty Auto</t>
        </is>
      </c>
      <c r="T253" s="32" t="n">
        <v>11.51</v>
      </c>
      <c r="U253" s="32" t="n">
        <v>-7.07</v>
      </c>
      <c r="V253" s="32" t="n">
        <v>-16.66</v>
      </c>
      <c r="W253" s="32" t="n">
        <v>0.15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Between 1.5 to 2</t>
        </is>
      </c>
      <c r="BU253" s="31">
        <f>IF(BT253="Above 2",0,IF(BT253="Between 1.5 to 2",5,IF(BT253="Less than 1.5",10,0)))</f>
        <v/>
      </c>
      <c r="BV253" s="31" t="inlineStr">
        <is>
          <t>Negative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IF(B254=0,"",RANK(B254,$B$2:$B$362,0))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MAHASTEEL</t>
        </is>
      </c>
      <c r="D254" s="31" t="inlineStr">
        <is>
          <t>Mahamaya Steel Industries Limited</t>
        </is>
      </c>
      <c r="E254" s="31" t="inlineStr">
        <is>
          <t>metals &amp; mining</t>
        </is>
      </c>
      <c r="F254" s="31" t="inlineStr">
        <is>
          <t>steel - medium / small</t>
        </is>
      </c>
      <c r="G254" s="31" t="inlineStr">
        <is>
          <t>smallcap</t>
        </is>
      </c>
      <c r="H254" s="32" t="n">
        <v>1408.84</v>
      </c>
      <c r="I254" s="32" t="n">
        <v>870</v>
      </c>
      <c r="J254" s="32" t="n">
        <v>1.49</v>
      </c>
      <c r="K254" s="32" t="n">
        <v>6530</v>
      </c>
      <c r="L254" s="31" t="n">
        <v>81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54.49</v>
      </c>
      <c r="P254" s="32" t="n">
        <v>21.66</v>
      </c>
      <c r="Q254" s="32" t="n">
        <v>678.33</v>
      </c>
      <c r="R254" s="31" t="inlineStr">
        <is>
          <t>Earnings / Momentum Support</t>
        </is>
      </c>
      <c r="S254" s="31" t="inlineStr">
        <is>
          <t>Nifty Metal</t>
        </is>
      </c>
      <c r="T254" s="32" t="n">
        <v>32.55</v>
      </c>
      <c r="U254" s="32" t="n">
        <v>137.65</v>
      </c>
      <c r="V254" s="32" t="n">
        <v>79.29000000000001</v>
      </c>
      <c r="W254" s="32" t="n">
        <v>20.42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Between 1.5 to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IF(B255=0,"",RANK(B255,$B$2:$B$362,0))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EPL</t>
        </is>
      </c>
      <c r="D255" s="31" t="inlineStr">
        <is>
          <t>EPL Ltd</t>
        </is>
      </c>
      <c r="E255" s="31" t="inlineStr">
        <is>
          <t>industrials</t>
        </is>
      </c>
      <c r="F255" s="31" t="inlineStr">
        <is>
          <t>packaging</t>
        </is>
      </c>
      <c r="G255" s="31" t="inlineStr">
        <is>
          <t>midcap</t>
        </is>
      </c>
      <c r="H255" s="32" t="n">
        <v>7518.78</v>
      </c>
      <c r="I255" s="32" t="n">
        <v>238.23</v>
      </c>
      <c r="J255" s="32" t="n">
        <v>1.47</v>
      </c>
      <c r="K255" s="32" t="n">
        <v>358407</v>
      </c>
      <c r="L255" s="31" t="n">
        <v>12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60.32</v>
      </c>
      <c r="P255" s="32" t="n">
        <v>9.220000000000001</v>
      </c>
      <c r="Q255" s="32" t="n">
        <v>191.38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-3.56</v>
      </c>
      <c r="U255" s="32" t="n">
        <v>3.98</v>
      </c>
      <c r="V255" s="32" t="n">
        <v>7.82</v>
      </c>
      <c r="W255" s="32" t="n">
        <v>1.45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IF(B256=0,"",RANK(B256,$B$2:$B$362,0))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MMFL</t>
        </is>
      </c>
      <c r="D256" s="31" t="inlineStr">
        <is>
          <t>Mm Forgings Limited</t>
        </is>
      </c>
      <c r="E256" s="31" t="inlineStr">
        <is>
          <t>industrials</t>
        </is>
      </c>
      <c r="F256" s="31" t="inlineStr">
        <is>
          <t>castings &amp; forgings</t>
        </is>
      </c>
      <c r="G256" s="31" t="inlineStr">
        <is>
          <t>smallcap</t>
        </is>
      </c>
      <c r="H256" s="32" t="n">
        <v>2492.78</v>
      </c>
      <c r="I256" s="32" t="n">
        <v>523.2</v>
      </c>
      <c r="J256" s="32" t="n">
        <v>1.34</v>
      </c>
      <c r="K256" s="32" t="n">
        <v>83844</v>
      </c>
      <c r="L256" s="31" t="n">
        <v>58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67.05</v>
      </c>
      <c r="P256" s="32" t="n">
        <v>17.08</v>
      </c>
      <c r="Q256" s="32" t="n">
        <v>400.12</v>
      </c>
      <c r="R256" s="31" t="inlineStr">
        <is>
          <t>Near 52W High Breakout</t>
        </is>
      </c>
      <c r="S256" s="31" t="inlineStr">
        <is>
          <t>Nifty 50</t>
        </is>
      </c>
      <c r="T256" s="32" t="n">
        <v>-3.56</v>
      </c>
      <c r="U256" s="32" t="n">
        <v>41.34</v>
      </c>
      <c r="V256" s="32" t="n">
        <v>46.57</v>
      </c>
      <c r="W256" s="32" t="n">
        <v>11.62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IF(B257=0,"",RANK(B257,$B$2:$B$362,0))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SUYOG</t>
        </is>
      </c>
      <c r="D257" s="31" t="inlineStr">
        <is>
          <t>Suyog Telematics Ltd</t>
        </is>
      </c>
      <c r="E257" s="31" t="inlineStr">
        <is>
          <t>telecom</t>
        </is>
      </c>
      <c r="F257" s="31" t="inlineStr">
        <is>
          <t>transmisson line towers / equipment</t>
        </is>
      </c>
      <c r="G257" s="31" t="inlineStr">
        <is>
          <t>smallcap</t>
        </is>
      </c>
      <c r="H257" s="32" t="n">
        <v>1016.17</v>
      </c>
      <c r="I257" s="32" t="n">
        <v>874</v>
      </c>
      <c r="J257" s="32" t="n">
        <v>0.78</v>
      </c>
      <c r="K257" s="32" t="n">
        <v>19132</v>
      </c>
      <c r="L257" s="31" t="n">
        <v>26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60.3</v>
      </c>
      <c r="P257" s="32" t="n">
        <v>17.28</v>
      </c>
      <c r="Q257" s="32" t="n">
        <v>641.96</v>
      </c>
      <c r="R257" s="31" t="inlineStr">
        <is>
          <t>Near 52W High Breakout</t>
        </is>
      </c>
      <c r="S257" s="31" t="inlineStr">
        <is>
          <t>Nifty 50</t>
        </is>
      </c>
      <c r="T257" s="32" t="n">
        <v>-3.56</v>
      </c>
      <c r="U257" s="32" t="n">
        <v>0.22</v>
      </c>
      <c r="V257" s="32" t="n">
        <v>3.92</v>
      </c>
      <c r="W257" s="32" t="n">
        <v>4.28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Oligopoly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Less than 1.5</t>
        </is>
      </c>
      <c r="BU257" s="31">
        <f>IF(BT257="Above 2",0,IF(BT257="Between 1.5 to 2",5,IF(BT257="Less than 1.5",10,0)))</f>
        <v/>
      </c>
      <c r="BV257" s="31" t="inlineStr">
        <is>
          <t>Less than 50%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IF(B258=0,"",RANK(B258,$B$2:$B$362,0))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NAVINFLUOR</t>
        </is>
      </c>
      <c r="D258" s="31" t="inlineStr">
        <is>
          <t>Navin Fluorine International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largecap</t>
        </is>
      </c>
      <c r="H258" s="32" t="n">
        <v>38877.17</v>
      </c>
      <c r="I258" s="32" t="n">
        <v>7618</v>
      </c>
      <c r="J258" s="32" t="n">
        <v>0.42</v>
      </c>
      <c r="K258" s="32" t="n">
        <v>87658</v>
      </c>
      <c r="L258" s="31" t="n">
        <v>67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70.28</v>
      </c>
      <c r="P258" s="32" t="n">
        <v>48.8</v>
      </c>
      <c r="Q258" s="32" t="n">
        <v>6425.32</v>
      </c>
      <c r="R258" s="31" t="inlineStr">
        <is>
          <t>Near 52W High Breakout</t>
        </is>
      </c>
      <c r="S258" s="31" t="inlineStr">
        <is>
          <t>Nifty 50</t>
        </is>
      </c>
      <c r="T258" s="32" t="n">
        <v>-3.56</v>
      </c>
      <c r="U258" s="32" t="n">
        <v>56.81</v>
      </c>
      <c r="V258" s="32" t="n">
        <v>62.6</v>
      </c>
      <c r="W258" s="32" t="n">
        <v>14.07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Oligopoly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Shallow Cyclical (2 to 3 Years Growth)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Between 50% to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IF(B259=0,"",RANK(B259,$B$2:$B$362,0))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GODREJPROP</t>
        </is>
      </c>
      <c r="D259" s="33" t="inlineStr">
        <is>
          <t>Godrej Properties Limited</t>
        </is>
      </c>
      <c r="E259" s="31" t="inlineStr">
        <is>
          <t>realty</t>
        </is>
      </c>
      <c r="F259" s="31" t="inlineStr">
        <is>
          <t>construction</t>
        </is>
      </c>
      <c r="G259" s="31" t="inlineStr">
        <is>
          <t>largecap</t>
        </is>
      </c>
      <c r="H259" s="32" t="n">
        <v>63476.22</v>
      </c>
      <c r="I259" s="32" t="n">
        <v>2104.4</v>
      </c>
      <c r="J259" s="32" t="n">
        <v>-0.14</v>
      </c>
      <c r="K259" s="32" t="n">
        <v>623143</v>
      </c>
      <c r="L259" s="31" t="n">
        <v>16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62.86</v>
      </c>
      <c r="P259" s="32" t="n">
        <v>9.07</v>
      </c>
      <c r="Q259" s="32" t="n">
        <v>1727.37</v>
      </c>
      <c r="R259" s="31" t="inlineStr">
        <is>
          <t>Earnings / Momentum Support</t>
        </is>
      </c>
      <c r="S259" s="31" t="inlineStr">
        <is>
          <t>Nifty Realty</t>
        </is>
      </c>
      <c r="T259" s="32" t="n">
        <v>-8.48</v>
      </c>
      <c r="U259" s="32" t="n">
        <v>-11.03</v>
      </c>
      <c r="V259" s="32" t="n">
        <v>-2.8</v>
      </c>
      <c r="W259" s="32" t="n">
        <v>2.28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IF(B260=0,"",RANK(B260,$B$2:$B$362,0))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SHYAMMETL</t>
        </is>
      </c>
      <c r="D260" s="33" t="inlineStr">
        <is>
          <t>Shyam Metalics &amp; Energy Ltd</t>
        </is>
      </c>
      <c r="E260" s="31" t="inlineStr">
        <is>
          <t>metals &amp; mining</t>
        </is>
      </c>
      <c r="F260" s="31" t="inlineStr">
        <is>
          <t>steel - large</t>
        </is>
      </c>
      <c r="G260" s="31" t="inlineStr">
        <is>
          <t>largecap</t>
        </is>
      </c>
      <c r="H260" s="32" t="n">
        <v>28916.66</v>
      </c>
      <c r="I260" s="32" t="n">
        <v>1033.75</v>
      </c>
      <c r="J260" s="32" t="n">
        <v>-0.21</v>
      </c>
      <c r="K260" s="32" t="n">
        <v>602620</v>
      </c>
      <c r="L260" s="31" t="n">
        <v>40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66.20999999999999</v>
      </c>
      <c r="P260" s="32" t="n">
        <v>15.94</v>
      </c>
      <c r="Q260" s="32" t="n">
        <v>848.29</v>
      </c>
      <c r="R260" s="31" t="inlineStr">
        <is>
          <t>Near 52W High Breakout</t>
        </is>
      </c>
      <c r="S260" s="31" t="inlineStr">
        <is>
          <t>Nifty Metal</t>
        </is>
      </c>
      <c r="T260" s="32" t="n">
        <v>32.55</v>
      </c>
      <c r="U260" s="32" t="n">
        <v>13.96</v>
      </c>
      <c r="V260" s="32" t="n">
        <v>-14.02</v>
      </c>
      <c r="W260" s="32" t="n">
        <v>7.06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Cyclical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Volatile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Blue sky scenario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Less than 1.5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IF(B261=0,"",RANK(B261,$B$2:$B$362,0))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MAHLOG</t>
        </is>
      </c>
      <c r="D261" s="31" t="inlineStr">
        <is>
          <t>Mahindra Logistics Ltd</t>
        </is>
      </c>
      <c r="E261" s="31" t="inlineStr">
        <is>
          <t>transportation</t>
        </is>
      </c>
      <c r="F261" s="31" t="inlineStr">
        <is>
          <t>miscellaneous</t>
        </is>
      </c>
      <c r="G261" s="31" t="inlineStr">
        <is>
          <t>smallcap</t>
        </is>
      </c>
      <c r="H261" s="32" t="n">
        <v>3906.39</v>
      </c>
      <c r="I261" s="32" t="n">
        <v>392.45</v>
      </c>
      <c r="J261" s="32" t="n">
        <v>-0.32</v>
      </c>
      <c r="K261" s="32" t="n">
        <v>100559</v>
      </c>
      <c r="L261" s="31" t="n">
        <v>10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56.25</v>
      </c>
      <c r="P261" s="32" t="n">
        <v>19.15</v>
      </c>
      <c r="Q261" s="32" t="n">
        <v>335.83</v>
      </c>
      <c r="R261" s="31" t="inlineStr">
        <is>
          <t>Earnings / Momentum Support</t>
        </is>
      </c>
      <c r="S261" s="31" t="inlineStr">
        <is>
          <t>Nifty 50</t>
        </is>
      </c>
      <c r="T261" s="32" t="n">
        <v>-3.56</v>
      </c>
      <c r="U261" s="32" t="n">
        <v>3.93</v>
      </c>
      <c r="V261" s="32" t="n">
        <v>7.77</v>
      </c>
      <c r="W261" s="32" t="n">
        <v>0.76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IF(B262=0,"",RANK(B262,$B$2:$B$362,0))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MACPOWER</t>
        </is>
      </c>
      <c r="D262" s="31" t="inlineStr">
        <is>
          <t>Macpower CNC Machines Ltd</t>
        </is>
      </c>
      <c r="E262" s="31" t="inlineStr">
        <is>
          <t>industrials</t>
        </is>
      </c>
      <c r="F262" s="31" t="inlineStr">
        <is>
          <t>engineering</t>
        </is>
      </c>
      <c r="G262" s="31" t="inlineStr">
        <is>
          <t>smallcap</t>
        </is>
      </c>
      <c r="H262" s="32" t="n">
        <v>1326.85</v>
      </c>
      <c r="I262" s="32" t="n">
        <v>1321.8</v>
      </c>
      <c r="J262" s="32" t="n">
        <v>-0.34</v>
      </c>
      <c r="K262" s="32" t="n">
        <v>10443</v>
      </c>
      <c r="L262" s="31" t="n">
        <v>55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62.23</v>
      </c>
      <c r="P262" s="32" t="n">
        <v>28.19</v>
      </c>
      <c r="Q262" s="32" t="n">
        <v>999.74</v>
      </c>
      <c r="R262" s="31" t="inlineStr">
        <is>
          <t>Earnings / Momentum Support</t>
        </is>
      </c>
      <c r="S262" s="31" t="inlineStr">
        <is>
          <t>Nifty 50</t>
        </is>
      </c>
      <c r="T262" s="32" t="n">
        <v>-3.56</v>
      </c>
      <c r="U262" s="32" t="n">
        <v>23.52</v>
      </c>
      <c r="V262" s="32" t="n">
        <v>28.09</v>
      </c>
      <c r="W262" s="32" t="n">
        <v>10.61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Between 12 to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Less than 50%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IF(B263=0,"",RANK(B263,$B$2:$B$362,0))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GOODLUCK</t>
        </is>
      </c>
      <c r="D263" s="31" t="inlineStr">
        <is>
          <t>Goodluck India Limited</t>
        </is>
      </c>
      <c r="E263" s="31" t="inlineStr">
        <is>
          <t>metals &amp; mining</t>
        </is>
      </c>
      <c r="F263" s="31" t="inlineStr">
        <is>
          <t>steel - medium / small</t>
        </is>
      </c>
      <c r="G263" s="31" t="inlineStr">
        <is>
          <t>midcap</t>
        </is>
      </c>
      <c r="H263" s="32" t="n">
        <v>5250.02</v>
      </c>
      <c r="I263" s="32" t="n">
        <v>1573</v>
      </c>
      <c r="J263" s="32" t="n">
        <v>-0.41</v>
      </c>
      <c r="K263" s="32" t="n">
        <v>72062</v>
      </c>
      <c r="L263" s="31" t="n">
        <v>65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66.5</v>
      </c>
      <c r="P263" s="32" t="n">
        <v>35.2</v>
      </c>
      <c r="Q263" s="32" t="n">
        <v>1193.29</v>
      </c>
      <c r="R263" s="31" t="inlineStr">
        <is>
          <t>Near 52W High Breakout</t>
        </is>
      </c>
      <c r="S263" s="31" t="inlineStr">
        <is>
          <t>Nifty Metal</t>
        </is>
      </c>
      <c r="T263" s="32" t="n">
        <v>32.55</v>
      </c>
      <c r="U263" s="32" t="n">
        <v>38.9</v>
      </c>
      <c r="V263" s="32" t="n">
        <v>4.79</v>
      </c>
      <c r="W263" s="32" t="n">
        <v>13.14</v>
      </c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Less than 50%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IF(B264=0,"",RANK(B264,$B$2:$B$362,0))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PRESTIGE</t>
        </is>
      </c>
      <c r="D264" s="31" t="inlineStr">
        <is>
          <t>Prestige Estates Projects Limited</t>
        </is>
      </c>
      <c r="E264" s="31" t="inlineStr">
        <is>
          <t>realty</t>
        </is>
      </c>
      <c r="F264" s="31" t="inlineStr">
        <is>
          <t>construction</t>
        </is>
      </c>
      <c r="G264" s="31" t="inlineStr">
        <is>
          <t>largecap</t>
        </is>
      </c>
      <c r="H264" s="32" t="n">
        <v>72948.47</v>
      </c>
      <c r="I264" s="32" t="n">
        <v>1686</v>
      </c>
      <c r="J264" s="32" t="n">
        <v>-0.45</v>
      </c>
      <c r="K264" s="32" t="n">
        <v>335239</v>
      </c>
      <c r="L264" s="31" t="n">
        <v>26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62.64</v>
      </c>
      <c r="P264" s="32" t="n">
        <v>13.26</v>
      </c>
      <c r="Q264" s="32" t="n">
        <v>1401.5</v>
      </c>
      <c r="R264" s="31" t="inlineStr">
        <is>
          <t>Near 52W High Breakout</t>
        </is>
      </c>
      <c r="S264" s="31" t="inlineStr">
        <is>
          <t>Nifty Realty</t>
        </is>
      </c>
      <c r="T264" s="32" t="n">
        <v>-8.48</v>
      </c>
      <c r="U264" s="32" t="n">
        <v>-5.29</v>
      </c>
      <c r="V264" s="32" t="n">
        <v>3.48</v>
      </c>
      <c r="W264" s="32" t="n">
        <v>4.54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Between 0.7 to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IF(B265=0,"",RANK(B265,$B$2:$B$362,0))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SENCO</t>
        </is>
      </c>
      <c r="D265" s="31" t="inlineStr">
        <is>
          <t>Senco Gold Ltd</t>
        </is>
      </c>
      <c r="E265" s="31" t="inlineStr">
        <is>
          <t>consumer discretionary</t>
        </is>
      </c>
      <c r="F265" s="31" t="inlineStr">
        <is>
          <t>diamond cutting / jewellery</t>
        </is>
      </c>
      <c r="G265" s="31" t="inlineStr">
        <is>
          <t>midcap</t>
        </is>
      </c>
      <c r="H265" s="32" t="n">
        <v>6189.44</v>
      </c>
      <c r="I265" s="32" t="n">
        <v>373.2</v>
      </c>
      <c r="J265" s="32" t="n">
        <v>-1.23</v>
      </c>
      <c r="K265" s="32" t="n">
        <v>1164496</v>
      </c>
      <c r="L265" s="31" t="n">
        <v>21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60.3</v>
      </c>
      <c r="P265" s="32" t="n">
        <v>25.06</v>
      </c>
      <c r="Q265" s="32" t="n">
        <v>282.44</v>
      </c>
      <c r="R265" s="31" t="inlineStr">
        <is>
          <t>Near 52W High Breakout</t>
        </is>
      </c>
      <c r="S265" s="31" t="inlineStr">
        <is>
          <t>Nifty 50</t>
        </is>
      </c>
      <c r="T265" s="32" t="n">
        <v>-3.56</v>
      </c>
      <c r="U265" s="32" t="n">
        <v>1.43</v>
      </c>
      <c r="V265" s="32" t="n">
        <v>5.18</v>
      </c>
      <c r="W265" s="32" t="n">
        <v>3.59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Negative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Between 0.7 to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IF(B266=0,"",RANK(B266,$B$2:$B$362,0))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RPGLIFE</t>
        </is>
      </c>
      <c r="D266" s="31" t="inlineStr">
        <is>
          <t>Rpg Life Sciences Limited</t>
        </is>
      </c>
      <c r="E266" s="31" t="inlineStr">
        <is>
          <t>healthcare</t>
        </is>
      </c>
      <c r="F266" s="31" t="inlineStr">
        <is>
          <t>pharmaceuticals - indian - bulk drugs &amp; formln</t>
        </is>
      </c>
      <c r="G266" s="31" t="inlineStr">
        <is>
          <t>smallcap</t>
        </is>
      </c>
      <c r="H266" s="32" t="n">
        <v>4532.02</v>
      </c>
      <c r="I266" s="32" t="n">
        <v>2978.1</v>
      </c>
      <c r="J266" s="32" t="n">
        <v>8.68</v>
      </c>
      <c r="K266" s="32" t="n">
        <v>146496</v>
      </c>
      <c r="L266" s="31" t="n">
        <v>71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77.19</v>
      </c>
      <c r="P266" s="32" t="n">
        <v>24.01</v>
      </c>
      <c r="Q266" s="32" t="n">
        <v>2386.53</v>
      </c>
      <c r="R266" s="31" t="inlineStr">
        <is>
          <t>Volume Spike &amp; Near 52W High Breakout</t>
        </is>
      </c>
      <c r="S266" s="31" t="inlineStr">
        <is>
          <t>Nifty Pharma</t>
        </is>
      </c>
      <c r="T266" s="32" t="n">
        <v>15.1</v>
      </c>
      <c r="U266" s="32" t="n">
        <v>19.94</v>
      </c>
      <c r="V266" s="32" t="n">
        <v>4.21</v>
      </c>
      <c r="W266" s="32" t="n">
        <v>15.4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Above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Less than 50%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IF(B267=0,"",RANK(B267,$B$2:$B$362,0))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KOVAI</t>
        </is>
      </c>
      <c r="D267" s="33" t="inlineStr">
        <is>
          <t>Kovai Medical Center &amp; Hospital Ltd</t>
        </is>
      </c>
      <c r="E267" s="31" t="inlineStr">
        <is>
          <t>healthcare</t>
        </is>
      </c>
      <c r="F267" s="31" t="inlineStr">
        <is>
          <t>healthcare</t>
        </is>
      </c>
      <c r="G267" s="31" t="inlineStr">
        <is>
          <t>midcap</t>
        </is>
      </c>
      <c r="H267" s="32" t="n">
        <v>6414.35</v>
      </c>
      <c r="I267" s="32" t="n">
        <v>5990</v>
      </c>
      <c r="J267" s="32" t="n">
        <v>2.18</v>
      </c>
      <c r="K267" s="32" t="n">
        <v>4707</v>
      </c>
      <c r="L267" s="31" t="n">
        <v>15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61.84</v>
      </c>
      <c r="P267" s="32" t="n">
        <v>19.88</v>
      </c>
      <c r="Q267" s="32" t="n">
        <v>5085.71</v>
      </c>
      <c r="R267" s="31" t="inlineStr">
        <is>
          <t>Earnings / Momentum Support</t>
        </is>
      </c>
      <c r="S267" s="31" t="inlineStr">
        <is>
          <t>Nifty Pharma</t>
        </is>
      </c>
      <c r="T267" s="32" t="n">
        <v>15.1</v>
      </c>
      <c r="U267" s="32" t="n">
        <v>-2.41</v>
      </c>
      <c r="V267" s="32" t="n">
        <v>-15.21</v>
      </c>
      <c r="W267" s="32" t="n">
        <v>2.03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Yes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Annuity, Lower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Between 12 to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Between 1.5 to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IF(B268=0,"",RANK(B268,$B$2:$B$362,0))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MEDANTA</t>
        </is>
      </c>
      <c r="D268" s="33" t="inlineStr">
        <is>
          <t>Global Health Ltd</t>
        </is>
      </c>
      <c r="E268" s="31" t="inlineStr">
        <is>
          <t>healthcare</t>
        </is>
      </c>
      <c r="F268" s="31" t="inlineStr">
        <is>
          <t>healthcare</t>
        </is>
      </c>
      <c r="G268" s="31" t="inlineStr">
        <is>
          <t>largecap</t>
        </is>
      </c>
      <c r="H268" s="32" t="n">
        <v>35504.52</v>
      </c>
      <c r="I268" s="32" t="n">
        <v>1336.1</v>
      </c>
      <c r="J268" s="32" t="n">
        <v>1.15</v>
      </c>
      <c r="K268" s="32" t="n">
        <v>99783</v>
      </c>
      <c r="L268" s="31" t="n">
        <v>33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65.06999999999999</v>
      </c>
      <c r="P268" s="32" t="n">
        <v>13.56</v>
      </c>
      <c r="Q268" s="32" t="n">
        <v>1131.07</v>
      </c>
      <c r="R268" s="31" t="inlineStr">
        <is>
          <t>Earnings / Momentum Support</t>
        </is>
      </c>
      <c r="S268" s="31" t="inlineStr">
        <is>
          <t>Nifty Pharma</t>
        </is>
      </c>
      <c r="T268" s="32" t="n">
        <v>15.1</v>
      </c>
      <c r="U268" s="32" t="n">
        <v>1.5</v>
      </c>
      <c r="V268" s="32" t="n">
        <v>-11.81</v>
      </c>
      <c r="W268" s="32" t="n">
        <v>5.67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Between 1.5 to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IF(B269=0,"",RANK(B269,$B$2:$B$362,0))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GODREJIND</t>
        </is>
      </c>
      <c r="D269" s="31" t="inlineStr">
        <is>
          <t>Godrej Industries Limited</t>
        </is>
      </c>
      <c r="E269" s="31" t="inlineStr">
        <is>
          <t>chemicals</t>
        </is>
      </c>
      <c r="F269" s="31" t="inlineStr">
        <is>
          <t>chemicals</t>
        </is>
      </c>
      <c r="G269" s="31" t="inlineStr">
        <is>
          <t>largecap</t>
        </is>
      </c>
      <c r="H269" s="32" t="n">
        <v>45020.7</v>
      </c>
      <c r="I269" s="32" t="n">
        <v>1379.4</v>
      </c>
      <c r="J269" s="32" t="n">
        <v>3.19</v>
      </c>
      <c r="K269" s="32" t="n">
        <v>327090</v>
      </c>
      <c r="L269" s="31" t="n">
        <v>70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68.09</v>
      </c>
      <c r="P269" s="32" t="n">
        <v>32.77</v>
      </c>
      <c r="Q269" s="32" t="n">
        <v>1099.4</v>
      </c>
      <c r="R269" s="31" t="inlineStr">
        <is>
          <t>Near 52W High Breakout</t>
        </is>
      </c>
      <c r="S269" s="31" t="inlineStr">
        <is>
          <t>Nifty 500</t>
        </is>
      </c>
      <c r="T269" s="32" t="n">
        <v>-0.05</v>
      </c>
      <c r="U269" s="32" t="n">
        <v>19.46</v>
      </c>
      <c r="V269" s="32" t="n">
        <v>19.52</v>
      </c>
      <c r="W269" s="32" t="n">
        <v>15.27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Blue sky scenario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Negative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More than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IF(B270=0,"",RANK(B270,$B$2:$B$362,0))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ETERNAL</t>
        </is>
      </c>
      <c r="D270" s="31" t="inlineStr">
        <is>
          <t>Eternal Ltd</t>
        </is>
      </c>
      <c r="E270" s="31" t="inlineStr">
        <is>
          <t>i.t</t>
        </is>
      </c>
      <c r="F270" s="31" t="inlineStr">
        <is>
          <t>miscellaneous</t>
        </is>
      </c>
      <c r="G270" s="31" t="inlineStr">
        <is>
          <t>largecap</t>
        </is>
      </c>
      <c r="H270" s="32" t="n">
        <v>276144.78</v>
      </c>
      <c r="I270" s="32" t="n">
        <v>294.8</v>
      </c>
      <c r="J270" s="32" t="n">
        <v>3.02</v>
      </c>
      <c r="K270" s="32" t="n">
        <v>45126606</v>
      </c>
      <c r="L270" s="31" t="n">
        <v>43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61.06</v>
      </c>
      <c r="P270" s="32" t="n">
        <v>11.13</v>
      </c>
      <c r="Q270" s="32" t="n">
        <v>233.04</v>
      </c>
      <c r="R270" s="31" t="inlineStr">
        <is>
          <t>Earnings / Momentum Support</t>
        </is>
      </c>
      <c r="S270" s="31" t="inlineStr">
        <is>
          <t>Nifty IT</t>
        </is>
      </c>
      <c r="T270" s="32" t="n">
        <v>-23.18</v>
      </c>
      <c r="U270" s="32" t="n">
        <v>14.62</v>
      </c>
      <c r="V270" s="32" t="n">
        <v>49.21</v>
      </c>
      <c r="W270" s="32" t="n">
        <v>7.68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Between 50% to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IF(B271=0,"",RANK(B271,$B$2:$B$362,0))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ACMESOLAR</t>
        </is>
      </c>
      <c r="D271" s="31" t="inlineStr">
        <is>
          <t>ACME Solar Holdings Ltd</t>
        </is>
      </c>
      <c r="E271" s="31" t="inlineStr">
        <is>
          <t>realty</t>
        </is>
      </c>
      <c r="F271" s="31" t="inlineStr">
        <is>
          <t>engineering - turnkey services</t>
        </is>
      </c>
      <c r="G271" s="31" t="inlineStr">
        <is>
          <t>largecap</t>
        </is>
      </c>
      <c r="H271" s="32" t="n">
        <v>27158.56</v>
      </c>
      <c r="I271" s="32" t="n">
        <v>392.15</v>
      </c>
      <c r="J271" s="32" t="n">
        <v>1.96</v>
      </c>
      <c r="K271" s="32" t="n">
        <v>1967859</v>
      </c>
      <c r="L271" s="31" t="n">
        <v>71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72.34999999999999</v>
      </c>
      <c r="P271" s="32" t="n">
        <v>33.48</v>
      </c>
      <c r="Q271" s="32" t="n">
        <v>306.17</v>
      </c>
      <c r="R271" s="31" t="inlineStr">
        <is>
          <t>Near 52W High Breakout</t>
        </is>
      </c>
      <c r="S271" s="31" t="inlineStr">
        <is>
          <t>Nifty Realty</t>
        </is>
      </c>
      <c r="T271" s="32" t="n">
        <v>-8.48</v>
      </c>
      <c r="U271" s="32" t="n">
        <v>42.45</v>
      </c>
      <c r="V271" s="32" t="n">
        <v>55.64</v>
      </c>
      <c r="W271" s="32" t="n">
        <v>15.39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IF(B272=0,"",RANK(B272,$B$2:$B$362,0))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SPECIALITY</t>
        </is>
      </c>
      <c r="D272" s="31" t="inlineStr">
        <is>
          <t>Speciality Restaurants Limited</t>
        </is>
      </c>
      <c r="E272" s="31" t="inlineStr">
        <is>
          <t>services</t>
        </is>
      </c>
      <c r="F272" s="31" t="inlineStr">
        <is>
          <t>hotels</t>
        </is>
      </c>
      <c r="G272" s="31" t="inlineStr">
        <is>
          <t>smallcap</t>
        </is>
      </c>
      <c r="H272" s="32" t="n">
        <v>632.42</v>
      </c>
      <c r="I272" s="32" t="n">
        <v>133.55</v>
      </c>
      <c r="J272" s="32" t="n">
        <v>1.86</v>
      </c>
      <c r="K272" s="32" t="n">
        <v>71316</v>
      </c>
      <c r="L272" s="31" t="n">
        <v>36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63.11</v>
      </c>
      <c r="P272" s="32" t="n">
        <v>18.37</v>
      </c>
      <c r="Q272" s="32" t="n">
        <v>95.23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-3.56</v>
      </c>
      <c r="U272" s="32" t="n">
        <v>-3.55</v>
      </c>
      <c r="V272" s="32" t="n">
        <v>0.01</v>
      </c>
      <c r="W272" s="32" t="n">
        <v>6.13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IF(B273=0,"",RANK(B273,$B$2:$B$362,0))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INDHOTEL</t>
        </is>
      </c>
      <c r="D273" s="31" t="inlineStr">
        <is>
          <t>The Indian Hotels Company Limited</t>
        </is>
      </c>
      <c r="E273" s="31" t="inlineStr">
        <is>
          <t>services</t>
        </is>
      </c>
      <c r="F273" s="31" t="inlineStr">
        <is>
          <t>hotels</t>
        </is>
      </c>
      <c r="G273" s="31" t="inlineStr">
        <is>
          <t>largecap</t>
        </is>
      </c>
      <c r="H273" s="32" t="n">
        <v>104380.29</v>
      </c>
      <c r="I273" s="32" t="n">
        <v>743.2</v>
      </c>
      <c r="J273" s="32" t="n">
        <v>1.35</v>
      </c>
      <c r="K273" s="32" t="n">
        <v>1514875</v>
      </c>
      <c r="L273" s="31" t="n">
        <v>16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62.72</v>
      </c>
      <c r="P273" s="32" t="n">
        <v>11.94</v>
      </c>
      <c r="Q273" s="32" t="n">
        <v>643.14</v>
      </c>
      <c r="R273" s="31" t="inlineStr">
        <is>
          <t>Earnings / Momentum Support</t>
        </is>
      </c>
      <c r="S273" s="31" t="inlineStr">
        <is>
          <t>Nifty 50</t>
        </is>
      </c>
      <c r="T273" s="32" t="n">
        <v>-3.56</v>
      </c>
      <c r="U273" s="32" t="n">
        <v>-2.57</v>
      </c>
      <c r="V273" s="32" t="n">
        <v>1.03</v>
      </c>
      <c r="W273" s="32" t="n">
        <v>2.37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Between 12 to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IF(B274=0,"",RANK(B274,$B$2:$B$362,0))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AJAXENGG</t>
        </is>
      </c>
      <c r="D274" s="33" t="inlineStr">
        <is>
          <t>Ajax Engineering Ltd</t>
        </is>
      </c>
      <c r="E274" s="31" t="inlineStr">
        <is>
          <t>industrials</t>
        </is>
      </c>
      <c r="F274" s="31" t="inlineStr">
        <is>
          <t>engineering</t>
        </is>
      </c>
      <c r="G274" s="31" t="inlineStr">
        <is>
          <t>midcap</t>
        </is>
      </c>
      <c r="H274" s="32" t="n">
        <v>6955.36</v>
      </c>
      <c r="I274" s="32" t="n">
        <v>615.2</v>
      </c>
      <c r="J274" s="32" t="n">
        <v>1.19</v>
      </c>
      <c r="K274" s="32" t="n">
        <v>129522</v>
      </c>
      <c r="L274" s="31" t="n">
        <v>20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60.8</v>
      </c>
      <c r="P274" s="32" t="n">
        <v>9.85</v>
      </c>
      <c r="Q274" s="32" t="n">
        <v>471.53</v>
      </c>
      <c r="R274" s="31" t="inlineStr">
        <is>
          <t>Volume Spike / Accumulation</t>
        </is>
      </c>
      <c r="S274" s="31" t="inlineStr">
        <is>
          <t>Nifty 50</t>
        </is>
      </c>
      <c r="T274" s="32" t="n">
        <v>-3.56</v>
      </c>
      <c r="U274" s="32" t="n">
        <v>-12.14</v>
      </c>
      <c r="V274" s="32" t="n">
        <v>-8.890000000000001</v>
      </c>
      <c r="W274" s="32" t="n">
        <v>3.53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IF(B275=0,"",RANK(B275,$B$2:$B$362,0))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RGL</t>
        </is>
      </c>
      <c r="D275" s="31" t="inlineStr">
        <is>
          <t>Renaissance Global Ltd</t>
        </is>
      </c>
      <c r="E275" s="31" t="inlineStr">
        <is>
          <t>consumer discretionary</t>
        </is>
      </c>
      <c r="F275" s="31" t="inlineStr">
        <is>
          <t>diamond cutting / jewellery</t>
        </is>
      </c>
      <c r="G275" s="31" t="inlineStr">
        <is>
          <t>smallcap</t>
        </is>
      </c>
      <c r="H275" s="32" t="n">
        <v>1276.85</v>
      </c>
      <c r="I275" s="32" t="n">
        <v>120.09</v>
      </c>
      <c r="J275" s="32" t="n">
        <v>0.9399999999999999</v>
      </c>
      <c r="K275" s="32" t="n">
        <v>124870</v>
      </c>
      <c r="L275" s="31" t="n">
        <v>18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56.53</v>
      </c>
      <c r="P275" s="32" t="n">
        <v>10.31</v>
      </c>
      <c r="Q275" s="32" t="n">
        <v>89.42</v>
      </c>
      <c r="R275" s="31" t="inlineStr">
        <is>
          <t>Earnings / Momentum Support</t>
        </is>
      </c>
      <c r="S275" s="31" t="inlineStr">
        <is>
          <t>Nifty 50</t>
        </is>
      </c>
      <c r="T275" s="32" t="n">
        <v>-3.56</v>
      </c>
      <c r="U275" s="32" t="n">
        <v>0.39</v>
      </c>
      <c r="V275" s="32" t="n">
        <v>4.1</v>
      </c>
      <c r="W275" s="32" t="n">
        <v>3.04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Between 1.5 to 2</t>
        </is>
      </c>
      <c r="BU275" s="31">
        <f>IF(BT275="Above 2",0,IF(BT275="Between 1.5 to 2",5,IF(BT275="Less than 1.5",10,0)))</f>
        <v/>
      </c>
      <c r="BV275" s="31" t="inlineStr">
        <is>
          <t>Less than 50%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IF(B276=0,"",RANK(B276,$B$2:$B$362,0))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SUMICHEM</t>
        </is>
      </c>
      <c r="D276" s="33" t="inlineStr">
        <is>
          <t>Sumitomo Chemical India Ltd</t>
        </is>
      </c>
      <c r="E276" s="31" t="inlineStr">
        <is>
          <t>chemicals</t>
        </is>
      </c>
      <c r="F276" s="31" t="inlineStr">
        <is>
          <t>pesticides / agrochemicals - indian</t>
        </is>
      </c>
      <c r="G276" s="31" t="inlineStr">
        <is>
          <t>largecap</t>
        </is>
      </c>
      <c r="H276" s="32" t="n">
        <v>26714.28</v>
      </c>
      <c r="I276" s="32" t="n">
        <v>539.9</v>
      </c>
      <c r="J276" s="32" t="n">
        <v>0.88</v>
      </c>
      <c r="K276" s="32" t="n">
        <v>686147</v>
      </c>
      <c r="L276" s="31" t="n">
        <v>19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63.92</v>
      </c>
      <c r="P276" s="32" t="n">
        <v>25.64</v>
      </c>
      <c r="Q276" s="32" t="n">
        <v>419.87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-3.56</v>
      </c>
      <c r="U276" s="32" t="n">
        <v>-10.75</v>
      </c>
      <c r="V276" s="32" t="n">
        <v>-7.45</v>
      </c>
      <c r="W276" s="32" t="n">
        <v>3.13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Between 50% to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IF(B277=0,"",RANK(B277,$B$2:$B$362,0))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RELTD</t>
        </is>
      </c>
      <c r="D277" s="31" t="inlineStr">
        <is>
          <t>Ravindra Energy Ltd</t>
        </is>
      </c>
      <c r="E277" s="31" t="inlineStr">
        <is>
          <t>industrials</t>
        </is>
      </c>
      <c r="F277" s="31" t="inlineStr">
        <is>
          <t>electric equipment</t>
        </is>
      </c>
      <c r="G277" s="31" t="inlineStr">
        <is>
          <t>smallcap</t>
        </is>
      </c>
      <c r="H277" s="32" t="n">
        <v>3446.82</v>
      </c>
      <c r="I277" s="32" t="n">
        <v>174.94</v>
      </c>
      <c r="J277" s="32" t="n">
        <v>0.77</v>
      </c>
      <c r="K277" s="32" t="n">
        <v>464932</v>
      </c>
      <c r="L277" s="31" t="n">
        <v>56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64.09999999999999</v>
      </c>
      <c r="P277" s="32" t="n">
        <v>18.2</v>
      </c>
      <c r="Q277" s="32" t="n">
        <v>121.72</v>
      </c>
      <c r="R277" s="31" t="inlineStr">
        <is>
          <t>Near 52W High Breakout</t>
        </is>
      </c>
      <c r="S277" s="31" t="inlineStr">
        <is>
          <t>Nifty 50</t>
        </is>
      </c>
      <c r="T277" s="32" t="n">
        <v>-3.56</v>
      </c>
      <c r="U277" s="32" t="n">
        <v>28.65</v>
      </c>
      <c r="V277" s="32" t="n">
        <v>33.41</v>
      </c>
      <c r="W277" s="32" t="n">
        <v>10.91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Blue sky scenario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IF(B278=0,"",RANK(B278,$B$2:$B$362,0))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VSSL</t>
        </is>
      </c>
      <c r="D278" s="33" t="inlineStr">
        <is>
          <t>Vardhman Special Steels Limited</t>
        </is>
      </c>
      <c r="E278" s="31" t="inlineStr">
        <is>
          <t>metals &amp; mining</t>
        </is>
      </c>
      <c r="F278" s="31" t="inlineStr">
        <is>
          <t>steel - medium / small</t>
        </is>
      </c>
      <c r="G278" s="31" t="inlineStr">
        <is>
          <t>smallcap</t>
        </is>
      </c>
      <c r="H278" s="32" t="n">
        <v>2858.03</v>
      </c>
      <c r="I278" s="32" t="n">
        <v>296.9</v>
      </c>
      <c r="J278" s="32" t="n">
        <v>0.44</v>
      </c>
      <c r="K278" s="32" t="n">
        <v>48029</v>
      </c>
      <c r="L278" s="31" t="n">
        <v>37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62.91</v>
      </c>
      <c r="P278" s="32" t="n">
        <v>16.33</v>
      </c>
      <c r="Q278" s="32" t="n">
        <v>238.23</v>
      </c>
      <c r="R278" s="31" t="inlineStr">
        <is>
          <t>Volume Spike &amp; Near 52W High Breakout</t>
        </is>
      </c>
      <c r="S278" s="31" t="inlineStr">
        <is>
          <t>Nifty Metal</t>
        </is>
      </c>
      <c r="T278" s="32" t="n">
        <v>32.55</v>
      </c>
      <c r="U278" s="32" t="n">
        <v>16.46</v>
      </c>
      <c r="V278" s="32" t="n">
        <v>-12.14</v>
      </c>
      <c r="W278" s="32" t="n">
        <v>6.46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Blue sky scenario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Between 50% to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IF(B279=0,"",RANK(B279,$B$2:$B$362,0))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MAHLIFE</t>
        </is>
      </c>
      <c r="D279" s="31" t="inlineStr">
        <is>
          <t>Mahindra Lifespace Developers Limited</t>
        </is>
      </c>
      <c r="E279" s="31" t="inlineStr">
        <is>
          <t>realty</t>
        </is>
      </c>
      <c r="F279" s="31" t="inlineStr">
        <is>
          <t>construction</t>
        </is>
      </c>
      <c r="G279" s="31" t="inlineStr">
        <is>
          <t>midcap</t>
        </is>
      </c>
      <c r="H279" s="32" t="n">
        <v>7944.88</v>
      </c>
      <c r="I279" s="32" t="n">
        <v>373</v>
      </c>
      <c r="J279" s="32" t="n">
        <v>0.16</v>
      </c>
      <c r="K279" s="32" t="n">
        <v>73012</v>
      </c>
      <c r="L279" s="31" t="n">
        <v>18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57.16</v>
      </c>
      <c r="P279" s="32" t="n">
        <v>11.06</v>
      </c>
      <c r="Q279" s="32" t="n">
        <v>309.15</v>
      </c>
      <c r="R279" s="31" t="inlineStr">
        <is>
          <t>Earnings / Momentum Support</t>
        </is>
      </c>
      <c r="S279" s="31" t="inlineStr">
        <is>
          <t>Nifty Realty</t>
        </is>
      </c>
      <c r="T279" s="32" t="n">
        <v>-8.48</v>
      </c>
      <c r="U279" s="32" t="n">
        <v>-2.03</v>
      </c>
      <c r="V279" s="32" t="n">
        <v>7.04</v>
      </c>
      <c r="W279" s="32" t="n">
        <v>3.05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IF(B280=0,"",RANK(B280,$B$2:$B$362,0))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TITAN</t>
        </is>
      </c>
      <c r="D280" s="31" t="inlineStr">
        <is>
          <t>Titan Company Limited</t>
        </is>
      </c>
      <c r="E280" s="31" t="inlineStr">
        <is>
          <t>consumer discretionary</t>
        </is>
      </c>
      <c r="F280" s="31" t="inlineStr">
        <is>
          <t>diamond cutting / jewellery</t>
        </is>
      </c>
      <c r="G280" s="31" t="inlineStr">
        <is>
          <t>largecap</t>
        </is>
      </c>
      <c r="H280" s="32" t="n">
        <v>406046.76</v>
      </c>
      <c r="I280" s="32" t="n">
        <v>4579.4</v>
      </c>
      <c r="J280" s="32" t="n">
        <v>0.12</v>
      </c>
      <c r="K280" s="32" t="n">
        <v>619452</v>
      </c>
      <c r="L280" s="31" t="n">
        <v>38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61.69</v>
      </c>
      <c r="P280" s="32" t="n">
        <v>16.5</v>
      </c>
      <c r="Q280" s="32" t="n">
        <v>3923.2</v>
      </c>
      <c r="R280" s="31" t="inlineStr">
        <is>
          <t>Near 52W High Breakout</t>
        </is>
      </c>
      <c r="S280" s="31" t="inlineStr">
        <is>
          <t>Nifty 50</t>
        </is>
      </c>
      <c r="T280" s="32" t="n">
        <v>-3.56</v>
      </c>
      <c r="U280" s="32" t="n">
        <v>35.02</v>
      </c>
      <c r="V280" s="32" t="n">
        <v>40</v>
      </c>
      <c r="W280" s="32" t="n">
        <v>6.61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Blue sky scenario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More than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IF(B281=0,"",RANK(B281,$B$2:$B$362,0))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TEXINFRA</t>
        </is>
      </c>
      <c r="D281" s="31" t="inlineStr">
        <is>
          <t>Texmaco Infrastructure &amp; Holdings Limited</t>
        </is>
      </c>
      <c r="E281" s="31" t="inlineStr">
        <is>
          <t>realty</t>
        </is>
      </c>
      <c r="F281" s="31" t="inlineStr">
        <is>
          <t>construction</t>
        </is>
      </c>
      <c r="G281" s="31" t="inlineStr">
        <is>
          <t>smallcap</t>
        </is>
      </c>
      <c r="H281" s="32" t="n">
        <v>1454.06</v>
      </c>
      <c r="I281" s="32" t="n">
        <v>114.15</v>
      </c>
      <c r="J281" s="32" t="n">
        <v>0.04</v>
      </c>
      <c r="K281" s="32" t="n">
        <v>74557</v>
      </c>
      <c r="L281" s="31" t="n">
        <v>28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67.48</v>
      </c>
      <c r="P281" s="32" t="n">
        <v>28.25</v>
      </c>
      <c r="Q281" s="32" t="n">
        <v>93.64</v>
      </c>
      <c r="R281" s="31" t="inlineStr">
        <is>
          <t>Near 52W High Breakout</t>
        </is>
      </c>
      <c r="S281" s="31" t="inlineStr">
        <is>
          <t>Nifty Realty</t>
        </is>
      </c>
      <c r="T281" s="32" t="n">
        <v>-8.48</v>
      </c>
      <c r="U281" s="32" t="n">
        <v>11.25</v>
      </c>
      <c r="V281" s="32" t="n">
        <v>21.56</v>
      </c>
      <c r="W281" s="32" t="n">
        <v>4.92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Negative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IF(B282=0,"",RANK(B282,$B$2:$B$362,0))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SOBHA</t>
        </is>
      </c>
      <c r="D282" s="33" t="inlineStr">
        <is>
          <t>Sobha Limited</t>
        </is>
      </c>
      <c r="E282" s="31" t="inlineStr">
        <is>
          <t>realty</t>
        </is>
      </c>
      <c r="F282" s="31" t="inlineStr">
        <is>
          <t>construction</t>
        </is>
      </c>
      <c r="G282" s="31" t="inlineStr">
        <is>
          <t>midcap</t>
        </is>
      </c>
      <c r="H282" s="32" t="n">
        <v>15942.54</v>
      </c>
      <c r="I282" s="32" t="n">
        <v>1490.1</v>
      </c>
      <c r="J282" s="32" t="n">
        <v>-0.03</v>
      </c>
      <c r="K282" s="32" t="n">
        <v>108153</v>
      </c>
      <c r="L282" s="31" t="n">
        <v>9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56.49</v>
      </c>
      <c r="P282" s="32" t="n">
        <v>8.33</v>
      </c>
      <c r="Q282" s="32" t="n">
        <v>1220.37</v>
      </c>
      <c r="R282" s="31" t="inlineStr">
        <is>
          <t>Earnings / Momentum Support</t>
        </is>
      </c>
      <c r="S282" s="31" t="inlineStr">
        <is>
          <t>Nifty Realty</t>
        </is>
      </c>
      <c r="T282" s="32" t="n">
        <v>-8.48</v>
      </c>
      <c r="U282" s="32" t="n">
        <v>-11.74</v>
      </c>
      <c r="V282" s="32" t="n">
        <v>-3.56</v>
      </c>
      <c r="W282" s="32" t="n">
        <v>0.39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IF(B283=0,"",RANK(B283,$B$2:$B$362,0))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PAYTM</t>
        </is>
      </c>
      <c r="D283" s="31" t="inlineStr">
        <is>
          <t>One 97 Communications Ltd</t>
        </is>
      </c>
      <c r="E283" s="31" t="inlineStr">
        <is>
          <t>i.t</t>
        </is>
      </c>
      <c r="F283" s="31" t="inlineStr">
        <is>
          <t>miscellaneous</t>
        </is>
      </c>
      <c r="G283" s="31" t="inlineStr">
        <is>
          <t>largecap</t>
        </is>
      </c>
      <c r="H283" s="32" t="n">
        <v>88415.91</v>
      </c>
      <c r="I283" s="32" t="n">
        <v>1368</v>
      </c>
      <c r="J283" s="32" t="n">
        <v>-0.97</v>
      </c>
      <c r="K283" s="32" t="n">
        <v>2680362</v>
      </c>
      <c r="L283" s="31" t="n">
        <v>56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66.02</v>
      </c>
      <c r="P283" s="32" t="n">
        <v>16.4</v>
      </c>
      <c r="Q283" s="32" t="n">
        <v>1079.48</v>
      </c>
      <c r="R283" s="31" t="inlineStr">
        <is>
          <t>Near 52W High Breakout</t>
        </is>
      </c>
      <c r="S283" s="31" t="inlineStr">
        <is>
          <t>Nifty IT</t>
        </is>
      </c>
      <c r="T283" s="32" t="n">
        <v>-23.18</v>
      </c>
      <c r="U283" s="32" t="n">
        <v>36.58</v>
      </c>
      <c r="V283" s="32" t="n">
        <v>77.8</v>
      </c>
      <c r="W283" s="32" t="n">
        <v>10.97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Negative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IF(B284=0,"",RANK(B284,$B$2:$B$362,0))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OMAXE</t>
        </is>
      </c>
      <c r="D284" s="31" t="inlineStr">
        <is>
          <t>Omaxe Limited</t>
        </is>
      </c>
      <c r="E284" s="31" t="inlineStr">
        <is>
          <t>realty</t>
        </is>
      </c>
      <c r="F284" s="31" t="inlineStr">
        <is>
          <t>construction</t>
        </is>
      </c>
      <c r="G284" s="31" t="inlineStr">
        <is>
          <t>smallcap</t>
        </is>
      </c>
      <c r="H284" s="32" t="n">
        <v>1783.65</v>
      </c>
      <c r="I284" s="32" t="n">
        <v>96.31999999999999</v>
      </c>
      <c r="J284" s="32" t="n">
        <v>-1.23</v>
      </c>
      <c r="K284" s="32" t="n">
        <v>1924874</v>
      </c>
      <c r="L284" s="31" t="n">
        <v>23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67.63</v>
      </c>
      <c r="P284" s="32" t="n">
        <v>19.73</v>
      </c>
      <c r="Q284" s="32" t="n">
        <v>69.05</v>
      </c>
      <c r="R284" s="31" t="inlineStr">
        <is>
          <t>Near 52W High Breakout</t>
        </is>
      </c>
      <c r="S284" s="31" t="inlineStr">
        <is>
          <t>Nifty Realty</t>
        </is>
      </c>
      <c r="T284" s="32" t="n">
        <v>-8.48</v>
      </c>
      <c r="U284" s="32" t="n">
        <v>-7.74</v>
      </c>
      <c r="V284" s="32" t="n">
        <v>0.8100000000000001</v>
      </c>
      <c r="W284" s="32" t="n">
        <v>3.98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IF(B285=0,"",RANK(B285,$B$2:$B$362,0))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THELEELA</t>
        </is>
      </c>
      <c r="D285" s="31" t="inlineStr">
        <is>
          <t>Leela Palaces Hotels &amp; Resorts Ltd</t>
        </is>
      </c>
      <c r="E285" s="31" t="inlineStr">
        <is>
          <t>services</t>
        </is>
      </c>
      <c r="F285" s="31" t="inlineStr">
        <is>
          <t>hotels</t>
        </is>
      </c>
      <c r="G285" s="31" t="inlineStr">
        <is>
          <t>midcap</t>
        </is>
      </c>
      <c r="H285" s="32" t="n">
        <v>16484.16</v>
      </c>
      <c r="I285" s="32" t="n">
        <v>485.85</v>
      </c>
      <c r="J285" s="32" t="n">
        <v>-1.57</v>
      </c>
      <c r="K285" s="32" t="n">
        <v>329881</v>
      </c>
      <c r="L285" s="31" t="n">
        <v>23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60.13</v>
      </c>
      <c r="P285" s="32" t="n">
        <v>18.1</v>
      </c>
      <c r="Q285" s="32" t="n">
        <v>408.71</v>
      </c>
      <c r="R285" s="31" t="inlineStr">
        <is>
          <t>Near 52W High Breakout</t>
        </is>
      </c>
      <c r="S285" s="31" t="inlineStr">
        <is>
          <t>Nifty 50</t>
        </is>
      </c>
      <c r="T285" s="32" t="n">
        <v>-3.56</v>
      </c>
      <c r="U285" s="32" t="n">
        <v>5.39</v>
      </c>
      <c r="V285" s="32" t="n">
        <v>9.289999999999999</v>
      </c>
      <c r="W285" s="32" t="n">
        <v>4.02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Blue sky scenario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Between 1.5 to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IF(B286=0,"",RANK(B286,$B$2:$B$362,0))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AZAD</t>
        </is>
      </c>
      <c r="D286" s="31" t="inlineStr">
        <is>
          <t>Azad Engineering Ltd</t>
        </is>
      </c>
      <c r="E286" s="31" t="inlineStr">
        <is>
          <t>aerospace &amp; defence</t>
        </is>
      </c>
      <c r="F286" s="31" t="inlineStr">
        <is>
          <t>engineering</t>
        </is>
      </c>
      <c r="G286" s="31" t="inlineStr">
        <is>
          <t>midcap</t>
        </is>
      </c>
      <c r="H286" s="32" t="n">
        <v>15451.83</v>
      </c>
      <c r="I286" s="32" t="n">
        <v>2351.8</v>
      </c>
      <c r="J286" s="32" t="n">
        <v>-1.71</v>
      </c>
      <c r="K286" s="32" t="n">
        <v>465080</v>
      </c>
      <c r="L286" s="31" t="n">
        <v>64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63.45</v>
      </c>
      <c r="P286" s="32" t="n">
        <v>29.42</v>
      </c>
      <c r="Q286" s="32" t="n">
        <v>1879.22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-3.56</v>
      </c>
      <c r="U286" s="32" t="n">
        <v>43.87</v>
      </c>
      <c r="V286" s="32" t="n">
        <v>49.18</v>
      </c>
      <c r="W286" s="32" t="n">
        <v>12.98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Negative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IF(B287=0,"",RANK(B287,$B$2:$B$362,0))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JASH</t>
        </is>
      </c>
      <c r="D287" s="33" t="inlineStr">
        <is>
          <t>Jash Engineering Ltd</t>
        </is>
      </c>
      <c r="E287" s="31" t="inlineStr">
        <is>
          <t>industrials</t>
        </is>
      </c>
      <c r="F287" s="31" t="inlineStr">
        <is>
          <t>engineering</t>
        </is>
      </c>
      <c r="G287" s="31" t="inlineStr">
        <is>
          <t>smallcap</t>
        </is>
      </c>
      <c r="H287" s="32" t="n">
        <v>3364.43</v>
      </c>
      <c r="I287" s="32" t="n">
        <v>520.3</v>
      </c>
      <c r="J287" s="32" t="n">
        <v>-2.27</v>
      </c>
      <c r="K287" s="32" t="n">
        <v>96346</v>
      </c>
      <c r="L287" s="31" t="n">
        <v>30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61.53</v>
      </c>
      <c r="P287" s="32" t="n">
        <v>17.56</v>
      </c>
      <c r="Q287" s="32" t="n">
        <v>417.56</v>
      </c>
      <c r="R287" s="31" t="inlineStr">
        <is>
          <t>Earnings / Momentum Support</t>
        </is>
      </c>
      <c r="S287" s="31" t="inlineStr">
        <is>
          <t>Nifty Infra</t>
        </is>
      </c>
      <c r="T287" s="32" t="n">
        <v>1.31</v>
      </c>
      <c r="U287" s="32" t="n">
        <v>-14.27</v>
      </c>
      <c r="V287" s="32" t="n">
        <v>-15.38</v>
      </c>
      <c r="W287" s="32" t="n">
        <v>5.16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Less than 1.5</t>
        </is>
      </c>
      <c r="BU287" s="31">
        <f>IF(BT287="Above 2",0,IF(BT287="Between 1.5 to 2",5,IF(BT287="Less than 1.5",10,0)))</f>
        <v/>
      </c>
      <c r="BV287" s="31" t="inlineStr">
        <is>
          <t>Between 50% to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IF(B288=0,"",RANK(B288,$B$2:$B$362,0))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UNICHEMLAB</t>
        </is>
      </c>
      <c r="D288" s="33" t="inlineStr">
        <is>
          <t>Unichem Laboratories Limited</t>
        </is>
      </c>
      <c r="E288" s="31" t="inlineStr">
        <is>
          <t>healthcare</t>
        </is>
      </c>
      <c r="F288" s="31" t="inlineStr">
        <is>
          <t>pharmaceuticals - indian - bulk drugs &amp; formln</t>
        </is>
      </c>
      <c r="G288" s="31" t="inlineStr">
        <is>
          <t>smallcap</t>
        </is>
      </c>
      <c r="H288" s="32" t="n">
        <v>4093.04</v>
      </c>
      <c r="I288" s="32" t="n">
        <v>595.1</v>
      </c>
      <c r="J288" s="32" t="n">
        <v>2.37</v>
      </c>
      <c r="K288" s="32" t="n">
        <v>226358</v>
      </c>
      <c r="L288" s="31" t="n">
        <v>75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70.15000000000001</v>
      </c>
      <c r="P288" s="32" t="n">
        <v>25.34</v>
      </c>
      <c r="Q288" s="32" t="n">
        <v>460.62</v>
      </c>
      <c r="R288" s="31" t="inlineStr">
        <is>
          <t>Earnings / Momentum Support</t>
        </is>
      </c>
      <c r="S288" s="31" t="inlineStr">
        <is>
          <t>Nifty Pharma</t>
        </is>
      </c>
      <c r="T288" s="32" t="n">
        <v>15.1</v>
      </c>
      <c r="U288" s="32" t="n">
        <v>-5.19</v>
      </c>
      <c r="V288" s="32" t="n">
        <v>-17.63</v>
      </c>
      <c r="W288" s="32" t="n">
        <v>17.36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Yes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Annuity, Lower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Less than 50%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IF(B289=0,"",RANK(B289,$B$2:$B$362,0))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TORNTPHARM</t>
        </is>
      </c>
      <c r="D289" s="31" t="inlineStr">
        <is>
          <t>Torrent Pharmaceuticals Limited</t>
        </is>
      </c>
      <c r="E289" s="31" t="inlineStr">
        <is>
          <t>healthcare</t>
        </is>
      </c>
      <c r="F289" s="31" t="inlineStr">
        <is>
          <t>pharmaceuticals - indian - formulations</t>
        </is>
      </c>
      <c r="G289" s="31" t="inlineStr">
        <is>
          <t>largecap</t>
        </is>
      </c>
      <c r="H289" s="32" t="n">
        <v>168325.84</v>
      </c>
      <c r="I289" s="32" t="n">
        <v>5017.8</v>
      </c>
      <c r="J289" s="32" t="n">
        <v>0.89</v>
      </c>
      <c r="K289" s="32" t="n">
        <v>778853</v>
      </c>
      <c r="L289" s="31" t="n">
        <v>60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75.28</v>
      </c>
      <c r="P289" s="32" t="n">
        <v>35.14</v>
      </c>
      <c r="Q289" s="32" t="n">
        <v>4361.3</v>
      </c>
      <c r="R289" s="31" t="inlineStr">
        <is>
          <t>Near 52W High Breakout</t>
        </is>
      </c>
      <c r="S289" s="31" t="inlineStr">
        <is>
          <t>Nifty Pharma</t>
        </is>
      </c>
      <c r="T289" s="32" t="n">
        <v>15.1</v>
      </c>
      <c r="U289" s="32" t="n">
        <v>43.76</v>
      </c>
      <c r="V289" s="32" t="n">
        <v>24.9</v>
      </c>
      <c r="W289" s="32" t="n">
        <v>11.84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Yes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Above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Blue sky scenario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Between 50% to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IF(B290=0,"",RANK(B290,$B$2:$B$362,0))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AGARWALEYE</t>
        </is>
      </c>
      <c r="D290" s="33" t="inlineStr">
        <is>
          <t>Dr Agarwals Health Care Ltd</t>
        </is>
      </c>
      <c r="E290" s="31" t="inlineStr">
        <is>
          <t>healthcare</t>
        </is>
      </c>
      <c r="F290" s="31" t="inlineStr">
        <is>
          <t>healthcare</t>
        </is>
      </c>
      <c r="G290" s="31" t="inlineStr">
        <is>
          <t>midcap</t>
        </is>
      </c>
      <c r="H290" s="32" t="n">
        <v>15554.36</v>
      </c>
      <c r="I290" s="32" t="n">
        <v>493.75</v>
      </c>
      <c r="J290" s="32" t="n">
        <v>0.62</v>
      </c>
      <c r="K290" s="32" t="n">
        <v>57651</v>
      </c>
      <c r="L290" s="31" t="n">
        <v>32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59.3</v>
      </c>
      <c r="P290" s="32" t="n">
        <v>14.5</v>
      </c>
      <c r="Q290" s="32" t="n">
        <v>400.67</v>
      </c>
      <c r="R290" s="31" t="inlineStr">
        <is>
          <t>Earnings / Momentum Support</t>
        </is>
      </c>
      <c r="S290" s="31" t="inlineStr">
        <is>
          <t>Nifty Pharma</t>
        </is>
      </c>
      <c r="T290" s="32" t="n">
        <v>15.1</v>
      </c>
      <c r="U290" s="32" t="n">
        <v>12.73</v>
      </c>
      <c r="V290" s="32" t="n">
        <v>-2.06</v>
      </c>
      <c r="W290" s="32" t="n">
        <v>5.48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Yes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IF(B291=0,"",RANK(B291,$B$2:$B$362,0))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PRICOLLTD</t>
        </is>
      </c>
      <c r="D291" s="31" t="inlineStr">
        <is>
          <t>Pricol Ltd.</t>
        </is>
      </c>
      <c r="E291" s="31" t="inlineStr">
        <is>
          <t>auto</t>
        </is>
      </c>
      <c r="F291" s="31" t="inlineStr">
        <is>
          <t>auto ancillaries</t>
        </is>
      </c>
      <c r="G291" s="31" t="inlineStr">
        <is>
          <t>midcap</t>
        </is>
      </c>
      <c r="H291" s="32" t="n">
        <v>7515.21</v>
      </c>
      <c r="I291" s="32" t="n">
        <v>618.35</v>
      </c>
      <c r="J291" s="32" t="n">
        <v>0.28</v>
      </c>
      <c r="K291" s="32" t="n">
        <v>287696</v>
      </c>
      <c r="L291" s="31" t="n">
        <v>43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57.14</v>
      </c>
      <c r="P291" s="32" t="n">
        <v>19.27</v>
      </c>
      <c r="Q291" s="32" t="n">
        <v>496.08</v>
      </c>
      <c r="R291" s="31" t="inlineStr">
        <is>
          <t>Earnings / Momentum Support</t>
        </is>
      </c>
      <c r="S291" s="31" t="inlineStr">
        <is>
          <t>Nifty Auto</t>
        </is>
      </c>
      <c r="T291" s="32" t="n">
        <v>11.51</v>
      </c>
      <c r="U291" s="32" t="n">
        <v>36.75</v>
      </c>
      <c r="V291" s="32" t="n">
        <v>22.64</v>
      </c>
      <c r="W291" s="32" t="n">
        <v>7.83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Oligopoly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Shallow Cyclical (2 to 3 Years Growth)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Fully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Allocated capital in Non-core Areas</t>
        </is>
      </c>
      <c r="AU291" s="31">
        <f>IF(AT291="Good",10,0)</f>
        <v/>
      </c>
      <c r="AV291" s="31" t="inlineStr">
        <is>
          <t>Yes only for next 1 to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Blue sky scenario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Between 12 to 20%</t>
        </is>
      </c>
      <c r="BO291" s="31">
        <f>IF(BN291="More than 20%",10,IF(BN291="Between 12 to 20%",5,IF(BN291="Less than 12%",0,0)))</f>
        <v/>
      </c>
      <c r="BP291" s="31" t="inlineStr">
        <is>
          <t>Yes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Between 1.5 to 2</t>
        </is>
      </c>
      <c r="BU291" s="31">
        <f>IF(BT291="Above 2",0,IF(BT291="Between 1.5 to 2",5,IF(BT291="Less than 1.5",10,0)))</f>
        <v/>
      </c>
      <c r="BV291" s="31" t="inlineStr">
        <is>
          <t>Between 50% to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IF(B292=0,"",RANK(B292,$B$2:$B$362,0))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INDSWFTLAB</t>
        </is>
      </c>
      <c r="D292" s="31" t="inlineStr">
        <is>
          <t>Ind-swift Laboratories Limited</t>
        </is>
      </c>
      <c r="E292" s="31" t="inlineStr">
        <is>
          <t>healthcare</t>
        </is>
      </c>
      <c r="F292" s="31" t="inlineStr">
        <is>
          <t>pharmaceuticals - indian - bulk drugs &amp; formln</t>
        </is>
      </c>
      <c r="G292" s="31" t="inlineStr">
        <is>
          <t>smallcap</t>
        </is>
      </c>
      <c r="H292" s="32" t="n">
        <v>1996.03</v>
      </c>
      <c r="I292" s="32" t="n">
        <v>226.82</v>
      </c>
      <c r="J292" s="32" t="n">
        <v>-1.32</v>
      </c>
      <c r="K292" s="32" t="n">
        <v>619285</v>
      </c>
      <c r="L292" s="31" t="n">
        <v>92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76.34999999999999</v>
      </c>
      <c r="P292" s="32" t="n">
        <v>46.82</v>
      </c>
      <c r="Q292" s="32" t="n">
        <v>189.81</v>
      </c>
      <c r="R292" s="31" t="inlineStr">
        <is>
          <t>Earnings / Momentum Support</t>
        </is>
      </c>
      <c r="S292" s="31" t="inlineStr">
        <is>
          <t>Nifty Pharma</t>
        </is>
      </c>
      <c r="T292" s="32" t="n">
        <v>15.1</v>
      </c>
      <c r="U292" s="32" t="n">
        <v>112.18</v>
      </c>
      <c r="V292" s="32" t="n">
        <v>84.34999999999999</v>
      </c>
      <c r="W292" s="32" t="n">
        <v>33.43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Above 40</t>
        </is>
      </c>
      <c r="AY292" s="31">
        <f>IF(AX292="Above 40",20,IF(AX292="20 to 40",10,IF(AX292="0 to 20",-5,0)))</f>
        <v/>
      </c>
      <c r="AZ292" s="31" t="inlineStr">
        <is>
          <t>Above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Negative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IF(B293=0,"",RANK(B293,$B$2:$B$362,0))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ABB</t>
        </is>
      </c>
      <c r="D293" s="31" t="inlineStr">
        <is>
          <t>Abb India Limited</t>
        </is>
      </c>
      <c r="E293" s="31" t="inlineStr">
        <is>
          <t>industrials</t>
        </is>
      </c>
      <c r="F293" s="31" t="inlineStr">
        <is>
          <t>electric equipment</t>
        </is>
      </c>
      <c r="G293" s="31" t="inlineStr">
        <is>
          <t>largecap</t>
        </is>
      </c>
      <c r="H293" s="32" t="n">
        <v>146047.25</v>
      </c>
      <c r="I293" s="32" t="n">
        <v>7204.5</v>
      </c>
      <c r="J293" s="32" t="n">
        <v>4.53</v>
      </c>
      <c r="K293" s="32" t="n">
        <v>763817</v>
      </c>
      <c r="L293" s="31" t="n">
        <v>40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60.15</v>
      </c>
      <c r="P293" s="32" t="n">
        <v>35.83</v>
      </c>
      <c r="Q293" s="32" t="n">
        <v>5920.48</v>
      </c>
      <c r="R293" s="31" t="inlineStr">
        <is>
          <t>Near 52W High Breakout</t>
        </is>
      </c>
      <c r="S293" s="31" t="inlineStr">
        <is>
          <t>Nifty 50</t>
        </is>
      </c>
      <c r="T293" s="32" t="n">
        <v>-3.56</v>
      </c>
      <c r="U293" s="32" t="n">
        <v>28.36</v>
      </c>
      <c r="V293" s="32" t="n">
        <v>33.1</v>
      </c>
      <c r="W293" s="32" t="n">
        <v>7.21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IF(B294=0,"",RANK(B294,$B$2:$B$362,0))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INDIGOPNTS</t>
        </is>
      </c>
      <c r="D294" s="33" t="inlineStr">
        <is>
          <t>Indigo Paints Ltd</t>
        </is>
      </c>
      <c r="E294" s="31" t="inlineStr">
        <is>
          <t>building materials</t>
        </is>
      </c>
      <c r="F294" s="31" t="inlineStr">
        <is>
          <t>paints / varnishes</t>
        </is>
      </c>
      <c r="G294" s="31" t="inlineStr">
        <is>
          <t>smallcap</t>
        </is>
      </c>
      <c r="H294" s="32" t="n">
        <v>4947.3</v>
      </c>
      <c r="I294" s="32" t="n">
        <v>1084.4</v>
      </c>
      <c r="J294" s="32" t="n">
        <v>4.5</v>
      </c>
      <c r="K294" s="32" t="n">
        <v>85422</v>
      </c>
      <c r="L294" s="31" t="n">
        <v>37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59.93</v>
      </c>
      <c r="P294" s="32" t="n">
        <v>11.73</v>
      </c>
      <c r="Q294" s="32" t="n">
        <v>846.4299999999999</v>
      </c>
      <c r="R294" s="31" t="inlineStr">
        <is>
          <t>Earnings / Momentum Support</t>
        </is>
      </c>
      <c r="S294" s="31" t="inlineStr">
        <is>
          <t>Nifty Infra</t>
        </is>
      </c>
      <c r="T294" s="32" t="n">
        <v>1.31</v>
      </c>
      <c r="U294" s="32" t="n">
        <v>-9.44</v>
      </c>
      <c r="V294" s="32" t="n">
        <v>-10.61</v>
      </c>
      <c r="W294" s="32" t="n">
        <v>6.54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Less than 12%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IF(B295=0,"",RANK(B295,$B$2:$B$362,0))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DEEDEV</t>
        </is>
      </c>
      <c r="D295" s="31" t="inlineStr">
        <is>
          <t>DEE Development Engineers Ltd</t>
        </is>
      </c>
      <c r="E295" s="31" t="inlineStr">
        <is>
          <t>metals &amp; mining</t>
        </is>
      </c>
      <c r="F295" s="31" t="inlineStr">
        <is>
          <t>steel - medium / small</t>
        </is>
      </c>
      <c r="G295" s="31" t="inlineStr">
        <is>
          <t>smallcap</t>
        </is>
      </c>
      <c r="H295" s="32" t="n">
        <v>4790.25</v>
      </c>
      <c r="I295" s="32" t="n">
        <v>719.05</v>
      </c>
      <c r="J295" s="32" t="n">
        <v>3.97</v>
      </c>
      <c r="K295" s="32" t="n">
        <v>120955</v>
      </c>
      <c r="L295" s="31" t="n">
        <v>97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80.72</v>
      </c>
      <c r="P295" s="32" t="n">
        <v>67.08</v>
      </c>
      <c r="Q295" s="32" t="n">
        <v>532.53</v>
      </c>
      <c r="R295" s="31" t="inlineStr">
        <is>
          <t>Near 52W High Breakout</t>
        </is>
      </c>
      <c r="S295" s="31" t="inlineStr">
        <is>
          <t>Nifty Metal</t>
        </is>
      </c>
      <c r="T295" s="32" t="n">
        <v>32.55</v>
      </c>
      <c r="U295" s="32" t="n">
        <v>135.54</v>
      </c>
      <c r="V295" s="32" t="n">
        <v>77.7</v>
      </c>
      <c r="W295" s="32" t="n">
        <v>46.57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Cyclical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Volatile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Above 40</t>
        </is>
      </c>
      <c r="AY295" s="31">
        <f>IF(AX295="Above 40",20,IF(AX295="20 to 40",10,IF(AX295="0 to 20",-5,0)))</f>
        <v/>
      </c>
      <c r="AZ295" s="31" t="inlineStr">
        <is>
          <t>Above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Less than 50%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IF(B296=0,"",RANK(B296,$B$2:$B$362,0))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KALYANKJIL</t>
        </is>
      </c>
      <c r="D296" s="33" t="inlineStr">
        <is>
          <t>Kalyan Jewellers India Ltd</t>
        </is>
      </c>
      <c r="E296" s="31" t="inlineStr">
        <is>
          <t>consumer discretionary</t>
        </is>
      </c>
      <c r="F296" s="31" t="inlineStr">
        <is>
          <t>diamond cutting / jewellery</t>
        </is>
      </c>
      <c r="G296" s="31" t="inlineStr">
        <is>
          <t>largecap</t>
        </is>
      </c>
      <c r="H296" s="32" t="n">
        <v>54709.41</v>
      </c>
      <c r="I296" s="32" t="n">
        <v>548.1</v>
      </c>
      <c r="J296" s="32" t="n">
        <v>3.46</v>
      </c>
      <c r="K296" s="32" t="n">
        <v>63633358</v>
      </c>
      <c r="L296" s="31" t="n">
        <v>31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68.05</v>
      </c>
      <c r="P296" s="32" t="n">
        <v>19.32</v>
      </c>
      <c r="Q296" s="32" t="n">
        <v>415.25</v>
      </c>
      <c r="R296" s="31" t="inlineStr">
        <is>
          <t>Volume Spike / Accumulation</t>
        </is>
      </c>
      <c r="S296" s="31" t="inlineStr">
        <is>
          <t>Nifty 500</t>
        </is>
      </c>
      <c r="T296" s="32" t="n">
        <v>-0.05</v>
      </c>
      <c r="U296" s="32" t="n">
        <v>-6.85</v>
      </c>
      <c r="V296" s="32" t="n">
        <v>-6.81</v>
      </c>
      <c r="W296" s="32" t="n">
        <v>5.36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Between 50% to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Between 0.7 to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IF(B297=0,"",RANK(B297,$B$2:$B$362,0))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MOSCHIP</t>
        </is>
      </c>
      <c r="D297" s="31" t="inlineStr">
        <is>
          <t>Moschip Technologies Ltd</t>
        </is>
      </c>
      <c r="E297" s="31" t="inlineStr">
        <is>
          <t>i.t</t>
        </is>
      </c>
      <c r="F297" s="31" t="inlineStr">
        <is>
          <t>computers - hardware</t>
        </is>
      </c>
      <c r="G297" s="31" t="inlineStr">
        <is>
          <t>smallcap</t>
        </is>
      </c>
      <c r="H297" s="32" t="n">
        <v>4668.89</v>
      </c>
      <c r="I297" s="32" t="n">
        <v>247.98</v>
      </c>
      <c r="J297" s="32" t="n">
        <v>2.97</v>
      </c>
      <c r="K297" s="32" t="n">
        <v>11593552</v>
      </c>
      <c r="L297" s="31" t="n">
        <v>73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63.69</v>
      </c>
      <c r="P297" s="32" t="n">
        <v>18.41</v>
      </c>
      <c r="Q297" s="32" t="n">
        <v>182.15</v>
      </c>
      <c r="R297" s="31" t="inlineStr">
        <is>
          <t>Earnings / Momentum Support</t>
        </is>
      </c>
      <c r="S297" s="31" t="inlineStr">
        <is>
          <t>Nifty IT</t>
        </is>
      </c>
      <c r="T297" s="32" t="n">
        <v>-23.18</v>
      </c>
      <c r="U297" s="32" t="n">
        <v>44.63</v>
      </c>
      <c r="V297" s="32" t="n">
        <v>88.27</v>
      </c>
      <c r="W297" s="32" t="n">
        <v>16.32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IF(B298=0,"",RANK(B298,$B$2:$B$362,0))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FINEORG</t>
        </is>
      </c>
      <c r="D298" s="31" t="inlineStr">
        <is>
          <t>Fine Organic Industries Ltd</t>
        </is>
      </c>
      <c r="E298" s="31" t="inlineStr">
        <is>
          <t>chemicals</t>
        </is>
      </c>
      <c r="F298" s="31" t="inlineStr">
        <is>
          <t>chemicals</t>
        </is>
      </c>
      <c r="G298" s="31" t="inlineStr">
        <is>
          <t>midcap</t>
        </is>
      </c>
      <c r="H298" s="32" t="n">
        <v>15280.93</v>
      </c>
      <c r="I298" s="32" t="n">
        <v>5118.5</v>
      </c>
      <c r="J298" s="32" t="n">
        <v>2.7</v>
      </c>
      <c r="K298" s="32" t="n">
        <v>11644</v>
      </c>
      <c r="L298" s="31" t="n">
        <v>11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60.46</v>
      </c>
      <c r="P298" s="32" t="n">
        <v>15.26</v>
      </c>
      <c r="Q298" s="32" t="n">
        <v>4302.02</v>
      </c>
      <c r="R298" s="31" t="inlineStr">
        <is>
          <t>Near 52W High Breakout</t>
        </is>
      </c>
      <c r="S298" s="31" t="inlineStr">
        <is>
          <t>Nifty 50</t>
        </is>
      </c>
      <c r="T298" s="32" t="n">
        <v>-3.56</v>
      </c>
      <c r="U298" s="32" t="n">
        <v>-3.31</v>
      </c>
      <c r="V298" s="32" t="n">
        <v>0.27</v>
      </c>
      <c r="W298" s="32" t="n">
        <v>0.85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Between 1.5 to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IF(B299=0,"",RANK(B299,$B$2:$B$362,0))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ENDURANCE</t>
        </is>
      </c>
      <c r="D299" s="33" t="inlineStr">
        <is>
          <t>Endurance Technologies Limited</t>
        </is>
      </c>
      <c r="E299" s="31" t="inlineStr">
        <is>
          <t>auto</t>
        </is>
      </c>
      <c r="F299" s="31" t="inlineStr">
        <is>
          <t>auto ancillaries</t>
        </is>
      </c>
      <c r="G299" s="31" t="inlineStr">
        <is>
          <t>largecap</t>
        </is>
      </c>
      <c r="H299" s="32" t="n">
        <v>37713.12</v>
      </c>
      <c r="I299" s="32" t="n">
        <v>2746.2</v>
      </c>
      <c r="J299" s="32" t="n">
        <v>2.43</v>
      </c>
      <c r="K299" s="32" t="n">
        <v>313711</v>
      </c>
      <c r="L299" s="31" t="n">
        <v>25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58.74</v>
      </c>
      <c r="P299" s="32" t="n">
        <v>13.68</v>
      </c>
      <c r="Q299" s="32" t="n">
        <v>2217.77</v>
      </c>
      <c r="R299" s="31" t="inlineStr">
        <is>
          <t>Earnings / Momentum Support</t>
        </is>
      </c>
      <c r="S299" s="31" t="inlineStr">
        <is>
          <t>Nifty Auto</t>
        </is>
      </c>
      <c r="T299" s="32" t="n">
        <v>11.51</v>
      </c>
      <c r="U299" s="32" t="n">
        <v>3.54</v>
      </c>
      <c r="V299" s="32" t="n">
        <v>-7.15</v>
      </c>
      <c r="W299" s="32" t="n">
        <v>4.25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Between 12 to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IF(B300=0,"",RANK(B300,$B$2:$B$362,0))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LMW</t>
        </is>
      </c>
      <c r="D300" s="31" t="inlineStr">
        <is>
          <t>LMW Ltd</t>
        </is>
      </c>
      <c r="E300" s="31" t="inlineStr">
        <is>
          <t>industrials</t>
        </is>
      </c>
      <c r="F300" s="31" t="inlineStr">
        <is>
          <t>textile machinery</t>
        </is>
      </c>
      <c r="G300" s="31" t="inlineStr">
        <is>
          <t>midcap</t>
        </is>
      </c>
      <c r="H300" s="32" t="n">
        <v>17223.13</v>
      </c>
      <c r="I300" s="32" t="n">
        <v>16436</v>
      </c>
      <c r="J300" s="32" t="n">
        <v>1.95</v>
      </c>
      <c r="K300" s="32" t="n">
        <v>4651</v>
      </c>
      <c r="L300" s="31" t="n">
        <v>19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59.66</v>
      </c>
      <c r="P300" s="32" t="n">
        <v>20.71</v>
      </c>
      <c r="Q300" s="32" t="n">
        <v>13788.62</v>
      </c>
      <c r="R300" s="31" t="inlineStr">
        <is>
          <t>Near 52W High Breakout</t>
        </is>
      </c>
      <c r="S300" s="31" t="inlineStr">
        <is>
          <t>Nifty 50</t>
        </is>
      </c>
      <c r="T300" s="32" t="n">
        <v>-3.56</v>
      </c>
      <c r="U300" s="32" t="n">
        <v>1.17</v>
      </c>
      <c r="V300" s="32" t="n">
        <v>4.91</v>
      </c>
      <c r="W300" s="32" t="n">
        <v>3.27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IF(B301=0,"",RANK(B301,$B$2:$B$362,0))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JUBLINGREA</t>
        </is>
      </c>
      <c r="D301" s="33" t="inlineStr">
        <is>
          <t>Jubilant Ingrevia Ltd</t>
        </is>
      </c>
      <c r="E301" s="31" t="inlineStr">
        <is>
          <t>chemicals</t>
        </is>
      </c>
      <c r="F301" s="31" t="inlineStr">
        <is>
          <t>chemicals</t>
        </is>
      </c>
      <c r="G301" s="31" t="inlineStr">
        <is>
          <t>midcap</t>
        </is>
      </c>
      <c r="H301" s="32" t="n">
        <v>11532.75</v>
      </c>
      <c r="I301" s="32" t="n">
        <v>736.7</v>
      </c>
      <c r="J301" s="32" t="n">
        <v>1.75</v>
      </c>
      <c r="K301" s="32" t="n">
        <v>443946</v>
      </c>
      <c r="L301" s="31" t="n">
        <v>8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59.47</v>
      </c>
      <c r="P301" s="32" t="n">
        <v>15.97</v>
      </c>
      <c r="Q301" s="32" t="n">
        <v>574.71</v>
      </c>
      <c r="R301" s="31" t="inlineStr">
        <is>
          <t>Earnings / Momentum Support</t>
        </is>
      </c>
      <c r="S301" s="31" t="inlineStr">
        <is>
          <t>Nifty 50</t>
        </is>
      </c>
      <c r="T301" s="32" t="n">
        <v>-3.56</v>
      </c>
      <c r="U301" s="32" t="n">
        <v>-10.76</v>
      </c>
      <c r="V301" s="32" t="n">
        <v>-7.46</v>
      </c>
      <c r="W301" s="32" t="n">
        <v>0.28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Between 12 to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IF(B302=0,"",RANK(B302,$B$2:$B$362,0))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JKPAPER</t>
        </is>
      </c>
      <c r="D302" s="33" t="inlineStr">
        <is>
          <t>Jk Paper Limited</t>
        </is>
      </c>
      <c r="E302" s="31" t="inlineStr">
        <is>
          <t>building materials</t>
        </is>
      </c>
      <c r="F302" s="31" t="inlineStr">
        <is>
          <t>paper</t>
        </is>
      </c>
      <c r="G302" s="31" t="inlineStr">
        <is>
          <t>midcap</t>
        </is>
      </c>
      <c r="H302" s="32" t="n">
        <v>6689.76</v>
      </c>
      <c r="I302" s="32" t="n">
        <v>374.8</v>
      </c>
      <c r="J302" s="32" t="n">
        <v>1.59</v>
      </c>
      <c r="K302" s="32" t="n">
        <v>455147</v>
      </c>
      <c r="L302" s="31" t="n">
        <v>7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56.28</v>
      </c>
      <c r="P302" s="32" t="n">
        <v>19.55</v>
      </c>
      <c r="Q302" s="32" t="n">
        <v>309.18</v>
      </c>
      <c r="R302" s="31" t="inlineStr">
        <is>
          <t>Earnings / Momentum Support</t>
        </is>
      </c>
      <c r="S302" s="31" t="inlineStr">
        <is>
          <t>Nifty Infra</t>
        </is>
      </c>
      <c r="T302" s="32" t="n">
        <v>1.31</v>
      </c>
      <c r="U302" s="32" t="n">
        <v>-2.68</v>
      </c>
      <c r="V302" s="32" t="n">
        <v>-3.94</v>
      </c>
      <c r="W302" s="32" t="n">
        <v>-0.15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1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IF(B303=0,"",RANK(B303,$B$2:$B$362,0))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ARE&amp;M</t>
        </is>
      </c>
      <c r="D303" s="33" t="inlineStr">
        <is>
          <t>Amara Raja Energy &amp; Mobility Ltd</t>
        </is>
      </c>
      <c r="E303" s="31" t="inlineStr">
        <is>
          <t>auto</t>
        </is>
      </c>
      <c r="F303" s="31" t="inlineStr">
        <is>
          <t>auto ancillaries</t>
        </is>
      </c>
      <c r="G303" s="31" t="inlineStr">
        <is>
          <t>midcap</t>
        </is>
      </c>
      <c r="H303" s="32" t="n">
        <v>16378.94</v>
      </c>
      <c r="I303" s="32" t="n">
        <v>900.85</v>
      </c>
      <c r="J303" s="32" t="n">
        <v>0.66</v>
      </c>
      <c r="K303" s="32" t="n">
        <v>720244</v>
      </c>
      <c r="L303" s="31" t="n">
        <v>16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56.31</v>
      </c>
      <c r="P303" s="32" t="n">
        <v>12.85</v>
      </c>
      <c r="Q303" s="32" t="n">
        <v>733.53</v>
      </c>
      <c r="R303" s="31" t="inlineStr">
        <is>
          <t>Earnings / Momentum Support</t>
        </is>
      </c>
      <c r="S303" s="31" t="inlineStr">
        <is>
          <t>Nifty Auto</t>
        </is>
      </c>
      <c r="T303" s="32" t="n">
        <v>11.51</v>
      </c>
      <c r="U303" s="32" t="n">
        <v>-6.72</v>
      </c>
      <c r="V303" s="32" t="n">
        <v>-16.35</v>
      </c>
      <c r="W303" s="32" t="n">
        <v>2.26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1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Less than 1.5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IF(B304=0,"",RANK(B304,$B$2:$B$362,0))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REDINGTON</t>
        </is>
      </c>
      <c r="D304" s="33" t="inlineStr">
        <is>
          <t>Redington (india) Limited</t>
        </is>
      </c>
      <c r="E304" s="31" t="inlineStr">
        <is>
          <t>services</t>
        </is>
      </c>
      <c r="F304" s="31" t="inlineStr">
        <is>
          <t>trading</t>
        </is>
      </c>
      <c r="G304" s="31" t="inlineStr">
        <is>
          <t>largecap</t>
        </is>
      </c>
      <c r="H304" s="32" t="n">
        <v>22100.76</v>
      </c>
      <c r="I304" s="32" t="n">
        <v>282.3</v>
      </c>
      <c r="J304" s="32" t="n">
        <v>-0.14</v>
      </c>
      <c r="K304" s="32" t="n">
        <v>2010638</v>
      </c>
      <c r="L304" s="31" t="n">
        <v>23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63.03</v>
      </c>
      <c r="P304" s="32" t="n">
        <v>19.52</v>
      </c>
      <c r="Q304" s="32" t="n">
        <v>217.72</v>
      </c>
      <c r="R304" s="31" t="inlineStr">
        <is>
          <t>Near 52W High Breakout</t>
        </is>
      </c>
      <c r="S304" s="31" t="inlineStr">
        <is>
          <t>Nifty 50</t>
        </is>
      </c>
      <c r="T304" s="32" t="n">
        <v>-3.56</v>
      </c>
      <c r="U304" s="32" t="n">
        <v>-7.16</v>
      </c>
      <c r="V304" s="32" t="n">
        <v>-3.73</v>
      </c>
      <c r="W304" s="32" t="n">
        <v>3.89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Less than 50%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IF(B305=0,"",RANK(B305,$B$2:$B$362,0))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ASAHIINDIA</t>
        </is>
      </c>
      <c r="D305" s="31" t="inlineStr">
        <is>
          <t>Asahi India Glass Limited</t>
        </is>
      </c>
      <c r="E305" s="31" t="inlineStr">
        <is>
          <t>building materials</t>
        </is>
      </c>
      <c r="F305" s="31" t="inlineStr">
        <is>
          <t>glass &amp; glass products</t>
        </is>
      </c>
      <c r="G305" s="31" t="inlineStr">
        <is>
          <t>largecap</t>
        </is>
      </c>
      <c r="H305" s="32" t="n">
        <v>23532.33</v>
      </c>
      <c r="I305" s="32" t="n">
        <v>921.4</v>
      </c>
      <c r="J305" s="32" t="n">
        <v>-0.18</v>
      </c>
      <c r="K305" s="32" t="n">
        <v>191478</v>
      </c>
      <c r="L305" s="31" t="n">
        <v>21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55.69</v>
      </c>
      <c r="P305" s="32" t="n">
        <v>14.75</v>
      </c>
      <c r="Q305" s="32" t="n">
        <v>722.5</v>
      </c>
      <c r="R305" s="31" t="inlineStr">
        <is>
          <t>Earnings / Momentum Support</t>
        </is>
      </c>
      <c r="S305" s="31" t="inlineStr">
        <is>
          <t>Nifty Infra</t>
        </is>
      </c>
      <c r="T305" s="32" t="n">
        <v>1.31</v>
      </c>
      <c r="U305" s="32" t="n">
        <v>9.23</v>
      </c>
      <c r="V305" s="32" t="n">
        <v>7.81</v>
      </c>
      <c r="W305" s="32" t="n">
        <v>3.62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Between 1.5 to 2</t>
        </is>
      </c>
      <c r="BU305" s="31">
        <f>IF(BT305="Above 2",0,IF(BT305="Between 1.5 to 2",5,IF(BT305="Less than 1.5",10,0)))</f>
        <v/>
      </c>
      <c r="BV305" s="31" t="inlineStr">
        <is>
          <t>Between 50% to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IF(B306=0,"",RANK(B306,$B$2:$B$362,0))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SAMBHV</t>
        </is>
      </c>
      <c r="D306" s="33" t="inlineStr">
        <is>
          <t>Sambhv Steel Tubes Ltd</t>
        </is>
      </c>
      <c r="E306" s="31" t="inlineStr">
        <is>
          <t>metals &amp; mining</t>
        </is>
      </c>
      <c r="F306" s="31" t="inlineStr">
        <is>
          <t>steel - medium / small</t>
        </is>
      </c>
      <c r="G306" s="31" t="inlineStr">
        <is>
          <t>smallcap</t>
        </is>
      </c>
      <c r="H306" s="32" t="n">
        <v>3601.18</v>
      </c>
      <c r="I306" s="32" t="n">
        <v>120.54</v>
      </c>
      <c r="J306" s="32" t="n">
        <v>-1.37</v>
      </c>
      <c r="K306" s="32" t="n">
        <v>3302608</v>
      </c>
      <c r="L306" s="31" t="n">
        <v>7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63.28</v>
      </c>
      <c r="P306" s="32" t="n">
        <v>24.09</v>
      </c>
      <c r="Q306" s="32" t="n">
        <v>98.25</v>
      </c>
      <c r="R306" s="31" t="inlineStr">
        <is>
          <t>Earnings / Momentum Support</t>
        </is>
      </c>
      <c r="S306" s="31" t="inlineStr">
        <is>
          <t>Nifty Metal</t>
        </is>
      </c>
      <c r="T306" s="32" t="n">
        <v>32.55</v>
      </c>
      <c r="U306" s="32" t="n">
        <v>-4.85</v>
      </c>
      <c r="V306" s="32" t="n">
        <v>-28.22</v>
      </c>
      <c r="W306" s="32" t="n">
        <v>0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IF(B307=0,"",RANK(B307,$B$2:$B$362,0))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RAYMOND</t>
        </is>
      </c>
      <c r="D307" s="33" t="inlineStr">
        <is>
          <t>Raymond Limited</t>
        </is>
      </c>
      <c r="E307" s="31" t="inlineStr">
        <is>
          <t>transportation</t>
        </is>
      </c>
      <c r="F307" s="31" t="inlineStr">
        <is>
          <t>transport - airlines</t>
        </is>
      </c>
      <c r="G307" s="31" t="inlineStr">
        <is>
          <t>smallcap</t>
        </is>
      </c>
      <c r="H307" s="32" t="n">
        <v>4121.58</v>
      </c>
      <c r="I307" s="32" t="n">
        <v>609.3</v>
      </c>
      <c r="J307" s="32" t="n">
        <v>-1.58</v>
      </c>
      <c r="K307" s="32" t="n">
        <v>467835</v>
      </c>
      <c r="L307" s="31" t="n">
        <v>47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62.1</v>
      </c>
      <c r="P307" s="32" t="n">
        <v>31.41</v>
      </c>
      <c r="Q307" s="32" t="n">
        <v>477.43</v>
      </c>
      <c r="R307" s="31" t="inlineStr">
        <is>
          <t>Earnings / Momentum Support</t>
        </is>
      </c>
      <c r="S307" s="31" t="inlineStr">
        <is>
          <t>Nifty 50</t>
        </is>
      </c>
      <c r="T307" s="32" t="n">
        <v>-3.56</v>
      </c>
      <c r="U307" s="32" t="n">
        <v>-15.23</v>
      </c>
      <c r="V307" s="32" t="n">
        <v>-12.1</v>
      </c>
      <c r="W307" s="32" t="n">
        <v>8.81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Less than 50%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IF(B308=0,"",RANK(B308,$B$2:$B$362,0))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TATVA</t>
        </is>
      </c>
      <c r="D308" s="31" t="inlineStr">
        <is>
          <t>Tatva Chintan Pharma Chem Ltd</t>
        </is>
      </c>
      <c r="E308" s="31" t="inlineStr">
        <is>
          <t>chemicals</t>
        </is>
      </c>
      <c r="F308" s="31" t="inlineStr">
        <is>
          <t>chemicals</t>
        </is>
      </c>
      <c r="G308" s="31" t="inlineStr">
        <is>
          <t>smallcap</t>
        </is>
      </c>
      <c r="H308" s="32" t="n">
        <v>3303.19</v>
      </c>
      <c r="I308" s="32" t="n">
        <v>1385.4</v>
      </c>
      <c r="J308" s="32" t="n">
        <v>-1.89</v>
      </c>
      <c r="K308" s="32" t="n">
        <v>60769</v>
      </c>
      <c r="L308" s="31" t="n">
        <v>49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61.15</v>
      </c>
      <c r="P308" s="32" t="n">
        <v>18.05</v>
      </c>
      <c r="Q308" s="32" t="n">
        <v>1022.2</v>
      </c>
      <c r="R308" s="31" t="inlineStr">
        <is>
          <t>Earnings / Momentum Support</t>
        </is>
      </c>
      <c r="S308" s="31" t="inlineStr">
        <is>
          <t>Nifty 50</t>
        </is>
      </c>
      <c r="T308" s="32" t="n">
        <v>-3.56</v>
      </c>
      <c r="U308" s="32" t="n">
        <v>38.63</v>
      </c>
      <c r="V308" s="32" t="n">
        <v>43.75</v>
      </c>
      <c r="W308" s="32" t="n">
        <v>9.25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Less than 50%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IF(B309=0,"",RANK(B309,$B$2:$B$362,0))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CANTABIL</t>
        </is>
      </c>
      <c r="D309" s="33" t="inlineStr">
        <is>
          <t>Cantabil Retail India Limited</t>
        </is>
      </c>
      <c r="E309" s="31" t="inlineStr">
        <is>
          <t>textiles</t>
        </is>
      </c>
      <c r="F309" s="31" t="inlineStr">
        <is>
          <t>textiles - products</t>
        </is>
      </c>
      <c r="G309" s="31" t="inlineStr">
        <is>
          <t>smallcap</t>
        </is>
      </c>
      <c r="H309" s="32" t="n">
        <v>2195.67</v>
      </c>
      <c r="I309" s="32" t="n">
        <v>257.52</v>
      </c>
      <c r="J309" s="32" t="n">
        <v>-1.9</v>
      </c>
      <c r="K309" s="32" t="n">
        <v>166797</v>
      </c>
      <c r="L309" s="31" t="n">
        <v>7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54.94</v>
      </c>
      <c r="P309" s="32" t="n">
        <v>15.23</v>
      </c>
      <c r="Q309" s="32" t="n">
        <v>199.59</v>
      </c>
      <c r="R309" s="31" t="inlineStr">
        <is>
          <t>Earnings / Momentum Support</t>
        </is>
      </c>
      <c r="S309" s="31" t="inlineStr">
        <is>
          <t>Nifty 50</t>
        </is>
      </c>
      <c r="T309" s="32" t="n">
        <v>-3.56</v>
      </c>
      <c r="U309" s="32" t="n">
        <v>-8.42</v>
      </c>
      <c r="V309" s="32" t="n">
        <v>-5.03</v>
      </c>
      <c r="W309" s="32" t="n">
        <v>-0.03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Less than 1.5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Between 0.7 to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IF(B310=0,"",RANK(B310,$B$2:$B$362,0))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ACE</t>
        </is>
      </c>
      <c r="D310" s="33" t="inlineStr">
        <is>
          <t>Action Construction Equipment Limited</t>
        </is>
      </c>
      <c r="E310" s="31" t="inlineStr">
        <is>
          <t>industrials</t>
        </is>
      </c>
      <c r="F310" s="31" t="inlineStr">
        <is>
          <t>engineering</t>
        </is>
      </c>
      <c r="G310" s="31" t="inlineStr">
        <is>
          <t>midcap</t>
        </is>
      </c>
      <c r="H310" s="32" t="n">
        <v>11484.38</v>
      </c>
      <c r="I310" s="32" t="n">
        <v>1004.4</v>
      </c>
      <c r="J310" s="32" t="n">
        <v>4.15</v>
      </c>
      <c r="K310" s="32" t="n">
        <v>417987</v>
      </c>
      <c r="L310" s="31" t="n">
        <v>8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59.62</v>
      </c>
      <c r="P310" s="32" t="n">
        <v>12.05</v>
      </c>
      <c r="Q310" s="32" t="n">
        <v>809.15</v>
      </c>
      <c r="R310" s="31" t="inlineStr">
        <is>
          <t>Earnings / Momentum Support</t>
        </is>
      </c>
      <c r="S310" s="31" t="inlineStr">
        <is>
          <t>Nifty 50</t>
        </is>
      </c>
      <c r="T310" s="32" t="n">
        <v>-3.56</v>
      </c>
      <c r="U310" s="32" t="n">
        <v>-11.75</v>
      </c>
      <c r="V310" s="32" t="n">
        <v>-8.49</v>
      </c>
      <c r="W310" s="32" t="n">
        <v>0.14</v>
      </c>
      <c r="X310" s="31" t="inlineStr">
        <is>
          <t>Cyclical in an Upturn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IF(B311=0,"",RANK(B311,$B$2:$B$362,0))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HEG</t>
        </is>
      </c>
      <c r="D311" s="31" t="inlineStr">
        <is>
          <t>Heg Limited</t>
        </is>
      </c>
      <c r="E311" s="31" t="inlineStr">
        <is>
          <t>industrials</t>
        </is>
      </c>
      <c r="F311" s="31" t="inlineStr">
        <is>
          <t>electrodes - graphites</t>
        </is>
      </c>
      <c r="G311" s="31" t="inlineStr">
        <is>
          <t>midcap</t>
        </is>
      </c>
      <c r="H311" s="32" t="n">
        <v>10931.21</v>
      </c>
      <c r="I311" s="32" t="n">
        <v>585.6</v>
      </c>
      <c r="J311" s="32" t="n">
        <v>3.38</v>
      </c>
      <c r="K311" s="32" t="n">
        <v>2684596</v>
      </c>
      <c r="L311" s="31" t="n">
        <v>9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54.93</v>
      </c>
      <c r="P311" s="32" t="n">
        <v>26.26</v>
      </c>
      <c r="Q311" s="32" t="n">
        <v>505.56</v>
      </c>
      <c r="R311" s="31" t="inlineStr">
        <is>
          <t>Earnings / Momentum Support</t>
        </is>
      </c>
      <c r="S311" s="31" t="inlineStr">
        <is>
          <t>Nifty 50</t>
        </is>
      </c>
      <c r="T311" s="32" t="n">
        <v>-3.56</v>
      </c>
      <c r="U311" s="32" t="n">
        <v>8.970000000000001</v>
      </c>
      <c r="V311" s="32" t="n">
        <v>13</v>
      </c>
      <c r="W311" s="32" t="n">
        <v>0.54</v>
      </c>
      <c r="X311" s="31" t="inlineStr">
        <is>
          <t>Cyclical in an Upturn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1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Less than 50%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IF(B312=0,"",RANK(B312,$B$2:$B$362,0))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HUHTAMAKI</t>
        </is>
      </c>
      <c r="D312" s="33" t="inlineStr">
        <is>
          <t>Huhtamaki India Ltd</t>
        </is>
      </c>
      <c r="E312" s="31" t="inlineStr">
        <is>
          <t>industrials</t>
        </is>
      </c>
      <c r="F312" s="31" t="inlineStr">
        <is>
          <t>packaging</t>
        </is>
      </c>
      <c r="G312" s="31" t="inlineStr">
        <is>
          <t>smallcap</t>
        </is>
      </c>
      <c r="H312" s="32" t="n">
        <v>1629.61</v>
      </c>
      <c r="I312" s="32" t="n">
        <v>222.9</v>
      </c>
      <c r="J312" s="32" t="n">
        <v>3.3</v>
      </c>
      <c r="K312" s="32" t="n">
        <v>179266</v>
      </c>
      <c r="L312" s="31" t="n">
        <v>29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65.15000000000001</v>
      </c>
      <c r="P312" s="32" t="n">
        <v>14.74</v>
      </c>
      <c r="Q312" s="32" t="n">
        <v>174.65</v>
      </c>
      <c r="R312" s="31" t="inlineStr">
        <is>
          <t>Earnings / Momentum Support</t>
        </is>
      </c>
      <c r="S312" s="31" t="inlineStr">
        <is>
          <t>Nifty Infra</t>
        </is>
      </c>
      <c r="T312" s="32" t="n">
        <v>1.31</v>
      </c>
      <c r="U312" s="32" t="n">
        <v>-1.26</v>
      </c>
      <c r="V312" s="32" t="n">
        <v>-2.54</v>
      </c>
      <c r="W312" s="32" t="n">
        <v>5.03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IF(B313=0,"",RANK(B313,$B$2:$B$362,0))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SOTL</t>
        </is>
      </c>
      <c r="D313" s="31" t="inlineStr">
        <is>
          <t>Savita Oil Technologies Limited</t>
        </is>
      </c>
      <c r="E313" s="31" t="inlineStr">
        <is>
          <t>energy</t>
        </is>
      </c>
      <c r="F313" s="31" t="inlineStr">
        <is>
          <t>petrochemicals</t>
        </is>
      </c>
      <c r="G313" s="31" t="inlineStr">
        <is>
          <t>smallcap</t>
        </is>
      </c>
      <c r="H313" s="32" t="n">
        <v>3973.42</v>
      </c>
      <c r="I313" s="32" t="n">
        <v>596.6</v>
      </c>
      <c r="J313" s="32" t="n">
        <v>2.94</v>
      </c>
      <c r="K313" s="32" t="n">
        <v>241053</v>
      </c>
      <c r="L313" s="31" t="n">
        <v>84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68.08</v>
      </c>
      <c r="P313" s="32" t="n">
        <v>36.18</v>
      </c>
      <c r="Q313" s="32" t="n">
        <v>450.42</v>
      </c>
      <c r="R313" s="31" t="inlineStr">
        <is>
          <t>Near 52W High Breakout</t>
        </is>
      </c>
      <c r="S313" s="31" t="inlineStr">
        <is>
          <t>Nifty Energy</t>
        </is>
      </c>
      <c r="T313" s="32" t="n">
        <v>8.69</v>
      </c>
      <c r="U313" s="32" t="n">
        <v>43.87</v>
      </c>
      <c r="V313" s="32" t="n">
        <v>32.36</v>
      </c>
      <c r="W313" s="32" t="n">
        <v>22.99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Oligopoly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Yes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Blue sky scenario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Between 50% to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IF(B314=0,"",RANK(B314,$B$2:$B$362,0))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TCPLPACK</t>
        </is>
      </c>
      <c r="D314" s="33" t="inlineStr">
        <is>
          <t>TCPL Packaging Ltd</t>
        </is>
      </c>
      <c r="E314" s="31" t="inlineStr">
        <is>
          <t>industrials</t>
        </is>
      </c>
      <c r="F314" s="31" t="inlineStr">
        <is>
          <t>packaging</t>
        </is>
      </c>
      <c r="G314" s="31" t="inlineStr">
        <is>
          <t>smallcap</t>
        </is>
      </c>
      <c r="H314" s="32" t="n">
        <v>2927.38</v>
      </c>
      <c r="I314" s="32" t="n">
        <v>3284.4</v>
      </c>
      <c r="J314" s="32" t="n">
        <v>2.1</v>
      </c>
      <c r="K314" s="32" t="n">
        <v>25265</v>
      </c>
      <c r="L314" s="31" t="n">
        <v>19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64.16</v>
      </c>
      <c r="P314" s="32" t="n">
        <v>14.51</v>
      </c>
      <c r="Q314" s="32" t="n">
        <v>2528.22</v>
      </c>
      <c r="R314" s="31" t="inlineStr">
        <is>
          <t>Volume Spike / Accumulation</t>
        </is>
      </c>
      <c r="S314" s="31" t="inlineStr">
        <is>
          <t>Nifty 50</t>
        </is>
      </c>
      <c r="T314" s="32" t="n">
        <v>-3.56</v>
      </c>
      <c r="U314" s="32" t="n">
        <v>-12.49</v>
      </c>
      <c r="V314" s="32" t="n">
        <v>-9.26</v>
      </c>
      <c r="W314" s="32" t="n">
        <v>3.14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Between 0.7 to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IF(B315=0,"",RANK(B315,$B$2:$B$362,0))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VENUSPIPES</t>
        </is>
      </c>
      <c r="D315" s="33" t="inlineStr">
        <is>
          <t>Venus Pipes &amp; Tubes Ltd</t>
        </is>
      </c>
      <c r="E315" s="31" t="inlineStr">
        <is>
          <t>metals &amp; mining</t>
        </is>
      </c>
      <c r="F315" s="31" t="inlineStr">
        <is>
          <t>steel - medium / small</t>
        </is>
      </c>
      <c r="G315" s="31" t="inlineStr">
        <is>
          <t>smallcap</t>
        </is>
      </c>
      <c r="H315" s="32" t="n">
        <v>3668.62</v>
      </c>
      <c r="I315" s="32" t="n">
        <v>1789</v>
      </c>
      <c r="J315" s="32" t="n">
        <v>1.02</v>
      </c>
      <c r="K315" s="32" t="n">
        <v>67834</v>
      </c>
      <c r="L315" s="31" t="n">
        <v>56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71.16</v>
      </c>
      <c r="P315" s="32" t="n">
        <v>24.29</v>
      </c>
      <c r="Q315" s="32" t="n">
        <v>1400.59</v>
      </c>
      <c r="R315" s="31" t="inlineStr">
        <is>
          <t>Near 52W High Breakout</t>
        </is>
      </c>
      <c r="S315" s="31" t="inlineStr">
        <is>
          <t>Nifty Metal</t>
        </is>
      </c>
      <c r="T315" s="32" t="n">
        <v>32.55</v>
      </c>
      <c r="U315" s="32" t="n">
        <v>8.69</v>
      </c>
      <c r="V315" s="32" t="n">
        <v>-18</v>
      </c>
      <c r="W315" s="32" t="n">
        <v>11.09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Cyclical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Volatile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Between 50% to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IF(B316=0,"",RANK(B316,$B$2:$B$362,0))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KAMDHENU</t>
        </is>
      </c>
      <c r="D316" s="33" t="inlineStr">
        <is>
          <t>Kamdhenu Limited</t>
        </is>
      </c>
      <c r="E316" s="31" t="inlineStr">
        <is>
          <t>metals &amp; mining</t>
        </is>
      </c>
      <c r="F316" s="31" t="inlineStr">
        <is>
          <t>steel - medium / small</t>
        </is>
      </c>
      <c r="G316" s="31" t="inlineStr">
        <is>
          <t>smallcap</t>
        </is>
      </c>
      <c r="H316" s="32" t="n">
        <v>886.8</v>
      </c>
      <c r="I316" s="32" t="n">
        <v>31.77</v>
      </c>
      <c r="J316" s="32" t="n">
        <v>0.99</v>
      </c>
      <c r="K316" s="32" t="n">
        <v>874338</v>
      </c>
      <c r="L316" s="31" t="n">
        <v>54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64.77</v>
      </c>
      <c r="P316" s="32" t="n">
        <v>27.34</v>
      </c>
      <c r="Q316" s="32" t="n">
        <v>24.25</v>
      </c>
      <c r="R316" s="31" t="inlineStr">
        <is>
          <t>Near 52W High Breakout</t>
        </is>
      </c>
      <c r="S316" s="31" t="inlineStr">
        <is>
          <t>Nifty Metal</t>
        </is>
      </c>
      <c r="T316" s="32" t="n">
        <v>32.55</v>
      </c>
      <c r="U316" s="32" t="n">
        <v>6.56</v>
      </c>
      <c r="V316" s="32" t="n">
        <v>-19.61</v>
      </c>
      <c r="W316" s="32" t="n">
        <v>10.56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Between 50% to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IF(B317=0,"",RANK(B317,$B$2:$B$362,0))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KAPSTON</t>
        </is>
      </c>
      <c r="D317" s="31" t="inlineStr">
        <is>
          <t>Kapston Services Ltd</t>
        </is>
      </c>
      <c r="E317" s="31" t="inlineStr">
        <is>
          <t>miscellaneous</t>
        </is>
      </c>
      <c r="F317" s="31" t="inlineStr">
        <is>
          <t>miscellaneous</t>
        </is>
      </c>
      <c r="G317" s="31" t="inlineStr">
        <is>
          <t>smallcap</t>
        </is>
      </c>
      <c r="H317" s="32" t="n">
        <v>1260.35</v>
      </c>
      <c r="I317" s="32" t="n">
        <v>415.55</v>
      </c>
      <c r="J317" s="32" t="n">
        <v>0.34</v>
      </c>
      <c r="K317" s="32" t="n">
        <v>18728</v>
      </c>
      <c r="L317" s="31" t="n">
        <v>79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68.59999999999999</v>
      </c>
      <c r="P317" s="32" t="n">
        <v>18.96</v>
      </c>
      <c r="Q317" s="32" t="n">
        <v>304.65</v>
      </c>
      <c r="R317" s="31" t="inlineStr">
        <is>
          <t>Near 52W High Breakout</t>
        </is>
      </c>
      <c r="S317" s="31" t="inlineStr">
        <is>
          <t>Nifty 50</t>
        </is>
      </c>
      <c r="T317" s="32" t="n">
        <v>-3.56</v>
      </c>
      <c r="U317" s="32" t="n">
        <v>67.79000000000001</v>
      </c>
      <c r="V317" s="32" t="n">
        <v>73.98999999999999</v>
      </c>
      <c r="W317" s="32" t="n">
        <v>18.92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Blue sky scenario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Between 1.5 to 2</t>
        </is>
      </c>
      <c r="BU317" s="31">
        <f>IF(BT317="Above 2",0,IF(BT317="Between 1.5 to 2",5,IF(BT317="Less than 1.5",10,0)))</f>
        <v/>
      </c>
      <c r="BV317" s="31" t="inlineStr">
        <is>
          <t>Less than 50% and Borrowings are increasing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More than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IF(B318=0,"",RANK(B318,$B$2:$B$362,0))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GANESHHOU</t>
        </is>
      </c>
      <c r="D318" s="33" t="inlineStr">
        <is>
          <t>Ganesh Housing Ltd</t>
        </is>
      </c>
      <c r="E318" s="31" t="inlineStr">
        <is>
          <t>realty</t>
        </is>
      </c>
      <c r="F318" s="31" t="inlineStr">
        <is>
          <t>construction</t>
        </is>
      </c>
      <c r="G318" s="31" t="inlineStr">
        <is>
          <t>midcap</t>
        </is>
      </c>
      <c r="H318" s="32" t="n">
        <v>7148.78</v>
      </c>
      <c r="I318" s="32" t="n">
        <v>845</v>
      </c>
      <c r="J318" s="32" t="n">
        <v>-1.43</v>
      </c>
      <c r="K318" s="32" t="n">
        <v>21992</v>
      </c>
      <c r="L318" s="31" t="n">
        <v>30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63.76</v>
      </c>
      <c r="P318" s="32" t="n">
        <v>16.65</v>
      </c>
      <c r="Q318" s="32" t="n">
        <v>680.8200000000001</v>
      </c>
      <c r="R318" s="31" t="inlineStr">
        <is>
          <t>Earnings / Momentum Support</t>
        </is>
      </c>
      <c r="S318" s="31" t="inlineStr">
        <is>
          <t>Nifty Realty</t>
        </is>
      </c>
      <c r="T318" s="32" t="n">
        <v>-8.48</v>
      </c>
      <c r="U318" s="32" t="n">
        <v>-13.02</v>
      </c>
      <c r="V318" s="32" t="n">
        <v>-4.96</v>
      </c>
      <c r="W318" s="32" t="n">
        <v>5.12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Between 50% to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IF(B319=0,"",RANK(B319,$B$2:$B$362,0))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ALKEM</t>
        </is>
      </c>
      <c r="D319" s="33" t="inlineStr">
        <is>
          <t>Alkem Laboratories Limited</t>
        </is>
      </c>
      <c r="E319" s="31" t="inlineStr">
        <is>
          <t>healthcare</t>
        </is>
      </c>
      <c r="F319" s="31" t="inlineStr">
        <is>
          <t>pharmaceuticals - indian - bulk drugs &amp; formln</t>
        </is>
      </c>
      <c r="G319" s="31" t="inlineStr">
        <is>
          <t>largecap</t>
        </is>
      </c>
      <c r="H319" s="32" t="n">
        <v>66974.33</v>
      </c>
      <c r="I319" s="32" t="n">
        <v>5664</v>
      </c>
      <c r="J319" s="32" t="n">
        <v>1.12</v>
      </c>
      <c r="K319" s="32" t="n">
        <v>213216</v>
      </c>
      <c r="L319" s="31" t="n">
        <v>18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56.68</v>
      </c>
      <c r="P319" s="32" t="n">
        <v>17.72</v>
      </c>
      <c r="Q319" s="32" t="n">
        <v>4862</v>
      </c>
      <c r="R319" s="31" t="inlineStr">
        <is>
          <t>Near 52W High Breakout</t>
        </is>
      </c>
      <c r="S319" s="31" t="inlineStr">
        <is>
          <t>Nifty Pharma</t>
        </is>
      </c>
      <c r="T319" s="32" t="n">
        <v>15.1</v>
      </c>
      <c r="U319" s="32" t="n">
        <v>14.31</v>
      </c>
      <c r="V319" s="32" t="n">
        <v>-0.68</v>
      </c>
      <c r="W319" s="32" t="n">
        <v>3.12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Between 50% to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IF(B320=0,"",RANK(B320,$B$2:$B$362,0))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CIPLA</t>
        </is>
      </c>
      <c r="D320" s="33" t="inlineStr">
        <is>
          <t>Cipla Limited</t>
        </is>
      </c>
      <c r="E320" s="31" t="inlineStr">
        <is>
          <t>healthcare</t>
        </is>
      </c>
      <c r="F320" s="31" t="inlineStr">
        <is>
          <t>pharmaceuticals - indian - bulk drugs &amp; formln</t>
        </is>
      </c>
      <c r="G320" s="31" t="inlineStr">
        <is>
          <t>largecap</t>
        </is>
      </c>
      <c r="H320" s="32" t="n">
        <v>116167.22</v>
      </c>
      <c r="I320" s="32" t="n">
        <v>1438</v>
      </c>
      <c r="J320" s="32" t="n">
        <v>-0.01</v>
      </c>
      <c r="K320" s="32" t="n">
        <v>924453</v>
      </c>
      <c r="L320" s="31" t="n">
        <v>21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57.79</v>
      </c>
      <c r="P320" s="32" t="n">
        <v>15.45</v>
      </c>
      <c r="Q320" s="32" t="n">
        <v>1273.17</v>
      </c>
      <c r="R320" s="31" t="inlineStr">
        <is>
          <t>Earnings / Momentum Support</t>
        </is>
      </c>
      <c r="S320" s="31" t="inlineStr">
        <is>
          <t>Nifty Pharma</t>
        </is>
      </c>
      <c r="T320" s="32" t="n">
        <v>15.1</v>
      </c>
      <c r="U320" s="32" t="n">
        <v>-2.08</v>
      </c>
      <c r="V320" s="32" t="n">
        <v>-14.92</v>
      </c>
      <c r="W320" s="32" t="n">
        <v>3.55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Yes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Annuity, Lower One Time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Between 50% to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IF(B321=0,"",RANK(B321,$B$2:$B$362,0))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LLOYDSME</t>
        </is>
      </c>
      <c r="D321" s="33" t="inlineStr">
        <is>
          <t>Lloyds Metals &amp; Energy Ltd</t>
        </is>
      </c>
      <c r="E321" s="31" t="inlineStr">
        <is>
          <t>metals &amp; mining</t>
        </is>
      </c>
      <c r="F321" s="31" t="inlineStr">
        <is>
          <t>mining / minerals / metals</t>
        </is>
      </c>
      <c r="G321" s="31" t="inlineStr">
        <is>
          <t>largecap</t>
        </is>
      </c>
      <c r="H321" s="32" t="n">
        <v>102736.42</v>
      </c>
      <c r="I321" s="32" t="n">
        <v>1866.1</v>
      </c>
      <c r="J321" s="32" t="n">
        <v>2.22</v>
      </c>
      <c r="K321" s="32" t="n">
        <v>792357</v>
      </c>
      <c r="L321" s="31" t="n">
        <v>48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71.64</v>
      </c>
      <c r="P321" s="32" t="n">
        <v>44.8</v>
      </c>
      <c r="Q321" s="32" t="n">
        <v>1524.09</v>
      </c>
      <c r="R321" s="31" t="inlineStr">
        <is>
          <t>Near 52W High Breakout</t>
        </is>
      </c>
      <c r="S321" s="31" t="inlineStr">
        <is>
          <t>Nifty Metal</t>
        </is>
      </c>
      <c r="T321" s="32" t="n">
        <v>32.55</v>
      </c>
      <c r="U321" s="32" t="n">
        <v>26.8</v>
      </c>
      <c r="V321" s="32" t="n">
        <v>-4.34</v>
      </c>
      <c r="W321" s="32" t="n">
        <v>8.970000000000001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Cyclical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Volatile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Above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Blue sky scenario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Less than 50% and Borrowings are increasing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More than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IF(B322=0,"",RANK(B322,$B$2:$B$362,0))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RAMRAT</t>
        </is>
      </c>
      <c r="D322" s="33" t="inlineStr">
        <is>
          <t>Ram Ratna Wires Ltd</t>
        </is>
      </c>
      <c r="E322" s="31" t="inlineStr">
        <is>
          <t>metals &amp; mining</t>
        </is>
      </c>
      <c r="F322" s="31" t="inlineStr">
        <is>
          <t>mining / minerals / metals</t>
        </is>
      </c>
      <c r="G322" s="31" t="inlineStr">
        <is>
          <t>smallcap</t>
        </is>
      </c>
      <c r="H322" s="32" t="n">
        <v>3913.19</v>
      </c>
      <c r="I322" s="32" t="n">
        <v>419</v>
      </c>
      <c r="J322" s="32" t="n">
        <v>-0.05</v>
      </c>
      <c r="K322" s="32" t="n">
        <v>37218</v>
      </c>
      <c r="L322" s="31" t="n">
        <v>36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60.85</v>
      </c>
      <c r="P322" s="32" t="n">
        <v>47.65</v>
      </c>
      <c r="Q322" s="32" t="n">
        <v>331.82</v>
      </c>
      <c r="R322" s="31" t="inlineStr">
        <is>
          <t>Earnings / Momentum Support</t>
        </is>
      </c>
      <c r="S322" s="31" t="inlineStr">
        <is>
          <t>Nifty Metal</t>
        </is>
      </c>
      <c r="T322" s="32" t="n">
        <v>32.55</v>
      </c>
      <c r="U322" s="32" t="n">
        <v>21.18</v>
      </c>
      <c r="V322" s="32" t="n">
        <v>-8.58</v>
      </c>
      <c r="W322" s="32" t="n">
        <v>6.36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Above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Negative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Between 0.7 to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IF(B323=0,"",RANK(B323,$B$2:$B$362,0))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KSL</t>
        </is>
      </c>
      <c r="D323" s="33" t="inlineStr">
        <is>
          <t>Kalyani Steels Limited</t>
        </is>
      </c>
      <c r="E323" s="31" t="inlineStr">
        <is>
          <t>metals &amp; mining</t>
        </is>
      </c>
      <c r="F323" s="31" t="inlineStr">
        <is>
          <t>steel - medium / small</t>
        </is>
      </c>
      <c r="G323" s="31" t="inlineStr">
        <is>
          <t>smallcap</t>
        </is>
      </c>
      <c r="H323" s="32" t="n">
        <v>4042.93</v>
      </c>
      <c r="I323" s="32" t="n">
        <v>914.8</v>
      </c>
      <c r="J323" s="32" t="n">
        <v>-1.23</v>
      </c>
      <c r="K323" s="32" t="n">
        <v>64152</v>
      </c>
      <c r="L323" s="31" t="n">
        <v>31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61.39</v>
      </c>
      <c r="P323" s="32" t="n">
        <v>20.48</v>
      </c>
      <c r="Q323" s="32" t="n">
        <v>763.83</v>
      </c>
      <c r="R323" s="31" t="inlineStr">
        <is>
          <t>Earnings / Momentum Support</t>
        </is>
      </c>
      <c r="S323" s="31" t="inlineStr">
        <is>
          <t>Nifty Metal</t>
        </is>
      </c>
      <c r="T323" s="32" t="n">
        <v>32.55</v>
      </c>
      <c r="U323" s="32" t="n">
        <v>1.29</v>
      </c>
      <c r="V323" s="32" t="n">
        <v>-23.59</v>
      </c>
      <c r="W323" s="32" t="n">
        <v>5.23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IF(B324=0,"",RANK(B324,$B$2:$B$362,0))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TECHM</t>
        </is>
      </c>
      <c r="D324" s="31" t="inlineStr">
        <is>
          <t>Tech Mahindra Limited</t>
        </is>
      </c>
      <c r="E324" s="31" t="inlineStr">
        <is>
          <t>i.t</t>
        </is>
      </c>
      <c r="F324" s="31" t="inlineStr">
        <is>
          <t>computers - software - large</t>
        </is>
      </c>
      <c r="G324" s="31" t="inlineStr">
        <is>
          <t>largecap</t>
        </is>
      </c>
      <c r="H324" s="32" t="n">
        <v>145437.84</v>
      </c>
      <c r="I324" s="32" t="n">
        <v>1498.7</v>
      </c>
      <c r="J324" s="32" t="n">
        <v>0.97</v>
      </c>
      <c r="K324" s="32" t="n">
        <v>1834309</v>
      </c>
      <c r="L324" s="31" t="n">
        <v>10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56.2</v>
      </c>
      <c r="P324" s="32" t="n">
        <v>10.31</v>
      </c>
      <c r="Q324" s="32" t="n">
        <v>1210.25</v>
      </c>
      <c r="R324" s="31" t="inlineStr">
        <is>
          <t>Earnings / Momentum Support</t>
        </is>
      </c>
      <c r="S324" s="31" t="inlineStr">
        <is>
          <t>Nifty IT</t>
        </is>
      </c>
      <c r="T324" s="32" t="n">
        <v>-23.18</v>
      </c>
      <c r="U324" s="32" t="n">
        <v>0.31</v>
      </c>
      <c r="V324" s="32" t="n">
        <v>30.58</v>
      </c>
      <c r="W324" s="32" t="n">
        <v>0.8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Annuity, Lower One Time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1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Between 12 to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Between 1.5 to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IF(B325=0,"",RANK(B325,$B$2:$B$362,0))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EIFFL</t>
        </is>
      </c>
      <c r="D325" s="31" t="inlineStr">
        <is>
          <t>Euro India Fresh Foods Ltd</t>
        </is>
      </c>
      <c r="E325" s="31" t="inlineStr">
        <is>
          <t>fmcg</t>
        </is>
      </c>
      <c r="F325" s="31" t="inlineStr">
        <is>
          <t>food - processing - indian</t>
        </is>
      </c>
      <c r="G325" s="31" t="inlineStr">
        <is>
          <t>smallcap</t>
        </is>
      </c>
      <c r="H325" s="32" t="n">
        <v>829.0599999999999</v>
      </c>
      <c r="I325" s="32" t="n">
        <v>329.2</v>
      </c>
      <c r="J325" s="32" t="n">
        <v>-1.53</v>
      </c>
      <c r="K325" s="32" t="n">
        <v>3775</v>
      </c>
      <c r="L325" s="31" t="n">
        <v>71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69.34999999999999</v>
      </c>
      <c r="P325" s="32" t="n">
        <v>24.53</v>
      </c>
      <c r="Q325" s="32" t="n">
        <v>253.49</v>
      </c>
      <c r="R325" s="31" t="inlineStr">
        <is>
          <t>Earnings / Momentum Support</t>
        </is>
      </c>
      <c r="S325" s="31" t="inlineStr">
        <is>
          <t>Nifty FMCG</t>
        </is>
      </c>
      <c r="T325" s="32" t="n">
        <v>-14.55</v>
      </c>
      <c r="U325" s="32" t="n">
        <v>39.51</v>
      </c>
      <c r="V325" s="32" t="n">
        <v>63.26</v>
      </c>
      <c r="W325" s="32" t="n">
        <v>15.6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B2C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Annuity, Lower One Time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Between 50% to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Between 0.7 to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IF(B326=0,"",RANK(B326,$B$2:$B$362,0))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AUTOAXLES</t>
        </is>
      </c>
      <c r="D326" s="33" t="inlineStr">
        <is>
          <t>Automotive Axles Limited</t>
        </is>
      </c>
      <c r="E326" s="31" t="inlineStr">
        <is>
          <t>auto</t>
        </is>
      </c>
      <c r="F326" s="31" t="inlineStr">
        <is>
          <t>auto ancillaries</t>
        </is>
      </c>
      <c r="G326" s="31" t="inlineStr">
        <is>
          <t>smallcap</t>
        </is>
      </c>
      <c r="H326" s="32" t="n">
        <v>2683.58</v>
      </c>
      <c r="I326" s="32" t="n">
        <v>1829</v>
      </c>
      <c r="J326" s="32" t="n">
        <v>3</v>
      </c>
      <c r="K326" s="32" t="n">
        <v>9380</v>
      </c>
      <c r="L326" s="31" t="n">
        <v>8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52.08</v>
      </c>
      <c r="P326" s="32" t="n">
        <v>7.43</v>
      </c>
      <c r="Q326" s="32" t="n">
        <v>1519.37</v>
      </c>
      <c r="R326" s="31" t="inlineStr">
        <is>
          <t>Earnings / Momentum Support</t>
        </is>
      </c>
      <c r="S326" s="31" t="inlineStr">
        <is>
          <t>Nifty Auto</t>
        </is>
      </c>
      <c r="T326" s="32" t="n">
        <v>11.51</v>
      </c>
      <c r="U326" s="32" t="n">
        <v>2.82</v>
      </c>
      <c r="V326" s="32" t="n">
        <v>-7.8</v>
      </c>
      <c r="W326" s="32" t="n">
        <v>0.13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1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Between 12 to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IF(B327=0,"",RANK(B327,$B$2:$B$362,0))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ULTRACEMCO</t>
        </is>
      </c>
      <c r="D327" s="33" t="inlineStr">
        <is>
          <t>Ultratech Cement Limited</t>
        </is>
      </c>
      <c r="E327" s="31" t="inlineStr">
        <is>
          <t>building materials</t>
        </is>
      </c>
      <c r="F327" s="31" t="inlineStr">
        <is>
          <t>cement - north india</t>
        </is>
      </c>
      <c r="G327" s="31" t="inlineStr">
        <is>
          <t>largecap</t>
        </is>
      </c>
      <c r="H327" s="32" t="n">
        <v>338763.18</v>
      </c>
      <c r="I327" s="32" t="n">
        <v>11812</v>
      </c>
      <c r="J327" s="32" t="n">
        <v>2.75</v>
      </c>
      <c r="K327" s="32" t="n">
        <v>379666</v>
      </c>
      <c r="L327" s="31" t="n">
        <v>4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52.43</v>
      </c>
      <c r="P327" s="32" t="n">
        <v>13.36</v>
      </c>
      <c r="Q327" s="32" t="n">
        <v>10300.39</v>
      </c>
      <c r="R327" s="31" t="inlineStr">
        <is>
          <t>Earnings / Momentum Support</t>
        </is>
      </c>
      <c r="S327" s="31" t="inlineStr">
        <is>
          <t>Nifty Infra</t>
        </is>
      </c>
      <c r="T327" s="32" t="n">
        <v>1.31</v>
      </c>
      <c r="U327" s="32" t="n">
        <v>-4.89</v>
      </c>
      <c r="V327" s="32" t="n">
        <v>-6.12</v>
      </c>
      <c r="W327" s="32" t="n">
        <v>-1.11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1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Less than 1.5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IF(B328=0,"",RANK(B328,$B$2:$B$362,0))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SHREECEM</t>
        </is>
      </c>
      <c r="D328" s="33" t="inlineStr">
        <is>
          <t>Shree Cements Limited</t>
        </is>
      </c>
      <c r="E328" s="31" t="inlineStr">
        <is>
          <t>building materials</t>
        </is>
      </c>
      <c r="F328" s="31" t="inlineStr">
        <is>
          <t>cement - north india</t>
        </is>
      </c>
      <c r="G328" s="31" t="inlineStr">
        <is>
          <t>largecap</t>
        </is>
      </c>
      <c r="H328" s="32" t="n">
        <v>94820.21000000001</v>
      </c>
      <c r="I328" s="32" t="n">
        <v>26925</v>
      </c>
      <c r="J328" s="32" t="n">
        <v>2.45</v>
      </c>
      <c r="K328" s="32" t="n">
        <v>17102</v>
      </c>
      <c r="L328" s="31" t="n">
        <v>3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57.39</v>
      </c>
      <c r="P328" s="32" t="n">
        <v>14.35</v>
      </c>
      <c r="Q328" s="32" t="n">
        <v>23062.65</v>
      </c>
      <c r="R328" s="31" t="inlineStr">
        <is>
          <t>Earnings / Momentum Support</t>
        </is>
      </c>
      <c r="S328" s="31" t="inlineStr">
        <is>
          <t>Nifty Infra</t>
        </is>
      </c>
      <c r="T328" s="32" t="n">
        <v>1.31</v>
      </c>
      <c r="U328" s="32" t="n">
        <v>-12.13</v>
      </c>
      <c r="V328" s="32" t="n">
        <v>-13.27</v>
      </c>
      <c r="W328" s="32" t="n">
        <v>-1.12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IF(B329=0,"",RANK(B329,$B$2:$B$362,0))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SANATHAN</t>
        </is>
      </c>
      <c r="D329" s="33" t="inlineStr">
        <is>
          <t>Sanathan Textiles Ltd</t>
        </is>
      </c>
      <c r="E329" s="31" t="inlineStr">
        <is>
          <t>textiles</t>
        </is>
      </c>
      <c r="F329" s="31" t="inlineStr">
        <is>
          <t>textiles - cotton/blended</t>
        </is>
      </c>
      <c r="G329" s="31" t="inlineStr">
        <is>
          <t>smallcap</t>
        </is>
      </c>
      <c r="H329" s="32" t="n">
        <v>3713.78</v>
      </c>
      <c r="I329" s="32" t="n">
        <v>449.5</v>
      </c>
      <c r="J329" s="32" t="n">
        <v>2.16</v>
      </c>
      <c r="K329" s="32" t="n">
        <v>95686</v>
      </c>
      <c r="L329" s="31" t="n">
        <v>1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56.35</v>
      </c>
      <c r="P329" s="32" t="n">
        <v>10.74</v>
      </c>
      <c r="Q329" s="32" t="n">
        <v>351.31</v>
      </c>
      <c r="R329" s="31" t="inlineStr">
        <is>
          <t>Earnings / Momentum Support</t>
        </is>
      </c>
      <c r="S329" s="31" t="inlineStr">
        <is>
          <t>Nifty 50</t>
        </is>
      </c>
      <c r="T329" s="32" t="n">
        <v>-3.56</v>
      </c>
      <c r="U329" s="32" t="n">
        <v>-18.87</v>
      </c>
      <c r="V329" s="32" t="n">
        <v>-15.87</v>
      </c>
      <c r="W329" s="32" t="n">
        <v>-2.74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Between 0.7 to 1.2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IF(B330=0,"",RANK(B330,$B$2:$B$362,0))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UNOMINDA</t>
        </is>
      </c>
      <c r="D330" s="33" t="inlineStr">
        <is>
          <t>Uno Minda Ltd</t>
        </is>
      </c>
      <c r="E330" s="31" t="inlineStr">
        <is>
          <t>auto</t>
        </is>
      </c>
      <c r="F330" s="31" t="inlineStr">
        <is>
          <t>auto ancillaries</t>
        </is>
      </c>
      <c r="G330" s="31" t="inlineStr">
        <is>
          <t>largecap</t>
        </is>
      </c>
      <c r="H330" s="32" t="n">
        <v>65652.86</v>
      </c>
      <c r="I330" s="32" t="n">
        <v>1157.7</v>
      </c>
      <c r="J330" s="32" t="n">
        <v>1.82</v>
      </c>
      <c r="K330" s="32" t="n">
        <v>723182</v>
      </c>
      <c r="L330" s="31" t="n">
        <v>17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53.19</v>
      </c>
      <c r="P330" s="32" t="n">
        <v>15.31</v>
      </c>
      <c r="Q330" s="32" t="n">
        <v>941.1799999999999</v>
      </c>
      <c r="R330" s="31" t="inlineStr">
        <is>
          <t>Earnings / Momentum Support</t>
        </is>
      </c>
      <c r="S330" s="31" t="inlineStr">
        <is>
          <t>Nifty Auto</t>
        </is>
      </c>
      <c r="T330" s="32" t="n">
        <v>11.51</v>
      </c>
      <c r="U330" s="32" t="n">
        <v>6.55</v>
      </c>
      <c r="V330" s="32" t="n">
        <v>-4.45</v>
      </c>
      <c r="W330" s="32" t="n">
        <v>2.62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1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IF(B331=0,"",RANK(B331,$B$2:$B$362,0))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GOKEX</t>
        </is>
      </c>
      <c r="D331" s="33" t="inlineStr">
        <is>
          <t>Gokaldas Exports Limited</t>
        </is>
      </c>
      <c r="E331" s="31" t="inlineStr">
        <is>
          <t>consumer discretionary</t>
        </is>
      </c>
      <c r="F331" s="31" t="inlineStr">
        <is>
          <t>textiles - products</t>
        </is>
      </c>
      <c r="G331" s="31" t="inlineStr">
        <is>
          <t>midcap</t>
        </is>
      </c>
      <c r="H331" s="32" t="n">
        <v>6165.59</v>
      </c>
      <c r="I331" s="32" t="n">
        <v>831.9</v>
      </c>
      <c r="J331" s="32" t="n">
        <v>-1.17</v>
      </c>
      <c r="K331" s="32" t="n">
        <v>572116</v>
      </c>
      <c r="L331" s="31" t="n">
        <v>15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59.2</v>
      </c>
      <c r="P331" s="32" t="n">
        <v>16.24</v>
      </c>
      <c r="Q331" s="32" t="n">
        <v>631.75</v>
      </c>
      <c r="R331" s="31" t="inlineStr">
        <is>
          <t>Earnings / Momentum Support</t>
        </is>
      </c>
      <c r="S331" s="31" t="inlineStr">
        <is>
          <t>Nifty 50</t>
        </is>
      </c>
      <c r="T331" s="32" t="n">
        <v>-3.56</v>
      </c>
      <c r="U331" s="32" t="n">
        <v>-11.09</v>
      </c>
      <c r="V331" s="32" t="n">
        <v>-7.81</v>
      </c>
      <c r="W331" s="32" t="n">
        <v>2.09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Less than 50%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IF(B332=0,"",RANK(B332,$B$2:$B$362,0))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JINDRILL</t>
        </is>
      </c>
      <c r="D332" s="33" t="inlineStr">
        <is>
          <t>Jindal Drilling And Industries Limited</t>
        </is>
      </c>
      <c r="E332" s="31" t="inlineStr">
        <is>
          <t>energy</t>
        </is>
      </c>
      <c r="F332" s="31" t="inlineStr">
        <is>
          <t>oil drilling / allied services</t>
        </is>
      </c>
      <c r="G332" s="31" t="inlineStr">
        <is>
          <t>smallcap</t>
        </is>
      </c>
      <c r="H332" s="32" t="n">
        <v>1814.8</v>
      </c>
      <c r="I332" s="32" t="n">
        <v>604.95</v>
      </c>
      <c r="J332" s="32" t="n">
        <v>-3.39</v>
      </c>
      <c r="K332" s="32" t="n">
        <v>289144</v>
      </c>
      <c r="L332" s="31" t="n">
        <v>14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55.77</v>
      </c>
      <c r="P332" s="32" t="n">
        <v>44.75</v>
      </c>
      <c r="Q332" s="32" t="n">
        <v>483.75</v>
      </c>
      <c r="R332" s="31" t="inlineStr">
        <is>
          <t>Earnings / Momentum Support</t>
        </is>
      </c>
      <c r="S332" s="31" t="inlineStr">
        <is>
          <t>Nifty Energy</t>
        </is>
      </c>
      <c r="T332" s="32" t="n">
        <v>8.69</v>
      </c>
      <c r="U332" s="32" t="n">
        <v>-3.73</v>
      </c>
      <c r="V332" s="32" t="n">
        <v>-11.43</v>
      </c>
      <c r="W332" s="32" t="n">
        <v>2.01</v>
      </c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Oligopoly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Yes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Cyclical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Volatile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Above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Less than 50%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IF(B333=0,"",RANK(B333,$B$2:$B$362,0))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JUBLPHARMA</t>
        </is>
      </c>
      <c r="D333" s="33" t="inlineStr">
        <is>
          <t>Jubilant Pharmova Ltd</t>
        </is>
      </c>
      <c r="E333" s="31" t="inlineStr">
        <is>
          <t>healthcare</t>
        </is>
      </c>
      <c r="F333" s="31" t="inlineStr">
        <is>
          <t>pharmaceuticals - indian - bulk drugs</t>
        </is>
      </c>
      <c r="G333" s="31" t="inlineStr">
        <is>
          <t>midcap</t>
        </is>
      </c>
      <c r="H333" s="32" t="n">
        <v>15521.15</v>
      </c>
      <c r="I333" s="32" t="n">
        <v>1028.4</v>
      </c>
      <c r="J333" s="32" t="n">
        <v>5.54</v>
      </c>
      <c r="K333" s="32" t="n">
        <v>709727</v>
      </c>
      <c r="L333" s="31" t="n">
        <v>6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59.4</v>
      </c>
      <c r="P333" s="32" t="n">
        <v>8.15</v>
      </c>
      <c r="Q333" s="32" t="n">
        <v>849.95</v>
      </c>
      <c r="R333" s="31" t="inlineStr">
        <is>
          <t>Volume Spike / Accumulation</t>
        </is>
      </c>
      <c r="S333" s="31" t="inlineStr">
        <is>
          <t>Nifty Pharma</t>
        </is>
      </c>
      <c r="T333" s="32" t="n">
        <v>15.1</v>
      </c>
      <c r="U333" s="32" t="n">
        <v>-16.17</v>
      </c>
      <c r="V333" s="32" t="n">
        <v>-27.17</v>
      </c>
      <c r="W333" s="32" t="n">
        <v>-0.45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Yes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Annuity, Lower One Time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1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IF(B334=0,"",RANK(B334,$B$2:$B$362,0))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SILVERTUC</t>
        </is>
      </c>
      <c r="D334" s="33" t="inlineStr">
        <is>
          <t>Silver Touch Technologies Ltd</t>
        </is>
      </c>
      <c r="E334" s="31" t="inlineStr">
        <is>
          <t>i.t</t>
        </is>
      </c>
      <c r="F334" s="31" t="inlineStr">
        <is>
          <t>computers - software - medium / small</t>
        </is>
      </c>
      <c r="G334" s="31" t="inlineStr">
        <is>
          <t>smallcap</t>
        </is>
      </c>
      <c r="H334" s="32" t="n">
        <v>2474.57</v>
      </c>
      <c r="I334" s="32" t="n">
        <v>198.26</v>
      </c>
      <c r="J334" s="32" t="n">
        <v>1.6</v>
      </c>
      <c r="K334" s="32" t="n">
        <v>611343</v>
      </c>
      <c r="L334" s="31" t="n">
        <v>18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43.32</v>
      </c>
      <c r="P334" s="32" t="n">
        <v>28.25</v>
      </c>
      <c r="Q334" s="32" t="n">
        <v>94.09</v>
      </c>
      <c r="R334" s="31" t="inlineStr">
        <is>
          <t>Earnings / Momentum Support</t>
        </is>
      </c>
      <c r="S334" s="31" t="inlineStr">
        <is>
          <t>Nifty IT</t>
        </is>
      </c>
      <c r="T334" s="32" t="n">
        <v>-23.18</v>
      </c>
      <c r="U334" s="32" t="n">
        <v>-72.14</v>
      </c>
      <c r="V334" s="32" t="n">
        <v>-63.74</v>
      </c>
      <c r="W334" s="32" t="n">
        <v>3.03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Annuity, Lower One Time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Below 45</t>
        </is>
      </c>
      <c r="BA334" s="31">
        <f>IF(AZ334="Between 50 to 75",10,IF(AZ334="Above 75",0,0))</f>
        <v/>
      </c>
      <c r="BB334" s="31" t="inlineStr">
        <is>
          <t>Stage 4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Between 1.5 to 2</t>
        </is>
      </c>
      <c r="BU334" s="31">
        <f>IF(BT334="Above 2",0,IF(BT334="Between 1.5 to 2",5,IF(BT334="Less than 1.5",10,0)))</f>
        <v/>
      </c>
      <c r="BV334" s="31" t="inlineStr">
        <is>
          <t>Less than 50%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IF(B335=0,"",RANK(B335,$B$2:$B$362,0))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ENTERO</t>
        </is>
      </c>
      <c r="D335" s="33" t="inlineStr">
        <is>
          <t>Entero Healthcare Solutions Ltd</t>
        </is>
      </c>
      <c r="E335" s="31" t="inlineStr">
        <is>
          <t>healthcare</t>
        </is>
      </c>
      <c r="F335" s="31" t="inlineStr">
        <is>
          <t>trading</t>
        </is>
      </c>
      <c r="G335" s="31" t="inlineStr">
        <is>
          <t>midcap</t>
        </is>
      </c>
      <c r="H335" s="32" t="n">
        <v>5402.32</v>
      </c>
      <c r="I335" s="32" t="n">
        <v>1230</v>
      </c>
      <c r="J335" s="32" t="n">
        <v>-0.93</v>
      </c>
      <c r="K335" s="32" t="n">
        <v>51750</v>
      </c>
      <c r="L335" s="31" t="n">
        <v>8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54.18</v>
      </c>
      <c r="P335" s="32" t="n">
        <v>18.04</v>
      </c>
      <c r="Q335" s="32" t="n">
        <v>1036.76</v>
      </c>
      <c r="R335" s="31" t="inlineStr">
        <is>
          <t>Earnings / Momentum Support</t>
        </is>
      </c>
      <c r="S335" s="31" t="inlineStr">
        <is>
          <t>Nifty Pharma</t>
        </is>
      </c>
      <c r="T335" s="32" t="n">
        <v>15.1</v>
      </c>
      <c r="U335" s="32" t="n">
        <v>4.39</v>
      </c>
      <c r="V335" s="32" t="n">
        <v>-9.300000000000001</v>
      </c>
      <c r="W335" s="32" t="n">
        <v>0.28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Yes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Annuity, Lower One Time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Less than 50%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IF(B336=0,"",RANK(B336,$B$2:$B$362,0))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MUKANDLTD</t>
        </is>
      </c>
      <c r="D336" s="33" t="inlineStr">
        <is>
          <t>Mukand Limited</t>
        </is>
      </c>
      <c r="E336" s="31" t="inlineStr">
        <is>
          <t>metals &amp; mining</t>
        </is>
      </c>
      <c r="F336" s="31" t="inlineStr">
        <is>
          <t>steel - medium / small</t>
        </is>
      </c>
      <c r="G336" s="31" t="inlineStr">
        <is>
          <t>smallcap</t>
        </is>
      </c>
      <c r="H336" s="32" t="n">
        <v>1975.54</v>
      </c>
      <c r="I336" s="32" t="n">
        <v>141.65</v>
      </c>
      <c r="J336" s="32" t="n">
        <v>3.61</v>
      </c>
      <c r="K336" s="32" t="n">
        <v>801817</v>
      </c>
      <c r="L336" s="31" t="n">
        <v>13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58.51</v>
      </c>
      <c r="P336" s="32" t="n">
        <v>40.82</v>
      </c>
      <c r="Q336" s="32" t="n">
        <v>111.03</v>
      </c>
      <c r="R336" s="31" t="inlineStr">
        <is>
          <t>Near 52W High Breakout</t>
        </is>
      </c>
      <c r="S336" s="31" t="inlineStr">
        <is>
          <t>Nifty Metal</t>
        </is>
      </c>
      <c r="T336" s="32" t="n">
        <v>32.55</v>
      </c>
      <c r="U336" s="32" t="n">
        <v>3.62</v>
      </c>
      <c r="V336" s="32" t="n">
        <v>-21.82</v>
      </c>
      <c r="W336" s="32" t="n">
        <v>1.59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Cyclical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Above 40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Less than 1.5</t>
        </is>
      </c>
      <c r="BU336" s="31">
        <f>IF(BT336="Above 2",0,IF(BT336="Between 1.5 to 2",5,IF(BT336="Less than 1.5",10,0)))</f>
        <v/>
      </c>
      <c r="BV336" s="31" t="inlineStr">
        <is>
          <t>Negative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Between 0.7 to 1.2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IF(B337=0,"",RANK(B337,$B$2:$B$362,0))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SUMEETINDS</t>
        </is>
      </c>
      <c r="D337" s="31" t="inlineStr">
        <is>
          <t>Sumeet Industries Limited</t>
        </is>
      </c>
      <c r="E337" s="31" t="inlineStr">
        <is>
          <t>textiles</t>
        </is>
      </c>
      <c r="F337" s="31" t="inlineStr">
        <is>
          <t>textiles - manmade</t>
        </is>
      </c>
      <c r="G337" s="31" t="inlineStr">
        <is>
          <t>smallcap</t>
        </is>
      </c>
      <c r="H337" s="32" t="n">
        <v>1722.14</v>
      </c>
      <c r="I337" s="32" t="n">
        <v>32.98</v>
      </c>
      <c r="J337" s="32" t="n">
        <v>0.79</v>
      </c>
      <c r="K337" s="32" t="n">
        <v>7941798</v>
      </c>
      <c r="L337" s="31" t="n">
        <v>46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60.45</v>
      </c>
      <c r="P337" s="32" t="n">
        <v>12.88</v>
      </c>
      <c r="Q337" s="32" t="n">
        <v>23.94</v>
      </c>
      <c r="R337" s="31" t="inlineStr">
        <is>
          <t>Volume Spike / Accumulation</t>
        </is>
      </c>
      <c r="S337" s="31" t="inlineStr">
        <is>
          <t>Nifty 50</t>
        </is>
      </c>
      <c r="T337" s="32" t="n">
        <v>-3.56</v>
      </c>
      <c r="U337" s="32" t="n">
        <v>27.18</v>
      </c>
      <c r="V337" s="32" t="n">
        <v>31.88</v>
      </c>
      <c r="W337" s="32" t="n">
        <v>8.640000000000001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Negative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Between 0.7 to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IF(B338=0,"",RANK(B338,$B$2:$B$362,0))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DDEVPLSTIK</t>
        </is>
      </c>
      <c r="D338" s="33" t="inlineStr">
        <is>
          <t>DDev Plastiks Industries Ltd</t>
        </is>
      </c>
      <c r="E338" s="31" t="inlineStr">
        <is>
          <t>chemicals</t>
        </is>
      </c>
      <c r="F338" s="31" t="inlineStr">
        <is>
          <t>chemicals</t>
        </is>
      </c>
      <c r="G338" s="31" t="inlineStr">
        <is>
          <t>smallcap</t>
        </is>
      </c>
      <c r="H338" s="32" t="n">
        <v>3023.59</v>
      </c>
      <c r="I338" s="32" t="n">
        <v>291.35</v>
      </c>
      <c r="J338" s="32" t="n">
        <v>-0.29</v>
      </c>
      <c r="K338" s="32" t="n">
        <v>97352</v>
      </c>
      <c r="L338" s="31" t="n">
        <v>16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60.57</v>
      </c>
      <c r="P338" s="32" t="n">
        <v>14.69</v>
      </c>
      <c r="Q338" s="32" t="n">
        <v>224.04</v>
      </c>
      <c r="R338" s="31" t="inlineStr">
        <is>
          <t>Earnings / Momentum Support</t>
        </is>
      </c>
      <c r="S338" s="31" t="inlineStr">
        <is>
          <t>Nifty 50</t>
        </is>
      </c>
      <c r="T338" s="32" t="n">
        <v>-3.56</v>
      </c>
      <c r="U338" s="32" t="n">
        <v>-9.119999999999999</v>
      </c>
      <c r="V338" s="32" t="n">
        <v>-5.77</v>
      </c>
      <c r="W338" s="32" t="n">
        <v>2.59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Less than 50%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IF(B339=0,"",RANK(B339,$B$2:$B$362,0))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SBC</t>
        </is>
      </c>
      <c r="D339" s="31" t="inlineStr">
        <is>
          <t>SBC Exports Ltd</t>
        </is>
      </c>
      <c r="E339" s="31" t="inlineStr">
        <is>
          <t>textiles</t>
        </is>
      </c>
      <c r="F339" s="31" t="inlineStr">
        <is>
          <t>textiles - products</t>
        </is>
      </c>
      <c r="G339" s="31" t="inlineStr">
        <is>
          <t>smallcap</t>
        </is>
      </c>
      <c r="H339" s="32" t="n">
        <v>2013.81</v>
      </c>
      <c r="I339" s="32" t="n">
        <v>42.16</v>
      </c>
      <c r="J339" s="32" t="n">
        <v>-0.31</v>
      </c>
      <c r="K339" s="32" t="n">
        <v>9625766</v>
      </c>
      <c r="L339" s="31" t="n">
        <v>88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72.68000000000001</v>
      </c>
      <c r="P339" s="32" t="n">
        <v>38.71</v>
      </c>
      <c r="Q339" s="32" t="n">
        <v>36.42</v>
      </c>
      <c r="R339" s="31" t="inlineStr">
        <is>
          <t>Near 52W High Breakout</t>
        </is>
      </c>
      <c r="S339" s="31" t="inlineStr">
        <is>
          <t>Nifty 50</t>
        </is>
      </c>
      <c r="T339" s="32" t="n">
        <v>-3.56</v>
      </c>
      <c r="U339" s="32" t="n">
        <v>155.67</v>
      </c>
      <c r="V339" s="32" t="n">
        <v>165.12</v>
      </c>
      <c r="W339" s="32" t="n">
        <v>26.96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Blue sky scenario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Between 1.5 to 2</t>
        </is>
      </c>
      <c r="BU339" s="31">
        <f>IF(BT339="Above 2",0,IF(BT339="Between 1.5 to 2",5,IF(BT339="Less than 1.5",10,0)))</f>
        <v/>
      </c>
      <c r="BV339" s="31" t="inlineStr">
        <is>
          <t>Negative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More than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IF(B340=0,"",RANK(B340,$B$2:$B$362,0))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TITAGARH</t>
        </is>
      </c>
      <c r="D340" s="33" t="inlineStr">
        <is>
          <t>Titagarh Rail Systems Ltd</t>
        </is>
      </c>
      <c r="E340" s="31" t="inlineStr">
        <is>
          <t>industrials</t>
        </is>
      </c>
      <c r="F340" s="31" t="inlineStr">
        <is>
          <t>engineering</t>
        </is>
      </c>
      <c r="G340" s="31" t="inlineStr">
        <is>
          <t>midcap</t>
        </is>
      </c>
      <c r="H340" s="32" t="n">
        <v>11564.44</v>
      </c>
      <c r="I340" s="32" t="n">
        <v>879.1</v>
      </c>
      <c r="J340" s="32" t="n">
        <v>2.38</v>
      </c>
      <c r="K340" s="32" t="n">
        <v>719351</v>
      </c>
      <c r="L340" s="31" t="n">
        <v>19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57.62</v>
      </c>
      <c r="P340" s="32" t="n">
        <v>22.52</v>
      </c>
      <c r="Q340" s="32" t="n">
        <v>720.9299999999999</v>
      </c>
      <c r="R340" s="31" t="inlineStr">
        <is>
          <t>Earnings / Momentum Support</t>
        </is>
      </c>
      <c r="S340" s="31" t="inlineStr">
        <is>
          <t>Nifty 50</t>
        </is>
      </c>
      <c r="T340" s="32" t="n">
        <v>-3.56</v>
      </c>
      <c r="U340" s="32" t="n">
        <v>-4.96</v>
      </c>
      <c r="V340" s="32" t="n">
        <v>-1.44</v>
      </c>
      <c r="W340" s="32" t="n">
        <v>3.18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20 to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IF(B341=0,"",RANK(B341,$B$2:$B$362,0))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GRAVITA</t>
        </is>
      </c>
      <c r="D341" s="33" t="inlineStr">
        <is>
          <t>Gravita India Limited</t>
        </is>
      </c>
      <c r="E341" s="31" t="inlineStr">
        <is>
          <t>metals &amp; mining</t>
        </is>
      </c>
      <c r="F341" s="31" t="inlineStr">
        <is>
          <t>mining / minerals / metals</t>
        </is>
      </c>
      <c r="G341" s="31" t="inlineStr">
        <is>
          <t>midcap</t>
        </is>
      </c>
      <c r="H341" s="32" t="n">
        <v>13373.35</v>
      </c>
      <c r="I341" s="32" t="n">
        <v>1840.2</v>
      </c>
      <c r="J341" s="32" t="n">
        <v>1.56</v>
      </c>
      <c r="K341" s="32" t="n">
        <v>221066</v>
      </c>
      <c r="L341" s="31" t="n">
        <v>23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59.98</v>
      </c>
      <c r="P341" s="32" t="n">
        <v>14.95</v>
      </c>
      <c r="Q341" s="32" t="n">
        <v>1454.79</v>
      </c>
      <c r="R341" s="31" t="inlineStr">
        <is>
          <t>Near 52W High Breakout</t>
        </is>
      </c>
      <c r="S341" s="31" t="inlineStr">
        <is>
          <t>Nifty Metal</t>
        </is>
      </c>
      <c r="T341" s="32" t="n">
        <v>32.55</v>
      </c>
      <c r="U341" s="32" t="n">
        <v>6.82</v>
      </c>
      <c r="V341" s="32" t="n">
        <v>-19.41</v>
      </c>
      <c r="W341" s="32" t="n">
        <v>3.98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Less than 50%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IF(B342=0,"",RANK(B342,$B$2:$B$362,0))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SGIL</t>
        </is>
      </c>
      <c r="D342" s="31" t="inlineStr">
        <is>
          <t>Synergy Green Industries Ltd</t>
        </is>
      </c>
      <c r="E342" s="31" t="inlineStr">
        <is>
          <t>industrials</t>
        </is>
      </c>
      <c r="F342" s="31" t="inlineStr">
        <is>
          <t>castings &amp; forgings</t>
        </is>
      </c>
      <c r="G342" s="31" t="inlineStr">
        <is>
          <t>smallcap</t>
        </is>
      </c>
      <c r="H342" s="32" t="n">
        <v>925.27</v>
      </c>
      <c r="I342" s="32" t="n">
        <v>603</v>
      </c>
      <c r="J342" s="32" t="n">
        <v>1.29</v>
      </c>
      <c r="K342" s="32" t="n">
        <v>10039</v>
      </c>
      <c r="L342" s="31" t="n">
        <v>32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59.17</v>
      </c>
      <c r="P342" s="32" t="n">
        <v>17.66</v>
      </c>
      <c r="Q342" s="32" t="n">
        <v>451.38</v>
      </c>
      <c r="R342" s="31" t="inlineStr">
        <is>
          <t>Near 52W High Breakout</t>
        </is>
      </c>
      <c r="S342" s="31" t="inlineStr">
        <is>
          <t>Nifty 50</t>
        </is>
      </c>
      <c r="T342" s="32" t="n">
        <v>-3.56</v>
      </c>
      <c r="U342" s="32" t="n">
        <v>11.92</v>
      </c>
      <c r="V342" s="32" t="n">
        <v>16.06</v>
      </c>
      <c r="W342" s="32" t="n">
        <v>5.65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Blue sky scenario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Less than 12%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Less than 50% and Borrowings are increasing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More than 1.2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IF(B343=0,"",RANK(B343,$B$2:$B$362,0))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PNGJL</t>
        </is>
      </c>
      <c r="D343" s="31" t="inlineStr">
        <is>
          <t>P N Gadgil Jewellers Ltd</t>
        </is>
      </c>
      <c r="E343" s="31" t="inlineStr">
        <is>
          <t>consumer discretionary</t>
        </is>
      </c>
      <c r="F343" s="31" t="inlineStr">
        <is>
          <t>diamond cutting / jewellery</t>
        </is>
      </c>
      <c r="G343" s="31" t="inlineStr">
        <is>
          <t>midcap</t>
        </is>
      </c>
      <c r="H343" s="32" t="n">
        <v>8051.58</v>
      </c>
      <c r="I343" s="32" t="n">
        <v>595.45</v>
      </c>
      <c r="J343" s="32" t="n">
        <v>0.36</v>
      </c>
      <c r="K343" s="32" t="n">
        <v>269264</v>
      </c>
      <c r="L343" s="31" t="n">
        <v>2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51.55</v>
      </c>
      <c r="P343" s="32" t="n">
        <v>12.24</v>
      </c>
      <c r="Q343" s="32" t="n">
        <v>582.74</v>
      </c>
      <c r="R343" s="31" t="inlineStr">
        <is>
          <t>Earnings / Momentum Support</t>
        </is>
      </c>
      <c r="S343" s="31" t="inlineStr">
        <is>
          <t>Nifty 50</t>
        </is>
      </c>
      <c r="T343" s="32" t="n">
        <v>-3.56</v>
      </c>
      <c r="U343" s="32" t="n">
        <v>-2.6</v>
      </c>
      <c r="V343" s="32" t="n">
        <v>1</v>
      </c>
      <c r="W343" s="32" t="n">
        <v>-2.24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1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Less than 1.5</t>
        </is>
      </c>
      <c r="BU343" s="31">
        <f>IF(BT343="Above 2",0,IF(BT343="Between 1.5 to 2",5,IF(BT343="Less than 1.5",10,0)))</f>
        <v/>
      </c>
      <c r="BV343" s="31" t="inlineStr">
        <is>
          <t>Negative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Between 0.7 to 1.2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IF(B344=0,"",RANK(B344,$B$2:$B$362,0))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BHARTIHEXA</t>
        </is>
      </c>
      <c r="D344" s="33" t="inlineStr">
        <is>
          <t>Bharti Hexacom Ltd</t>
        </is>
      </c>
      <c r="E344" s="31" t="inlineStr">
        <is>
          <t>telecom-service</t>
        </is>
      </c>
      <c r="F344" s="31" t="inlineStr">
        <is>
          <t>telecommunications - service provider</t>
        </is>
      </c>
      <c r="G344" s="31" t="inlineStr">
        <is>
          <t>largecap</t>
        </is>
      </c>
      <c r="H344" s="32" t="n">
        <v>81090</v>
      </c>
      <c r="I344" s="32" t="n">
        <v>1626.7</v>
      </c>
      <c r="J344" s="32" t="n">
        <v>0.3</v>
      </c>
      <c r="K344" s="32" t="n">
        <v>219805</v>
      </c>
      <c r="L344" s="31" t="n">
        <v>7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56.61</v>
      </c>
      <c r="P344" s="32" t="n">
        <v>25.7</v>
      </c>
      <c r="Q344" s="32" t="n">
        <v>1353.57</v>
      </c>
      <c r="R344" s="31" t="inlineStr">
        <is>
          <t>Earnings / Momentum Support</t>
        </is>
      </c>
      <c r="S344" s="31" t="inlineStr">
        <is>
          <t>Nifty 50</t>
        </is>
      </c>
      <c r="T344" s="32" t="n">
        <v>-3.56</v>
      </c>
      <c r="U344" s="32" t="n">
        <v>-8.01</v>
      </c>
      <c r="V344" s="32" t="n">
        <v>-4.61</v>
      </c>
      <c r="W344" s="32" t="n">
        <v>-0.15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Oligopoly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Yes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20 to 40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1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Between 0.7 to 1.2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IF(B345=0,"",RANK(B345,$B$2:$B$362,0))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KRYSTAL</t>
        </is>
      </c>
      <c r="D345" s="33" t="inlineStr">
        <is>
          <t>Krystal Integrated Services Ltd</t>
        </is>
      </c>
      <c r="E345" s="31" t="inlineStr">
        <is>
          <t>miscellaneous</t>
        </is>
      </c>
      <c r="F345" s="31" t="inlineStr">
        <is>
          <t>miscellaneous</t>
        </is>
      </c>
      <c r="G345" s="31" t="inlineStr">
        <is>
          <t>smallcap</t>
        </is>
      </c>
      <c r="H345" s="32" t="n">
        <v>838.6</v>
      </c>
      <c r="I345" s="32" t="n">
        <v>601</v>
      </c>
      <c r="J345" s="32" t="n">
        <v>0.13</v>
      </c>
      <c r="K345" s="32" t="n">
        <v>4994</v>
      </c>
      <c r="L345" s="31" t="n">
        <v>2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53.35</v>
      </c>
      <c r="P345" s="32" t="n">
        <v>21.09</v>
      </c>
      <c r="Q345" s="32" t="n">
        <v>502.08</v>
      </c>
      <c r="R345" s="31" t="inlineStr">
        <is>
          <t>Earnings / Momentum Support</t>
        </is>
      </c>
      <c r="S345" s="31" t="inlineStr">
        <is>
          <t>Nifty 50</t>
        </is>
      </c>
      <c r="T345" s="32" t="n">
        <v>-3.56</v>
      </c>
      <c r="U345" s="32" t="n">
        <v>-10.77</v>
      </c>
      <c r="V345" s="32" t="n">
        <v>-7.47</v>
      </c>
      <c r="W345" s="32" t="n">
        <v>-1.57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20 to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Less than 12%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Less than 50%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IF(B346=0,"",RANK(B346,$B$2:$B$362,0))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ASIANENE</t>
        </is>
      </c>
      <c r="D346" s="31" t="inlineStr">
        <is>
          <t>Asian Energy Services Ltd</t>
        </is>
      </c>
      <c r="E346" s="31" t="inlineStr">
        <is>
          <t>energy</t>
        </is>
      </c>
      <c r="F346" s="31" t="inlineStr">
        <is>
          <t>oil drilling / allied services</t>
        </is>
      </c>
      <c r="G346" s="31" t="inlineStr">
        <is>
          <t>smallcap</t>
        </is>
      </c>
      <c r="H346" s="32" t="n">
        <v>1718.64</v>
      </c>
      <c r="I346" s="32" t="n">
        <v>366.9</v>
      </c>
      <c r="J346" s="32" t="n">
        <v>3.78</v>
      </c>
      <c r="K346" s="32" t="n">
        <v>363071</v>
      </c>
      <c r="L346" s="31" t="n">
        <v>51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59.41</v>
      </c>
      <c r="P346" s="32" t="n">
        <v>12.26</v>
      </c>
      <c r="Q346" s="32" t="n">
        <v>275.24</v>
      </c>
      <c r="R346" s="31" t="inlineStr">
        <is>
          <t>Near 52W High Breakout</t>
        </is>
      </c>
      <c r="S346" s="31" t="inlineStr">
        <is>
          <t>Nifty Energy</t>
        </is>
      </c>
      <c r="T346" s="32" t="n">
        <v>8.69</v>
      </c>
      <c r="U346" s="32" t="n">
        <v>21.29</v>
      </c>
      <c r="V346" s="32" t="n">
        <v>11.59</v>
      </c>
      <c r="W346" s="32" t="n">
        <v>9.630000000000001</v>
      </c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Oligopoly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Yes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Cyclical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Yes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Less than 1.5</t>
        </is>
      </c>
      <c r="BU346" s="31">
        <f>IF(BT346="Above 2",0,IF(BT346="Between 1.5 to 2",5,IF(BT346="Less than 1.5",10,0)))</f>
        <v/>
      </c>
      <c r="BV346" s="31" t="inlineStr">
        <is>
          <t>Between 50% to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IF(B347=0,"",RANK(B347,$B$2:$B$362,0))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3" t="inlineStr">
        <is>
          <t>RAJRATAN</t>
        </is>
      </c>
      <c r="D347" s="33" t="inlineStr">
        <is>
          <t>Rajratan Global Wire Ltd</t>
        </is>
      </c>
      <c r="E347" s="31" t="inlineStr">
        <is>
          <t>metals &amp; mining</t>
        </is>
      </c>
      <c r="F347" s="31" t="inlineStr">
        <is>
          <t>steel - medium / small</t>
        </is>
      </c>
      <c r="G347" s="31" t="inlineStr">
        <is>
          <t>smallcap</t>
        </is>
      </c>
      <c r="H347" s="32" t="n">
        <v>2422.54</v>
      </c>
      <c r="I347" s="32" t="n">
        <v>486.7</v>
      </c>
      <c r="J347" s="32" t="n">
        <v>2</v>
      </c>
      <c r="K347" s="32" t="n">
        <v>75043</v>
      </c>
      <c r="L347" s="31" t="n">
        <v>50</v>
      </c>
      <c r="M347" s="31" t="inlineStr">
        <is>
          <t>Underperforming</t>
        </is>
      </c>
      <c r="N347" s="32">
        <f>IF(M347="Underperforming",-5,IF(L347&gt;=95,15,IF(L347&gt;=90,10,IF(L347&gt;=80,5,0))))</f>
        <v/>
      </c>
      <c r="O347" s="32" t="n">
        <v>60.84</v>
      </c>
      <c r="P347" s="32" t="n">
        <v>9.390000000000001</v>
      </c>
      <c r="Q347" s="32" t="n">
        <v>362.94</v>
      </c>
      <c r="R347" s="31" t="inlineStr">
        <is>
          <t>Earnings / Momentum Support</t>
        </is>
      </c>
      <c r="S347" s="31" t="inlineStr">
        <is>
          <t>Nifty Metal</t>
        </is>
      </c>
      <c r="T347" s="32" t="n">
        <v>32.55</v>
      </c>
      <c r="U347" s="32" t="n">
        <v>15.99</v>
      </c>
      <c r="V347" s="32" t="n">
        <v>-12.49</v>
      </c>
      <c r="W347" s="32" t="n">
        <v>9.369999999999999</v>
      </c>
      <c r="X347" s="31" t="inlineStr">
        <is>
          <t>Cyclical in an Upturn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Cyclical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Volatile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Between 50% to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IF(B348=0,"",RANK(B348,$B$2:$B$362,0))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DEEPAKNTR</t>
        </is>
      </c>
      <c r="D348" s="33" t="inlineStr">
        <is>
          <t>Deepak Nitrite Limited</t>
        </is>
      </c>
      <c r="E348" s="31" t="inlineStr">
        <is>
          <t>chemicals</t>
        </is>
      </c>
      <c r="F348" s="31" t="inlineStr">
        <is>
          <t>chemicals</t>
        </is>
      </c>
      <c r="G348" s="31" t="inlineStr">
        <is>
          <t>largecap</t>
        </is>
      </c>
      <c r="H348" s="32" t="n">
        <v>22768.09</v>
      </c>
      <c r="I348" s="32" t="n">
        <v>1697</v>
      </c>
      <c r="J348" s="32" t="n">
        <v>1.66</v>
      </c>
      <c r="K348" s="32" t="n">
        <v>450134</v>
      </c>
      <c r="L348" s="31" t="n">
        <v>6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53.41</v>
      </c>
      <c r="P348" s="32" t="n">
        <v>12.67</v>
      </c>
      <c r="Q348" s="32" t="n">
        <v>1544.68</v>
      </c>
      <c r="R348" s="31" t="inlineStr">
        <is>
          <t>Earnings / Momentum Support</t>
        </is>
      </c>
      <c r="S348" s="31" t="inlineStr">
        <is>
          <t>Nifty 50</t>
        </is>
      </c>
      <c r="T348" s="32" t="n">
        <v>-3.56</v>
      </c>
      <c r="U348" s="32" t="n">
        <v>-12.56</v>
      </c>
      <c r="V348" s="32" t="n">
        <v>-9.33</v>
      </c>
      <c r="W348" s="32" t="n">
        <v>-0.26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Between 50% to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IF(B349=0,"",RANK(B349,$B$2:$B$362,0))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VOLTAS</t>
        </is>
      </c>
      <c r="D349" s="31" t="inlineStr">
        <is>
          <t>Voltas Limited</t>
        </is>
      </c>
      <c r="E349" s="31" t="inlineStr">
        <is>
          <t>consumer discretionary</t>
        </is>
      </c>
      <c r="F349" s="31" t="inlineStr">
        <is>
          <t>air-conditioners</t>
        </is>
      </c>
      <c r="G349" s="31" t="inlineStr">
        <is>
          <t>largecap</t>
        </is>
      </c>
      <c r="H349" s="32" t="n">
        <v>44963.93</v>
      </c>
      <c r="I349" s="32" t="n">
        <v>1377.4</v>
      </c>
      <c r="J349" s="32" t="n">
        <v>1.36</v>
      </c>
      <c r="K349" s="32" t="n">
        <v>671247</v>
      </c>
      <c r="L349" s="31" t="n">
        <v>5</v>
      </c>
      <c r="M349" s="31" t="inlineStr">
        <is>
          <t>Outperforming</t>
        </is>
      </c>
      <c r="N349" s="32">
        <f>IF(M349="Underperforming",-5,IF(L349&gt;=95,15,IF(L349&gt;=90,10,IF(L349&gt;=80,5,0))))</f>
        <v/>
      </c>
      <c r="O349" s="32" t="n">
        <v>52.88</v>
      </c>
      <c r="P349" s="32" t="n">
        <v>12.27</v>
      </c>
      <c r="Q349" s="32" t="n">
        <v>1167.7</v>
      </c>
      <c r="R349" s="31" t="inlineStr">
        <is>
          <t>Earnings / Momentum Support</t>
        </is>
      </c>
      <c r="S349" s="31" t="inlineStr">
        <is>
          <t>Nifty 50</t>
        </is>
      </c>
      <c r="T349" s="32" t="n">
        <v>-3.56</v>
      </c>
      <c r="U349" s="32" t="n">
        <v>0.34</v>
      </c>
      <c r="V349" s="32" t="n">
        <v>4.05</v>
      </c>
      <c r="W349" s="32" t="n">
        <v>-0.71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1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Less than 50%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IF(B350=0,"",RANK(B350,$B$2:$B$362,0))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GANDHITUBE</t>
        </is>
      </c>
      <c r="D350" s="33" t="inlineStr">
        <is>
          <t>Gandhi Special Tubes Limited</t>
        </is>
      </c>
      <c r="E350" s="31" t="inlineStr">
        <is>
          <t>metals &amp; mining</t>
        </is>
      </c>
      <c r="F350" s="31" t="inlineStr">
        <is>
          <t>steel - medium / small</t>
        </is>
      </c>
      <c r="G350" s="31" t="inlineStr">
        <is>
          <t>smallcap</t>
        </is>
      </c>
      <c r="H350" s="32" t="n">
        <v>1052.85</v>
      </c>
      <c r="I350" s="32" t="n">
        <v>874</v>
      </c>
      <c r="J350" s="32" t="n">
        <v>0.88</v>
      </c>
      <c r="K350" s="32" t="n">
        <v>4552</v>
      </c>
      <c r="L350" s="31" t="n">
        <v>28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54.62</v>
      </c>
      <c r="P350" s="32" t="n">
        <v>11.31</v>
      </c>
      <c r="Q350" s="32" t="n">
        <v>761.84</v>
      </c>
      <c r="R350" s="31" t="inlineStr">
        <is>
          <t>Earnings / Momentum Support</t>
        </is>
      </c>
      <c r="S350" s="31" t="inlineStr">
        <is>
          <t>Nifty Metal</t>
        </is>
      </c>
      <c r="T350" s="32" t="n">
        <v>32.55</v>
      </c>
      <c r="U350" s="32" t="n">
        <v>21.55</v>
      </c>
      <c r="V350" s="32" t="n">
        <v>-8.300000000000001</v>
      </c>
      <c r="W350" s="32" t="n">
        <v>4.78</v>
      </c>
      <c r="X350" s="31" t="inlineStr">
        <is>
          <t>Cyclical in an Upturn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Cyclical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Less than 12%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Between 50% to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IF(B351=0,"",RANK(B351,$B$2:$B$362,0))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BLUESTARCO</t>
        </is>
      </c>
      <c r="D351" s="33" t="inlineStr">
        <is>
          <t>Blue Star Limited</t>
        </is>
      </c>
      <c r="E351" s="31" t="inlineStr">
        <is>
          <t>consumer discretionary</t>
        </is>
      </c>
      <c r="F351" s="31" t="inlineStr">
        <is>
          <t>air-conditioners</t>
        </is>
      </c>
      <c r="G351" s="31" t="inlineStr">
        <is>
          <t>largecap</t>
        </is>
      </c>
      <c r="H351" s="32" t="n">
        <v>35904.45</v>
      </c>
      <c r="I351" s="32" t="n">
        <v>1753.9</v>
      </c>
      <c r="J351" s="32" t="n">
        <v>0.44</v>
      </c>
      <c r="K351" s="32" t="n">
        <v>247095</v>
      </c>
      <c r="L351" s="31" t="n">
        <v>2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52.41</v>
      </c>
      <c r="P351" s="32" t="n">
        <v>20</v>
      </c>
      <c r="Q351" s="32" t="n">
        <v>1488.35</v>
      </c>
      <c r="R351" s="31" t="inlineStr">
        <is>
          <t>Earnings / Momentum Support</t>
        </is>
      </c>
      <c r="S351" s="31" t="inlineStr">
        <is>
          <t>Nifty 500</t>
        </is>
      </c>
      <c r="T351" s="32" t="n">
        <v>-0.05</v>
      </c>
      <c r="U351" s="32" t="n">
        <v>-4.95</v>
      </c>
      <c r="V351" s="32" t="n">
        <v>-4.91</v>
      </c>
      <c r="W351" s="32" t="n">
        <v>-2.05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1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Between 12 to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Less than 50%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IF(B352=0,"",RANK(B352,$B$2:$B$362,0))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TVSMOTOR</t>
        </is>
      </c>
      <c r="D352" s="31" t="inlineStr">
        <is>
          <t>Tvs Motor Company Limited</t>
        </is>
      </c>
      <c r="E352" s="31" t="inlineStr">
        <is>
          <t>auto</t>
        </is>
      </c>
      <c r="F352" s="31" t="inlineStr">
        <is>
          <t>automobiles - motorcycles / mopeds</t>
        </is>
      </c>
      <c r="G352" s="31" t="inlineStr">
        <is>
          <t>largecap</t>
        </is>
      </c>
      <c r="H352" s="32" t="n">
        <v>171430.43</v>
      </c>
      <c r="I352" s="32" t="n">
        <v>3612.3</v>
      </c>
      <c r="J352" s="32" t="n">
        <v>0.11</v>
      </c>
      <c r="K352" s="32" t="n">
        <v>709493</v>
      </c>
      <c r="L352" s="31" t="n">
        <v>28</v>
      </c>
      <c r="M352" s="31" t="inlineStr">
        <is>
          <t>Outperforming</t>
        </is>
      </c>
      <c r="N352" s="32">
        <f>IF(M352="Underperforming",-5,IF(L352&gt;=95,15,IF(L352&gt;=90,10,IF(L352&gt;=80,5,0))))</f>
        <v/>
      </c>
      <c r="O352" s="32" t="n">
        <v>53.48</v>
      </c>
      <c r="P352" s="32" t="n">
        <v>9.359999999999999</v>
      </c>
      <c r="Q352" s="32" t="n">
        <v>3104.84</v>
      </c>
      <c r="R352" s="31" t="inlineStr">
        <is>
          <t>Earnings / Momentum Support</t>
        </is>
      </c>
      <c r="S352" s="31" t="inlineStr">
        <is>
          <t>Nifty Auto</t>
        </is>
      </c>
      <c r="T352" s="32" t="n">
        <v>11.51</v>
      </c>
      <c r="U352" s="32" t="n">
        <v>27.22</v>
      </c>
      <c r="V352" s="32" t="n">
        <v>14.09</v>
      </c>
      <c r="W352" s="32" t="n">
        <v>4.84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2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Between 12 to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Less than 50% and Borrowings are increasing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More than 1.2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IF(B353=0,"",RANK(B353,$B$2:$B$362,0))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TVSSCS</t>
        </is>
      </c>
      <c r="D353" s="31" t="inlineStr">
        <is>
          <t>TVS Supply Chain Solutions Ltd</t>
        </is>
      </c>
      <c r="E353" s="31" t="inlineStr">
        <is>
          <t>transportation</t>
        </is>
      </c>
      <c r="F353" s="31" t="inlineStr">
        <is>
          <t>miscellaneous</t>
        </is>
      </c>
      <c r="G353" s="31" t="inlineStr">
        <is>
          <t>midcap</t>
        </is>
      </c>
      <c r="H353" s="32" t="n">
        <v>6153.58</v>
      </c>
      <c r="I353" s="32" t="n">
        <v>138.59</v>
      </c>
      <c r="J353" s="32" t="n">
        <v>-0.64</v>
      </c>
      <c r="K353" s="32" t="n">
        <v>278444</v>
      </c>
      <c r="L353" s="31" t="n">
        <v>32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59.51</v>
      </c>
      <c r="P353" s="32" t="n">
        <v>14.69</v>
      </c>
      <c r="Q353" s="32" t="n">
        <v>107.91</v>
      </c>
      <c r="R353" s="31" t="inlineStr">
        <is>
          <t>Near 52W High Breakout</t>
        </is>
      </c>
      <c r="S353" s="31" t="inlineStr">
        <is>
          <t>Nifty 50</t>
        </is>
      </c>
      <c r="T353" s="32" t="n">
        <v>-3.56</v>
      </c>
      <c r="U353" s="32" t="n">
        <v>3.16</v>
      </c>
      <c r="V353" s="32" t="n">
        <v>6.97</v>
      </c>
      <c r="W353" s="32" t="n">
        <v>5.45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Yes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2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Yes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More than 1.2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IF(B354=0,"",RANK(B354,$B$2:$B$362,0))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ETHOSLTD</t>
        </is>
      </c>
      <c r="D354" s="33" t="inlineStr">
        <is>
          <t>Ethos Ltd</t>
        </is>
      </c>
      <c r="E354" s="31" t="inlineStr">
        <is>
          <t>consumer discretionary</t>
        </is>
      </c>
      <c r="F354" s="31" t="inlineStr">
        <is>
          <t>trading</t>
        </is>
      </c>
      <c r="G354" s="31" t="inlineStr">
        <is>
          <t>midcap</t>
        </is>
      </c>
      <c r="H354" s="32" t="n">
        <v>7079.28</v>
      </c>
      <c r="I354" s="32" t="n">
        <v>2625.8</v>
      </c>
      <c r="J354" s="32" t="n">
        <v>-0.75</v>
      </c>
      <c r="K354" s="32" t="n">
        <v>35409</v>
      </c>
      <c r="L354" s="31" t="n">
        <v>11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57.42</v>
      </c>
      <c r="P354" s="32" t="n">
        <v>7.85</v>
      </c>
      <c r="Q354" s="32" t="n">
        <v>2025.59</v>
      </c>
      <c r="R354" s="31" t="inlineStr">
        <is>
          <t>Earnings / Momentum Support</t>
        </is>
      </c>
      <c r="S354" s="31" t="inlineStr">
        <is>
          <t>Nifty 50</t>
        </is>
      </c>
      <c r="T354" s="32" t="n">
        <v>-3.56</v>
      </c>
      <c r="U354" s="32" t="n">
        <v>-6.52</v>
      </c>
      <c r="V354" s="32" t="n">
        <v>-3.07</v>
      </c>
      <c r="W354" s="32" t="n">
        <v>0.96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1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Less than 50%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IF(B355=0,"",RANK(B355,$B$2:$B$362,0))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PANAMAPET</t>
        </is>
      </c>
      <c r="D355" s="31" t="inlineStr">
        <is>
          <t>Panama Petrochem Limited</t>
        </is>
      </c>
      <c r="E355" s="31" t="inlineStr">
        <is>
          <t>energy</t>
        </is>
      </c>
      <c r="F355" s="31" t="inlineStr">
        <is>
          <t>petrochemicals</t>
        </is>
      </c>
      <c r="G355" s="31" t="inlineStr">
        <is>
          <t>smallcap</t>
        </is>
      </c>
      <c r="H355" s="32" t="n">
        <v>2523.19</v>
      </c>
      <c r="I355" s="32" t="n">
        <v>426</v>
      </c>
      <c r="J355" s="32" t="n">
        <v>2.13</v>
      </c>
      <c r="K355" s="32" t="n">
        <v>168317</v>
      </c>
      <c r="L355" s="31" t="n">
        <v>75</v>
      </c>
      <c r="M355" s="31" t="inlineStr">
        <is>
          <t>Outperforming</t>
        </is>
      </c>
      <c r="N355" s="32">
        <f>IF(M355="Underperforming",-5,IF(L355&gt;=95,15,IF(L355&gt;=90,10,IF(L355&gt;=80,5,0))))</f>
        <v/>
      </c>
      <c r="O355" s="32" t="n">
        <v>64.73</v>
      </c>
      <c r="P355" s="32" t="n">
        <v>35.45</v>
      </c>
      <c r="Q355" s="32" t="n">
        <v>354.39</v>
      </c>
      <c r="R355" s="31" t="inlineStr">
        <is>
          <t>Earnings / Momentum Support</t>
        </is>
      </c>
      <c r="S355" s="31" t="inlineStr">
        <is>
          <t>Nifty Energy</t>
        </is>
      </c>
      <c r="T355" s="32" t="n">
        <v>8.69</v>
      </c>
      <c r="U355" s="32" t="n">
        <v>19.16</v>
      </c>
      <c r="V355" s="32" t="n">
        <v>9.630000000000001</v>
      </c>
      <c r="W355" s="32" t="n">
        <v>17.38</v>
      </c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Oligopoly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Yes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Cyclical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20 to 40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2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Less than 1.5</t>
        </is>
      </c>
      <c r="BU355" s="31">
        <f>IF(BT355="Above 2",0,IF(BT355="Between 1.5 to 2",5,IF(BT355="Less than 1.5",10,0)))</f>
        <v/>
      </c>
      <c r="BV355" s="31" t="inlineStr">
        <is>
          <t>Negative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IF(B356=0,"",RANK(B356,$B$2:$B$362,0))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AMBER</t>
        </is>
      </c>
      <c r="D356" s="31" t="inlineStr">
        <is>
          <t>Amber Enterprises India Ltd</t>
        </is>
      </c>
      <c r="E356" s="31" t="inlineStr">
        <is>
          <t>consumer discretionary</t>
        </is>
      </c>
      <c r="F356" s="31" t="inlineStr">
        <is>
          <t>air-conditioners</t>
        </is>
      </c>
      <c r="G356" s="31" t="inlineStr">
        <is>
          <t>largecap</t>
        </is>
      </c>
      <c r="H356" s="32" t="n">
        <v>27401.99</v>
      </c>
      <c r="I356" s="32" t="n">
        <v>7850.5</v>
      </c>
      <c r="J356" s="32" t="n">
        <v>0.82</v>
      </c>
      <c r="K356" s="32" t="n">
        <v>173196</v>
      </c>
      <c r="L356" s="31" t="n">
        <v>14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53.55</v>
      </c>
      <c r="P356" s="32" t="n">
        <v>9.69</v>
      </c>
      <c r="Q356" s="32" t="n">
        <v>6914.76</v>
      </c>
      <c r="R356" s="31" t="inlineStr">
        <is>
          <t>Earnings / Momentum Support</t>
        </is>
      </c>
      <c r="S356" s="31" t="inlineStr">
        <is>
          <t>Nifty 50</t>
        </is>
      </c>
      <c r="T356" s="32" t="n">
        <v>-3.56</v>
      </c>
      <c r="U356" s="32" t="n">
        <v>3.25</v>
      </c>
      <c r="V356" s="32" t="n">
        <v>7.06</v>
      </c>
      <c r="W356" s="32" t="n">
        <v>1.96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Less than 50%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IF(B357=0,"",RANK(B357,$B$2:$B$362,0))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BALAMINES</t>
        </is>
      </c>
      <c r="D357" s="31" t="inlineStr">
        <is>
          <t>Balaji Amines Limited</t>
        </is>
      </c>
      <c r="E357" s="31" t="inlineStr">
        <is>
          <t>chemicals</t>
        </is>
      </c>
      <c r="F357" s="31" t="inlineStr">
        <is>
          <t>chemicals</t>
        </is>
      </c>
      <c r="G357" s="31" t="inlineStr">
        <is>
          <t>midcap</t>
        </is>
      </c>
      <c r="H357" s="32" t="n">
        <v>7489.49</v>
      </c>
      <c r="I357" s="32" t="n">
        <v>2309</v>
      </c>
      <c r="J357" s="32" t="n">
        <v>-0.11</v>
      </c>
      <c r="K357" s="32" t="n">
        <v>150648</v>
      </c>
      <c r="L357" s="31" t="n">
        <v>92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74.61</v>
      </c>
      <c r="P357" s="32" t="n">
        <v>57.04</v>
      </c>
      <c r="Q357" s="32" t="n">
        <v>1790.79</v>
      </c>
      <c r="R357" s="31" t="inlineStr">
        <is>
          <t>Near 52W High Breakout</t>
        </is>
      </c>
      <c r="S357" s="31" t="inlineStr">
        <is>
          <t>Nifty 50</t>
        </is>
      </c>
      <c r="T357" s="32" t="n">
        <v>-3.56</v>
      </c>
      <c r="U357" s="32" t="n">
        <v>32.84</v>
      </c>
      <c r="V357" s="32" t="n">
        <v>37.75</v>
      </c>
      <c r="W357" s="32" t="n">
        <v>33.8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Duopoly That Cooperate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Shallow Cyclical (2 to 3 Years Growth)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Yes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20 to 40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4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Downtrend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Overhead supply in last 2 years in last 2 years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No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Yes</t>
        </is>
      </c>
      <c r="BS357" s="31">
        <f>IF(BR357="NO",5,0)</f>
        <v/>
      </c>
      <c r="BT357" s="31" t="inlineStr">
        <is>
          <t>Less than 1.5</t>
        </is>
      </c>
      <c r="BU357" s="31">
        <f>IF(BT357="Above 2",0,IF(BT357="Between 1.5 to 2",5,IF(BT357="Less than 1.5",10,0)))</f>
        <v/>
      </c>
      <c r="BV357" s="31" t="inlineStr">
        <is>
          <t>Between 50% to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IF(B358=0,"",RANK(B358,$B$2:$B$362,0))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3" t="inlineStr">
        <is>
          <t>KIRLOSBROS</t>
        </is>
      </c>
      <c r="D358" s="33" t="inlineStr">
        <is>
          <t>Kirloskar Brothers Limited</t>
        </is>
      </c>
      <c r="E358" s="31" t="inlineStr">
        <is>
          <t>industrials</t>
        </is>
      </c>
      <c r="F358" s="31" t="inlineStr">
        <is>
          <t>pumps</t>
        </is>
      </c>
      <c r="G358" s="31" t="inlineStr">
        <is>
          <t>midcap</t>
        </is>
      </c>
      <c r="H358" s="32" t="n">
        <v>15325.13</v>
      </c>
      <c r="I358" s="32" t="n">
        <v>1925</v>
      </c>
      <c r="J358" s="32" t="n">
        <v>-0.25</v>
      </c>
      <c r="K358" s="32" t="n">
        <v>323114</v>
      </c>
      <c r="L358" s="31" t="n">
        <v>10</v>
      </c>
      <c r="M358" s="31" t="inlineStr">
        <is>
          <t>Underperforming</t>
        </is>
      </c>
      <c r="N358" s="32">
        <f>IF(M358="Underperforming",-5,IF(L358&gt;=95,15,IF(L358&gt;=90,10,IF(L358&gt;=80,5,0))))</f>
        <v/>
      </c>
      <c r="O358" s="32" t="n">
        <v>59.33</v>
      </c>
      <c r="P358" s="32" t="n">
        <v>17.98</v>
      </c>
      <c r="Q358" s="32" t="n">
        <v>1539.63</v>
      </c>
      <c r="R358" s="31" t="inlineStr">
        <is>
          <t>Earnings / Momentum Support</t>
        </is>
      </c>
      <c r="S358" s="31" t="inlineStr">
        <is>
          <t>Nifty 50</t>
        </is>
      </c>
      <c r="T358" s="32" t="n">
        <v>-3.56</v>
      </c>
      <c r="U358" s="32" t="n">
        <v>-9.119999999999999</v>
      </c>
      <c r="V358" s="32" t="n">
        <v>-5.76</v>
      </c>
      <c r="W358" s="32" t="n">
        <v>0.55</v>
      </c>
      <c r="X358" s="31" t="inlineStr">
        <is>
          <t>Cyclical in an Upturn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2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Between 50% to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IF(B359=0,"",RANK(B359,$B$2:$B$362,0))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BHARTIARTL</t>
        </is>
      </c>
      <c r="D359" s="31" t="inlineStr">
        <is>
          <t>Bharti Airtel Limited</t>
        </is>
      </c>
      <c r="E359" s="31" t="inlineStr">
        <is>
          <t>telecom-service</t>
        </is>
      </c>
      <c r="F359" s="31" t="inlineStr">
        <is>
          <t>telecommunications - service provider</t>
        </is>
      </c>
      <c r="G359" s="31" t="inlineStr">
        <is>
          <t>largecap</t>
        </is>
      </c>
      <c r="H359" s="32" t="n">
        <v>1208599.53</v>
      </c>
      <c r="I359" s="32" t="n">
        <v>1918.3</v>
      </c>
      <c r="J359" s="32" t="n">
        <v>-0.9399999999999999</v>
      </c>
      <c r="K359" s="32" t="n">
        <v>5763165</v>
      </c>
      <c r="L359" s="31" t="n">
        <v>11</v>
      </c>
      <c r="M359" s="31" t="inlineStr">
        <is>
          <t>Outperforming</t>
        </is>
      </c>
      <c r="N359" s="32">
        <f>IF(M359="Underperforming",-5,IF(L359&gt;=95,15,IF(L359&gt;=90,10,IF(L359&gt;=80,5,0))))</f>
        <v/>
      </c>
      <c r="O359" s="32" t="n">
        <v>52.25</v>
      </c>
      <c r="P359" s="32" t="n">
        <v>19.6</v>
      </c>
      <c r="Q359" s="32" t="n">
        <v>1661.35</v>
      </c>
      <c r="R359" s="31" t="inlineStr">
        <is>
          <t>Earnings / Momentum Support</t>
        </is>
      </c>
      <c r="S359" s="31" t="inlineStr">
        <is>
          <t>Nifty 50</t>
        </is>
      </c>
      <c r="T359" s="32" t="n">
        <v>-3.56</v>
      </c>
      <c r="U359" s="32" t="n">
        <v>0.91</v>
      </c>
      <c r="V359" s="32" t="n">
        <v>4.64</v>
      </c>
      <c r="W359" s="32" t="n">
        <v>1.08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Oligopoly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Yes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1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Yes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Between 0.7 to 1.2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IF(B360=0,"",RANK(B360,$B$2:$B$362,0))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FLUOROCHEM</t>
        </is>
      </c>
      <c r="D360" s="31" t="inlineStr">
        <is>
          <t>Gujarat Fluorochemicals Ltd</t>
        </is>
      </c>
      <c r="E360" s="31" t="inlineStr">
        <is>
          <t>chemicals</t>
        </is>
      </c>
      <c r="F360" s="31" t="inlineStr">
        <is>
          <t>chemicals</t>
        </is>
      </c>
      <c r="G360" s="31" t="inlineStr">
        <is>
          <t>largecap</t>
        </is>
      </c>
      <c r="H360" s="32" t="n">
        <v>43104.04</v>
      </c>
      <c r="I360" s="32" t="n">
        <v>4131.6</v>
      </c>
      <c r="J360" s="32" t="n">
        <v>5.29</v>
      </c>
      <c r="K360" s="32" t="n">
        <v>541688</v>
      </c>
      <c r="L360" s="31" t="n">
        <v>46</v>
      </c>
      <c r="M360" s="31" t="inlineStr">
        <is>
          <t>Outperforming</t>
        </is>
      </c>
      <c r="N360" s="32">
        <f>IF(M360="Underperforming",-5,IF(L360&gt;=95,15,IF(L360&gt;=90,10,IF(L360&gt;=80,5,0))))</f>
        <v/>
      </c>
      <c r="O360" s="32" t="n">
        <v>66.56</v>
      </c>
      <c r="P360" s="32" t="n">
        <v>17.85</v>
      </c>
      <c r="Q360" s="32" t="n">
        <v>3409.76</v>
      </c>
      <c r="R360" s="31" t="inlineStr">
        <is>
          <t>Near 52W High Breakout</t>
        </is>
      </c>
      <c r="S360" s="31" t="inlineStr">
        <is>
          <t>Nifty 50</t>
        </is>
      </c>
      <c r="T360" s="32" t="n">
        <v>-3.56</v>
      </c>
      <c r="U360" s="32" t="n">
        <v>18.16</v>
      </c>
      <c r="V360" s="32" t="n">
        <v>22.53</v>
      </c>
      <c r="W360" s="32" t="n">
        <v>8.550000000000001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Oligopoly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Shallow Cyclical (2 to 3 Years Growth)</t>
        </is>
      </c>
      <c r="AG360" s="31">
        <f>IF(AF360="Structural (10 Years Consistency)",10,IF(AF360="Shallow Cyclical (2 to 3 years growth)",5,0))</f>
        <v/>
      </c>
      <c r="AH360" s="31" t="inlineStr">
        <is>
          <t>Yes due to Product Mix change or Operating Leverage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Yes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Allocated capital in Non-core Areas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Above 40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3</t>
        </is>
      </c>
      <c r="BC360" s="31">
        <f>IF(BB360="Stage 2",20,IF(BB360="Stage 1",0,IF(BB360="Stage 3",5,IF(BB360="Stage 4",-5,0))))</f>
        <v/>
      </c>
      <c r="BD360" s="31" t="inlineStr">
        <is>
          <t>Negative Trend</t>
        </is>
      </c>
      <c r="BE360" s="31">
        <f>IF(BD360="Positive Trend",20,IF(BD360="Negative Trend",-10,0))</f>
        <v/>
      </c>
      <c r="BF360" s="31" t="inlineStr">
        <is>
          <t>Sideways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Overhead supply in last 2 years in last 2 years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More than 20%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Less than 1.5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More than 15%</t>
        </is>
      </c>
      <c r="CC360" s="31">
        <f>IF(CB360="More than 15%",-10,IF(CB360="Less than 15%",10,0))</f>
        <v/>
      </c>
      <c r="CD360" s="31" t="inlineStr">
        <is>
          <t>Yes Upto 10%</t>
        </is>
      </c>
      <c r="CE360" s="31">
        <f>IF(CD360="Yes, more than 10%",-10,IF(CD360="No",10,0))</f>
        <v/>
      </c>
    </row>
    <row r="361">
      <c r="A361" s="31">
        <f>IF(B361=0,"",RANK(B361,$B$2:$B$362,0))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3" t="inlineStr">
        <is>
          <t>RITCO</t>
        </is>
      </c>
      <c r="D361" s="33" t="inlineStr">
        <is>
          <t>Ritco Logistics Ltd</t>
        </is>
      </c>
      <c r="E361" s="31" t="inlineStr">
        <is>
          <t>transportation</t>
        </is>
      </c>
      <c r="F361" s="31" t="inlineStr">
        <is>
          <t>miscellaneous</t>
        </is>
      </c>
      <c r="G361" s="31" t="inlineStr">
        <is>
          <t>smallcap</t>
        </is>
      </c>
      <c r="H361" s="32" t="n">
        <v>759.79</v>
      </c>
      <c r="I361" s="32" t="n">
        <v>270.15</v>
      </c>
      <c r="J361" s="32" t="n">
        <v>1.77</v>
      </c>
      <c r="K361" s="32" t="n">
        <v>48196</v>
      </c>
      <c r="L361" s="31" t="n">
        <v>31</v>
      </c>
      <c r="M361" s="31" t="inlineStr">
        <is>
          <t>Underperforming</t>
        </is>
      </c>
      <c r="N361" s="32">
        <f>IF(M361="Underperforming",-5,IF(L361&gt;=95,15,IF(L361&gt;=90,10,IF(L361&gt;=80,5,0))))</f>
        <v/>
      </c>
      <c r="O361" s="32" t="n">
        <v>57.84</v>
      </c>
      <c r="P361" s="32" t="n">
        <v>26.58</v>
      </c>
      <c r="Q361" s="32" t="n">
        <v>200.47</v>
      </c>
      <c r="R361" s="31" t="inlineStr">
        <is>
          <t>Earnings / Momentum Support</t>
        </is>
      </c>
      <c r="S361" s="31" t="inlineStr">
        <is>
          <t>Nifty 50</t>
        </is>
      </c>
      <c r="T361" s="32" t="n">
        <v>-3.56</v>
      </c>
      <c r="U361" s="32" t="n">
        <v>-12.88</v>
      </c>
      <c r="V361" s="32" t="n">
        <v>-9.66</v>
      </c>
      <c r="W361" s="32" t="n">
        <v>5.34</v>
      </c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Tailwind</t>
        </is>
      </c>
      <c r="AE361" s="31">
        <f>IF(AD361="Tailwind",10,0)</f>
        <v/>
      </c>
      <c r="AF361" s="31" t="inlineStr">
        <is>
          <t>Structural (10 Years Consistency)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20 to 40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2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Less than 12%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Negative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More than 1.2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IF(B362=0,"",RANK(B362,$B$2:$B$362,0))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ICEMAKE</t>
        </is>
      </c>
      <c r="D362" s="31" t="inlineStr">
        <is>
          <t>ICE Make Refrigeration Ltd</t>
        </is>
      </c>
      <c r="E362" s="31" t="inlineStr">
        <is>
          <t>industrials</t>
        </is>
      </c>
      <c r="F362" s="31" t="inlineStr">
        <is>
          <t>engineering</t>
        </is>
      </c>
      <c r="G362" s="31" t="inlineStr">
        <is>
          <t>smallcap</t>
        </is>
      </c>
      <c r="H362" s="32" t="n">
        <v>1240.68</v>
      </c>
      <c r="I362" s="32" t="n">
        <v>788.15</v>
      </c>
      <c r="J362" s="32" t="n">
        <v>0.24</v>
      </c>
      <c r="K362" s="32" t="n">
        <v>24631</v>
      </c>
      <c r="L362" s="31" t="n">
        <v>5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51.9</v>
      </c>
      <c r="P362" s="32" t="n">
        <v>16.7</v>
      </c>
      <c r="Q362" s="32" t="n">
        <v>640.84</v>
      </c>
      <c r="R362" s="31" t="inlineStr">
        <is>
          <t>Earnings / Momentum Support</t>
        </is>
      </c>
      <c r="S362" s="31" t="inlineStr">
        <is>
          <t>Nifty 50</t>
        </is>
      </c>
      <c r="T362" s="32" t="n">
        <v>-3.56</v>
      </c>
      <c r="U362" s="32" t="n">
        <v>-1.7</v>
      </c>
      <c r="V362" s="32" t="n">
        <v>1.93</v>
      </c>
      <c r="W362" s="32" t="n">
        <v>-0.76</v>
      </c>
      <c r="X362" s="31" t="inlineStr">
        <is>
          <t>Cyclical in an Upturn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1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Less than 12%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Negative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Between 0.7 to 1.2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</sheetData>
  <autoFilter ref="A1:CE362"/>
  <conditionalFormatting sqref="B2:B36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6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6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62">
    <cfRule type="cellIs" priority="36" operator="equal" dxfId="3" stopIfTrue="1">
      <formula>"Underperforming"</formula>
    </cfRule>
  </conditionalFormatting>
  <conditionalFormatting sqref="N2:N362">
    <cfRule type="cellIs" priority="37" operator="equal" dxfId="3" stopIfTrue="1">
      <formula>-5</formula>
    </cfRule>
  </conditionalFormatting>
  <conditionalFormatting sqref="Q2:Q36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62" showDropDown="0" showInputMessage="0" showErrorMessage="0" allowBlank="1" type="list">
      <formula1>"Growing Industry,Stagnant Industry,Cyclical in an Upturn"</formula1>
    </dataValidation>
    <dataValidation sqref="Z2:Z36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62" showDropDown="0" showInputMessage="0" showErrorMessage="0" allowBlank="1" type="list">
      <formula1>"Yes,No"</formula1>
    </dataValidation>
    <dataValidation sqref="AD2:AD362" showDropDown="0" showInputMessage="0" showErrorMessage="0" allowBlank="1" type="list">
      <formula1>"Tailwind,Headwind"</formula1>
    </dataValidation>
    <dataValidation sqref="AF2:AF362" showDropDown="0" showInputMessage="0" showErrorMessage="0" allowBlank="1" type="list">
      <formula1>"Structural (10 Years Consistency),Shallow Cyclical (2 to 3 Years Growth),Cyclical"</formula1>
    </dataValidation>
    <dataValidation sqref="AH2:AH362" showDropDown="0" showInputMessage="0" showErrorMessage="0" allowBlank="1" type="list">
      <formula1>"Yes due to Product Mix change or Operating Leverage,Yes, these are peak margins,No"</formula1>
    </dataValidation>
    <dataValidation sqref="AJ2:AJ362" showDropDown="0" showInputMessage="0" showErrorMessage="0" allowBlank="1" type="list">
      <formula1>"Stable,Volatile"</formula1>
    </dataValidation>
    <dataValidation sqref="AL2:AL362" showDropDown="0" showInputMessage="0" showErrorMessage="0" allowBlank="1" type="list">
      <formula1>"Yes,No"</formula1>
    </dataValidation>
    <dataValidation sqref="AN2:AN362" showDropDown="0" showInputMessage="0" showErrorMessage="0" allowBlank="1" type="list">
      <formula1>"B2C,B2B,B2G"</formula1>
    </dataValidation>
    <dataValidation sqref="AP2:AP362" showDropDown="0" showInputMessage="0" showErrorMessage="0" allowBlank="1" type="list">
      <formula1>"Yes,No"</formula1>
    </dataValidation>
    <dataValidation sqref="AR2:AR362" showDropDown="0" showInputMessage="0" showErrorMessage="0" allowBlank="1" type="list">
      <formula1>"Fully Annuity,Higher Annuity, Lower One time,Higher One Time, Lower Annuity,Fully One Time"</formula1>
    </dataValidation>
    <dataValidation sqref="AT2:AT362" showDropDown="0" showInputMessage="0" showErrorMessage="0" allowBlank="1" type="list">
      <formula1>"Good,Allocated capital in Non-core Areas"</formula1>
    </dataValidation>
    <dataValidation sqref="AV2:AV362" showDropDown="0" showInputMessage="0" showErrorMessage="0" allowBlank="1" type="list">
      <formula1>"Yes for more than 2 years,Yes only for next 1 to 2 years,No"</formula1>
    </dataValidation>
    <dataValidation sqref="AX2:AX362" showDropDown="0" showInputMessage="0" showErrorMessage="0" allowBlank="1" type="list">
      <formula1>"Above 40,20 to 40,0 to 20"</formula1>
    </dataValidation>
    <dataValidation sqref="AZ2:AZ362" showDropDown="0" showInputMessage="0" showErrorMessage="0" allowBlank="1" type="list">
      <formula1>"Between 50 to 75,Above 75,Below 45"</formula1>
    </dataValidation>
    <dataValidation sqref="BB2:BB362" showDropDown="0" showInputMessage="0" showErrorMessage="0" allowBlank="1" type="list">
      <formula1>"Stage 1,Stage 2,Stage 3,Stage 4"</formula1>
    </dataValidation>
    <dataValidation sqref="BD2:BD362" showDropDown="0" showInputMessage="0" showErrorMessage="0" allowBlank="1" type="list">
      <formula1>"Positive Trend,Negative Trend"</formula1>
    </dataValidation>
    <dataValidation sqref="BF2:BF362" showDropDown="0" showInputMessage="0" showErrorMessage="0" allowBlank="1" type="list">
      <formula1>"Uptrend,Sideways,Downtrend"</formula1>
    </dataValidation>
    <dataValidation sqref="BH2:BH362" showDropDown="0" showInputMessage="0" showErrorMessage="0" allowBlank="1" type="list">
      <formula1>"Uptrend,Sideways,Downtrend"</formula1>
    </dataValidation>
    <dataValidation sqref="BJ2:BJ36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62" showDropDown="0" showInputMessage="0" showErrorMessage="0" allowBlank="1" type="list">
      <formula1>"Yes,No"</formula1>
    </dataValidation>
    <dataValidation sqref="BN2:BN362" showDropDown="0" showInputMessage="0" showErrorMessage="0" allowBlank="1" type="list">
      <formula1>"More than 20%,Between 12 to 20%,Less than 12%"</formula1>
    </dataValidation>
    <dataValidation sqref="BP2:BP362" showDropDown="0" showInputMessage="0" showErrorMessage="0" allowBlank="1" type="list">
      <formula1>"Yes,No"</formula1>
    </dataValidation>
    <dataValidation sqref="BR2:BR362" showDropDown="0" showInputMessage="0" showErrorMessage="0" allowBlank="1" type="list">
      <formula1>"Yes,No"</formula1>
    </dataValidation>
    <dataValidation sqref="BT2:BT362" showDropDown="0" showInputMessage="0" showErrorMessage="0" allowBlank="1" type="list">
      <formula1>"Above 2,Between 1.5 to 2,Less than 1.5"</formula1>
    </dataValidation>
    <dataValidation sqref="BV2:BV362" showDropDown="0" showInputMessage="0" showErrorMessage="0" allowBlank="1" type="list">
      <formula1>"Above 70%,Between 50% to 70%,Less than 50%,Less than 50% and Borrowings are increasing,Negative"</formula1>
    </dataValidation>
    <dataValidation sqref="BX2:BX362" showDropDown="0" showInputMessage="0" showErrorMessage="0" allowBlank="1" type="list">
      <formula1>"More than 1.2,Between 0.7 to 1.2,Less than 0.7"</formula1>
    </dataValidation>
    <dataValidation sqref="BZ2:BZ362" showDropDown="0" showInputMessage="0" showErrorMessage="0" allowBlank="1" type="list">
      <formula1>"Yes,No"</formula1>
    </dataValidation>
    <dataValidation sqref="CB2:CB362" showDropDown="0" showInputMessage="0" showErrorMessage="0" allowBlank="1" type="list">
      <formula1>"More than 15%,Less than 15%"</formula1>
    </dataValidation>
    <dataValidation sqref="CD2:CD36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IF(B2=0,"",RANK(B2,$B$2:$B$67,0))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WELINV</t>
        </is>
      </c>
      <c r="D2" s="31" t="inlineStr">
        <is>
          <t>Welspun Investments And Commercials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655.83</v>
      </c>
      <c r="I2" s="32" t="n">
        <v>1825</v>
      </c>
      <c r="J2" s="32" t="n">
        <v>1.69</v>
      </c>
      <c r="K2" s="32" t="n">
        <v>280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72.28</v>
      </c>
      <c r="P2" s="32" t="n">
        <v>50.48</v>
      </c>
      <c r="Q2" s="32" t="n">
        <v>1450.34</v>
      </c>
      <c r="R2" s="31" t="inlineStr">
        <is>
          <t>Near 52W High Breakout</t>
        </is>
      </c>
      <c r="S2" s="31" t="inlineStr">
        <is>
          <t>Nifty Bank</t>
        </is>
      </c>
      <c r="T2" s="32" t="n">
        <v>2.62</v>
      </c>
      <c r="U2" s="32" t="n">
        <v>71.68000000000001</v>
      </c>
      <c r="V2" s="32" t="n">
        <v>67.3</v>
      </c>
      <c r="W2" s="32" t="n">
        <v>19.56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IF(B3=0,"",RANK(B3,$B$2:$B$67,0))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SATIN</t>
        </is>
      </c>
      <c r="D3" s="31" t="inlineStr">
        <is>
          <t>Satin Creditcare Network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2923.72</v>
      </c>
      <c r="I3" s="32" t="n">
        <v>258.57</v>
      </c>
      <c r="J3" s="32" t="n">
        <v>-2.3</v>
      </c>
      <c r="K3" s="32" t="n">
        <v>360147</v>
      </c>
      <c r="L3" s="31" t="n">
        <v>81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74.31</v>
      </c>
      <c r="P3" s="32" t="n">
        <v>65.20999999999999</v>
      </c>
      <c r="Q3" s="32" t="n">
        <v>201.94</v>
      </c>
      <c r="R3" s="31" t="inlineStr">
        <is>
          <t>Near 52W High Breakout</t>
        </is>
      </c>
      <c r="S3" s="31" t="inlineStr">
        <is>
          <t>Nifty Bank</t>
        </is>
      </c>
      <c r="T3" s="32" t="n">
        <v>2.62</v>
      </c>
      <c r="U3" s="32" t="n">
        <v>57.61</v>
      </c>
      <c r="V3" s="32" t="n">
        <v>53.58</v>
      </c>
      <c r="W3" s="32" t="n">
        <v>20.68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IF(B4=0,"",RANK(B4,$B$2:$B$67,0))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KTKBANK</t>
        </is>
      </c>
      <c r="D4" s="31" t="inlineStr">
        <is>
          <t>The Karnataka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10366.72</v>
      </c>
      <c r="I4" s="32" t="n">
        <v>274.95</v>
      </c>
      <c r="J4" s="32" t="n">
        <v>0.29</v>
      </c>
      <c r="K4" s="32" t="n">
        <v>1376627</v>
      </c>
      <c r="L4" s="31" t="n">
        <v>57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65.37</v>
      </c>
      <c r="P4" s="32" t="n">
        <v>49.6</v>
      </c>
      <c r="Q4" s="32" t="n">
        <v>225.3</v>
      </c>
      <c r="R4" s="31" t="inlineStr">
        <is>
          <t>Near 52W High Breakout</t>
        </is>
      </c>
      <c r="S4" s="31" t="inlineStr">
        <is>
          <t>Nifty Bank</t>
        </is>
      </c>
      <c r="T4" s="32" t="n">
        <v>2.62</v>
      </c>
      <c r="U4" s="32" t="n">
        <v>47.59</v>
      </c>
      <c r="V4" s="32" t="n">
        <v>43.82</v>
      </c>
      <c r="W4" s="32" t="n">
        <v>11.12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IF(B5=0,"",RANK(B5,$B$2:$B$67,0))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FEDFINA</t>
        </is>
      </c>
      <c r="D5" s="31" t="inlineStr">
        <is>
          <t>Fedbank Financial Services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5794.58</v>
      </c>
      <c r="I5" s="32" t="n">
        <v>163.55</v>
      </c>
      <c r="J5" s="32" t="n">
        <v>5.62</v>
      </c>
      <c r="K5" s="32" t="n">
        <v>20106868</v>
      </c>
      <c r="L5" s="31" t="n">
        <v>44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62.62</v>
      </c>
      <c r="P5" s="32" t="n">
        <v>29.66</v>
      </c>
      <c r="Q5" s="32" t="n">
        <v>124.46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2.62</v>
      </c>
      <c r="U5" s="32" t="n">
        <v>29.81</v>
      </c>
      <c r="V5" s="32" t="n">
        <v>26.5</v>
      </c>
      <c r="W5" s="32" t="n">
        <v>8.050000000000001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IF(B6=0,"",RANK(B6,$B$2:$B$67,0))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TMB</t>
        </is>
      </c>
      <c r="D6" s="31" t="inlineStr">
        <is>
          <t>Tamilnad Mercantile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12356.96</v>
      </c>
      <c r="I6" s="32" t="n">
        <v>815.75</v>
      </c>
      <c r="J6" s="32" t="n">
        <v>4.54</v>
      </c>
      <c r="K6" s="32" t="n">
        <v>404554</v>
      </c>
      <c r="L6" s="31" t="n">
        <v>77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68.98999999999999</v>
      </c>
      <c r="P6" s="32" t="n">
        <v>35.32</v>
      </c>
      <c r="Q6" s="32" t="n">
        <v>656.9400000000001</v>
      </c>
      <c r="R6" s="31" t="inlineStr">
        <is>
          <t>Near 52W High Breakout</t>
        </is>
      </c>
      <c r="S6" s="31" t="inlineStr">
        <is>
          <t>Nifty Bank</t>
        </is>
      </c>
      <c r="T6" s="32" t="n">
        <v>2.62</v>
      </c>
      <c r="U6" s="32" t="n">
        <v>86.54000000000001</v>
      </c>
      <c r="V6" s="32" t="n">
        <v>81.77</v>
      </c>
      <c r="W6" s="32" t="n">
        <v>18.21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IF(B7=0,"",RANK(B7,$B$2:$B$67,0))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BANDHANBNK</t>
        </is>
      </c>
      <c r="D7" s="31" t="inlineStr">
        <is>
          <t>Bandhan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33487.28</v>
      </c>
      <c r="I7" s="32" t="n">
        <v>216.52</v>
      </c>
      <c r="J7" s="32" t="n">
        <v>4.16</v>
      </c>
      <c r="K7" s="32" t="n">
        <v>23750106</v>
      </c>
      <c r="L7" s="31" t="n">
        <v>49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66.8</v>
      </c>
      <c r="P7" s="32" t="n">
        <v>30.7</v>
      </c>
      <c r="Q7" s="32" t="n">
        <v>174.85</v>
      </c>
      <c r="R7" s="31" t="inlineStr">
        <is>
          <t>Near 52W High Breakout</t>
        </is>
      </c>
      <c r="S7" s="31" t="inlineStr">
        <is>
          <t>Nifty Bank</t>
        </is>
      </c>
      <c r="T7" s="32" t="n">
        <v>2.62</v>
      </c>
      <c r="U7" s="32" t="n">
        <v>16.83</v>
      </c>
      <c r="V7" s="32" t="n">
        <v>13.85</v>
      </c>
      <c r="W7" s="32" t="n">
        <v>9.1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IF(B8=0,"",RANK(B8,$B$2:$B$67,0))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UJJIVANSFB</t>
        </is>
      </c>
      <c r="D8" s="31" t="inlineStr">
        <is>
          <t>Ujjivan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12671.4</v>
      </c>
      <c r="I8" s="32" t="n">
        <v>65.51000000000001</v>
      </c>
      <c r="J8" s="32" t="n">
        <v>0.57</v>
      </c>
      <c r="K8" s="32" t="n">
        <v>14595855</v>
      </c>
      <c r="L8" s="31" t="n">
        <v>47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63.36</v>
      </c>
      <c r="P8" s="32" t="n">
        <v>25.67</v>
      </c>
      <c r="Q8" s="32" t="n">
        <v>51.37</v>
      </c>
      <c r="R8" s="31" t="inlineStr">
        <is>
          <t>Near 52W High Breakout</t>
        </is>
      </c>
      <c r="S8" s="31" t="inlineStr">
        <is>
          <t>Nifty Bank</t>
        </is>
      </c>
      <c r="T8" s="32" t="n">
        <v>2.62</v>
      </c>
      <c r="U8" s="32" t="n">
        <v>34.05</v>
      </c>
      <c r="V8" s="32" t="n">
        <v>30.63</v>
      </c>
      <c r="W8" s="32" t="n">
        <v>8.789999999999999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IF(B9=0,"",RANK(B9,$B$2:$B$67,0))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FEDERALBNK</t>
        </is>
      </c>
      <c r="D9" s="31" t="inlineStr">
        <is>
          <t>The Federal Bank 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80705.25</v>
      </c>
      <c r="I9" s="32" t="n">
        <v>327.55</v>
      </c>
      <c r="J9" s="32" t="n">
        <v>0.02</v>
      </c>
      <c r="K9" s="32" t="n">
        <v>2909042</v>
      </c>
      <c r="L9" s="31" t="n">
        <v>61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70.04000000000001</v>
      </c>
      <c r="P9" s="32" t="n">
        <v>27.07</v>
      </c>
      <c r="Q9" s="32" t="n">
        <v>287.16</v>
      </c>
      <c r="R9" s="31" t="inlineStr">
        <is>
          <t>Near 52W High Breakout</t>
        </is>
      </c>
      <c r="S9" s="31" t="inlineStr">
        <is>
          <t>Nifty Bank</t>
        </is>
      </c>
      <c r="T9" s="32" t="n">
        <v>2.62</v>
      </c>
      <c r="U9" s="32" t="n">
        <v>55.1</v>
      </c>
      <c r="V9" s="32" t="n">
        <v>51.14</v>
      </c>
      <c r="W9" s="32" t="n">
        <v>11.9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IF(B10=0,"",RANK(B10,$B$2:$B$67,0))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NORTHARC</t>
        </is>
      </c>
      <c r="D10" s="31" t="inlineStr">
        <is>
          <t>Northern ARC Capital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5152.53</v>
      </c>
      <c r="I10" s="32" t="n">
        <v>317.1</v>
      </c>
      <c r="J10" s="32" t="n">
        <v>-0.5600000000000001</v>
      </c>
      <c r="K10" s="32" t="n">
        <v>714812</v>
      </c>
      <c r="L10" s="31" t="n">
        <v>57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65.77</v>
      </c>
      <c r="P10" s="32" t="n">
        <v>30.56</v>
      </c>
      <c r="Q10" s="32" t="n">
        <v>253.64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2.62</v>
      </c>
      <c r="U10" s="32" t="n">
        <v>23.27</v>
      </c>
      <c r="V10" s="32" t="n">
        <v>20.12</v>
      </c>
      <c r="W10" s="32" t="n">
        <v>11.27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IF(B11=0,"",RANK(B11,$B$2:$B$67,0))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PAISALO</t>
        </is>
      </c>
      <c r="D11" s="31" t="inlineStr">
        <is>
          <t>Paisalo Digital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midcap</t>
        </is>
      </c>
      <c r="H11" s="32" t="n">
        <v>6589.49</v>
      </c>
      <c r="I11" s="32" t="n">
        <v>72.03</v>
      </c>
      <c r="J11" s="32" t="n">
        <v>-0.58</v>
      </c>
      <c r="K11" s="32" t="n">
        <v>25924110</v>
      </c>
      <c r="L11" s="31" t="n">
        <v>93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81.8</v>
      </c>
      <c r="P11" s="32" t="n">
        <v>52.13</v>
      </c>
      <c r="Q11" s="32" t="n">
        <v>58.73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2.62</v>
      </c>
      <c r="U11" s="32" t="n">
        <v>131.76</v>
      </c>
      <c r="V11" s="32" t="n">
        <v>125.84</v>
      </c>
      <c r="W11" s="32" t="n">
        <v>34.03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IF(B12=0,"",RANK(B12,$B$2:$B$67,0))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SURYODAY</t>
        </is>
      </c>
      <c r="D12" s="31" t="inlineStr">
        <is>
          <t>Suryoday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smallcap</t>
        </is>
      </c>
      <c r="H12" s="32" t="n">
        <v>1990.49</v>
      </c>
      <c r="I12" s="32" t="n">
        <v>189.21</v>
      </c>
      <c r="J12" s="32" t="n">
        <v>1.04</v>
      </c>
      <c r="K12" s="32" t="n">
        <v>365858</v>
      </c>
      <c r="L12" s="31" t="n">
        <v>64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69.09999999999999</v>
      </c>
      <c r="P12" s="32" t="n">
        <v>39.52</v>
      </c>
      <c r="Q12" s="32" t="n">
        <v>148.05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2.62</v>
      </c>
      <c r="U12" s="32" t="n">
        <v>34.44</v>
      </c>
      <c r="V12" s="32" t="n">
        <v>31.01</v>
      </c>
      <c r="W12" s="32" t="n">
        <v>13.01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IF(B13=0,"",RANK(B13,$B$2:$B$67,0))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STARHEALTH</t>
        </is>
      </c>
      <c r="D13" s="31" t="inlineStr">
        <is>
          <t>Star Health &amp; Allied Insurance Company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35148.28</v>
      </c>
      <c r="I13" s="32" t="n">
        <v>597</v>
      </c>
      <c r="J13" s="32" t="n">
        <v>-0.06</v>
      </c>
      <c r="K13" s="32" t="n">
        <v>199393</v>
      </c>
      <c r="L13" s="31" t="n">
        <v>56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71.19</v>
      </c>
      <c r="P13" s="32" t="n">
        <v>43.69</v>
      </c>
      <c r="Q13" s="32" t="n">
        <v>502.92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2.62</v>
      </c>
      <c r="U13" s="32" t="n">
        <v>37.41</v>
      </c>
      <c r="V13" s="32" t="n">
        <v>33.9</v>
      </c>
      <c r="W13" s="32" t="n">
        <v>10.91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IF(B14=0,"",RANK(B14,$B$2:$B$67,0))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RANEHOLDIN</t>
        </is>
      </c>
      <c r="D14" s="31" t="inlineStr">
        <is>
          <t>Rane Holdings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2503.61</v>
      </c>
      <c r="I14" s="32" t="n">
        <v>1748.6</v>
      </c>
      <c r="J14" s="32" t="n">
        <v>-0.28</v>
      </c>
      <c r="K14" s="32" t="n">
        <v>9456</v>
      </c>
      <c r="L14" s="31" t="n">
        <v>76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69.08</v>
      </c>
      <c r="P14" s="32" t="n">
        <v>33.63</v>
      </c>
      <c r="Q14" s="32" t="n">
        <v>1371.14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2.62</v>
      </c>
      <c r="U14" s="32" t="n">
        <v>10.79</v>
      </c>
      <c r="V14" s="32" t="n">
        <v>7.96</v>
      </c>
      <c r="W14" s="32" t="n">
        <v>17.69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IF(B15=0,"",RANK(B15,$B$2:$B$67,0))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FUSION</t>
        </is>
      </c>
      <c r="D15" s="31" t="inlineStr">
        <is>
          <t>Fusion Micro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3729.35</v>
      </c>
      <c r="I15" s="32" t="n">
        <v>228.12</v>
      </c>
      <c r="J15" s="32" t="n">
        <v>-0.86</v>
      </c>
      <c r="K15" s="32" t="n">
        <v>508782</v>
      </c>
      <c r="L15" s="31" t="n">
        <v>57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64.8</v>
      </c>
      <c r="P15" s="32" t="n">
        <v>26.56</v>
      </c>
      <c r="Q15" s="32" t="n">
        <v>172.71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2.62</v>
      </c>
      <c r="U15" s="32" t="n">
        <v>19.35</v>
      </c>
      <c r="V15" s="32" t="n">
        <v>16.3</v>
      </c>
      <c r="W15" s="32" t="n">
        <v>11.11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IF(B16=0,"",RANK(B16,$B$2:$B$67,0))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HEALTHX</t>
        </is>
      </c>
      <c r="D16" s="31" t="inlineStr">
        <is>
          <t>Health X Platform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1063.58</v>
      </c>
      <c r="I16" s="32" t="n">
        <v>330</v>
      </c>
      <c r="J16" s="32" t="n">
        <v>-1.3</v>
      </c>
      <c r="K16" s="32" t="n">
        <v>11275</v>
      </c>
      <c r="L16" s="31" t="n">
        <v>41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60.56</v>
      </c>
      <c r="P16" s="32" t="n">
        <v>25.07</v>
      </c>
      <c r="Q16" s="32" t="n">
        <v>248.52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2.62</v>
      </c>
      <c r="U16" s="32" t="n">
        <v>10.13</v>
      </c>
      <c r="V16" s="32" t="n">
        <v>7.32</v>
      </c>
      <c r="W16" s="32" t="n">
        <v>7.22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IF(B17=0,"",RANK(B17,$B$2:$B$67,0))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ABCAPITAL</t>
        </is>
      </c>
      <c r="D17" s="31" t="inlineStr">
        <is>
          <t>Aditya Birla Capital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109163.19</v>
      </c>
      <c r="I17" s="32" t="n">
        <v>404.3</v>
      </c>
      <c r="J17" s="32" t="n">
        <v>1.26</v>
      </c>
      <c r="K17" s="32" t="n">
        <v>1844455</v>
      </c>
      <c r="L17" s="31" t="n">
        <v>65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70.45999999999999</v>
      </c>
      <c r="P17" s="32" t="n">
        <v>23</v>
      </c>
      <c r="Q17" s="32" t="n">
        <v>340.19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2.62</v>
      </c>
      <c r="U17" s="32" t="n">
        <v>52.94</v>
      </c>
      <c r="V17" s="32" t="n">
        <v>49.04</v>
      </c>
      <c r="W17" s="32" t="n">
        <v>13.15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IF(B18=0,"",RANK(B18,$B$2:$B$67,0))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MANBA</t>
        </is>
      </c>
      <c r="D18" s="33" t="inlineStr">
        <is>
          <t>Manba Finance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678.48</v>
      </c>
      <c r="I18" s="32" t="n">
        <v>135</v>
      </c>
      <c r="J18" s="32" t="n">
        <v>-0.04</v>
      </c>
      <c r="K18" s="32" t="n">
        <v>64022</v>
      </c>
      <c r="L18" s="31" t="n">
        <v>26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60.71</v>
      </c>
      <c r="P18" s="32" t="n">
        <v>24.62</v>
      </c>
      <c r="Q18" s="32" t="n">
        <v>111.08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2.62</v>
      </c>
      <c r="U18" s="32" t="n">
        <v>-3</v>
      </c>
      <c r="V18" s="32" t="n">
        <v>-5.48</v>
      </c>
      <c r="W18" s="32" t="n">
        <v>4.54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IF(B19=0,"",RANK(B19,$B$2:$B$67,0))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BFINVEST</t>
        </is>
      </c>
      <c r="D19" s="33" t="inlineStr">
        <is>
          <t>Bf Investment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1839.88</v>
      </c>
      <c r="I19" s="32" t="n">
        <v>476.5</v>
      </c>
      <c r="J19" s="32" t="n">
        <v>-2.45</v>
      </c>
      <c r="K19" s="32" t="n">
        <v>192998</v>
      </c>
      <c r="L19" s="31" t="n">
        <v>21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63.49</v>
      </c>
      <c r="P19" s="32" t="n">
        <v>20.97</v>
      </c>
      <c r="Q19" s="32" t="n">
        <v>366.96</v>
      </c>
      <c r="R19" s="31" t="inlineStr">
        <is>
          <t>Volume Spike &amp; Near 52W High Breakout</t>
        </is>
      </c>
      <c r="S19" s="31" t="inlineStr">
        <is>
          <t>Nifty Bank</t>
        </is>
      </c>
      <c r="T19" s="32" t="n">
        <v>2.62</v>
      </c>
      <c r="U19" s="32" t="n">
        <v>-1.64</v>
      </c>
      <c r="V19" s="32" t="n">
        <v>-4.15</v>
      </c>
      <c r="W19" s="32" t="n">
        <v>3.59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IF(B20=0,"",RANK(B20,$B$2:$B$67,0))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J&amp;KBANK</t>
        </is>
      </c>
      <c r="D20" s="31" t="inlineStr">
        <is>
          <t>The Jammu &amp; Kashmir Bank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midcap</t>
        </is>
      </c>
      <c r="H20" s="32" t="n">
        <v>19534.98</v>
      </c>
      <c r="I20" s="32" t="n">
        <v>182.63</v>
      </c>
      <c r="J20" s="32" t="n">
        <v>2.95</v>
      </c>
      <c r="K20" s="32" t="n">
        <v>11189388</v>
      </c>
      <c r="L20" s="31" t="n">
        <v>80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72.61</v>
      </c>
      <c r="P20" s="32" t="n">
        <v>58.03</v>
      </c>
      <c r="Q20" s="32" t="n">
        <v>153.63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2.62</v>
      </c>
      <c r="U20" s="32" t="n">
        <v>63.71</v>
      </c>
      <c r="V20" s="32" t="n">
        <v>59.53</v>
      </c>
      <c r="W20" s="32" t="n">
        <v>19.61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IF(B21=0,"",RANK(B21,$B$2:$B$67,0))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DCBBANK</t>
        </is>
      </c>
      <c r="D21" s="31" t="inlineStr">
        <is>
          <t>Dcb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midcap</t>
        </is>
      </c>
      <c r="H21" s="32" t="n">
        <v>6031.8</v>
      </c>
      <c r="I21" s="32" t="n">
        <v>190.3</v>
      </c>
      <c r="J21" s="32" t="n">
        <v>1.56</v>
      </c>
      <c r="K21" s="32" t="n">
        <v>1119487</v>
      </c>
      <c r="L21" s="31" t="n">
        <v>42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61.02</v>
      </c>
      <c r="P21" s="32" t="n">
        <v>24.07</v>
      </c>
      <c r="Q21" s="32" t="n">
        <v>155.05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2.62</v>
      </c>
      <c r="U21" s="32" t="n">
        <v>30.51</v>
      </c>
      <c r="V21" s="32" t="n">
        <v>27.18</v>
      </c>
      <c r="W21" s="32" t="n">
        <v>7.32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IF(B22=0,"",RANK(B22,$B$2:$B$67,0))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CANFINHOME</t>
        </is>
      </c>
      <c r="D22" s="31" t="inlineStr">
        <is>
          <t>Can Fin Homes Limited</t>
        </is>
      </c>
      <c r="E22" s="31" t="inlineStr">
        <is>
          <t>financials</t>
        </is>
      </c>
      <c r="F22" s="31" t="inlineStr">
        <is>
          <t>finance - housing</t>
        </is>
      </c>
      <c r="G22" s="31" t="inlineStr">
        <is>
          <t>midcap</t>
        </is>
      </c>
      <c r="H22" s="32" t="n">
        <v>11957.91</v>
      </c>
      <c r="I22" s="32" t="n">
        <v>908</v>
      </c>
      <c r="J22" s="32" t="n">
        <v>1.11</v>
      </c>
      <c r="K22" s="32" t="n">
        <v>143755</v>
      </c>
      <c r="L22" s="31" t="n">
        <v>22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58.26</v>
      </c>
      <c r="P22" s="32" t="n">
        <v>16.75</v>
      </c>
      <c r="Q22" s="32" t="n">
        <v>753.21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2.62</v>
      </c>
      <c r="U22" s="32" t="n">
        <v>12.63</v>
      </c>
      <c r="V22" s="32" t="n">
        <v>9.75</v>
      </c>
      <c r="W22" s="32" t="n">
        <v>3.68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IF(B23=0,"",RANK(B23,$B$2:$B$67,0))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NAM-INDIA</t>
        </is>
      </c>
      <c r="D23" s="31" t="inlineStr">
        <is>
          <t>Nippon Life India Asset Management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76108.09</v>
      </c>
      <c r="I23" s="32" t="n">
        <v>1196.3</v>
      </c>
      <c r="J23" s="32" t="n">
        <v>0.3</v>
      </c>
      <c r="K23" s="32" t="n">
        <v>691097</v>
      </c>
      <c r="L23" s="31" t="n">
        <v>60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68.17</v>
      </c>
      <c r="P23" s="32" t="n">
        <v>43.12</v>
      </c>
      <c r="Q23" s="32" t="n">
        <v>984.6799999999999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2.62</v>
      </c>
      <c r="U23" s="32" t="n">
        <v>45.21</v>
      </c>
      <c r="V23" s="32" t="n">
        <v>41.5</v>
      </c>
      <c r="W23" s="32" t="n">
        <v>11.89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IF(B24=0,"",RANK(B24,$B$2:$B$67,0))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ANANDRATHI</t>
        </is>
      </c>
      <c r="D24" s="31" t="inlineStr">
        <is>
          <t>Anand Rathi Wealth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34549.87</v>
      </c>
      <c r="I24" s="32" t="n">
        <v>2081.8</v>
      </c>
      <c r="J24" s="32" t="n">
        <v>0.05</v>
      </c>
      <c r="K24" s="32" t="n">
        <v>234923</v>
      </c>
      <c r="L24" s="31" t="n">
        <v>63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73.62</v>
      </c>
      <c r="P24" s="32" t="n">
        <v>48.55</v>
      </c>
      <c r="Q24" s="32" t="n">
        <v>1837.99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2.62</v>
      </c>
      <c r="U24" s="32" t="n">
        <v>59.46</v>
      </c>
      <c r="V24" s="32" t="n">
        <v>55.39</v>
      </c>
      <c r="W24" s="32" t="n">
        <v>12.77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above 5x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Above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IF(B25=0,"",RANK(B25,$B$2:$B$67,0))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CUB</t>
        </is>
      </c>
      <c r="D25" s="31" t="inlineStr">
        <is>
          <t>City Union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midcap</t>
        </is>
      </c>
      <c r="H25" s="32" t="n">
        <v>16443.64</v>
      </c>
      <c r="I25" s="32" t="n">
        <v>220.21</v>
      </c>
      <c r="J25" s="32" t="n">
        <v>-0.49</v>
      </c>
      <c r="K25" s="32" t="n">
        <v>2595607</v>
      </c>
      <c r="L25" s="31" t="n">
        <v>53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60.4</v>
      </c>
      <c r="P25" s="32" t="n">
        <v>19.1</v>
      </c>
      <c r="Q25" s="32" t="n">
        <v>182.01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2.62</v>
      </c>
      <c r="U25" s="32" t="n">
        <v>39.48</v>
      </c>
      <c r="V25" s="32" t="n">
        <v>35.92</v>
      </c>
      <c r="W25" s="32" t="n">
        <v>10.17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IF(B26=0,"",RANK(B26,$B$2:$B$67,0))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CONSOFINVT</t>
        </is>
      </c>
      <c r="D26" s="31" t="inlineStr">
        <is>
          <t>Consolidated Finvest &amp; Holdings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897.12</v>
      </c>
      <c r="I26" s="32" t="n">
        <v>274</v>
      </c>
      <c r="J26" s="32" t="n">
        <v>-1.27</v>
      </c>
      <c r="K26" s="32" t="n">
        <v>13665</v>
      </c>
      <c r="L26" s="31" t="n">
        <v>61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72.88</v>
      </c>
      <c r="P26" s="32" t="n">
        <v>24.94</v>
      </c>
      <c r="Q26" s="32" t="n">
        <v>209.2</v>
      </c>
      <c r="R26" s="31" t="inlineStr">
        <is>
          <t>Volume Spike &amp; Near 52W High Breakout</t>
        </is>
      </c>
      <c r="S26" s="31" t="inlineStr">
        <is>
          <t>Nifty Bank</t>
        </is>
      </c>
      <c r="T26" s="32" t="n">
        <v>2.62</v>
      </c>
      <c r="U26" s="32" t="n">
        <v>33.8</v>
      </c>
      <c r="V26" s="32" t="n">
        <v>30.39</v>
      </c>
      <c r="W26" s="32" t="n">
        <v>11.9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IF(B27=0,"",RANK(B27,$B$2:$B$67,0))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NIVABUPA</t>
        </is>
      </c>
      <c r="D27" s="33" t="inlineStr">
        <is>
          <t>Niva Bupa Health Insurance Company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15919.54</v>
      </c>
      <c r="I27" s="32" t="n">
        <v>88.36</v>
      </c>
      <c r="J27" s="32" t="n">
        <v>2.54</v>
      </c>
      <c r="K27" s="32" t="n">
        <v>2276881</v>
      </c>
      <c r="L27" s="31" t="n">
        <v>16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64.02</v>
      </c>
      <c r="P27" s="32" t="n">
        <v>31.46</v>
      </c>
      <c r="Q27" s="32" t="n">
        <v>73.95999999999999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2.62</v>
      </c>
      <c r="U27" s="32" t="n">
        <v>-1.04</v>
      </c>
      <c r="V27" s="32" t="n">
        <v>-3.57</v>
      </c>
      <c r="W27" s="32" t="n">
        <v>2.22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IF(B28=0,"",RANK(B28,$B$2:$B$67,0))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INDUSINDBK</t>
        </is>
      </c>
      <c r="D28" s="31" t="inlineStr">
        <is>
          <t>Indusind Bank Limited</t>
        </is>
      </c>
      <c r="E28" s="31" t="inlineStr">
        <is>
          <t>bank</t>
        </is>
      </c>
      <c r="F28" s="31" t="inlineStr">
        <is>
          <t>banks - private sector</t>
        </is>
      </c>
      <c r="G28" s="31" t="inlineStr">
        <is>
          <t>largecap</t>
        </is>
      </c>
      <c r="H28" s="32" t="n">
        <v>77704.14999999999</v>
      </c>
      <c r="I28" s="32" t="n">
        <v>1009.7</v>
      </c>
      <c r="J28" s="32" t="n">
        <v>1.24</v>
      </c>
      <c r="K28" s="32" t="n">
        <v>1491258</v>
      </c>
      <c r="L28" s="31" t="n">
        <v>44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63.89</v>
      </c>
      <c r="P28" s="32" t="n">
        <v>19.72</v>
      </c>
      <c r="Q28" s="32" t="n">
        <v>857.42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2.62</v>
      </c>
      <c r="U28" s="32" t="n">
        <v>16.24</v>
      </c>
      <c r="V28" s="32" t="n">
        <v>13.27</v>
      </c>
      <c r="W28" s="32" t="n">
        <v>7.94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IF(B29=0,"",RANK(B29,$B$2:$B$67,0))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PNBHOUSING</t>
        </is>
      </c>
      <c r="D29" s="33" t="inlineStr">
        <is>
          <t>Pnb Housing Finance Limited</t>
        </is>
      </c>
      <c r="E29" s="31" t="inlineStr">
        <is>
          <t>financials</t>
        </is>
      </c>
      <c r="F29" s="31" t="inlineStr">
        <is>
          <t>finance - housing</t>
        </is>
      </c>
      <c r="G29" s="31" t="inlineStr">
        <is>
          <t>largecap</t>
        </is>
      </c>
      <c r="H29" s="32" t="n">
        <v>28538.71</v>
      </c>
      <c r="I29" s="32" t="n">
        <v>1105.9</v>
      </c>
      <c r="J29" s="32" t="n">
        <v>0.95</v>
      </c>
      <c r="K29" s="32" t="n">
        <v>509486</v>
      </c>
      <c r="L29" s="31" t="n">
        <v>32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65.87</v>
      </c>
      <c r="P29" s="32" t="n">
        <v>30.58</v>
      </c>
      <c r="Q29" s="32" t="n">
        <v>912.78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2.62</v>
      </c>
      <c r="U29" s="32" t="n">
        <v>2.54</v>
      </c>
      <c r="V29" s="32" t="n">
        <v>-0.07000000000000001</v>
      </c>
      <c r="W29" s="32" t="n">
        <v>5.53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IF(B30=0,"",RANK(B30,$B$2:$B$67,0))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CGCL</t>
        </is>
      </c>
      <c r="D30" s="31" t="inlineStr">
        <is>
          <t>Capri Global Capital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24758.15</v>
      </c>
      <c r="I30" s="32" t="n">
        <v>258.21</v>
      </c>
      <c r="J30" s="32" t="n">
        <v>0.35</v>
      </c>
      <c r="K30" s="32" t="n">
        <v>1962357</v>
      </c>
      <c r="L30" s="31" t="n">
        <v>73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78.98999999999999</v>
      </c>
      <c r="P30" s="32" t="n">
        <v>31.59</v>
      </c>
      <c r="Q30" s="32" t="n">
        <v>214.08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2.62</v>
      </c>
      <c r="U30" s="32" t="n">
        <v>40.66</v>
      </c>
      <c r="V30" s="32" t="n">
        <v>37.07</v>
      </c>
      <c r="W30" s="32" t="n">
        <v>16.62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Above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IF(B31=0,"",RANK(B31,$B$2:$B$67,0))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SPANDANA</t>
        </is>
      </c>
      <c r="D31" s="31" t="inlineStr">
        <is>
          <t>Spandana Sphoorty Financial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2686.22</v>
      </c>
      <c r="I31" s="32" t="n">
        <v>303.8</v>
      </c>
      <c r="J31" s="32" t="n">
        <v>0.25</v>
      </c>
      <c r="K31" s="32" t="n">
        <v>248890</v>
      </c>
      <c r="L31" s="31" t="n">
        <v>48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62.29</v>
      </c>
      <c r="P31" s="32" t="n">
        <v>17.14</v>
      </c>
      <c r="Q31" s="32" t="n">
        <v>226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2.62</v>
      </c>
      <c r="U31" s="32" t="n">
        <v>4.31</v>
      </c>
      <c r="V31" s="32" t="n">
        <v>1.65</v>
      </c>
      <c r="W31" s="32" t="n">
        <v>9.029999999999999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IF(B32=0,"",RANK(B32,$B$2:$B$67,0))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MONARCH</t>
        </is>
      </c>
      <c r="D32" s="33" t="inlineStr">
        <is>
          <t>Monarch Networth Capital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2856.43</v>
      </c>
      <c r="I32" s="32" t="n">
        <v>357</v>
      </c>
      <c r="J32" s="32" t="n">
        <v>-0.93</v>
      </c>
      <c r="K32" s="32" t="n">
        <v>44260</v>
      </c>
      <c r="L32" s="31" t="n">
        <v>23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65.23999999999999</v>
      </c>
      <c r="P32" s="32" t="n">
        <v>20.65</v>
      </c>
      <c r="Q32" s="32" t="n">
        <v>291.15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2.62</v>
      </c>
      <c r="U32" s="32" t="n">
        <v>-2.35</v>
      </c>
      <c r="V32" s="32" t="n">
        <v>-4.85</v>
      </c>
      <c r="W32" s="32" t="n">
        <v>4.01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IF(B33=0,"",RANK(B33,$B$2:$B$67,0))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KICL</t>
        </is>
      </c>
      <c r="D33" s="31" t="inlineStr">
        <is>
          <t>Kalyani Investment Company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2432.35</v>
      </c>
      <c r="I33" s="32" t="n">
        <v>5450.5</v>
      </c>
      <c r="J33" s="32" t="n">
        <v>-2.18</v>
      </c>
      <c r="K33" s="32" t="n">
        <v>1668</v>
      </c>
      <c r="L33" s="31" t="n">
        <v>27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62.48</v>
      </c>
      <c r="P33" s="32" t="n">
        <v>25.49</v>
      </c>
      <c r="Q33" s="32" t="n">
        <v>4536.14</v>
      </c>
      <c r="R33" s="31" t="inlineStr">
        <is>
          <t>Volume Spike / Accumulation</t>
        </is>
      </c>
      <c r="S33" s="31" t="inlineStr">
        <is>
          <t>Nifty Bank</t>
        </is>
      </c>
      <c r="T33" s="32" t="n">
        <v>2.62</v>
      </c>
      <c r="U33" s="32" t="n">
        <v>7.35</v>
      </c>
      <c r="V33" s="32" t="n">
        <v>4.61</v>
      </c>
      <c r="W33" s="32" t="n">
        <v>4.63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IF(B34=0,"",RANK(B34,$B$2:$B$67,0))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TFCILTD</t>
        </is>
      </c>
      <c r="D34" s="31" t="inlineStr">
        <is>
          <t>Tourism Finance Corporation Of India Limited</t>
        </is>
      </c>
      <c r="E34" s="31" t="inlineStr">
        <is>
          <t>financials</t>
        </is>
      </c>
      <c r="F34" s="31" t="inlineStr">
        <is>
          <t>finance - term-lending institutions</t>
        </is>
      </c>
      <c r="G34" s="31" t="inlineStr">
        <is>
          <t>smallcap</t>
        </is>
      </c>
      <c r="H34" s="32" t="n">
        <v>3728.36</v>
      </c>
      <c r="I34" s="32" t="n">
        <v>83.8</v>
      </c>
      <c r="J34" s="32" t="n">
        <v>4.06</v>
      </c>
      <c r="K34" s="32" t="n">
        <v>9252212</v>
      </c>
      <c r="L34" s="31" t="n">
        <v>59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62.69</v>
      </c>
      <c r="P34" s="32" t="n">
        <v>38.14</v>
      </c>
      <c r="Q34" s="32" t="n">
        <v>62.44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2.62</v>
      </c>
      <c r="U34" s="32" t="n">
        <v>47</v>
      </c>
      <c r="V34" s="32" t="n">
        <v>43.25</v>
      </c>
      <c r="W34" s="32" t="n">
        <v>11.63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Blue sky scenario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IF(B35=0,"",RANK(B35,$B$2:$B$67,0))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MUTHOOTMF</t>
        </is>
      </c>
      <c r="D35" s="31" t="inlineStr">
        <is>
          <t>Muthoot Microfin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smallcap</t>
        </is>
      </c>
      <c r="H35" s="32" t="n">
        <v>4074.93</v>
      </c>
      <c r="I35" s="32" t="n">
        <v>245.54</v>
      </c>
      <c r="J35" s="32" t="n">
        <v>2.73</v>
      </c>
      <c r="K35" s="32" t="n">
        <v>820993</v>
      </c>
      <c r="L35" s="31" t="n">
        <v>74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75.23</v>
      </c>
      <c r="P35" s="32" t="n">
        <v>36.81</v>
      </c>
      <c r="Q35" s="32" t="n">
        <v>188.3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2.62</v>
      </c>
      <c r="U35" s="32" t="n">
        <v>47.82</v>
      </c>
      <c r="V35" s="32" t="n">
        <v>44.04</v>
      </c>
      <c r="W35" s="32" t="n">
        <v>17.02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Above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IF(B36=0,"",RANK(B36,$B$2:$B$67,0))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CAPITALSFB</t>
        </is>
      </c>
      <c r="D36" s="33" t="inlineStr">
        <is>
          <t>Capital Small Finance Bank Ltd</t>
        </is>
      </c>
      <c r="E36" s="31" t="inlineStr">
        <is>
          <t>bank</t>
        </is>
      </c>
      <c r="F36" s="31" t="inlineStr">
        <is>
          <t>banks - private sector</t>
        </is>
      </c>
      <c r="G36" s="31" t="inlineStr">
        <is>
          <t>smallcap</t>
        </is>
      </c>
      <c r="H36" s="32" t="n">
        <v>1348.5</v>
      </c>
      <c r="I36" s="32" t="n">
        <v>298</v>
      </c>
      <c r="J36" s="32" t="n">
        <v>0.47</v>
      </c>
      <c r="K36" s="32" t="n">
        <v>35843</v>
      </c>
      <c r="L36" s="31" t="n">
        <v>20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61.66</v>
      </c>
      <c r="P36" s="32" t="n">
        <v>25.98</v>
      </c>
      <c r="Q36" s="32" t="n">
        <v>240.58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2.62</v>
      </c>
      <c r="U36" s="32" t="n">
        <v>-1.16</v>
      </c>
      <c r="V36" s="32" t="n">
        <v>-3.68</v>
      </c>
      <c r="W36" s="32" t="n">
        <v>3.28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IF(B37=0,"",RANK(B37,$B$2:$B$67,0))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JSFB</t>
        </is>
      </c>
      <c r="D37" s="33" t="inlineStr">
        <is>
          <t>Jana Small Finance Bank Ltd</t>
        </is>
      </c>
      <c r="E37" s="31" t="inlineStr">
        <is>
          <t>bank</t>
        </is>
      </c>
      <c r="F37" s="31" t="inlineStr">
        <is>
          <t>banks - private sector</t>
        </is>
      </c>
      <c r="G37" s="31" t="inlineStr">
        <is>
          <t>midcap</t>
        </is>
      </c>
      <c r="H37" s="32" t="n">
        <v>5161.18</v>
      </c>
      <c r="I37" s="32" t="n">
        <v>488.9</v>
      </c>
      <c r="J37" s="32" t="n">
        <v>-0.21</v>
      </c>
      <c r="K37" s="32" t="n">
        <v>1196637</v>
      </c>
      <c r="L37" s="31" t="n">
        <v>33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60.23</v>
      </c>
      <c r="P37" s="32" t="n">
        <v>29.72</v>
      </c>
      <c r="Q37" s="32" t="n">
        <v>381.63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2.62</v>
      </c>
      <c r="U37" s="32" t="n">
        <v>-0.24</v>
      </c>
      <c r="V37" s="32" t="n">
        <v>-2.79</v>
      </c>
      <c r="W37" s="32" t="n">
        <v>5.71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IF(B38=0,"",RANK(B38,$B$2:$B$67,0))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NUVAMA</t>
        </is>
      </c>
      <c r="D38" s="31" t="inlineStr">
        <is>
          <t>Nuvama Wealth Management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35205.01</v>
      </c>
      <c r="I38" s="32" t="n">
        <v>1919.3</v>
      </c>
      <c r="J38" s="32" t="n">
        <v>-0.75</v>
      </c>
      <c r="K38" s="32" t="n">
        <v>251998</v>
      </c>
      <c r="L38" s="31" t="n">
        <v>66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69.76000000000001</v>
      </c>
      <c r="P38" s="32" t="n">
        <v>34.27</v>
      </c>
      <c r="Q38" s="32" t="n">
        <v>1597.86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2.62</v>
      </c>
      <c r="U38" s="32" t="n">
        <v>26.54</v>
      </c>
      <c r="V38" s="32" t="n">
        <v>23.31</v>
      </c>
      <c r="W38" s="32" t="n">
        <v>13.7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Blue sky scenario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IF(B39=0,"",RANK(B39,$B$2:$B$67,0))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MANCREDIT</t>
        </is>
      </c>
      <c r="D39" s="31" t="inlineStr">
        <is>
          <t>Mangal Credit &amp; Fincorp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smallcap</t>
        </is>
      </c>
      <c r="H39" s="32" t="n">
        <v>510.96</v>
      </c>
      <c r="I39" s="32" t="n">
        <v>233.01</v>
      </c>
      <c r="J39" s="32" t="n">
        <v>-3.71</v>
      </c>
      <c r="K39" s="32" t="n">
        <v>204807</v>
      </c>
      <c r="L39" s="31" t="n">
        <v>62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69.92</v>
      </c>
      <c r="P39" s="32" t="n">
        <v>36.24</v>
      </c>
      <c r="Q39" s="32" t="n">
        <v>185.8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2.62</v>
      </c>
      <c r="U39" s="32" t="n">
        <v>21.21</v>
      </c>
      <c r="V39" s="32" t="n">
        <v>18.11</v>
      </c>
      <c r="W39" s="32" t="n">
        <v>12.42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IF(B40=0,"",RANK(B40,$B$2:$B$67,0))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KARURVYSYA</t>
        </is>
      </c>
      <c r="D40" s="31" t="inlineStr">
        <is>
          <t>Karur Vysya Bank Limited</t>
        </is>
      </c>
      <c r="E40" s="31" t="inlineStr">
        <is>
          <t>bank</t>
        </is>
      </c>
      <c r="F40" s="31" t="inlineStr">
        <is>
          <t>banks - private sector</t>
        </is>
      </c>
      <c r="G40" s="31" t="inlineStr">
        <is>
          <t>largecap</t>
        </is>
      </c>
      <c r="H40" s="32" t="n">
        <v>28955.89</v>
      </c>
      <c r="I40" s="32" t="n">
        <v>305.4</v>
      </c>
      <c r="J40" s="32" t="n">
        <v>1.95</v>
      </c>
      <c r="K40" s="32" t="n">
        <v>2108877</v>
      </c>
      <c r="L40" s="31" t="n">
        <v>47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59.33</v>
      </c>
      <c r="P40" s="32" t="n">
        <v>12.87</v>
      </c>
      <c r="Q40" s="32" t="n">
        <v>249.53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2.62</v>
      </c>
      <c r="U40" s="32" t="n">
        <v>38.01</v>
      </c>
      <c r="V40" s="32" t="n">
        <v>34.49</v>
      </c>
      <c r="W40" s="32" t="n">
        <v>8.85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IF(B41=0,"",RANK(B41,$B$2:$B$67,0))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HOMEFIRST</t>
        </is>
      </c>
      <c r="D41" s="33" t="inlineStr">
        <is>
          <t>Home First Finance Company India Ltd</t>
        </is>
      </c>
      <c r="E41" s="31" t="inlineStr">
        <is>
          <t>financials</t>
        </is>
      </c>
      <c r="F41" s="31" t="inlineStr">
        <is>
          <t>finance - housing</t>
        </is>
      </c>
      <c r="G41" s="31" t="inlineStr">
        <is>
          <t>midcap</t>
        </is>
      </c>
      <c r="H41" s="32" t="n">
        <v>12760.36</v>
      </c>
      <c r="I41" s="32" t="n">
        <v>1241.8</v>
      </c>
      <c r="J41" s="32" t="n">
        <v>1.53</v>
      </c>
      <c r="K41" s="32" t="n">
        <v>107072</v>
      </c>
      <c r="L41" s="31" t="n">
        <v>11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62.28</v>
      </c>
      <c r="P41" s="32" t="n">
        <v>26.62</v>
      </c>
      <c r="Q41" s="32" t="n">
        <v>991.23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2.62</v>
      </c>
      <c r="U41" s="32" t="n">
        <v>-8.24</v>
      </c>
      <c r="V41" s="32" t="n">
        <v>-10.59</v>
      </c>
      <c r="W41" s="32" t="n">
        <v>0.89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more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20 to 40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IF(B42=0,"",RANK(B42,$B$2:$B$67,0))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SMCGLOBAL</t>
        </is>
      </c>
      <c r="D42" s="31" t="inlineStr">
        <is>
          <t>SMC Global Securities Ltd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smallcap</t>
        </is>
      </c>
      <c r="H42" s="32" t="n">
        <v>1663.68</v>
      </c>
      <c r="I42" s="32" t="n">
        <v>80.09</v>
      </c>
      <c r="J42" s="32" t="n">
        <v>0.8100000000000001</v>
      </c>
      <c r="K42" s="32" t="n">
        <v>592151</v>
      </c>
      <c r="L42" s="31" t="n">
        <v>42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61.8</v>
      </c>
      <c r="P42" s="32" t="n">
        <v>15.59</v>
      </c>
      <c r="Q42" s="32" t="n">
        <v>60.23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2.62</v>
      </c>
      <c r="U42" s="32" t="n">
        <v>8.52</v>
      </c>
      <c r="V42" s="32" t="n">
        <v>5.75</v>
      </c>
      <c r="W42" s="32" t="n">
        <v>7.63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IF(B43=0,"",RANK(B43,$B$2:$B$67,0))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IIFL</t>
        </is>
      </c>
      <c r="D43" s="31" t="inlineStr">
        <is>
          <t>IIFL Finance Ltd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largecap</t>
        </is>
      </c>
      <c r="H43" s="32" t="n">
        <v>23029.43</v>
      </c>
      <c r="I43" s="32" t="n">
        <v>543.6</v>
      </c>
      <c r="J43" s="32" t="n">
        <v>0.39</v>
      </c>
      <c r="K43" s="32" t="n">
        <v>1333344</v>
      </c>
      <c r="L43" s="31" t="n">
        <v>30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58.59</v>
      </c>
      <c r="P43" s="32" t="n">
        <v>17.11</v>
      </c>
      <c r="Q43" s="32" t="n">
        <v>427.87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2.62</v>
      </c>
      <c r="U43" s="32" t="n">
        <v>2.75</v>
      </c>
      <c r="V43" s="32" t="n">
        <v>0.13</v>
      </c>
      <c r="W43" s="32" t="n">
        <v>5.12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IF(B44=0,"",RANK(B44,$B$2:$B$67,0))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EQUITASBNK</t>
        </is>
      </c>
      <c r="D44" s="31" t="inlineStr">
        <is>
          <t>Equitas Small Finance Bank Ltd</t>
        </is>
      </c>
      <c r="E44" s="31" t="inlineStr">
        <is>
          <t>bank</t>
        </is>
      </c>
      <c r="F44" s="31" t="inlineStr">
        <is>
          <t>banks - private sector</t>
        </is>
      </c>
      <c r="G44" s="31" t="inlineStr">
        <is>
          <t>midcap</t>
        </is>
      </c>
      <c r="H44" s="32" t="n">
        <v>9121.5</v>
      </c>
      <c r="I44" s="32" t="n">
        <v>79.89</v>
      </c>
      <c r="J44" s="32" t="n">
        <v>-0.06</v>
      </c>
      <c r="K44" s="32" t="n">
        <v>5774356</v>
      </c>
      <c r="L44" s="31" t="n">
        <v>52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64.42</v>
      </c>
      <c r="P44" s="32" t="n">
        <v>28.97</v>
      </c>
      <c r="Q44" s="32" t="n">
        <v>66.31</v>
      </c>
      <c r="R44" s="31" t="inlineStr">
        <is>
          <t>Near 52W High Breakout</t>
        </is>
      </c>
      <c r="S44" s="31" t="inlineStr">
        <is>
          <t>Nifty Bank</t>
        </is>
      </c>
      <c r="T44" s="32" t="n">
        <v>2.62</v>
      </c>
      <c r="U44" s="32" t="n">
        <v>26.23</v>
      </c>
      <c r="V44" s="32" t="n">
        <v>23.01</v>
      </c>
      <c r="W44" s="32" t="n">
        <v>10.05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Cyclical in an Uptick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inlineStr">
        <is>
          <t>Yes</t>
        </is>
      </c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No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No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more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20 to 40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IF(B45=0,"",RANK(B45,$B$2:$B$67,0))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OFSS</t>
        </is>
      </c>
      <c r="D45" s="31" t="inlineStr">
        <is>
          <t>Oracle Financial Services Software Limited</t>
        </is>
      </c>
      <c r="E45" s="31" t="inlineStr">
        <is>
          <t>i.t</t>
        </is>
      </c>
      <c r="F45" s="31" t="inlineStr">
        <is>
          <t>computers - software - large</t>
        </is>
      </c>
      <c r="G45" s="31" t="inlineStr">
        <is>
          <t>largecap</t>
        </is>
      </c>
      <c r="H45" s="32" t="n">
        <v>101404.21</v>
      </c>
      <c r="I45" s="32" t="n">
        <v>11625</v>
      </c>
      <c r="J45" s="32" t="n">
        <v>-0.18</v>
      </c>
      <c r="K45" s="32" t="n">
        <v>247577</v>
      </c>
      <c r="L45" s="31" t="n">
        <v>78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75.78</v>
      </c>
      <c r="P45" s="32" t="n">
        <v>33.39</v>
      </c>
      <c r="Q45" s="32" t="n">
        <v>9513.129999999999</v>
      </c>
      <c r="R45" s="31" t="inlineStr">
        <is>
          <t>Near 52W High Breakout</t>
        </is>
      </c>
      <c r="S45" s="31" t="inlineStr">
        <is>
          <t>Nifty IT</t>
        </is>
      </c>
      <c r="T45" s="32" t="n">
        <v>-23.18</v>
      </c>
      <c r="U45" s="32" t="n">
        <v>38.14</v>
      </c>
      <c r="V45" s="32" t="n">
        <v>79.83</v>
      </c>
      <c r="W45" s="32" t="n">
        <v>18.32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above 5x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20 to 40</t>
        </is>
      </c>
      <c r="BM45" s="31">
        <f>IF(BL45="Above 40",20,IF(BL45="20 to 40",10,IF(BL45="0 to 20",-5,0)))</f>
        <v/>
      </c>
      <c r="BN45" s="31" t="inlineStr">
        <is>
          <t>Above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Blue sky scenario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IF(B46=0,"",RANK(B46,$B$2:$B$67,0))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ESAFSFB</t>
        </is>
      </c>
      <c r="D46" s="31" t="inlineStr">
        <is>
          <t>ESAF Small Finance Bank Ltd</t>
        </is>
      </c>
      <c r="E46" s="31" t="inlineStr">
        <is>
          <t>bank</t>
        </is>
      </c>
      <c r="F46" s="31" t="inlineStr">
        <is>
          <t>banks - private sector</t>
        </is>
      </c>
      <c r="G46" s="31" t="inlineStr">
        <is>
          <t>smallcap</t>
        </is>
      </c>
      <c r="H46" s="32" t="n">
        <v>1806.88</v>
      </c>
      <c r="I46" s="32" t="n">
        <v>35.81</v>
      </c>
      <c r="J46" s="32" t="n">
        <v>2.2</v>
      </c>
      <c r="K46" s="32" t="n">
        <v>1591206</v>
      </c>
      <c r="L46" s="31" t="n">
        <v>65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65.61</v>
      </c>
      <c r="P46" s="32" t="n">
        <v>25.33</v>
      </c>
      <c r="Q46" s="32" t="n">
        <v>27.27</v>
      </c>
      <c r="R46" s="31" t="inlineStr">
        <is>
          <t>Near 52W High Breakout</t>
        </is>
      </c>
      <c r="S46" s="31" t="inlineStr">
        <is>
          <t>Nifty Bank</t>
        </is>
      </c>
      <c r="T46" s="32" t="n">
        <v>2.62</v>
      </c>
      <c r="U46" s="32" t="n">
        <v>7.38</v>
      </c>
      <c r="V46" s="32" t="n">
        <v>4.63</v>
      </c>
      <c r="W46" s="32" t="n">
        <v>13.66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more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20 to 40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Negative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IF(B47=0,"",RANK(B47,$B$2:$B$67,0))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MASFIN</t>
        </is>
      </c>
      <c r="D47" s="33" t="inlineStr">
        <is>
          <t>MAS Financial Services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midcap</t>
        </is>
      </c>
      <c r="H47" s="32" t="n">
        <v>5780.2</v>
      </c>
      <c r="I47" s="32" t="n">
        <v>324</v>
      </c>
      <c r="J47" s="32" t="n">
        <v>1.71</v>
      </c>
      <c r="K47" s="32" t="n">
        <v>56074</v>
      </c>
      <c r="L47" s="31" t="n">
        <v>6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54.2</v>
      </c>
      <c r="P47" s="32" t="n">
        <v>18.15</v>
      </c>
      <c r="Q47" s="32" t="n">
        <v>285.25</v>
      </c>
      <c r="R47" s="31" t="inlineStr">
        <is>
          <t>Earnings / Momentum Support</t>
        </is>
      </c>
      <c r="S47" s="31" t="inlineStr">
        <is>
          <t>Nifty Bank</t>
        </is>
      </c>
      <c r="T47" s="32" t="n">
        <v>2.62</v>
      </c>
      <c r="U47" s="32" t="n">
        <v>-4.01</v>
      </c>
      <c r="V47" s="32" t="n">
        <v>-6.46</v>
      </c>
      <c r="W47" s="32" t="n">
        <v>-0.22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more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IF(B48=0,"",RANK(B48,$B$2:$B$67,0))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HDBFS</t>
        </is>
      </c>
      <c r="D48" s="33" t="inlineStr">
        <is>
          <t>HDB Financial Services Ltd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largecap</t>
        </is>
      </c>
      <c r="H48" s="32" t="n">
        <v>61768.04</v>
      </c>
      <c r="I48" s="32" t="n">
        <v>751.7</v>
      </c>
      <c r="J48" s="32" t="n">
        <v>1.05</v>
      </c>
      <c r="K48" s="32" t="n">
        <v>406830</v>
      </c>
      <c r="L48" s="31" t="n">
        <v>12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59.31</v>
      </c>
      <c r="P48" s="32" t="n">
        <v>13.77</v>
      </c>
      <c r="Q48" s="32" t="n">
        <v>631.5</v>
      </c>
      <c r="R48" s="31" t="inlineStr">
        <is>
          <t>Near 52W High Breakout</t>
        </is>
      </c>
      <c r="S48" s="31" t="inlineStr">
        <is>
          <t>Nifty Bank</t>
        </is>
      </c>
      <c r="T48" s="32" t="n">
        <v>2.62</v>
      </c>
      <c r="U48" s="32" t="n">
        <v>-5.37</v>
      </c>
      <c r="V48" s="32" t="n">
        <v>-7.79</v>
      </c>
      <c r="W48" s="32" t="n">
        <v>1.34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between 2.5x to 5x and Growth more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IF(B49=0,"",RANK(B49,$B$2:$B$67,0))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LICI</t>
        </is>
      </c>
      <c r="D49" s="33" t="inlineStr">
        <is>
          <t>Life Insurance Corporation of India Ltd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largecap</t>
        </is>
      </c>
      <c r="H49" s="32" t="n">
        <v>550780.8</v>
      </c>
      <c r="I49" s="32" t="n">
        <v>439.75</v>
      </c>
      <c r="J49" s="32" t="n">
        <v>1</v>
      </c>
      <c r="K49" s="32" t="n">
        <v>3963214</v>
      </c>
      <c r="L49" s="31" t="n">
        <v>12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60.21</v>
      </c>
      <c r="P49" s="32" t="n">
        <v>14.42</v>
      </c>
      <c r="Q49" s="32" t="n">
        <v>376.34</v>
      </c>
      <c r="R49" s="31" t="inlineStr">
        <is>
          <t>Near 52W High Breakout</t>
        </is>
      </c>
      <c r="S49" s="31" t="inlineStr">
        <is>
          <t>Nifty Bank</t>
        </is>
      </c>
      <c r="T49" s="32" t="n">
        <v>2.62</v>
      </c>
      <c r="U49" s="32" t="n">
        <v>-1.2</v>
      </c>
      <c r="V49" s="32" t="n">
        <v>-3.73</v>
      </c>
      <c r="W49" s="32" t="n">
        <v>1.25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between 2.5x to 5x and Growth more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IF(B50=0,"",RANK(B50,$B$2:$B$67,0))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UNIONBANK</t>
        </is>
      </c>
      <c r="D50" s="31" t="inlineStr">
        <is>
          <t>Union Bank Of India Ltd</t>
        </is>
      </c>
      <c r="E50" s="31" t="inlineStr">
        <is>
          <t>bank</t>
        </is>
      </c>
      <c r="F50" s="31" t="inlineStr">
        <is>
          <t>banks - public sector</t>
        </is>
      </c>
      <c r="G50" s="31" t="inlineStr">
        <is>
          <t>largecap</t>
        </is>
      </c>
      <c r="H50" s="32" t="n">
        <v>130282.75</v>
      </c>
      <c r="I50" s="32" t="n">
        <v>172.38</v>
      </c>
      <c r="J50" s="32" t="n">
        <v>1</v>
      </c>
      <c r="K50" s="32" t="n">
        <v>60853488</v>
      </c>
      <c r="L50" s="31" t="n">
        <v>24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55.81</v>
      </c>
      <c r="P50" s="32" t="n">
        <v>17.09</v>
      </c>
      <c r="Q50" s="32" t="n">
        <v>150.23</v>
      </c>
      <c r="R50" s="31" t="inlineStr">
        <is>
          <t>Volume Spike / Accumulation</t>
        </is>
      </c>
      <c r="S50" s="31" t="inlineStr">
        <is>
          <t>Nifty Bank</t>
        </is>
      </c>
      <c r="T50" s="32" t="n">
        <v>2.62</v>
      </c>
      <c r="U50" s="32" t="n">
        <v>25.28</v>
      </c>
      <c r="V50" s="32" t="n">
        <v>22.08</v>
      </c>
      <c r="W50" s="32" t="n">
        <v>4.1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less than 2.5x and Growth less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IF(B51=0,"",RANK(B51,$B$2:$B$67,0))</f>
        <v/>
      </c>
      <c r="B51" s="32">
        <f>SUM(N51,Y51,AA51,AC51,AE51,AG51,AI51,AK51,AM51,AO51,AQ51,AS51,AU51,AW51,AY51,BA51,BC51,BE51,BG51,BI51,BK51,BM51,BO51,BQ51,BS51,BU51,BW51,BY51,CA51)</f>
        <v/>
      </c>
      <c r="C51" s="31" t="inlineStr">
        <is>
          <t>GEOJITFSL</t>
        </is>
      </c>
      <c r="D51" s="31" t="inlineStr">
        <is>
          <t>Geojit Financial Services Ltd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smallcap</t>
        </is>
      </c>
      <c r="H51" s="32" t="n">
        <v>2253.35</v>
      </c>
      <c r="I51" s="32" t="n">
        <v>81.15000000000001</v>
      </c>
      <c r="J51" s="32" t="n">
        <v>0.52</v>
      </c>
      <c r="K51" s="32" t="n">
        <v>425793</v>
      </c>
      <c r="L51" s="31" t="n">
        <v>41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66.87</v>
      </c>
      <c r="P51" s="32" t="n">
        <v>13.14</v>
      </c>
      <c r="Q51" s="32" t="n">
        <v>65.2</v>
      </c>
      <c r="R51" s="31" t="inlineStr">
        <is>
          <t>Near 52W High Breakout</t>
        </is>
      </c>
      <c r="S51" s="31" t="inlineStr">
        <is>
          <t>Nifty Bank</t>
        </is>
      </c>
      <c r="T51" s="32" t="n">
        <v>2.62</v>
      </c>
      <c r="U51" s="32" t="n">
        <v>10.45</v>
      </c>
      <c r="V51" s="32" t="n">
        <v>7.63</v>
      </c>
      <c r="W51" s="32" t="n">
        <v>7.24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less than 2.5x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IF(B52=0,"",RANK(B52,$B$2:$B$67,0))</f>
        <v/>
      </c>
      <c r="B52" s="32">
        <f>SUM(N52,Y52,AA52,AC52,AE52,AG52,AI52,AK52,AM52,AO52,AQ52,AS52,AU52,AW52,AY52,BA52,BC52,BE52,BG52,BI52,BK52,BM52,BO52,BQ52,BS52,BU52,BW52,BY52,CA52)</f>
        <v/>
      </c>
      <c r="C52" s="33" t="inlineStr">
        <is>
          <t>SHAREINDIA</t>
        </is>
      </c>
      <c r="D52" s="33" t="inlineStr">
        <is>
          <t>Share India Securities Ltd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smallcap</t>
        </is>
      </c>
      <c r="H52" s="32" t="n">
        <v>3889.84</v>
      </c>
      <c r="I52" s="32" t="n">
        <v>174.51</v>
      </c>
      <c r="J52" s="32" t="n">
        <v>-1.83</v>
      </c>
      <c r="K52" s="32" t="n">
        <v>1352405</v>
      </c>
      <c r="L52" s="31" t="n">
        <v>28</v>
      </c>
      <c r="M52" s="31" t="inlineStr">
        <is>
          <t>Underperforming</t>
        </is>
      </c>
      <c r="N52" s="32">
        <f>IF(M52="Underperforming",-5,IF(L52&gt;=95,15,IF(L52&gt;=90,10,IF(L52&gt;=80,5,0))))</f>
        <v/>
      </c>
      <c r="O52" s="32" t="n">
        <v>63.66</v>
      </c>
      <c r="P52" s="32" t="n">
        <v>12.73</v>
      </c>
      <c r="Q52" s="32" t="n">
        <v>132.83</v>
      </c>
      <c r="R52" s="31" t="inlineStr">
        <is>
          <t>Earnings / Momentum Support</t>
        </is>
      </c>
      <c r="S52" s="31" t="inlineStr">
        <is>
          <t>Nifty Bank</t>
        </is>
      </c>
      <c r="T52" s="32" t="n">
        <v>2.62</v>
      </c>
      <c r="U52" s="32" t="n">
        <v>-0.6899999999999999</v>
      </c>
      <c r="V52" s="32" t="n">
        <v>-3.23</v>
      </c>
      <c r="W52" s="32" t="n">
        <v>4.89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less than 2.5x and Growth more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IF(B53=0,"",RANK(B53,$B$2:$B$67,0))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CHOLAFIN</t>
        </is>
      </c>
      <c r="D53" s="31" t="inlineStr">
        <is>
          <t>Cholamandalam Investment And Finance Company Limited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largecap</t>
        </is>
      </c>
      <c r="H53" s="32" t="n">
        <v>150938.38</v>
      </c>
      <c r="I53" s="32" t="n">
        <v>1803.9</v>
      </c>
      <c r="J53" s="32" t="n">
        <v>1.83</v>
      </c>
      <c r="K53" s="32" t="n">
        <v>1510352</v>
      </c>
      <c r="L53" s="31" t="n">
        <v>36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61.55</v>
      </c>
      <c r="P53" s="32" t="n">
        <v>12.17</v>
      </c>
      <c r="Q53" s="32" t="n">
        <v>1471.56</v>
      </c>
      <c r="R53" s="31" t="inlineStr">
        <is>
          <t>Near 52W High Breakout</t>
        </is>
      </c>
      <c r="S53" s="31" t="inlineStr">
        <is>
          <t>Nifty Bank</t>
        </is>
      </c>
      <c r="T53" s="32" t="n">
        <v>2.62</v>
      </c>
      <c r="U53" s="32" t="n">
        <v>16.18</v>
      </c>
      <c r="V53" s="32" t="n">
        <v>13.21</v>
      </c>
      <c r="W53" s="32" t="n">
        <v>6.13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above 5x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Blue sky scenario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IF(B54=0,"",RANK(B54,$B$2:$B$67,0))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5PAISA</t>
        </is>
      </c>
      <c r="D54" s="33" t="inlineStr">
        <is>
          <t>5Paisa Capital Ltd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smallcap</t>
        </is>
      </c>
      <c r="H54" s="32" t="n">
        <v>1804.73</v>
      </c>
      <c r="I54" s="32" t="n">
        <v>390.85</v>
      </c>
      <c r="J54" s="32" t="n">
        <v>1.53</v>
      </c>
      <c r="K54" s="32" t="n">
        <v>114226</v>
      </c>
      <c r="L54" s="31" t="n">
        <v>31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62.85</v>
      </c>
      <c r="P54" s="32" t="n">
        <v>12.14</v>
      </c>
      <c r="Q54" s="32" t="n">
        <v>292.13</v>
      </c>
      <c r="R54" s="31" t="inlineStr">
        <is>
          <t>Near 52W High Breakout</t>
        </is>
      </c>
      <c r="S54" s="31" t="inlineStr">
        <is>
          <t>Nifty Bank</t>
        </is>
      </c>
      <c r="T54" s="32" t="n">
        <v>2.62</v>
      </c>
      <c r="U54" s="32" t="n">
        <v>-1.26</v>
      </c>
      <c r="V54" s="32" t="n">
        <v>-3.78</v>
      </c>
      <c r="W54" s="32" t="n">
        <v>5.39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less than 2.5x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IF(B55=0,"",RANK(B55,$B$2:$B$67,0))</f>
        <v/>
      </c>
      <c r="B55" s="32">
        <f>SUM(N55,Y55,AA55,AC55,AE55,AG55,AI55,AK55,AM55,AO55,AQ55,AS55,AU55,AW55,AY55,BA55,BC55,BE55,BG55,BI55,BK55,BM55,BO55,BQ55,BS55,BU55,BW55,BY55,CA55)</f>
        <v/>
      </c>
      <c r="C55" s="31" t="inlineStr">
        <is>
          <t>POONAWALLA</t>
        </is>
      </c>
      <c r="D55" s="31" t="inlineStr">
        <is>
          <t>Poonawalla Fincorp Ltd</t>
        </is>
      </c>
      <c r="E55" s="31" t="inlineStr">
        <is>
          <t>financials</t>
        </is>
      </c>
      <c r="F55" s="31" t="inlineStr">
        <is>
          <t>finance &amp; investments</t>
        </is>
      </c>
      <c r="G55" s="31" t="inlineStr">
        <is>
          <t>largecap</t>
        </is>
      </c>
      <c r="H55" s="32" t="n">
        <v>41317.4</v>
      </c>
      <c r="I55" s="32" t="n">
        <v>475.55</v>
      </c>
      <c r="J55" s="32" t="n">
        <v>1.34</v>
      </c>
      <c r="K55" s="32" t="n">
        <v>866281</v>
      </c>
      <c r="L55" s="31" t="n">
        <v>27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60.06</v>
      </c>
      <c r="P55" s="32" t="n">
        <v>11.04</v>
      </c>
      <c r="Q55" s="32" t="n">
        <v>377.41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2.62</v>
      </c>
      <c r="U55" s="32" t="n">
        <v>5.16</v>
      </c>
      <c r="V55" s="32" t="n">
        <v>2.48</v>
      </c>
      <c r="W55" s="32" t="n">
        <v>4.72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between 2.5x to 5x and Growth more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IF(B56=0,"",RANK(B56,$B$2:$B$67,0))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CHOICEIN</t>
        </is>
      </c>
      <c r="D56" s="31" t="inlineStr">
        <is>
          <t>Choice International Ltd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midcap</t>
        </is>
      </c>
      <c r="H56" s="32" t="n">
        <v>18062.72</v>
      </c>
      <c r="I56" s="32" t="n">
        <v>817.65</v>
      </c>
      <c r="J56" s="32" t="n">
        <v>0.84</v>
      </c>
      <c r="K56" s="32" t="n">
        <v>586930</v>
      </c>
      <c r="L56" s="31" t="n">
        <v>27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62.29</v>
      </c>
      <c r="P56" s="32" t="n">
        <v>19.93</v>
      </c>
      <c r="Q56" s="32" t="n">
        <v>680.86</v>
      </c>
      <c r="R56" s="31" t="inlineStr">
        <is>
          <t>Near 52W High Breakout</t>
        </is>
      </c>
      <c r="S56" s="31" t="inlineStr">
        <is>
          <t>Nifty Bank</t>
        </is>
      </c>
      <c r="T56" s="32" t="n">
        <v>2.62</v>
      </c>
      <c r="U56" s="32" t="n">
        <v>8.58</v>
      </c>
      <c r="V56" s="32" t="n">
        <v>5.81</v>
      </c>
      <c r="W56" s="32" t="n">
        <v>4.59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above 5x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2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Blue sky scenario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IF(B57=0,"",RANK(B57,$B$2:$B$67,0))</f>
        <v/>
      </c>
      <c r="B57" s="32">
        <f>SUM(N57,Y57,AA57,AC57,AE57,AG57,AI57,AK57,AM57,AO57,AQ57,AS57,AU57,AW57,AY57,BA57,BC57,BE57,BG57,BI57,BK57,BM57,BO57,BQ57,BS57,BU57,BW57,BY57,CA57)</f>
        <v/>
      </c>
      <c r="C57" s="31" t="inlineStr">
        <is>
          <t>MOTILALOFS</t>
        </is>
      </c>
      <c r="D57" s="31" t="inlineStr">
        <is>
          <t>Motilal Oswal Financial Services Limited</t>
        </is>
      </c>
      <c r="E57" s="31" t="inlineStr">
        <is>
          <t>financials</t>
        </is>
      </c>
      <c r="F57" s="31" t="inlineStr">
        <is>
          <t>finance &amp; investments</t>
        </is>
      </c>
      <c r="G57" s="31" t="inlineStr">
        <is>
          <t>largecap</t>
        </is>
      </c>
      <c r="H57" s="32" t="n">
        <v>58199.87</v>
      </c>
      <c r="I57" s="32" t="n">
        <v>967.45</v>
      </c>
      <c r="J57" s="32" t="n">
        <v>0.05</v>
      </c>
      <c r="K57" s="32" t="n">
        <v>471746</v>
      </c>
      <c r="L57" s="31" t="n">
        <v>34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63.66</v>
      </c>
      <c r="P57" s="32" t="n">
        <v>15.66</v>
      </c>
      <c r="Q57" s="32" t="n">
        <v>798.13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2.62</v>
      </c>
      <c r="U57" s="32" t="n">
        <v>6.98</v>
      </c>
      <c r="V57" s="32" t="n">
        <v>4.25</v>
      </c>
      <c r="W57" s="32" t="n">
        <v>5.76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between 2.5x to 5x and Growth more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2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IF(B58=0,"",RANK(B58,$B$2:$B$67,0))</f>
        <v/>
      </c>
      <c r="B58" s="32">
        <f>SUM(N58,Y58,AA58,AC58,AE58,AG58,AI58,AK58,AM58,AO58,AQ58,AS58,AU58,AW58,AY58,BA58,BC58,BE58,BG58,BI58,BK58,BM58,BO58,BQ58,BS58,BU58,BW58,BY58,CA58)</f>
        <v/>
      </c>
      <c r="C58" s="33" t="inlineStr">
        <is>
          <t>APTUS</t>
        </is>
      </c>
      <c r="D58" s="33" t="inlineStr">
        <is>
          <t>Aptus Value Housing Finance India Ltd</t>
        </is>
      </c>
      <c r="E58" s="31" t="inlineStr">
        <is>
          <t>financials</t>
        </is>
      </c>
      <c r="F58" s="31" t="inlineStr">
        <is>
          <t>finance - housing</t>
        </is>
      </c>
      <c r="G58" s="31" t="inlineStr">
        <is>
          <t>midcap</t>
        </is>
      </c>
      <c r="H58" s="32" t="n">
        <v>14529.05</v>
      </c>
      <c r="I58" s="32" t="n">
        <v>295.6</v>
      </c>
      <c r="J58" s="32" t="n">
        <v>1.88</v>
      </c>
      <c r="K58" s="32" t="n">
        <v>974240</v>
      </c>
      <c r="L58" s="31" t="n">
        <v>14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62.24</v>
      </c>
      <c r="P58" s="32" t="n">
        <v>17.59</v>
      </c>
      <c r="Q58" s="32" t="n">
        <v>236.01</v>
      </c>
      <c r="R58" s="31" t="inlineStr">
        <is>
          <t>Earnings / Momentum Support</t>
        </is>
      </c>
      <c r="S58" s="31" t="inlineStr">
        <is>
          <t>Nifty Bank</t>
        </is>
      </c>
      <c r="T58" s="32" t="n">
        <v>2.62</v>
      </c>
      <c r="U58" s="32" t="n">
        <v>-14.35</v>
      </c>
      <c r="V58" s="32" t="n">
        <v>-16.54</v>
      </c>
      <c r="W58" s="32" t="n">
        <v>1.91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No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between 2.5x to 5x and Growth more than 20%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0 to 20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2</t>
        </is>
      </c>
      <c r="BQ58" s="31">
        <f>IF(BP58="Stage 2",20,IF(BP58="Stage 1",0,IF(BP58="Stage 3",5,IF(BP58="Stage 4",-5,0))))</f>
        <v/>
      </c>
      <c r="BR58" s="31" t="inlineStr">
        <is>
          <t>Positive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Close to 52 week high or retracement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IF(B59=0,"",RANK(B59,$B$2:$B$67,0))</f>
        <v/>
      </c>
      <c r="B59" s="32">
        <f>SUM(N59,Y59,AA59,AC59,AE59,AG59,AI59,AK59,AM59,AO59,AQ59,AS59,AU59,AW59,AY59,BA59,BC59,BE59,BG59,BI59,BK59,BM59,BO59,BQ59,BS59,BU59,BW59,BY59,CA59)</f>
        <v/>
      </c>
      <c r="C59" s="33" t="inlineStr">
        <is>
          <t>ICICIBANK</t>
        </is>
      </c>
      <c r="D59" s="33" t="inlineStr">
        <is>
          <t>Icici Bank Limited</t>
        </is>
      </c>
      <c r="E59" s="31" t="inlineStr">
        <is>
          <t>bank</t>
        </is>
      </c>
      <c r="F59" s="31" t="inlineStr">
        <is>
          <t>banks - private sector</t>
        </is>
      </c>
      <c r="G59" s="31" t="inlineStr">
        <is>
          <t>largecap</t>
        </is>
      </c>
      <c r="H59" s="32" t="n">
        <v>1007929.05</v>
      </c>
      <c r="I59" s="32" t="n">
        <v>1416.2</v>
      </c>
      <c r="J59" s="32" t="n">
        <v>0.6</v>
      </c>
      <c r="K59" s="32" t="n">
        <v>12966173</v>
      </c>
      <c r="L59" s="31" t="n">
        <v>12</v>
      </c>
      <c r="M59" s="31" t="inlineStr">
        <is>
          <t>Underperforming</t>
        </is>
      </c>
      <c r="N59" s="32">
        <f>IF(M59="Underperforming",-5,IF(L59&gt;=95,15,IF(L59&gt;=90,10,IF(L59&gt;=80,5,0))))</f>
        <v/>
      </c>
      <c r="O59" s="32" t="n">
        <v>61.37</v>
      </c>
      <c r="P59" s="32" t="n">
        <v>12.77</v>
      </c>
      <c r="Q59" s="32" t="n">
        <v>1244</v>
      </c>
      <c r="R59" s="31" t="inlineStr">
        <is>
          <t>Near 52W High Breakout</t>
        </is>
      </c>
      <c r="S59" s="31" t="inlineStr">
        <is>
          <t>Nifty Bank</t>
        </is>
      </c>
      <c r="T59" s="32" t="n">
        <v>2.62</v>
      </c>
      <c r="U59" s="32" t="n">
        <v>0.09</v>
      </c>
      <c r="V59" s="32" t="n">
        <v>-2.46</v>
      </c>
      <c r="W59" s="32" t="n">
        <v>1.1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between 2.5x to 5x and Growth less than 20%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0 to 20</t>
        </is>
      </c>
      <c r="BM59" s="31">
        <f>IF(BL59="Above 40",20,IF(BL59="20 to 40",10,IF(BL59="0 to 20",-5,0)))</f>
        <v/>
      </c>
      <c r="BN59" s="31" t="inlineStr">
        <is>
          <t>Between 50 to 75</t>
        </is>
      </c>
      <c r="BO59" s="31">
        <f>IF(BN59="Between 50 to 75",10,IF(BN59="Above 75",0,0))</f>
        <v/>
      </c>
      <c r="BP59" s="31" t="inlineStr">
        <is>
          <t>Stage 2</t>
        </is>
      </c>
      <c r="BQ59" s="31">
        <f>IF(BP59="Stage 2",20,IF(BP59="Stage 1",0,IF(BP59="Stage 3",5,IF(BP59="Stage 4",-5,0))))</f>
        <v/>
      </c>
      <c r="BR59" s="31" t="inlineStr">
        <is>
          <t>Positive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Blue sky scenario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IF(B60=0,"",RANK(B60,$B$2:$B$67,0))</f>
        <v/>
      </c>
      <c r="B60" s="32">
        <f>SUM(N60,Y60,AA60,AC60,AE60,AG60,AI60,AK60,AM60,AO60,AQ60,AS60,AU60,AW60,AY60,BA60,BC60,BE60,BG60,BI60,BK60,BM60,BO60,BQ60,BS60,BU60,BW60,BY60,CA60)</f>
        <v/>
      </c>
      <c r="C60" s="33" t="inlineStr">
        <is>
          <t>RELIGARE</t>
        </is>
      </c>
      <c r="D60" s="33" t="inlineStr">
        <is>
          <t>Religare Enterprises Limited</t>
        </is>
      </c>
      <c r="E60" s="31" t="inlineStr">
        <is>
          <t>financials</t>
        </is>
      </c>
      <c r="F60" s="31" t="inlineStr">
        <is>
          <t>finance &amp; investments</t>
        </is>
      </c>
      <c r="G60" s="31" t="inlineStr">
        <is>
          <t>midcap</t>
        </is>
      </c>
      <c r="H60" s="32" t="n">
        <v>8948.85</v>
      </c>
      <c r="I60" s="32" t="n">
        <v>267.85</v>
      </c>
      <c r="J60" s="32" t="n">
        <v>2.14</v>
      </c>
      <c r="K60" s="32" t="n">
        <v>760164</v>
      </c>
      <c r="L60" s="31" t="n">
        <v>26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62.48</v>
      </c>
      <c r="P60" s="32" t="n">
        <v>17.06</v>
      </c>
      <c r="Q60" s="32" t="n">
        <v>221.51</v>
      </c>
      <c r="R60" s="31" t="inlineStr">
        <is>
          <t>Near 52W High Breakout</t>
        </is>
      </c>
      <c r="S60" s="31" t="inlineStr">
        <is>
          <t>Nifty Bank</t>
        </is>
      </c>
      <c r="T60" s="32" t="n">
        <v>2.62</v>
      </c>
      <c r="U60" s="32" t="n">
        <v>-0.42</v>
      </c>
      <c r="V60" s="32" t="n">
        <v>-2.96</v>
      </c>
      <c r="W60" s="32" t="n">
        <v>4.37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between 2.5x to 5x and Growth less than 20%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0 to 20</t>
        </is>
      </c>
      <c r="BM60" s="31">
        <f>IF(BL60="Above 40",20,IF(BL60="20 to 40",10,IF(BL60="0 to 20",-5,0)))</f>
        <v/>
      </c>
      <c r="BN60" s="31" t="inlineStr">
        <is>
          <t>Between 50 to 75</t>
        </is>
      </c>
      <c r="BO60" s="31">
        <f>IF(BN60="Between 50 to 75",10,IF(BN60="Above 75",0,0))</f>
        <v/>
      </c>
      <c r="BP60" s="31" t="inlineStr">
        <is>
          <t>Stage 2</t>
        </is>
      </c>
      <c r="BQ60" s="31">
        <f>IF(BP60="Stage 2",20,IF(BP60="Stage 1",0,IF(BP60="Stage 3",5,IF(BP60="Stage 4",-5,0))))</f>
        <v/>
      </c>
      <c r="BR60" s="31" t="inlineStr">
        <is>
          <t>Positive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  <row r="61">
      <c r="A61" s="31">
        <f>IF(B61=0,"",RANK(B61,$B$2:$B$67,0))</f>
        <v/>
      </c>
      <c r="B61" s="32">
        <f>SUM(N61,Y61,AA61,AC61,AE61,AG61,AI61,AK61,AM61,AO61,AQ61,AS61,AU61,AW61,AY61,BA61,BC61,BE61,BG61,BI61,BK61,BM61,BO61,BQ61,BS61,BU61,BW61,BY61,CA61)</f>
        <v/>
      </c>
      <c r="C61" s="31" t="inlineStr">
        <is>
          <t>ARMANFIN</t>
        </is>
      </c>
      <c r="D61" s="31" t="inlineStr">
        <is>
          <t>Arman Financial Services Limited</t>
        </is>
      </c>
      <c r="E61" s="31" t="inlineStr">
        <is>
          <t>financials</t>
        </is>
      </c>
      <c r="F61" s="31" t="inlineStr">
        <is>
          <t>finance &amp; investments</t>
        </is>
      </c>
      <c r="G61" s="31" t="inlineStr">
        <is>
          <t>smallcap</t>
        </is>
      </c>
      <c r="H61" s="32" t="n">
        <v>2059.06</v>
      </c>
      <c r="I61" s="32" t="n">
        <v>1995</v>
      </c>
      <c r="J61" s="32" t="n">
        <v>1.86</v>
      </c>
      <c r="K61" s="32" t="n">
        <v>147530</v>
      </c>
      <c r="L61" s="31" t="n">
        <v>55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66.61</v>
      </c>
      <c r="P61" s="32" t="n">
        <v>15.59</v>
      </c>
      <c r="Q61" s="32" t="n">
        <v>1504.15</v>
      </c>
      <c r="R61" s="31" t="inlineStr">
        <is>
          <t>Volume Spike &amp; Near 52W High Breakout</t>
        </is>
      </c>
      <c r="S61" s="31" t="inlineStr">
        <is>
          <t>Nifty Bank</t>
        </is>
      </c>
      <c r="T61" s="32" t="n">
        <v>2.62</v>
      </c>
      <c r="U61" s="32" t="n">
        <v>23.07</v>
      </c>
      <c r="V61" s="32" t="n">
        <v>19.92</v>
      </c>
      <c r="W61" s="32" t="n">
        <v>10.69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Fragmented with High ROE</t>
        </is>
      </c>
      <c r="AA61" s="31">
        <f>IF(Z61="Fragmented with Low ROE",-5,IF(Z61="Fragmented with High ROE",10,IF(Z61= "highly cyclical",5,0)))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 in an Uptick</t>
        </is>
      </c>
      <c r="AG61" s="31">
        <f>IF(AF61="Structural (10 Years Consistency)",15,IF(AF61="Shallow Cyclical (2 to 3 years growth)",10,IF(AF61 = "Cyclical in an Uptick",5,IF(AF61 = "Cyclical in an Downtick",-10,0))))</f>
        <v/>
      </c>
      <c r="AH61" s="31" t="inlineStr">
        <is>
          <t>Yes</t>
        </is>
      </c>
      <c r="AI61" s="31">
        <f>IF(AH61="Yes",10,0)</f>
        <v/>
      </c>
      <c r="AJ61" s="31" t="inlineStr">
        <is>
          <t>Not Applicable</t>
        </is>
      </c>
      <c r="AK61" s="31">
        <f>IF(AJ61="Yes",10,0)</f>
        <v/>
      </c>
      <c r="AL61" s="31" t="inlineStr">
        <is>
          <t>Yes</t>
        </is>
      </c>
      <c r="AM61" s="31">
        <f>IF(AL61="No",10,0)</f>
        <v/>
      </c>
      <c r="AN61" s="31" t="inlineStr">
        <is>
          <t>Yes</t>
        </is>
      </c>
      <c r="AO61" s="31">
        <f>IF(AN61="Yes",10,0)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Yes</t>
        </is>
      </c>
      <c r="AS61" s="31">
        <f>IF(AR61="Yes",5,0)</f>
        <v/>
      </c>
      <c r="AT61" s="31" t="inlineStr">
        <is>
          <t>Not Applicable</t>
        </is>
      </c>
      <c r="AU61" s="31">
        <f>IF(AT61="No",10,IF(AT61="Yes",-10,0))</f>
        <v/>
      </c>
      <c r="AV61" s="31" t="inlineStr">
        <is>
          <t>No</t>
        </is>
      </c>
      <c r="AW61" s="31">
        <f>IF(AV61="No",10,0)</f>
        <v/>
      </c>
      <c r="AX61" s="31" t="inlineStr">
        <is>
          <t>No</t>
        </is>
      </c>
      <c r="AY61" s="31">
        <f>IF(AX61="No",10,IF(AX61= "Yes CEO Resignation",-5,0))</f>
        <v/>
      </c>
      <c r="AZ61" s="31" t="inlineStr">
        <is>
          <t>No</t>
        </is>
      </c>
      <c r="BA61" s="31">
        <f>IF(AZ61="No",10,IF(AZ61="Yes",-5,0))</f>
        <v/>
      </c>
      <c r="BB61" s="31" t="inlineStr">
        <is>
          <t>No</t>
        </is>
      </c>
      <c r="BC61" s="31">
        <f>IF(BB61="No",5,IF(BB61="Yes",-5,0))</f>
        <v/>
      </c>
      <c r="BD61" s="31" t="inlineStr">
        <is>
          <t>Yes</t>
        </is>
      </c>
      <c r="BE61" s="31">
        <f>IF(BD61="Yes",10,0)</f>
        <v/>
      </c>
      <c r="BF61" s="31" t="inlineStr">
        <is>
          <t>Yes</t>
        </is>
      </c>
      <c r="BG61" s="31">
        <f>IF(BF61="Yes",10,0)</f>
        <v/>
      </c>
      <c r="BH61" s="31" t="inlineStr">
        <is>
          <t>Yes</t>
        </is>
      </c>
      <c r="BI61" s="31">
        <f>IF(BH61="Yes",10,0)</f>
        <v/>
      </c>
      <c r="BJ61" s="31" t="inlineStr">
        <is>
          <t>P/BV between 2.5x to 5x and Growth more than 20%</t>
        </is>
      </c>
      <c r="BK61" s="31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1" t="inlineStr">
        <is>
          <t>20 to 40</t>
        </is>
      </c>
      <c r="BM61" s="31">
        <f>IF(BL61="Above 40",20,IF(BL61="20 to 40",10,IF(BL61="0 to 20",-5,0)))</f>
        <v/>
      </c>
      <c r="BN61" s="31" t="inlineStr">
        <is>
          <t>Between 50 to 75</t>
        </is>
      </c>
      <c r="BO61" s="31">
        <f>IF(BN61="Between 50 to 75",10,IF(BN61="Above 75",0,0))</f>
        <v/>
      </c>
      <c r="BP61" s="31" t="inlineStr">
        <is>
          <t>Stage 2</t>
        </is>
      </c>
      <c r="BQ61" s="31">
        <f>IF(BP61="Stage 2",20,IF(BP61="Stage 1",0,IF(BP61="Stage 3",5,IF(BP61="Stage 4",-5,0))))</f>
        <v/>
      </c>
      <c r="BR61" s="31" t="inlineStr">
        <is>
          <t>Positive Trend</t>
        </is>
      </c>
      <c r="BS61" s="31">
        <f>IF(BR61="Positive Trend",20,IF(BR61="Negative Trend",-10,0))</f>
        <v/>
      </c>
      <c r="BT61" s="31" t="inlineStr">
        <is>
          <t>Sideways</t>
        </is>
      </c>
      <c r="BU61" s="31">
        <f>IF(BT61="Uptrend",10,IF(BT61="Sideways",5,0))</f>
        <v/>
      </c>
      <c r="BV61" s="31" t="inlineStr">
        <is>
          <t>Uptrend</t>
        </is>
      </c>
      <c r="BW61" s="31">
        <f>IF(BV61="Uptrend",10,IF(BV61="Sideways",5,0))</f>
        <v/>
      </c>
      <c r="BX61" s="31" t="inlineStr">
        <is>
          <t>Close to 52 week high or retracement</t>
        </is>
      </c>
      <c r="BY61" s="31">
        <f>IF(BX61="Overhead supply in last 2 years in last 2 years",-5,IF(BX61="Close to 52 week high or retracement",5,IF(BX61="Blue sky scenario",10,IF(BX61="Long term Downtrend",-10,0))))</f>
        <v/>
      </c>
      <c r="BZ61" s="31" t="inlineStr">
        <is>
          <t>Yes</t>
        </is>
      </c>
      <c r="CA61" s="31">
        <f>IF(BZ61="Yes",10,0)</f>
        <v/>
      </c>
    </row>
    <row r="62">
      <c r="A62" s="31">
        <f>IF(B62=0,"",RANK(B62,$B$2:$B$67,0))</f>
        <v/>
      </c>
      <c r="B62" s="32">
        <f>SUM(N62,Y62,AA62,AC62,AE62,AG62,AI62,AK62,AM62,AO62,AQ62,AS62,AU62,AW62,AY62,BA62,BC62,BE62,BG62,BI62,BK62,BM62,BO62,BQ62,BS62,BU62,BW62,BY62,CA62)</f>
        <v/>
      </c>
      <c r="C62" s="31" t="inlineStr">
        <is>
          <t>BAJFINANCE</t>
        </is>
      </c>
      <c r="D62" s="31" t="inlineStr">
        <is>
          <t>Bajaj Finance Limited</t>
        </is>
      </c>
      <c r="E62" s="31" t="inlineStr">
        <is>
          <t>financials</t>
        </is>
      </c>
      <c r="F62" s="31" t="inlineStr">
        <is>
          <t>finance &amp; investments</t>
        </is>
      </c>
      <c r="G62" s="31" t="inlineStr">
        <is>
          <t>largecap</t>
        </is>
      </c>
      <c r="H62" s="32" t="n">
        <v>626355.02</v>
      </c>
      <c r="I62" s="32" t="n">
        <v>1021.3</v>
      </c>
      <c r="J62" s="32" t="n">
        <v>1.46</v>
      </c>
      <c r="K62" s="32" t="n">
        <v>5538356</v>
      </c>
      <c r="L62" s="31" t="n">
        <v>28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60.68</v>
      </c>
      <c r="P62" s="32" t="n">
        <v>10.76</v>
      </c>
      <c r="Q62" s="32" t="n">
        <v>858.87</v>
      </c>
      <c r="R62" s="31" t="inlineStr">
        <is>
          <t>Earnings / Momentum Support</t>
        </is>
      </c>
      <c r="S62" s="31" t="inlineStr">
        <is>
          <t>Nifty Bank</t>
        </is>
      </c>
      <c r="T62" s="32" t="n">
        <v>2.62</v>
      </c>
      <c r="U62" s="32" t="n">
        <v>9.08</v>
      </c>
      <c r="V62" s="32" t="n">
        <v>6.3</v>
      </c>
      <c r="W62" s="32" t="n">
        <v>4.85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Fragmented with High ROE</t>
        </is>
      </c>
      <c r="AA62" s="31">
        <f>IF(Z62="Fragmented with Low ROE",-5,IF(Z62="Fragmented with High ROE",10,IF(Z62= "highly cyclical",5,0)))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Consistency)",15,IF(AF62="Shallow Cyclical (2 to 3 years growth)",10,IF(AF62 = "Cyclical in an Uptick",5,IF(AF62 = "Cyclical in an Downtick",-10,0))))</f>
        <v/>
      </c>
      <c r="AH62" s="31" t="inlineStr">
        <is>
          <t>Yes</t>
        </is>
      </c>
      <c r="AI62" s="31">
        <f>IF(AH62="Yes",10,0)</f>
        <v/>
      </c>
      <c r="AJ62" s="31" t="inlineStr">
        <is>
          <t>Yes</t>
        </is>
      </c>
      <c r="AK62" s="31">
        <f>IF(AJ62="Yes",10,0)</f>
        <v/>
      </c>
      <c r="AL62" s="31" t="n"/>
      <c r="AM62" s="31">
        <f>IF(AL62="No",10,0)</f>
        <v/>
      </c>
      <c r="AN62" s="31" t="inlineStr">
        <is>
          <t>Yes</t>
        </is>
      </c>
      <c r="AO62" s="31">
        <f>IF(AN62="Yes",10,0)</f>
        <v/>
      </c>
      <c r="AP62" s="31" t="inlineStr">
        <is>
          <t>No</t>
        </is>
      </c>
      <c r="AQ62" s="31">
        <f>IF(AP62="Yes",10,0)</f>
        <v/>
      </c>
      <c r="AR62" s="31" t="inlineStr">
        <is>
          <t>Yes</t>
        </is>
      </c>
      <c r="AS62" s="31">
        <f>IF(AR62="Yes",5,0)</f>
        <v/>
      </c>
      <c r="AT62" s="31" t="inlineStr">
        <is>
          <t>No</t>
        </is>
      </c>
      <c r="AU62" s="31">
        <f>IF(AT62="No",10,IF(AT62="Yes",-10,0))</f>
        <v/>
      </c>
      <c r="AV62" s="31" t="inlineStr">
        <is>
          <t>No</t>
        </is>
      </c>
      <c r="AW62" s="31">
        <f>IF(AV62="No",10,0)</f>
        <v/>
      </c>
      <c r="AX62" s="31" t="inlineStr">
        <is>
          <t>No</t>
        </is>
      </c>
      <c r="AY62" s="31">
        <f>IF(AX62="No",10,IF(AX62= "Yes CEO Resignation",-5,0))</f>
        <v/>
      </c>
      <c r="AZ62" s="31" t="inlineStr">
        <is>
          <t>No</t>
        </is>
      </c>
      <c r="BA62" s="31">
        <f>IF(AZ62="No",10,IF(AZ62="Yes",-5,0))</f>
        <v/>
      </c>
      <c r="BB62" s="31" t="inlineStr">
        <is>
          <t>No</t>
        </is>
      </c>
      <c r="BC62" s="31">
        <f>IF(BB62="No",5,IF(BB62="Yes",-5,0))</f>
        <v/>
      </c>
      <c r="BD62" s="31" t="inlineStr">
        <is>
          <t>Yes</t>
        </is>
      </c>
      <c r="BE62" s="31">
        <f>IF(BD62="Yes",10,0)</f>
        <v/>
      </c>
      <c r="BF62" s="31" t="inlineStr">
        <is>
          <t>Yes</t>
        </is>
      </c>
      <c r="BG62" s="31">
        <f>IF(BF62="Yes",10,0)</f>
        <v/>
      </c>
      <c r="BH62" s="31" t="inlineStr">
        <is>
          <t>Yes</t>
        </is>
      </c>
      <c r="BI62" s="31">
        <f>IF(BH62="Yes",10,0)</f>
        <v/>
      </c>
      <c r="BJ62" s="31" t="inlineStr">
        <is>
          <t>P/BV above 5x</t>
        </is>
      </c>
      <c r="BK62" s="31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1" t="inlineStr">
        <is>
          <t>0 to 20</t>
        </is>
      </c>
      <c r="BM62" s="31">
        <f>IF(BL62="Above 40",20,IF(BL62="20 to 40",10,IF(BL62="0 to 20",-5,0)))</f>
        <v/>
      </c>
      <c r="BN62" s="31" t="inlineStr">
        <is>
          <t>Between 50 to 75</t>
        </is>
      </c>
      <c r="BO62" s="31">
        <f>IF(BN62="Between 50 to 75",10,IF(BN62="Above 75",0,0))</f>
        <v/>
      </c>
      <c r="BP62" s="31" t="inlineStr">
        <is>
          <t>Stage 2</t>
        </is>
      </c>
      <c r="BQ62" s="31">
        <f>IF(BP62="Stage 2",20,IF(BP62="Stage 1",0,IF(BP62="Stage 3",5,IF(BP62="Stage 4",-5,0))))</f>
        <v/>
      </c>
      <c r="BR62" s="31" t="inlineStr">
        <is>
          <t>Positive Trend</t>
        </is>
      </c>
      <c r="BS62" s="31">
        <f>IF(BR62="Positive Trend",20,IF(BR62="Negative Trend",-10,0))</f>
        <v/>
      </c>
      <c r="BT62" s="31" t="inlineStr">
        <is>
          <t>Uptrend</t>
        </is>
      </c>
      <c r="BU62" s="31">
        <f>IF(BT62="Uptrend",10,IF(BT62="Sideways",5,0))</f>
        <v/>
      </c>
      <c r="BV62" s="31" t="inlineStr">
        <is>
          <t>Uptrend</t>
        </is>
      </c>
      <c r="BW62" s="31">
        <f>IF(BV62="Uptrend",10,IF(BV62="Sideways",5,0))</f>
        <v/>
      </c>
      <c r="BX62" s="31" t="inlineStr">
        <is>
          <t>Close to 52 week high or retracement</t>
        </is>
      </c>
      <c r="BY62" s="31">
        <f>IF(BX62="Overhead supply in last 2 years in last 2 years",-5,IF(BX62="Close to 52 week high or retracement",5,IF(BX62="Blue sky scenario",10,IF(BX62="Long term Downtrend",-10,0))))</f>
        <v/>
      </c>
      <c r="BZ62" s="31" t="inlineStr">
        <is>
          <t>Yes</t>
        </is>
      </c>
      <c r="CA62" s="31">
        <f>IF(BZ62="Yes",10,0)</f>
        <v/>
      </c>
    </row>
    <row r="63">
      <c r="A63" s="31">
        <f>IF(B63=0,"",RANK(B63,$B$2:$B$67,0))</f>
        <v/>
      </c>
      <c r="B63" s="32">
        <f>SUM(N63,Y63,AA63,AC63,AE63,AG63,AI63,AK63,AM63,AO63,AQ63,AS63,AU63,AW63,AY63,BA63,BC63,BE63,BG63,BI63,BK63,BM63,BO63,BQ63,BS63,BU63,BW63,BY63,CA63)</f>
        <v/>
      </c>
      <c r="C63" s="31" t="inlineStr">
        <is>
          <t>IDFCFIRSTB</t>
        </is>
      </c>
      <c r="D63" s="31" t="inlineStr">
        <is>
          <t>IDFC First Bank Ltd</t>
        </is>
      </c>
      <c r="E63" s="31" t="inlineStr">
        <is>
          <t>bank</t>
        </is>
      </c>
      <c r="F63" s="31" t="inlineStr">
        <is>
          <t>banks - private sector</t>
        </is>
      </c>
      <c r="G63" s="31" t="inlineStr">
        <is>
          <t>largecap</t>
        </is>
      </c>
      <c r="H63" s="32" t="n">
        <v>68185.67</v>
      </c>
      <c r="I63" s="32" t="n">
        <v>79.47</v>
      </c>
      <c r="J63" s="32" t="n">
        <v>0.25</v>
      </c>
      <c r="K63" s="32" t="n">
        <v>9685189</v>
      </c>
      <c r="L63" s="31" t="n">
        <v>33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59.02</v>
      </c>
      <c r="P63" s="32" t="n">
        <v>18.2</v>
      </c>
      <c r="Q63" s="32" t="n">
        <v>68.42</v>
      </c>
      <c r="R63" s="31" t="inlineStr">
        <is>
          <t>Earnings / Momentum Support</t>
        </is>
      </c>
      <c r="S63" s="31" t="inlineStr">
        <is>
          <t>Nifty Bank</t>
        </is>
      </c>
      <c r="T63" s="32" t="n">
        <v>2.62</v>
      </c>
      <c r="U63" s="32" t="n">
        <v>8.73</v>
      </c>
      <c r="V63" s="32" t="n">
        <v>5.95</v>
      </c>
      <c r="W63" s="32" t="n">
        <v>5.73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Fragmented with High ROE</t>
        </is>
      </c>
      <c r="AA63" s="31">
        <f>IF(Z63="Fragmented with Low ROE",-5,IF(Z63="Fragmented with High ROE",10,IF(Z63= "highly cyclical",5,0)))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Consistency)",15,IF(AF63="Shallow Cyclical (2 to 3 years growth)",10,IF(AF63 = "Cyclical in an Uptick",5,IF(AF63 = "Cyclical in an Downtick",-10,0))))</f>
        <v/>
      </c>
      <c r="AH63" s="31" t="inlineStr">
        <is>
          <t>Yes</t>
        </is>
      </c>
      <c r="AI63" s="31">
        <f>IF(AH63="Yes",10,0)</f>
        <v/>
      </c>
      <c r="AJ63" s="31" t="inlineStr">
        <is>
          <t>Yes</t>
        </is>
      </c>
      <c r="AK63" s="31">
        <f>IF(AJ63="Yes",10,0)</f>
        <v/>
      </c>
      <c r="AL63" s="31" t="n"/>
      <c r="AM63" s="31">
        <f>IF(AL63="No",10,0)</f>
        <v/>
      </c>
      <c r="AN63" s="31" t="inlineStr">
        <is>
          <t>Yes</t>
        </is>
      </c>
      <c r="AO63" s="31">
        <f>IF(AN63="Yes",10,0)</f>
        <v/>
      </c>
      <c r="AP63" s="31" t="inlineStr">
        <is>
          <t>No</t>
        </is>
      </c>
      <c r="AQ63" s="31">
        <f>IF(AP63="Yes",10,0)</f>
        <v/>
      </c>
      <c r="AR63" s="31" t="inlineStr">
        <is>
          <t>Yes</t>
        </is>
      </c>
      <c r="AS63" s="31">
        <f>IF(AR63="Yes",5,0)</f>
        <v/>
      </c>
      <c r="AT63" s="31" t="inlineStr">
        <is>
          <t>No</t>
        </is>
      </c>
      <c r="AU63" s="31">
        <f>IF(AT63="No",10,IF(AT63="Yes",-10,0))</f>
        <v/>
      </c>
      <c r="AV63" s="31" t="inlineStr">
        <is>
          <t>No</t>
        </is>
      </c>
      <c r="AW63" s="31">
        <f>IF(AV63="No",10,0)</f>
        <v/>
      </c>
      <c r="AX63" s="31" t="inlineStr">
        <is>
          <t>No</t>
        </is>
      </c>
      <c r="AY63" s="31">
        <f>IF(AX63="No",10,IF(AX63= "Yes CEO Resignation",-5,0))</f>
        <v/>
      </c>
      <c r="AZ63" s="31" t="inlineStr">
        <is>
          <t>No</t>
        </is>
      </c>
      <c r="BA63" s="31">
        <f>IF(AZ63="No",10,IF(AZ63="Yes",-5,0))</f>
        <v/>
      </c>
      <c r="BB63" s="31" t="inlineStr">
        <is>
          <t>No</t>
        </is>
      </c>
      <c r="BC63" s="31">
        <f>IF(BB63="No",5,IF(BB63="Yes",-5,0))</f>
        <v/>
      </c>
      <c r="BD63" s="31" t="inlineStr">
        <is>
          <t>Yes</t>
        </is>
      </c>
      <c r="BE63" s="31">
        <f>IF(BD63="Yes",10,0)</f>
        <v/>
      </c>
      <c r="BF63" s="31" t="inlineStr">
        <is>
          <t>Yes</t>
        </is>
      </c>
      <c r="BG63" s="31">
        <f>IF(BF63="Yes",10,0)</f>
        <v/>
      </c>
      <c r="BH63" s="31" t="inlineStr">
        <is>
          <t>Yes</t>
        </is>
      </c>
      <c r="BI63" s="31">
        <f>IF(BH63="Yes",10,0)</f>
        <v/>
      </c>
      <c r="BJ63" s="31" t="inlineStr">
        <is>
          <t>P/BV less than 2.5x and Growth less than 20%</t>
        </is>
      </c>
      <c r="BK63" s="31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1" t="inlineStr">
        <is>
          <t>0 to 20</t>
        </is>
      </c>
      <c r="BM63" s="31">
        <f>IF(BL63="Above 40",20,IF(BL63="20 to 40",10,IF(BL63="0 to 20",-5,0)))</f>
        <v/>
      </c>
      <c r="BN63" s="31" t="inlineStr">
        <is>
          <t>Between 50 to 75</t>
        </is>
      </c>
      <c r="BO63" s="31">
        <f>IF(BN63="Between 50 to 75",10,IF(BN63="Above 75",0,0))</f>
        <v/>
      </c>
      <c r="BP63" s="31" t="inlineStr">
        <is>
          <t>Stage 2</t>
        </is>
      </c>
      <c r="BQ63" s="31">
        <f>IF(BP63="Stage 2",20,IF(BP63="Stage 1",0,IF(BP63="Stage 3",5,IF(BP63="Stage 4",-5,0))))</f>
        <v/>
      </c>
      <c r="BR63" s="31" t="inlineStr">
        <is>
          <t>Positive Trend</t>
        </is>
      </c>
      <c r="BS63" s="31">
        <f>IF(BR63="Positive Trend",20,IF(BR63="Negative Trend",-10,0))</f>
        <v/>
      </c>
      <c r="BT63" s="31" t="inlineStr">
        <is>
          <t>Uptrend</t>
        </is>
      </c>
      <c r="BU63" s="31">
        <f>IF(BT63="Uptrend",10,IF(BT63="Sideways",5,0))</f>
        <v/>
      </c>
      <c r="BV63" s="31" t="inlineStr">
        <is>
          <t>Uptrend</t>
        </is>
      </c>
      <c r="BW63" s="31">
        <f>IF(BV63="Uptrend",10,IF(BV63="Sideways",5,0))</f>
        <v/>
      </c>
      <c r="BX63" s="31" t="inlineStr">
        <is>
          <t>Close to 52 week high or retracement</t>
        </is>
      </c>
      <c r="BY63" s="31">
        <f>IF(BX63="Overhead supply in last 2 years in last 2 years",-5,IF(BX63="Close to 52 week high or retracement",5,IF(BX63="Blue sky scenario",10,IF(BX63="Long term Downtrend",-10,0))))</f>
        <v/>
      </c>
      <c r="BZ63" s="31" t="inlineStr">
        <is>
          <t>Yes</t>
        </is>
      </c>
      <c r="CA63" s="31">
        <f>IF(BZ63="Yes",10,0)</f>
        <v/>
      </c>
    </row>
    <row r="64">
      <c r="A64" s="31">
        <f>IF(B64=0,"",RANK(B64,$B$2:$B$67,0))</f>
        <v/>
      </c>
      <c r="B64" s="32">
        <f>SUM(N64,Y64,AA64,AC64,AE64,AG64,AI64,AK64,AM64,AO64,AQ64,AS64,AU64,AW64,AY64,BA64,BC64,BE64,BG64,BI64,BK64,BM64,BO64,BQ64,BS64,BU64,BW64,BY64,CA64)</f>
        <v/>
      </c>
      <c r="C64" s="33" t="inlineStr">
        <is>
          <t>CDSL</t>
        </is>
      </c>
      <c r="D64" s="33" t="inlineStr">
        <is>
          <t>Central Depository Services Ltd</t>
        </is>
      </c>
      <c r="E64" s="31" t="inlineStr">
        <is>
          <t>financials</t>
        </is>
      </c>
      <c r="F64" s="31" t="inlineStr">
        <is>
          <t>miscellaneous</t>
        </is>
      </c>
      <c r="G64" s="31" t="inlineStr">
        <is>
          <t>largecap</t>
        </is>
      </c>
      <c r="H64" s="32" t="n">
        <v>29855.65</v>
      </c>
      <c r="I64" s="32" t="n">
        <v>1440.1</v>
      </c>
      <c r="J64" s="32" t="n">
        <v>0.8100000000000001</v>
      </c>
      <c r="K64" s="32" t="n">
        <v>1647962</v>
      </c>
      <c r="L64" s="31" t="n">
        <v>1</v>
      </c>
      <c r="M64" s="31" t="inlineStr">
        <is>
          <t>Underperforming</t>
        </is>
      </c>
      <c r="N64" s="32">
        <f>IF(M64="Underperforming",-5,IF(L64&gt;=95,15,IF(L64&gt;=90,10,IF(L64&gt;=80,5,0))))</f>
        <v/>
      </c>
      <c r="O64" s="32" t="n">
        <v>58.65</v>
      </c>
      <c r="P64" s="32" t="n">
        <v>15.46</v>
      </c>
      <c r="Q64" s="32" t="n">
        <v>1167.47</v>
      </c>
      <c r="R64" s="31" t="inlineStr">
        <is>
          <t>Earnings / Momentum Support</t>
        </is>
      </c>
      <c r="S64" s="31" t="inlineStr">
        <is>
          <t>Nifty Bank</t>
        </is>
      </c>
      <c r="T64" s="32" t="n">
        <v>2.62</v>
      </c>
      <c r="U64" s="32" t="n">
        <v>-14.52</v>
      </c>
      <c r="V64" s="32" t="n">
        <v>-16.7</v>
      </c>
      <c r="W64" s="32" t="n">
        <v>-2.3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Fragmented with High ROE</t>
        </is>
      </c>
      <c r="AA64" s="31">
        <f>IF(Z64="Fragmented with Low ROE",-5,IF(Z64="Fragmented with High ROE",10,IF(Z64= "highly cyclical",5,0)))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Consistency)",15,IF(AF64="Shallow Cyclical (2 to 3 years growth)",10,IF(AF64 = "Cyclical in an Uptick",5,IF(AF64 = "Cyclical in an Downtick",-10,0))))</f>
        <v/>
      </c>
      <c r="AH64" s="31" t="inlineStr">
        <is>
          <t>Yes</t>
        </is>
      </c>
      <c r="AI64" s="31">
        <f>IF(AH64="Yes",10,0)</f>
        <v/>
      </c>
      <c r="AJ64" s="31" t="inlineStr">
        <is>
          <t>Yes</t>
        </is>
      </c>
      <c r="AK64" s="31">
        <f>IF(AJ64="Yes",10,0)</f>
        <v/>
      </c>
      <c r="AL64" s="31" t="n"/>
      <c r="AM64" s="31">
        <f>IF(AL64="No",10,0)</f>
        <v/>
      </c>
      <c r="AN64" s="31" t="inlineStr">
        <is>
          <t>Yes</t>
        </is>
      </c>
      <c r="AO64" s="31">
        <f>IF(AN64="Yes",10,0)</f>
        <v/>
      </c>
      <c r="AP64" s="31" t="inlineStr">
        <is>
          <t>No</t>
        </is>
      </c>
      <c r="AQ64" s="31">
        <f>IF(AP64="Yes",10,0)</f>
        <v/>
      </c>
      <c r="AR64" s="31" t="inlineStr">
        <is>
          <t>Yes</t>
        </is>
      </c>
      <c r="AS64" s="31">
        <f>IF(AR64="Yes",5,0)</f>
        <v/>
      </c>
      <c r="AT64" s="31" t="inlineStr">
        <is>
          <t>No</t>
        </is>
      </c>
      <c r="AU64" s="31">
        <f>IF(AT64="No",10,IF(AT64="Yes",-10,0))</f>
        <v/>
      </c>
      <c r="AV64" s="31" t="inlineStr">
        <is>
          <t>No</t>
        </is>
      </c>
      <c r="AW64" s="31">
        <f>IF(AV64="No",10,0)</f>
        <v/>
      </c>
      <c r="AX64" s="31" t="inlineStr">
        <is>
          <t>No</t>
        </is>
      </c>
      <c r="AY64" s="31">
        <f>IF(AX64="No",10,IF(AX64= "Yes CEO Resignation",-5,0))</f>
        <v/>
      </c>
      <c r="AZ64" s="31" t="inlineStr">
        <is>
          <t>No</t>
        </is>
      </c>
      <c r="BA64" s="31">
        <f>IF(AZ64="No",10,IF(AZ64="Yes",-5,0))</f>
        <v/>
      </c>
      <c r="BB64" s="31" t="inlineStr">
        <is>
          <t>No</t>
        </is>
      </c>
      <c r="BC64" s="31">
        <f>IF(BB64="No",5,IF(BB64="Yes",-5,0))</f>
        <v/>
      </c>
      <c r="BD64" s="31" t="inlineStr">
        <is>
          <t>Yes</t>
        </is>
      </c>
      <c r="BE64" s="31">
        <f>IF(BD64="Yes",10,0)</f>
        <v/>
      </c>
      <c r="BF64" s="31" t="inlineStr">
        <is>
          <t>Yes</t>
        </is>
      </c>
      <c r="BG64" s="31">
        <f>IF(BF64="Yes",10,0)</f>
        <v/>
      </c>
      <c r="BH64" s="31" t="inlineStr">
        <is>
          <t>Yes</t>
        </is>
      </c>
      <c r="BI64" s="31">
        <f>IF(BH64="Yes",10,0)</f>
        <v/>
      </c>
      <c r="BJ64" s="31" t="inlineStr">
        <is>
          <t>P/BV above 5x</t>
        </is>
      </c>
      <c r="BK64" s="31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1" t="inlineStr">
        <is>
          <t>0 to 20</t>
        </is>
      </c>
      <c r="BM64" s="31">
        <f>IF(BL64="Above 40",20,IF(BL64="20 to 40",10,IF(BL64="0 to 20",-5,0)))</f>
        <v/>
      </c>
      <c r="BN64" s="31" t="inlineStr">
        <is>
          <t>Between 50 to 75</t>
        </is>
      </c>
      <c r="BO64" s="31">
        <f>IF(BN64="Between 50 to 75",10,IF(BN64="Above 75",0,0))</f>
        <v/>
      </c>
      <c r="BP64" s="31" t="inlineStr">
        <is>
          <t>Stage 2</t>
        </is>
      </c>
      <c r="BQ64" s="31">
        <f>IF(BP64="Stage 2",20,IF(BP64="Stage 1",0,IF(BP64="Stage 3",5,IF(BP64="Stage 4",-5,0))))</f>
        <v/>
      </c>
      <c r="BR64" s="31" t="inlineStr">
        <is>
          <t>Positive Trend</t>
        </is>
      </c>
      <c r="BS64" s="31">
        <f>IF(BR64="Positive Trend",20,IF(BR64="Negative Trend",-10,0))</f>
        <v/>
      </c>
      <c r="BT64" s="31" t="inlineStr">
        <is>
          <t>Uptrend</t>
        </is>
      </c>
      <c r="BU64" s="31">
        <f>IF(BT64="Uptrend",10,IF(BT64="Sideways",5,0))</f>
        <v/>
      </c>
      <c r="BV64" s="31" t="inlineStr">
        <is>
          <t>Uptrend</t>
        </is>
      </c>
      <c r="BW64" s="31">
        <f>IF(BV64="Uptrend",10,IF(BV64="Sideways",5,0))</f>
        <v/>
      </c>
      <c r="BX64" s="31" t="inlineStr">
        <is>
          <t>Close to 52 week high or retracement</t>
        </is>
      </c>
      <c r="BY64" s="31">
        <f>IF(BX64="Overhead supply in last 2 years in last 2 years",-5,IF(BX64="Close to 52 week high or retracement",5,IF(BX64="Blue sky scenario",10,IF(BX64="Long term Downtrend",-10,0))))</f>
        <v/>
      </c>
      <c r="BZ64" s="31" t="inlineStr">
        <is>
          <t>Yes</t>
        </is>
      </c>
      <c r="CA64" s="31">
        <f>IF(BZ64="Yes",10,0)</f>
        <v/>
      </c>
    </row>
    <row r="65">
      <c r="A65" s="31">
        <f>IF(B65=0,"",RANK(B65,$B$2:$B$67,0))</f>
        <v/>
      </c>
      <c r="B65" s="32">
        <f>SUM(N65,Y65,AA65,AC65,AE65,AG65,AI65,AK65,AM65,AO65,AQ65,AS65,AU65,AW65,AY65,BA65,BC65,BE65,BG65,BI65,BK65,BM65,BO65,BQ65,BS65,BU65,BW65,BY65,CA65)</f>
        <v/>
      </c>
      <c r="C65" s="33" t="inlineStr">
        <is>
          <t>INDIASHLTR</t>
        </is>
      </c>
      <c r="D65" s="33" t="inlineStr">
        <is>
          <t>India Shelter Finance Corporation Ltd</t>
        </is>
      </c>
      <c r="E65" s="31" t="inlineStr">
        <is>
          <t>financials</t>
        </is>
      </c>
      <c r="F65" s="31" t="inlineStr">
        <is>
          <t>finance - housing</t>
        </is>
      </c>
      <c r="G65" s="31" t="inlineStr">
        <is>
          <t>midcap</t>
        </is>
      </c>
      <c r="H65" s="32" t="n">
        <v>8874.15</v>
      </c>
      <c r="I65" s="32" t="n">
        <v>817.1</v>
      </c>
      <c r="J65" s="32" t="n">
        <v>0.14</v>
      </c>
      <c r="K65" s="32" t="n">
        <v>87261</v>
      </c>
      <c r="L65" s="31" t="n">
        <v>1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56.67</v>
      </c>
      <c r="P65" s="32" t="n">
        <v>7.06</v>
      </c>
      <c r="Q65" s="32" t="n">
        <v>673.54</v>
      </c>
      <c r="R65" s="31" t="inlineStr">
        <is>
          <t>Earnings / Momentum Support</t>
        </is>
      </c>
      <c r="S65" s="31" t="inlineStr">
        <is>
          <t>Nifty Bank</t>
        </is>
      </c>
      <c r="T65" s="32" t="n">
        <v>2.62</v>
      </c>
      <c r="U65" s="32" t="n">
        <v>-15.17</v>
      </c>
      <c r="V65" s="32" t="n">
        <v>-17.34</v>
      </c>
      <c r="W65" s="32" t="n">
        <v>-2.46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Fragmented with High ROE</t>
        </is>
      </c>
      <c r="AA65" s="31">
        <f>IF(Z65="Fragmented with Low ROE",-5,IF(Z65="Fragmented with High ROE",10,IF(Z65= "highly cyclical",5,0)))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Consistency)",15,IF(AF65="Shallow Cyclical (2 to 3 years growth)",10,IF(AF65 = "Cyclical in an Uptick",5,IF(AF65 = "Cyclical in an Downtick",-10,0))))</f>
        <v/>
      </c>
      <c r="AH65" s="31" t="inlineStr">
        <is>
          <t>Yes</t>
        </is>
      </c>
      <c r="AI65" s="31">
        <f>IF(AH65="Yes",10,0)</f>
        <v/>
      </c>
      <c r="AJ65" s="31" t="inlineStr">
        <is>
          <t>Yes</t>
        </is>
      </c>
      <c r="AK65" s="31">
        <f>IF(AJ65="Yes",10,0)</f>
        <v/>
      </c>
      <c r="AL65" s="31" t="n"/>
      <c r="AM65" s="31">
        <f>IF(AL65="No",10,0)</f>
        <v/>
      </c>
      <c r="AN65" s="31" t="inlineStr">
        <is>
          <t>Yes</t>
        </is>
      </c>
      <c r="AO65" s="31">
        <f>IF(AN65="Yes",10,0)</f>
        <v/>
      </c>
      <c r="AP65" s="31" t="inlineStr">
        <is>
          <t>No</t>
        </is>
      </c>
      <c r="AQ65" s="31">
        <f>IF(AP65="Yes",10,0)</f>
        <v/>
      </c>
      <c r="AR65" s="31" t="inlineStr">
        <is>
          <t>Yes</t>
        </is>
      </c>
      <c r="AS65" s="31">
        <f>IF(AR65="Yes",5,0)</f>
        <v/>
      </c>
      <c r="AT65" s="31" t="inlineStr">
        <is>
          <t>No</t>
        </is>
      </c>
      <c r="AU65" s="31">
        <f>IF(AT65="No",10,IF(AT65="Yes",-10,0))</f>
        <v/>
      </c>
      <c r="AV65" s="31" t="inlineStr">
        <is>
          <t>No</t>
        </is>
      </c>
      <c r="AW65" s="31">
        <f>IF(AV65="No",10,0)</f>
        <v/>
      </c>
      <c r="AX65" s="31" t="inlineStr">
        <is>
          <t>No</t>
        </is>
      </c>
      <c r="AY65" s="31">
        <f>IF(AX65="No",10,IF(AX65= "Yes CEO Resignation",-5,0))</f>
        <v/>
      </c>
      <c r="AZ65" s="31" t="inlineStr">
        <is>
          <t>No</t>
        </is>
      </c>
      <c r="BA65" s="31">
        <f>IF(AZ65="No",10,IF(AZ65="Yes",-5,0))</f>
        <v/>
      </c>
      <c r="BB65" s="31" t="inlineStr">
        <is>
          <t>No</t>
        </is>
      </c>
      <c r="BC65" s="31">
        <f>IF(BB65="No",5,IF(BB65="Yes",-5,0))</f>
        <v/>
      </c>
      <c r="BD65" s="31" t="inlineStr">
        <is>
          <t>Yes</t>
        </is>
      </c>
      <c r="BE65" s="31">
        <f>IF(BD65="Yes",10,0)</f>
        <v/>
      </c>
      <c r="BF65" s="31" t="inlineStr">
        <is>
          <t>Yes</t>
        </is>
      </c>
      <c r="BG65" s="31">
        <f>IF(BF65="Yes",10,0)</f>
        <v/>
      </c>
      <c r="BH65" s="31" t="inlineStr">
        <is>
          <t>Yes</t>
        </is>
      </c>
      <c r="BI65" s="31">
        <f>IF(BH65="Yes",10,0)</f>
        <v/>
      </c>
      <c r="BJ65" s="31" t="inlineStr">
        <is>
          <t>P/BV between 2.5x to 5x and Growth more than 20%</t>
        </is>
      </c>
      <c r="BK65" s="31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1" t="inlineStr">
        <is>
          <t>0 to 20</t>
        </is>
      </c>
      <c r="BM65" s="31">
        <f>IF(BL65="Above 40",20,IF(BL65="20 to 40",10,IF(BL65="0 to 20",-5,0)))</f>
        <v/>
      </c>
      <c r="BN65" s="31" t="inlineStr">
        <is>
          <t>Between 50 to 75</t>
        </is>
      </c>
      <c r="BO65" s="31">
        <f>IF(BN65="Between 50 to 75",10,IF(BN65="Above 75",0,0))</f>
        <v/>
      </c>
      <c r="BP65" s="31" t="inlineStr">
        <is>
          <t>Stage 1</t>
        </is>
      </c>
      <c r="BQ65" s="31">
        <f>IF(BP65="Stage 2",20,IF(BP65="Stage 1",0,IF(BP65="Stage 3",5,IF(BP65="Stage 4",-5,0))))</f>
        <v/>
      </c>
      <c r="BR65" s="31" t="inlineStr">
        <is>
          <t>Positive Trend</t>
        </is>
      </c>
      <c r="BS65" s="31">
        <f>IF(BR65="Positive Trend",20,IF(BR65="Negative Trend",-10,0))</f>
        <v/>
      </c>
      <c r="BT65" s="31" t="inlineStr">
        <is>
          <t>Uptrend</t>
        </is>
      </c>
      <c r="BU65" s="31">
        <f>IF(BT65="Uptrend",10,IF(BT65="Sideways",5,0))</f>
        <v/>
      </c>
      <c r="BV65" s="31" t="inlineStr">
        <is>
          <t>Uptrend</t>
        </is>
      </c>
      <c r="BW65" s="31">
        <f>IF(BV65="Uptrend",10,IF(BV65="Sideways",5,0))</f>
        <v/>
      </c>
      <c r="BX65" s="31" t="inlineStr">
        <is>
          <t>Close to 52 week high or retracement</t>
        </is>
      </c>
      <c r="BY65" s="31">
        <f>IF(BX65="Overhead supply in last 2 years in last 2 years",-5,IF(BX65="Close to 52 week high or retracement",5,IF(BX65="Blue sky scenario",10,IF(BX65="Long term Downtrend",-10,0))))</f>
        <v/>
      </c>
      <c r="BZ65" s="31" t="inlineStr">
        <is>
          <t>Yes</t>
        </is>
      </c>
      <c r="CA65" s="31">
        <f>IF(BZ65="Yes",10,0)</f>
        <v/>
      </c>
    </row>
    <row r="66">
      <c r="A66" s="31">
        <f>IF(B66=0,"",RANK(B66,$B$2:$B$67,0))</f>
        <v/>
      </c>
      <c r="B66" s="32">
        <f>SUM(N66,Y66,AA66,AC66,AE66,AG66,AI66,AK66,AM66,AO66,AQ66,AS66,AU66,AW66,AY66,BA66,BC66,BE66,BG66,BI66,BK66,BM66,BO66,BQ66,BS66,BU66,BW66,BY66,CA66)</f>
        <v/>
      </c>
      <c r="C66" s="33" t="inlineStr">
        <is>
          <t>VHL</t>
        </is>
      </c>
      <c r="D66" s="33" t="inlineStr">
        <is>
          <t>Vardhman Holdings Limited</t>
        </is>
      </c>
      <c r="E66" s="31" t="inlineStr">
        <is>
          <t>financials</t>
        </is>
      </c>
      <c r="F66" s="31" t="inlineStr">
        <is>
          <t>finance &amp; investments</t>
        </is>
      </c>
      <c r="G66" s="31" t="inlineStr">
        <is>
          <t>smallcap</t>
        </is>
      </c>
      <c r="H66" s="32" t="n">
        <v>1124.98</v>
      </c>
      <c r="I66" s="32" t="n">
        <v>3586</v>
      </c>
      <c r="J66" s="32" t="n">
        <v>1.73</v>
      </c>
      <c r="K66" s="32" t="n">
        <v>461</v>
      </c>
      <c r="L66" s="31" t="n">
        <v>3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53.04</v>
      </c>
      <c r="P66" s="32" t="n">
        <v>12.07</v>
      </c>
      <c r="Q66" s="32" t="n">
        <v>3049.77</v>
      </c>
      <c r="R66" s="31" t="inlineStr">
        <is>
          <t>Earnings / Momentum Support</t>
        </is>
      </c>
      <c r="S66" s="31" t="inlineStr">
        <is>
          <t>Nifty Bank</t>
        </is>
      </c>
      <c r="T66" s="32" t="n">
        <v>2.62</v>
      </c>
      <c r="U66" s="32" t="n">
        <v>-13.58</v>
      </c>
      <c r="V66" s="32" t="n">
        <v>-15.78</v>
      </c>
      <c r="W66" s="32" t="n">
        <v>-1.5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Fragmented with High ROE</t>
        </is>
      </c>
      <c r="AA66" s="31">
        <f>IF(Z66="Fragmented with Low ROE",-5,IF(Z66="Fragmented with High ROE",10,IF(Z66= "highly cyclical",5,0)))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Consistency)",15,IF(AF66="Shallow Cyclical (2 to 3 years growth)",10,IF(AF66 = "Cyclical in an Uptick",5,IF(AF66 = "Cyclical in an Downtick",-10,0))))</f>
        <v/>
      </c>
      <c r="AH66" s="31" t="inlineStr">
        <is>
          <t>Yes</t>
        </is>
      </c>
      <c r="AI66" s="31">
        <f>IF(AH66="Yes",10,0)</f>
        <v/>
      </c>
      <c r="AJ66" s="31" t="inlineStr">
        <is>
          <t>Yes</t>
        </is>
      </c>
      <c r="AK66" s="31">
        <f>IF(AJ66="Yes",10,0)</f>
        <v/>
      </c>
      <c r="AL66" s="31" t="n"/>
      <c r="AM66" s="31">
        <f>IF(AL66="No",10,0)</f>
        <v/>
      </c>
      <c r="AN66" s="31" t="inlineStr">
        <is>
          <t>Yes</t>
        </is>
      </c>
      <c r="AO66" s="31">
        <f>IF(AN66="Yes",10,0)</f>
        <v/>
      </c>
      <c r="AP66" s="31" t="inlineStr">
        <is>
          <t>No</t>
        </is>
      </c>
      <c r="AQ66" s="31">
        <f>IF(AP66="Yes",10,0)</f>
        <v/>
      </c>
      <c r="AR66" s="31" t="inlineStr">
        <is>
          <t>Yes</t>
        </is>
      </c>
      <c r="AS66" s="31">
        <f>IF(AR66="Yes",5,0)</f>
        <v/>
      </c>
      <c r="AT66" s="31" t="inlineStr">
        <is>
          <t>No</t>
        </is>
      </c>
      <c r="AU66" s="31">
        <f>IF(AT66="No",10,IF(AT66="Yes",-10,0))</f>
        <v/>
      </c>
      <c r="AV66" s="31" t="inlineStr">
        <is>
          <t>No</t>
        </is>
      </c>
      <c r="AW66" s="31">
        <f>IF(AV66="No",10,0)</f>
        <v/>
      </c>
      <c r="AX66" s="31" t="inlineStr">
        <is>
          <t>No</t>
        </is>
      </c>
      <c r="AY66" s="31">
        <f>IF(AX66="No",10,IF(AX66= "Yes CEO Resignation",-5,0))</f>
        <v/>
      </c>
      <c r="AZ66" s="31" t="inlineStr">
        <is>
          <t>No</t>
        </is>
      </c>
      <c r="BA66" s="31">
        <f>IF(AZ66="No",10,IF(AZ66="Yes",-5,0))</f>
        <v/>
      </c>
      <c r="BB66" s="31" t="inlineStr">
        <is>
          <t>No</t>
        </is>
      </c>
      <c r="BC66" s="31">
        <f>IF(BB66="No",5,IF(BB66="Yes",-5,0))</f>
        <v/>
      </c>
      <c r="BD66" s="31" t="inlineStr">
        <is>
          <t>Yes</t>
        </is>
      </c>
      <c r="BE66" s="31">
        <f>IF(BD66="Yes",10,0)</f>
        <v/>
      </c>
      <c r="BF66" s="31" t="inlineStr">
        <is>
          <t>Yes</t>
        </is>
      </c>
      <c r="BG66" s="31">
        <f>IF(BF66="Yes",10,0)</f>
        <v/>
      </c>
      <c r="BH66" s="31" t="inlineStr">
        <is>
          <t>Yes</t>
        </is>
      </c>
      <c r="BI66" s="31">
        <f>IF(BH66="Yes",10,0)</f>
        <v/>
      </c>
      <c r="BJ66" s="31" t="inlineStr">
        <is>
          <t>P/BV less than 2.5x and Growth less than 20%</t>
        </is>
      </c>
      <c r="BK66" s="31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1" t="inlineStr">
        <is>
          <t>0 to 20</t>
        </is>
      </c>
      <c r="BM66" s="31">
        <f>IF(BL66="Above 40",20,IF(BL66="20 to 40",10,IF(BL66="0 to 20",-5,0)))</f>
        <v/>
      </c>
      <c r="BN66" s="31" t="inlineStr">
        <is>
          <t>Between 50 to 75</t>
        </is>
      </c>
      <c r="BO66" s="31">
        <f>IF(BN66="Between 50 to 75",10,IF(BN66="Above 75",0,0))</f>
        <v/>
      </c>
      <c r="BP66" s="31" t="inlineStr">
        <is>
          <t>Stage 2</t>
        </is>
      </c>
      <c r="BQ66" s="31">
        <f>IF(BP66="Stage 2",20,IF(BP66="Stage 1",0,IF(BP66="Stage 3",5,IF(BP66="Stage 4",-5,0))))</f>
        <v/>
      </c>
      <c r="BR66" s="31" t="inlineStr">
        <is>
          <t>Negative Trend</t>
        </is>
      </c>
      <c r="BS66" s="31">
        <f>IF(BR66="Positive Trend",20,IF(BR66="Negative Trend",-10,0))</f>
        <v/>
      </c>
      <c r="BT66" s="31" t="inlineStr">
        <is>
          <t>Uptrend</t>
        </is>
      </c>
      <c r="BU66" s="31">
        <f>IF(BT66="Uptrend",10,IF(BT66="Sideways",5,0))</f>
        <v/>
      </c>
      <c r="BV66" s="31" t="inlineStr">
        <is>
          <t>Uptrend</t>
        </is>
      </c>
      <c r="BW66" s="31">
        <f>IF(BV66="Uptrend",10,IF(BV66="Sideways",5,0))</f>
        <v/>
      </c>
      <c r="BX66" s="31" t="inlineStr">
        <is>
          <t>Close to 52 week high or retracement</t>
        </is>
      </c>
      <c r="BY66" s="31">
        <f>IF(BX66="Overhead supply in last 2 years in last 2 years",-5,IF(BX66="Close to 52 week high or retracement",5,IF(BX66="Blue sky scenario",10,IF(BX66="Long term Downtrend",-10,0))))</f>
        <v/>
      </c>
      <c r="BZ66" s="31" t="inlineStr">
        <is>
          <t>Yes</t>
        </is>
      </c>
      <c r="CA66" s="31">
        <f>IF(BZ66="Yes",10,0)</f>
        <v/>
      </c>
    </row>
    <row r="67">
      <c r="A67" s="31">
        <f>IF(B67=0,"",RANK(B67,$B$2:$B$67,0))</f>
        <v/>
      </c>
      <c r="B67" s="32">
        <f>SUM(N67,Y67,AA67,AC67,AE67,AG67,AI67,AK67,AM67,AO67,AQ67,AS67,AU67,AW67,AY67,BA67,BC67,BE67,BG67,BI67,BK67,BM67,BO67,BQ67,BS67,BU67,BW67,BY67,CA67)</f>
        <v/>
      </c>
      <c r="C67" s="31" t="inlineStr">
        <is>
          <t>SBILIFE</t>
        </is>
      </c>
      <c r="D67" s="31" t="inlineStr">
        <is>
          <t>SBI Life Insurance Company Ltd</t>
        </is>
      </c>
      <c r="E67" s="31" t="inlineStr">
        <is>
          <t>financials</t>
        </is>
      </c>
      <c r="F67" s="31" t="inlineStr">
        <is>
          <t>finance &amp; investments</t>
        </is>
      </c>
      <c r="G67" s="31" t="inlineStr">
        <is>
          <t>largecap</t>
        </is>
      </c>
      <c r="H67" s="32" t="n">
        <v>184599.04</v>
      </c>
      <c r="I67" s="32" t="n">
        <v>1866.4</v>
      </c>
      <c r="J67" s="32" t="n">
        <v>1.42</v>
      </c>
      <c r="K67" s="32" t="n">
        <v>895879</v>
      </c>
      <c r="L67" s="31" t="n">
        <v>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50.63</v>
      </c>
      <c r="P67" s="32" t="n">
        <v>12.05</v>
      </c>
      <c r="Q67" s="32" t="n">
        <v>1701.89</v>
      </c>
      <c r="R67" s="31" t="inlineStr">
        <is>
          <t>Earnings / Momentum Support</t>
        </is>
      </c>
      <c r="S67" s="31" t="inlineStr">
        <is>
          <t>Nifty Bank</t>
        </is>
      </c>
      <c r="T67" s="32" t="n">
        <v>2.62</v>
      </c>
      <c r="U67" s="32" t="n">
        <v>4.51</v>
      </c>
      <c r="V67" s="32" t="n">
        <v>1.84</v>
      </c>
      <c r="W67" s="32" t="n">
        <v>0.04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Fragmented with High ROE</t>
        </is>
      </c>
      <c r="AA67" s="31">
        <f>IF(Z67="Fragmented with Low ROE",-5,IF(Z67="Fragmented with High ROE",10,IF(Z67= "highly cyclical",5,0)))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Consistency)",15,IF(AF67="Shallow Cyclical (2 to 3 years growth)",10,IF(AF67 = "Cyclical in an Uptick",5,IF(AF67 = "Cyclical in an Downtick",-10,0))))</f>
        <v/>
      </c>
      <c r="AH67" s="31" t="inlineStr">
        <is>
          <t>Yes</t>
        </is>
      </c>
      <c r="AI67" s="31">
        <f>IF(AH67="Yes",10,0)</f>
        <v/>
      </c>
      <c r="AJ67" s="31" t="inlineStr">
        <is>
          <t>Yes</t>
        </is>
      </c>
      <c r="AK67" s="31">
        <f>IF(AJ67="Yes",10,0)</f>
        <v/>
      </c>
      <c r="AL67" s="31" t="n"/>
      <c r="AM67" s="31">
        <f>IF(AL67="No",10,0)</f>
        <v/>
      </c>
      <c r="AN67" s="31" t="inlineStr">
        <is>
          <t>Yes</t>
        </is>
      </c>
      <c r="AO67" s="31">
        <f>IF(AN67="Yes",10,0)</f>
        <v/>
      </c>
      <c r="AP67" s="31" t="inlineStr">
        <is>
          <t>No</t>
        </is>
      </c>
      <c r="AQ67" s="31">
        <f>IF(AP67="Yes",10,0)</f>
        <v/>
      </c>
      <c r="AR67" s="31" t="inlineStr">
        <is>
          <t>Yes</t>
        </is>
      </c>
      <c r="AS67" s="31">
        <f>IF(AR67="Yes",5,0)</f>
        <v/>
      </c>
      <c r="AT67" s="31" t="inlineStr">
        <is>
          <t>No</t>
        </is>
      </c>
      <c r="AU67" s="31">
        <f>IF(AT67="No",10,IF(AT67="Yes",-10,0))</f>
        <v/>
      </c>
      <c r="AV67" s="31" t="inlineStr">
        <is>
          <t>No</t>
        </is>
      </c>
      <c r="AW67" s="31">
        <f>IF(AV67="No",10,0)</f>
        <v/>
      </c>
      <c r="AX67" s="31" t="inlineStr">
        <is>
          <t>No</t>
        </is>
      </c>
      <c r="AY67" s="31">
        <f>IF(AX67="No",10,IF(AX67= "Yes CEO Resignation",-5,0))</f>
        <v/>
      </c>
      <c r="AZ67" s="31" t="inlineStr">
        <is>
          <t>No</t>
        </is>
      </c>
      <c r="BA67" s="31">
        <f>IF(AZ67="No",10,IF(AZ67="Yes",-5,0))</f>
        <v/>
      </c>
      <c r="BB67" s="31" t="inlineStr">
        <is>
          <t>No</t>
        </is>
      </c>
      <c r="BC67" s="31">
        <f>IF(BB67="No",5,IF(BB67="Yes",-5,0))</f>
        <v/>
      </c>
      <c r="BD67" s="31" t="inlineStr">
        <is>
          <t>Yes</t>
        </is>
      </c>
      <c r="BE67" s="31">
        <f>IF(BD67="Yes",10,0)</f>
        <v/>
      </c>
      <c r="BF67" s="31" t="inlineStr">
        <is>
          <t>Yes</t>
        </is>
      </c>
      <c r="BG67" s="31">
        <f>IF(BF67="Yes",10,0)</f>
        <v/>
      </c>
      <c r="BH67" s="31" t="inlineStr">
        <is>
          <t>Yes</t>
        </is>
      </c>
      <c r="BI67" s="31">
        <f>IF(BH67="Yes",10,0)</f>
        <v/>
      </c>
      <c r="BJ67" s="31" t="inlineStr">
        <is>
          <t>P/BV above 5x</t>
        </is>
      </c>
      <c r="BK67" s="31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1" t="inlineStr">
        <is>
          <t>0 to 20</t>
        </is>
      </c>
      <c r="BM67" s="31">
        <f>IF(BL67="Above 40",20,IF(BL67="20 to 40",10,IF(BL67="0 to 20",-5,0)))</f>
        <v/>
      </c>
      <c r="BN67" s="31" t="inlineStr">
        <is>
          <t>Between 50 to 75</t>
        </is>
      </c>
      <c r="BO67" s="31">
        <f>IF(BN67="Between 50 to 75",10,IF(BN67="Above 75",0,0))</f>
        <v/>
      </c>
      <c r="BP67" s="31" t="inlineStr">
        <is>
          <t>Stage 1</t>
        </is>
      </c>
      <c r="BQ67" s="31">
        <f>IF(BP67="Stage 2",20,IF(BP67="Stage 1",0,IF(BP67="Stage 3",5,IF(BP67="Stage 4",-5,0))))</f>
        <v/>
      </c>
      <c r="BR67" s="31" t="inlineStr">
        <is>
          <t>Positive Trend</t>
        </is>
      </c>
      <c r="BS67" s="31">
        <f>IF(BR67="Positive Trend",20,IF(BR67="Negative Trend",-10,0))</f>
        <v/>
      </c>
      <c r="BT67" s="31" t="inlineStr">
        <is>
          <t>Uptrend</t>
        </is>
      </c>
      <c r="BU67" s="31">
        <f>IF(BT67="Uptrend",10,IF(BT67="Sideways",5,0))</f>
        <v/>
      </c>
      <c r="BV67" s="31" t="inlineStr">
        <is>
          <t>Uptrend</t>
        </is>
      </c>
      <c r="BW67" s="31">
        <f>IF(BV67="Uptrend",10,IF(BV67="Sideways",5,0))</f>
        <v/>
      </c>
      <c r="BX67" s="31" t="inlineStr">
        <is>
          <t>Close to 52 week high or retracement</t>
        </is>
      </c>
      <c r="BY67" s="31">
        <f>IF(BX67="Overhead supply in last 2 years in last 2 years",-5,IF(BX67="Close to 52 week high or retracement",5,IF(BX67="Blue sky scenario",10,IF(BX67="Long term Downtrend",-10,0))))</f>
        <v/>
      </c>
      <c r="BZ67" s="31" t="inlineStr">
        <is>
          <t>Yes</t>
        </is>
      </c>
      <c r="CA67" s="31">
        <f>IF(BZ67="Yes",10,0)</f>
        <v/>
      </c>
    </row>
  </sheetData>
  <autoFilter ref="A1:CA67"/>
  <conditionalFormatting sqref="B2:B6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7">
    <cfRule type="cellIs" priority="34" operator="equal" dxfId="3" stopIfTrue="1">
      <formula>"Underperforming"</formula>
    </cfRule>
  </conditionalFormatting>
  <conditionalFormatting sqref="N2:N67">
    <cfRule type="cellIs" priority="35" operator="equal" dxfId="3" stopIfTrue="1">
      <formula>-5</formula>
    </cfRule>
  </conditionalFormatting>
  <conditionalFormatting sqref="Q2:Q6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7" showDropDown="0" showInputMessage="0" showErrorMessage="0" allowBlank="1" type="list">
      <formula1>"Growing Industry,Stagnant Industry,Cyclical in an Upturn"</formula1>
    </dataValidation>
    <dataValidation sqref="Z2:Z67" showDropDown="0" showInputMessage="0" showErrorMessage="0" allowBlank="1" type="list">
      <formula1>"Fragmented with Low ROE,Fragmented with High ROE,Highly Cyclical"</formula1>
    </dataValidation>
    <dataValidation sqref="AB2:AB67" showDropDown="0" showInputMessage="0" showErrorMessage="0" allowBlank="1" type="list">
      <formula1>"Yes,No"</formula1>
    </dataValidation>
    <dataValidation sqref="AD2:AD67" showDropDown="0" showInputMessage="0" showErrorMessage="0" allowBlank="1" type="list">
      <formula1>"Tailwind,Headwind"</formula1>
    </dataValidation>
    <dataValidation sqref="AF2:AF6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7" showDropDown="0" showInputMessage="0" showErrorMessage="0" allowBlank="1" type="list">
      <formula1>"Yes,No"</formula1>
    </dataValidation>
    <dataValidation sqref="AJ2:AJ67" showDropDown="0" showInputMessage="0" showErrorMessage="0" allowBlank="1" type="list">
      <formula1>"Yes,No,Not Applicable"</formula1>
    </dataValidation>
    <dataValidation sqref="AL2:AL67" showDropDown="0" showInputMessage="0" showErrorMessage="0" allowBlank="1" type="list">
      <formula1>"Yes,No"</formula1>
    </dataValidation>
    <dataValidation sqref="AN2:AN67" showDropDown="0" showInputMessage="0" showErrorMessage="0" allowBlank="1" type="list">
      <formula1>"Yes,No"</formula1>
    </dataValidation>
    <dataValidation sqref="AP2:AP67" showDropDown="0" showInputMessage="0" showErrorMessage="0" allowBlank="1" type="list">
      <formula1>"Yes,No"</formula1>
    </dataValidation>
    <dataValidation sqref="AR2:AR67" showDropDown="0" showInputMessage="0" showErrorMessage="0" allowBlank="1" type="list">
      <formula1>"Yes,No"</formula1>
    </dataValidation>
    <dataValidation sqref="AT2:AT67" showDropDown="0" showInputMessage="0" showErrorMessage="0" allowBlank="1" type="list">
      <formula1>"No,Yes"</formula1>
    </dataValidation>
    <dataValidation sqref="AV2:AV67" showDropDown="0" showInputMessage="0" showErrorMessage="0" allowBlank="1" type="list">
      <formula1>"No,Yes"</formula1>
    </dataValidation>
    <dataValidation sqref="AX2:AX67" showDropDown="0" showInputMessage="0" showErrorMessage="0" allowBlank="1" type="list">
      <formula1>"No,Yes CEO Resignation,Yes CEO Retirement"</formula1>
    </dataValidation>
    <dataValidation sqref="AZ2:AZ67" showDropDown="0" showInputMessage="0" showErrorMessage="0" allowBlank="1" type="list">
      <formula1>"No,Yes"</formula1>
    </dataValidation>
    <dataValidation sqref="BB2:BB67" showDropDown="0" showInputMessage="0" showErrorMessage="0" allowBlank="1" type="list">
      <formula1>"No,Yes"</formula1>
    </dataValidation>
    <dataValidation sqref="BD2:BD67" showDropDown="0" showInputMessage="0" showErrorMessage="0" allowBlank="1" type="list">
      <formula1>"Yes,No"</formula1>
    </dataValidation>
    <dataValidation sqref="BF2:BF67" showDropDown="0" showInputMessage="0" showErrorMessage="0" allowBlank="1" type="list">
      <formula1>"Yes,No"</formula1>
    </dataValidation>
    <dataValidation sqref="BH2:BH67" showDropDown="0" showInputMessage="0" showErrorMessage="0" allowBlank="1" type="list">
      <formula1>"Yes,No"</formula1>
    </dataValidation>
    <dataValidation sqref="BJ2:BJ6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7" showDropDown="0" showInputMessage="0" showErrorMessage="0" allowBlank="1" type="list">
      <formula1>"Above 40,20 to 40,0 to 20"</formula1>
    </dataValidation>
    <dataValidation sqref="BN2:BN67" showDropDown="0" showInputMessage="0" showErrorMessage="0" allowBlank="1" type="list">
      <formula1>"Between 50 to 75,Above 75,Below 45"</formula1>
    </dataValidation>
    <dataValidation sqref="BP2:BP67" showDropDown="0" showInputMessage="0" showErrorMessage="0" allowBlank="1" type="list">
      <formula1>"Stage 1,Stage 2,Stage 3,Stage 4"</formula1>
    </dataValidation>
    <dataValidation sqref="BR2:BR67" showDropDown="0" showInputMessage="0" showErrorMessage="0" allowBlank="1" type="list">
      <formula1>"Positive Trend,Negative Trend"</formula1>
    </dataValidation>
    <dataValidation sqref="BT2:BT67" showDropDown="0" showInputMessage="0" showErrorMessage="0" allowBlank="1" type="list">
      <formula1>"Uptrend,Sideways,Downtrend"</formula1>
    </dataValidation>
    <dataValidation sqref="BV2:BV67" showDropDown="0" showInputMessage="0" showErrorMessage="0" allowBlank="1" type="list">
      <formula1>"Uptrend,Sideways,Downtrend"</formula1>
    </dataValidation>
    <dataValidation sqref="BX2:BX6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</v>
      </c>
      <c r="E2" s="32" t="inlineStr">
        <is>
          <t>5%</t>
        </is>
      </c>
      <c r="F2" s="32" t="n">
        <v>50000</v>
      </c>
      <c r="G2" s="32" t="n">
        <v>276</v>
      </c>
      <c r="H2" s="31" t="inlineStr">
        <is>
          <t>MENONBE</t>
        </is>
      </c>
      <c r="I2" s="31" t="inlineStr">
        <is>
          <t>Menon Bearings Limited</t>
        </is>
      </c>
      <c r="J2" s="31" t="inlineStr">
        <is>
          <t>auto</t>
        </is>
      </c>
      <c r="K2" s="31" t="inlineStr">
        <is>
          <t>auto ancillaries</t>
        </is>
      </c>
      <c r="L2" s="31" t="inlineStr">
        <is>
          <t>smallcap</t>
        </is>
      </c>
      <c r="M2" s="32" t="n">
        <v>1001.27</v>
      </c>
      <c r="N2" s="32" t="n">
        <v>181.12</v>
      </c>
      <c r="O2" s="32" t="n">
        <v>1.37</v>
      </c>
      <c r="P2" s="32" t="n">
        <v>37789</v>
      </c>
      <c r="Q2" s="31" t="n">
        <v>76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69.40000000000001</v>
      </c>
      <c r="U2" s="32" t="n">
        <v>42.02</v>
      </c>
      <c r="V2" s="32" t="n">
        <v>133.78</v>
      </c>
      <c r="W2" s="31" t="inlineStr">
        <is>
          <t>Near 52W High Breakout</t>
        </is>
      </c>
      <c r="X2" s="31" t="inlineStr">
        <is>
          <t>Nifty Auto</t>
        </is>
      </c>
      <c r="Y2" s="32" t="n">
        <v>11.51</v>
      </c>
      <c r="Z2" s="32" t="n">
        <v>44.73</v>
      </c>
      <c r="AA2" s="32" t="n">
        <v>29.79</v>
      </c>
      <c r="AB2" s="32" t="n">
        <v>17.8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Less than 50%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138.9</v>
      </c>
      <c r="E3" s="32" t="inlineStr">
        <is>
          <t>5%</t>
        </is>
      </c>
      <c r="F3" s="32" t="n">
        <v>50000</v>
      </c>
      <c r="G3" s="32" t="n">
        <v>55</v>
      </c>
      <c r="H3" s="31" t="inlineStr">
        <is>
          <t>GRANULES</t>
        </is>
      </c>
      <c r="I3" s="31" t="inlineStr">
        <is>
          <t>Granules India Limited</t>
        </is>
      </c>
      <c r="J3" s="31" t="inlineStr">
        <is>
          <t>healthcare</t>
        </is>
      </c>
      <c r="K3" s="31" t="inlineStr">
        <is>
          <t>pharmaceuticals - indian - bulk drugs &amp; formln</t>
        </is>
      </c>
      <c r="L3" s="31" t="inlineStr">
        <is>
          <t>largecap</t>
        </is>
      </c>
      <c r="M3" s="32" t="n">
        <v>22180.3</v>
      </c>
      <c r="N3" s="32" t="n">
        <v>898.6</v>
      </c>
      <c r="O3" s="32" t="n">
        <v>0.39</v>
      </c>
      <c r="P3" s="32" t="n">
        <v>710981</v>
      </c>
      <c r="Q3" s="31" t="n">
        <v>81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78.87</v>
      </c>
      <c r="U3" s="32" t="n">
        <v>47.72</v>
      </c>
      <c r="V3" s="32" t="n">
        <v>758.92</v>
      </c>
      <c r="W3" s="31" t="inlineStr">
        <is>
          <t>Near 52W High Breakout</t>
        </is>
      </c>
      <c r="X3" s="31" t="inlineStr">
        <is>
          <t>Nifty Pharma</t>
        </is>
      </c>
      <c r="Y3" s="32" t="n">
        <v>15.1</v>
      </c>
      <c r="Z3" s="32" t="n">
        <v>81.56</v>
      </c>
      <c r="AA3" s="32" t="n">
        <v>57.74</v>
      </c>
      <c r="AB3" s="32" t="n">
        <v>20.78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Between 50% to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138.6</v>
      </c>
      <c r="E4" s="32" t="inlineStr">
        <is>
          <t>5%</t>
        </is>
      </c>
      <c r="F4" s="32" t="n">
        <v>50000</v>
      </c>
      <c r="G4" s="32" t="n">
        <v>60</v>
      </c>
      <c r="H4" s="31" t="inlineStr">
        <is>
          <t>ASTERDM</t>
        </is>
      </c>
      <c r="I4" s="31" t="inlineStr">
        <is>
          <t>Aster DM Healthcare Ltd</t>
        </is>
      </c>
      <c r="J4" s="31" t="inlineStr">
        <is>
          <t>healthcare</t>
        </is>
      </c>
      <c r="K4" s="31" t="inlineStr">
        <is>
          <t>healthcare</t>
        </is>
      </c>
      <c r="L4" s="31" t="inlineStr">
        <is>
          <t>largecap</t>
        </is>
      </c>
      <c r="M4" s="32" t="n">
        <v>42133.6</v>
      </c>
      <c r="N4" s="32" t="n">
        <v>824.6</v>
      </c>
      <c r="O4" s="32" t="n">
        <v>1.4</v>
      </c>
      <c r="P4" s="32" t="n">
        <v>470328</v>
      </c>
      <c r="Q4" s="31" t="n">
        <v>59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68.23</v>
      </c>
      <c r="U4" s="32" t="n">
        <v>47.7</v>
      </c>
      <c r="V4" s="32" t="n">
        <v>676.11</v>
      </c>
      <c r="W4" s="31" t="inlineStr">
        <is>
          <t>Near 52W High Breakout</t>
        </is>
      </c>
      <c r="X4" s="31" t="inlineStr">
        <is>
          <t>Nifty Pharma</t>
        </is>
      </c>
      <c r="Y4" s="32" t="n">
        <v>15.1</v>
      </c>
      <c r="Z4" s="32" t="n">
        <v>39.51</v>
      </c>
      <c r="AA4" s="32" t="n">
        <v>21.21</v>
      </c>
      <c r="AB4" s="32" t="n">
        <v>11.72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Between 1.5 to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138.3</v>
      </c>
      <c r="E5" s="32" t="inlineStr">
        <is>
          <t>5%</t>
        </is>
      </c>
      <c r="F5" s="32" t="n">
        <v>50000</v>
      </c>
      <c r="G5" s="32" t="n">
        <v>38</v>
      </c>
      <c r="H5" s="31" t="inlineStr">
        <is>
          <t>ATHERENERG</t>
        </is>
      </c>
      <c r="I5" s="31" t="inlineStr">
        <is>
          <t>Ather Energy Ltd</t>
        </is>
      </c>
      <c r="J5" s="31" t="inlineStr">
        <is>
          <t>auto</t>
        </is>
      </c>
      <c r="K5" s="31" t="inlineStr">
        <is>
          <t>automobiles - scooters and 3 - wheelers</t>
        </is>
      </c>
      <c r="L5" s="31" t="inlineStr">
        <is>
          <t>largecap</t>
        </is>
      </c>
      <c r="M5" s="32" t="n">
        <v>46043.48</v>
      </c>
      <c r="N5" s="32" t="n">
        <v>1296.4</v>
      </c>
      <c r="O5" s="32" t="n">
        <v>7.87</v>
      </c>
      <c r="P5" s="32" t="n">
        <v>17106822</v>
      </c>
      <c r="Q5" s="31" t="n">
        <v>97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79.95</v>
      </c>
      <c r="U5" s="32" t="n">
        <v>54.62</v>
      </c>
      <c r="V5" s="32" t="n">
        <v>1004.24</v>
      </c>
      <c r="W5" s="31" t="inlineStr">
        <is>
          <t>Near 52W High Breakout</t>
        </is>
      </c>
      <c r="X5" s="31" t="inlineStr">
        <is>
          <t>Nifty Auto</t>
        </is>
      </c>
      <c r="Y5" s="32" t="n">
        <v>11.51</v>
      </c>
      <c r="Z5" s="32" t="n">
        <v>279.84</v>
      </c>
      <c r="AA5" s="32" t="n">
        <v>240.63</v>
      </c>
      <c r="AB5" s="32" t="n">
        <v>46.92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Negative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138.8</v>
      </c>
      <c r="E6" s="32" t="inlineStr">
        <is>
          <t>5%</t>
        </is>
      </c>
      <c r="F6" s="32" t="n">
        <v>50000</v>
      </c>
      <c r="G6" s="32" t="n">
        <v>30</v>
      </c>
      <c r="H6" s="31" t="inlineStr">
        <is>
          <t>HAPPYFORGE</t>
        </is>
      </c>
      <c r="I6" s="31" t="inlineStr">
        <is>
          <t>Happy Forgings Ltd</t>
        </is>
      </c>
      <c r="J6" s="31" t="inlineStr">
        <is>
          <t>industrials</t>
        </is>
      </c>
      <c r="K6" s="31" t="inlineStr">
        <is>
          <t>castings &amp; forgings</t>
        </is>
      </c>
      <c r="L6" s="31" t="inlineStr">
        <is>
          <t>midcap</t>
        </is>
      </c>
      <c r="M6" s="32" t="n">
        <v>15024.15</v>
      </c>
      <c r="N6" s="32" t="n">
        <v>1613</v>
      </c>
      <c r="O6" s="32" t="n">
        <v>1.33</v>
      </c>
      <c r="P6" s="32" t="n">
        <v>76418</v>
      </c>
      <c r="Q6" s="31" t="n">
        <v>73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72.61</v>
      </c>
      <c r="U6" s="32" t="n">
        <v>43.75</v>
      </c>
      <c r="V6" s="32" t="n">
        <v>1302.44</v>
      </c>
      <c r="W6" s="31" t="inlineStr">
        <is>
          <t>Near 52W High Breakout</t>
        </is>
      </c>
      <c r="X6" s="31" t="inlineStr">
        <is>
          <t>Nifty Infra</t>
        </is>
      </c>
      <c r="Y6" s="32" t="n">
        <v>1.31</v>
      </c>
      <c r="Z6" s="32" t="n">
        <v>72.55</v>
      </c>
      <c r="AA6" s="32" t="n">
        <v>70.31999999999999</v>
      </c>
      <c r="AB6" s="32" t="n">
        <v>16.12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139.3</v>
      </c>
      <c r="E7" s="32" t="inlineStr">
        <is>
          <t>5%</t>
        </is>
      </c>
      <c r="F7" s="32" t="n">
        <v>50000</v>
      </c>
      <c r="G7" s="32" t="n">
        <v>77</v>
      </c>
      <c r="H7" s="31" t="inlineStr">
        <is>
          <t>SHILPAMED</t>
        </is>
      </c>
      <c r="I7" s="31" t="inlineStr">
        <is>
          <t>Shilpa Medicare Limited</t>
        </is>
      </c>
      <c r="J7" s="31" t="inlineStr">
        <is>
          <t>healthcare</t>
        </is>
      </c>
      <c r="K7" s="31" t="inlineStr">
        <is>
          <t>pharmaceuticals - indian - formulations</t>
        </is>
      </c>
      <c r="L7" s="31" t="inlineStr">
        <is>
          <t>midcap</t>
        </is>
      </c>
      <c r="M7" s="32" t="n">
        <v>12209.19</v>
      </c>
      <c r="N7" s="32" t="n">
        <v>645.75</v>
      </c>
      <c r="O7" s="32" t="n">
        <v>3.44</v>
      </c>
      <c r="P7" s="32" t="n">
        <v>741076</v>
      </c>
      <c r="Q7" s="31" t="n">
        <v>85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86.48</v>
      </c>
      <c r="U7" s="32" t="n">
        <v>65.23</v>
      </c>
      <c r="V7" s="32" t="n">
        <v>514.09</v>
      </c>
      <c r="W7" s="31" t="inlineStr">
        <is>
          <t>Near 52W High Breakout</t>
        </is>
      </c>
      <c r="X7" s="31" t="inlineStr">
        <is>
          <t>Nifty Pharma</t>
        </is>
      </c>
      <c r="Y7" s="32" t="n">
        <v>15.1</v>
      </c>
      <c r="Z7" s="32" t="n">
        <v>41.21</v>
      </c>
      <c r="AA7" s="32" t="n">
        <v>22.69</v>
      </c>
      <c r="AB7" s="32" t="n">
        <v>23.02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139.5</v>
      </c>
      <c r="E8" s="32" t="inlineStr">
        <is>
          <t>5%</t>
        </is>
      </c>
      <c r="F8" s="32" t="n">
        <v>50000</v>
      </c>
      <c r="G8" s="32" t="n">
        <v>33</v>
      </c>
      <c r="H8" s="31" t="inlineStr">
        <is>
          <t>SENORES</t>
        </is>
      </c>
      <c r="I8" s="31" t="inlineStr">
        <is>
          <t>Senores Pharmaceuticals Ltd</t>
        </is>
      </c>
      <c r="J8" s="31" t="inlineStr">
        <is>
          <t>healthcare</t>
        </is>
      </c>
      <c r="K8" s="31" t="inlineStr">
        <is>
          <t>pharmaceuticals - indian - formulations</t>
        </is>
      </c>
      <c r="L8" s="31" t="inlineStr">
        <is>
          <t>midcap</t>
        </is>
      </c>
      <c r="M8" s="32" t="n">
        <v>6686.06</v>
      </c>
      <c r="N8" s="32" t="n">
        <v>1480</v>
      </c>
      <c r="O8" s="32" t="n">
        <v>1.94</v>
      </c>
      <c r="P8" s="32" t="n">
        <v>174532</v>
      </c>
      <c r="Q8" s="31" t="n">
        <v>92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80.01000000000001</v>
      </c>
      <c r="U8" s="32" t="n">
        <v>60.93</v>
      </c>
      <c r="V8" s="32" t="n">
        <v>1159</v>
      </c>
      <c r="W8" s="31" t="inlineStr">
        <is>
          <t>Near 52W High Breakout</t>
        </is>
      </c>
      <c r="X8" s="31" t="inlineStr">
        <is>
          <t>Nifty Pharma</t>
        </is>
      </c>
      <c r="Y8" s="32" t="n">
        <v>15.1</v>
      </c>
      <c r="Z8" s="32" t="n">
        <v>137.19</v>
      </c>
      <c r="AA8" s="32" t="n">
        <v>106.08</v>
      </c>
      <c r="AB8" s="32" t="n">
        <v>33.9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Less than 50%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</v>
      </c>
      <c r="E9" s="32" t="inlineStr">
        <is>
          <t>5%</t>
        </is>
      </c>
      <c r="F9" s="32" t="n">
        <v>50000</v>
      </c>
      <c r="G9" s="32" t="n">
        <v>51</v>
      </c>
      <c r="H9" s="31" t="inlineStr">
        <is>
          <t>RATEGAIN</t>
        </is>
      </c>
      <c r="I9" s="31" t="inlineStr">
        <is>
          <t>Rategain Travel Technologies Ltd</t>
        </is>
      </c>
      <c r="J9" s="31" t="inlineStr">
        <is>
          <t>i.t</t>
        </is>
      </c>
      <c r="K9" s="31" t="inlineStr">
        <is>
          <t>computers - software - medium / small</t>
        </is>
      </c>
      <c r="L9" s="31" t="inlineStr">
        <is>
          <t>midcap</t>
        </is>
      </c>
      <c r="M9" s="32" t="n">
        <v>11252.3</v>
      </c>
      <c r="N9" s="32" t="n">
        <v>977.2</v>
      </c>
      <c r="O9" s="32" t="n">
        <v>2.62</v>
      </c>
      <c r="P9" s="32" t="n">
        <v>1234413</v>
      </c>
      <c r="Q9" s="31" t="n">
        <v>91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79.98999999999999</v>
      </c>
      <c r="U9" s="32" t="n">
        <v>33.96</v>
      </c>
      <c r="V9" s="32" t="n">
        <v>771.58</v>
      </c>
      <c r="W9" s="31" t="inlineStr">
        <is>
          <t>Near 52W High Breakout</t>
        </is>
      </c>
      <c r="X9" s="31" t="inlineStr">
        <is>
          <t>Nifty IT</t>
        </is>
      </c>
      <c r="Y9" s="32" t="n">
        <v>-23.18</v>
      </c>
      <c r="Z9" s="32" t="n">
        <v>109.79</v>
      </c>
      <c r="AA9" s="32" t="n">
        <v>173.09</v>
      </c>
      <c r="AB9" s="32" t="n">
        <v>32.91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Between 50% to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139.8</v>
      </c>
      <c r="E10" s="32" t="inlineStr">
        <is>
          <t>5%</t>
        </is>
      </c>
      <c r="F10" s="32" t="n">
        <v>50000</v>
      </c>
      <c r="G10" s="32" t="n">
        <v>26</v>
      </c>
      <c r="H10" s="31" t="inlineStr">
        <is>
          <t>IPCALAB</t>
        </is>
      </c>
      <c r="I10" s="31" t="inlineStr">
        <is>
          <t>Ipca Laboratories Limited</t>
        </is>
      </c>
      <c r="J10" s="31" t="inlineStr">
        <is>
          <t>healthcare</t>
        </is>
      </c>
      <c r="K10" s="31" t="inlineStr">
        <is>
          <t>pharmaceuticals - indian - bulk drugs &amp; formln</t>
        </is>
      </c>
      <c r="L10" s="31" t="inlineStr">
        <is>
          <t>largecap</t>
        </is>
      </c>
      <c r="M10" s="32" t="n">
        <v>46691.72</v>
      </c>
      <c r="N10" s="32" t="n">
        <v>1878</v>
      </c>
      <c r="O10" s="32" t="n">
        <v>2.04</v>
      </c>
      <c r="P10" s="32" t="n">
        <v>291486</v>
      </c>
      <c r="Q10" s="31" t="n">
        <v>58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70.61</v>
      </c>
      <c r="U10" s="32" t="n">
        <v>33.49</v>
      </c>
      <c r="V10" s="32" t="n">
        <v>1550.81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15.1</v>
      </c>
      <c r="Z10" s="32" t="n">
        <v>27.85</v>
      </c>
      <c r="AA10" s="32" t="n">
        <v>11.08</v>
      </c>
      <c r="AB10" s="32" t="n">
        <v>11.6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Between 50% to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139.4</v>
      </c>
      <c r="E11" s="32" t="inlineStr">
        <is>
          <t>5%</t>
        </is>
      </c>
      <c r="F11" s="32" t="n">
        <v>50000</v>
      </c>
      <c r="G11" s="32" t="n">
        <v>25</v>
      </c>
      <c r="H11" s="31" t="inlineStr">
        <is>
          <t>SUNPHARMA</t>
        </is>
      </c>
      <c r="I11" s="31" t="inlineStr">
        <is>
          <t>Sun Pharmaceuticals Industries Limited</t>
        </is>
      </c>
      <c r="J11" s="31" t="inlineStr">
        <is>
          <t>healthcare</t>
        </is>
      </c>
      <c r="K11" s="31" t="inlineStr">
        <is>
          <t>pharmaceuticals - indian - bulk drugs &amp; formln</t>
        </is>
      </c>
      <c r="L11" s="31" t="inlineStr">
        <is>
          <t>largecap</t>
        </is>
      </c>
      <c r="M11" s="32" t="n">
        <v>466094.81</v>
      </c>
      <c r="N11" s="32" t="n">
        <v>1951.5</v>
      </c>
      <c r="O11" s="32" t="n">
        <v>0.46</v>
      </c>
      <c r="P11" s="32" t="n">
        <v>2283524</v>
      </c>
      <c r="Q11" s="31" t="n">
        <v>38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66.38</v>
      </c>
      <c r="U11" s="32" t="n">
        <v>18.64</v>
      </c>
      <c r="V11" s="32" t="n">
        <v>1723.77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15.1</v>
      </c>
      <c r="Z11" s="32" t="n">
        <v>16.28</v>
      </c>
      <c r="AA11" s="32" t="n">
        <v>1.03</v>
      </c>
      <c r="AB11" s="32" t="n">
        <v>6.63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0 to 20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Between 1.5 to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139.8</v>
      </c>
      <c r="E12" s="32" t="inlineStr">
        <is>
          <t>5%</t>
        </is>
      </c>
      <c r="F12" s="32" t="n">
        <v>50000</v>
      </c>
      <c r="G12" s="32" t="n">
        <v>19</v>
      </c>
      <c r="H12" s="31" t="inlineStr">
        <is>
          <t>JBCHEPHARM</t>
        </is>
      </c>
      <c r="I12" s="31" t="inlineStr">
        <is>
          <t>Jb Chemicals &amp; Pharmaceuticals Limited</t>
        </is>
      </c>
      <c r="J12" s="31" t="inlineStr">
        <is>
          <t>healthcare</t>
        </is>
      </c>
      <c r="K12" s="31" t="inlineStr">
        <is>
          <t>pharmaceuticals - indian - bulk drugs &amp; formln</t>
        </is>
      </c>
      <c r="L12" s="31" t="inlineStr">
        <is>
          <t>largecap</t>
        </is>
      </c>
      <c r="M12" s="32" t="n">
        <v>39940.58</v>
      </c>
      <c r="N12" s="32" t="n">
        <v>2506</v>
      </c>
      <c r="O12" s="32" t="n">
        <v>0.74</v>
      </c>
      <c r="P12" s="32" t="n">
        <v>717650</v>
      </c>
      <c r="Q12" s="31" t="n">
        <v>69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78.34999999999999</v>
      </c>
      <c r="U12" s="32" t="n">
        <v>44.28</v>
      </c>
      <c r="V12" s="32" t="n">
        <v>2172.34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15.1</v>
      </c>
      <c r="Z12" s="32" t="n">
        <v>53.75</v>
      </c>
      <c r="AA12" s="32" t="n">
        <v>33.59</v>
      </c>
      <c r="AB12" s="32" t="n">
        <v>14.55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138.5</v>
      </c>
      <c r="E13" s="32" t="inlineStr">
        <is>
          <t>5%</t>
        </is>
      </c>
      <c r="F13" s="32" t="n">
        <v>50000</v>
      </c>
      <c r="G13" s="32" t="n">
        <v>14</v>
      </c>
      <c r="H13" s="31" t="inlineStr">
        <is>
          <t>AJANTPHARM</t>
        </is>
      </c>
      <c r="I13" s="31" t="inlineStr">
        <is>
          <t>Ajanta Pharma Limited</t>
        </is>
      </c>
      <c r="J13" s="31" t="inlineStr">
        <is>
          <t>healthcare</t>
        </is>
      </c>
      <c r="K13" s="31" t="inlineStr">
        <is>
          <t>pharmaceuticals - indian - formulations</t>
        </is>
      </c>
      <c r="L13" s="31" t="inlineStr">
        <is>
          <t>largecap</t>
        </is>
      </c>
      <c r="M13" s="32" t="n">
        <v>42588.06</v>
      </c>
      <c r="N13" s="32" t="n">
        <v>3454.9</v>
      </c>
      <c r="O13" s="32" t="n">
        <v>1.35</v>
      </c>
      <c r="P13" s="32" t="n">
        <v>49219</v>
      </c>
      <c r="Q13" s="31" t="n">
        <v>53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70.25</v>
      </c>
      <c r="U13" s="32" t="n">
        <v>39.56</v>
      </c>
      <c r="V13" s="32" t="n">
        <v>2879.04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15.1</v>
      </c>
      <c r="Z13" s="32" t="n">
        <v>25.97</v>
      </c>
      <c r="AA13" s="32" t="n">
        <v>9.449999999999999</v>
      </c>
      <c r="AB13" s="32" t="n">
        <v>10.16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Less than 50%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139.2</v>
      </c>
      <c r="E14" s="32" t="inlineStr">
        <is>
          <t>5%</t>
        </is>
      </c>
      <c r="F14" s="32" t="n">
        <v>50000</v>
      </c>
      <c r="G14" s="32" t="n">
        <v>5</v>
      </c>
      <c r="H14" s="31" t="inlineStr">
        <is>
          <t>APOLLOHOSP</t>
        </is>
      </c>
      <c r="I14" s="31" t="inlineStr">
        <is>
          <t>Apollo Hospitals Enterprise Limited</t>
        </is>
      </c>
      <c r="J14" s="31" t="inlineStr">
        <is>
          <t>healthcare</t>
        </is>
      </c>
      <c r="K14" s="31" t="inlineStr">
        <is>
          <t>healthcare</t>
        </is>
      </c>
      <c r="L14" s="31" t="inlineStr">
        <is>
          <t>largecap</t>
        </is>
      </c>
      <c r="M14" s="32" t="n">
        <v>127975.53</v>
      </c>
      <c r="N14" s="32" t="n">
        <v>8934</v>
      </c>
      <c r="O14" s="32" t="n">
        <v>0.38</v>
      </c>
      <c r="P14" s="32" t="n">
        <v>501848</v>
      </c>
      <c r="Q14" s="31" t="n">
        <v>43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71.59999999999999</v>
      </c>
      <c r="U14" s="32" t="n">
        <v>22.98</v>
      </c>
      <c r="V14" s="32" t="n">
        <v>7927.08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15.1</v>
      </c>
      <c r="Z14" s="32" t="n">
        <v>22.64</v>
      </c>
      <c r="AA14" s="32" t="n">
        <v>6.56</v>
      </c>
      <c r="AB14" s="32" t="n">
        <v>7.71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Oligopoly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Cyclical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B2C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Fully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Yes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Between 1.5 to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139.9</v>
      </c>
      <c r="E15" s="32" t="inlineStr">
        <is>
          <t>5%</t>
        </is>
      </c>
      <c r="F15" s="32" t="n">
        <v>50000</v>
      </c>
      <c r="G15" s="32" t="n">
        <v>39</v>
      </c>
      <c r="H15" s="31" t="inlineStr">
        <is>
          <t>HIRECT</t>
        </is>
      </c>
      <c r="I15" s="31" t="inlineStr">
        <is>
          <t>Hind Rectifiers Limited</t>
        </is>
      </c>
      <c r="J15" s="31" t="inlineStr">
        <is>
          <t>consumer discretionary</t>
        </is>
      </c>
      <c r="K15" s="31" t="inlineStr">
        <is>
          <t>electronics - components</t>
        </is>
      </c>
      <c r="L15" s="31" t="inlineStr">
        <is>
          <t>smallcap</t>
        </is>
      </c>
      <c r="M15" s="32" t="n">
        <v>3651.22</v>
      </c>
      <c r="N15" s="32" t="n">
        <v>1273.6</v>
      </c>
      <c r="O15" s="32" t="n">
        <v>19.88</v>
      </c>
      <c r="P15" s="32" t="n">
        <v>1163256</v>
      </c>
      <c r="Q15" s="31" t="n">
        <v>85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75.27</v>
      </c>
      <c r="U15" s="32" t="n">
        <v>30.46</v>
      </c>
      <c r="V15" s="32" t="n">
        <v>915.9299999999999</v>
      </c>
      <c r="W15" s="31" t="inlineStr">
        <is>
          <t>Near 52W High Breakout</t>
        </is>
      </c>
      <c r="X15" s="31" t="inlineStr">
        <is>
          <t>Nifty 50</t>
        </is>
      </c>
      <c r="Y15" s="32" t="n">
        <v>-3.56</v>
      </c>
      <c r="Z15" s="32" t="n">
        <v>91.59</v>
      </c>
      <c r="AA15" s="32" t="n">
        <v>98.67</v>
      </c>
      <c r="AB15" s="32" t="n">
        <v>23.96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Between 0.7 to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139.2</v>
      </c>
      <c r="E16" s="32" t="inlineStr">
        <is>
          <t>5%</t>
        </is>
      </c>
      <c r="F16" s="32" t="n">
        <v>50000</v>
      </c>
      <c r="G16" s="32" t="n">
        <v>6</v>
      </c>
      <c r="H16" s="33" t="inlineStr">
        <is>
          <t>DIVISLAB</t>
        </is>
      </c>
      <c r="I16" s="33" t="inlineStr">
        <is>
          <t>Divi's Laboratories Limited</t>
        </is>
      </c>
      <c r="J16" s="31" t="inlineStr">
        <is>
          <t>healthcare</t>
        </is>
      </c>
      <c r="K16" s="31" t="inlineStr">
        <is>
          <t>pharmaceuticals - indian - bulk drugs</t>
        </is>
      </c>
      <c r="L16" s="31" t="inlineStr">
        <is>
          <t>largecap</t>
        </is>
      </c>
      <c r="M16" s="32" t="n">
        <v>190832.09</v>
      </c>
      <c r="N16" s="32" t="n">
        <v>7273</v>
      </c>
      <c r="O16" s="32" t="n">
        <v>1.18</v>
      </c>
      <c r="P16" s="32" t="n">
        <v>726485</v>
      </c>
      <c r="Q16" s="31" t="n">
        <v>31</v>
      </c>
      <c r="R16" s="31" t="inlineStr">
        <is>
          <t>Underperforming</t>
        </is>
      </c>
      <c r="S16" s="32">
        <f>IF(R16="Underperforming",-5,IF(Q16&gt;=95,15,IF(Q16&gt;=90,10,IF(Q16&gt;=80,5,0))))</f>
        <v/>
      </c>
      <c r="T16" s="32" t="n">
        <v>70.59999999999999</v>
      </c>
      <c r="U16" s="32" t="n">
        <v>18</v>
      </c>
      <c r="V16" s="32" t="n">
        <v>6319.96</v>
      </c>
      <c r="W16" s="31" t="inlineStr">
        <is>
          <t>Near 52W High Breakout</t>
        </is>
      </c>
      <c r="X16" s="31" t="inlineStr">
        <is>
          <t>Nifty Pharma</t>
        </is>
      </c>
      <c r="Y16" s="32" t="n">
        <v>15.1</v>
      </c>
      <c r="Z16" s="32" t="n">
        <v>8.539999999999999</v>
      </c>
      <c r="AA16" s="32" t="n">
        <v>-5.7</v>
      </c>
      <c r="AB16" s="32" t="n">
        <v>5.28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Annuity, Lower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0 to 20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Between 12 to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139.5</v>
      </c>
      <c r="E17" s="32" t="inlineStr">
        <is>
          <t>5%</t>
        </is>
      </c>
      <c r="F17" s="32" t="n">
        <v>50000</v>
      </c>
      <c r="G17" s="32" t="n">
        <v>16</v>
      </c>
      <c r="H17" s="31" t="inlineStr">
        <is>
          <t>RPGLIFE</t>
        </is>
      </c>
      <c r="I17" s="31" t="inlineStr">
        <is>
          <t>Rpg Life Sciences Limited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smallcap</t>
        </is>
      </c>
      <c r="M17" s="32" t="n">
        <v>4532.02</v>
      </c>
      <c r="N17" s="32" t="n">
        <v>2978.1</v>
      </c>
      <c r="O17" s="32" t="n">
        <v>8.68</v>
      </c>
      <c r="P17" s="32" t="n">
        <v>146496</v>
      </c>
      <c r="Q17" s="31" t="n">
        <v>71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77.19</v>
      </c>
      <c r="U17" s="32" t="n">
        <v>24.01</v>
      </c>
      <c r="V17" s="32" t="n">
        <v>2386.53</v>
      </c>
      <c r="W17" s="31" t="inlineStr">
        <is>
          <t>Volume Spike &amp; Near 52W High Breakout</t>
        </is>
      </c>
      <c r="X17" s="31" t="inlineStr">
        <is>
          <t>Nifty Pharma</t>
        </is>
      </c>
      <c r="Y17" s="32" t="n">
        <v>15.1</v>
      </c>
      <c r="Z17" s="32" t="n">
        <v>19.94</v>
      </c>
      <c r="AA17" s="32" t="n">
        <v>4.21</v>
      </c>
      <c r="AB17" s="32" t="n">
        <v>15.4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Less than 50%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139.7</v>
      </c>
      <c r="E18" s="32" t="inlineStr">
        <is>
          <t>5%</t>
        </is>
      </c>
      <c r="F18" s="32" t="n">
        <v>50000</v>
      </c>
      <c r="G18" s="32" t="n">
        <v>9</v>
      </c>
      <c r="H18" s="31" t="inlineStr">
        <is>
          <t>TORNTPHARM</t>
        </is>
      </c>
      <c r="I18" s="31" t="inlineStr">
        <is>
          <t>Torrent Pharmaceuticals Limited</t>
        </is>
      </c>
      <c r="J18" s="31" t="inlineStr">
        <is>
          <t>healthcare</t>
        </is>
      </c>
      <c r="K18" s="31" t="inlineStr">
        <is>
          <t>pharmaceuticals - indian - formulations</t>
        </is>
      </c>
      <c r="L18" s="31" t="inlineStr">
        <is>
          <t>largecap</t>
        </is>
      </c>
      <c r="M18" s="32" t="n">
        <v>168325.84</v>
      </c>
      <c r="N18" s="32" t="n">
        <v>5017.8</v>
      </c>
      <c r="O18" s="32" t="n">
        <v>0.89</v>
      </c>
      <c r="P18" s="32" t="n">
        <v>778853</v>
      </c>
      <c r="Q18" s="31" t="n">
        <v>60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75.28</v>
      </c>
      <c r="U18" s="32" t="n">
        <v>35.14</v>
      </c>
      <c r="V18" s="32" t="n">
        <v>4361.3</v>
      </c>
      <c r="W18" s="31" t="inlineStr">
        <is>
          <t>Near 52W High Breakout</t>
        </is>
      </c>
      <c r="X18" s="31" t="inlineStr">
        <is>
          <t>Nifty Pharma</t>
        </is>
      </c>
      <c r="Y18" s="32" t="n">
        <v>15.1</v>
      </c>
      <c r="Z18" s="32" t="n">
        <v>43.76</v>
      </c>
      <c r="AA18" s="32" t="n">
        <v>24.9</v>
      </c>
      <c r="AB18" s="32" t="n">
        <v>11.84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Annuity, Lower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138.9</v>
      </c>
      <c r="E19" s="32" t="inlineStr">
        <is>
          <t>5%</t>
        </is>
      </c>
      <c r="F19" s="32" t="n">
        <v>50000</v>
      </c>
      <c r="G19" s="32" t="n">
        <v>26</v>
      </c>
      <c r="H19" s="33" t="inlineStr">
        <is>
          <t>LLOYDSME</t>
        </is>
      </c>
      <c r="I19" s="33" t="inlineStr">
        <is>
          <t>Lloyds Metals &amp; Energy Ltd</t>
        </is>
      </c>
      <c r="J19" s="31" t="inlineStr">
        <is>
          <t>metals &amp; mining</t>
        </is>
      </c>
      <c r="K19" s="31" t="inlineStr">
        <is>
          <t>mining / minerals / metals</t>
        </is>
      </c>
      <c r="L19" s="31" t="inlineStr">
        <is>
          <t>largecap</t>
        </is>
      </c>
      <c r="M19" s="32" t="n">
        <v>102736.42</v>
      </c>
      <c r="N19" s="32" t="n">
        <v>1866.1</v>
      </c>
      <c r="O19" s="32" t="n">
        <v>2.22</v>
      </c>
      <c r="P19" s="32" t="n">
        <v>792357</v>
      </c>
      <c r="Q19" s="31" t="n">
        <v>48</v>
      </c>
      <c r="R19" s="31" t="inlineStr">
        <is>
          <t>Underperforming</t>
        </is>
      </c>
      <c r="S19" s="32">
        <f>IF(R19="Underperforming",-5,IF(Q19&gt;=95,15,IF(Q19&gt;=90,10,IF(Q19&gt;=80,5,0))))</f>
        <v/>
      </c>
      <c r="T19" s="32" t="n">
        <v>71.64</v>
      </c>
      <c r="U19" s="32" t="n">
        <v>44.8</v>
      </c>
      <c r="V19" s="32" t="n">
        <v>1524.09</v>
      </c>
      <c r="W19" s="31" t="inlineStr">
        <is>
          <t>Near 52W High Breakout</t>
        </is>
      </c>
      <c r="X19" s="31" t="inlineStr">
        <is>
          <t>Nifty Metal</t>
        </is>
      </c>
      <c r="Y19" s="32" t="n">
        <v>32.55</v>
      </c>
      <c r="Z19" s="32" t="n">
        <v>26.8</v>
      </c>
      <c r="AA19" s="32" t="n">
        <v>-4.34</v>
      </c>
      <c r="AB19" s="32" t="n">
        <v>8.970000000000001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Less than 50% and Borrowings are increasing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More than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EMA Crossover</t>
        </is>
      </c>
      <c r="D20" s="32" t="n">
        <v>138.8</v>
      </c>
      <c r="E20" s="32" t="inlineStr">
        <is>
          <t>7%</t>
        </is>
      </c>
      <c r="F20" s="32" t="n">
        <v>70000</v>
      </c>
      <c r="G20" s="32" t="n">
        <v>68</v>
      </c>
      <c r="H20" s="33" t="inlineStr">
        <is>
          <t>JUBLPHARMA</t>
        </is>
      </c>
      <c r="I20" s="33" t="inlineStr">
        <is>
          <t>Jubilant Pharmova Ltd</t>
        </is>
      </c>
      <c r="J20" s="31" t="inlineStr">
        <is>
          <t>healthcare</t>
        </is>
      </c>
      <c r="K20" s="31" t="inlineStr">
        <is>
          <t>pharmaceuticals - indian - bulk drugs</t>
        </is>
      </c>
      <c r="L20" s="31" t="inlineStr">
        <is>
          <t>midcap</t>
        </is>
      </c>
      <c r="M20" s="32" t="n">
        <v>15521.15</v>
      </c>
      <c r="N20" s="32" t="n">
        <v>1028.4</v>
      </c>
      <c r="O20" s="32" t="n">
        <v>5.54</v>
      </c>
      <c r="P20" s="32" t="n">
        <v>709727</v>
      </c>
      <c r="Q20" s="31" t="n">
        <v>6</v>
      </c>
      <c r="R20" s="31" t="inlineStr">
        <is>
          <t>Underperforming</t>
        </is>
      </c>
      <c r="S20" s="32">
        <f>IF(R20="Underperforming",-5,IF(Q20&gt;=95,15,IF(Q20&gt;=90,10,IF(Q20&gt;=80,5,0))))</f>
        <v/>
      </c>
      <c r="T20" s="32" t="n">
        <v>59.4</v>
      </c>
      <c r="U20" s="32" t="n">
        <v>8.15</v>
      </c>
      <c r="V20" s="32" t="n">
        <v>849.95</v>
      </c>
      <c r="W20" s="31" t="inlineStr">
        <is>
          <t>Volume Spike / Accumulation</t>
        </is>
      </c>
      <c r="X20" s="31" t="inlineStr">
        <is>
          <t>Nifty Pharma</t>
        </is>
      </c>
      <c r="Y20" s="32" t="n">
        <v>15.1</v>
      </c>
      <c r="Z20" s="32" t="n">
        <v>-16.17</v>
      </c>
      <c r="AA20" s="32" t="n">
        <v>-27.17</v>
      </c>
      <c r="AB20" s="32" t="n">
        <v>-0.45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1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61</v>
      </c>
      <c r="H2" s="31" t="inlineStr">
        <is>
          <t>TMB</t>
        </is>
      </c>
      <c r="I2" s="31" t="inlineStr">
        <is>
          <t>Tamilnad Mercantile Bank Ltd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midcap</t>
        </is>
      </c>
      <c r="M2" s="32" t="n">
        <v>12356.96</v>
      </c>
      <c r="N2" s="32" t="n">
        <v>815.75</v>
      </c>
      <c r="O2" s="32" t="n">
        <v>4.54</v>
      </c>
      <c r="P2" s="32" t="n">
        <v>404554</v>
      </c>
      <c r="Q2" s="31" t="n">
        <v>77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68.98999999999999</v>
      </c>
      <c r="U2" s="32" t="n">
        <v>35.32</v>
      </c>
      <c r="V2" s="32" t="n">
        <v>656.9400000000001</v>
      </c>
      <c r="W2" s="31" t="inlineStr">
        <is>
          <t>Near 52W High Breakout</t>
        </is>
      </c>
      <c r="X2" s="31" t="inlineStr">
        <is>
          <t>Nifty Bank</t>
        </is>
      </c>
      <c r="Y2" s="32" t="n">
        <v>2.62</v>
      </c>
      <c r="Z2" s="32" t="n">
        <v>86.54000000000001</v>
      </c>
      <c r="AA2" s="32" t="n">
        <v>81.77</v>
      </c>
      <c r="AB2" s="32" t="n">
        <v>18.21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138</v>
      </c>
      <c r="E3" s="32" t="inlineStr">
        <is>
          <t>5%</t>
        </is>
      </c>
      <c r="F3" s="32" t="n">
        <v>50000</v>
      </c>
      <c r="G3" s="32" t="n">
        <v>596</v>
      </c>
      <c r="H3" s="31" t="inlineStr">
        <is>
          <t>TFCILTD</t>
        </is>
      </c>
      <c r="I3" s="31" t="inlineStr">
        <is>
          <t>Tourism Finance Corporation Of India Limited</t>
        </is>
      </c>
      <c r="J3" s="31" t="inlineStr">
        <is>
          <t>financials</t>
        </is>
      </c>
      <c r="K3" s="31" t="inlineStr">
        <is>
          <t>finance - term-lending institutions</t>
        </is>
      </c>
      <c r="L3" s="31" t="inlineStr">
        <is>
          <t>smallcap</t>
        </is>
      </c>
      <c r="M3" s="32" t="n">
        <v>3728.36</v>
      </c>
      <c r="N3" s="32" t="n">
        <v>83.8</v>
      </c>
      <c r="O3" s="32" t="n">
        <v>4.06</v>
      </c>
      <c r="P3" s="32" t="n">
        <v>9252212</v>
      </c>
      <c r="Q3" s="31" t="n">
        <v>59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62.69</v>
      </c>
      <c r="U3" s="32" t="n">
        <v>38.14</v>
      </c>
      <c r="V3" s="32" t="n">
        <v>62.44</v>
      </c>
      <c r="W3" s="31" t="inlineStr">
        <is>
          <t>Near 52W High Breakout</t>
        </is>
      </c>
      <c r="X3" s="31" t="inlineStr">
        <is>
          <t>Nifty Bank</t>
        </is>
      </c>
      <c r="Y3" s="32" t="n">
        <v>2.62</v>
      </c>
      <c r="Z3" s="32" t="n">
        <v>47</v>
      </c>
      <c r="AA3" s="32" t="n">
        <v>43.25</v>
      </c>
      <c r="AB3" s="32" t="n">
        <v>11.63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less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EMA Crossover</t>
        </is>
      </c>
      <c r="D4" s="32" t="n">
        <v>147.7</v>
      </c>
      <c r="E4" s="32" t="inlineStr">
        <is>
          <t>7%</t>
        </is>
      </c>
      <c r="F4" s="32" t="n">
        <v>70000</v>
      </c>
      <c r="G4" s="32" t="n">
        <v>37</v>
      </c>
      <c r="H4" s="31" t="inlineStr">
        <is>
          <t>SBILIFE</t>
        </is>
      </c>
      <c r="I4" s="31" t="inlineStr">
        <is>
          <t>SBI Life Insurance Company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largecap</t>
        </is>
      </c>
      <c r="M4" s="32" t="n">
        <v>184599.04</v>
      </c>
      <c r="N4" s="32" t="n">
        <v>1866.4</v>
      </c>
      <c r="O4" s="32" t="n">
        <v>1.42</v>
      </c>
      <c r="P4" s="32" t="n">
        <v>895879</v>
      </c>
      <c r="Q4" s="31" t="n">
        <v>7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50.63</v>
      </c>
      <c r="U4" s="32" t="n">
        <v>12.05</v>
      </c>
      <c r="V4" s="32" t="n">
        <v>1701.89</v>
      </c>
      <c r="W4" s="31" t="inlineStr">
        <is>
          <t>Earnings / Momentum Support</t>
        </is>
      </c>
      <c r="X4" s="31" t="inlineStr">
        <is>
          <t>Nifty Bank</t>
        </is>
      </c>
      <c r="Y4" s="32" t="n">
        <v>2.62</v>
      </c>
      <c r="Z4" s="32" t="n">
        <v>4.51</v>
      </c>
      <c r="AA4" s="32" t="n">
        <v>1.84</v>
      </c>
      <c r="AB4" s="32" t="n">
        <v>0.04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No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above 5x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0 to 20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1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Close to 52 week high or retracement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IF(B2=0,"",RANK(B2,$B$2:$B$85,0))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TIMEX</t>
        </is>
      </c>
      <c r="D2" s="31" t="inlineStr">
        <is>
          <t>Timex Group India Ltd</t>
        </is>
      </c>
      <c r="E2" s="31" t="inlineStr">
        <is>
          <t>Consumer Cyclical</t>
        </is>
      </c>
      <c r="F2" s="31" t="inlineStr">
        <is>
          <t>Watches</t>
        </is>
      </c>
      <c r="G2" s="31" t="inlineStr">
        <is>
          <t>midcap</t>
        </is>
      </c>
      <c r="H2" s="32" t="n">
        <v>5622.92</v>
      </c>
      <c r="I2" s="32" t="n">
        <v>557</v>
      </c>
      <c r="J2" s="32" t="n">
        <v>1.85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74.98</v>
      </c>
      <c r="P2" s="32" t="n">
        <v>40.03</v>
      </c>
      <c r="Q2" s="32" t="n">
        <v>437.99</v>
      </c>
      <c r="R2" s="31" t="inlineStr">
        <is>
          <t>Near 52W High Breakout</t>
        </is>
      </c>
      <c r="S2" s="31" t="inlineStr">
        <is>
          <t>Nifty 50</t>
        </is>
      </c>
      <c r="T2" s="32" t="n">
        <v>-3.56</v>
      </c>
      <c r="U2" s="32" t="n">
        <v>147.41</v>
      </c>
      <c r="V2" s="32" t="n">
        <v>156.55</v>
      </c>
      <c r="W2" s="32" t="n">
        <v>40.71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16</t>
        </is>
      </c>
      <c r="CG2" s="31">
        <f>IF(CF2&gt;20,10,IF(CF2&gt;=10,5,2))</f>
        <v/>
      </c>
    </row>
    <row r="3">
      <c r="A3" s="31">
        <f>IF(B3=0,"",RANK(B3,$B$2:$B$85,0))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INDOBORAX</t>
        </is>
      </c>
      <c r="D3" s="31" t="inlineStr">
        <is>
          <t>Indo Borax &amp; Chemicals Ltd</t>
        </is>
      </c>
      <c r="E3" s="31" t="inlineStr">
        <is>
          <t>chemicals</t>
        </is>
      </c>
      <c r="F3" s="31" t="inlineStr">
        <is>
          <t>Chemicals - Inorganic</t>
        </is>
      </c>
      <c r="G3" s="31" t="inlineStr">
        <is>
          <t>smallcap</t>
        </is>
      </c>
      <c r="H3" s="32" t="n">
        <v>1471.33</v>
      </c>
      <c r="I3" s="32" t="n">
        <v>458.5</v>
      </c>
      <c r="J3" s="32" t="n">
        <v>-5.79</v>
      </c>
      <c r="K3" s="32" t="n">
        <v>0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85.33</v>
      </c>
      <c r="P3" s="32" t="n">
        <v>67.29000000000001</v>
      </c>
      <c r="Q3" s="32" t="n">
        <v>352.07</v>
      </c>
      <c r="R3" s="31" t="inlineStr">
        <is>
          <t>Near 52W High Breakout</t>
        </is>
      </c>
      <c r="S3" s="31" t="inlineStr">
        <is>
          <t>Nifty 50</t>
        </is>
      </c>
      <c r="T3" s="32" t="n">
        <v>-3.56</v>
      </c>
      <c r="U3" s="32" t="n">
        <v>83.53</v>
      </c>
      <c r="V3" s="32" t="n">
        <v>90.31999999999999</v>
      </c>
      <c r="W3" s="32" t="n">
        <v>31.67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17</t>
        </is>
      </c>
      <c r="CG3" s="31">
        <f>IF(CF3&gt;20,10,IF(CF3&gt;=10,5,2))</f>
        <v/>
      </c>
    </row>
    <row r="4">
      <c r="A4" s="31">
        <f>IF(B4=0,"",RANK(B4,$B$2:$B$85,0))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IOLCP</t>
        </is>
      </c>
      <c r="D4" s="31" t="inlineStr">
        <is>
          <t>IOL Chemicals &amp; Pharmaceuticals Ltd</t>
        </is>
      </c>
      <c r="E4" s="31" t="inlineStr">
        <is>
          <t>healthcare</t>
        </is>
      </c>
      <c r="F4" s="31" t="inlineStr">
        <is>
          <t>Pharma - API &amp; CRAMS</t>
        </is>
      </c>
      <c r="G4" s="31" t="inlineStr">
        <is>
          <t>smallcap</t>
        </is>
      </c>
      <c r="H4" s="32" t="n">
        <v>4859.35</v>
      </c>
      <c r="I4" s="32" t="n">
        <v>165.55</v>
      </c>
      <c r="J4" s="32" t="n">
        <v>-4.74</v>
      </c>
      <c r="K4" s="32" t="n">
        <v>0</v>
      </c>
      <c r="L4" s="31" t="n">
        <v>93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81.34999999999999</v>
      </c>
      <c r="P4" s="32" t="n">
        <v>63.83</v>
      </c>
      <c r="Q4" s="32" t="n">
        <v>130.26</v>
      </c>
      <c r="R4" s="31" t="inlineStr">
        <is>
          <t>Near 52W High Breakout</t>
        </is>
      </c>
      <c r="S4" s="31" t="inlineStr">
        <is>
          <t>Nifty Pharma</t>
        </is>
      </c>
      <c r="T4" s="32" t="n">
        <v>15.1</v>
      </c>
      <c r="U4" s="32" t="n">
        <v>82.95</v>
      </c>
      <c r="V4" s="32" t="n">
        <v>58.95</v>
      </c>
      <c r="W4" s="32" t="n">
        <v>34.04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IF(B5=0,"",RANK(B5,$B$2:$B$85,0))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MODINSU</t>
        </is>
      </c>
      <c r="D5" s="31" t="inlineStr">
        <is>
          <t>Modern Insulators Ltd</t>
        </is>
      </c>
      <c r="E5" s="31" t="inlineStr">
        <is>
          <t>Technology</t>
        </is>
      </c>
      <c r="F5" s="31" t="inlineStr">
        <is>
          <t>Capital Goods - Electric General</t>
        </is>
      </c>
      <c r="G5" s="31" t="inlineStr">
        <is>
          <t>smallcap</t>
        </is>
      </c>
      <c r="H5" s="32" t="n">
        <v>2493.68</v>
      </c>
      <c r="I5" s="32" t="n">
        <v>528.95</v>
      </c>
      <c r="J5" s="32" t="n">
        <v>0.34</v>
      </c>
      <c r="K5" s="32" t="n">
        <v>0</v>
      </c>
      <c r="L5" s="31" t="n">
        <v>98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73.23999999999999</v>
      </c>
      <c r="P5" s="32" t="n">
        <v>52.19</v>
      </c>
      <c r="Q5" s="32" t="n">
        <v>394.76</v>
      </c>
      <c r="R5" s="31" t="inlineStr">
        <is>
          <t>Near 52W High Breakout</t>
        </is>
      </c>
      <c r="S5" s="31" t="inlineStr">
        <is>
          <t>Nifty 50</t>
        </is>
      </c>
      <c r="T5" s="32" t="n">
        <v>-3.56</v>
      </c>
      <c r="U5" s="32" t="n">
        <v>376.75</v>
      </c>
      <c r="V5" s="32" t="n">
        <v>394.37</v>
      </c>
      <c r="W5" s="32" t="n">
        <v>54.96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Less than 50%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17</t>
        </is>
      </c>
      <c r="CG5" s="31">
        <f>IF(CF5&gt;20,10,IF(CF5&gt;=10,5,2))</f>
        <v/>
      </c>
    </row>
    <row r="6">
      <c r="A6" s="31">
        <f>IF(B6=0,"",RANK(B6,$B$2:$B$85,0))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INDIAGLYCO</t>
        </is>
      </c>
      <c r="D6" s="34" t="inlineStr">
        <is>
          <t>India Glycols Ltd</t>
        </is>
      </c>
      <c r="E6" s="31" t="inlineStr">
        <is>
          <t>fmcg</t>
        </is>
      </c>
      <c r="F6" s="31" t="inlineStr">
        <is>
          <t>Alcoholic Beverages</t>
        </is>
      </c>
      <c r="G6" s="31" t="inlineStr">
        <is>
          <t>midcap</t>
        </is>
      </c>
      <c r="H6" s="32" t="n">
        <v>7588.77</v>
      </c>
      <c r="I6" s="32" t="n">
        <v>1132.2</v>
      </c>
      <c r="J6" s="32" t="n">
        <v>2.68</v>
      </c>
      <c r="K6" s="32" t="n">
        <v>0</v>
      </c>
      <c r="L6" s="31" t="n">
        <v>42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63.97</v>
      </c>
      <c r="P6" s="32" t="n">
        <v>21.1</v>
      </c>
      <c r="Q6" s="32" t="n">
        <v>900.35</v>
      </c>
      <c r="R6" s="31" t="inlineStr">
        <is>
          <t>Volume Spike &amp; Near 52W High Breakout</t>
        </is>
      </c>
      <c r="S6" s="31" t="inlineStr">
        <is>
          <t>Nifty FMCG</t>
        </is>
      </c>
      <c r="T6" s="32" t="n">
        <v>-14.55</v>
      </c>
      <c r="U6" s="32" t="n">
        <v>20.13</v>
      </c>
      <c r="V6" s="32" t="n">
        <v>40.58</v>
      </c>
      <c r="W6" s="32" t="n">
        <v>7.32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16</t>
        </is>
      </c>
      <c r="CG6" s="31">
        <f>IF(CF6&gt;20,10,IF(CF6&gt;=10,5,2))</f>
        <v/>
      </c>
    </row>
    <row r="7">
      <c r="A7" s="31">
        <f>IF(B7=0,"",RANK(B7,$B$2:$B$85,0))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IBULLSLTD</t>
        </is>
      </c>
      <c r="D7" s="31" t="inlineStr">
        <is>
          <t>Indiabulls Limited</t>
        </is>
      </c>
      <c r="E7" s="31" t="inlineStr">
        <is>
          <t>miscellaneous</t>
        </is>
      </c>
      <c r="F7" s="31" t="inlineStr">
        <is>
          <t>Diversified</t>
        </is>
      </c>
      <c r="G7" s="31" t="inlineStr">
        <is>
          <t>midcap</t>
        </is>
      </c>
      <c r="H7" s="32" t="n">
        <v>7361.36</v>
      </c>
      <c r="I7" s="32" t="n">
        <v>31.6</v>
      </c>
      <c r="J7" s="32" t="n">
        <v>2.27</v>
      </c>
      <c r="K7" s="32" t="n">
        <v>0</v>
      </c>
      <c r="L7" s="31" t="n">
        <v>94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80.55</v>
      </c>
      <c r="P7" s="32" t="n">
        <v>44.18</v>
      </c>
      <c r="Q7" s="32" t="n">
        <v>23.59</v>
      </c>
      <c r="R7" s="31" t="inlineStr">
        <is>
          <t>Near 52W High Breakout</t>
        </is>
      </c>
      <c r="S7" s="31" t="inlineStr">
        <is>
          <t>Nifty 50</t>
        </is>
      </c>
      <c r="T7" s="32" t="n">
        <v>-3.56</v>
      </c>
      <c r="U7" s="32" t="n">
        <v>102.63</v>
      </c>
      <c r="V7" s="32" t="n">
        <v>110.12</v>
      </c>
      <c r="W7" s="32" t="n">
        <v>36.36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IF(B8=0,"",RANK(B8,$B$2:$B$85,0))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ACCENTMIC</t>
        </is>
      </c>
      <c r="D8" s="31" t="inlineStr">
        <is>
          <t>Accent Microcell Ltd</t>
        </is>
      </c>
      <c r="E8" s="31" t="inlineStr">
        <is>
          <t>unknown</t>
        </is>
      </c>
      <c r="F8" s="31" t="inlineStr">
        <is>
          <t>Pharma - Formulators</t>
        </is>
      </c>
      <c r="G8" s="31" t="inlineStr">
        <is>
          <t>smallcap</t>
        </is>
      </c>
      <c r="H8" s="32" t="n">
        <v>1247.43</v>
      </c>
      <c r="I8" s="32" t="n">
        <v>520</v>
      </c>
      <c r="J8" s="32" t="n">
        <v>0.66</v>
      </c>
      <c r="K8" s="32" t="n">
        <v>0</v>
      </c>
      <c r="L8" s="31" t="n">
        <v>76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73.97</v>
      </c>
      <c r="P8" s="32" t="n">
        <v>62.56</v>
      </c>
      <c r="Q8" s="32" t="n">
        <v>407.8</v>
      </c>
      <c r="R8" s="31" t="inlineStr">
        <is>
          <t>Near 52W High Breakout</t>
        </is>
      </c>
      <c r="S8" s="31" t="inlineStr">
        <is>
          <t>Nifty 50</t>
        </is>
      </c>
      <c r="T8" s="32" t="n">
        <v>-3.56</v>
      </c>
      <c r="U8" s="32" t="n">
        <v>87.90000000000001</v>
      </c>
      <c r="V8" s="32" t="n">
        <v>94.84</v>
      </c>
      <c r="W8" s="32" t="n">
        <v>17.75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17</t>
        </is>
      </c>
      <c r="CG8" s="31">
        <f>IF(CF8&gt;20,10,IF(CF8&gt;=10,5,2))</f>
        <v/>
      </c>
    </row>
    <row r="9">
      <c r="A9" s="31">
        <f>IF(B9=0,"",RANK(B9,$B$2:$B$85,0))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AEGISLOG</t>
        </is>
      </c>
      <c r="D9" s="34" t="inlineStr">
        <is>
          <t>Aegis Logistics Ltd</t>
        </is>
      </c>
      <c r="E9" s="31" t="inlineStr">
        <is>
          <t>services</t>
        </is>
      </c>
      <c r="F9" s="31" t="inlineStr">
        <is>
          <t>Logistics</t>
        </is>
      </c>
      <c r="G9" s="31" t="inlineStr">
        <is>
          <t>largecap</t>
        </is>
      </c>
      <c r="H9" s="32" t="n">
        <v>46121.4</v>
      </c>
      <c r="I9" s="32" t="n">
        <v>1314</v>
      </c>
      <c r="J9" s="32" t="n">
        <v>7.48</v>
      </c>
      <c r="K9" s="32" t="n">
        <v>0</v>
      </c>
      <c r="L9" s="31" t="n">
        <v>94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79.45</v>
      </c>
      <c r="P9" s="32" t="n">
        <v>40.58</v>
      </c>
      <c r="Q9" s="32" t="n">
        <v>1000.63</v>
      </c>
      <c r="R9" s="31" t="inlineStr">
        <is>
          <t>Near 52W High Breakout</t>
        </is>
      </c>
      <c r="S9" s="31" t="inlineStr">
        <is>
          <t>Nifty 50</t>
        </is>
      </c>
      <c r="T9" s="32" t="n">
        <v>-3.56</v>
      </c>
      <c r="U9" s="32" t="n">
        <v>79.2</v>
      </c>
      <c r="V9" s="32" t="n">
        <v>85.81999999999999</v>
      </c>
      <c r="W9" s="32" t="n">
        <v>34.26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16</t>
        </is>
      </c>
      <c r="CG9" s="31">
        <f>IF(CF9&gt;20,10,IF(CF9&gt;=10,5,2))</f>
        <v/>
      </c>
    </row>
    <row r="10">
      <c r="A10" s="31">
        <f>IF(B10=0,"",RANK(B10,$B$2:$B$85,0))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SKMEGGPROD</t>
        </is>
      </c>
      <c r="D10" s="31" t="inlineStr">
        <is>
          <t>SKM Egg Products Export (India) Ltd</t>
        </is>
      </c>
      <c r="E10" s="31" t="inlineStr">
        <is>
          <t>fmcg</t>
        </is>
      </c>
      <c r="F10" s="31" t="inlineStr">
        <is>
          <t>FMCG - Animal/Polutry</t>
        </is>
      </c>
      <c r="G10" s="31" t="inlineStr">
        <is>
          <t>smallcap</t>
        </is>
      </c>
      <c r="H10" s="32" t="n">
        <v>1762.53</v>
      </c>
      <c r="I10" s="32" t="n">
        <v>334.7</v>
      </c>
      <c r="J10" s="32" t="n">
        <v>-4.98</v>
      </c>
      <c r="K10" s="32" t="n">
        <v>0</v>
      </c>
      <c r="L10" s="31" t="n">
        <v>95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81.48999999999999</v>
      </c>
      <c r="P10" s="32" t="n">
        <v>40.24</v>
      </c>
      <c r="Q10" s="32" t="n">
        <v>242.22</v>
      </c>
      <c r="R10" s="31" t="inlineStr">
        <is>
          <t>Near 52W High Breakout</t>
        </is>
      </c>
      <c r="S10" s="31" t="inlineStr">
        <is>
          <t>Nifty FMCG</t>
        </is>
      </c>
      <c r="T10" s="32" t="n">
        <v>-14.55</v>
      </c>
      <c r="U10" s="32" t="n">
        <v>128.63</v>
      </c>
      <c r="V10" s="32" t="n">
        <v>167.56</v>
      </c>
      <c r="W10" s="32" t="n">
        <v>39.14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Less than 50%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19</t>
        </is>
      </c>
      <c r="CG10" s="31">
        <f>IF(CF10&gt;20,10,IF(CF10&gt;=10,5,2))</f>
        <v/>
      </c>
    </row>
    <row r="11">
      <c r="A11" s="31">
        <f>IF(B11=0,"",RANK(B11,$B$2:$B$85,0))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SAKAR</t>
        </is>
      </c>
      <c r="D11" s="31" t="inlineStr">
        <is>
          <t>Sakar Healthcare Ltd</t>
        </is>
      </c>
      <c r="E11" s="31" t="inlineStr">
        <is>
          <t>healthcare</t>
        </is>
      </c>
      <c r="F11" s="31" t="inlineStr">
        <is>
          <t>Hospitals</t>
        </is>
      </c>
      <c r="G11" s="31" t="inlineStr">
        <is>
          <t>smallcap</t>
        </is>
      </c>
      <c r="H11" s="32" t="n">
        <v>2046.99</v>
      </c>
      <c r="I11" s="32" t="n">
        <v>920</v>
      </c>
      <c r="J11" s="32" t="n">
        <v>1.72</v>
      </c>
      <c r="K11" s="32" t="n">
        <v>0</v>
      </c>
      <c r="L11" s="31" t="n">
        <v>93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76.89</v>
      </c>
      <c r="P11" s="32" t="n">
        <v>56.2</v>
      </c>
      <c r="Q11" s="32" t="n">
        <v>660.46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15.1</v>
      </c>
      <c r="U11" s="32" t="n">
        <v>159.47</v>
      </c>
      <c r="V11" s="32" t="n">
        <v>125.43</v>
      </c>
      <c r="W11" s="32" t="n">
        <v>34.03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IF(B12=0,"",RANK(B12,$B$2:$B$85,0))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RADICO</t>
        </is>
      </c>
      <c r="D12" s="31" t="inlineStr">
        <is>
          <t>Radico Khaitan Ltd</t>
        </is>
      </c>
      <c r="E12" s="31" t="inlineStr">
        <is>
          <t>fmcg</t>
        </is>
      </c>
      <c r="F12" s="31" t="inlineStr">
        <is>
          <t>Alcoholic Beverages</t>
        </is>
      </c>
      <c r="G12" s="31" t="inlineStr">
        <is>
          <t>largecap</t>
        </is>
      </c>
      <c r="H12" s="32" t="n">
        <v>54934.12</v>
      </c>
      <c r="I12" s="32" t="n">
        <v>4100.1</v>
      </c>
      <c r="J12" s="32" t="n">
        <v>1.21</v>
      </c>
      <c r="K12" s="32" t="n">
        <v>0</v>
      </c>
      <c r="L12" s="31" t="n">
        <v>70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79.81</v>
      </c>
      <c r="P12" s="32" t="n">
        <v>52.26</v>
      </c>
      <c r="Q12" s="32" t="n">
        <v>3459.06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-14.55</v>
      </c>
      <c r="U12" s="32" t="n">
        <v>50.68</v>
      </c>
      <c r="V12" s="32" t="n">
        <v>76.33</v>
      </c>
      <c r="W12" s="32" t="n">
        <v>14.89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16</t>
        </is>
      </c>
      <c r="CG12" s="31">
        <f>IF(CF12&gt;20,10,IF(CF12&gt;=10,5,2))</f>
        <v/>
      </c>
    </row>
    <row r="13">
      <c r="A13" s="31">
        <f>IF(B13=0,"",RANK(B13,$B$2:$B$85,0))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RPTECH</t>
        </is>
      </c>
      <c r="D13" s="31" t="inlineStr">
        <is>
          <t>Rashi Peripherals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midcap</t>
        </is>
      </c>
      <c r="H13" s="32" t="n">
        <v>5169.83</v>
      </c>
      <c r="I13" s="32" t="n">
        <v>784.5</v>
      </c>
      <c r="J13" s="32" t="n">
        <v>0.87</v>
      </c>
      <c r="K13" s="32" t="n">
        <v>0</v>
      </c>
      <c r="L13" s="31" t="n">
        <v>94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83.61</v>
      </c>
      <c r="P13" s="32" t="n">
        <v>71.59</v>
      </c>
      <c r="Q13" s="32" t="n">
        <v>606.72</v>
      </c>
      <c r="R13" s="31" t="inlineStr">
        <is>
          <t>Near 52W High Breakout</t>
        </is>
      </c>
      <c r="S13" s="31" t="inlineStr">
        <is>
          <t>Nifty 50</t>
        </is>
      </c>
      <c r="T13" s="32" t="n">
        <v>-3.56</v>
      </c>
      <c r="U13" s="32" t="n">
        <v>145.97</v>
      </c>
      <c r="V13" s="32" t="n">
        <v>155.06</v>
      </c>
      <c r="W13" s="32" t="n">
        <v>36.08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Less than 50%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21</t>
        </is>
      </c>
      <c r="CG13" s="31">
        <f>IF(CF13&gt;20,10,IF(CF13&gt;=10,5,2))</f>
        <v/>
      </c>
    </row>
    <row r="14">
      <c r="A14" s="31">
        <f>IF(B14=0,"",RANK(B14,$B$2:$B$85,0))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RISHABH</t>
        </is>
      </c>
      <c r="D14" s="31" t="inlineStr">
        <is>
          <t>Rishabh Instruments Ltd</t>
        </is>
      </c>
      <c r="E14" s="31" t="inlineStr">
        <is>
          <t>industrials</t>
        </is>
      </c>
      <c r="F14" s="31" t="inlineStr">
        <is>
          <t>Capital Goods - Electric General</t>
        </is>
      </c>
      <c r="G14" s="31" t="inlineStr">
        <is>
          <t>smallcap</t>
        </is>
      </c>
      <c r="H14" s="32" t="n">
        <v>2501.23</v>
      </c>
      <c r="I14" s="32" t="n">
        <v>646.95</v>
      </c>
      <c r="J14" s="32" t="n">
        <v>-0.95</v>
      </c>
      <c r="K14" s="32" t="n">
        <v>0</v>
      </c>
      <c r="L14" s="31" t="n">
        <v>87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69.72</v>
      </c>
      <c r="P14" s="32" t="n">
        <v>41.41</v>
      </c>
      <c r="Q14" s="32" t="n">
        <v>487.63</v>
      </c>
      <c r="R14" s="31" t="inlineStr">
        <is>
          <t>Near 52W High Breakout</t>
        </is>
      </c>
      <c r="S14" s="31" t="inlineStr">
        <is>
          <t>Nifty 50</t>
        </is>
      </c>
      <c r="T14" s="32" t="n">
        <v>-3.56</v>
      </c>
      <c r="U14" s="32" t="n">
        <v>114.94</v>
      </c>
      <c r="V14" s="32" t="n">
        <v>122.88</v>
      </c>
      <c r="W14" s="32" t="n">
        <v>25.68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16</t>
        </is>
      </c>
      <c r="CG14" s="31">
        <f>IF(CF14&gt;20,10,IF(CF14&gt;=10,5,2))</f>
        <v/>
      </c>
    </row>
    <row r="15">
      <c r="A15" s="31">
        <f>IF(B15=0,"",RANK(B15,$B$2:$B$85,0))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MENONBE</t>
        </is>
      </c>
      <c r="D15" s="34" t="inlineStr">
        <is>
          <t>Menon Bearings Ltd</t>
        </is>
      </c>
      <c r="E15" s="31" t="inlineStr">
        <is>
          <t>auto</t>
        </is>
      </c>
      <c r="F15" s="31" t="inlineStr">
        <is>
          <t>Auto Ancillaries - Bearings</t>
        </is>
      </c>
      <c r="G15" s="31" t="inlineStr">
        <is>
          <t>smallcap</t>
        </is>
      </c>
      <c r="H15" s="32" t="n">
        <v>1017.69</v>
      </c>
      <c r="I15" s="32" t="n">
        <v>181.6</v>
      </c>
      <c r="J15" s="32" t="n">
        <v>1.64</v>
      </c>
      <c r="K15" s="32" t="n">
        <v>0</v>
      </c>
      <c r="L15" s="31" t="n">
        <v>76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69.40000000000001</v>
      </c>
      <c r="P15" s="32" t="n">
        <v>42.02</v>
      </c>
      <c r="Q15" s="32" t="n">
        <v>133.78</v>
      </c>
      <c r="R15" s="31" t="inlineStr">
        <is>
          <t>Near 52W High Breakout</t>
        </is>
      </c>
      <c r="S15" s="31" t="inlineStr">
        <is>
          <t>Nifty Auto</t>
        </is>
      </c>
      <c r="T15" s="32" t="n">
        <v>11.51</v>
      </c>
      <c r="U15" s="32" t="n">
        <v>44.73</v>
      </c>
      <c r="V15" s="32" t="n">
        <v>29.79</v>
      </c>
      <c r="W15" s="32" t="n">
        <v>17.8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15</t>
        </is>
      </c>
      <c r="CG15" s="31">
        <f>IF(CF15&gt;20,10,IF(CF15&gt;=10,5,2))</f>
        <v/>
      </c>
    </row>
    <row r="16">
      <c r="A16" s="31">
        <f>IF(B16=0,"",RANK(B16,$B$2:$B$85,0))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CUPID</t>
        </is>
      </c>
      <c r="D16" s="31" t="inlineStr">
        <is>
          <t>Cupid Ltd</t>
        </is>
      </c>
      <c r="E16" s="31" t="inlineStr">
        <is>
          <t>fmcg</t>
        </is>
      </c>
      <c r="F16" s="31" t="inlineStr">
        <is>
          <t>Contraceptives/Protectives</t>
        </is>
      </c>
      <c r="G16" s="31" t="inlineStr">
        <is>
          <t>largecap</t>
        </is>
      </c>
      <c r="H16" s="32" t="n">
        <v>29528.75</v>
      </c>
      <c r="I16" s="32" t="n">
        <v>219.6</v>
      </c>
      <c r="J16" s="32" t="n">
        <v>1.31</v>
      </c>
      <c r="K16" s="32" t="n">
        <v>0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89.33</v>
      </c>
      <c r="P16" s="32" t="n">
        <v>63.35</v>
      </c>
      <c r="Q16" s="32" t="n">
        <v>172.41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-14.55</v>
      </c>
      <c r="U16" s="32" t="n">
        <v>648.3099999999999</v>
      </c>
      <c r="V16" s="32" t="n">
        <v>775.71</v>
      </c>
      <c r="W16" s="32" t="n">
        <v>78.40000000000001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22</t>
        </is>
      </c>
      <c r="CG16" s="31">
        <f>IF(CF16&gt;20,10,IF(CF16&gt;=10,5,2))</f>
        <v/>
      </c>
    </row>
    <row r="17">
      <c r="A17" s="31">
        <f>IF(B17=0,"",RANK(B17,$B$2:$B$85,0))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ACUTAAS</t>
        </is>
      </c>
      <c r="D17" s="31" t="inlineStr">
        <is>
          <t>Acutaas Chemicals Ltd</t>
        </is>
      </c>
      <c r="E17" s="31" t="inlineStr">
        <is>
          <t>healthcare</t>
        </is>
      </c>
      <c r="F17" s="31" t="inlineStr">
        <is>
          <t>Pharma - API &amp; CRAMS</t>
        </is>
      </c>
      <c r="G17" s="31" t="inlineStr">
        <is>
          <t>largecap</t>
        </is>
      </c>
      <c r="H17" s="32" t="n">
        <v>29105.18</v>
      </c>
      <c r="I17" s="32" t="n">
        <v>3555</v>
      </c>
      <c r="J17" s="32" t="n">
        <v>2.75</v>
      </c>
      <c r="K17" s="32" t="n">
        <v>0</v>
      </c>
      <c r="L17" s="31" t="n">
        <v>94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70.59</v>
      </c>
      <c r="P17" s="32" t="n">
        <v>68.48999999999999</v>
      </c>
      <c r="Q17" s="32" t="n">
        <v>2887.01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15.1</v>
      </c>
      <c r="U17" s="32" t="n">
        <v>195.09</v>
      </c>
      <c r="V17" s="32" t="n">
        <v>156.38</v>
      </c>
      <c r="W17" s="32" t="n">
        <v>35.91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IF(B18=0,"",RANK(B18,$B$2:$B$85,0))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GRANULES</t>
        </is>
      </c>
      <c r="D18" s="31" t="inlineStr">
        <is>
          <t>Granules India Ltd</t>
        </is>
      </c>
      <c r="E18" s="31" t="inlineStr">
        <is>
          <t>healthcare</t>
        </is>
      </c>
      <c r="F18" s="31" t="inlineStr">
        <is>
          <t>Pharma - API &amp; CRAMS</t>
        </is>
      </c>
      <c r="G18" s="31" t="inlineStr">
        <is>
          <t>largecap</t>
        </is>
      </c>
      <c r="H18" s="32" t="n">
        <v>22267.03</v>
      </c>
      <c r="I18" s="32" t="n">
        <v>898.6</v>
      </c>
      <c r="J18" s="32" t="n">
        <v>0.39</v>
      </c>
      <c r="K18" s="32" t="n">
        <v>0</v>
      </c>
      <c r="L18" s="31" t="n">
        <v>81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78.87</v>
      </c>
      <c r="P18" s="32" t="n">
        <v>47.72</v>
      </c>
      <c r="Q18" s="32" t="n">
        <v>758.92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15.1</v>
      </c>
      <c r="U18" s="32" t="n">
        <v>81.56</v>
      </c>
      <c r="V18" s="32" t="n">
        <v>57.74</v>
      </c>
      <c r="W18" s="32" t="n">
        <v>20.78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18</t>
        </is>
      </c>
      <c r="CG18" s="31">
        <f>IF(CF18&gt;20,10,IF(CF18&gt;=10,5,2))</f>
        <v/>
      </c>
    </row>
    <row r="19">
      <c r="A19" s="31">
        <f>IF(B19=0,"",RANK(B19,$B$2:$B$85,0))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VENUSREM</t>
        </is>
      </c>
      <c r="D19" s="34" t="inlineStr">
        <is>
          <t>Venus Remedies Ltd</t>
        </is>
      </c>
      <c r="E19" s="31" t="inlineStr">
        <is>
          <t>healthcare</t>
        </is>
      </c>
      <c r="F19" s="31" t="inlineStr">
        <is>
          <t>Pharmaceuticals - I V Fluids</t>
        </is>
      </c>
      <c r="G19" s="31" t="inlineStr">
        <is>
          <t>smallcap</t>
        </is>
      </c>
      <c r="H19" s="32" t="n">
        <v>2471.56</v>
      </c>
      <c r="I19" s="32" t="n">
        <v>1849</v>
      </c>
      <c r="J19" s="32" t="n">
        <v>-2.46</v>
      </c>
      <c r="K19" s="32" t="n">
        <v>0</v>
      </c>
      <c r="L19" s="31" t="n">
        <v>97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72.61</v>
      </c>
      <c r="P19" s="32" t="n">
        <v>59.94</v>
      </c>
      <c r="Q19" s="32" t="n">
        <v>1413.7</v>
      </c>
      <c r="R19" s="31" t="inlineStr">
        <is>
          <t>Earnings / Momentum Support</t>
        </is>
      </c>
      <c r="S19" s="31" t="inlineStr">
        <is>
          <t>Nifty Pharma</t>
        </is>
      </c>
      <c r="T19" s="32" t="n">
        <v>15.1</v>
      </c>
      <c r="U19" s="32" t="n">
        <v>233.66</v>
      </c>
      <c r="V19" s="32" t="n">
        <v>189.89</v>
      </c>
      <c r="W19" s="32" t="n">
        <v>48.3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16</t>
        </is>
      </c>
      <c r="CG19" s="31">
        <f>IF(CF19&gt;20,10,IF(CF19&gt;=10,5,2))</f>
        <v/>
      </c>
    </row>
    <row r="20">
      <c r="A20" s="31">
        <f>IF(B20=0,"",RANK(B20,$B$2:$B$85,0))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BLISSGVS</t>
        </is>
      </c>
      <c r="D20" s="31" t="inlineStr">
        <is>
          <t>Bliss GVS Pharma Ltd</t>
        </is>
      </c>
      <c r="E20" s="31" t="inlineStr">
        <is>
          <t>healthcare</t>
        </is>
      </c>
      <c r="F20" s="31" t="inlineStr">
        <is>
          <t>Pharma - Formulators</t>
        </is>
      </c>
      <c r="G20" s="31" t="inlineStr">
        <is>
          <t>midcap</t>
        </is>
      </c>
      <c r="H20" s="32" t="n">
        <v>5461.9</v>
      </c>
      <c r="I20" s="32" t="n">
        <v>515</v>
      </c>
      <c r="J20" s="32" t="n">
        <v>-1.17</v>
      </c>
      <c r="K20" s="32" t="n">
        <v>0</v>
      </c>
      <c r="L20" s="31" t="n">
        <v>97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88.08</v>
      </c>
      <c r="P20" s="32" t="n">
        <v>74.76000000000001</v>
      </c>
      <c r="Q20" s="32" t="n">
        <v>403.9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15.1</v>
      </c>
      <c r="U20" s="32" t="n">
        <v>222.43</v>
      </c>
      <c r="V20" s="32" t="n">
        <v>180.14</v>
      </c>
      <c r="W20" s="32" t="n">
        <v>51.54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16</t>
        </is>
      </c>
      <c r="CG20" s="31">
        <f>IF(CF20&gt;20,10,IF(CF20&gt;=10,5,2))</f>
        <v/>
      </c>
    </row>
    <row r="21">
      <c r="A21" s="31">
        <f>IF(B21=0,"",RANK(B21,$B$2:$B$85,0))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PGHL</t>
        </is>
      </c>
      <c r="D21" s="34" t="inlineStr">
        <is>
          <t>Procter &amp; Gamble Health Ltd</t>
        </is>
      </c>
      <c r="E21" s="31" t="inlineStr">
        <is>
          <t>healthcare</t>
        </is>
      </c>
      <c r="F21" s="31" t="inlineStr">
        <is>
          <t>Pharma - MNC bulk Drugs</t>
        </is>
      </c>
      <c r="G21" s="31" t="inlineStr">
        <is>
          <t>midcap</t>
        </is>
      </c>
      <c r="H21" s="32" t="n">
        <v>11357.3</v>
      </c>
      <c r="I21" s="32" t="n">
        <v>6842</v>
      </c>
      <c r="J21" s="32" t="n">
        <v>-1.11</v>
      </c>
      <c r="K21" s="32" t="n">
        <v>0</v>
      </c>
      <c r="L21" s="31" t="n">
        <v>63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82.23999999999999</v>
      </c>
      <c r="P21" s="32" t="n">
        <v>61.03</v>
      </c>
      <c r="Q21" s="32" t="n">
        <v>5884.17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15.1</v>
      </c>
      <c r="U21" s="32" t="n">
        <v>21.52</v>
      </c>
      <c r="V21" s="32" t="n">
        <v>5.58</v>
      </c>
      <c r="W21" s="32" t="n">
        <v>12.59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16</t>
        </is>
      </c>
      <c r="CG21" s="31">
        <f>IF(CF21&gt;20,10,IF(CF21&gt;=10,5,2))</f>
        <v/>
      </c>
    </row>
    <row r="22">
      <c r="A22" s="31">
        <f>IF(B22=0,"",RANK(B22,$B$2:$B$85,0))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THANGAMAYL</t>
        </is>
      </c>
      <c r="D22" s="31" t="inlineStr">
        <is>
          <t>Thangamayil Jewellery Ltd</t>
        </is>
      </c>
      <c r="E22" s="31" t="inlineStr">
        <is>
          <t>consumer discretionary</t>
        </is>
      </c>
      <c r="F22" s="31" t="inlineStr">
        <is>
          <t>Diamond, Gems &amp; Jewellery</t>
        </is>
      </c>
      <c r="G22" s="31" t="inlineStr">
        <is>
          <t>largecap</t>
        </is>
      </c>
      <c r="H22" s="32" t="n">
        <v>20570.08</v>
      </c>
      <c r="I22" s="32" t="n">
        <v>6618</v>
      </c>
      <c r="J22" s="32" t="n">
        <v>2.46</v>
      </c>
      <c r="K22" s="32" t="n">
        <v>0</v>
      </c>
      <c r="L22" s="31" t="n">
        <v>96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78.3</v>
      </c>
      <c r="P22" s="32" t="n">
        <v>47.66</v>
      </c>
      <c r="Q22" s="32" t="n">
        <v>4948.8</v>
      </c>
      <c r="R22" s="31" t="inlineStr">
        <is>
          <t>Near 52W High Breakout</t>
        </is>
      </c>
      <c r="S22" s="31" t="inlineStr">
        <is>
          <t>Nifty 50</t>
        </is>
      </c>
      <c r="T22" s="32" t="n">
        <v>-3.56</v>
      </c>
      <c r="U22" s="32" t="n">
        <v>252.31</v>
      </c>
      <c r="V22" s="32" t="n">
        <v>265.33</v>
      </c>
      <c r="W22" s="32" t="n">
        <v>44.49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22</t>
        </is>
      </c>
      <c r="CG22" s="31">
        <f>IF(CF22&gt;20,10,IF(CF22&gt;=10,5,2))</f>
        <v/>
      </c>
    </row>
    <row r="23">
      <c r="A23" s="31">
        <f>IF(B23=0,"",RANK(B23,$B$2:$B$85,0))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FILATEX</t>
        </is>
      </c>
      <c r="D23" s="31" t="inlineStr">
        <is>
          <t>Filatex India Ltd</t>
        </is>
      </c>
      <c r="E23" s="31" t="inlineStr">
        <is>
          <t>textiles</t>
        </is>
      </c>
      <c r="F23" s="31" t="inlineStr">
        <is>
          <t>Textiles - Manmade Fibre - PFY/PSF</t>
        </is>
      </c>
      <c r="G23" s="31" t="inlineStr">
        <is>
          <t>smallcap</t>
        </is>
      </c>
      <c r="H23" s="32" t="n">
        <v>3126.17</v>
      </c>
      <c r="I23" s="32" t="n">
        <v>70.40000000000001</v>
      </c>
      <c r="J23" s="32" t="n">
        <v>14.12</v>
      </c>
      <c r="K23" s="32" t="n">
        <v>0</v>
      </c>
      <c r="L23" s="31" t="n">
        <v>76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74.98</v>
      </c>
      <c r="P23" s="32" t="n">
        <v>20.74</v>
      </c>
      <c r="Q23" s="32" t="n">
        <v>54.16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-3.56</v>
      </c>
      <c r="U23" s="32" t="n">
        <v>20.07</v>
      </c>
      <c r="V23" s="32" t="n">
        <v>24.51</v>
      </c>
      <c r="W23" s="32" t="n">
        <v>17.71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Between 12 to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20</t>
        </is>
      </c>
      <c r="CG23" s="31">
        <f>IF(CF23&gt;20,10,IF(CF23&gt;=10,5,2))</f>
        <v/>
      </c>
    </row>
    <row r="24">
      <c r="A24" s="31">
        <f>IF(B24=0,"",RANK(B24,$B$2:$B$85,0))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ATHERENERG</t>
        </is>
      </c>
      <c r="D24" s="31" t="inlineStr">
        <is>
          <t>Ather Energy Ltd</t>
        </is>
      </c>
      <c r="E24" s="31" t="inlineStr">
        <is>
          <t>auto</t>
        </is>
      </c>
      <c r="F24" s="31" t="inlineStr">
        <is>
          <t>Auto - 2 &amp; 3 Wheelers</t>
        </is>
      </c>
      <c r="G24" s="31" t="inlineStr">
        <is>
          <t>largecap</t>
        </is>
      </c>
      <c r="H24" s="32" t="n">
        <v>49791.97</v>
      </c>
      <c r="I24" s="32" t="n">
        <v>1299</v>
      </c>
      <c r="J24" s="32" t="n">
        <v>8.09</v>
      </c>
      <c r="K24" s="32" t="n">
        <v>0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79.95</v>
      </c>
      <c r="P24" s="32" t="n">
        <v>54.62</v>
      </c>
      <c r="Q24" s="32" t="n">
        <v>1004.24</v>
      </c>
      <c r="R24" s="31" t="inlineStr">
        <is>
          <t>Near 52W High Breakout</t>
        </is>
      </c>
      <c r="S24" s="31" t="inlineStr">
        <is>
          <t>Nifty Auto</t>
        </is>
      </c>
      <c r="T24" s="32" t="n">
        <v>11.51</v>
      </c>
      <c r="U24" s="32" t="n">
        <v>279.84</v>
      </c>
      <c r="V24" s="32" t="n">
        <v>240.63</v>
      </c>
      <c r="W24" s="32" t="n">
        <v>46.92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Negative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17</t>
        </is>
      </c>
      <c r="CG24" s="31">
        <f>IF(CF24&gt;20,10,IF(CF24&gt;=10,5,2))</f>
        <v/>
      </c>
    </row>
    <row r="25">
      <c r="A25" s="31">
        <f>IF(B25=0,"",RANK(B25,$B$2:$B$85,0))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KPL</t>
        </is>
      </c>
      <c r="D25" s="31" t="inlineStr">
        <is>
          <t>Kwality Pharmaceuticals Ltd</t>
        </is>
      </c>
      <c r="E25" s="31" t="inlineStr">
        <is>
          <t>Healthcare</t>
        </is>
      </c>
      <c r="F25" s="31" t="inlineStr">
        <is>
          <t>Pharma - Formulators</t>
        </is>
      </c>
      <c r="G25" s="31" t="inlineStr">
        <is>
          <t>smallcap</t>
        </is>
      </c>
      <c r="H25" s="32" t="n">
        <v>2813.35</v>
      </c>
      <c r="I25" s="32" t="n">
        <v>2711.35</v>
      </c>
      <c r="J25" s="32" t="n">
        <v>2.77</v>
      </c>
      <c r="K25" s="32" t="n">
        <v>0</v>
      </c>
      <c r="L25" s="31" t="n">
        <v>93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77.63</v>
      </c>
      <c r="P25" s="32" t="n">
        <v>61.29</v>
      </c>
      <c r="Q25" s="32" t="n">
        <v>2003.35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15.1</v>
      </c>
      <c r="U25" s="32" t="n">
        <v>132.6</v>
      </c>
      <c r="V25" s="32" t="n">
        <v>102.09</v>
      </c>
      <c r="W25" s="32" t="n">
        <v>34.08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IF(B26=0,"",RANK(B26,$B$2:$B$85,0))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VADILALIND</t>
        </is>
      </c>
      <c r="D26" s="31" t="inlineStr">
        <is>
          <t>Vadilal Industries Ltd</t>
        </is>
      </c>
      <c r="E26" s="31" t="inlineStr">
        <is>
          <t>fmcg</t>
        </is>
      </c>
      <c r="F26" s="31" t="inlineStr">
        <is>
          <t>FMCG - Dairy Products</t>
        </is>
      </c>
      <c r="G26" s="31" t="inlineStr">
        <is>
          <t>smallcap</t>
        </is>
      </c>
      <c r="H26" s="32" t="n">
        <v>4737.14</v>
      </c>
      <c r="I26" s="32" t="n">
        <v>6590.5</v>
      </c>
      <c r="J26" s="32" t="n">
        <v>-3.17</v>
      </c>
      <c r="K26" s="32" t="n">
        <v>0</v>
      </c>
      <c r="L26" s="31" t="n">
        <v>71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</v>
      </c>
      <c r="P26" s="32" t="n">
        <v>25.82</v>
      </c>
      <c r="Q26" s="32" t="n">
        <v>5237.7</v>
      </c>
      <c r="R26" s="31" t="inlineStr">
        <is>
          <t>Near 52W High Breakout</t>
        </is>
      </c>
      <c r="S26" s="31" t="inlineStr">
        <is>
          <t>Nifty FMCG</t>
        </is>
      </c>
      <c r="T26" s="32" t="n">
        <v>-14.55</v>
      </c>
      <c r="U26" s="32" t="n">
        <v>25.37</v>
      </c>
      <c r="V26" s="32" t="n">
        <v>46.71</v>
      </c>
      <c r="W26" s="32" t="n">
        <v>15.32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17</t>
        </is>
      </c>
      <c r="CG26" s="31">
        <f>IF(CF26&gt;20,10,IF(CF26&gt;=10,5,2))</f>
        <v/>
      </c>
    </row>
    <row r="27">
      <c r="A27" s="31">
        <f>IF(B27=0,"",RANK(B27,$B$2:$B$85,0))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CEMPRO</t>
        </is>
      </c>
      <c r="D27" s="31" t="inlineStr">
        <is>
          <t>Cemindia Projects Ltd</t>
        </is>
      </c>
      <c r="E27" s="31" t="inlineStr">
        <is>
          <t>realty</t>
        </is>
      </c>
      <c r="F27" s="31" t="inlineStr">
        <is>
          <t>Infra - Construction &amp; Contracting</t>
        </is>
      </c>
      <c r="G27" s="31" t="inlineStr">
        <is>
          <t>largecap</t>
        </is>
      </c>
      <c r="H27" s="32" t="n">
        <v>27503.19</v>
      </c>
      <c r="I27" s="32" t="n">
        <v>1601</v>
      </c>
      <c r="J27" s="32" t="n">
        <v>0.28</v>
      </c>
      <c r="K27" s="32" t="n">
        <v>0</v>
      </c>
      <c r="L27" s="31" t="n">
        <v>98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84.22</v>
      </c>
      <c r="P27" s="32" t="n">
        <v>51.36</v>
      </c>
      <c r="Q27" s="32" t="n">
        <v>1261.83</v>
      </c>
      <c r="R27" s="31" t="inlineStr">
        <is>
          <t>Near 52W High Breakout</t>
        </is>
      </c>
      <c r="S27" s="31" t="inlineStr">
        <is>
          <t>Nifty Realty</t>
        </is>
      </c>
      <c r="T27" s="32" t="n">
        <v>-8.48</v>
      </c>
      <c r="U27" s="32" t="n">
        <v>99.18000000000001</v>
      </c>
      <c r="V27" s="32" t="n">
        <v>117.63</v>
      </c>
      <c r="W27" s="32" t="n">
        <v>54.91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IF(B28=0,"",RANK(B28,$B$2:$B$85,0))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GHCLTEXTIL</t>
        </is>
      </c>
      <c r="D28" s="31" t="inlineStr">
        <is>
          <t>GHCL Textiles Ltd</t>
        </is>
      </c>
      <c r="E28" s="31" t="inlineStr">
        <is>
          <t>textiles</t>
        </is>
      </c>
      <c r="F28" s="31" t="inlineStr">
        <is>
          <t>Textiles - General</t>
        </is>
      </c>
      <c r="G28" s="31" t="inlineStr">
        <is>
          <t>smallcap</t>
        </is>
      </c>
      <c r="H28" s="32" t="n">
        <v>1079.64</v>
      </c>
      <c r="I28" s="32" t="n">
        <v>112.95</v>
      </c>
      <c r="J28" s="32" t="n">
        <v>4.61</v>
      </c>
      <c r="K28" s="32" t="n">
        <v>0</v>
      </c>
      <c r="L28" s="31" t="n">
        <v>54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70.25</v>
      </c>
      <c r="P28" s="32" t="n">
        <v>23.61</v>
      </c>
      <c r="Q28" s="32" t="n">
        <v>86.09</v>
      </c>
      <c r="R28" s="31" t="inlineStr">
        <is>
          <t>Near 52W High Breakout</t>
        </is>
      </c>
      <c r="S28" s="31" t="inlineStr">
        <is>
          <t>Nifty 50</t>
        </is>
      </c>
      <c r="T28" s="32" t="n">
        <v>-3.56</v>
      </c>
      <c r="U28" s="32" t="n">
        <v>21.03</v>
      </c>
      <c r="V28" s="32" t="n">
        <v>25.51</v>
      </c>
      <c r="W28" s="32" t="n">
        <v>10.58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18</t>
        </is>
      </c>
      <c r="CG28" s="31">
        <f>IF(CF28&gt;20,10,IF(CF28&gt;=10,5,2))</f>
        <v/>
      </c>
    </row>
    <row r="29">
      <c r="A29" s="31">
        <f>IF(B29=0,"",RANK(B29,$B$2:$B$85,0))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INDOTECH</t>
        </is>
      </c>
      <c r="D29" s="31" t="inlineStr">
        <is>
          <t>Indo Tech Transformers Ltd</t>
        </is>
      </c>
      <c r="E29" s="31" t="inlineStr">
        <is>
          <t>industrials</t>
        </is>
      </c>
      <c r="F29" s="31" t="inlineStr">
        <is>
          <t>Capital Goods - Transformers</t>
        </is>
      </c>
      <c r="G29" s="31" t="inlineStr">
        <is>
          <t>smallcap</t>
        </is>
      </c>
      <c r="H29" s="32" t="n">
        <v>3574.69</v>
      </c>
      <c r="I29" s="32" t="n">
        <v>3366</v>
      </c>
      <c r="J29" s="32" t="n">
        <v>-3.07</v>
      </c>
      <c r="K29" s="32" t="n">
        <v>0</v>
      </c>
      <c r="L29" s="31" t="n">
        <v>92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74.83</v>
      </c>
      <c r="P29" s="32" t="n">
        <v>46.69</v>
      </c>
      <c r="Q29" s="32" t="n">
        <v>2440.63</v>
      </c>
      <c r="R29" s="31" t="inlineStr">
        <is>
          <t>Near 52W High Breakout</t>
        </is>
      </c>
      <c r="S29" s="31" t="inlineStr">
        <is>
          <t>Nifty 50</t>
        </is>
      </c>
      <c r="T29" s="32" t="n">
        <v>-3.56</v>
      </c>
      <c r="U29" s="32" t="n">
        <v>78.58</v>
      </c>
      <c r="V29" s="32" t="n">
        <v>85.18000000000001</v>
      </c>
      <c r="W29" s="32" t="n">
        <v>33.51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Between 12 to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Less than 50%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17</t>
        </is>
      </c>
      <c r="CG29" s="31">
        <f>IF(CF29&gt;20,10,IF(CF29&gt;=10,5,2))</f>
        <v/>
      </c>
    </row>
    <row r="30">
      <c r="A30" s="31">
        <f>IF(B30=0,"",RANK(B30,$B$2:$B$85,0))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GNA</t>
        </is>
      </c>
      <c r="D30" s="31" t="inlineStr">
        <is>
          <t>GNA Axles Ltd</t>
        </is>
      </c>
      <c r="E30" s="31" t="inlineStr">
        <is>
          <t>auto</t>
        </is>
      </c>
      <c r="F30" s="31" t="inlineStr">
        <is>
          <t>Auto &amp; Auto Ancl - CV</t>
        </is>
      </c>
      <c r="G30" s="31" t="inlineStr">
        <is>
          <t>smallcap</t>
        </is>
      </c>
      <c r="H30" s="32" t="n">
        <v>2356.9</v>
      </c>
      <c r="I30" s="32" t="n">
        <v>549</v>
      </c>
      <c r="J30" s="32" t="n">
        <v>-1.21</v>
      </c>
      <c r="K30" s="32" t="n">
        <v>0</v>
      </c>
      <c r="L30" s="31" t="n">
        <v>74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75.63</v>
      </c>
      <c r="P30" s="32" t="n">
        <v>23.3</v>
      </c>
      <c r="Q30" s="32" t="n">
        <v>414.11</v>
      </c>
      <c r="R30" s="31" t="inlineStr">
        <is>
          <t>Volume Spike &amp; Near 52W High Breakout</t>
        </is>
      </c>
      <c r="S30" s="31" t="inlineStr">
        <is>
          <t>Nifty Auto</t>
        </is>
      </c>
      <c r="T30" s="32" t="n">
        <v>11.51</v>
      </c>
      <c r="U30" s="32" t="n">
        <v>63.59</v>
      </c>
      <c r="V30" s="32" t="n">
        <v>46.7</v>
      </c>
      <c r="W30" s="32" t="n">
        <v>16.66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16</t>
        </is>
      </c>
      <c r="CG30" s="31">
        <f>IF(CF30&gt;20,10,IF(CF30&gt;=10,5,2))</f>
        <v/>
      </c>
    </row>
    <row r="31">
      <c r="A31" s="31">
        <f>IF(B31=0,"",RANK(B31,$B$2:$B$85,0))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KMCSHIL</t>
        </is>
      </c>
      <c r="D31" s="31" t="inlineStr">
        <is>
          <t>KMC Speciality Hospitals (India) Ltd</t>
        </is>
      </c>
      <c r="E31" s="31" t="inlineStr">
        <is>
          <t>Healthcare</t>
        </is>
      </c>
      <c r="F31" s="31" t="inlineStr">
        <is>
          <t>Hospitals</t>
        </is>
      </c>
      <c r="G31" s="31" t="inlineStr">
        <is>
          <t>smallcap</t>
        </is>
      </c>
      <c r="H31" s="32" t="n">
        <v>2185.34</v>
      </c>
      <c r="I31" s="32" t="n">
        <v>134</v>
      </c>
      <c r="J31" s="32" t="n">
        <v>2.13</v>
      </c>
      <c r="K31" s="32" t="n">
        <v>0</v>
      </c>
      <c r="L31" s="31" t="n">
        <v>88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79.56</v>
      </c>
      <c r="P31" s="32" t="n">
        <v>65.45</v>
      </c>
      <c r="Q31" s="32" t="n">
        <v>105.72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15.1</v>
      </c>
      <c r="U31" s="32" t="n">
        <v>101.93</v>
      </c>
      <c r="V31" s="32" t="n">
        <v>75.44</v>
      </c>
      <c r="W31" s="32" t="n">
        <v>25.88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20</t>
        </is>
      </c>
      <c r="CG31" s="31">
        <f>IF(CF31&gt;20,10,IF(CF31&gt;=10,5,2))</f>
        <v/>
      </c>
    </row>
    <row r="32">
      <c r="A32" s="31">
        <f>IF(B32=0,"",RANK(B32,$B$2:$B$85,0))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HESTERBIO</t>
        </is>
      </c>
      <c r="D32" s="31" t="inlineStr">
        <is>
          <t>Hester Biosciences Ltd</t>
        </is>
      </c>
      <c r="E32" s="31" t="inlineStr">
        <is>
          <t>healthcare</t>
        </is>
      </c>
      <c r="F32" s="31" t="inlineStr">
        <is>
          <t>Pharma - Animal</t>
        </is>
      </c>
      <c r="G32" s="31" t="inlineStr">
        <is>
          <t>smallcap</t>
        </is>
      </c>
      <c r="H32" s="32" t="n">
        <v>2041.73</v>
      </c>
      <c r="I32" s="32" t="n">
        <v>2400.1</v>
      </c>
      <c r="J32" s="32" t="n">
        <v>0.5600000000000001</v>
      </c>
      <c r="K32" s="32" t="n">
        <v>0</v>
      </c>
      <c r="L32" s="31" t="n">
        <v>81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75.56</v>
      </c>
      <c r="P32" s="32" t="n">
        <v>45.92</v>
      </c>
      <c r="Q32" s="32" t="n">
        <v>1835.37</v>
      </c>
      <c r="R32" s="31" t="inlineStr">
        <is>
          <t>Volume Spike &amp; Near 52W High Breakout</t>
        </is>
      </c>
      <c r="S32" s="31" t="inlineStr">
        <is>
          <t>Nifty Pharma</t>
        </is>
      </c>
      <c r="T32" s="32" t="n">
        <v>15.1</v>
      </c>
      <c r="U32" s="32" t="n">
        <v>26.1</v>
      </c>
      <c r="V32" s="32" t="n">
        <v>9.56</v>
      </c>
      <c r="W32" s="32" t="n">
        <v>20.2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IF(B33=0,"",RANK(B33,$B$2:$B$85,0))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3" t="inlineStr">
        <is>
          <t>MARKSANS</t>
        </is>
      </c>
      <c r="D33" s="33" t="inlineStr">
        <is>
          <t>Marksans Pharma Ltd</t>
        </is>
      </c>
      <c r="E33" s="31" t="inlineStr">
        <is>
          <t>healthcare</t>
        </is>
      </c>
      <c r="F33" s="31" t="inlineStr">
        <is>
          <t>Pharma - Formulators</t>
        </is>
      </c>
      <c r="G33" s="31" t="inlineStr">
        <is>
          <t>midcap</t>
        </is>
      </c>
      <c r="H33" s="32" t="n">
        <v>12507.32</v>
      </c>
      <c r="I33" s="32" t="n">
        <v>276</v>
      </c>
      <c r="J33" s="32" t="n">
        <v>1.86</v>
      </c>
      <c r="K33" s="32" t="n">
        <v>0</v>
      </c>
      <c r="L33" s="31" t="n">
        <v>72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75.66</v>
      </c>
      <c r="P33" s="32" t="n">
        <v>47.29</v>
      </c>
      <c r="Q33" s="32" t="n">
        <v>216.03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15.1</v>
      </c>
      <c r="U33" s="32" t="n">
        <v>8.199999999999999</v>
      </c>
      <c r="V33" s="32" t="n">
        <v>-5.99</v>
      </c>
      <c r="W33" s="32" t="n">
        <v>15.7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16</t>
        </is>
      </c>
      <c r="CG33" s="31">
        <f>IF(CF33&gt;20,10,IF(CF33&gt;=10,5,2))</f>
        <v/>
      </c>
    </row>
    <row r="34">
      <c r="A34" s="31">
        <f>IF(B34=0,"",RANK(B34,$B$2:$B$85,0))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INDNIPPON</t>
        </is>
      </c>
      <c r="D34" s="31" t="inlineStr">
        <is>
          <t>India Nippon Electricals Ltd</t>
        </is>
      </c>
      <c r="E34" s="31" t="inlineStr">
        <is>
          <t>auto</t>
        </is>
      </c>
      <c r="F34" s="31" t="inlineStr">
        <is>
          <t>Auto Ancillaries - Engine Parts</t>
        </is>
      </c>
      <c r="G34" s="31" t="inlineStr">
        <is>
          <t>smallcap</t>
        </is>
      </c>
      <c r="H34" s="32" t="n">
        <v>2660.05</v>
      </c>
      <c r="I34" s="32" t="n">
        <v>1175.9</v>
      </c>
      <c r="J34" s="32" t="n">
        <v>-2.79</v>
      </c>
      <c r="K34" s="32" t="n">
        <v>0</v>
      </c>
      <c r="L34" s="31" t="n">
        <v>83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76.29000000000001</v>
      </c>
      <c r="P34" s="32" t="n">
        <v>27.86</v>
      </c>
      <c r="Q34" s="32" t="n">
        <v>940.84</v>
      </c>
      <c r="R34" s="31" t="inlineStr">
        <is>
          <t>Near 52W High Breakout</t>
        </is>
      </c>
      <c r="S34" s="31" t="inlineStr">
        <is>
          <t>Nifty Auto</t>
        </is>
      </c>
      <c r="T34" s="32" t="n">
        <v>11.51</v>
      </c>
      <c r="U34" s="32" t="n">
        <v>53.36</v>
      </c>
      <c r="V34" s="32" t="n">
        <v>37.53</v>
      </c>
      <c r="W34" s="32" t="n">
        <v>21.65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25</t>
        </is>
      </c>
      <c r="CG34" s="31">
        <f>IF(CF34&gt;20,10,IF(CF34&gt;=10,5,2))</f>
        <v/>
      </c>
    </row>
    <row r="35">
      <c r="A35" s="31">
        <f>IF(B35=0,"",RANK(B35,$B$2:$B$85,0))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SIGNPOST</t>
        </is>
      </c>
      <c r="D35" s="31" t="inlineStr">
        <is>
          <t>Signpost India Ltd</t>
        </is>
      </c>
      <c r="E35" s="31" t="inlineStr">
        <is>
          <t>miscellaneous</t>
        </is>
      </c>
      <c r="F35" s="31" t="inlineStr">
        <is>
          <t>Advertisement</t>
        </is>
      </c>
      <c r="G35" s="31" t="inlineStr">
        <is>
          <t>smallcap</t>
        </is>
      </c>
      <c r="H35" s="32" t="n">
        <v>1710.4</v>
      </c>
      <c r="I35" s="32" t="n">
        <v>320</v>
      </c>
      <c r="J35" s="32" t="n">
        <v>-0.64</v>
      </c>
      <c r="K35" s="32" t="n">
        <v>0</v>
      </c>
      <c r="L35" s="31" t="n">
        <v>64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66.48999999999999</v>
      </c>
      <c r="P35" s="32" t="n">
        <v>31.84</v>
      </c>
      <c r="Q35" s="32" t="n">
        <v>224.04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-3.56</v>
      </c>
      <c r="U35" s="32" t="n">
        <v>35.41</v>
      </c>
      <c r="V35" s="32" t="n">
        <v>40.41</v>
      </c>
      <c r="W35" s="32" t="n">
        <v>13.01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19</t>
        </is>
      </c>
      <c r="CG35" s="31">
        <f>IF(CF35&gt;20,10,IF(CF35&gt;=10,5,2))</f>
        <v/>
      </c>
    </row>
    <row r="36">
      <c r="A36" s="31">
        <f>IF(B36=0,"",RANK(B36,$B$2:$B$85,0))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KMEW</t>
        </is>
      </c>
      <c r="D36" s="31" t="inlineStr">
        <is>
          <t>Knowledge Marine &amp; Engineering Works Ltd</t>
        </is>
      </c>
      <c r="E36" s="31" t="inlineStr">
        <is>
          <t>transportation</t>
        </is>
      </c>
      <c r="F36" s="31" t="inlineStr">
        <is>
          <t>Shipping</t>
        </is>
      </c>
      <c r="G36" s="31" t="inlineStr">
        <is>
          <t>midcap</t>
        </is>
      </c>
      <c r="H36" s="32" t="n">
        <v>6014.7</v>
      </c>
      <c r="I36" s="32" t="n">
        <v>2445</v>
      </c>
      <c r="J36" s="32" t="n">
        <v>4.54</v>
      </c>
      <c r="K36" s="32" t="n">
        <v>0</v>
      </c>
      <c r="L36" s="31" t="n">
        <v>90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71.47</v>
      </c>
      <c r="P36" s="32" t="n">
        <v>44.1</v>
      </c>
      <c r="Q36" s="32" t="n">
        <v>1747.15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-3.56</v>
      </c>
      <c r="U36" s="32" t="n">
        <v>168.23</v>
      </c>
      <c r="V36" s="32" t="n">
        <v>178.14</v>
      </c>
      <c r="W36" s="32" t="n">
        <v>32.4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Negative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19</t>
        </is>
      </c>
      <c r="CG36" s="31">
        <f>IF(CF36&gt;20,10,IF(CF36&gt;=10,5,2))</f>
        <v/>
      </c>
    </row>
    <row r="37">
      <c r="A37" s="31">
        <f>IF(B37=0,"",RANK(B37,$B$2:$B$85,0))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PSPPROJECT</t>
        </is>
      </c>
      <c r="D37" s="34" t="inlineStr">
        <is>
          <t>PSP Projects Ltd</t>
        </is>
      </c>
      <c r="E37" s="31" t="inlineStr">
        <is>
          <t>realty</t>
        </is>
      </c>
      <c r="F37" s="31" t="inlineStr">
        <is>
          <t>Construction &amp; Contracting</t>
        </is>
      </c>
      <c r="G37" s="31" t="inlineStr">
        <is>
          <t>smallcap</t>
        </is>
      </c>
      <c r="H37" s="32" t="n">
        <v>4340.78</v>
      </c>
      <c r="I37" s="32" t="n">
        <v>1095</v>
      </c>
      <c r="J37" s="32" t="n">
        <v>2.39</v>
      </c>
      <c r="K37" s="32" t="n">
        <v>0</v>
      </c>
      <c r="L37" s="31" t="n">
        <v>75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73.36</v>
      </c>
      <c r="P37" s="32" t="n">
        <v>28.06</v>
      </c>
      <c r="Q37" s="32" t="n">
        <v>834.6799999999999</v>
      </c>
      <c r="R37" s="31" t="inlineStr">
        <is>
          <t>Near 52W High Breakout</t>
        </is>
      </c>
      <c r="S37" s="31" t="inlineStr">
        <is>
          <t>Nifty Realty</t>
        </is>
      </c>
      <c r="T37" s="32" t="n">
        <v>-8.48</v>
      </c>
      <c r="U37" s="32" t="n">
        <v>32.27</v>
      </c>
      <c r="V37" s="32" t="n">
        <v>44.51</v>
      </c>
      <c r="W37" s="32" t="n">
        <v>17.43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16</t>
        </is>
      </c>
      <c r="CG37" s="31">
        <f>IF(CF37&gt;20,10,IF(CF37&gt;=10,5,2))</f>
        <v/>
      </c>
    </row>
    <row r="38">
      <c r="A38" s="31">
        <f>IF(B38=0,"",RANK(B38,$B$2:$B$85,0))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NITTAGELA</t>
        </is>
      </c>
      <c r="D38" s="31" t="inlineStr">
        <is>
          <t>Nitta Gelatin India Ltd</t>
        </is>
      </c>
      <c r="E38" s="31" t="inlineStr">
        <is>
          <t>Basic Materials</t>
        </is>
      </c>
      <c r="F38" s="31" t="inlineStr">
        <is>
          <t>Chemicals - Organic</t>
        </is>
      </c>
      <c r="G38" s="31" t="inlineStr">
        <is>
          <t>smallcap</t>
        </is>
      </c>
      <c r="H38" s="32" t="n">
        <v>1730.76</v>
      </c>
      <c r="I38" s="32" t="n">
        <v>1906.3</v>
      </c>
      <c r="J38" s="32" t="n">
        <v>1.08</v>
      </c>
      <c r="K38" s="32" t="n">
        <v>0</v>
      </c>
      <c r="L38" s="31" t="n">
        <v>97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71.20999999999999</v>
      </c>
      <c r="P38" s="32" t="n">
        <v>57.89</v>
      </c>
      <c r="Q38" s="32" t="n">
        <v>1520.65</v>
      </c>
      <c r="R38" s="31" t="inlineStr">
        <is>
          <t>Earnings / Momentum Support</t>
        </is>
      </c>
      <c r="S38" s="31" t="inlineStr">
        <is>
          <t>Nifty 50</t>
        </is>
      </c>
      <c r="T38" s="32" t="n">
        <v>-3.56</v>
      </c>
      <c r="U38" s="32" t="n">
        <v>98.02</v>
      </c>
      <c r="V38" s="32" t="n">
        <v>105.34</v>
      </c>
      <c r="W38" s="32" t="n">
        <v>45.92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Cyclical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Volatile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IF(B39=0,"",RANK(B39,$B$2:$B$85,0))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SPORTKING</t>
        </is>
      </c>
      <c r="D39" s="34" t="inlineStr">
        <is>
          <t>Sportking India Ltd</t>
        </is>
      </c>
      <c r="E39" s="31" t="inlineStr">
        <is>
          <t>textiles</t>
        </is>
      </c>
      <c r="F39" s="31" t="inlineStr">
        <is>
          <t>Textiles - Spinning</t>
        </is>
      </c>
      <c r="G39" s="31" t="inlineStr">
        <is>
          <t>smallcap</t>
        </is>
      </c>
      <c r="H39" s="32" t="n">
        <v>2502.05</v>
      </c>
      <c r="I39" s="32" t="n">
        <v>196.9</v>
      </c>
      <c r="J39" s="32" t="n">
        <v>0.03</v>
      </c>
      <c r="K39" s="32" t="n">
        <v>0</v>
      </c>
      <c r="L39" s="31" t="n">
        <v>82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81.11</v>
      </c>
      <c r="P39" s="32" t="n">
        <v>66.34999999999999</v>
      </c>
      <c r="Q39" s="32" t="n">
        <v>144.85</v>
      </c>
      <c r="R39" s="31" t="inlineStr">
        <is>
          <t>Volume Spike &amp; Near 52W High Breakout</t>
        </is>
      </c>
      <c r="S39" s="31" t="inlineStr">
        <is>
          <t>Nifty 50</t>
        </is>
      </c>
      <c r="T39" s="32" t="n">
        <v>-3.56</v>
      </c>
      <c r="U39" s="32" t="n">
        <v>48.54</v>
      </c>
      <c r="V39" s="32" t="n">
        <v>54.03</v>
      </c>
      <c r="W39" s="32" t="n">
        <v>21.25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Less than 12%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IF(B40=0,"",RANK(B40,$B$2:$B$85,0))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WELCORP</t>
        </is>
      </c>
      <c r="D40" s="31" t="inlineStr">
        <is>
          <t>Welspun Corp Ltd</t>
        </is>
      </c>
      <c r="E40" s="31" t="inlineStr">
        <is>
          <t>industrials</t>
        </is>
      </c>
      <c r="F40" s="31" t="inlineStr">
        <is>
          <t>DI Pipes/Saw Pipes</t>
        </is>
      </c>
      <c r="G40" s="31" t="inlineStr">
        <is>
          <t>largecap</t>
        </is>
      </c>
      <c r="H40" s="32" t="n">
        <v>44264.07</v>
      </c>
      <c r="I40" s="32" t="n">
        <v>1678</v>
      </c>
      <c r="J40" s="32" t="n">
        <v>-0.32</v>
      </c>
      <c r="K40" s="32" t="n">
        <v>0</v>
      </c>
      <c r="L40" s="31" t="n">
        <v>89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88.12</v>
      </c>
      <c r="P40" s="32" t="n">
        <v>66.95999999999999</v>
      </c>
      <c r="Q40" s="32" t="n">
        <v>1390.69</v>
      </c>
      <c r="R40" s="31" t="inlineStr">
        <is>
          <t>Near 52W High Breakout</t>
        </is>
      </c>
      <c r="S40" s="31" t="inlineStr">
        <is>
          <t>Nifty Metal</t>
        </is>
      </c>
      <c r="T40" s="32" t="n">
        <v>32.55</v>
      </c>
      <c r="U40" s="32" t="n">
        <v>82.53</v>
      </c>
      <c r="V40" s="32" t="n">
        <v>37.71</v>
      </c>
      <c r="W40" s="32" t="n">
        <v>27.56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Less than 12%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IF(B41=0,"",RANK(B41,$B$2:$B$85,0))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SIGMAADV</t>
        </is>
      </c>
      <c r="D41" s="31" t="inlineStr">
        <is>
          <t>Sigma Advanced System Ltd</t>
        </is>
      </c>
      <c r="E41" s="31" t="inlineStr">
        <is>
          <t>aerospace &amp; defence</t>
        </is>
      </c>
      <c r="F41" s="31" t="inlineStr">
        <is>
          <t>Aerospace &amp; Defence - Equipments</t>
        </is>
      </c>
      <c r="G41" s="31" t="inlineStr">
        <is>
          <t>midcap</t>
        </is>
      </c>
      <c r="H41" s="32" t="n">
        <v>9902.91</v>
      </c>
      <c r="I41" s="32" t="n">
        <v>561.9</v>
      </c>
      <c r="J41" s="32" t="n">
        <v>-2.05</v>
      </c>
      <c r="K41" s="32" t="n">
        <v>0</v>
      </c>
      <c r="L41" s="31" t="n">
        <v>99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74.88</v>
      </c>
      <c r="P41" s="32" t="n">
        <v>64.05</v>
      </c>
      <c r="Q41" s="32" t="n">
        <v>458.63</v>
      </c>
      <c r="R41" s="31" t="inlineStr">
        <is>
          <t>Earnings / Momentum Support</t>
        </is>
      </c>
      <c r="S41" s="31" t="inlineStr">
        <is>
          <t>Nifty 50</t>
        </is>
      </c>
      <c r="T41" s="32" t="n">
        <v>-3.56</v>
      </c>
      <c r="U41" s="32" t="n">
        <v>420.4</v>
      </c>
      <c r="V41" s="32" t="n">
        <v>439.64</v>
      </c>
      <c r="W41" s="32" t="n">
        <v>88.02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Negative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Between 0.7 to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IF(B42=0,"",RANK(B42,$B$2:$B$85,0))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SANGAMIND</t>
        </is>
      </c>
      <c r="D42" s="31" t="inlineStr">
        <is>
          <t>Sangam (India) Ltd</t>
        </is>
      </c>
      <c r="E42" s="31" t="inlineStr">
        <is>
          <t>textiles</t>
        </is>
      </c>
      <c r="F42" s="31" t="inlineStr">
        <is>
          <t>Textiles - Spinning</t>
        </is>
      </c>
      <c r="G42" s="31" t="inlineStr">
        <is>
          <t>smallcap</t>
        </is>
      </c>
      <c r="H42" s="32" t="n">
        <v>3153.73</v>
      </c>
      <c r="I42" s="32" t="n">
        <v>627.65</v>
      </c>
      <c r="J42" s="32" t="n">
        <v>0.43</v>
      </c>
      <c r="K42" s="32" t="n">
        <v>0</v>
      </c>
      <c r="L42" s="31" t="n">
        <v>70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78.66</v>
      </c>
      <c r="P42" s="32" t="n">
        <v>43.49</v>
      </c>
      <c r="Q42" s="32" t="n">
        <v>496.14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-3.56</v>
      </c>
      <c r="U42" s="32" t="n">
        <v>36.07</v>
      </c>
      <c r="V42" s="32" t="n">
        <v>41.1</v>
      </c>
      <c r="W42" s="32" t="n">
        <v>14.95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IF(B43=0,"",RANK(B43,$B$2:$B$85,0))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SPECTRUM</t>
        </is>
      </c>
      <c r="D43" s="31" t="inlineStr">
        <is>
          <t>Spectrum Electrical Industries Ltd</t>
        </is>
      </c>
      <c r="E43" s="31" t="inlineStr">
        <is>
          <t>industrials</t>
        </is>
      </c>
      <c r="F43" s="31" t="inlineStr">
        <is>
          <t>Capital Goods - Electric General</t>
        </is>
      </c>
      <c r="G43" s="31" t="inlineStr">
        <is>
          <t>smallcap</t>
        </is>
      </c>
      <c r="H43" s="32" t="n">
        <v>3185.2</v>
      </c>
      <c r="I43" s="32" t="n">
        <v>2027</v>
      </c>
      <c r="J43" s="32" t="n">
        <v>0.73</v>
      </c>
      <c r="K43" s="32" t="n">
        <v>0</v>
      </c>
      <c r="L43" s="31" t="n">
        <v>84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69.14</v>
      </c>
      <c r="P43" s="32" t="n">
        <v>37.92</v>
      </c>
      <c r="Q43" s="32" t="n">
        <v>1393.79</v>
      </c>
      <c r="R43" s="31" t="inlineStr">
        <is>
          <t>Near 52W High Breakout</t>
        </is>
      </c>
      <c r="S43" s="31" t="inlineStr">
        <is>
          <t>Nifty Infra</t>
        </is>
      </c>
      <c r="T43" s="32" t="n">
        <v>1.31</v>
      </c>
      <c r="U43" s="32" t="n">
        <v>29.97</v>
      </c>
      <c r="V43" s="32" t="n">
        <v>28.28</v>
      </c>
      <c r="W43" s="32" t="n">
        <v>22.28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18</t>
        </is>
      </c>
      <c r="CG43" s="31">
        <f>IF(CF43&gt;20,10,IF(CF43&gt;=10,5,2))</f>
        <v/>
      </c>
    </row>
    <row r="44">
      <c r="A44" s="31">
        <f>IF(B44=0,"",RANK(B44,$B$2:$B$85,0))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GOLDIAM</t>
        </is>
      </c>
      <c r="D44" s="31" t="inlineStr">
        <is>
          <t>Goldiam International Ltd</t>
        </is>
      </c>
      <c r="E44" s="31" t="inlineStr">
        <is>
          <t>Consumer Cyclical</t>
        </is>
      </c>
      <c r="F44" s="31" t="inlineStr">
        <is>
          <t>Lab Grown Diamonds</t>
        </is>
      </c>
      <c r="G44" s="31" t="inlineStr">
        <is>
          <t>midcap</t>
        </is>
      </c>
      <c r="H44" s="32" t="n">
        <v>5376.39</v>
      </c>
      <c r="I44" s="32" t="n">
        <v>357.1</v>
      </c>
      <c r="J44" s="32" t="n">
        <v>-0.67</v>
      </c>
      <c r="K44" s="32" t="n">
        <v>0</v>
      </c>
      <c r="L44" s="31" t="n">
        <v>51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61.16</v>
      </c>
      <c r="P44" s="32" t="n">
        <v>37.21</v>
      </c>
      <c r="Q44" s="32" t="n">
        <v>265.18</v>
      </c>
      <c r="R44" s="31" t="inlineStr">
        <is>
          <t>Earnings / Momentum Support</t>
        </is>
      </c>
      <c r="S44" s="31" t="inlineStr">
        <is>
          <t>Nifty 50</t>
        </is>
      </c>
      <c r="T44" s="32" t="n">
        <v>-3.56</v>
      </c>
      <c r="U44" s="32" t="n">
        <v>32.75</v>
      </c>
      <c r="V44" s="32" t="n">
        <v>37.66</v>
      </c>
      <c r="W44" s="32" t="n">
        <v>9.880000000000001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17</t>
        </is>
      </c>
      <c r="CG44" s="31">
        <f>IF(CF44&gt;20,10,IF(CF44&gt;=10,5,2))</f>
        <v/>
      </c>
    </row>
    <row r="45">
      <c r="A45" s="31">
        <f>IF(B45=0,"",RANK(B45,$B$2:$B$85,0))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JAYBARMARU</t>
        </is>
      </c>
      <c r="D45" s="31" t="inlineStr">
        <is>
          <t>Jay Bharat Maruti Ltd</t>
        </is>
      </c>
      <c r="E45" s="31" t="inlineStr">
        <is>
          <t>auto</t>
        </is>
      </c>
      <c r="F45" s="31" t="inlineStr">
        <is>
          <t>Auto Ancillaries - Diversified</t>
        </is>
      </c>
      <c r="G45" s="31" t="inlineStr">
        <is>
          <t>smallcap</t>
        </is>
      </c>
      <c r="H45" s="32" t="n">
        <v>2048.41</v>
      </c>
      <c r="I45" s="32" t="n">
        <v>189.23</v>
      </c>
      <c r="J45" s="32" t="n">
        <v>-5</v>
      </c>
      <c r="K45" s="32" t="n">
        <v>0</v>
      </c>
      <c r="L45" s="31" t="n">
        <v>96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78.51000000000001</v>
      </c>
      <c r="P45" s="32" t="n">
        <v>38.85</v>
      </c>
      <c r="Q45" s="32" t="n">
        <v>141.64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11.51</v>
      </c>
      <c r="U45" s="32" t="n">
        <v>150.48</v>
      </c>
      <c r="V45" s="32" t="n">
        <v>124.62</v>
      </c>
      <c r="W45" s="32" t="n">
        <v>42.59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17</t>
        </is>
      </c>
      <c r="CG45" s="31">
        <f>IF(CF45&gt;20,10,IF(CF45&gt;=10,5,2))</f>
        <v/>
      </c>
    </row>
    <row r="46">
      <c r="A46" s="31">
        <f>IF(B46=0,"",RANK(B46,$B$2:$B$85,0))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RATEGAIN</t>
        </is>
      </c>
      <c r="D46" s="31" t="inlineStr">
        <is>
          <t>Rategain Travel Technologies Ltd</t>
        </is>
      </c>
      <c r="E46" s="31" t="inlineStr">
        <is>
          <t>i.t</t>
        </is>
      </c>
      <c r="F46" s="31" t="inlineStr">
        <is>
          <t>IT Product Companies</t>
        </is>
      </c>
      <c r="G46" s="31" t="inlineStr">
        <is>
          <t>midcap</t>
        </is>
      </c>
      <c r="H46" s="32" t="n">
        <v>11605.7</v>
      </c>
      <c r="I46" s="32" t="n">
        <v>980</v>
      </c>
      <c r="J46" s="32" t="n">
        <v>2.91</v>
      </c>
      <c r="K46" s="32" t="n">
        <v>0</v>
      </c>
      <c r="L46" s="31" t="n">
        <v>91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79.98999999999999</v>
      </c>
      <c r="P46" s="32" t="n">
        <v>33.96</v>
      </c>
      <c r="Q46" s="32" t="n">
        <v>771.58</v>
      </c>
      <c r="R46" s="31" t="inlineStr">
        <is>
          <t>Near 52W High Breakout</t>
        </is>
      </c>
      <c r="S46" s="31" t="inlineStr">
        <is>
          <t>Nifty IT</t>
        </is>
      </c>
      <c r="T46" s="32" t="n">
        <v>-23.18</v>
      </c>
      <c r="U46" s="32" t="n">
        <v>109.79</v>
      </c>
      <c r="V46" s="32" t="n">
        <v>173.09</v>
      </c>
      <c r="W46" s="32" t="n">
        <v>32.91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Between 50% to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16</t>
        </is>
      </c>
      <c r="CG46" s="31">
        <f>IF(CF46&gt;20,10,IF(CF46&gt;=10,5,2))</f>
        <v/>
      </c>
    </row>
    <row r="47">
      <c r="A47" s="31">
        <f>IF(B47=0,"",RANK(B47,$B$2:$B$85,0))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NOVARTIND</t>
        </is>
      </c>
      <c r="D47" s="31" t="inlineStr">
        <is>
          <t>Novartis India Ltd</t>
        </is>
      </c>
      <c r="E47" s="31" t="inlineStr">
        <is>
          <t>healthcare</t>
        </is>
      </c>
      <c r="F47" s="31" t="inlineStr">
        <is>
          <t>Pharma - MNC bulk Drugs</t>
        </is>
      </c>
      <c r="G47" s="31" t="inlineStr">
        <is>
          <t>smallcap</t>
        </is>
      </c>
      <c r="H47" s="32" t="n">
        <v>3864.11</v>
      </c>
      <c r="I47" s="32" t="n">
        <v>1565</v>
      </c>
      <c r="J47" s="32" t="n">
        <v>-3.25</v>
      </c>
      <c r="K47" s="32" t="n">
        <v>0</v>
      </c>
      <c r="L47" s="31" t="n">
        <v>84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71.91</v>
      </c>
      <c r="P47" s="32" t="n">
        <v>68.53</v>
      </c>
      <c r="Q47" s="32" t="n">
        <v>1177.84</v>
      </c>
      <c r="R47" s="31" t="inlineStr">
        <is>
          <t>Volume Spike &amp; Near 52W High Breakout</t>
        </is>
      </c>
      <c r="S47" s="31" t="inlineStr">
        <is>
          <t>Nifty Pharma</t>
        </is>
      </c>
      <c r="T47" s="32" t="n">
        <v>15.1</v>
      </c>
      <c r="U47" s="32" t="n">
        <v>48.69</v>
      </c>
      <c r="V47" s="32" t="n">
        <v>29.19</v>
      </c>
      <c r="W47" s="32" t="n">
        <v>22.22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Less than 12%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20</t>
        </is>
      </c>
      <c r="CG47" s="31">
        <f>IF(CF47&gt;20,10,IF(CF47&gt;=10,5,2))</f>
        <v/>
      </c>
    </row>
    <row r="48">
      <c r="A48" s="31">
        <f>IF(B48=0,"",RANK(B48,$B$2:$B$85,0))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FERMENTA</t>
        </is>
      </c>
      <c r="D48" s="31" t="inlineStr">
        <is>
          <t>Fermenta Biotech Ltd</t>
        </is>
      </c>
      <c r="E48" s="31" t="inlineStr">
        <is>
          <t>Healthcare</t>
        </is>
      </c>
      <c r="F48" s="31" t="inlineStr">
        <is>
          <t>Pharma - API</t>
        </is>
      </c>
      <c r="G48" s="31" t="inlineStr">
        <is>
          <t>smallcap</t>
        </is>
      </c>
      <c r="H48" s="32" t="n">
        <v>1350.29</v>
      </c>
      <c r="I48" s="32" t="n">
        <v>458.8</v>
      </c>
      <c r="J48" s="32" t="n">
        <v>1.76</v>
      </c>
      <c r="K48" s="32" t="n">
        <v>0</v>
      </c>
      <c r="L48" s="31" t="n">
        <v>74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72.45</v>
      </c>
      <c r="P48" s="32" t="n">
        <v>21.69</v>
      </c>
      <c r="Q48" s="32" t="n">
        <v>346.54</v>
      </c>
      <c r="R48" s="31" t="inlineStr">
        <is>
          <t>Volume Spike &amp; Near 52W High Breakout</t>
        </is>
      </c>
      <c r="S48" s="31" t="inlineStr">
        <is>
          <t>Nifty Pharma</t>
        </is>
      </c>
      <c r="T48" s="32" t="n">
        <v>15.1</v>
      </c>
      <c r="U48" s="32" t="n">
        <v>23.57</v>
      </c>
      <c r="V48" s="32" t="n">
        <v>7.36</v>
      </c>
      <c r="W48" s="32" t="n">
        <v>16.74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Less than 12%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18</t>
        </is>
      </c>
      <c r="CG48" s="31">
        <f>IF(CF48&gt;20,10,IF(CF48&gt;=10,5,2))</f>
        <v/>
      </c>
    </row>
    <row r="49">
      <c r="A49" s="31">
        <f>IF(B49=0,"",RANK(B49,$B$2:$B$85,0))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PICCADIL</t>
        </is>
      </c>
      <c r="D49" s="34" t="inlineStr">
        <is>
          <t>Piccadily Agro Industries Ltd</t>
        </is>
      </c>
      <c r="E49" s="31" t="inlineStr">
        <is>
          <t>fmcg</t>
        </is>
      </c>
      <c r="F49" s="31" t="inlineStr">
        <is>
          <t>Alcoholic Beverages</t>
        </is>
      </c>
      <c r="G49" s="31" t="inlineStr">
        <is>
          <t>midcap</t>
        </is>
      </c>
      <c r="H49" s="32" t="n">
        <v>7177.53</v>
      </c>
      <c r="I49" s="32" t="n">
        <v>728.15</v>
      </c>
      <c r="J49" s="32" t="n">
        <v>1.61</v>
      </c>
      <c r="K49" s="32" t="n">
        <v>0</v>
      </c>
      <c r="L49" s="31" t="n">
        <v>50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69.62</v>
      </c>
      <c r="P49" s="32" t="n">
        <v>38.05</v>
      </c>
      <c r="Q49" s="32" t="n">
        <v>576.55</v>
      </c>
      <c r="R49" s="31" t="inlineStr">
        <is>
          <t>Volume Spike &amp; Near 52W High Breakout</t>
        </is>
      </c>
      <c r="S49" s="31" t="inlineStr">
        <is>
          <t>Nifty FMCG</t>
        </is>
      </c>
      <c r="T49" s="32" t="n">
        <v>-14.55</v>
      </c>
      <c r="U49" s="32" t="n">
        <v>20.77</v>
      </c>
      <c r="V49" s="32" t="n">
        <v>41.33</v>
      </c>
      <c r="W49" s="32" t="n">
        <v>9.35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Less than 12%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17</t>
        </is>
      </c>
      <c r="CG49" s="31">
        <f>IF(CF49&gt;20,10,IF(CF49&gt;=10,5,2))</f>
        <v/>
      </c>
    </row>
    <row r="50">
      <c r="A50" s="31">
        <f>IF(B50=0,"",RANK(B50,$B$2:$B$85,0))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SKYGOLD</t>
        </is>
      </c>
      <c r="D50" s="31" t="inlineStr">
        <is>
          <t>Sky Gold &amp; Diamonds Ltd</t>
        </is>
      </c>
      <c r="E50" s="31" t="inlineStr">
        <is>
          <t>consumer discretionary</t>
        </is>
      </c>
      <c r="F50" s="31" t="inlineStr">
        <is>
          <t>Diamond, Gems &amp; Jewellery</t>
        </is>
      </c>
      <c r="G50" s="31" t="inlineStr">
        <is>
          <t>midcap</t>
        </is>
      </c>
      <c r="H50" s="32" t="n">
        <v>9771.77</v>
      </c>
      <c r="I50" s="32" t="n">
        <v>630.95</v>
      </c>
      <c r="J50" s="32" t="n">
        <v>2.1</v>
      </c>
      <c r="K50" s="32" t="n">
        <v>0</v>
      </c>
      <c r="L50" s="31" t="n">
        <v>87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73.19</v>
      </c>
      <c r="P50" s="32" t="n">
        <v>53.34</v>
      </c>
      <c r="Q50" s="32" t="n">
        <v>466.23</v>
      </c>
      <c r="R50" s="31" t="inlineStr">
        <is>
          <t>Near 52W High Breakout</t>
        </is>
      </c>
      <c r="S50" s="31" t="inlineStr">
        <is>
          <t>Nifty 50</t>
        </is>
      </c>
      <c r="T50" s="32" t="n">
        <v>-3.56</v>
      </c>
      <c r="U50" s="32" t="n">
        <v>92.66</v>
      </c>
      <c r="V50" s="32" t="n">
        <v>99.78</v>
      </c>
      <c r="W50" s="32" t="n">
        <v>25.44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24</t>
        </is>
      </c>
      <c r="CG50" s="31">
        <f>IF(CF50&gt;20,10,IF(CF50&gt;=10,5,2))</f>
        <v/>
      </c>
    </row>
    <row r="51">
      <c r="A51" s="31">
        <f>IF(B51=0,"",RANK(B51,$B$2:$B$85,0))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HFCL</t>
        </is>
      </c>
      <c r="D51" s="31" t="inlineStr">
        <is>
          <t>HFCL Ltd</t>
        </is>
      </c>
      <c r="E51" s="31" t="inlineStr">
        <is>
          <t>telecom</t>
        </is>
      </c>
      <c r="F51" s="31" t="inlineStr">
        <is>
          <t>Telecom Services</t>
        </is>
      </c>
      <c r="G51" s="31" t="inlineStr">
        <is>
          <t>largecap</t>
        </is>
      </c>
      <c r="H51" s="32" t="n">
        <v>34195.19</v>
      </c>
      <c r="I51" s="32" t="n">
        <v>223.41</v>
      </c>
      <c r="J51" s="32" t="n">
        <v>5</v>
      </c>
      <c r="K51" s="32" t="n">
        <v>0</v>
      </c>
      <c r="L51" s="31" t="n">
        <v>98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86.08</v>
      </c>
      <c r="P51" s="32" t="n">
        <v>69.3</v>
      </c>
      <c r="Q51" s="32" t="n">
        <v>169.52</v>
      </c>
      <c r="R51" s="31" t="inlineStr">
        <is>
          <t>Near 52W High Breakout</t>
        </is>
      </c>
      <c r="S51" s="31" t="inlineStr">
        <is>
          <t>Nifty Infra</t>
        </is>
      </c>
      <c r="T51" s="32" t="n">
        <v>1.31</v>
      </c>
      <c r="U51" s="32" t="n">
        <v>173.91</v>
      </c>
      <c r="V51" s="32" t="n">
        <v>170.36</v>
      </c>
      <c r="W51" s="32" t="n">
        <v>58.08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20</t>
        </is>
      </c>
      <c r="CG51" s="31">
        <f>IF(CF51&gt;20,10,IF(CF51&gt;=10,5,2))</f>
        <v/>
      </c>
    </row>
    <row r="52">
      <c r="A52" s="31">
        <f>IF(B52=0,"",RANK(B52,$B$2:$B$85,0))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AEGISVOPAK</t>
        </is>
      </c>
      <c r="D52" s="31" t="inlineStr">
        <is>
          <t>Aegis Vopak Terminals Ltd</t>
        </is>
      </c>
      <c r="E52" s="31" t="inlineStr">
        <is>
          <t>transportation</t>
        </is>
      </c>
      <c r="F52" s="31" t="inlineStr">
        <is>
          <t>Miscellaneous</t>
        </is>
      </c>
      <c r="G52" s="31" t="inlineStr">
        <is>
          <t>largecap</t>
        </is>
      </c>
      <c r="H52" s="32" t="n">
        <v>31155.61</v>
      </c>
      <c r="I52" s="32" t="n">
        <v>281.19</v>
      </c>
      <c r="J52" s="32" t="n">
        <v>0.2</v>
      </c>
      <c r="K52" s="32" t="n">
        <v>0</v>
      </c>
      <c r="L52" s="31" t="n">
        <v>50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64.76000000000001</v>
      </c>
      <c r="P52" s="32" t="n">
        <v>21.84</v>
      </c>
      <c r="Q52" s="32" t="n">
        <v>203.75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-3.56</v>
      </c>
      <c r="U52" s="32" t="n">
        <v>-3.06</v>
      </c>
      <c r="V52" s="32" t="n">
        <v>0.53</v>
      </c>
      <c r="W52" s="32" t="n">
        <v>9.449999999999999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19</t>
        </is>
      </c>
      <c r="CG52" s="31">
        <f>IF(CF52&gt;20,10,IF(CF52&gt;=10,5,2))</f>
        <v/>
      </c>
    </row>
    <row r="53">
      <c r="A53" s="31">
        <f>IF(B53=0,"",RANK(B53,$B$2:$B$85,0))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RPEL</t>
        </is>
      </c>
      <c r="D53" s="31" t="inlineStr">
        <is>
          <t>Raghav Productivity Enhancers Ltd</t>
        </is>
      </c>
      <c r="E53" s="31" t="inlineStr">
        <is>
          <t>building materials</t>
        </is>
      </c>
      <c r="F53" s="31" t="inlineStr">
        <is>
          <t>Steel Products</t>
        </is>
      </c>
      <c r="G53" s="31" t="inlineStr">
        <is>
          <t>midcap</t>
        </is>
      </c>
      <c r="H53" s="32" t="n">
        <v>5855.05</v>
      </c>
      <c r="I53" s="32" t="n">
        <v>1275</v>
      </c>
      <c r="J53" s="32" t="n">
        <v>0.76</v>
      </c>
      <c r="K53" s="32" t="n">
        <v>0</v>
      </c>
      <c r="L53" s="31" t="n">
        <v>90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75.17</v>
      </c>
      <c r="P53" s="32" t="n">
        <v>39.7</v>
      </c>
      <c r="Q53" s="32" t="n">
        <v>1012.75</v>
      </c>
      <c r="R53" s="31" t="inlineStr">
        <is>
          <t>Near 52W High Breakout</t>
        </is>
      </c>
      <c r="S53" s="31" t="inlineStr">
        <is>
          <t>Nifty Infra</t>
        </is>
      </c>
      <c r="T53" s="32" t="n">
        <v>1.31</v>
      </c>
      <c r="U53" s="32" t="n">
        <v>82.8</v>
      </c>
      <c r="V53" s="32" t="n">
        <v>80.43000000000001</v>
      </c>
      <c r="W53" s="32" t="n">
        <v>32.29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17</t>
        </is>
      </c>
      <c r="CG53" s="31">
        <f>IF(CF53&gt;20,10,IF(CF53&gt;=10,5,2))</f>
        <v/>
      </c>
    </row>
    <row r="54">
      <c r="A54" s="31">
        <f>IF(B54=0,"",RANK(B54,$B$2:$B$85,0))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GREAVESCOT</t>
        </is>
      </c>
      <c r="D54" s="31" t="inlineStr">
        <is>
          <t>Greaves Cotton Ltd</t>
        </is>
      </c>
      <c r="E54" s="31" t="inlineStr">
        <is>
          <t>industrials</t>
        </is>
      </c>
      <c r="F54" s="31" t="inlineStr">
        <is>
          <t>Engines</t>
        </is>
      </c>
      <c r="G54" s="31" t="inlineStr">
        <is>
          <t>midcap</t>
        </is>
      </c>
      <c r="H54" s="32" t="n">
        <v>6017.14</v>
      </c>
      <c r="I54" s="32" t="n">
        <v>258.3</v>
      </c>
      <c r="J54" s="32" t="n">
        <v>-1.66</v>
      </c>
      <c r="K54" s="32" t="n">
        <v>0</v>
      </c>
      <c r="L54" s="31" t="n">
        <v>79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73.8</v>
      </c>
      <c r="P54" s="32" t="n">
        <v>24.48</v>
      </c>
      <c r="Q54" s="32" t="n">
        <v>205.53</v>
      </c>
      <c r="R54" s="31" t="inlineStr">
        <is>
          <t>Near 52W High Breakout</t>
        </is>
      </c>
      <c r="S54" s="31" t="inlineStr">
        <is>
          <t>Nifty 50</t>
        </is>
      </c>
      <c r="T54" s="32" t="n">
        <v>-3.56</v>
      </c>
      <c r="U54" s="32" t="n">
        <v>25.71</v>
      </c>
      <c r="V54" s="32" t="n">
        <v>30.35</v>
      </c>
      <c r="W54" s="32" t="n">
        <v>19.4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17</t>
        </is>
      </c>
      <c r="CG54" s="31">
        <f>IF(CF54&gt;20,10,IF(CF54&gt;=10,5,2))</f>
        <v/>
      </c>
    </row>
    <row r="55">
      <c r="A55" s="31">
        <f>IF(B55=0,"",RANK(B55,$B$2:$B$85,0))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KABRAEXTRU</t>
        </is>
      </c>
      <c r="D55" s="34" t="inlineStr">
        <is>
          <t>Kabra Extrusion Technik Ltd</t>
        </is>
      </c>
      <c r="E55" s="31" t="inlineStr">
        <is>
          <t>industrials</t>
        </is>
      </c>
      <c r="F55" s="31" t="inlineStr">
        <is>
          <t>Capital Goods - Engineering Heavy</t>
        </is>
      </c>
      <c r="G55" s="31" t="inlineStr">
        <is>
          <t>smallcap</t>
        </is>
      </c>
      <c r="H55" s="32" t="n">
        <v>1126.13</v>
      </c>
      <c r="I55" s="32" t="n">
        <v>322</v>
      </c>
      <c r="J55" s="32" t="n">
        <v>1.34</v>
      </c>
      <c r="K55" s="32" t="n">
        <v>0</v>
      </c>
      <c r="L55" s="31" t="n">
        <v>52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70.91</v>
      </c>
      <c r="P55" s="32" t="n">
        <v>16.65</v>
      </c>
      <c r="Q55" s="32" t="n">
        <v>239.07</v>
      </c>
      <c r="R55" s="31" t="inlineStr">
        <is>
          <t>Volume Spike &amp; Near 52W High Breakout</t>
        </is>
      </c>
      <c r="S55" s="31" t="inlineStr">
        <is>
          <t>Nifty Infra</t>
        </is>
      </c>
      <c r="T55" s="32" t="n">
        <v>1.31</v>
      </c>
      <c r="U55" s="32" t="n">
        <v>4.62</v>
      </c>
      <c r="V55" s="32" t="n">
        <v>3.26</v>
      </c>
      <c r="W55" s="32" t="n">
        <v>10.02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IF(B56=0,"",RANK(B56,$B$2:$B$85,0))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ADFFOODS</t>
        </is>
      </c>
      <c r="D56" s="31" t="inlineStr">
        <is>
          <t>ADF Foods Ltd</t>
        </is>
      </c>
      <c r="E56" s="31" t="inlineStr">
        <is>
          <t>Consumer Defensive</t>
        </is>
      </c>
      <c r="F56" s="31" t="inlineStr">
        <is>
          <t>FMCG - Contract Mfg</t>
        </is>
      </c>
      <c r="G56" s="31" t="inlineStr">
        <is>
          <t>smallcap</t>
        </is>
      </c>
      <c r="H56" s="32" t="n">
        <v>3349.74</v>
      </c>
      <c r="I56" s="32" t="n">
        <v>304.9</v>
      </c>
      <c r="J56" s="32" t="n">
        <v>-2.45</v>
      </c>
      <c r="K56" s="32" t="n">
        <v>0</v>
      </c>
      <c r="L56" s="31" t="n">
        <v>57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63.85</v>
      </c>
      <c r="P56" s="32" t="n">
        <v>41.23</v>
      </c>
      <c r="Q56" s="32" t="n">
        <v>235.82</v>
      </c>
      <c r="R56" s="31" t="inlineStr">
        <is>
          <t>Near 52W High Breakout</t>
        </is>
      </c>
      <c r="S56" s="31" t="inlineStr">
        <is>
          <t>Nifty 50</t>
        </is>
      </c>
      <c r="T56" s="32" t="n">
        <v>-3.56</v>
      </c>
      <c r="U56" s="32" t="n">
        <v>12.27</v>
      </c>
      <c r="V56" s="32" t="n">
        <v>16.42</v>
      </c>
      <c r="W56" s="32" t="n">
        <v>11.23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17</t>
        </is>
      </c>
      <c r="CG56" s="31">
        <f>IF(CF56&gt;20,10,IF(CF56&gt;=10,5,2))</f>
        <v/>
      </c>
    </row>
    <row r="57">
      <c r="A57" s="31">
        <f>IF(B57=0,"",RANK(B57,$B$2:$B$85,0))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CCAVENUE</t>
        </is>
      </c>
      <c r="D57" s="31" t="inlineStr">
        <is>
          <t>AvenuesAI Ltd</t>
        </is>
      </c>
      <c r="E57" s="31" t="inlineStr">
        <is>
          <t>i.t</t>
        </is>
      </c>
      <c r="F57" s="31" t="inlineStr">
        <is>
          <t>IT - Software</t>
        </is>
      </c>
      <c r="G57" s="31" t="inlineStr">
        <is>
          <t>midcap</t>
        </is>
      </c>
      <c r="H57" s="32" t="n">
        <v>6226.49</v>
      </c>
      <c r="I57" s="32" t="n">
        <v>17.85</v>
      </c>
      <c r="J57" s="32" t="n">
        <v>0.17</v>
      </c>
      <c r="K57" s="32" t="n">
        <v>0</v>
      </c>
      <c r="L57" s="31" t="n">
        <v>37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61.17</v>
      </c>
      <c r="P57" s="32" t="n">
        <v>16.59</v>
      </c>
      <c r="Q57" s="32" t="n">
        <v>13.82</v>
      </c>
      <c r="R57" s="31" t="inlineStr">
        <is>
          <t>Earnings / Momentum Support</t>
        </is>
      </c>
      <c r="S57" s="31" t="inlineStr">
        <is>
          <t>Nifty IT</t>
        </is>
      </c>
      <c r="T57" s="32" t="n">
        <v>-23.18</v>
      </c>
      <c r="U57" s="32" t="n">
        <v>11.69</v>
      </c>
      <c r="V57" s="32" t="n">
        <v>45.39</v>
      </c>
      <c r="W57" s="32" t="n">
        <v>6.52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0 to 20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16</t>
        </is>
      </c>
      <c r="CG57" s="31">
        <f>IF(CF57&gt;20,10,IF(CF57&gt;=10,5,2))</f>
        <v/>
      </c>
    </row>
    <row r="58">
      <c r="A58" s="31">
        <f>IF(B58=0,"",RANK(B58,$B$2:$B$85,0))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AURUM</t>
        </is>
      </c>
      <c r="D58" s="31" t="inlineStr">
        <is>
          <t>Aurum Proptech Ltd</t>
        </is>
      </c>
      <c r="E58" s="31" t="inlineStr">
        <is>
          <t>i.t</t>
        </is>
      </c>
      <c r="F58" s="31" t="inlineStr">
        <is>
          <t>IT Enabled Services</t>
        </is>
      </c>
      <c r="G58" s="31" t="inlineStr">
        <is>
          <t>smallcap</t>
        </is>
      </c>
      <c r="H58" s="32" t="n">
        <v>1815.51</v>
      </c>
      <c r="I58" s="32" t="n">
        <v>252</v>
      </c>
      <c r="J58" s="32" t="n">
        <v>5.16</v>
      </c>
      <c r="K58" s="32" t="n">
        <v>0</v>
      </c>
      <c r="L58" s="31" t="n">
        <v>68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75.81</v>
      </c>
      <c r="P58" s="32" t="n">
        <v>36.35</v>
      </c>
      <c r="Q58" s="32" t="n">
        <v>197.93</v>
      </c>
      <c r="R58" s="31" t="inlineStr">
        <is>
          <t>Volume Spike &amp; Near 52W High Breakout</t>
        </is>
      </c>
      <c r="S58" s="31" t="inlineStr">
        <is>
          <t>Nifty IT</t>
        </is>
      </c>
      <c r="T58" s="32" t="n">
        <v>-23.18</v>
      </c>
      <c r="U58" s="32" t="n">
        <v>26.33</v>
      </c>
      <c r="V58" s="32" t="n">
        <v>64.44</v>
      </c>
      <c r="W58" s="32" t="n">
        <v>14.42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21</t>
        </is>
      </c>
      <c r="CG58" s="31">
        <f>IF(CF58&gt;20,10,IF(CF58&gt;=10,5,2))</f>
        <v/>
      </c>
    </row>
    <row r="59">
      <c r="A59" s="31">
        <f>IF(B59=0,"",RANK(B59,$B$2:$B$85,0))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JNKINDIA</t>
        </is>
      </c>
      <c r="D59" s="31" t="inlineStr">
        <is>
          <t>JNK India Ltd</t>
        </is>
      </c>
      <c r="E59" s="31" t="inlineStr">
        <is>
          <t>realty</t>
        </is>
      </c>
      <c r="F59" s="31" t="inlineStr">
        <is>
          <t>Capital Goods - Engineering Heavy</t>
        </is>
      </c>
      <c r="G59" s="31" t="inlineStr">
        <is>
          <t>smallcap</t>
        </is>
      </c>
      <c r="H59" s="32" t="n">
        <v>3048.37</v>
      </c>
      <c r="I59" s="32" t="n">
        <v>544.8</v>
      </c>
      <c r="J59" s="32" t="n">
        <v>2.85</v>
      </c>
      <c r="K59" s="32" t="n">
        <v>0</v>
      </c>
      <c r="L59" s="31" t="n">
        <v>90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76.93000000000001</v>
      </c>
      <c r="P59" s="32" t="n">
        <v>46.61</v>
      </c>
      <c r="Q59" s="32" t="n">
        <v>390.43</v>
      </c>
      <c r="R59" s="31" t="inlineStr">
        <is>
          <t>Near 52W High Breakout</t>
        </is>
      </c>
      <c r="S59" s="31" t="inlineStr">
        <is>
          <t>Nifty Realty</t>
        </is>
      </c>
      <c r="T59" s="32" t="n">
        <v>-8.48</v>
      </c>
      <c r="U59" s="32" t="n">
        <v>65.93000000000001</v>
      </c>
      <c r="V59" s="32" t="n">
        <v>81.29000000000001</v>
      </c>
      <c r="W59" s="32" t="n">
        <v>32.36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Negative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20</t>
        </is>
      </c>
      <c r="CG59" s="31">
        <f>IF(CF59&gt;20,10,IF(CF59&gt;=10,5,2))</f>
        <v/>
      </c>
    </row>
    <row r="60">
      <c r="A60" s="31">
        <f>IF(B60=0,"",RANK(B60,$B$2:$B$85,0))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OBEROIRLTY</t>
        </is>
      </c>
      <c r="D60" s="31" t="inlineStr">
        <is>
          <t>Oberoi Realty Ltd</t>
        </is>
      </c>
      <c r="E60" s="31" t="inlineStr">
        <is>
          <t>realty</t>
        </is>
      </c>
      <c r="F60" s="31" t="inlineStr">
        <is>
          <t>Realty - Regional</t>
        </is>
      </c>
      <c r="G60" s="31" t="inlineStr">
        <is>
          <t>largecap</t>
        </is>
      </c>
      <c r="H60" s="32" t="n">
        <v>68615.38</v>
      </c>
      <c r="I60" s="32" t="n">
        <v>1887.1</v>
      </c>
      <c r="J60" s="32" t="n">
        <v>-1.53</v>
      </c>
      <c r="K60" s="32" t="n">
        <v>0</v>
      </c>
      <c r="L60" s="31" t="n">
        <v>18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64.59</v>
      </c>
      <c r="P60" s="32" t="n">
        <v>16.31</v>
      </c>
      <c r="Q60" s="32" t="n">
        <v>1615.9</v>
      </c>
      <c r="R60" s="31" t="inlineStr">
        <is>
          <t>Near 52W High Breakout</t>
        </is>
      </c>
      <c r="S60" s="31" t="inlineStr">
        <is>
          <t>Nifty Realty</t>
        </is>
      </c>
      <c r="T60" s="32" t="n">
        <v>-8.48</v>
      </c>
      <c r="U60" s="32" t="n">
        <v>3.38</v>
      </c>
      <c r="V60" s="32" t="n">
        <v>12.95</v>
      </c>
      <c r="W60" s="32" t="n">
        <v>2.93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19</t>
        </is>
      </c>
      <c r="CG60" s="31">
        <f>IF(CF60&gt;20,10,IF(CF60&gt;=10,5,2))</f>
        <v/>
      </c>
    </row>
    <row r="61">
      <c r="A61" s="31">
        <f>IF(B61=0,"",RANK(B61,$B$2:$B$85,0))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UNIABEXAL</t>
        </is>
      </c>
      <c r="D61" s="31" t="inlineStr">
        <is>
          <t>Uni Abex Alloy Products Ltd</t>
        </is>
      </c>
      <c r="E61" s="31" t="inlineStr">
        <is>
          <t>Basic Materials</t>
        </is>
      </c>
      <c r="F61" s="31" t="inlineStr">
        <is>
          <t>Castings, Forgings &amp; Fastners</t>
        </is>
      </c>
      <c r="G61" s="31" t="inlineStr">
        <is>
          <t>smallcap</t>
        </is>
      </c>
      <c r="H61" s="32" t="n">
        <v>1080.33</v>
      </c>
      <c r="I61" s="32" t="n">
        <v>5470</v>
      </c>
      <c r="J61" s="32" t="n">
        <v>-0.97</v>
      </c>
      <c r="K61" s="32" t="n">
        <v>0</v>
      </c>
      <c r="L61" s="31" t="n">
        <v>87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75.42</v>
      </c>
      <c r="P61" s="32" t="n">
        <v>48.86</v>
      </c>
      <c r="Q61" s="32" t="n">
        <v>4186.01</v>
      </c>
      <c r="R61" s="31" t="inlineStr">
        <is>
          <t>Near 52W High Breakout</t>
        </is>
      </c>
      <c r="S61" s="31" t="inlineStr">
        <is>
          <t>Nifty Metal</t>
        </is>
      </c>
      <c r="T61" s="32" t="n">
        <v>32.55</v>
      </c>
      <c r="U61" s="32" t="n">
        <v>58.51</v>
      </c>
      <c r="V61" s="32" t="n">
        <v>19.59</v>
      </c>
      <c r="W61" s="32" t="n">
        <v>25.24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IF(B62=0,"",RANK(B62,$B$2:$B$85,0))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IKIO</t>
        </is>
      </c>
      <c r="D62" s="34" t="inlineStr">
        <is>
          <t>IKIO Technologies Ltd</t>
        </is>
      </c>
      <c r="E62" s="31" t="inlineStr">
        <is>
          <t>consumer discretionary</t>
        </is>
      </c>
      <c r="F62" s="31" t="inlineStr">
        <is>
          <t>Capital Goods - Electric General</t>
        </is>
      </c>
      <c r="G62" s="31" t="inlineStr">
        <is>
          <t>smallcap</t>
        </is>
      </c>
      <c r="H62" s="32" t="n">
        <v>1653.65</v>
      </c>
      <c r="I62" s="32" t="n">
        <v>213.98</v>
      </c>
      <c r="J62" s="32" t="n">
        <v>-0.03</v>
      </c>
      <c r="K62" s="32" t="n">
        <v>0</v>
      </c>
      <c r="L62" s="31" t="n">
        <v>63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68.56</v>
      </c>
      <c r="P62" s="32" t="n">
        <v>21.24</v>
      </c>
      <c r="Q62" s="32" t="n">
        <v>153.21</v>
      </c>
      <c r="R62" s="31" t="inlineStr">
        <is>
          <t>Earnings / Momentum Support</t>
        </is>
      </c>
      <c r="S62" s="31" t="inlineStr">
        <is>
          <t>Nifty 50</t>
        </is>
      </c>
      <c r="T62" s="32" t="n">
        <v>-3.56</v>
      </c>
      <c r="U62" s="32" t="n">
        <v>2.9</v>
      </c>
      <c r="V62" s="32" t="n">
        <v>6.7</v>
      </c>
      <c r="W62" s="32" t="n">
        <v>12.88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Less than 50%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17</t>
        </is>
      </c>
      <c r="CG62" s="31">
        <f>IF(CF62&gt;20,10,IF(CF62&gt;=10,5,2))</f>
        <v/>
      </c>
    </row>
    <row r="63">
      <c r="A63" s="31">
        <f>IF(B63=0,"",RANK(B63,$B$2:$B$85,0))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IKS</t>
        </is>
      </c>
      <c r="D63" s="31" t="inlineStr">
        <is>
          <t>Inventurus Knowledge Solutions Ltd</t>
        </is>
      </c>
      <c r="E63" s="31" t="inlineStr">
        <is>
          <t>i.t</t>
        </is>
      </c>
      <c r="F63" s="31" t="inlineStr">
        <is>
          <t>IT Enabled Services/Business Process Outsourcing</t>
        </is>
      </c>
      <c r="G63" s="31" t="inlineStr">
        <is>
          <t>largecap</t>
        </is>
      </c>
      <c r="H63" s="32" t="n">
        <v>32101.01</v>
      </c>
      <c r="I63" s="32" t="n">
        <v>1870</v>
      </c>
      <c r="J63" s="32" t="n">
        <v>-0.5</v>
      </c>
      <c r="K63" s="32" t="n">
        <v>0</v>
      </c>
      <c r="L63" s="31" t="n">
        <v>49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64.54000000000001</v>
      </c>
      <c r="P63" s="32" t="n">
        <v>11.43</v>
      </c>
      <c r="Q63" s="32" t="n">
        <v>1556.95</v>
      </c>
      <c r="R63" s="31" t="inlineStr">
        <is>
          <t>Near 52W High Breakout</t>
        </is>
      </c>
      <c r="S63" s="31" t="inlineStr">
        <is>
          <t>Nifty IT</t>
        </is>
      </c>
      <c r="T63" s="32" t="n">
        <v>-23.18</v>
      </c>
      <c r="U63" s="32" t="n">
        <v>18.13</v>
      </c>
      <c r="V63" s="32" t="n">
        <v>53.78</v>
      </c>
      <c r="W63" s="32" t="n">
        <v>9.24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0 to 20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17</t>
        </is>
      </c>
      <c r="CG63" s="31">
        <f>IF(CF63&gt;20,10,IF(CF63&gt;=10,5,2))</f>
        <v/>
      </c>
    </row>
    <row r="64">
      <c r="A64" s="31">
        <f>IF(B64=0,"",RANK(B64,$B$2:$B$85,0))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LLOYDSENT</t>
        </is>
      </c>
      <c r="D64" s="34" t="inlineStr">
        <is>
          <t>Lloyds Enterprises Ltd</t>
        </is>
      </c>
      <c r="E64" s="31" t="inlineStr">
        <is>
          <t>services</t>
        </is>
      </c>
      <c r="F64" s="31" t="inlineStr">
        <is>
          <t>Trading</t>
        </is>
      </c>
      <c r="G64" s="31" t="inlineStr">
        <is>
          <t>midcap</t>
        </is>
      </c>
      <c r="H64" s="32" t="n">
        <v>12136.47</v>
      </c>
      <c r="I64" s="32" t="n">
        <v>79.63</v>
      </c>
      <c r="J64" s="32" t="n">
        <v>2.42</v>
      </c>
      <c r="K64" s="32" t="n">
        <v>0</v>
      </c>
      <c r="L64" s="31" t="n">
        <v>35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63.88</v>
      </c>
      <c r="P64" s="32" t="n">
        <v>31.69</v>
      </c>
      <c r="Q64" s="32" t="n">
        <v>59.14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-3.56</v>
      </c>
      <c r="U64" s="32" t="n">
        <v>-0.89</v>
      </c>
      <c r="V64" s="32" t="n">
        <v>2.78</v>
      </c>
      <c r="W64" s="32" t="n">
        <v>6.09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17</t>
        </is>
      </c>
      <c r="CG64" s="31">
        <f>IF(CF64&gt;20,10,IF(CF64&gt;=10,5,2))</f>
        <v/>
      </c>
    </row>
    <row r="65">
      <c r="A65" s="31">
        <f>IF(B65=0,"",RANK(B65,$B$2:$B$85,0))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DIACABS</t>
        </is>
      </c>
      <c r="D65" s="31" t="inlineStr">
        <is>
          <t>Diamond Power Infrastructure Ltd</t>
        </is>
      </c>
      <c r="E65" s="31" t="inlineStr">
        <is>
          <t>industrials</t>
        </is>
      </c>
      <c r="F65" s="31" t="inlineStr">
        <is>
          <t>Cables - Power</t>
        </is>
      </c>
      <c r="G65" s="31" t="inlineStr">
        <is>
          <t>midcap</t>
        </is>
      </c>
      <c r="H65" s="32" t="n">
        <v>11877.4</v>
      </c>
      <c r="I65" s="32" t="n">
        <v>225.39</v>
      </c>
      <c r="J65" s="32" t="n">
        <v>0.19</v>
      </c>
      <c r="K65" s="32" t="n">
        <v>0</v>
      </c>
      <c r="L65" s="31" t="n">
        <v>78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75</v>
      </c>
      <c r="P65" s="32" t="n">
        <v>49.92</v>
      </c>
      <c r="Q65" s="32" t="n">
        <v>171.49</v>
      </c>
      <c r="R65" s="31" t="inlineStr">
        <is>
          <t>Near 52W High Breakout</t>
        </is>
      </c>
      <c r="S65" s="31" t="inlineStr">
        <is>
          <t>Nifty Energy</t>
        </is>
      </c>
      <c r="T65" s="32" t="n">
        <v>8.69</v>
      </c>
      <c r="U65" s="32" t="n">
        <v>34.13</v>
      </c>
      <c r="V65" s="32" t="n">
        <v>23.4</v>
      </c>
      <c r="W65" s="32" t="n">
        <v>18.69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16</t>
        </is>
      </c>
      <c r="CG65" s="31">
        <f>IF(CF65&gt;20,10,IF(CF65&gt;=10,5,2))</f>
        <v/>
      </c>
    </row>
    <row r="66">
      <c r="A66" s="31">
        <f>IF(B66=0,"",RANK(B66,$B$2:$B$85,0))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BLSE</t>
        </is>
      </c>
      <c r="D66" s="31" t="inlineStr">
        <is>
          <t>BLS E-Services Ltd</t>
        </is>
      </c>
      <c r="E66" s="31" t="inlineStr">
        <is>
          <t>i.t</t>
        </is>
      </c>
      <c r="F66" s="31" t="inlineStr">
        <is>
          <t>IT - Software</t>
        </is>
      </c>
      <c r="G66" s="31" t="inlineStr">
        <is>
          <t>smallcap</t>
        </is>
      </c>
      <c r="H66" s="32" t="n">
        <v>2472.66</v>
      </c>
      <c r="I66" s="32" t="n">
        <v>272.15</v>
      </c>
      <c r="J66" s="32" t="n">
        <v>0.32</v>
      </c>
      <c r="K66" s="32" t="n">
        <v>0</v>
      </c>
      <c r="L66" s="31" t="n">
        <v>83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77.25</v>
      </c>
      <c r="P66" s="32" t="n">
        <v>29.93</v>
      </c>
      <c r="Q66" s="32" t="n">
        <v>214.22</v>
      </c>
      <c r="R66" s="31" t="inlineStr">
        <is>
          <t>Near 52W High Breakout</t>
        </is>
      </c>
      <c r="S66" s="31" t="inlineStr">
        <is>
          <t>Nifty IT</t>
        </is>
      </c>
      <c r="T66" s="32" t="n">
        <v>-23.18</v>
      </c>
      <c r="U66" s="32" t="n">
        <v>49.07</v>
      </c>
      <c r="V66" s="32" t="n">
        <v>94.06</v>
      </c>
      <c r="W66" s="32" t="n">
        <v>21.65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IF(B67=0,"",RANK(B67,$B$2:$B$85,0))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SSWL</t>
        </is>
      </c>
      <c r="D67" s="34" t="inlineStr">
        <is>
          <t>Steel Strips Wheels Ltd</t>
        </is>
      </c>
      <c r="E67" s="31" t="inlineStr">
        <is>
          <t>auto</t>
        </is>
      </c>
      <c r="F67" s="31" t="inlineStr">
        <is>
          <t>Auto Ancillaries - Wheels</t>
        </is>
      </c>
      <c r="G67" s="31" t="inlineStr">
        <is>
          <t>smallcap</t>
        </is>
      </c>
      <c r="H67" s="32" t="n">
        <v>4163.4</v>
      </c>
      <c r="I67" s="32" t="n">
        <v>264.88</v>
      </c>
      <c r="J67" s="32" t="n">
        <v>5.77</v>
      </c>
      <c r="K67" s="32" t="n">
        <v>0</v>
      </c>
      <c r="L67" s="31" t="n">
        <v>30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67.05</v>
      </c>
      <c r="P67" s="32" t="n">
        <v>13.81</v>
      </c>
      <c r="Q67" s="32" t="n">
        <v>200.39</v>
      </c>
      <c r="R67" s="31" t="inlineStr">
        <is>
          <t>Volume Spike &amp; Near 52W High Breakout</t>
        </is>
      </c>
      <c r="S67" s="31" t="inlineStr">
        <is>
          <t>Nifty Auto</t>
        </is>
      </c>
      <c r="T67" s="32" t="n">
        <v>11.51</v>
      </c>
      <c r="U67" s="32" t="n">
        <v>3.08</v>
      </c>
      <c r="V67" s="32" t="n">
        <v>-7.56</v>
      </c>
      <c r="W67" s="32" t="n">
        <v>5.15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24</t>
        </is>
      </c>
      <c r="CG67" s="31">
        <f>IF(CF67&gt;20,10,IF(CF67&gt;=10,5,2))</f>
        <v/>
      </c>
    </row>
    <row r="68">
      <c r="A68" s="31">
        <f>IF(B68=0,"",RANK(B68,$B$2:$B$85,0))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TBZ</t>
        </is>
      </c>
      <c r="D68" s="31" t="inlineStr">
        <is>
          <t>Tribhovandas Bhimji Zaveri Ltd</t>
        </is>
      </c>
      <c r="E68" s="31" t="inlineStr">
        <is>
          <t>consumer discretionary</t>
        </is>
      </c>
      <c r="F68" s="31" t="inlineStr">
        <is>
          <t>Diamond, Gems &amp; Jewellery</t>
        </is>
      </c>
      <c r="G68" s="31" t="inlineStr">
        <is>
          <t>smallcap</t>
        </is>
      </c>
      <c r="H68" s="32" t="n">
        <v>1729.79</v>
      </c>
      <c r="I68" s="32" t="n">
        <v>259.22</v>
      </c>
      <c r="J68" s="32" t="n">
        <v>-0.29</v>
      </c>
      <c r="K68" s="32" t="n">
        <v>0</v>
      </c>
      <c r="L68" s="31" t="n">
        <v>86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78.66</v>
      </c>
      <c r="P68" s="32" t="n">
        <v>24.04</v>
      </c>
      <c r="Q68" s="32" t="n">
        <v>196.65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-3.56</v>
      </c>
      <c r="U68" s="32" t="n">
        <v>31.91</v>
      </c>
      <c r="V68" s="32" t="n">
        <v>36.78</v>
      </c>
      <c r="W68" s="32" t="n">
        <v>24.58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 and Borrowings are increasing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IF(B69=0,"",RANK(B69,$B$2:$B$85,0))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AFCOM</t>
        </is>
      </c>
      <c r="D69" s="31" t="inlineStr">
        <is>
          <t>Afcom Holdings Ltd</t>
        </is>
      </c>
      <c r="E69" s="31" t="inlineStr">
        <is>
          <t>Industrials</t>
        </is>
      </c>
      <c r="F69" s="31" t="inlineStr">
        <is>
          <t>Air Transport Service</t>
        </is>
      </c>
      <c r="G69" s="31" t="inlineStr">
        <is>
          <t>smallcap</t>
        </is>
      </c>
      <c r="H69" s="32" t="n">
        <v>4032.16</v>
      </c>
      <c r="I69" s="32" t="n">
        <v>1405</v>
      </c>
      <c r="J69" s="32" t="n">
        <v>-0.58</v>
      </c>
      <c r="K69" s="32" t="n">
        <v>0</v>
      </c>
      <c r="L69" s="31" t="n">
        <v>88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71.39</v>
      </c>
      <c r="P69" s="32" t="n">
        <v>29.34</v>
      </c>
      <c r="Q69" s="32" t="n">
        <v>1107.76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-3.56</v>
      </c>
      <c r="U69" s="32" t="n">
        <v>57.55</v>
      </c>
      <c r="V69" s="32" t="n">
        <v>63.38</v>
      </c>
      <c r="W69" s="32" t="n">
        <v>27.26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17</t>
        </is>
      </c>
      <c r="CG69" s="31">
        <f>IF(CF69&gt;20,10,IF(CF69&gt;=10,5,2))</f>
        <v/>
      </c>
    </row>
    <row r="70">
      <c r="A70" s="31">
        <f>IF(B70=0,"",RANK(B70,$B$2:$B$85,0))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RML</t>
        </is>
      </c>
      <c r="D70" s="31" t="inlineStr">
        <is>
          <t>Rane (Madras) Ltd</t>
        </is>
      </c>
      <c r="E70" s="31" t="inlineStr">
        <is>
          <t>auto</t>
        </is>
      </c>
      <c r="F70" s="31" t="inlineStr">
        <is>
          <t>Auto Ancillaries - Gears</t>
        </is>
      </c>
      <c r="G70" s="31" t="inlineStr">
        <is>
          <t>smallcap</t>
        </is>
      </c>
      <c r="H70" s="32" t="n">
        <v>3443.59</v>
      </c>
      <c r="I70" s="32" t="n">
        <v>1246</v>
      </c>
      <c r="J70" s="32" t="n">
        <v>0.57</v>
      </c>
      <c r="K70" s="32" t="n">
        <v>0</v>
      </c>
      <c r="L70" s="31" t="n">
        <v>84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70.88</v>
      </c>
      <c r="P70" s="32" t="n">
        <v>35.96</v>
      </c>
      <c r="Q70" s="32" t="n">
        <v>1015.73</v>
      </c>
      <c r="R70" s="31" t="inlineStr">
        <is>
          <t>Near 52W High Breakout</t>
        </is>
      </c>
      <c r="S70" s="31" t="inlineStr">
        <is>
          <t>Nifty Auto</t>
        </is>
      </c>
      <c r="T70" s="32" t="n">
        <v>11.51</v>
      </c>
      <c r="U70" s="32" t="n">
        <v>42.34</v>
      </c>
      <c r="V70" s="32" t="n">
        <v>27.65</v>
      </c>
      <c r="W70" s="32" t="n">
        <v>22.55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16</t>
        </is>
      </c>
      <c r="CG70" s="31">
        <f>IF(CF70&gt;20,10,IF(CF70&gt;=10,5,2))</f>
        <v/>
      </c>
    </row>
    <row r="71">
      <c r="A71" s="31">
        <f>IF(B71=0,"",RANK(B71,$B$2:$B$85,0))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GANDHAR</t>
        </is>
      </c>
      <c r="D71" s="34" t="inlineStr">
        <is>
          <t>Gandhar Oil Refinery (India) Ltd</t>
        </is>
      </c>
      <c r="E71" s="31" t="inlineStr">
        <is>
          <t>energy</t>
        </is>
      </c>
      <c r="F71" s="31" t="inlineStr">
        <is>
          <t>Refineries</t>
        </is>
      </c>
      <c r="G71" s="31" t="inlineStr">
        <is>
          <t>smallcap</t>
        </is>
      </c>
      <c r="H71" s="32" t="n">
        <v>2034.43</v>
      </c>
      <c r="I71" s="32" t="n">
        <v>207.85</v>
      </c>
      <c r="J71" s="32" t="n">
        <v>2.25</v>
      </c>
      <c r="K71" s="32" t="n">
        <v>0</v>
      </c>
      <c r="L71" s="31" t="n">
        <v>67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72.52</v>
      </c>
      <c r="P71" s="32" t="n">
        <v>42.98</v>
      </c>
      <c r="Q71" s="32" t="n">
        <v>160.31</v>
      </c>
      <c r="R71" s="31" t="inlineStr">
        <is>
          <t>Near 52W High Breakout</t>
        </is>
      </c>
      <c r="S71" s="31" t="inlineStr">
        <is>
          <t>Nifty Energy</t>
        </is>
      </c>
      <c r="T71" s="32" t="n">
        <v>8.69</v>
      </c>
      <c r="U71" s="32" t="n">
        <v>23.44</v>
      </c>
      <c r="V71" s="32" t="n">
        <v>13.57</v>
      </c>
      <c r="W71" s="32" t="n">
        <v>14.1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Oligopoly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15</t>
        </is>
      </c>
      <c r="CG71" s="31">
        <f>IF(CF71&gt;20,10,IF(CF71&gt;=10,5,2))</f>
        <v/>
      </c>
    </row>
    <row r="72">
      <c r="A72" s="31">
        <f>IF(B72=0,"",RANK(B72,$B$2:$B$85,0))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3" t="inlineStr">
        <is>
          <t>SHYAMMETL</t>
        </is>
      </c>
      <c r="D72" s="33" t="inlineStr">
        <is>
          <t>Shyam Metalics &amp; Energy Ltd</t>
        </is>
      </c>
      <c r="E72" s="31" t="inlineStr">
        <is>
          <t>metals &amp; mining</t>
        </is>
      </c>
      <c r="F72" s="31" t="inlineStr">
        <is>
          <t>Steel Products</t>
        </is>
      </c>
      <c r="G72" s="31" t="inlineStr">
        <is>
          <t>largecap</t>
        </is>
      </c>
      <c r="H72" s="32" t="n">
        <v>28876.19</v>
      </c>
      <c r="I72" s="32" t="n">
        <v>1034.5</v>
      </c>
      <c r="J72" s="32" t="n">
        <v>-0.14</v>
      </c>
      <c r="K72" s="32" t="n">
        <v>0</v>
      </c>
      <c r="L72" s="31" t="n">
        <v>40</v>
      </c>
      <c r="M72" s="31" t="inlineStr">
        <is>
          <t>Underperforming</t>
        </is>
      </c>
      <c r="N72" s="32">
        <f>IF(M72="Underperforming",-5,IF(L72&gt;=95,15,IF(L72&gt;=90,10,IF(L72&gt;=80,5,0))))</f>
        <v/>
      </c>
      <c r="O72" s="32" t="n">
        <v>66.20999999999999</v>
      </c>
      <c r="P72" s="32" t="n">
        <v>15.94</v>
      </c>
      <c r="Q72" s="32" t="n">
        <v>848.29</v>
      </c>
      <c r="R72" s="31" t="inlineStr">
        <is>
          <t>Near 52W High Breakout</t>
        </is>
      </c>
      <c r="S72" s="31" t="inlineStr">
        <is>
          <t>Nifty Metal</t>
        </is>
      </c>
      <c r="T72" s="32" t="n">
        <v>32.55</v>
      </c>
      <c r="U72" s="32" t="n">
        <v>13.96</v>
      </c>
      <c r="V72" s="32" t="n">
        <v>-14.02</v>
      </c>
      <c r="W72" s="32" t="n">
        <v>7.06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17</t>
        </is>
      </c>
      <c r="CG72" s="31">
        <f>IF(CF72&gt;20,10,IF(CF72&gt;=10,5,2))</f>
        <v/>
      </c>
    </row>
    <row r="73">
      <c r="A73" s="31">
        <f>IF(B73=0,"",RANK(B73,$B$2:$B$85,0))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RPGLIFE</t>
        </is>
      </c>
      <c r="D73" s="34" t="inlineStr">
        <is>
          <t>RPG Life Sciences Ltd</t>
        </is>
      </c>
      <c r="E73" s="31" t="inlineStr">
        <is>
          <t>healthcare</t>
        </is>
      </c>
      <c r="F73" s="31" t="inlineStr">
        <is>
          <t>Pharma - Formulators</t>
        </is>
      </c>
      <c r="G73" s="31" t="inlineStr">
        <is>
          <t>smallcap</t>
        </is>
      </c>
      <c r="H73" s="32" t="n">
        <v>4904.15</v>
      </c>
      <c r="I73" s="32" t="n">
        <v>2965.2</v>
      </c>
      <c r="J73" s="32" t="n">
        <v>8.210000000000001</v>
      </c>
      <c r="K73" s="32" t="n">
        <v>0</v>
      </c>
      <c r="L73" s="31" t="n">
        <v>71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77.19</v>
      </c>
      <c r="P73" s="32" t="n">
        <v>24.01</v>
      </c>
      <c r="Q73" s="32" t="n">
        <v>2386.53</v>
      </c>
      <c r="R73" s="31" t="inlineStr">
        <is>
          <t>Volume Spike &amp; Near 52W High Breakout</t>
        </is>
      </c>
      <c r="S73" s="31" t="inlineStr">
        <is>
          <t>Nifty Pharma</t>
        </is>
      </c>
      <c r="T73" s="32" t="n">
        <v>15.1</v>
      </c>
      <c r="U73" s="32" t="n">
        <v>19.94</v>
      </c>
      <c r="V73" s="32" t="n">
        <v>4.21</v>
      </c>
      <c r="W73" s="32" t="n">
        <v>15.4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Less than 12%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Less than 50%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16</t>
        </is>
      </c>
      <c r="CG73" s="31">
        <f>IF(CF73&gt;20,10,IF(CF73&gt;=10,5,2))</f>
        <v/>
      </c>
    </row>
    <row r="74">
      <c r="A74" s="31">
        <f>IF(B74=0,"",RANK(B74,$B$2:$B$85,0))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AZAD</t>
        </is>
      </c>
      <c r="D74" s="31" t="inlineStr">
        <is>
          <t>Azad Engineering Ltd</t>
        </is>
      </c>
      <c r="E74" s="31" t="inlineStr">
        <is>
          <t>aerospace &amp; defence</t>
        </is>
      </c>
      <c r="F74" s="31" t="inlineStr">
        <is>
          <t>Aerospace &amp; Defence - Equipments</t>
        </is>
      </c>
      <c r="G74" s="31" t="inlineStr">
        <is>
          <t>midcap</t>
        </is>
      </c>
      <c r="H74" s="32" t="n">
        <v>15254.21</v>
      </c>
      <c r="I74" s="32" t="n">
        <v>2362</v>
      </c>
      <c r="J74" s="32" t="n">
        <v>-1.28</v>
      </c>
      <c r="K74" s="32" t="n">
        <v>0</v>
      </c>
      <c r="L74" s="31" t="n">
        <v>64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63.45</v>
      </c>
      <c r="P74" s="32" t="n">
        <v>29.42</v>
      </c>
      <c r="Q74" s="32" t="n">
        <v>1879.22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-3.56</v>
      </c>
      <c r="U74" s="32" t="n">
        <v>43.87</v>
      </c>
      <c r="V74" s="32" t="n">
        <v>49.18</v>
      </c>
      <c r="W74" s="32" t="n">
        <v>12.98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Negative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IF(B75=0,"",RANK(B75,$B$2:$B$85,0))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KALYANKJIL</t>
        </is>
      </c>
      <c r="D75" s="34" t="inlineStr">
        <is>
          <t>Kalyan Jewellers India Ltd</t>
        </is>
      </c>
      <c r="E75" s="31" t="inlineStr">
        <is>
          <t>consumer discretionary</t>
        </is>
      </c>
      <c r="F75" s="31" t="inlineStr">
        <is>
          <t>Diamond, Gems &amp; Jewellery</t>
        </is>
      </c>
      <c r="G75" s="31" t="inlineStr">
        <is>
          <t>largecap</t>
        </is>
      </c>
      <c r="H75" s="32" t="n">
        <v>56243.03</v>
      </c>
      <c r="I75" s="32" t="n">
        <v>544.6</v>
      </c>
      <c r="J75" s="32" t="n">
        <v>2.8</v>
      </c>
      <c r="K75" s="32" t="n">
        <v>0</v>
      </c>
      <c r="L75" s="31" t="n">
        <v>31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68.05</v>
      </c>
      <c r="P75" s="32" t="n">
        <v>19.32</v>
      </c>
      <c r="Q75" s="32" t="n">
        <v>415.25</v>
      </c>
      <c r="R75" s="31" t="inlineStr">
        <is>
          <t>Volume Spike / Accumulation</t>
        </is>
      </c>
      <c r="S75" s="31" t="inlineStr">
        <is>
          <t>Nifty 500</t>
        </is>
      </c>
      <c r="T75" s="32" t="n">
        <v>-0.05</v>
      </c>
      <c r="U75" s="32" t="n">
        <v>-6.85</v>
      </c>
      <c r="V75" s="32" t="n">
        <v>-6.81</v>
      </c>
      <c r="W75" s="32" t="n">
        <v>5.36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IF(B76=0,"",RANK(B76,$B$2:$B$85,0))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CNL</t>
        </is>
      </c>
      <c r="D76" s="31" t="inlineStr">
        <is>
          <t>Creative Newtech Ltd</t>
        </is>
      </c>
      <c r="E76" s="31" t="inlineStr">
        <is>
          <t>Technology</t>
        </is>
      </c>
      <c r="F76" s="31" t="inlineStr">
        <is>
          <t>E-Commerce - Platform - Utility</t>
        </is>
      </c>
      <c r="G76" s="31" t="inlineStr">
        <is>
          <t>smallcap</t>
        </is>
      </c>
      <c r="H76" s="32" t="n">
        <v>1356.98</v>
      </c>
      <c r="I76" s="32" t="n">
        <v>903.65</v>
      </c>
      <c r="J76" s="32" t="n">
        <v>0.9</v>
      </c>
      <c r="K76" s="32" t="n">
        <v>0</v>
      </c>
      <c r="L76" s="31" t="n">
        <v>78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77.09</v>
      </c>
      <c r="P76" s="32" t="n">
        <v>29.97</v>
      </c>
      <c r="Q76" s="32" t="n">
        <v>683.65</v>
      </c>
      <c r="R76" s="31" t="inlineStr">
        <is>
          <t>Volume Spike &amp; Near 52W High Breakout</t>
        </is>
      </c>
      <c r="S76" s="31" t="inlineStr">
        <is>
          <t>Nifty 50</t>
        </is>
      </c>
      <c r="T76" s="32" t="n">
        <v>-3.56</v>
      </c>
      <c r="U76" s="32" t="n">
        <v>36.21</v>
      </c>
      <c r="V76" s="32" t="n">
        <v>41.24</v>
      </c>
      <c r="W76" s="32" t="n">
        <v>18.36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Negative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23</t>
        </is>
      </c>
      <c r="CG76" s="31">
        <f>IF(CF76&gt;20,10,IF(CF76&gt;=10,5,2))</f>
        <v/>
      </c>
    </row>
    <row r="77">
      <c r="A77" s="31">
        <f>IF(B77=0,"",RANK(B77,$B$2:$B$85,0))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KAPSTON</t>
        </is>
      </c>
      <c r="D77" s="31" t="inlineStr">
        <is>
          <t>Kapston Services Ltd</t>
        </is>
      </c>
      <c r="E77" s="31" t="inlineStr">
        <is>
          <t>miscellaneous</t>
        </is>
      </c>
      <c r="F77" s="31" t="inlineStr">
        <is>
          <t>Services - Others</t>
        </is>
      </c>
      <c r="G77" s="31" t="inlineStr">
        <is>
          <t>smallcap</t>
        </is>
      </c>
      <c r="H77" s="32" t="n">
        <v>1274.96</v>
      </c>
      <c r="I77" s="32" t="n">
        <v>418.95</v>
      </c>
      <c r="J77" s="32" t="n">
        <v>1.16</v>
      </c>
      <c r="K77" s="32" t="n">
        <v>0</v>
      </c>
      <c r="L77" s="31" t="n">
        <v>79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68.59999999999999</v>
      </c>
      <c r="P77" s="32" t="n">
        <v>18.96</v>
      </c>
      <c r="Q77" s="32" t="n">
        <v>304.65</v>
      </c>
      <c r="R77" s="31" t="inlineStr">
        <is>
          <t>Near 52W High Breakout</t>
        </is>
      </c>
      <c r="S77" s="31" t="inlineStr">
        <is>
          <t>Nifty 50</t>
        </is>
      </c>
      <c r="T77" s="32" t="n">
        <v>-3.56</v>
      </c>
      <c r="U77" s="32" t="n">
        <v>67.79000000000001</v>
      </c>
      <c r="V77" s="32" t="n">
        <v>73.98999999999999</v>
      </c>
      <c r="W77" s="32" t="n">
        <v>18.92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Less than 50% and Borrowings are increasing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IF(B78=0,"",RANK(B78,$B$2:$B$85,0))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LLOYDSME</t>
        </is>
      </c>
      <c r="D78" s="34" t="inlineStr">
        <is>
          <t>Lloyds Metals &amp; Energy Ltd</t>
        </is>
      </c>
      <c r="E78" s="31" t="inlineStr">
        <is>
          <t>metals &amp; mining</t>
        </is>
      </c>
      <c r="F78" s="31" t="inlineStr">
        <is>
          <t>Mining/Minerals - Iron Ore</t>
        </is>
      </c>
      <c r="G78" s="31" t="inlineStr">
        <is>
          <t>largecap</t>
        </is>
      </c>
      <c r="H78" s="32" t="n">
        <v>104982.15</v>
      </c>
      <c r="I78" s="32" t="n">
        <v>1865</v>
      </c>
      <c r="J78" s="32" t="n">
        <v>2.16</v>
      </c>
      <c r="K78" s="32" t="n">
        <v>0</v>
      </c>
      <c r="L78" s="31" t="n">
        <v>48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71.64</v>
      </c>
      <c r="P78" s="32" t="n">
        <v>44.8</v>
      </c>
      <c r="Q78" s="32" t="n">
        <v>1524.09</v>
      </c>
      <c r="R78" s="31" t="inlineStr">
        <is>
          <t>Near 52W High Breakout</t>
        </is>
      </c>
      <c r="S78" s="31" t="inlineStr">
        <is>
          <t>Nifty Metal</t>
        </is>
      </c>
      <c r="T78" s="32" t="n">
        <v>32.55</v>
      </c>
      <c r="U78" s="32" t="n">
        <v>26.8</v>
      </c>
      <c r="V78" s="32" t="n">
        <v>-4.34</v>
      </c>
      <c r="W78" s="32" t="n">
        <v>8.970000000000001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Less than 50% and Borrowings are increasing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18</t>
        </is>
      </c>
      <c r="CG78" s="31">
        <f>IF(CF78&gt;20,10,IF(CF78&gt;=10,5,2))</f>
        <v/>
      </c>
    </row>
    <row r="79">
      <c r="A79" s="31">
        <f>IF(B79=0,"",RANK(B79,$B$2:$B$85,0))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SILVERTUC</t>
        </is>
      </c>
      <c r="D79" s="34" t="inlineStr">
        <is>
          <t>Silver Touch Technologies Ltd</t>
        </is>
      </c>
      <c r="E79" s="31" t="inlineStr">
        <is>
          <t>i.t</t>
        </is>
      </c>
      <c r="F79" s="31" t="inlineStr">
        <is>
          <t>IT - Software</t>
        </is>
      </c>
      <c r="G79" s="31" t="inlineStr">
        <is>
          <t>smallcap</t>
        </is>
      </c>
      <c r="H79" s="32" t="n">
        <v>2531.13</v>
      </c>
      <c r="I79" s="32" t="n">
        <v>199.6</v>
      </c>
      <c r="J79" s="32" t="n">
        <v>2.29</v>
      </c>
      <c r="K79" s="32" t="n">
        <v>0</v>
      </c>
      <c r="L79" s="31" t="n">
        <v>18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43.32</v>
      </c>
      <c r="P79" s="32" t="n">
        <v>28.25</v>
      </c>
      <c r="Q79" s="32" t="n">
        <v>94.09</v>
      </c>
      <c r="R79" s="31" t="inlineStr">
        <is>
          <t>Earnings / Momentum Support</t>
        </is>
      </c>
      <c r="S79" s="31" t="inlineStr">
        <is>
          <t>Nifty IT</t>
        </is>
      </c>
      <c r="T79" s="32" t="n">
        <v>-23.18</v>
      </c>
      <c r="U79" s="32" t="n">
        <v>-72.14</v>
      </c>
      <c r="V79" s="32" t="n">
        <v>-63.74</v>
      </c>
      <c r="W79" s="32" t="n">
        <v>3.03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Below 45</t>
        </is>
      </c>
      <c r="BA79" s="31">
        <f>IF(AZ79="Between 50 to 75",10,IF(AZ79="Above 75",0,0))</f>
        <v/>
      </c>
      <c r="BB79" s="31" t="inlineStr">
        <is>
          <t>Stage 4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16</t>
        </is>
      </c>
      <c r="CG79" s="31">
        <f>IF(CF79&gt;20,10,IF(CF79&gt;=10,5,2))</f>
        <v/>
      </c>
    </row>
    <row r="80">
      <c r="A80" s="31">
        <f>IF(B80=0,"",RANK(B80,$B$2:$B$85,0))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SUDARSHAN</t>
        </is>
      </c>
      <c r="D80" s="31" t="inlineStr">
        <is>
          <t>Sudarshan Pharma Industries Ltd</t>
        </is>
      </c>
      <c r="E80" s="31" t="inlineStr">
        <is>
          <t>Basic Materials</t>
        </is>
      </c>
      <c r="F80" s="31" t="inlineStr">
        <is>
          <t>Trading</t>
        </is>
      </c>
      <c r="G80" s="31" t="inlineStr">
        <is>
          <t>smallcap</t>
        </is>
      </c>
      <c r="H80" s="32" t="n">
        <v>1010.77</v>
      </c>
      <c r="I80" s="32" t="n">
        <v>42</v>
      </c>
      <c r="J80" s="32" t="n">
        <v>0.1</v>
      </c>
      <c r="K80" s="32" t="n">
        <v>0</v>
      </c>
      <c r="L80" s="31" t="n">
        <v>75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71.84</v>
      </c>
      <c r="P80" s="32" t="n">
        <v>36.22</v>
      </c>
      <c r="Q80" s="32" t="n">
        <v>30.92</v>
      </c>
      <c r="R80" s="31" t="inlineStr">
        <is>
          <t>Near 52W High Breakout</t>
        </is>
      </c>
      <c r="S80" s="31" t="inlineStr">
        <is>
          <t>Nifty 50</t>
        </is>
      </c>
      <c r="T80" s="32" t="n">
        <v>-3.56</v>
      </c>
      <c r="U80" s="32" t="n">
        <v>43.37</v>
      </c>
      <c r="V80" s="32" t="n">
        <v>48.67</v>
      </c>
      <c r="W80" s="32" t="n">
        <v>17.26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17</t>
        </is>
      </c>
      <c r="CG80" s="31">
        <f>IF(CF80&gt;20,10,IF(CF80&gt;=10,5,2))</f>
        <v/>
      </c>
    </row>
    <row r="81">
      <c r="A81" s="31">
        <f>IF(B81=0,"",RANK(B81,$B$2:$B$85,0))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UTSSAV</t>
        </is>
      </c>
      <c r="D81" s="31" t="inlineStr">
        <is>
          <t>Utssav CZ Gold Jewels Ltd</t>
        </is>
      </c>
      <c r="E81" s="31" t="inlineStr">
        <is>
          <t>unknown</t>
        </is>
      </c>
      <c r="F81" s="31" t="inlineStr">
        <is>
          <t>Diamond, Gems &amp; Jewellery</t>
        </is>
      </c>
      <c r="G81" s="31" t="inlineStr">
        <is>
          <t>smallcap</t>
        </is>
      </c>
      <c r="H81" s="32" t="n">
        <v>1269.58</v>
      </c>
      <c r="I81" s="32" t="n">
        <v>525.75</v>
      </c>
      <c r="J81" s="32" t="n">
        <v>4.99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inlineStr"/>
      <c r="P81" s="32" t="inlineStr"/>
      <c r="Q81" s="32" t="inlineStr"/>
      <c r="R81" s="31" t="inlineStr"/>
      <c r="S81" s="31" t="inlineStr"/>
      <c r="T81" s="32" t="inlineStr"/>
      <c r="U81" s="32" t="inlineStr"/>
      <c r="V81" s="32" t="inlineStr"/>
      <c r="W81" s="32" t="inlineStr"/>
      <c r="X81" s="31" t="n"/>
      <c r="Y81" s="31">
        <f>IF(X81="Growing Industry",10,IF(X81="Cyclical in an Upturn",5,0))</f>
        <v/>
      </c>
      <c r="Z81" s="31" t="n"/>
      <c r="AA81" s="31">
        <f>IF(Z81="Monopoly",10,IF(Z81="Oligopoly",5,IF(Z81="Duopoly that cooperate",10,IF(Z81="Duopoly that compete",5,IF(Z81="Too many players with High ROCE",5,0)))))</f>
        <v/>
      </c>
      <c r="AB81" s="31" t="n"/>
      <c r="AC81" s="31">
        <f>IF(AB81="No",5,0)</f>
        <v/>
      </c>
      <c r="AD81" s="31" t="n"/>
      <c r="AE81" s="31">
        <f>IF(AD81="Tailwind",10,0)</f>
        <v/>
      </c>
      <c r="AF81" s="31" t="n"/>
      <c r="AG81" s="31">
        <f>IF(AF81="Structural (10 Years Consistency)",10,IF(AF81="Shallow Cyclical (2 to 3 years growth)",5,0))</f>
        <v/>
      </c>
      <c r="AH81" s="31" t="n"/>
      <c r="AI81" s="31">
        <f>IF(AH81="Yes due to Product Mix change or Operating Leverage",10,IF(AH81="Yes, these are peak margins",-5,IF(AH81="No",5,0)))</f>
        <v/>
      </c>
      <c r="AJ81" s="31" t="n"/>
      <c r="AK81" s="31">
        <f>IF(AJ81="Stable",10,0)</f>
        <v/>
      </c>
      <c r="AL81" s="31" t="n"/>
      <c r="AM81" s="31">
        <f>IF(AL81="Yes",10,0)</f>
        <v/>
      </c>
      <c r="AN81" s="31" t="n"/>
      <c r="AO81" s="31">
        <f>IF(AN81="B2C",10,IF(AN81="B2B",5,0))</f>
        <v/>
      </c>
      <c r="AP81" s="31" t="n"/>
      <c r="AQ81" s="31">
        <f>IF(AP81="Yes",10,0)</f>
        <v/>
      </c>
      <c r="AR81" s="31" t="n"/>
      <c r="AS81" s="31">
        <f>IF(AR81="Fully Annuity",10,IF(AR81="Higher Annuity, Lower One Time",5,IF(AR81="Higher One Time, Lower Annuity",3,0)))</f>
        <v/>
      </c>
      <c r="AT81" s="31" t="n"/>
      <c r="AU81" s="31">
        <f>IF(AT81="Good",10,0)</f>
        <v/>
      </c>
      <c r="AV81" s="31" t="n"/>
      <c r="AW81" s="31">
        <f>IF(AV81="Yes for more than 2 years",10,IF(AV81="Yes only for next 1 to 2 years",5,0))</f>
        <v/>
      </c>
      <c r="AX81" s="31" t="n"/>
      <c r="AY81" s="31">
        <f>IF(AX81="Above 40",20,IF(AX81="20 to 40",10,IF(AX81="0 to 20",-5,0)))</f>
        <v/>
      </c>
      <c r="AZ81" s="31" t="n"/>
      <c r="BA81" s="31">
        <f>IF(AZ81="Between 50 to 75",10,IF(AZ81="Above 75",0,0))</f>
        <v/>
      </c>
      <c r="BB81" s="31" t="n"/>
      <c r="BC81" s="31">
        <f>IF(BB81="Stage 2",20,IF(BB81="Stage 1",0,IF(BB81="Stage 3",5,IF(BB81="Stage 4",-5,0))))</f>
        <v/>
      </c>
      <c r="BD81" s="31" t="n"/>
      <c r="BE81" s="31">
        <f>IF(BD81="Positive Trend",20,IF(BD81="Negative Trend",-10,0))</f>
        <v/>
      </c>
      <c r="BF81" s="31" t="n"/>
      <c r="BG81" s="31">
        <f>IF(BF81="Uptrend",10,IF(BF81="Sideways",5,0))</f>
        <v/>
      </c>
      <c r="BH81" s="31" t="n"/>
      <c r="BI81" s="31">
        <f>IF(BH81="Uptrend",10,IF(BH81="Sideways",5,0))</f>
        <v/>
      </c>
      <c r="BJ81" s="31" t="n"/>
      <c r="BK81" s="31">
        <f>IF(BJ81="Overhead supply in last 2 years in last 2 years",-5,IF(BJ81="Close to 52 week high or retracement",5,IF(BJ81="Blue sky scenario",10,IF(BJ81="Long term Downtrend",-10,0))))</f>
        <v/>
      </c>
      <c r="BL81" s="31" t="n"/>
      <c r="BM81" s="31">
        <f>IF(BL81="Yes",10,0)</f>
        <v/>
      </c>
      <c r="BN81" s="31" t="n"/>
      <c r="BO81" s="31">
        <f>IF(BN81="More than 20%",10,IF(BN81="Between 12 to 20%",5,IF(BN81="Less than 12%",0,0)))</f>
        <v/>
      </c>
      <c r="BP81" s="31" t="n"/>
      <c r="BQ81" s="31">
        <f>IF(BP81="No",10,0)</f>
        <v/>
      </c>
      <c r="BR81" s="31" t="n"/>
      <c r="BS81" s="31">
        <f>IF(BR81="NO",5,0)</f>
        <v/>
      </c>
      <c r="BT81" s="31" t="n"/>
      <c r="BU81" s="31">
        <f>IF(BT81="Above 2",0,IF(BT81="Between 1.5 to 2",5,IF(BT81="Less than 1.5",10,0)))</f>
        <v/>
      </c>
      <c r="BV81" s="31" t="n"/>
      <c r="BW81" s="31">
        <f>IF(BV81="Above 70%",10,IF(BV81="Between 50% to 70%",5,IF(BV81="Less than 50%",0,IF(BV81="Negative",-10,IF(BV81="Less than 50% and Borrowings are increasing",-5,0)))))</f>
        <v/>
      </c>
      <c r="BX81" s="31" t="n"/>
      <c r="BY81" s="31">
        <f>IF(BX81="More than 1.2",-10,IF(BX81="Between 0.7 to 1.2",0,IF(BX81="Less than 0.7",10,0)))</f>
        <v/>
      </c>
      <c r="BZ81" s="31" t="n"/>
      <c r="CA81" s="31">
        <f>IF(BZ81="Yes",-10,0)</f>
        <v/>
      </c>
      <c r="CB81" s="31" t="n"/>
      <c r="CC81" s="31">
        <f>IF(CB81="More than 15%",-10,IF(CB81="Less than 15%",10,0))</f>
        <v/>
      </c>
      <c r="CD81" s="31" t="n"/>
      <c r="CE81" s="31">
        <f>IF(CD81="Yes, more than 10%",-10,IF(CD81="No",10,0))</f>
        <v/>
      </c>
      <c r="CF81" s="31" t="n"/>
      <c r="CG81" s="31">
        <f>IF(CF81&gt;20,10,IF(CF81&gt;=10,5,2))</f>
        <v/>
      </c>
    </row>
    <row r="82">
      <c r="A82" s="31">
        <f>IF(B82=0,"",RANK(B82,$B$2:$B$85,0))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OBSCP</t>
        </is>
      </c>
      <c r="D82" s="34" t="inlineStr">
        <is>
          <t>OBSC Perfection Ltd</t>
        </is>
      </c>
      <c r="E82" s="31" t="inlineStr">
        <is>
          <t>unknown</t>
        </is>
      </c>
      <c r="F82" s="31" t="inlineStr">
        <is>
          <t>Auto Ancillaries - Diversified</t>
        </is>
      </c>
      <c r="G82" s="31" t="inlineStr">
        <is>
          <t>smallcap</t>
        </is>
      </c>
      <c r="H82" s="32" t="n">
        <v>1700.64</v>
      </c>
      <c r="I82" s="32" t="n">
        <v>658</v>
      </c>
      <c r="J82" s="32" t="n">
        <v>3.77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inlineStr"/>
      <c r="P82" s="32" t="inlineStr"/>
      <c r="Q82" s="32" t="inlineStr"/>
      <c r="R82" s="31" t="inlineStr"/>
      <c r="S82" s="31" t="inlineStr"/>
      <c r="T82" s="32" t="inlineStr"/>
      <c r="U82" s="32" t="inlineStr"/>
      <c r="V82" s="32" t="inlineStr"/>
      <c r="W82" s="32" t="inlineStr"/>
      <c r="X82" s="31" t="n"/>
      <c r="Y82" s="31">
        <f>IF(X82="Growing Industry",10,IF(X82="Cyclical in an Upturn",5,0))</f>
        <v/>
      </c>
      <c r="Z82" s="31" t="n"/>
      <c r="AA82" s="31">
        <f>IF(Z82="Monopoly",10,IF(Z82="Oligopoly",5,IF(Z82="Duopoly that cooperate",10,IF(Z82="Duopoly that compete",5,IF(Z82="Too many players with High ROCE",5,0)))))</f>
        <v/>
      </c>
      <c r="AB82" s="31" t="n"/>
      <c r="AC82" s="31">
        <f>IF(AB82="No",5,0)</f>
        <v/>
      </c>
      <c r="AD82" s="31" t="n"/>
      <c r="AE82" s="31">
        <f>IF(AD82="Tailwind",10,0)</f>
        <v/>
      </c>
      <c r="AF82" s="31" t="n"/>
      <c r="AG82" s="31">
        <f>IF(AF82="Structural (10 Years Consistency)",10,IF(AF82="Shallow Cyclical (2 to 3 years growth)",5,0))</f>
        <v/>
      </c>
      <c r="AH82" s="31" t="n"/>
      <c r="AI82" s="31">
        <f>IF(AH82="Yes due to Product Mix change or Operating Leverage",10,IF(AH82="Yes, these are peak margins",-5,IF(AH82="No",5,0)))</f>
        <v/>
      </c>
      <c r="AJ82" s="31" t="n"/>
      <c r="AK82" s="31">
        <f>IF(AJ82="Stable",10,0)</f>
        <v/>
      </c>
      <c r="AL82" s="31" t="n"/>
      <c r="AM82" s="31">
        <f>IF(AL82="Yes",10,0)</f>
        <v/>
      </c>
      <c r="AN82" s="31" t="n"/>
      <c r="AO82" s="31">
        <f>IF(AN82="B2C",10,IF(AN82="B2B",5,0))</f>
        <v/>
      </c>
      <c r="AP82" s="31" t="n"/>
      <c r="AQ82" s="31">
        <f>IF(AP82="Yes",10,0)</f>
        <v/>
      </c>
      <c r="AR82" s="31" t="n"/>
      <c r="AS82" s="31">
        <f>IF(AR82="Fully Annuity",10,IF(AR82="Higher Annuity, Lower One Time",5,IF(AR82="Higher One Time, Lower Annuity",3,0)))</f>
        <v/>
      </c>
      <c r="AT82" s="31" t="n"/>
      <c r="AU82" s="31">
        <f>IF(AT82="Good",10,0)</f>
        <v/>
      </c>
      <c r="AV82" s="31" t="n"/>
      <c r="AW82" s="31">
        <f>IF(AV82="Yes for more than 2 years",10,IF(AV82="Yes only for next 1 to 2 years",5,0))</f>
        <v/>
      </c>
      <c r="AX82" s="31" t="n"/>
      <c r="AY82" s="31">
        <f>IF(AX82="Above 40",20,IF(AX82="20 to 40",10,IF(AX82="0 to 20",-5,0)))</f>
        <v/>
      </c>
      <c r="AZ82" s="31" t="n"/>
      <c r="BA82" s="31">
        <f>IF(AZ82="Between 50 to 75",10,IF(AZ82="Above 75",0,0))</f>
        <v/>
      </c>
      <c r="BB82" s="31" t="n"/>
      <c r="BC82" s="31">
        <f>IF(BB82="Stage 2",20,IF(BB82="Stage 1",0,IF(BB82="Stage 3",5,IF(BB82="Stage 4",-5,0))))</f>
        <v/>
      </c>
      <c r="BD82" s="31" t="n"/>
      <c r="BE82" s="31">
        <f>IF(BD82="Positive Trend",20,IF(BD82="Negative Trend",-10,0))</f>
        <v/>
      </c>
      <c r="BF82" s="31" t="n"/>
      <c r="BG82" s="31">
        <f>IF(BF82="Uptrend",10,IF(BF82="Sideways",5,0))</f>
        <v/>
      </c>
      <c r="BH82" s="31" t="n"/>
      <c r="BI82" s="31">
        <f>IF(BH82="Uptrend",10,IF(BH82="Sideways",5,0))</f>
        <v/>
      </c>
      <c r="BJ82" s="31" t="n"/>
      <c r="BK82" s="31">
        <f>IF(BJ82="Overhead supply in last 2 years in last 2 years",-5,IF(BJ82="Close to 52 week high or retracement",5,IF(BJ82="Blue sky scenario",10,IF(BJ82="Long term Downtrend",-10,0))))</f>
        <v/>
      </c>
      <c r="BL82" s="31" t="n"/>
      <c r="BM82" s="31">
        <f>IF(BL82="Yes",10,0)</f>
        <v/>
      </c>
      <c r="BN82" s="31" t="n"/>
      <c r="BO82" s="31">
        <f>IF(BN82="More than 20%",10,IF(BN82="Between 12 to 20%",5,IF(BN82="Less than 12%",0,0)))</f>
        <v/>
      </c>
      <c r="BP82" s="31" t="n"/>
      <c r="BQ82" s="31">
        <f>IF(BP82="No",10,0)</f>
        <v/>
      </c>
      <c r="BR82" s="31" t="n"/>
      <c r="BS82" s="31">
        <f>IF(BR82="NO",5,0)</f>
        <v/>
      </c>
      <c r="BT82" s="31" t="n"/>
      <c r="BU82" s="31">
        <f>IF(BT82="Above 2",0,IF(BT82="Between 1.5 to 2",5,IF(BT82="Less than 1.5",10,0)))</f>
        <v/>
      </c>
      <c r="BV82" s="31" t="n"/>
      <c r="BW82" s="31">
        <f>IF(BV82="Above 70%",10,IF(BV82="Between 50% to 70%",5,IF(BV82="Less than 50%",0,IF(BV82="Negative",-10,IF(BV82="Less than 50% and Borrowings are increasing",-5,0)))))</f>
        <v/>
      </c>
      <c r="BX82" s="31" t="n"/>
      <c r="BY82" s="31">
        <f>IF(BX82="More than 1.2",-10,IF(BX82="Between 0.7 to 1.2",0,IF(BX82="Less than 0.7",10,0)))</f>
        <v/>
      </c>
      <c r="BZ82" s="31" t="n"/>
      <c r="CA82" s="31">
        <f>IF(BZ82="Yes",-10,0)</f>
        <v/>
      </c>
      <c r="CB82" s="31" t="n"/>
      <c r="CC82" s="31">
        <f>IF(CB82="More than 15%",-10,IF(CB82="Less than 15%",10,0))</f>
        <v/>
      </c>
      <c r="CD82" s="31" t="n"/>
      <c r="CE82" s="31">
        <f>IF(CD82="Yes, more than 10%",-10,IF(CD82="No",10,0))</f>
        <v/>
      </c>
      <c r="CF82" s="31" t="n"/>
      <c r="CG82" s="31">
        <f>IF(CF82&gt;20,10,IF(CF82&gt;=10,5,2))</f>
        <v/>
      </c>
    </row>
    <row r="83">
      <c r="A83" s="31">
        <f>IF(B83=0,"",RANK(B83,$B$2:$B$85,0))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BAJAJCON</t>
        </is>
      </c>
      <c r="D83" s="31" t="inlineStr">
        <is>
          <t>Bajaj Consumer Care Ltd</t>
        </is>
      </c>
      <c r="E83" s="31" t="inlineStr">
        <is>
          <t>unknown</t>
        </is>
      </c>
      <c r="F83" s="31" t="inlineStr">
        <is>
          <t>FMCG - Personal Care</t>
        </is>
      </c>
      <c r="G83" s="31" t="inlineStr">
        <is>
          <t>midcap</t>
        </is>
      </c>
      <c r="H83" s="32" t="n">
        <v>7406.06</v>
      </c>
      <c r="I83" s="32" t="n">
        <v>567</v>
      </c>
      <c r="J83" s="32" t="n">
        <v>-3.98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inlineStr"/>
      <c r="P83" s="32" t="inlineStr"/>
      <c r="Q83" s="32" t="inlineStr"/>
      <c r="R83" s="31" t="inlineStr"/>
      <c r="S83" s="31" t="inlineStr"/>
      <c r="T83" s="32" t="inlineStr"/>
      <c r="U83" s="32" t="inlineStr"/>
      <c r="V83" s="32" t="inlineStr"/>
      <c r="W83" s="32" t="inlineStr"/>
      <c r="X83" s="31" t="n"/>
      <c r="Y83" s="31">
        <f>IF(X83="Growing Industry",10,IF(X83="Cyclical in an Upturn",5,0))</f>
        <v/>
      </c>
      <c r="Z83" s="31" t="n"/>
      <c r="AA83" s="31">
        <f>IF(Z83="Monopoly",10,IF(Z83="Oligopoly",5,IF(Z83="Duopoly that cooperate",10,IF(Z83="Duopoly that compete",5,IF(Z83="Too many players with High ROCE",5,0)))))</f>
        <v/>
      </c>
      <c r="AB83" s="31" t="n"/>
      <c r="AC83" s="31">
        <f>IF(AB83="No",5,0)</f>
        <v/>
      </c>
      <c r="AD83" s="31" t="n"/>
      <c r="AE83" s="31">
        <f>IF(AD83="Tailwind",10,0)</f>
        <v/>
      </c>
      <c r="AF83" s="31" t="n"/>
      <c r="AG83" s="31">
        <f>IF(AF83="Structural (10 Years Consistency)",10,IF(AF83="Shallow Cyclical (2 to 3 years growth)",5,0))</f>
        <v/>
      </c>
      <c r="AH83" s="31" t="n"/>
      <c r="AI83" s="31">
        <f>IF(AH83="Yes due to Product Mix change or Operating Leverage",10,IF(AH83="Yes, these are peak margins",-5,IF(AH83="No",5,0)))</f>
        <v/>
      </c>
      <c r="AJ83" s="31" t="n"/>
      <c r="AK83" s="31">
        <f>IF(AJ83="Stable",10,0)</f>
        <v/>
      </c>
      <c r="AL83" s="31" t="n"/>
      <c r="AM83" s="31">
        <f>IF(AL83="Yes",10,0)</f>
        <v/>
      </c>
      <c r="AN83" s="31" t="n"/>
      <c r="AO83" s="31">
        <f>IF(AN83="B2C",10,IF(AN83="B2B",5,0))</f>
        <v/>
      </c>
      <c r="AP83" s="31" t="n"/>
      <c r="AQ83" s="31">
        <f>IF(AP83="Yes",10,0)</f>
        <v/>
      </c>
      <c r="AR83" s="31" t="n"/>
      <c r="AS83" s="31">
        <f>IF(AR83="Fully Annuity",10,IF(AR83="Higher Annuity, Lower One Time",5,IF(AR83="Higher One Time, Lower Annuity",3,0)))</f>
        <v/>
      </c>
      <c r="AT83" s="31" t="n"/>
      <c r="AU83" s="31">
        <f>IF(AT83="Good",10,0)</f>
        <v/>
      </c>
      <c r="AV83" s="31" t="n"/>
      <c r="AW83" s="31">
        <f>IF(AV83="Yes for more than 2 years",10,IF(AV83="Yes only for next 1 to 2 years",5,0))</f>
        <v/>
      </c>
      <c r="AX83" s="31" t="n"/>
      <c r="AY83" s="31">
        <f>IF(AX83="Above 40",20,IF(AX83="20 to 40",10,IF(AX83="0 to 20",-5,0)))</f>
        <v/>
      </c>
      <c r="AZ83" s="31" t="n"/>
      <c r="BA83" s="31">
        <f>IF(AZ83="Between 50 to 75",10,IF(AZ83="Above 75",0,0))</f>
        <v/>
      </c>
      <c r="BB83" s="31" t="n"/>
      <c r="BC83" s="31">
        <f>IF(BB83="Stage 2",20,IF(BB83="Stage 1",0,IF(BB83="Stage 3",5,IF(BB83="Stage 4",-5,0))))</f>
        <v/>
      </c>
      <c r="BD83" s="31" t="n"/>
      <c r="BE83" s="31">
        <f>IF(BD83="Positive Trend",20,IF(BD83="Negative Trend",-10,0))</f>
        <v/>
      </c>
      <c r="BF83" s="31" t="n"/>
      <c r="BG83" s="31">
        <f>IF(BF83="Uptrend",10,IF(BF83="Sideways",5,0))</f>
        <v/>
      </c>
      <c r="BH83" s="31" t="n"/>
      <c r="BI83" s="31">
        <f>IF(BH83="Uptrend",10,IF(BH83="Sideways",5,0))</f>
        <v/>
      </c>
      <c r="BJ83" s="31" t="n"/>
      <c r="BK83" s="31">
        <f>IF(BJ83="Overhead supply in last 2 years in last 2 years",-5,IF(BJ83="Close to 52 week high or retracement",5,IF(BJ83="Blue sky scenario",10,IF(BJ83="Long term Downtrend",-10,0))))</f>
        <v/>
      </c>
      <c r="BL83" s="31" t="n"/>
      <c r="BM83" s="31">
        <f>IF(BL83="Yes",10,0)</f>
        <v/>
      </c>
      <c r="BN83" s="31" t="n"/>
      <c r="BO83" s="31">
        <f>IF(BN83="More than 20%",10,IF(BN83="Between 12 to 20%",5,IF(BN83="Less than 12%",0,0)))</f>
        <v/>
      </c>
      <c r="BP83" s="31" t="n"/>
      <c r="BQ83" s="31">
        <f>IF(BP83="No",10,0)</f>
        <v/>
      </c>
      <c r="BR83" s="31" t="n"/>
      <c r="BS83" s="31">
        <f>IF(BR83="NO",5,0)</f>
        <v/>
      </c>
      <c r="BT83" s="31" t="n"/>
      <c r="BU83" s="31">
        <f>IF(BT83="Above 2",0,IF(BT83="Between 1.5 to 2",5,IF(BT83="Less than 1.5",10,0)))</f>
        <v/>
      </c>
      <c r="BV83" s="31" t="n"/>
      <c r="BW83" s="31">
        <f>IF(BV83="Above 70%",10,IF(BV83="Between 50% to 70%",5,IF(BV83="Less than 50%",0,IF(BV83="Negative",-10,IF(BV83="Less than 50% and Borrowings are increasing",-5,0)))))</f>
        <v/>
      </c>
      <c r="BX83" s="31" t="n"/>
      <c r="BY83" s="31">
        <f>IF(BX83="More than 1.2",-10,IF(BX83="Between 0.7 to 1.2",0,IF(BX83="Less than 0.7",10,0)))</f>
        <v/>
      </c>
      <c r="BZ83" s="31" t="n"/>
      <c r="CA83" s="31">
        <f>IF(BZ83="Yes",-10,0)</f>
        <v/>
      </c>
      <c r="CB83" s="31" t="n"/>
      <c r="CC83" s="31">
        <f>IF(CB83="More than 15%",-10,IF(CB83="Less than 15%",10,0))</f>
        <v/>
      </c>
      <c r="CD83" s="31" t="n"/>
      <c r="CE83" s="31">
        <f>IF(CD83="Yes, more than 10%",-10,IF(CD83="No",10,0))</f>
        <v/>
      </c>
      <c r="CF83" s="31" t="n"/>
      <c r="CG83" s="31">
        <f>IF(CF83&gt;20,10,IF(CF83&gt;=10,5,2))</f>
        <v/>
      </c>
    </row>
    <row r="84">
      <c r="A84" s="31">
        <f>IF(B84=0,"",RANK(B84,$B$2:$B$85,0))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SKIPPER</t>
        </is>
      </c>
      <c r="D84" s="31" t="inlineStr">
        <is>
          <t>Skipper Ltd</t>
        </is>
      </c>
      <c r="E84" s="31" t="inlineStr">
        <is>
          <t>unknown</t>
        </is>
      </c>
      <c r="F84" s="31" t="inlineStr">
        <is>
          <t>Electrical Equipments/HVDC</t>
        </is>
      </c>
      <c r="G84" s="31" t="inlineStr">
        <is>
          <t>midcap</t>
        </is>
      </c>
      <c r="H84" s="32" t="n">
        <v>6177.67</v>
      </c>
      <c r="I84" s="32" t="n">
        <v>547</v>
      </c>
      <c r="J84" s="32" t="n">
        <v>-0.95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5">
      <c r="A85" s="31">
        <f>IF(B85=0,"",RANK(B85,$B$2:$B$85,0))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TIPSMUSIC</t>
        </is>
      </c>
      <c r="D85" s="31" t="inlineStr">
        <is>
          <t>Tips Music Ltd</t>
        </is>
      </c>
      <c r="E85" s="31" t="inlineStr">
        <is>
          <t>unknown</t>
        </is>
      </c>
      <c r="F85" s="31" t="inlineStr">
        <is>
          <t>Music Licensing</t>
        </is>
      </c>
      <c r="G85" s="31" t="inlineStr">
        <is>
          <t>midcap</t>
        </is>
      </c>
      <c r="H85" s="32" t="n">
        <v>8516.780000000001</v>
      </c>
      <c r="I85" s="32" t="n">
        <v>666.25</v>
      </c>
      <c r="J85" s="32" t="n">
        <v>-5.34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  <row r="89">
      <c r="A89" s="25" t="inlineStr">
        <is>
          <t>❌ REMOVED SCAN MATCH STOCKS (THIS WEEK)</t>
        </is>
      </c>
    </row>
    <row r="90">
      <c r="A90" s="35" t="inlineStr">
        <is>
          <t>Symbol</t>
        </is>
      </c>
      <c r="B90" s="35" t="inlineStr">
        <is>
          <t>Company Name</t>
        </is>
      </c>
      <c r="C90" s="35" t="inlineStr">
        <is>
          <t>Sector</t>
        </is>
      </c>
      <c r="D90" s="35" t="inlineStr">
        <is>
          <t>Date of Removal</t>
        </is>
      </c>
    </row>
    <row r="91">
      <c r="A91" s="36" t="inlineStr">
        <is>
          <t>AADHARHFC</t>
        </is>
      </c>
      <c r="B91" s="37" t="inlineStr">
        <is>
          <t>AADHARHFC</t>
        </is>
      </c>
      <c r="C91" s="37" t="inlineStr">
        <is>
          <t>unknown</t>
        </is>
      </c>
      <c r="D91" s="38" t="inlineStr">
        <is>
          <t>2026-07-15</t>
        </is>
      </c>
    </row>
    <row r="92">
      <c r="A92" s="36" t="inlineStr">
        <is>
          <t>AVANTEL</t>
        </is>
      </c>
      <c r="B92" s="37" t="inlineStr">
        <is>
          <t>AVANTEL</t>
        </is>
      </c>
      <c r="C92" s="37" t="inlineStr">
        <is>
          <t>unknown</t>
        </is>
      </c>
      <c r="D92" s="38" t="inlineStr">
        <is>
          <t>2026-07-14</t>
        </is>
      </c>
    </row>
    <row r="93">
      <c r="A93" s="36" t="inlineStr">
        <is>
          <t>BAJAJCON</t>
        </is>
      </c>
      <c r="B93" s="37" t="inlineStr">
        <is>
          <t>BAJAJCON</t>
        </is>
      </c>
      <c r="C93" s="37" t="inlineStr">
        <is>
          <t>unknown</t>
        </is>
      </c>
      <c r="D93" s="38" t="inlineStr">
        <is>
          <t>2026-07-15</t>
        </is>
      </c>
    </row>
    <row r="94">
      <c r="A94" s="36" t="inlineStr">
        <is>
          <t>BALAMINES</t>
        </is>
      </c>
      <c r="B94" s="37" t="inlineStr">
        <is>
          <t>Balaji Amines Limited</t>
        </is>
      </c>
      <c r="C94" s="37" t="inlineStr">
        <is>
          <t>Basic Materials</t>
        </is>
      </c>
      <c r="D94" s="38" t="inlineStr">
        <is>
          <t>2026-07-14</t>
        </is>
      </c>
    </row>
    <row r="95">
      <c r="A95" s="36" t="inlineStr">
        <is>
          <t>BHAGYANGR</t>
        </is>
      </c>
      <c r="B95" s="37" t="inlineStr">
        <is>
          <t>BHAGYANGR</t>
        </is>
      </c>
      <c r="C95" s="37" t="inlineStr">
        <is>
          <t>unknown</t>
        </is>
      </c>
      <c r="D95" s="38" t="inlineStr">
        <is>
          <t>2026-07-14</t>
        </is>
      </c>
    </row>
    <row r="96">
      <c r="A96" s="36" t="inlineStr">
        <is>
          <t>BHARATSE</t>
        </is>
      </c>
      <c r="B96" s="37" t="inlineStr">
        <is>
          <t>Bharat Seats Limited</t>
        </is>
      </c>
      <c r="C96" s="37" t="inlineStr">
        <is>
          <t>Consumer Cyclical</t>
        </is>
      </c>
      <c r="D96" s="38" t="inlineStr">
        <is>
          <t>2026-07-15</t>
        </is>
      </c>
    </row>
    <row r="97">
      <c r="A97" s="36" t="inlineStr">
        <is>
          <t>CRAFTSMAN</t>
        </is>
      </c>
      <c r="B97" s="37" t="inlineStr">
        <is>
          <t>CRAFTSMAN</t>
        </is>
      </c>
      <c r="C97" s="37" t="inlineStr">
        <is>
          <t>unknown</t>
        </is>
      </c>
      <c r="D97" s="38" t="inlineStr">
        <is>
          <t>2026-07-14</t>
        </is>
      </c>
    </row>
    <row r="98">
      <c r="A98" s="36" t="inlineStr">
        <is>
          <t>DIVGIITTS</t>
        </is>
      </c>
      <c r="B98" s="37" t="inlineStr">
        <is>
          <t>Divgi TorqTransfer Systems Limited</t>
        </is>
      </c>
      <c r="C98" s="37" t="inlineStr">
        <is>
          <t>Consumer Cyclical</t>
        </is>
      </c>
      <c r="D98" s="38" t="inlineStr">
        <is>
          <t>2026-07-14</t>
        </is>
      </c>
    </row>
    <row r="99">
      <c r="A99" s="36" t="inlineStr">
        <is>
          <t>FREDUN</t>
        </is>
      </c>
      <c r="B99" s="37" t="inlineStr">
        <is>
          <t>FREDUN</t>
        </is>
      </c>
      <c r="C99" s="37" t="inlineStr">
        <is>
          <t>unknown</t>
        </is>
      </c>
      <c r="D99" s="38" t="inlineStr">
        <is>
          <t>2026-07-15</t>
        </is>
      </c>
    </row>
    <row r="100">
      <c r="A100" s="36" t="inlineStr">
        <is>
          <t>HONASA</t>
        </is>
      </c>
      <c r="B100" s="37" t="inlineStr">
        <is>
          <t>Honasa Consumer Limited</t>
        </is>
      </c>
      <c r="C100" s="37" t="inlineStr">
        <is>
          <t>Consumer Defensive</t>
        </is>
      </c>
      <c r="D100" s="38" t="inlineStr">
        <is>
          <t>2026-07-15</t>
        </is>
      </c>
    </row>
    <row r="101">
      <c r="A101" s="36" t="inlineStr">
        <is>
          <t>JSWINFRA</t>
        </is>
      </c>
      <c r="B101" s="37" t="inlineStr">
        <is>
          <t>JSW Infrastructure Limited</t>
        </is>
      </c>
      <c r="C101" s="37" t="inlineStr">
        <is>
          <t>Industrials</t>
        </is>
      </c>
      <c r="D101" s="38" t="inlineStr">
        <is>
          <t>2026-07-15</t>
        </is>
      </c>
    </row>
    <row r="102">
      <c r="A102" s="36" t="inlineStr">
        <is>
          <t>KERNEX</t>
        </is>
      </c>
      <c r="B102" s="37" t="inlineStr">
        <is>
          <t>Kernex Microsystems (India) Limited</t>
        </is>
      </c>
      <c r="C102" s="37" t="inlineStr">
        <is>
          <t>Technology</t>
        </is>
      </c>
      <c r="D102" s="38" t="inlineStr">
        <is>
          <t>2026-07-15</t>
        </is>
      </c>
    </row>
    <row r="103">
      <c r="A103" s="36" t="inlineStr">
        <is>
          <t>KRISHANA</t>
        </is>
      </c>
      <c r="B103" s="37" t="inlineStr">
        <is>
          <t>KRISHANA</t>
        </is>
      </c>
      <c r="C103" s="37" t="inlineStr">
        <is>
          <t>unknown</t>
        </is>
      </c>
      <c r="D103" s="38" t="inlineStr">
        <is>
          <t>2026-07-15</t>
        </is>
      </c>
    </row>
    <row r="104">
      <c r="A104" s="36" t="inlineStr">
        <is>
          <t>KSL</t>
        </is>
      </c>
      <c r="B104" s="37" t="inlineStr">
        <is>
          <t>Kalyani Steels Limited</t>
        </is>
      </c>
      <c r="C104" s="37" t="inlineStr">
        <is>
          <t>Basic Materials</t>
        </is>
      </c>
      <c r="D104" s="38" t="inlineStr">
        <is>
          <t>2026-07-15</t>
        </is>
      </c>
    </row>
    <row r="105">
      <c r="A105" s="36" t="inlineStr">
        <is>
          <t>LTF</t>
        </is>
      </c>
      <c r="B105" s="37" t="inlineStr">
        <is>
          <t>LTF</t>
        </is>
      </c>
      <c r="C105" s="37" t="inlineStr">
        <is>
          <t>unknown</t>
        </is>
      </c>
      <c r="D105" s="38" t="inlineStr">
        <is>
          <t>2026-07-14</t>
        </is>
      </c>
    </row>
    <row r="106">
      <c r="A106" s="36" t="inlineStr">
        <is>
          <t>MRUTR</t>
        </is>
      </c>
      <c r="B106" s="37" t="inlineStr">
        <is>
          <t>MRUTR</t>
        </is>
      </c>
      <c r="C106" s="37" t="inlineStr">
        <is>
          <t>unknown</t>
        </is>
      </c>
      <c r="D106" s="38" t="inlineStr">
        <is>
          <t>2026-07-15</t>
        </is>
      </c>
    </row>
    <row r="107">
      <c r="A107" s="36" t="inlineStr">
        <is>
          <t>NYKAA</t>
        </is>
      </c>
      <c r="B107" s="37" t="inlineStr">
        <is>
          <t>FSN E-Commerce Ventures Limited</t>
        </is>
      </c>
      <c r="C107" s="37" t="inlineStr">
        <is>
          <t>Consumer Cyclical</t>
        </is>
      </c>
      <c r="D107" s="38" t="inlineStr">
        <is>
          <t>2026-07-15</t>
        </is>
      </c>
    </row>
    <row r="108">
      <c r="A108" s="36" t="inlineStr">
        <is>
          <t>PAYTM</t>
        </is>
      </c>
      <c r="B108" s="37" t="inlineStr">
        <is>
          <t>One97 Communications Limited</t>
        </is>
      </c>
      <c r="C108" s="37" t="inlineStr">
        <is>
          <t>Technology</t>
        </is>
      </c>
      <c r="D108" s="38" t="inlineStr">
        <is>
          <t>2026-07-15</t>
        </is>
      </c>
    </row>
    <row r="109">
      <c r="A109" s="36" t="inlineStr">
        <is>
          <t>PDSL</t>
        </is>
      </c>
      <c r="B109" s="37" t="inlineStr">
        <is>
          <t>PDS Limited</t>
        </is>
      </c>
      <c r="C109" s="37" t="inlineStr">
        <is>
          <t>Industrials</t>
        </is>
      </c>
      <c r="D109" s="38" t="inlineStr">
        <is>
          <t>2026-07-15</t>
        </is>
      </c>
    </row>
    <row r="110">
      <c r="A110" s="36" t="inlineStr">
        <is>
          <t>RAMCOSYS</t>
        </is>
      </c>
      <c r="B110" s="37" t="inlineStr">
        <is>
          <t>Ramco Systems Limited</t>
        </is>
      </c>
      <c r="C110" s="37" t="inlineStr">
        <is>
          <t>Technology</t>
        </is>
      </c>
      <c r="D110" s="38" t="inlineStr">
        <is>
          <t>2026-07-14</t>
        </is>
      </c>
    </row>
    <row r="111">
      <c r="A111" s="36" t="inlineStr">
        <is>
          <t>SKIPPER</t>
        </is>
      </c>
      <c r="B111" s="37" t="inlineStr">
        <is>
          <t>SKIPPER</t>
        </is>
      </c>
      <c r="C111" s="37" t="inlineStr">
        <is>
          <t>unknown</t>
        </is>
      </c>
      <c r="D111" s="38" t="inlineStr">
        <is>
          <t>2026-07-15</t>
        </is>
      </c>
    </row>
    <row r="112">
      <c r="A112" s="36" t="inlineStr">
        <is>
          <t>SUVEN</t>
        </is>
      </c>
      <c r="B112" s="37" t="inlineStr">
        <is>
          <t>Suven Life Sciences Limited</t>
        </is>
      </c>
      <c r="C112" s="37" t="inlineStr">
        <is>
          <t>Healthcare</t>
        </is>
      </c>
      <c r="D112" s="38" t="inlineStr">
        <is>
          <t>2026-07-14</t>
        </is>
      </c>
    </row>
    <row r="113">
      <c r="A113" s="36" t="inlineStr">
        <is>
          <t>TIPSMUSIC</t>
        </is>
      </c>
      <c r="B113" s="37" t="inlineStr">
        <is>
          <t>TIPSMUSIC</t>
        </is>
      </c>
      <c r="C113" s="37" t="inlineStr">
        <is>
          <t>unknown</t>
        </is>
      </c>
      <c r="D113" s="38" t="inlineStr">
        <is>
          <t>2026-07-15</t>
        </is>
      </c>
    </row>
    <row r="114">
      <c r="A114" s="36" t="inlineStr">
        <is>
          <t>TRIVENI</t>
        </is>
      </c>
      <c r="B114" s="37" t="inlineStr">
        <is>
          <t>Triveni Engineering &amp; Industries Limited</t>
        </is>
      </c>
      <c r="C114" s="37" t="inlineStr">
        <is>
          <t>Consumer Defensive</t>
        </is>
      </c>
      <c r="D114" s="38" t="inlineStr">
        <is>
          <t>2026-07-15</t>
        </is>
      </c>
    </row>
    <row r="115">
      <c r="A115" s="36" t="inlineStr">
        <is>
          <t>UNICHEMLAB</t>
        </is>
      </c>
      <c r="B115" s="37" t="inlineStr">
        <is>
          <t>Unichem Laboratories Limited</t>
        </is>
      </c>
      <c r="C115" s="37" t="inlineStr">
        <is>
          <t>Healthcare</t>
        </is>
      </c>
      <c r="D115" s="38" t="inlineStr">
        <is>
          <t>2026-07-14</t>
        </is>
      </c>
    </row>
    <row r="116">
      <c r="A116" s="36" t="inlineStr">
        <is>
          <t>VIJAYA</t>
        </is>
      </c>
      <c r="B116" s="37" t="inlineStr">
        <is>
          <t>Vijaya Diagnostic Centre Limited</t>
        </is>
      </c>
      <c r="C116" s="37" t="inlineStr">
        <is>
          <t>Healthcare</t>
        </is>
      </c>
      <c r="D116" s="38" t="inlineStr">
        <is>
          <t>2026-07-14</t>
        </is>
      </c>
    </row>
    <row r="117">
      <c r="A117" s="36" t="inlineStr">
        <is>
          <t>WABAG</t>
        </is>
      </c>
      <c r="B117" s="37" t="inlineStr">
        <is>
          <t>VA Tech Wabag Limited</t>
        </is>
      </c>
      <c r="C117" s="37" t="inlineStr">
        <is>
          <t>Industrials</t>
        </is>
      </c>
      <c r="D117" s="38" t="inlineStr">
        <is>
          <t>2026-07-15</t>
        </is>
      </c>
    </row>
  </sheetData>
  <autoFilter ref="A1:CG85"/>
  <conditionalFormatting sqref="B2:B8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5">
    <cfRule type="cellIs" priority="37" operator="equal" dxfId="3" stopIfTrue="1">
      <formula>"Underperforming"</formula>
    </cfRule>
  </conditionalFormatting>
  <conditionalFormatting sqref="N2:N85">
    <cfRule type="cellIs" priority="38" operator="equal" dxfId="3" stopIfTrue="1">
      <formula>-5</formula>
    </cfRule>
  </conditionalFormatting>
  <conditionalFormatting sqref="Q2:Q8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5" showDropDown="0" showInputMessage="0" showErrorMessage="0" allowBlank="1" type="list">
      <formula1>"Growing Industry,Stagnant Industry,Cyclical in an Upturn"</formula1>
    </dataValidation>
    <dataValidation sqref="Z2:Z8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5" showDropDown="0" showInputMessage="0" showErrorMessage="0" allowBlank="1" type="list">
      <formula1>"Yes,No"</formula1>
    </dataValidation>
    <dataValidation sqref="AD2:AD85" showDropDown="0" showInputMessage="0" showErrorMessage="0" allowBlank="1" type="list">
      <formula1>"Tailwind,Headwind"</formula1>
    </dataValidation>
    <dataValidation sqref="AF2:AF85" showDropDown="0" showInputMessage="0" showErrorMessage="0" allowBlank="1" type="list">
      <formula1>"Structural (10 Years Consistency),Shallow Cyclical (2 to 3 Years Growth),Cyclical"</formula1>
    </dataValidation>
    <dataValidation sqref="AH2:AH85" showDropDown="0" showInputMessage="0" showErrorMessage="0" allowBlank="1" type="list">
      <formula1>"Yes due to Product Mix change or Operating Leverage,Yes, these are peak margins,No"</formula1>
    </dataValidation>
    <dataValidation sqref="AJ2:AJ85" showDropDown="0" showInputMessage="0" showErrorMessage="0" allowBlank="1" type="list">
      <formula1>"Stable,Volatile"</formula1>
    </dataValidation>
    <dataValidation sqref="AL2:AL85" showDropDown="0" showInputMessage="0" showErrorMessage="0" allowBlank="1" type="list">
      <formula1>"Yes,No"</formula1>
    </dataValidation>
    <dataValidation sqref="AN2:AN85" showDropDown="0" showInputMessage="0" showErrorMessage="0" allowBlank="1" type="list">
      <formula1>"B2C,B2B,B2G"</formula1>
    </dataValidation>
    <dataValidation sqref="AP2:AP85" showDropDown="0" showInputMessage="0" showErrorMessage="0" allowBlank="1" type="list">
      <formula1>"Yes,No"</formula1>
    </dataValidation>
    <dataValidation sqref="AR2:AR85" showDropDown="0" showInputMessage="0" showErrorMessage="0" allowBlank="1" type="list">
      <formula1>"Fully Annuity,Higher Annuity, Lower One time,Higher One Time, Lower Annuity,Fully One Time"</formula1>
    </dataValidation>
    <dataValidation sqref="AT2:AT85" showDropDown="0" showInputMessage="0" showErrorMessage="0" allowBlank="1" type="list">
      <formula1>"Good,Allocated capital in Non-core Areas"</formula1>
    </dataValidation>
    <dataValidation sqref="AV2:AV85" showDropDown="0" showInputMessage="0" showErrorMessage="0" allowBlank="1" type="list">
      <formula1>"Yes for more than 2 years,Yes only for next 1 to 2 years,No"</formula1>
    </dataValidation>
    <dataValidation sqref="AX2:AX85" showDropDown="0" showInputMessage="0" showErrorMessage="0" allowBlank="1" type="list">
      <formula1>"Above 40,20 to 40,0 to 20"</formula1>
    </dataValidation>
    <dataValidation sqref="AZ2:AZ85" showDropDown="0" showInputMessage="0" showErrorMessage="0" allowBlank="1" type="list">
      <formula1>"Between 50 to 75,Above 75,Below 45"</formula1>
    </dataValidation>
    <dataValidation sqref="BB2:BB85" showDropDown="0" showInputMessage="0" showErrorMessage="0" allowBlank="1" type="list">
      <formula1>"Stage 1,Stage 2,Stage 3,Stage 4"</formula1>
    </dataValidation>
    <dataValidation sqref="BD2:BD85" showDropDown="0" showInputMessage="0" showErrorMessage="0" allowBlank="1" type="list">
      <formula1>"Positive Trend,Negative Trend"</formula1>
    </dataValidation>
    <dataValidation sqref="BF2:BF85" showDropDown="0" showInputMessage="0" showErrorMessage="0" allowBlank="1" type="list">
      <formula1>"Uptrend,Sideways,Downtrend"</formula1>
    </dataValidation>
    <dataValidation sqref="BH2:BH85" showDropDown="0" showInputMessage="0" showErrorMessage="0" allowBlank="1" type="list">
      <formula1>"Uptrend,Sideways,Downtrend"</formula1>
    </dataValidation>
    <dataValidation sqref="BJ2:BJ8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5" showDropDown="0" showInputMessage="0" showErrorMessage="0" allowBlank="1" type="list">
      <formula1>"Yes,No"</formula1>
    </dataValidation>
    <dataValidation sqref="BN2:BN85" showDropDown="0" showInputMessage="0" showErrorMessage="0" allowBlank="1" type="list">
      <formula1>"More than 20%,Between 12 to 20%,Less than 12%"</formula1>
    </dataValidation>
    <dataValidation sqref="BP2:BP85" showDropDown="0" showInputMessage="0" showErrorMessage="0" allowBlank="1" type="list">
      <formula1>"Yes,No"</formula1>
    </dataValidation>
    <dataValidation sqref="BR2:BR85" showDropDown="0" showInputMessage="0" showErrorMessage="0" allowBlank="1" type="list">
      <formula1>"Yes,No"</formula1>
    </dataValidation>
    <dataValidation sqref="BT2:BT85" showDropDown="0" showInputMessage="0" showErrorMessage="0" allowBlank="1" type="list">
      <formula1>"Above 2,Between 1.5 to 2,Less than 1.5"</formula1>
    </dataValidation>
    <dataValidation sqref="BV2:BV85" showDropDown="0" showInputMessage="0" showErrorMessage="0" allowBlank="1" type="list">
      <formula1>"Above 70%,Between 50% to 70%,Less than 50%,Less than 50% and Borrowings are increasing,Negative"</formula1>
    </dataValidation>
    <dataValidation sqref="BX2:BX85" showDropDown="0" showInputMessage="0" showErrorMessage="0" allowBlank="1" type="list">
      <formula1>"More than 1.2,Between 0.7 to 1.2,Less than 0.7"</formula1>
    </dataValidation>
    <dataValidation sqref="BZ2:BZ85" showDropDown="0" showInputMessage="0" showErrorMessage="0" allowBlank="1" type="list">
      <formula1>"Yes,No"</formula1>
    </dataValidation>
    <dataValidation sqref="CB2:CB85" showDropDown="0" showInputMessage="0" showErrorMessage="0" allowBlank="1" type="list">
      <formula1>"More than 15%,Less than 15%"</formula1>
    </dataValidation>
    <dataValidation sqref="CD2:CD8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2850.7</v>
      </c>
      <c r="I2" s="32" t="n">
        <v>258.05</v>
      </c>
      <c r="J2" s="32" t="n">
        <v>-2.5</v>
      </c>
      <c r="K2" s="32" t="n">
        <v>0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74.31</v>
      </c>
      <c r="P2" s="32" t="n">
        <v>65.20999999999999</v>
      </c>
      <c r="Q2" s="32" t="n">
        <v>201.94</v>
      </c>
      <c r="R2" s="31" t="inlineStr">
        <is>
          <t>Near 52W High Breakout</t>
        </is>
      </c>
      <c r="S2" s="31" t="inlineStr">
        <is>
          <t>Nifty Bank</t>
        </is>
      </c>
      <c r="T2" s="32" t="n">
        <v>2.62</v>
      </c>
      <c r="U2" s="32" t="n">
        <v>57.61</v>
      </c>
      <c r="V2" s="32" t="n">
        <v>53.58</v>
      </c>
      <c r="W2" s="32" t="n">
        <v>20.68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20</t>
        </is>
      </c>
      <c r="CC2" s="31">
        <f>IF(CB2&gt;20,10,IF(CB2&gt;=10,5,2))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UJJIVANSFB</t>
        </is>
      </c>
      <c r="D3" s="31" t="inlineStr">
        <is>
          <t>Ujjivan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midcap</t>
        </is>
      </c>
      <c r="H3" s="32" t="n">
        <v>12745.18</v>
      </c>
      <c r="I3" s="32" t="n">
        <v>65.5</v>
      </c>
      <c r="J3" s="32" t="n">
        <v>0.55</v>
      </c>
      <c r="K3" s="32" t="n">
        <v>0</v>
      </c>
      <c r="L3" s="31" t="n">
        <v>47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63.36</v>
      </c>
      <c r="P3" s="32" t="n">
        <v>25.67</v>
      </c>
      <c r="Q3" s="32" t="n">
        <v>51.37</v>
      </c>
      <c r="R3" s="31" t="inlineStr">
        <is>
          <t>Near 52W High Breakout</t>
        </is>
      </c>
      <c r="S3" s="31" t="inlineStr">
        <is>
          <t>Nifty Bank</t>
        </is>
      </c>
      <c r="T3" s="32" t="n">
        <v>2.62</v>
      </c>
      <c r="U3" s="32" t="n">
        <v>34.05</v>
      </c>
      <c r="V3" s="32" t="n">
        <v>30.63</v>
      </c>
      <c r="W3" s="32" t="n">
        <v>8.789999999999999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midcap</t>
        </is>
      </c>
      <c r="H4" s="32" t="n">
        <v>6539.46</v>
      </c>
      <c r="I4" s="32" t="n">
        <v>71.90000000000001</v>
      </c>
      <c r="J4" s="32" t="n">
        <v>-0.76</v>
      </c>
      <c r="K4" s="32" t="n">
        <v>0</v>
      </c>
      <c r="L4" s="31" t="n">
        <v>93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81.8</v>
      </c>
      <c r="P4" s="32" t="n">
        <v>52.13</v>
      </c>
      <c r="Q4" s="32" t="n">
        <v>58.73</v>
      </c>
      <c r="R4" s="31" t="inlineStr">
        <is>
          <t>Near 52W High Breakout</t>
        </is>
      </c>
      <c r="S4" s="31" t="inlineStr">
        <is>
          <t>Nifty Bank</t>
        </is>
      </c>
      <c r="T4" s="32" t="n">
        <v>2.62</v>
      </c>
      <c r="U4" s="32" t="n">
        <v>131.76</v>
      </c>
      <c r="V4" s="32" t="n">
        <v>125.84</v>
      </c>
      <c r="W4" s="32" t="n">
        <v>34.03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FEDFINA</t>
        </is>
      </c>
      <c r="D5" s="34" t="inlineStr">
        <is>
          <t>Fedbank Financial Services Ltd</t>
        </is>
      </c>
      <c r="E5" s="31" t="inlineStr">
        <is>
          <t>financials</t>
        </is>
      </c>
      <c r="F5" s="31" t="inlineStr">
        <is>
          <t>Finance &amp; Investments - Gold Loan</t>
        </is>
      </c>
      <c r="G5" s="31" t="inlineStr">
        <is>
          <t>midcap</t>
        </is>
      </c>
      <c r="H5" s="32" t="n">
        <v>6230.94</v>
      </c>
      <c r="I5" s="32" t="n">
        <v>166.2</v>
      </c>
      <c r="J5" s="32" t="n">
        <v>7.33</v>
      </c>
      <c r="K5" s="32" t="n">
        <v>0</v>
      </c>
      <c r="L5" s="31" t="n">
        <v>44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62.62</v>
      </c>
      <c r="P5" s="32" t="n">
        <v>29.66</v>
      </c>
      <c r="Q5" s="32" t="n">
        <v>124.46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2.62</v>
      </c>
      <c r="U5" s="32" t="n">
        <v>29.81</v>
      </c>
      <c r="V5" s="32" t="n">
        <v>26.5</v>
      </c>
      <c r="W5" s="32" t="n">
        <v>8.050000000000001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18</t>
        </is>
      </c>
      <c r="CC5" s="31">
        <f>IF(CB5&gt;20,10,IF(CB5&gt;=10,5,2))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TMB</t>
        </is>
      </c>
      <c r="D6" s="34" t="inlineStr">
        <is>
          <t>Tamilnad Mercantile Bank Ltd</t>
        </is>
      </c>
      <c r="E6" s="31" t="inlineStr">
        <is>
          <t>bank</t>
        </is>
      </c>
      <c r="F6" s="31" t="inlineStr">
        <is>
          <t>Banks - Private</t>
        </is>
      </c>
      <c r="G6" s="31" t="inlineStr">
        <is>
          <t>midcap</t>
        </is>
      </c>
      <c r="H6" s="32" t="n">
        <v>12921.48</v>
      </c>
      <c r="I6" s="32" t="n">
        <v>816</v>
      </c>
      <c r="J6" s="32" t="n">
        <v>4.57</v>
      </c>
      <c r="K6" s="32" t="n">
        <v>0</v>
      </c>
      <c r="L6" s="31" t="n">
        <v>77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68.98999999999999</v>
      </c>
      <c r="P6" s="32" t="n">
        <v>35.32</v>
      </c>
      <c r="Q6" s="32" t="n">
        <v>656.9400000000001</v>
      </c>
      <c r="R6" s="31" t="inlineStr">
        <is>
          <t>Near 52W High Breakout</t>
        </is>
      </c>
      <c r="S6" s="31" t="inlineStr">
        <is>
          <t>Nifty Bank</t>
        </is>
      </c>
      <c r="T6" s="32" t="n">
        <v>2.62</v>
      </c>
      <c r="U6" s="32" t="n">
        <v>86.54000000000001</v>
      </c>
      <c r="V6" s="32" t="n">
        <v>81.77</v>
      </c>
      <c r="W6" s="32" t="n">
        <v>18.21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16</t>
        </is>
      </c>
      <c r="CC6" s="31">
        <f>IF(CB6&gt;20,10,IF(CB6&gt;=10,5,2))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SGFIN</t>
        </is>
      </c>
      <c r="D7" s="31" t="inlineStr">
        <is>
          <t>SG Finserve Ltd</t>
        </is>
      </c>
      <c r="E7" s="31" t="inlineStr">
        <is>
          <t>Financial Services</t>
        </is>
      </c>
      <c r="F7" s="31" t="inlineStr">
        <is>
          <t>Finance &amp; Investments - MSME Lending</t>
        </is>
      </c>
      <c r="G7" s="31" t="inlineStr">
        <is>
          <t>smallcap</t>
        </is>
      </c>
      <c r="H7" s="32" t="n">
        <v>4181.7</v>
      </c>
      <c r="I7" s="32" t="n">
        <v>634.6</v>
      </c>
      <c r="J7" s="32" t="n">
        <v>5.04</v>
      </c>
      <c r="K7" s="32" t="n">
        <v>0</v>
      </c>
      <c r="L7" s="31" t="n">
        <v>70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65.5</v>
      </c>
      <c r="P7" s="32" t="n">
        <v>59.43</v>
      </c>
      <c r="Q7" s="32" t="n">
        <v>510.47</v>
      </c>
      <c r="R7" s="31" t="inlineStr">
        <is>
          <t>Volume Spike / Accumulation</t>
        </is>
      </c>
      <c r="S7" s="31" t="inlineStr">
        <is>
          <t>Nifty Bank</t>
        </is>
      </c>
      <c r="T7" s="32" t="n">
        <v>5</v>
      </c>
      <c r="U7" s="32" t="n">
        <v>59.73</v>
      </c>
      <c r="V7" s="32" t="n">
        <v>52.11</v>
      </c>
      <c r="W7" s="32" t="n">
        <v>15.24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24</t>
        </is>
      </c>
      <c r="CC7" s="31">
        <f>IF(CB7&gt;20,10,IF(CB7&gt;=10,5,2))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SURYODAY</t>
        </is>
      </c>
      <c r="D8" s="31" t="inlineStr">
        <is>
          <t>Suryoday Small Finance Bank Ltd</t>
        </is>
      </c>
      <c r="E8" s="31" t="inlineStr">
        <is>
          <t>bank</t>
        </is>
      </c>
      <c r="F8" s="31" t="inlineStr">
        <is>
          <t>Banks - Small Finance</t>
        </is>
      </c>
      <c r="G8" s="31" t="inlineStr">
        <is>
          <t>smallcap</t>
        </is>
      </c>
      <c r="H8" s="32" t="n">
        <v>2022.06</v>
      </c>
      <c r="I8" s="32" t="n">
        <v>190.24</v>
      </c>
      <c r="J8" s="32" t="n">
        <v>1.59</v>
      </c>
      <c r="K8" s="32" t="n">
        <v>0</v>
      </c>
      <c r="L8" s="31" t="n">
        <v>64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69.09999999999999</v>
      </c>
      <c r="P8" s="32" t="n">
        <v>39.52</v>
      </c>
      <c r="Q8" s="32" t="n">
        <v>148.05</v>
      </c>
      <c r="R8" s="31" t="inlineStr">
        <is>
          <t>Near 52W High Breakout</t>
        </is>
      </c>
      <c r="S8" s="31" t="inlineStr">
        <is>
          <t>Nifty Bank</t>
        </is>
      </c>
      <c r="T8" s="32" t="n">
        <v>2.62</v>
      </c>
      <c r="U8" s="32" t="n">
        <v>34.44</v>
      </c>
      <c r="V8" s="32" t="n">
        <v>31.01</v>
      </c>
      <c r="W8" s="32" t="n">
        <v>13.01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19</t>
        </is>
      </c>
      <c r="CC8" s="31">
        <f>IF(CB8&gt;20,10,IF(CB8&gt;=10,5,2))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GODREJIND</t>
        </is>
      </c>
      <c r="D9" s="31" t="inlineStr">
        <is>
          <t>Godrej Industries Ltd</t>
        </is>
      </c>
      <c r="E9" s="31" t="inlineStr">
        <is>
          <t>chemicals</t>
        </is>
      </c>
      <c r="F9" s="31" t="inlineStr">
        <is>
          <t>Finance - Holding Company</t>
        </is>
      </c>
      <c r="G9" s="31" t="inlineStr">
        <is>
          <t>largecap</t>
        </is>
      </c>
      <c r="H9" s="32" t="n">
        <v>46488.81</v>
      </c>
      <c r="I9" s="32" t="n">
        <v>1380.1</v>
      </c>
      <c r="J9" s="32" t="n">
        <v>3.25</v>
      </c>
      <c r="K9" s="32" t="n">
        <v>0</v>
      </c>
      <c r="L9" s="31" t="n">
        <v>70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68.09</v>
      </c>
      <c r="P9" s="32" t="n">
        <v>32.77</v>
      </c>
      <c r="Q9" s="32" t="n">
        <v>1099.4</v>
      </c>
      <c r="R9" s="31" t="inlineStr">
        <is>
          <t>Near 52W High Breakout</t>
        </is>
      </c>
      <c r="S9" s="31" t="inlineStr">
        <is>
          <t>Nifty 500</t>
        </is>
      </c>
      <c r="T9" s="32" t="n">
        <v>-0.05</v>
      </c>
      <c r="U9" s="32" t="n">
        <v>19.46</v>
      </c>
      <c r="V9" s="32" t="n">
        <v>19.52</v>
      </c>
      <c r="W9" s="32" t="n">
        <v>15.27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18</t>
        </is>
      </c>
      <c r="CC9" s="31">
        <f>IF(CB9&gt;20,10,IF(CB9&gt;=10,5,2))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J&amp;KBANK</t>
        </is>
      </c>
      <c r="D10" s="31" t="inlineStr">
        <is>
          <t>Jammu and Kashmir Bank Ltd</t>
        </is>
      </c>
      <c r="E10" s="31" t="inlineStr">
        <is>
          <t>bank</t>
        </is>
      </c>
      <c r="F10" s="31" t="inlineStr">
        <is>
          <t>Banks - Private</t>
        </is>
      </c>
      <c r="G10" s="31" t="inlineStr">
        <is>
          <t>largecap</t>
        </is>
      </c>
      <c r="H10" s="32" t="n">
        <v>20239.73</v>
      </c>
      <c r="I10" s="32" t="n">
        <v>183.8</v>
      </c>
      <c r="J10" s="32" t="n">
        <v>3.61</v>
      </c>
      <c r="K10" s="32" t="n">
        <v>0</v>
      </c>
      <c r="L10" s="31" t="n">
        <v>80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72.61</v>
      </c>
      <c r="P10" s="32" t="n">
        <v>58.03</v>
      </c>
      <c r="Q10" s="32" t="n">
        <v>153.63</v>
      </c>
      <c r="R10" s="31" t="inlineStr">
        <is>
          <t>Earnings / Momentum Support</t>
        </is>
      </c>
      <c r="S10" s="31" t="inlineStr">
        <is>
          <t>Nifty Bank</t>
        </is>
      </c>
      <c r="T10" s="32" t="n">
        <v>2.62</v>
      </c>
      <c r="U10" s="32" t="n">
        <v>63.71</v>
      </c>
      <c r="V10" s="32" t="n">
        <v>59.53</v>
      </c>
      <c r="W10" s="32" t="n">
        <v>19.61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17</t>
        </is>
      </c>
      <c r="CC10" s="31">
        <f>IF(CB10&gt;20,10,IF(CB10&gt;=10,5,2))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SUM(N11,Y11,AA11,AC11,AE11,AG11,AI11,AK11,AM11,AO11,AQ11,AS11,AU11,AW11,AY11,BA11,BC11,BE11,BG11,BI11,BK11,BM11,BO11,BQ11,BS11,BU11,BW11,BY11,CA11,CC11)</f>
        <v/>
      </c>
      <c r="C11" s="34" t="inlineStr">
        <is>
          <t>NAM-INDIA</t>
        </is>
      </c>
      <c r="D11" s="34" t="inlineStr">
        <is>
          <t>Nippon Life India Asset Management Ltd</t>
        </is>
      </c>
      <c r="E11" s="31" t="inlineStr">
        <is>
          <t>financials</t>
        </is>
      </c>
      <c r="F11" s="31" t="inlineStr">
        <is>
          <t>Finance - AMC</t>
        </is>
      </c>
      <c r="G11" s="31" t="inlineStr">
        <is>
          <t>largecap</t>
        </is>
      </c>
      <c r="H11" s="32" t="n">
        <v>76089</v>
      </c>
      <c r="I11" s="32" t="n">
        <v>1190.2</v>
      </c>
      <c r="J11" s="32" t="n">
        <v>-0.21</v>
      </c>
      <c r="K11" s="32" t="n">
        <v>0</v>
      </c>
      <c r="L11" s="31" t="n">
        <v>60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68.17</v>
      </c>
      <c r="P11" s="32" t="n">
        <v>43.12</v>
      </c>
      <c r="Q11" s="32" t="n">
        <v>984.6799999999999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2.62</v>
      </c>
      <c r="U11" s="32" t="n">
        <v>45.21</v>
      </c>
      <c r="V11" s="32" t="n">
        <v>41.5</v>
      </c>
      <c r="W11" s="32" t="n">
        <v>11.89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17</t>
        </is>
      </c>
      <c r="CC11" s="31">
        <f>IF(CB11&gt;20,10,IF(CB11&gt;=10,5,2))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CGCL</t>
        </is>
      </c>
      <c r="D12" s="31" t="inlineStr">
        <is>
          <t>Capri Global Capital Ltd</t>
        </is>
      </c>
      <c r="E12" s="31" t="inlineStr">
        <is>
          <t>financials</t>
        </is>
      </c>
      <c r="F12" s="31" t="inlineStr">
        <is>
          <t>Finance &amp; Investments - Gold Loan</t>
        </is>
      </c>
      <c r="G12" s="31" t="inlineStr">
        <is>
          <t>largecap</t>
        </is>
      </c>
      <c r="H12" s="32" t="n">
        <v>24847.63</v>
      </c>
      <c r="I12" s="32" t="n">
        <v>258.25</v>
      </c>
      <c r="J12" s="32" t="n">
        <v>0.36</v>
      </c>
      <c r="K12" s="32" t="n">
        <v>0</v>
      </c>
      <c r="L12" s="31" t="n">
        <v>73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78.98999999999999</v>
      </c>
      <c r="P12" s="32" t="n">
        <v>31.59</v>
      </c>
      <c r="Q12" s="32" t="n">
        <v>214.08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2.62</v>
      </c>
      <c r="U12" s="32" t="n">
        <v>40.66</v>
      </c>
      <c r="V12" s="32" t="n">
        <v>37.07</v>
      </c>
      <c r="W12" s="32" t="n">
        <v>16.62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Above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24</t>
        </is>
      </c>
      <c r="CC12" s="31">
        <f>IF(CB12&gt;20,10,IF(CB12&gt;=10,5,2))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SUM(N13,Y13,AA13,AC13,AE13,AG13,AI13,AK13,AM13,AO13,AQ13,AS13,AU13,AW13,AY13,BA13,BC13,BE13,BG13,BI13,BK13,BM13,BO13,BQ13,BS13,BU13,BW13,BY13,CA13,CC13)</f>
        <v/>
      </c>
      <c r="C13" s="34" t="inlineStr">
        <is>
          <t>SPANDANA</t>
        </is>
      </c>
      <c r="D13" s="34" t="inlineStr">
        <is>
          <t>Spandana Sphoorty Financial Ltd</t>
        </is>
      </c>
      <c r="E13" s="31" t="inlineStr">
        <is>
          <t>financials</t>
        </is>
      </c>
      <c r="F13" s="31" t="inlineStr">
        <is>
          <t>Finance &amp; Investments - Microfinance</t>
        </is>
      </c>
      <c r="G13" s="31" t="inlineStr">
        <is>
          <t>smallcap</t>
        </is>
      </c>
      <c r="H13" s="32" t="n">
        <v>2173.38</v>
      </c>
      <c r="I13" s="32" t="n">
        <v>304.8</v>
      </c>
      <c r="J13" s="32" t="n">
        <v>0.58</v>
      </c>
      <c r="K13" s="32" t="n">
        <v>0</v>
      </c>
      <c r="L13" s="31" t="n">
        <v>48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62.29</v>
      </c>
      <c r="P13" s="32" t="n">
        <v>17.14</v>
      </c>
      <c r="Q13" s="32" t="n">
        <v>226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2.62</v>
      </c>
      <c r="U13" s="32" t="n">
        <v>4.31</v>
      </c>
      <c r="V13" s="32" t="n">
        <v>1.65</v>
      </c>
      <c r="W13" s="32" t="n">
        <v>9.029999999999999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16</t>
        </is>
      </c>
      <c r="CC13" s="31">
        <f>IF(CB13&gt;20,10,IF(CB13&gt;=10,5,2))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MUTHOOTMF</t>
        </is>
      </c>
      <c r="D14" s="31" t="inlineStr">
        <is>
          <t>Muthoot Microfin Ltd</t>
        </is>
      </c>
      <c r="E14" s="31" t="inlineStr">
        <is>
          <t>financials</t>
        </is>
      </c>
      <c r="F14" s="31" t="inlineStr">
        <is>
          <t>Finance &amp; Investments - Microfinance</t>
        </is>
      </c>
      <c r="G14" s="31" t="inlineStr">
        <is>
          <t>smallcap</t>
        </is>
      </c>
      <c r="H14" s="32" t="n">
        <v>4211.16</v>
      </c>
      <c r="I14" s="32" t="n">
        <v>247</v>
      </c>
      <c r="J14" s="32" t="n">
        <v>3.34</v>
      </c>
      <c r="K14" s="32" t="n">
        <v>0</v>
      </c>
      <c r="L14" s="31" t="n">
        <v>74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75.23</v>
      </c>
      <c r="P14" s="32" t="n">
        <v>36.81</v>
      </c>
      <c r="Q14" s="32" t="n">
        <v>188.3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2.62</v>
      </c>
      <c r="U14" s="32" t="n">
        <v>47.82</v>
      </c>
      <c r="V14" s="32" t="n">
        <v>44.04</v>
      </c>
      <c r="W14" s="32" t="n">
        <v>17.02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18</t>
        </is>
      </c>
      <c r="CC14" s="31">
        <f>IF(CB14&gt;20,10,IF(CB14&gt;=10,5,2))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DHANBANK</t>
        </is>
      </c>
      <c r="D15" s="31" t="inlineStr">
        <is>
          <t>Dhanlaxmi Bank Ltd</t>
        </is>
      </c>
      <c r="E15" s="31" t="inlineStr">
        <is>
          <t>Financial Services</t>
        </is>
      </c>
      <c r="F15" s="31" t="inlineStr">
        <is>
          <t>Banks - Private</t>
        </is>
      </c>
      <c r="G15" s="31" t="inlineStr">
        <is>
          <t>smallcap</t>
        </is>
      </c>
      <c r="H15" s="32" t="n">
        <v>1347.9</v>
      </c>
      <c r="I15" s="32" t="n">
        <v>34.15</v>
      </c>
      <c r="J15" s="32" t="n">
        <v>0.44</v>
      </c>
      <c r="K15" s="32" t="n">
        <v>0</v>
      </c>
      <c r="L15" s="31" t="n">
        <v>46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63.56</v>
      </c>
      <c r="P15" s="32" t="n">
        <v>36.01</v>
      </c>
      <c r="Q15" s="32" t="n">
        <v>26.33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2.62</v>
      </c>
      <c r="U15" s="32" t="n">
        <v>12.67</v>
      </c>
      <c r="V15" s="32" t="n">
        <v>9.789999999999999</v>
      </c>
      <c r="W15" s="32" t="n">
        <v>8.52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17</t>
        </is>
      </c>
      <c r="CC15" s="31">
        <f>IF(CB15&gt;20,10,IF(CB15&gt;=10,5,2))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SUM(N16,Y16,AA16,AC16,AE16,AG16,AI16,AK16,AM16,AO16,AQ16,AS16,AU16,AW16,AY16,BA16,BC16,BE16,BG16,BI16,BK16,BM16,BO16,BQ16,BS16,BU16,BW16,BY16,CA16,CC16)</f>
        <v/>
      </c>
      <c r="C16" s="31" t="inlineStr">
        <is>
          <t>CHOICEIN</t>
        </is>
      </c>
      <c r="D16" s="31" t="inlineStr">
        <is>
          <t>Choice International Ltd</t>
        </is>
      </c>
      <c r="E16" s="31" t="inlineStr">
        <is>
          <t>financials</t>
        </is>
      </c>
      <c r="F16" s="31" t="inlineStr">
        <is>
          <t>Finance - Capital Markets - Brokers</t>
        </is>
      </c>
      <c r="G16" s="31" t="inlineStr">
        <is>
          <t>midcap</t>
        </is>
      </c>
      <c r="H16" s="32" t="n">
        <v>18200.84</v>
      </c>
      <c r="I16" s="32" t="n">
        <v>817</v>
      </c>
      <c r="J16" s="32" t="n">
        <v>0.76</v>
      </c>
      <c r="K16" s="32" t="n">
        <v>0</v>
      </c>
      <c r="L16" s="31" t="n">
        <v>27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62.29</v>
      </c>
      <c r="P16" s="32" t="n">
        <v>19.93</v>
      </c>
      <c r="Q16" s="32" t="n">
        <v>680.86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2.62</v>
      </c>
      <c r="U16" s="32" t="n">
        <v>8.58</v>
      </c>
      <c r="V16" s="32" t="n">
        <v>5.81</v>
      </c>
      <c r="W16" s="32" t="n">
        <v>4.59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18</t>
        </is>
      </c>
      <c r="CC16" s="31">
        <f>IF(CB16&gt;20,10,IF(CB16&gt;=10,5,2))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SUM(N17,Y17,AA17,AC17,AE17,AG17,AI17,AK17,AM17,AO17,AQ17,AS17,AU17,AW17,AY17,BA17,BC17,BE17,BG17,BI17,BK17,BM17,BO17,BQ17,BS17,BU17,BW17,BY17,CA17,CC17)</f>
        <v/>
      </c>
      <c r="C17" s="34" t="inlineStr">
        <is>
          <t>CHOLAFIN</t>
        </is>
      </c>
      <c r="D17" s="34" t="inlineStr">
        <is>
          <t>Cholamandalam Investment &amp; Finance Company Ltd</t>
        </is>
      </c>
      <c r="E17" s="31" t="inlineStr">
        <is>
          <t>financials</t>
        </is>
      </c>
      <c r="F17" s="31" t="inlineStr">
        <is>
          <t>Conglomerate Backed NBFC</t>
        </is>
      </c>
      <c r="G17" s="31" t="inlineStr">
        <is>
          <t>largecap</t>
        </is>
      </c>
      <c r="H17" s="32" t="n">
        <v>153746.95</v>
      </c>
      <c r="I17" s="32" t="n">
        <v>1803.3</v>
      </c>
      <c r="J17" s="32" t="n">
        <v>1.8</v>
      </c>
      <c r="K17" s="32" t="n">
        <v>0</v>
      </c>
      <c r="L17" s="31" t="n">
        <v>36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61.55</v>
      </c>
      <c r="P17" s="32" t="n">
        <v>12.17</v>
      </c>
      <c r="Q17" s="32" t="n">
        <v>1471.56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2.62</v>
      </c>
      <c r="U17" s="32" t="n">
        <v>16.18</v>
      </c>
      <c r="V17" s="32" t="n">
        <v>13.21</v>
      </c>
      <c r="W17" s="32" t="n">
        <v>6.13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  <c r="CB17" s="31" t="inlineStr">
        <is>
          <t>16</t>
        </is>
      </c>
      <c r="CC17" s="31">
        <f>IF(CB17&gt;20,10,IF(CB17&gt;=10,5,2))</f>
        <v/>
      </c>
    </row>
    <row r="21">
      <c r="A21" s="25" t="inlineStr">
        <is>
          <t>❌ REMOVED SCAN MATCH STOCKS (THIS WEEK)</t>
        </is>
      </c>
    </row>
    <row r="22">
      <c r="A22" s="35" t="inlineStr">
        <is>
          <t>Symbol</t>
        </is>
      </c>
      <c r="B22" s="35" t="inlineStr">
        <is>
          <t>Company Name</t>
        </is>
      </c>
      <c r="C22" s="35" t="inlineStr">
        <is>
          <t>Sector</t>
        </is>
      </c>
      <c r="D22" s="35" t="inlineStr">
        <is>
          <t>Date of Removal</t>
        </is>
      </c>
    </row>
    <row r="23">
      <c r="A23" s="36" t="inlineStr">
        <is>
          <t>BFINVEST</t>
        </is>
      </c>
      <c r="B23" s="37" t="inlineStr">
        <is>
          <t>BF Investment Limited</t>
        </is>
      </c>
      <c r="C23" s="37" t="inlineStr">
        <is>
          <t>Financial Services</t>
        </is>
      </c>
      <c r="D23" s="38" t="inlineStr">
        <is>
          <t>2026-07-14</t>
        </is>
      </c>
    </row>
    <row r="24">
      <c r="A24" s="36" t="inlineStr">
        <is>
          <t>FUSION</t>
        </is>
      </c>
      <c r="B24" s="37" t="inlineStr">
        <is>
          <t>Fusion Finance Limited</t>
        </is>
      </c>
      <c r="C24" s="37" t="inlineStr">
        <is>
          <t>Financial Services</t>
        </is>
      </c>
      <c r="D24" s="38" t="inlineStr">
        <is>
          <t>2026-07-15</t>
        </is>
      </c>
    </row>
    <row r="25">
      <c r="A25" s="36" t="inlineStr">
        <is>
          <t>POONAWALLA</t>
        </is>
      </c>
      <c r="B25" s="37" t="inlineStr">
        <is>
          <t>Poonawalla Fincorp Limited</t>
        </is>
      </c>
      <c r="C25" s="37" t="inlineStr">
        <is>
          <t>Financial Services</t>
        </is>
      </c>
      <c r="D25" s="38" t="inlineStr">
        <is>
          <t>2026-07-15</t>
        </is>
      </c>
    </row>
    <row r="26">
      <c r="A26" s="36" t="inlineStr">
        <is>
          <t>SHAREINDIA</t>
        </is>
      </c>
      <c r="B26" s="37" t="inlineStr">
        <is>
          <t>Share India Securities Limited</t>
        </is>
      </c>
      <c r="C26" s="37" t="inlineStr">
        <is>
          <t>Financial Services</t>
        </is>
      </c>
      <c r="D26" s="38" t="inlineStr">
        <is>
          <t>2026-07-14</t>
        </is>
      </c>
    </row>
  </sheetData>
  <autoFilter ref="A1:CC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7">
    <cfRule type="cellIs" priority="35" operator="equal" dxfId="3" stopIfTrue="1">
      <formula>"Underperforming"</formula>
    </cfRule>
  </conditionalFormatting>
  <conditionalFormatting sqref="N2:N17">
    <cfRule type="cellIs" priority="36" operator="equal" dxfId="3" stopIfTrue="1">
      <formula>-5</formula>
    </cfRule>
  </conditionalFormatting>
  <conditionalFormatting sqref="Q2:Q1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2026-07-15T11:54:18Z</dcterms:created>
  <dcterms:modified xmlns:dcterms="http://purl.org/dc/terms/" xmlns:xsi="http://www.w3.org/2001/XMLSchema-instance" xsi:type="dcterms:W3CDTF">2026-07-15T11:57:15Z</dcterms:modified>
</cp:coreProperties>
</file>